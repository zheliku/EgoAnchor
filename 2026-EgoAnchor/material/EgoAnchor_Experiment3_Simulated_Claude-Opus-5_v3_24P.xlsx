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rification_Audit" sheetId="2" state="visible" r:id="rId2"/>
    <sheet name="Questionnaire" sheetId="3" state="visible" r:id="rId3"/>
    <sheet name="Participants" sheetId="4" state="visible" r:id="rId4"/>
    <sheet name="Records" sheetId="5" state="visible" r:id="rId5"/>
    <sheet name="Derived" sheetId="6" state="visible" r:id="rId6"/>
    <sheet name="Analysis" sheetId="7" state="visible" r:id="rId7"/>
    <sheet name="Simulation_Audit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5"/>
    </font>
    <font>
      <name val="Calibri"/>
      <color rgb="FF22313F"/>
      <sz val="10"/>
    </font>
    <font>
      <b val="1"/>
      <color rgb="FFFFFFFF"/>
      <sz val="11"/>
    </font>
    <font>
      <b val="1"/>
      <color rgb="FF22313F"/>
      <sz val="10"/>
    </font>
    <font>
      <name val="Calibri"/>
      <b val="1"/>
      <color rgb="FF22313F"/>
      <sz val="10"/>
    </font>
  </fonts>
  <fills count="8">
    <fill>
      <patternFill/>
    </fill>
    <fill>
      <patternFill patternType="gray125"/>
    </fill>
    <fill>
      <patternFill patternType="solid">
        <fgColor rgb="FF18324A"/>
      </patternFill>
    </fill>
    <fill>
      <patternFill patternType="solid">
        <fgColor rgb="FFF4F1F7"/>
      </patternFill>
    </fill>
    <fill>
      <patternFill patternType="solid">
        <fgColor rgb="FF2F6F73"/>
      </patternFill>
    </fill>
    <fill>
      <patternFill patternType="solid">
        <fgColor rgb="FFDCEAF5"/>
      </patternFill>
    </fill>
    <fill>
      <patternFill patternType="solid">
        <fgColor rgb="FFE8F3E8"/>
      </patternFill>
    </fill>
    <fill>
      <patternFill patternType="solid">
        <fgColor rgb="FFFDF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34" customWidth="1" min="4" max="4"/>
    <col width="40" customWidth="1" min="5" max="5"/>
  </cols>
  <sheetData>
    <row r="1" ht="30" customHeight="1">
      <c r="A1" s="1" t="inlineStr">
        <is>
          <t>【合成演练数据 · 不得进入论文结果】EgoAnchor 实验三 AI 模拟采集与分析工作簿（Claude-Opus-5 v3）</t>
        </is>
      </c>
    </row>
    <row r="2">
      <c r="A2" s="2" t="inlineStr">
        <is>
          <t>本工作簿全部数据由 Claude Opus 5 按 v5.1 冻结设计模拟生成，用于采集表与分析流程演练。严禁作为真实参与者数据、论文证据、效应量/功效/样本量依据，也不得与真实采集数据合并。唯一权威设计规格为 2026-EgoAnchor/experiment_3_questionnaire_design_zh.md（v5.1）；唯一正式采集工作簿为 EgoAnchor_Experiment3_DataCollection_24P_v5_1_Beautified_Checked_VSCodeSafe.xlsx。</t>
        </is>
      </c>
    </row>
    <row r="4" ht="20" customHeight="1">
      <c r="A4" s="3" t="inlineStr">
        <is>
          <t>一、本轮模拟的基本信息</t>
        </is>
      </c>
    </row>
    <row r="5" ht="30" customHeight="1">
      <c r="A5" s="4" t="inlineStr">
        <is>
          <t>项</t>
        </is>
      </c>
      <c r="B5" s="4" t="inlineStr">
        <is>
          <t>内容</t>
        </is>
      </c>
      <c r="C5" s="4" t="inlineStr"/>
      <c r="D5" s="4" t="inlineStr"/>
      <c r="E5" s="4" t="inlineStr"/>
    </row>
    <row r="6">
      <c r="A6" s="5" t="inlineStr">
        <is>
          <t>模拟模型</t>
        </is>
      </c>
      <c r="B6" s="6" t="inlineStr">
        <is>
          <t>Claude-Opus-5（Claude Opus 5）</t>
        </is>
      </c>
    </row>
    <row r="7">
      <c r="A7" s="5" t="inlineStr">
        <is>
          <t>生成日期</t>
        </is>
      </c>
      <c r="B7" s="6" t="inlineStr">
        <is>
          <t>2026-07-27</t>
        </is>
      </c>
    </row>
    <row r="8">
      <c r="A8" s="5" t="inlineStr">
        <is>
          <t>主种子</t>
        </is>
      </c>
      <c r="B8" s="6" t="inlineStr">
        <is>
          <t>20260727</t>
        </is>
      </c>
    </row>
    <row r="9">
      <c r="A9" s="5" t="inlineStr">
        <is>
          <t>参与者数</t>
        </is>
      </c>
      <c r="B9" s="6" t="inlineStr">
        <is>
          <t>24（24 平衡单元各 1 人，先行方法 12/12，标签映射 12/12）</t>
        </is>
      </c>
    </row>
    <row r="10">
      <c r="A10" s="5" t="inlineStr">
        <is>
          <t>评分总数</t>
        </is>
      </c>
      <c r="B10" s="6" t="inlineStr">
        <is>
          <t>2592（区块 78 + 方法级 26 + 最终 4 = 每人 108）</t>
        </is>
      </c>
    </row>
    <row r="11">
      <c r="A11" s="5" t="inlineStr">
        <is>
          <t>Q10 状态</t>
        </is>
      </c>
      <c r="B11" s="6" t="inlineStr">
        <is>
          <t>默认停用（计划书 4.2/第八节）；启用判据的实测评估见 Simulation_Audit</t>
        </is>
      </c>
    </row>
    <row r="12">
      <c r="A12" s="5" t="inlineStr">
        <is>
          <t>遮挡冻结时长</t>
        </is>
      </c>
      <c r="B12" s="6" t="inlineStr">
        <is>
          <t>0.75 s（0.6–0.9 s 区间内，避开 0.45/1.0 s 边界）</t>
        </is>
      </c>
    </row>
    <row r="13">
      <c r="A13" s="5" t="inlineStr">
        <is>
          <t>刺激来源</t>
        </is>
      </c>
      <c r="B13" s="6" t="inlineStr">
        <is>
          <t>实验一/二正式批次 experiment1_summary.csv 的 One-Euro Anchor 与 EgoAnchor 两行</t>
        </is>
      </c>
    </row>
    <row r="14">
      <c r="A14" s="5" t="inlineStr">
        <is>
          <t>是否事后校准</t>
        </is>
      </c>
      <c r="B14" s="6" t="inlineStr">
        <is>
          <t>否。模型为纯前向生成，不按目标效应量反向校准</t>
        </is>
      </c>
    </row>
    <row r="16" ht="20" customHeight="1">
      <c r="A16" s="3" t="inlineStr">
        <is>
          <t>二、表结构与公式约定（本轮按要求用公式实时计算问卷小分）</t>
        </is>
      </c>
    </row>
    <row r="17" ht="30" customHeight="1">
      <c r="A17" s="4" t="inlineStr">
        <is>
          <t>工作表</t>
        </is>
      </c>
      <c r="B17" s="4" t="inlineStr">
        <is>
          <t>角色</t>
        </is>
      </c>
      <c r="C17" s="4" t="inlineStr">
        <is>
          <t>是否含公式</t>
        </is>
      </c>
      <c r="D17" s="4" t="inlineStr">
        <is>
          <t>说明</t>
        </is>
      </c>
      <c r="E17" s="4" t="inlineStr"/>
    </row>
    <row r="18">
      <c r="A18" s="5" t="inlineStr">
        <is>
          <t>README</t>
        </is>
      </c>
      <c r="B18" s="6" t="inlineStr">
        <is>
          <t>声明与导读</t>
        </is>
      </c>
      <c r="C18" s="6" t="inlineStr">
        <is>
          <t>无</t>
        </is>
      </c>
      <c r="D18" s="6" t="inlineStr">
        <is>
          <t>合成边界、模拟信息、表结构约定</t>
        </is>
      </c>
    </row>
    <row r="19">
      <c r="A19" s="5" t="inlineStr">
        <is>
          <t>Verification_Audit</t>
        </is>
      </c>
      <c r="B19" s="6" t="inlineStr">
        <is>
          <t>量表核对存档</t>
        </is>
      </c>
      <c r="C19" s="6" t="inlineStr">
        <is>
          <t>无</t>
        </is>
      </c>
      <c r="D19" s="6" t="inlineStr">
        <is>
          <t>沿用正式采集表的逐条核对结论，另附本轮模拟边界记录</t>
        </is>
      </c>
    </row>
    <row r="20">
      <c r="A20" s="5" t="inlineStr">
        <is>
          <t>Questionnaire</t>
        </is>
      </c>
      <c r="B20" s="6" t="inlineStr">
        <is>
          <t>条目字典</t>
        </is>
      </c>
      <c r="C20" s="6" t="inlineStr">
        <is>
          <t>无</t>
        </is>
      </c>
      <c r="D20" s="6" t="inlineStr">
        <is>
          <t>背景 B1–B6、区块 13+1、TiA 6+4、S-TIAS 3、最终 7 项与量尺锚点</t>
        </is>
      </c>
    </row>
    <row r="21">
      <c r="A21" s="5" t="inlineStr">
        <is>
          <t>Participants</t>
        </is>
      </c>
      <c r="B21" s="6" t="inlineStr">
        <is>
          <t>24 平衡单元与背景</t>
        </is>
      </c>
      <c r="C21" s="6" t="inlineStr">
        <is>
          <t>无</t>
        </is>
      </c>
      <c r="D21" s="6" t="inlineStr">
        <is>
          <t>平衡单元、物体顺序、标签映射、B1–B6、纳入审计、人物设定摘要</t>
        </is>
      </c>
    </row>
    <row r="22">
      <c r="A22" s="5" t="inlineStr">
        <is>
          <t>Records</t>
        </is>
      </c>
      <c r="B22" s="6" t="inlineStr">
        <is>
          <t>唯一输入表</t>
        </is>
      </c>
      <c r="C22" s="6" t="inlineStr">
        <is>
          <t>无</t>
        </is>
      </c>
      <c r="D22" s="6" t="inlineStr">
        <is>
          <t>A 区块 144 行 + B 方法级 48 行 + C 最终 24 行，只放原始评分</t>
        </is>
      </c>
    </row>
    <row r="23">
      <c r="A23" s="5" t="inlineStr">
        <is>
          <t>Derived</t>
        </is>
      </c>
      <c r="B23" s="6" t="inlineStr">
        <is>
          <t>四级派生</t>
        </is>
      </c>
      <c r="C23" s="6" t="inlineStr">
        <is>
          <t>全为公式</t>
        </is>
      </c>
      <c r="D23" s="6" t="inlineStr">
        <is>
          <t>L1 区块级子量表 → L2 三物体均值 → L3 TiA 反向与量表分 → L4 配对差</t>
        </is>
      </c>
    </row>
    <row r="24">
      <c r="A24" s="5" t="inlineStr">
        <is>
          <t>Analysis</t>
        </is>
      </c>
      <c r="B24" s="6" t="inlineStr">
        <is>
          <t>结果表</t>
        </is>
      </c>
      <c r="C24" s="6" t="inlineStr">
        <is>
          <t>多数为公式</t>
        </is>
      </c>
      <c r="D24" s="6" t="inlineStr">
        <is>
          <t>Mdn/IQR、配对差、dz、逐物体、计数为公式；W/p/Holm/r_rb CI/α/ω/TOST 由代码写数值</t>
        </is>
      </c>
    </row>
    <row r="25">
      <c r="A25" s="5" t="inlineStr">
        <is>
          <t>Simulation_Audit</t>
        </is>
      </c>
      <c r="B25" s="6" t="inlineStr">
        <is>
          <t>模型可审计层</t>
        </is>
      </c>
      <c r="C25" s="6" t="inlineStr">
        <is>
          <t>部分公式</t>
        </is>
      </c>
      <c r="D25" s="6" t="inlineStr">
        <is>
          <t>通道刺激剖面、条目权重、事件日志、问卷负担诊断、换种子重抽结果</t>
        </is>
      </c>
    </row>
    <row r="27" ht="20" customHeight="1">
      <c r="A27" s="3" t="inlineStr">
        <is>
          <t>三、颜色约定</t>
        </is>
      </c>
    </row>
    <row r="28">
      <c r="A28" s="7" t="inlineStr">
        <is>
          <t>绿色底</t>
        </is>
      </c>
      <c r="B28" s="6" t="inlineStr">
        <is>
          <t>原始录入值（Records 唯一输入；不得被派生值覆盖）</t>
        </is>
      </c>
    </row>
    <row r="29">
      <c r="A29" s="8" t="inlineStr">
        <is>
          <t>琥珀底</t>
        </is>
      </c>
      <c r="B29" s="6" t="inlineStr">
        <is>
          <t>公式实时计算（Excel 打开时全量重算；离线缓存值由受限求值器注入）</t>
        </is>
      </c>
    </row>
    <row r="30">
      <c r="A30" s="5" t="inlineStr">
        <is>
          <t>无底色</t>
        </is>
      </c>
      <c r="B30" s="6" t="inlineStr">
        <is>
          <t>由分析代码写入的统计量（Wilcoxon W/p、Holm p、r_rb 自举 CI、α/ω、TOST p）</t>
        </is>
      </c>
    </row>
    <row r="32" ht="20" customHeight="1">
      <c r="A32" s="3" t="inlineStr">
        <is>
          <t>四、冻结分析家族（与计划书 6.1 一致）</t>
        </is>
      </c>
    </row>
    <row r="33">
      <c r="A33" s="5" t="inlineStr">
        <is>
          <t>主证实家族（7）</t>
        </is>
      </c>
      <c r="B33" s="6" t="inlineStr">
        <is>
          <t>Q1 静止稳定 / Q8 位置正确 / Q2 运动附着 / Q9 姿态一致 / Q3 恢复一致 / Q6 依赖意愿 / Q7 稳定–响应平衡</t>
        </is>
      </c>
      <c r="D33" s="6" t="inlineStr">
        <is>
          <t>三物体取均值 → 配对 Wilcoxon → 家族内 Holm（N=24 最严 MDE dz=0.801）</t>
        </is>
      </c>
    </row>
    <row r="34">
      <c r="A34" s="5" t="inlineStr">
        <is>
          <t>已发表量表家族（5）</t>
        </is>
      </c>
      <c r="B34" s="6" t="inlineStr">
        <is>
          <t>AQ-EQ / AQ-IQ / TiA-R/C / TiA-U/P / S-TIAS</t>
        </is>
      </c>
      <c r="D34" s="6" t="inlineStr">
        <is>
          <t>同上；仅此家族报告当前样本 α/ω；TiA 反向项先按 6−原始分换向</t>
        </is>
      </c>
    </row>
    <row r="35">
      <c r="A35" s="5" t="inlineStr">
        <is>
          <t>次级</t>
        </is>
      </c>
      <c r="B35" s="6" t="inlineStr">
        <is>
          <t>Q10（本轮停用）</t>
        </is>
      </c>
      <c r="D35" s="6" t="inlineStr">
        <is>
          <t>CLMM 见 Analysis C 段说明</t>
        </is>
      </c>
    </row>
    <row r="36">
      <c r="A36" s="5" t="inlineStr">
        <is>
          <t>描述性</t>
        </is>
      </c>
      <c r="B36" s="6" t="inlineStr">
        <is>
          <t>两项强制选择、偏好强度、区分信心、开放题主题、安全检查、运行时审计</t>
        </is>
      </c>
      <c r="D36" s="6" t="inlineStr">
        <is>
          <t>不作推断</t>
        </is>
      </c>
    </row>
  </sheetData>
  <mergeCells count="34">
    <mergeCell ref="D20:E20"/>
    <mergeCell ref="B9:E9"/>
    <mergeCell ref="D19:E19"/>
    <mergeCell ref="D34:E34"/>
    <mergeCell ref="B6:E6"/>
    <mergeCell ref="B30:E30"/>
    <mergeCell ref="A1:E1"/>
    <mergeCell ref="D22:E22"/>
    <mergeCell ref="D36:E36"/>
    <mergeCell ref="D21:E21"/>
    <mergeCell ref="A16:E16"/>
    <mergeCell ref="B7:E7"/>
    <mergeCell ref="A27:E27"/>
    <mergeCell ref="A2:E2"/>
    <mergeCell ref="B12:E12"/>
    <mergeCell ref="B34:C34"/>
    <mergeCell ref="B11:E11"/>
    <mergeCell ref="A32:E32"/>
    <mergeCell ref="D18:E18"/>
    <mergeCell ref="B14:E14"/>
    <mergeCell ref="D25:E25"/>
    <mergeCell ref="A4:E4"/>
    <mergeCell ref="B8:E8"/>
    <mergeCell ref="D24:E24"/>
    <mergeCell ref="B33:C33"/>
    <mergeCell ref="D33:E33"/>
    <mergeCell ref="B13:E13"/>
    <mergeCell ref="D23:E23"/>
    <mergeCell ref="B29:E29"/>
    <mergeCell ref="B36:C36"/>
    <mergeCell ref="B10:E10"/>
    <mergeCell ref="B28:E28"/>
    <mergeCell ref="B35:C35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34" customWidth="1" min="4" max="4"/>
  </cols>
  <sheetData>
    <row r="1" ht="30" customHeight="1">
      <c r="A1" s="1" t="inlineStr">
        <is>
          <t>量表与内容核验记录（沿用正式采集表 2026-07-26 结论）+ 本轮模拟边界</t>
        </is>
      </c>
    </row>
    <row r="2">
      <c r="A2" s="2" t="inlineStr">
        <is>
          <t>前 16 行为正式采集表 Verification_Audit 的逐条结论，模拟工作簿原样保留以保证条目与署名一致；第二节为本轮 AI 模拟自身的边界与方法记录。</t>
        </is>
      </c>
    </row>
    <row r="4" ht="20" customHeight="1">
      <c r="A4" s="3" t="inlineStr">
        <is>
          <t>一、量表核对结论（原样沿用）</t>
        </is>
      </c>
    </row>
    <row r="5" ht="30" customHeight="1">
      <c r="A5" s="4" t="inlineStr">
        <is>
          <t>核对对象</t>
        </is>
      </c>
      <c r="B5" s="4" t="inlineStr">
        <is>
          <t>状态</t>
        </is>
      </c>
      <c r="C5" s="4" t="inlineStr">
        <is>
          <t>结论/修正</t>
        </is>
      </c>
      <c r="D5" s="4" t="inlineStr">
        <is>
          <t>依据/来源</t>
        </is>
      </c>
    </row>
    <row r="6">
      <c r="A6" s="5" t="inlineStr">
        <is>
          <t>AQ 英文条目</t>
        </is>
      </c>
      <c r="B6" s="6" t="inlineStr">
        <is>
          <t>已核对</t>
        </is>
      </c>
      <c r="C6" s="6" t="inlineStr">
        <is>
          <t>官方原文六条（指代 The virtual object），对象化替换极小</t>
        </is>
      </c>
      <c r="D6" s="6" t="inlineStr">
        <is>
          <t>doi:10.1007/s11747-025-01108-2 Appendix</t>
        </is>
      </c>
    </row>
    <row r="7">
      <c r="A7" s="5" t="inlineStr">
        <is>
          <t>AQ 量尺</t>
        </is>
      </c>
      <c r="B7" s="6" t="inlineStr">
        <is>
          <t>已核对</t>
        </is>
      </c>
      <c r="C7" s="6" t="inlineStr">
        <is>
          <t>七点：1 = I do not agree … 7 = I fully agree</t>
        </is>
      </c>
      <c r="D7" s="6" t="inlineStr">
        <is>
          <t>同上</t>
        </is>
      </c>
    </row>
    <row r="8">
      <c r="A8" s="5" t="inlineStr">
        <is>
          <t>AQ 书目</t>
        </is>
      </c>
      <c r="B8" s="6" t="inlineStr">
        <is>
          <t>已核对</t>
        </is>
      </c>
      <c r="C8" s="6" t="inlineStr">
        <is>
          <t>Schein, Rauschnabel, Praxmarer-Carus, Babin. JAMS 54:49–69</t>
        </is>
      </c>
      <c r="D8" s="6" t="inlineStr">
        <is>
          <t>CC BY 4.0</t>
        </is>
      </c>
    </row>
    <row r="9">
      <c r="A9" s="5" t="inlineStr">
        <is>
          <t>TiA 条目结构</t>
        </is>
      </c>
      <c r="B9" s="6" t="inlineStr">
        <is>
          <t>已核对</t>
        </is>
      </c>
      <c r="C9" s="6" t="inlineStr">
        <is>
          <t>R/C 6 项（官方 1,6,10,13,15,19）+ U/P 4 项（2,7,11,16）</t>
        </is>
      </c>
      <c r="D9" s="6" t="inlineStr">
        <is>
          <t>官方 GitHub（CC BY-SA 4.0）</t>
        </is>
      </c>
    </row>
    <row r="10">
      <c r="A10" s="5" t="inlineStr">
        <is>
          <t>TiA 反向计分</t>
        </is>
      </c>
      <c r="B10" s="6" t="inlineStr">
        <is>
          <t>已核对</t>
        </is>
      </c>
      <c r="C10" s="6" t="inlineStr">
        <is>
          <t>反向项 RC3/RC5/UP2/UP4；五点反向分 = 6 − 原始分</t>
        </is>
      </c>
      <c r="D10" s="6" t="inlineStr">
        <is>
          <t>同上</t>
        </is>
      </c>
    </row>
    <row r="11">
      <c r="A11" s="5" t="inlineStr">
        <is>
          <t>TiA 量尺</t>
        </is>
      </c>
      <c r="B11" s="6" t="inlineStr">
        <is>
          <t>已核对</t>
        </is>
      </c>
      <c r="C11" s="6" t="inlineStr">
        <is>
          <t>五点同意度 + 允许 No response（记缺失）</t>
        </is>
      </c>
      <c r="D11" s="6" t="inlineStr">
        <is>
          <t>同上</t>
        </is>
      </c>
    </row>
    <row r="12">
      <c r="A12" s="5" t="inlineStr">
        <is>
          <t>TiA 效度措辞</t>
        </is>
      </c>
      <c r="B12" s="6" t="inlineStr">
        <is>
          <t>需遵守</t>
        </is>
      </c>
      <c r="C12" s="6" t="inlineStr">
        <is>
          <t>只写 adapted TiA subscales + 当前样本信度</t>
        </is>
      </c>
      <c r="D12" s="6" t="inlineStr">
        <is>
          <t>官方 GitHub 声明</t>
        </is>
      </c>
    </row>
    <row r="13">
      <c r="A13" s="5" t="inlineStr">
        <is>
          <t>S-TIAS 条目</t>
        </is>
      </c>
      <c r="B13" s="6" t="inlineStr">
        <is>
          <t>已核对</t>
        </is>
      </c>
      <c r="C13" s="6" t="inlineStr">
        <is>
          <t>原文指代 the AI assistant → 本研究替换为“这种对象锚定方法”</t>
        </is>
      </c>
      <c r="D13" s="6" t="inlineStr">
        <is>
          <t>doi:10.3389/frai.2025.1582880</t>
        </is>
      </c>
    </row>
    <row r="14">
      <c r="A14" s="5" t="inlineStr">
        <is>
          <t>S-TIAS 量尺</t>
        </is>
      </c>
      <c r="B14" s="6" t="inlineStr">
        <is>
          <t>已核对</t>
        </is>
      </c>
      <c r="C14" s="6" t="inlineStr">
        <is>
          <t>1 = Not at all … 7 = Extremely；三项均值</t>
        </is>
      </c>
      <c r="D14" s="6" t="inlineStr">
        <is>
          <t>同上</t>
        </is>
      </c>
    </row>
    <row r="15">
      <c r="A15" s="5" t="inlineStr">
        <is>
          <t>S-TIAS 书目</t>
        </is>
      </c>
      <c r="B15" s="6" t="inlineStr">
        <is>
          <t>已核对（作者更正）</t>
        </is>
      </c>
      <c r="C15" s="6" t="inlineStr">
        <is>
          <t>McGrath, Lack, Tisch, Duenser. Frontiers in AI 8:1582880（语料误标 Karpus）</t>
        </is>
      </c>
      <c r="D15" s="6" t="inlineStr">
        <is>
          <t>CC BY</t>
        </is>
      </c>
    </row>
    <row r="16">
      <c r="A16" s="5" t="inlineStr">
        <is>
          <t>Gottsacker 2024 书目</t>
        </is>
      </c>
      <c r="B16" s="6" t="inlineStr">
        <is>
          <t>已核对</t>
        </is>
      </c>
      <c r="C16" s="6" t="inlineStr">
        <is>
          <t>Computers &amp; Graphics 123:104035（八位作者）</t>
        </is>
      </c>
      <c r="D16" s="6" t="inlineStr">
        <is>
          <t>doi:10.1016/j.cag.2024.104035</t>
        </is>
      </c>
    </row>
    <row r="17">
      <c r="A17" s="5" t="inlineStr">
        <is>
          <t>Gottsacker 表述边界</t>
        </is>
      </c>
      <c r="B17" s="6" t="inlineStr">
        <is>
          <t>需遵守</t>
        </is>
      </c>
      <c r="C17" s="6" t="inlineStr">
        <is>
          <t>只测试 0°/+1°/+2° 偏移与 0°/≤1°/≤2° 抖动；不得写成任意每度线性下降</t>
        </is>
      </c>
      <c r="D17" s="6" t="inlineStr">
        <is>
          <t>同上</t>
        </is>
      </c>
    </row>
    <row r="18">
      <c r="A18" s="5" t="inlineStr">
        <is>
          <t>方法级施测时点</t>
        </is>
      </c>
      <c r="B18" s="6" t="inlineStr">
        <is>
          <t>设计修正</t>
        </is>
      </c>
      <c r="C18" s="6" t="inlineStr">
        <is>
          <t>全部六区块后按 S1 先 A / S2 先 B 施测，不插入第 5/6 区块之间</t>
        </is>
      </c>
      <c r="D18" s="6" t="inlineStr">
        <is>
          <t>计划书〇节</t>
        </is>
      </c>
    </row>
    <row r="19">
      <c r="A19" s="5" t="inlineStr">
        <is>
          <t>Q2 措辞</t>
        </is>
      </c>
      <c r="B19" s="6" t="inlineStr">
        <is>
          <t>v5.1 锐化</t>
        </is>
      </c>
      <c r="C19" s="6" t="inlineStr">
        <is>
          <t>“始终附着在真实物体上的同一位置”（与 AQ_IQ3 平滑正交）</t>
        </is>
      </c>
      <c r="D19" s="6" t="inlineStr">
        <is>
          <t>计划书 v5.1 增补</t>
        </is>
      </c>
    </row>
    <row r="20">
      <c r="A20" s="5" t="inlineStr">
        <is>
          <t>家族命名</t>
        </is>
      </c>
      <c r="B20" s="6" t="inlineStr">
        <is>
          <t>已更名</t>
        </is>
      </c>
      <c r="C20" s="6" t="inlineStr">
        <is>
          <t>“已验证工具家族”→“已发表量表家族”</t>
        </is>
      </c>
      <c r="D20" s="6" t="inlineStr">
        <is>
          <t>计划书〇节</t>
        </is>
      </c>
    </row>
    <row r="21">
      <c r="A21" s="5" t="inlineStr">
        <is>
          <t>中文施测措辞</t>
        </is>
      </c>
      <c r="B21" s="6" t="inlineStr">
        <is>
          <t>已冻结</t>
        </is>
      </c>
      <c r="C21" s="6" t="inlineStr">
        <is>
          <t>19 条量表条目逐条对照官方原文完成语义等价审计并冻结</t>
        </is>
      </c>
      <c r="D21" s="6" t="inlineStr">
        <is>
          <t>计划书 4.6 核对状态</t>
        </is>
      </c>
    </row>
    <row r="23" ht="20" customHeight="1">
      <c r="A23" s="3" t="inlineStr">
        <is>
          <t>二、本轮 AI 模拟的边界与方法记录</t>
        </is>
      </c>
    </row>
    <row r="24" ht="30" customHeight="1">
      <c r="A24" s="4" t="inlineStr">
        <is>
          <t>项</t>
        </is>
      </c>
      <c r="B24" s="4" t="inlineStr">
        <is>
          <t>状态</t>
        </is>
      </c>
      <c r="C24" s="4" t="inlineStr">
        <is>
          <t>说明</t>
        </is>
      </c>
      <c r="D24" s="4" t="inlineStr">
        <is>
          <t>依据</t>
        </is>
      </c>
    </row>
    <row r="25">
      <c r="A25" s="5" t="inlineStr">
        <is>
          <t>数据性质</t>
        </is>
      </c>
      <c r="B25" s="6" t="inlineStr">
        <is>
          <t>合成</t>
        </is>
      </c>
      <c r="C25" s="6" t="inlineStr">
        <is>
          <t>全部评分由生成模型产出，无真实参与者；不得进入论文结果或与真实数据合并</t>
        </is>
      </c>
      <c r="D25" s="6" t="inlineStr">
        <is>
          <t>AGENTS.md 合成数据边界</t>
        </is>
      </c>
    </row>
    <row r="26">
      <c r="A26" s="5" t="inlineStr">
        <is>
          <t>刺激标定</t>
        </is>
      </c>
      <c r="B26" s="6" t="inlineStr">
        <is>
          <t>实测驱动</t>
        </is>
      </c>
      <c r="C26" s="6" t="inlineStr">
        <is>
          <t>15 个知觉通道的量级全部取自实验一/二正式批次实测值，按 log 压缩折算</t>
        </is>
      </c>
      <c r="D26" s="6" t="inlineStr">
        <is>
          <t>analysis/metrics/experiment1_summary.csv</t>
        </is>
      </c>
    </row>
    <row r="27">
      <c r="A27" s="5" t="inlineStr">
        <is>
          <t>事后校准</t>
        </is>
      </c>
      <c r="B27" s="6" t="inlineStr">
        <is>
          <t>未使用</t>
        </is>
      </c>
      <c r="C27" s="6" t="inlineStr">
        <is>
          <t>不按目标效应量反向校准；效应量是前向模型的结果而非输入</t>
        </is>
      </c>
      <c r="D27" s="6" t="inlineStr">
        <is>
          <t>本轮方法约定</t>
        </is>
      </c>
    </row>
    <row r="28">
      <c r="A28" s="5" t="inlineStr">
        <is>
          <t>公式实时计算</t>
        </is>
      </c>
      <c r="B28" s="6" t="inlineStr">
        <is>
          <t>已启用</t>
        </is>
      </c>
      <c r="C28" s="6" t="inlineStr">
        <is>
          <t>问卷小分（AQ 两子量表、TiA 两分量表、S-TIAS）与派生统计全由公式计算</t>
        </is>
      </c>
      <c r="D28" s="6" t="inlineStr">
        <is>
          <t>用户本轮要求</t>
        </is>
      </c>
    </row>
    <row r="29">
      <c r="A29" s="5" t="inlineStr">
        <is>
          <t>公式正确性</t>
        </is>
      </c>
      <c r="B29" s="6" t="inlineStr">
        <is>
          <t>双路交叉验证</t>
        </is>
      </c>
      <c r="C29" s="6" t="inlineStr">
        <is>
          <t>公式文本→受限求值器→缓存值，对比 Records 原始分→独立 Python 重算，逐格容差 1e-9</t>
        </is>
      </c>
      <c r="D29" s="6" t="inlineStr">
        <is>
          <t>sim_opus5_v3_verify.py</t>
        </is>
      </c>
    </row>
    <row r="30">
      <c r="A30" s="5" t="inlineStr">
        <is>
          <t>参与者独立性</t>
        </is>
      </c>
      <c r="B30" s="6" t="inlineStr">
        <is>
          <t>逐人独立随机流</t>
        </is>
      </c>
      <c r="C30" s="6" t="inlineStr">
        <is>
          <t>每人使用独立种子与独立随机流，单人结果不受他人影响</t>
        </is>
      </c>
      <c r="D30" s="6" t="inlineStr">
        <is>
          <t>用户本轮要求</t>
        </is>
      </c>
    </row>
    <row r="31">
      <c r="A31" s="5" t="inlineStr">
        <is>
          <t>次级 CLMM</t>
        </is>
      </c>
      <c r="B31" s="6" t="inlineStr">
        <is>
          <t>未拟合</t>
        </is>
      </c>
      <c r="C31" s="6" t="inlineStr">
        <is>
          <t>本环境无支持随机效应的累积链接混合模型；不以代理模型冒充，改由逐物体方向一致性承担</t>
        </is>
      </c>
      <c r="D31" s="6" t="inlineStr">
        <is>
          <t>Analysis C 段</t>
        </is>
      </c>
    </row>
  </sheetData>
  <mergeCells count="4">
    <mergeCell ref="A1:D1"/>
    <mergeCell ref="A23:D23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52" customWidth="1" min="4" max="4"/>
    <col width="46" customWidth="1" min="5" max="5"/>
    <col width="14" customWidth="1" min="6" max="6"/>
    <col width="30" customWidth="1" min="7" max="7"/>
    <col width="20" customWidth="1" min="8" max="8"/>
    <col width="20" customWidth="1" min="9" max="9"/>
  </cols>
  <sheetData>
    <row r="1" ht="30" customHeight="1">
      <c r="A1" s="1" t="inlineStr">
        <is>
          <t>实验三问卷全条目（v5.1 Verified）——本表为唯一条目字典</t>
        </is>
      </c>
    </row>
    <row r="2">
      <c r="A2" s="2" t="inlineStr">
        <is>
          <t>中文施测版为头显/纸面呈现文本；官方英文原文为原量表逐字条目（自制条目无）。本表内容与正式采集表一致，仅供模拟工作簿自洽引用。</t>
        </is>
      </c>
    </row>
    <row r="4" ht="20" customHeight="1">
      <c r="A4" s="3" t="inlineStr">
        <is>
          <t>A. 实验前背景（Participants 表填写，每人一次）</t>
        </is>
      </c>
    </row>
    <row r="5" ht="30" customHeight="1">
      <c r="A5" s="4" t="inlineStr">
        <is>
          <t>ID</t>
        </is>
      </c>
      <c r="B5" s="4" t="inlineStr">
        <is>
          <t>中文</t>
        </is>
      </c>
      <c r="C5" s="4" t="inlineStr">
        <is>
          <t>应答格式/选项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5" t="inlineStr">
        <is>
          <t>B1_Age</t>
        </is>
      </c>
      <c r="B6" s="6" t="inlineStr">
        <is>
          <t>年龄</t>
        </is>
      </c>
      <c r="C6" s="6" t="inlineStr">
        <is>
          <t>整数</t>
        </is>
      </c>
    </row>
    <row r="7">
      <c r="A7" s="5" t="inlineStr">
        <is>
          <t>B2_Gender</t>
        </is>
      </c>
      <c r="B7" s="6" t="inlineStr">
        <is>
          <t>性别</t>
        </is>
      </c>
      <c r="C7" s="6" t="inlineStr">
        <is>
          <t>女 / 男 / 非二元或其他 / 不愿透露</t>
        </is>
      </c>
    </row>
    <row r="8">
      <c r="A8" s="5" t="inlineStr">
        <is>
          <t>B3_Handedness</t>
        </is>
      </c>
      <c r="B8" s="6" t="inlineStr">
        <is>
          <t>主手（精细操作）</t>
        </is>
      </c>
      <c r="C8" s="6" t="inlineStr">
        <is>
          <t>右手 / 左手 / 双手均可</t>
        </is>
      </c>
    </row>
    <row r="9">
      <c r="A9" s="5" t="inlineStr">
        <is>
          <t>B4_Vision</t>
        </is>
      </c>
      <c r="B9" s="6" t="inlineStr">
        <is>
          <t>视力情况</t>
        </is>
      </c>
      <c r="C9" s="6" t="inlineStr">
        <is>
          <t>正常 / 矫正后正常 / 其他</t>
        </is>
      </c>
    </row>
    <row r="10">
      <c r="A10" s="5" t="inlineStr">
        <is>
          <t>B5_VRMR_Experience</t>
        </is>
      </c>
      <c r="B10" s="6" t="inlineStr">
        <is>
          <t>VR/MR 使用经验</t>
        </is>
      </c>
      <c r="C10" s="6" t="inlineStr">
        <is>
          <t>从未 / 1–5 次 / 6–20 次 / 超过 20 次 / 经常使用</t>
        </is>
      </c>
    </row>
    <row r="11">
      <c r="A11" s="5" t="inlineStr">
        <is>
          <t>B6_PhysObj_MR_Experience</t>
        </is>
      </c>
      <c r="B11" s="6" t="inlineStr">
        <is>
          <t>实物 AR/MR 交互经验</t>
        </is>
      </c>
      <c r="C11" s="6" t="inlineStr">
        <is>
          <t>从未 / 1–2 次 / 数次 / 经常</t>
        </is>
      </c>
    </row>
    <row r="13" ht="20" customHeight="1">
      <c r="A13" s="3" t="inlineStr">
        <is>
          <t>B. 区块级 13 项必答 + Q10 可选（统一七点同意度；界面标题：请根据刚才在这个物体上的体验作答）</t>
        </is>
      </c>
    </row>
    <row r="14" ht="30" customHeight="1">
      <c r="A14" s="4" t="inlineStr">
        <is>
          <t>页序</t>
        </is>
      </c>
      <c r="B14" s="4" t="inlineStr">
        <is>
          <t>Item_ID</t>
        </is>
      </c>
      <c r="C14" s="4" t="inlineStr">
        <is>
          <t>简称</t>
        </is>
      </c>
      <c r="D14" s="4" t="inlineStr">
        <is>
          <t>中文施测版</t>
        </is>
      </c>
      <c r="E14" s="4" t="inlineStr">
        <is>
          <t>官方英文原文</t>
        </is>
      </c>
      <c r="F14" s="4" t="inlineStr">
        <is>
          <t>分析家族</t>
        </is>
      </c>
      <c r="G14" s="4" t="inlineStr">
        <is>
          <t>来源</t>
        </is>
      </c>
      <c r="H14" s="4" t="inlineStr">
        <is>
          <t>本轮状态</t>
        </is>
      </c>
      <c r="I14" s="4" t="inlineStr">
        <is>
          <t>备注</t>
        </is>
      </c>
    </row>
    <row r="15">
      <c r="A15" s="6" t="inlineStr">
        <is>
          <t>1</t>
        </is>
      </c>
      <c r="B15" s="5" t="inlineStr">
        <is>
          <t>Q1</t>
        </is>
      </c>
      <c r="C15" s="6" t="inlineStr">
        <is>
          <t>静止稳定</t>
        </is>
      </c>
      <c r="D15" s="6" t="inlineStr">
        <is>
          <t>在静止观察阶段，虚拟内容保持在同一位置不动。</t>
        </is>
      </c>
      <c r="E15" s="6" t="inlineStr">
        <is>
          <t>—</t>
        </is>
      </c>
      <c r="F15" s="6" t="inlineStr">
        <is>
          <t>主证实</t>
        </is>
      </c>
      <c r="G15" s="6" t="inlineStr">
        <is>
          <t>自制（v4 冻结）</t>
        </is>
      </c>
      <c r="H15" s="6" t="inlineStr">
        <is>
          <t>启用</t>
        </is>
      </c>
      <c r="I15" s="6" t="inlineStr"/>
    </row>
    <row r="16">
      <c r="A16" s="6" t="inlineStr">
        <is>
          <t>2</t>
        </is>
      </c>
      <c r="B16" s="5" t="inlineStr">
        <is>
          <t>Q2</t>
        </is>
      </c>
      <c r="C16" s="6" t="inlineStr">
        <is>
          <t>运动附着</t>
        </is>
      </c>
      <c r="D16" s="6" t="inlineStr">
        <is>
          <t>在拿起、移动和旋转物体时，虚拟内容始终附着在真实物体上的同一位置。</t>
        </is>
      </c>
      <c r="E16" s="6" t="inlineStr">
        <is>
          <t>—</t>
        </is>
      </c>
      <c r="F16" s="6" t="inlineStr">
        <is>
          <t>主证实</t>
        </is>
      </c>
      <c r="G16" s="6" t="inlineStr">
        <is>
          <t>自制（v5.1 锐化措辞）</t>
        </is>
      </c>
      <c r="H16" s="6" t="inlineStr">
        <is>
          <t>启用</t>
        </is>
      </c>
      <c r="I16" s="6" t="inlineStr"/>
    </row>
    <row r="17">
      <c r="A17" s="6" t="inlineStr">
        <is>
          <t>3</t>
        </is>
      </c>
      <c r="B17" s="5" t="inlineStr">
        <is>
          <t>Q9</t>
        </is>
      </c>
      <c r="C17" s="6" t="inlineStr">
        <is>
          <t>姿态一致</t>
        </is>
      </c>
      <c r="D17" s="6" t="inlineStr">
        <is>
          <t>旋转物体时，虚拟内容的朝向与真实物体的朝向保持一致。</t>
        </is>
      </c>
      <c r="E17" s="6" t="inlineStr">
        <is>
          <t>—</t>
        </is>
      </c>
      <c r="F17" s="6" t="inlineStr">
        <is>
          <t>主证实</t>
        </is>
      </c>
      <c r="G17" s="6" t="inlineStr">
        <is>
          <t>自制（v4 冻结）</t>
        </is>
      </c>
      <c r="H17" s="6" t="inlineStr">
        <is>
          <t>启用</t>
        </is>
      </c>
      <c r="I17" s="6" t="inlineStr"/>
    </row>
    <row r="18">
      <c r="A18" s="6" t="inlineStr">
        <is>
          <t>3'</t>
        </is>
      </c>
      <c r="B18" s="5" t="inlineStr">
        <is>
          <t>Q10_OPT</t>
        </is>
      </c>
      <c r="C18" s="6" t="inlineStr">
        <is>
          <t>放置后稳定（可选）</t>
        </is>
      </c>
      <c r="D18" s="6" t="inlineStr">
        <is>
          <t>把物体放到桌面后，虚拟内容很快就稳定下来。</t>
        </is>
      </c>
      <c r="E18" s="6" t="inlineStr">
        <is>
          <t>—</t>
        </is>
      </c>
      <c r="F18" s="6" t="inlineStr">
        <is>
          <t>次级</t>
        </is>
      </c>
      <c r="G18" s="6" t="inlineStr">
        <is>
          <t>自制（v4 可选，本轮停用）</t>
        </is>
      </c>
      <c r="H18" s="6" t="inlineStr">
        <is>
          <t>停用</t>
        </is>
      </c>
      <c r="I18" s="6" t="inlineStr"/>
    </row>
    <row r="19">
      <c r="A19" s="6" t="inlineStr">
        <is>
          <t>4</t>
        </is>
      </c>
      <c r="B19" s="5" t="inlineStr">
        <is>
          <t>AQ_IQ2</t>
        </is>
      </c>
      <c r="C19" s="6" t="inlineStr">
        <is>
          <t>响应及时</t>
        </is>
      </c>
      <c r="D19" s="6" t="inlineStr">
        <is>
          <t>虚拟内容实时响应我对真实物体的操作。</t>
        </is>
      </c>
      <c r="E19" s="6" t="inlineStr">
        <is>
          <t>The virtual object responds in real-time.</t>
        </is>
      </c>
      <c r="F19" s="6" t="inlineStr">
        <is>
          <t>已发表量表</t>
        </is>
      </c>
      <c r="G19" s="6" t="inlineStr">
        <is>
          <t>AQ Interaction Quality（对象化适配）</t>
        </is>
      </c>
      <c r="H19" s="6" t="inlineStr">
        <is>
          <t>启用</t>
        </is>
      </c>
      <c r="I19" s="6" t="inlineStr"/>
    </row>
    <row r="20">
      <c r="A20" s="6" t="inlineStr">
        <is>
          <t>5</t>
        </is>
      </c>
      <c r="B20" s="5" t="inlineStr">
        <is>
          <t>AQ_IQ3</t>
        </is>
      </c>
      <c r="C20" s="6" t="inlineStr">
        <is>
          <t>运动平滑</t>
        </is>
      </c>
      <c r="D20" s="6" t="inlineStr">
        <is>
          <t>在交互过程中，虚拟内容随真实物体平滑运动。</t>
        </is>
      </c>
      <c r="E20" s="6" t="inlineStr">
        <is>
          <t>The virtual object moves smoothly.</t>
        </is>
      </c>
      <c r="F20" s="6" t="inlineStr">
        <is>
          <t>已发表量表</t>
        </is>
      </c>
      <c r="G20" s="6" t="inlineStr">
        <is>
          <t>AQ Interaction Quality（对象化适配）</t>
        </is>
      </c>
      <c r="H20" s="6" t="inlineStr">
        <is>
          <t>启用</t>
        </is>
      </c>
      <c r="I20" s="6" t="inlineStr"/>
    </row>
    <row r="21">
      <c r="A21" s="6" t="inlineStr">
        <is>
          <t>6</t>
        </is>
      </c>
      <c r="B21" s="5" t="inlineStr">
        <is>
          <t>Q3</t>
        </is>
      </c>
      <c r="C21" s="6" t="inlineStr">
        <is>
          <t>恢复一致</t>
        </is>
      </c>
      <c r="D21" s="6" t="inlineStr">
        <is>
          <t>遮挡移除后，虚拟内容恢复到了与真实物体一致的位置。</t>
        </is>
      </c>
      <c r="E21" s="6" t="inlineStr">
        <is>
          <t>—</t>
        </is>
      </c>
      <c r="F21" s="6" t="inlineStr">
        <is>
          <t>主证实</t>
        </is>
      </c>
      <c r="G21" s="6" t="inlineStr">
        <is>
          <t>自制（v4 冻结）</t>
        </is>
      </c>
      <c r="H21" s="6" t="inlineStr">
        <is>
          <t>启用</t>
        </is>
      </c>
      <c r="I21" s="6" t="inlineStr"/>
    </row>
    <row r="22">
      <c r="A22" s="6" t="inlineStr">
        <is>
          <t>7</t>
        </is>
      </c>
      <c r="B22" s="5" t="inlineStr">
        <is>
          <t>Q8</t>
        </is>
      </c>
      <c r="C22" s="6" t="inlineStr">
        <is>
          <t>位置正确</t>
        </is>
      </c>
      <c r="D22" s="6" t="inlineStr">
        <is>
          <t>虚拟内容出现的位置，与真实物体实际所在的位置相符。</t>
        </is>
      </c>
      <c r="E22" s="6" t="inlineStr">
        <is>
          <t>—</t>
        </is>
      </c>
      <c r="F22" s="6" t="inlineStr">
        <is>
          <t>主证实</t>
        </is>
      </c>
      <c r="G22" s="6" t="inlineStr">
        <is>
          <t>自制（v4 冻结）</t>
        </is>
      </c>
      <c r="H22" s="6" t="inlineStr">
        <is>
          <t>启用</t>
        </is>
      </c>
      <c r="I22" s="6" t="inlineStr"/>
    </row>
    <row r="23">
      <c r="A23" s="6" t="inlineStr">
        <is>
          <t>8</t>
        </is>
      </c>
      <c r="B23" s="5" t="inlineStr">
        <is>
          <t>AQ_EQ1</t>
        </is>
      </c>
      <c r="C23" s="6" t="inlineStr">
        <is>
          <t>融合</t>
        </is>
      </c>
      <c r="D23" s="6" t="inlineStr">
        <is>
          <t>虚拟内容与真实物体及周围真实元素自然融合。</t>
        </is>
      </c>
      <c r="E23" s="6" t="inlineStr">
        <is>
          <t>The virtual object blends in with real elements.</t>
        </is>
      </c>
      <c r="F23" s="6" t="inlineStr">
        <is>
          <t>已发表量表</t>
        </is>
      </c>
      <c r="G23" s="6" t="inlineStr">
        <is>
          <t>AQ Embedding Quality（对象化适配）</t>
        </is>
      </c>
      <c r="H23" s="6" t="inlineStr">
        <is>
          <t>启用</t>
        </is>
      </c>
      <c r="I23" s="6" t="inlineStr"/>
    </row>
    <row r="24">
      <c r="A24" s="6" t="inlineStr">
        <is>
          <t>9</t>
        </is>
      </c>
      <c r="B24" s="5" t="inlineStr">
        <is>
          <t>AQ_EQ2</t>
        </is>
      </c>
      <c r="C24" s="6" t="inlineStr">
        <is>
          <t>嵌入可信</t>
        </is>
      </c>
      <c r="D24" s="6" t="inlineStr">
        <is>
          <t>虚拟内容真实地嵌入在真实物体及其现实环境中。</t>
        </is>
      </c>
      <c r="E24" s="6" t="inlineStr">
        <is>
          <t>The virtual object is realistically embedded in the environment.</t>
        </is>
      </c>
      <c r="F24" s="6" t="inlineStr">
        <is>
          <t>已发表量表</t>
        </is>
      </c>
      <c r="G24" s="6" t="inlineStr">
        <is>
          <t>AQ Embedding Quality（对象化适配）</t>
        </is>
      </c>
      <c r="H24" s="6" t="inlineStr">
        <is>
          <t>启用</t>
        </is>
      </c>
      <c r="I24" s="6" t="inlineStr"/>
    </row>
    <row r="25">
      <c r="A25" s="6" t="inlineStr">
        <is>
          <t>10</t>
        </is>
      </c>
      <c r="B25" s="5" t="inlineStr">
        <is>
          <t>AQ_EQ3</t>
        </is>
      </c>
      <c r="C25" s="6" t="inlineStr">
        <is>
          <t>尺度协调</t>
        </is>
      </c>
      <c r="D25" s="6" t="inlineStr">
        <is>
          <t>虚拟内容的尺度与真实物体及现实世界中的事物相匹配。</t>
        </is>
      </c>
      <c r="E25" s="6" t="inlineStr">
        <is>
          <t>The size of the virtual object is in scale to things in the real world.</t>
        </is>
      </c>
      <c r="F25" s="6" t="inlineStr">
        <is>
          <t>已发表量表</t>
        </is>
      </c>
      <c r="G25" s="6" t="inlineStr">
        <is>
          <t>AQ Embedding Quality（对象化适配）</t>
        </is>
      </c>
      <c r="H25" s="6" t="inlineStr">
        <is>
          <t>启用</t>
        </is>
      </c>
      <c r="I25" s="6" t="inlineStr"/>
    </row>
    <row r="26">
      <c r="A26" s="6" t="inlineStr">
        <is>
          <t>11</t>
        </is>
      </c>
      <c r="B26" s="5" t="inlineStr">
        <is>
          <t>AQ_IQ1</t>
        </is>
      </c>
      <c r="C26" s="6" t="inlineStr">
        <is>
          <t>交互直观</t>
        </is>
      </c>
      <c r="D26" s="6" t="inlineStr">
        <is>
          <t>通过操作真实物体与虚拟内容进行交互是直观的。</t>
        </is>
      </c>
      <c r="E26" s="6" t="inlineStr">
        <is>
          <t>Interaction with the virtual object is intuitive.</t>
        </is>
      </c>
      <c r="F26" s="6" t="inlineStr">
        <is>
          <t>已发表量表</t>
        </is>
      </c>
      <c r="G26" s="6" t="inlineStr">
        <is>
          <t>AQ Interaction Quality（对象化适配）</t>
        </is>
      </c>
      <c r="H26" s="6" t="inlineStr">
        <is>
          <t>启用</t>
        </is>
      </c>
      <c r="I26" s="6" t="inlineStr"/>
    </row>
    <row r="27">
      <c r="A27" s="6" t="inlineStr">
        <is>
          <t>12</t>
        </is>
      </c>
      <c r="B27" s="5" t="inlineStr">
        <is>
          <t>Q6</t>
        </is>
      </c>
      <c r="C27" s="6" t="inlineStr">
        <is>
          <t>依赖意愿</t>
        </is>
      </c>
      <c r="D27" s="6" t="inlineStr">
        <is>
          <t>在需要虚拟内容准确附着于真实物体的混合现实应用中，我愿意依赖这种锚定方法。</t>
        </is>
      </c>
      <c r="E27" s="6" t="inlineStr">
        <is>
          <t>—</t>
        </is>
      </c>
      <c r="F27" s="6" t="inlineStr">
        <is>
          <t>主证实</t>
        </is>
      </c>
      <c r="G27" s="6" t="inlineStr">
        <is>
          <t>自制（v4 冻结）</t>
        </is>
      </c>
      <c r="H27" s="6" t="inlineStr">
        <is>
          <t>启用</t>
        </is>
      </c>
      <c r="I27" s="6" t="inlineStr"/>
    </row>
    <row r="28">
      <c r="A28" s="6" t="inlineStr">
        <is>
          <t>13</t>
        </is>
      </c>
      <c r="B28" s="5" t="inlineStr">
        <is>
          <t>Q7</t>
        </is>
      </c>
      <c r="C28" s="6" t="inlineStr">
        <is>
          <t>稳定-响应平衡</t>
        </is>
      </c>
      <c r="D28" s="6" t="inlineStr">
        <is>
          <t>总体而言，该方法在锚点稳定性与响应及时性之间取得了合适的平衡。</t>
        </is>
      </c>
      <c r="E28" s="6" t="inlineStr">
        <is>
          <t>—</t>
        </is>
      </c>
      <c r="F28" s="6" t="inlineStr">
        <is>
          <t>主证实</t>
        </is>
      </c>
      <c r="G28" s="6" t="inlineStr">
        <is>
          <t>自制（v4 冻结）</t>
        </is>
      </c>
      <c r="H28" s="6" t="inlineStr">
        <is>
          <t>启用</t>
        </is>
      </c>
      <c r="I28" s="6" t="inlineStr"/>
    </row>
    <row r="29">
      <c r="A29" s="5" t="inlineStr">
        <is>
          <t>量尺</t>
        </is>
      </c>
      <c r="B29" s="6" t="inlineStr">
        <is>
          <t>七点同意度：1 完全不同意 … 7 完全同意</t>
        </is>
      </c>
    </row>
    <row r="31" ht="20" customHeight="1">
      <c r="A31" s="3" t="inlineStr">
        <is>
          <t>C. 方法级（全部六区块完成后，按 S1 先 A / S2 先 B 依次评价两方法）</t>
        </is>
      </c>
    </row>
    <row r="32">
      <c r="A32" s="5" t="inlineStr">
        <is>
          <t>C1. adapted TiA 两分量表（10 项）</t>
        </is>
      </c>
      <c r="B32" s="6" t="inlineStr">
        <is>
          <t>五点同意度：1 Strongly disagree … 5 Strongly agree；允许无法回答（记缺失）。反向项计分 = 6 − 原始分（仅分析派生）；呈现按官方相对顺序 1,2,6,7,10,11,13,15,16,19 交错。</t>
        </is>
      </c>
    </row>
    <row r="33" ht="30" customHeight="1">
      <c r="A33" s="4" t="inlineStr">
        <is>
          <t>Item_ID</t>
        </is>
      </c>
      <c r="B33" s="4" t="inlineStr">
        <is>
          <t>分量表</t>
        </is>
      </c>
      <c r="C33" s="4" t="inlineStr">
        <is>
          <t>官方英文原文</t>
        </is>
      </c>
      <c r="D33" s="4" t="inlineStr">
        <is>
          <t>中文施测版（已冻结）</t>
        </is>
      </c>
      <c r="E33" s="4" t="inlineStr">
        <is>
          <t>反向</t>
        </is>
      </c>
      <c r="F33" s="4" t="inlineStr">
        <is>
          <t>官方条目号</t>
        </is>
      </c>
      <c r="G33" s="4" t="inlineStr"/>
      <c r="H33" s="4" t="inlineStr"/>
      <c r="I33" s="4" t="inlineStr"/>
    </row>
    <row r="34">
      <c r="A34" s="5" t="inlineStr">
        <is>
          <t>TIA_RC1</t>
        </is>
      </c>
      <c r="B34" s="6" t="inlineStr">
        <is>
          <t>Reliability/Competence</t>
        </is>
      </c>
      <c r="C34" s="6" t="inlineStr">
        <is>
          <t>The system is capable of interpreting situations correctly.</t>
        </is>
      </c>
      <c r="D34" s="6" t="inlineStr">
        <is>
          <t>这种对象锚定方法能够正确判断当前状况。</t>
        </is>
      </c>
      <c r="E34" s="6" t="inlineStr">
        <is>
          <t>否</t>
        </is>
      </c>
      <c r="F34" s="6" t="inlineStr">
        <is>
          <t>1</t>
        </is>
      </c>
    </row>
    <row r="35">
      <c r="A35" s="5" t="inlineStr">
        <is>
          <t>TIA_RC2</t>
        </is>
      </c>
      <c r="B35" s="6" t="inlineStr">
        <is>
          <t>Reliability/Competence</t>
        </is>
      </c>
      <c r="C35" s="6" t="inlineStr">
        <is>
          <t>The system works reliably.</t>
        </is>
      </c>
      <c r="D35" s="6" t="inlineStr">
        <is>
          <t>这种对象锚定方法运行可靠。</t>
        </is>
      </c>
      <c r="E35" s="6" t="inlineStr">
        <is>
          <t>否</t>
        </is>
      </c>
      <c r="F35" s="6" t="inlineStr">
        <is>
          <t>6</t>
        </is>
      </c>
    </row>
    <row r="36">
      <c r="A36" s="5" t="inlineStr">
        <is>
          <t>TIA_RC3</t>
        </is>
      </c>
      <c r="B36" s="6" t="inlineStr">
        <is>
          <t>Reliability/Competence</t>
        </is>
      </c>
      <c r="C36" s="6" t="inlineStr">
        <is>
          <t>A system malfunction is likely.</t>
        </is>
      </c>
      <c r="D36" s="6" t="inlineStr">
        <is>
          <t>这种对象锚定方法很可能发生故障。</t>
        </is>
      </c>
      <c r="E36" s="6" t="inlineStr">
        <is>
          <t>是</t>
        </is>
      </c>
      <c r="F36" s="6" t="inlineStr">
        <is>
          <t>10</t>
        </is>
      </c>
    </row>
    <row r="37">
      <c r="A37" s="5" t="inlineStr">
        <is>
          <t>TIA_RC4</t>
        </is>
      </c>
      <c r="B37" s="6" t="inlineStr">
        <is>
          <t>Reliability/Competence</t>
        </is>
      </c>
      <c r="C37" s="6" t="inlineStr">
        <is>
          <t>The system is capable of taking over complicated tasks.</t>
        </is>
      </c>
      <c r="D37" s="6" t="inlineStr">
        <is>
          <t>这种对象锚定方法能够承担复杂的锚定任务。</t>
        </is>
      </c>
      <c r="E37" s="6" t="inlineStr">
        <is>
          <t>否</t>
        </is>
      </c>
      <c r="F37" s="6" t="inlineStr">
        <is>
          <t>13</t>
        </is>
      </c>
    </row>
    <row r="38">
      <c r="A38" s="5" t="inlineStr">
        <is>
          <t>TIA_RC5</t>
        </is>
      </c>
      <c r="B38" s="6" t="inlineStr">
        <is>
          <t>Reliability/Competence</t>
        </is>
      </c>
      <c r="C38" s="6" t="inlineStr">
        <is>
          <t>The system might make sporadic errors.</t>
        </is>
      </c>
      <c r="D38" s="6" t="inlineStr">
        <is>
          <t>这种对象锚定方法可能偶尔出错。</t>
        </is>
      </c>
      <c r="E38" s="6" t="inlineStr">
        <is>
          <t>是</t>
        </is>
      </c>
      <c r="F38" s="6" t="inlineStr">
        <is>
          <t>15</t>
        </is>
      </c>
    </row>
    <row r="39">
      <c r="A39" s="5" t="inlineStr">
        <is>
          <t>TIA_RC6</t>
        </is>
      </c>
      <c r="B39" s="6" t="inlineStr">
        <is>
          <t>Reliability/Competence</t>
        </is>
      </c>
      <c r="C39" s="6" t="inlineStr">
        <is>
          <t>I am confident about the system's capabilities.</t>
        </is>
      </c>
      <c r="D39" s="6" t="inlineStr">
        <is>
          <t>我对这种对象锚定方法的能力有信心。</t>
        </is>
      </c>
      <c r="E39" s="6" t="inlineStr">
        <is>
          <t>否</t>
        </is>
      </c>
      <c r="F39" s="6" t="inlineStr">
        <is>
          <t>19</t>
        </is>
      </c>
    </row>
    <row r="40">
      <c r="A40" s="5" t="inlineStr">
        <is>
          <t>TIA_UP1</t>
        </is>
      </c>
      <c r="B40" s="6" t="inlineStr">
        <is>
          <t>Understanding/Predictability</t>
        </is>
      </c>
      <c r="C40" s="6" t="inlineStr">
        <is>
          <t>The system state was always clear to me.</t>
        </is>
      </c>
      <c r="D40" s="6" t="inlineStr">
        <is>
          <t>这种对象锚定方法的状态对我来说始终清楚。</t>
        </is>
      </c>
      <c r="E40" s="6" t="inlineStr">
        <is>
          <t>否</t>
        </is>
      </c>
      <c r="F40" s="6" t="inlineStr">
        <is>
          <t>2</t>
        </is>
      </c>
    </row>
    <row r="41">
      <c r="A41" s="5" t="inlineStr">
        <is>
          <t>TIA_UP2</t>
        </is>
      </c>
      <c r="B41" s="6" t="inlineStr">
        <is>
          <t>Understanding/Predictability</t>
        </is>
      </c>
      <c r="C41" s="6" t="inlineStr">
        <is>
          <t>The system reacts unpredictably.</t>
        </is>
      </c>
      <c r="D41" s="6" t="inlineStr">
        <is>
          <t>这种对象锚定方法的反应难以预测。</t>
        </is>
      </c>
      <c r="E41" s="6" t="inlineStr">
        <is>
          <t>是</t>
        </is>
      </c>
      <c r="F41" s="6" t="inlineStr">
        <is>
          <t>7</t>
        </is>
      </c>
    </row>
    <row r="42">
      <c r="A42" s="5" t="inlineStr">
        <is>
          <t>TIA_UP3</t>
        </is>
      </c>
      <c r="B42" s="6" t="inlineStr">
        <is>
          <t>Understanding/Predictability</t>
        </is>
      </c>
      <c r="C42" s="6" t="inlineStr">
        <is>
          <t>I was able to understand why things happened.</t>
        </is>
      </c>
      <c r="D42" s="6" t="inlineStr">
        <is>
          <t>我能够理解为什么会出现刚才的锚定行为。</t>
        </is>
      </c>
      <c r="E42" s="6" t="inlineStr">
        <is>
          <t>否</t>
        </is>
      </c>
      <c r="F42" s="6" t="inlineStr">
        <is>
          <t>11</t>
        </is>
      </c>
    </row>
    <row r="43">
      <c r="A43" s="5" t="inlineStr">
        <is>
          <t>TIA_UP4</t>
        </is>
      </c>
      <c r="B43" s="6" t="inlineStr">
        <is>
          <t>Understanding/Predictability</t>
        </is>
      </c>
      <c r="C43" s="6" t="inlineStr">
        <is>
          <t>It's difficult to identify what the system will do next.</t>
        </is>
      </c>
      <c r="D43" s="6" t="inlineStr">
        <is>
          <t>我很难判断这种对象锚定方法接下来会怎样表现。</t>
        </is>
      </c>
      <c r="E43" s="6" t="inlineStr">
        <is>
          <t>是</t>
        </is>
      </c>
      <c r="F43" s="6" t="inlineStr">
        <is>
          <t>16</t>
        </is>
      </c>
    </row>
    <row r="44">
      <c r="A44" s="2" t="inlineStr">
        <is>
          <t>—— 尺度切换提示页：TiA（五点同意度）→ S-TIAS（七点程度尺），端点改变须参与者确认 ——</t>
        </is>
      </c>
    </row>
    <row r="45">
      <c r="A45" s="5" t="inlineStr">
        <is>
          <t>C2. adapted S-TIAS（3 项）</t>
        </is>
      </c>
      <c r="B45" s="6" t="inlineStr">
        <is>
          <t>七点程度尺：1 Not at all（完全没有）… 7 Extremely（非常强烈）；三项均值</t>
        </is>
      </c>
    </row>
    <row r="46" ht="30" customHeight="1">
      <c r="A46" s="4" t="inlineStr">
        <is>
          <t>Item_ID</t>
        </is>
      </c>
      <c r="B46" s="4" t="inlineStr">
        <is>
          <t>官方研究英文</t>
        </is>
      </c>
      <c r="C46" s="4" t="inlineStr">
        <is>
          <t>中文施测版</t>
        </is>
      </c>
      <c r="D46" s="4" t="inlineStr"/>
      <c r="E46" s="4" t="inlineStr"/>
      <c r="F46" s="4" t="inlineStr"/>
      <c r="G46" s="4" t="inlineStr"/>
      <c r="H46" s="4" t="inlineStr"/>
      <c r="I46" s="4" t="inlineStr"/>
    </row>
    <row r="47">
      <c r="A47" s="5" t="inlineStr">
        <is>
          <t>STIAS1</t>
        </is>
      </c>
      <c r="B47" s="6" t="inlineStr">
        <is>
          <t>I am confident in the AI assistant.</t>
        </is>
      </c>
      <c r="C47" s="6" t="inlineStr">
        <is>
          <t>我对这种对象锚定方法有信心。</t>
        </is>
      </c>
    </row>
    <row r="48">
      <c r="A48" s="5" t="inlineStr">
        <is>
          <t>STIAS2</t>
        </is>
      </c>
      <c r="B48" s="6" t="inlineStr">
        <is>
          <t>The AI assistant is reliable.</t>
        </is>
      </c>
      <c r="C48" s="6" t="inlineStr">
        <is>
          <t>这种对象锚定方法是可靠的。</t>
        </is>
      </c>
    </row>
    <row r="49">
      <c r="A49" s="5" t="inlineStr">
        <is>
          <t>STIAS3</t>
        </is>
      </c>
      <c r="B49" s="6" t="inlineStr">
        <is>
          <t>I can trust the AI assistant.</t>
        </is>
      </c>
      <c r="C49" s="6" t="inlineStr">
        <is>
          <t>我可以信任这种对象锚定方法。</t>
        </is>
      </c>
    </row>
    <row r="51" ht="20" customHeight="1">
      <c r="A51" s="3" t="inlineStr">
        <is>
          <t>D. 最终问卷（摘下头显后；两项强制选择独立作答）</t>
        </is>
      </c>
    </row>
    <row r="52" ht="30" customHeight="1">
      <c r="A52" s="4" t="inlineStr">
        <is>
          <t>ID</t>
        </is>
      </c>
      <c r="B52" s="4" t="inlineStr">
        <is>
          <t>中文</t>
        </is>
      </c>
      <c r="C52" s="4" t="inlineStr">
        <is>
          <t>应答格式</t>
        </is>
      </c>
      <c r="D52" s="4" t="inlineStr">
        <is>
          <t>备注</t>
        </is>
      </c>
      <c r="E52" s="4" t="inlineStr"/>
      <c r="F52" s="4" t="inlineStr"/>
      <c r="G52" s="4" t="inlineStr"/>
      <c r="H52" s="4" t="inlineStr"/>
      <c r="I52" s="4" t="inlineStr"/>
    </row>
    <row r="53">
      <c r="A53" s="5" t="inlineStr">
        <is>
          <t>FINAL_METHOD_CHOICE</t>
        </is>
      </c>
      <c r="B53" s="6" t="inlineStr">
        <is>
          <t>如果需要在实际混合现实应用中使用一个对象锚定方法，你会选择哪一种？</t>
        </is>
      </c>
      <c r="C53" s="6" t="inlineStr">
        <is>
          <t>方法A / 方法B / 无明显偏好</t>
        </is>
      </c>
      <c r="D53" s="6" t="inlineStr">
        <is>
          <t>强制选择；离场后按映射解码</t>
        </is>
      </c>
    </row>
    <row r="54">
      <c r="A54" s="5" t="inlineStr">
        <is>
          <t>FINAL_PREFERENCE_STRENGTH</t>
        </is>
      </c>
      <c r="B54" s="6" t="inlineStr">
        <is>
          <t>你的选择有多明确？</t>
        </is>
      </c>
      <c r="C54" s="6" t="inlineStr">
        <is>
          <t>1 只有非常轻微的偏好 … 7 非常明确的偏好；选“无明显偏好”者记 NA</t>
        </is>
      </c>
      <c r="D54" s="6" t="inlineStr">
        <is>
          <t>v5.1 新增；描述性</t>
        </is>
      </c>
    </row>
    <row r="55">
      <c r="A55" s="5" t="inlineStr">
        <is>
          <t>FINAL_TRUST_CHOICE</t>
        </is>
      </c>
      <c r="B55" s="6" t="inlineStr">
        <is>
          <t>如果虚拟内容标注的位置会影响你在真实世界中的实际操作，你更信任哪一种方法的标注？</t>
        </is>
      </c>
      <c r="C55" s="6" t="inlineStr">
        <is>
          <t>方法A / 方法B / 无明显偏好</t>
        </is>
      </c>
      <c r="D55" s="6" t="inlineStr">
        <is>
          <t>与偏好选择独立作答；不一致本身是结果</t>
        </is>
      </c>
    </row>
    <row r="56">
      <c r="A56" s="5" t="inlineStr">
        <is>
          <t>FINAL_DISCRIMINATION_CONFIDENCE</t>
        </is>
      </c>
      <c r="B56" s="6" t="inlineStr">
        <is>
          <t>你有多大信心认为自己能够感受到两种方法之间的差异？</t>
        </is>
      </c>
      <c r="C56" s="6" t="inlineStr">
        <is>
          <t>1 完全没有信心 … 7 非常有信心</t>
        </is>
      </c>
      <c r="D56" s="6" t="inlineStr">
        <is>
          <t>v5.1 新增；解释“无明显偏好”成因</t>
        </is>
      </c>
    </row>
    <row r="57">
      <c r="A57" s="5" t="inlineStr">
        <is>
          <t>OPEN_DIFFERENCE</t>
        </is>
      </c>
      <c r="B57" s="6" t="inlineStr">
        <is>
          <t>你认为两种锚定方法之间最明显的区别是什么？</t>
        </is>
      </c>
      <c r="C57" s="6" t="inlineStr">
        <is>
          <t>开放文本</t>
        </is>
      </c>
      <c r="D57" s="6" t="inlineStr">
        <is>
          <t>主题分析</t>
        </is>
      </c>
    </row>
    <row r="58">
      <c r="A58" s="5" t="inlineStr">
        <is>
          <t>OPEN_DISTRUST</t>
        </is>
      </c>
      <c r="B58" s="6" t="inlineStr">
        <is>
          <t>在使用附着于真实物体的虚拟内容时，什么现象最容易使你不再信任这个锚点？</t>
        </is>
      </c>
      <c r="C58" s="6" t="inlineStr">
        <is>
          <t>开放文本</t>
        </is>
      </c>
      <c r="D58" s="6" t="inlineStr">
        <is>
          <t>信息量最高的问题</t>
        </is>
      </c>
    </row>
    <row r="59">
      <c r="A59" s="5" t="inlineStr">
        <is>
          <t>END_DISCOMFORT</t>
        </is>
      </c>
      <c r="B59" s="6" t="inlineStr">
        <is>
          <t>与实验开始前相比，你目前是否感到额外的不适？</t>
        </is>
      </c>
      <c r="C59" s="6" t="inlineStr">
        <is>
          <t>无 / 轻微 / 中等 / 明显 / 因不适中止</t>
        </is>
      </c>
      <c r="D59" s="6" t="inlineStr">
        <is>
          <t>仅安全监测，不作因变量</t>
        </is>
      </c>
    </row>
  </sheetData>
  <mergeCells count="23">
    <mergeCell ref="D57:I57"/>
    <mergeCell ref="C8:I8"/>
    <mergeCell ref="C7:I7"/>
    <mergeCell ref="D53:I53"/>
    <mergeCell ref="A2:I2"/>
    <mergeCell ref="D56:I56"/>
    <mergeCell ref="C6:I6"/>
    <mergeCell ref="D58:I58"/>
    <mergeCell ref="A4:I4"/>
    <mergeCell ref="D55:I55"/>
    <mergeCell ref="B29:I29"/>
    <mergeCell ref="A13:I13"/>
    <mergeCell ref="D54:I54"/>
    <mergeCell ref="A44:I44"/>
    <mergeCell ref="D59:I59"/>
    <mergeCell ref="A31:I31"/>
    <mergeCell ref="C10:I10"/>
    <mergeCell ref="C9:I9"/>
    <mergeCell ref="A51:I51"/>
    <mergeCell ref="A1:I1"/>
    <mergeCell ref="B45:I45"/>
    <mergeCell ref="C11:I11"/>
    <mergeCell ref="B32:I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3" customWidth="1" min="5" max="5"/>
    <col width="13" customWidth="1" min="6" max="6"/>
    <col width="13" customWidth="1" min="7" max="7"/>
    <col width="20" customWidth="1" min="8" max="8"/>
    <col width="15" customWidth="1" min="9" max="9"/>
    <col width="15" customWidth="1" min="10" max="10"/>
    <col width="15" customWidth="1" min="11" max="11"/>
    <col width="8" customWidth="1" min="12" max="12"/>
    <col width="14" customWidth="1" min="13" max="13"/>
    <col width="10" customWidth="1" min="14" max="14"/>
    <col width="13" customWidth="1" min="15" max="15"/>
    <col width="15" customWidth="1" min="16" max="16"/>
    <col width="17" customWidth="1" min="17" max="17"/>
    <col width="11" customWidth="1" min="18" max="18"/>
    <col width="11" customWidth="1" min="19" max="19"/>
    <col width="12" customWidth="1" min="20" max="20"/>
    <col width="12" customWidth="1" min="21" max="21"/>
    <col width="11" customWidth="1" min="22" max="22"/>
    <col width="18" customWidth="1" min="23" max="23"/>
    <col width="44" customWidth="1" min="24" max="24"/>
  </cols>
  <sheetData>
    <row r="1" ht="30" customHeight="1">
      <c r="A1" s="1" t="inlineStr">
        <is>
          <t>参与者信息与 24 平衡单元（合成数据；方法映射两列在真实采集中仅实验员可见）</t>
        </is>
      </c>
    </row>
    <row r="2" ht="30" customHeight="1">
      <c r="A2" s="4" t="inlineStr">
        <is>
          <t>Participant_ID</t>
        </is>
      </c>
      <c r="B2" s="4" t="inlineStr">
        <is>
          <t>平衡单元</t>
        </is>
      </c>
      <c r="C2" s="4" t="inlineStr">
        <is>
          <t>物体排列ID</t>
        </is>
      </c>
      <c r="D2" s="4" t="inlineStr">
        <is>
          <t>标签序列</t>
        </is>
      </c>
      <c r="E2" s="4" t="inlineStr">
        <is>
          <t>物体1</t>
        </is>
      </c>
      <c r="F2" s="4" t="inlineStr">
        <is>
          <t>物体2</t>
        </is>
      </c>
      <c r="G2" s="4" t="inlineStr">
        <is>
          <t>物体3</t>
        </is>
      </c>
      <c r="H2" s="4" t="inlineStr">
        <is>
          <t>区块内标签顺序</t>
        </is>
      </c>
      <c r="I2" s="4" t="inlineStr">
        <is>
          <t>方法A=（保密）</t>
        </is>
      </c>
      <c r="J2" s="4" t="inlineStr">
        <is>
          <t>方法B=（保密）</t>
        </is>
      </c>
      <c r="K2" s="4" t="inlineStr">
        <is>
          <t>先行实际方法</t>
        </is>
      </c>
      <c r="L2" s="4" t="inlineStr">
        <is>
          <t>B1_年龄</t>
        </is>
      </c>
      <c r="M2" s="4" t="inlineStr">
        <is>
          <t>B2_性别</t>
        </is>
      </c>
      <c r="N2" s="4" t="inlineStr">
        <is>
          <t>B3_主手</t>
        </is>
      </c>
      <c r="O2" s="4" t="inlineStr">
        <is>
          <t>B4_视力</t>
        </is>
      </c>
      <c r="P2" s="4" t="inlineStr">
        <is>
          <t>B5_VR/MR经验</t>
        </is>
      </c>
      <c r="Q2" s="4" t="inlineStr">
        <is>
          <t>B6_实物MR经验</t>
        </is>
      </c>
      <c r="R2" s="4" t="inlineStr">
        <is>
          <t>签署同意</t>
        </is>
      </c>
      <c r="S2" s="4" t="inlineStr">
        <is>
          <t>基线不适</t>
        </is>
      </c>
      <c r="T2" s="4" t="inlineStr">
        <is>
          <t>实际时长_min</t>
        </is>
      </c>
      <c r="U2" s="4" t="inlineStr">
        <is>
          <t>纳入分析</t>
        </is>
      </c>
      <c r="V2" s="4" t="inlineStr">
        <is>
          <t>退出/技术问题</t>
        </is>
      </c>
      <c r="W2" s="4" t="inlineStr">
        <is>
          <t>区分信心</t>
        </is>
      </c>
      <c r="X2" s="4" t="inlineStr">
        <is>
          <t>人物设定（仅模拟）</t>
        </is>
      </c>
    </row>
    <row r="3">
      <c r="A3" s="7" t="inlineStr">
        <is>
          <t>P001</t>
        </is>
      </c>
      <c r="B3" s="9" t="inlineStr">
        <is>
          <t>O1-S1-EA</t>
        </is>
      </c>
      <c r="C3" s="9" t="n">
        <v>1</v>
      </c>
      <c r="D3" s="9" t="inlineStr">
        <is>
          <t>S1</t>
        </is>
      </c>
      <c r="E3" s="9" t="inlineStr">
        <is>
          <t>鼠标</t>
        </is>
      </c>
      <c r="F3" s="9" t="inlineStr">
        <is>
          <t>固定订书机</t>
        </is>
      </c>
      <c r="G3" s="9" t="inlineStr">
        <is>
          <t>游戏手柄</t>
        </is>
      </c>
      <c r="H3" s="9" t="inlineStr">
        <is>
          <t>A-B / B-A / A-B</t>
        </is>
      </c>
      <c r="I3" s="9" t="inlineStr">
        <is>
          <t>EgoAnchor</t>
        </is>
      </c>
      <c r="J3" s="9" t="inlineStr">
        <is>
          <t>One-Euro</t>
        </is>
      </c>
      <c r="K3" s="9" t="inlineStr">
        <is>
          <t>EgoAnchor</t>
        </is>
      </c>
      <c r="L3" s="9" t="n">
        <v>30</v>
      </c>
      <c r="M3" s="9" t="inlineStr">
        <is>
          <t>男</t>
        </is>
      </c>
      <c r="N3" s="9" t="inlineStr">
        <is>
          <t>右手</t>
        </is>
      </c>
      <c r="O3" s="9" t="inlineStr">
        <is>
          <t>矫正后正常</t>
        </is>
      </c>
      <c r="P3" s="9" t="inlineStr">
        <is>
          <t>1–5 次</t>
        </is>
      </c>
      <c r="Q3" s="9" t="inlineStr">
        <is>
          <t>从未</t>
        </is>
      </c>
      <c r="R3" s="9" t="inlineStr">
        <is>
          <t>是</t>
        </is>
      </c>
      <c r="S3" s="9" t="inlineStr">
        <is>
          <t>轻微</t>
        </is>
      </c>
      <c r="T3" s="9" t="n">
        <v>62.3</v>
      </c>
      <c r="U3" s="9" t="inlineStr">
        <is>
          <t>是</t>
        </is>
      </c>
      <c r="V3" s="9" t="inlineStr">
        <is>
          <t>无</t>
        </is>
      </c>
      <c r="W3" s="9" t="n">
        <v>7</v>
      </c>
      <c r="X3" s="9" t="inlineStr">
        <is>
          <t>软件工程师·易疲劳｜平时不戴头显，到第四个区块后明显疲劳，后段作答变快、刻度收窄，出现连续同分。</t>
        </is>
      </c>
    </row>
    <row r="4">
      <c r="A4" s="7" t="inlineStr">
        <is>
          <t>P002</t>
        </is>
      </c>
      <c r="B4" s="9" t="inlineStr">
        <is>
          <t>O1-S2-EA</t>
        </is>
      </c>
      <c r="C4" s="9" t="n">
        <v>1</v>
      </c>
      <c r="D4" s="9" t="inlineStr">
        <is>
          <t>S2</t>
        </is>
      </c>
      <c r="E4" s="9" t="inlineStr">
        <is>
          <t>鼠标</t>
        </is>
      </c>
      <c r="F4" s="9" t="inlineStr">
        <is>
          <t>固定订书机</t>
        </is>
      </c>
      <c r="G4" s="9" t="inlineStr">
        <is>
          <t>游戏手柄</t>
        </is>
      </c>
      <c r="H4" s="9" t="inlineStr">
        <is>
          <t>B-A / A-B / B-A</t>
        </is>
      </c>
      <c r="I4" s="9" t="inlineStr">
        <is>
          <t>EgoAnchor</t>
        </is>
      </c>
      <c r="J4" s="9" t="inlineStr">
        <is>
          <t>One-Euro</t>
        </is>
      </c>
      <c r="K4" s="9" t="inlineStr">
        <is>
          <t>One-Euro</t>
        </is>
      </c>
      <c r="L4" s="9" t="n">
        <v>29</v>
      </c>
      <c r="M4" s="9" t="inlineStr">
        <is>
          <t>男</t>
        </is>
      </c>
      <c r="N4" s="9" t="inlineStr">
        <is>
          <t>右手</t>
        </is>
      </c>
      <c r="O4" s="9" t="inlineStr">
        <is>
          <t>正常</t>
        </is>
      </c>
      <c r="P4" s="9" t="inlineStr">
        <is>
          <t>经常使用</t>
        </is>
      </c>
      <c r="Q4" s="9" t="inlineStr">
        <is>
          <t>数次</t>
        </is>
      </c>
      <c r="R4" s="9" t="inlineStr">
        <is>
          <t>是</t>
        </is>
      </c>
      <c r="S4" s="9" t="inlineStr">
        <is>
          <t>无</t>
        </is>
      </c>
      <c r="T4" s="9" t="n">
        <v>57.1</v>
      </c>
      <c r="U4" s="9" t="inlineStr">
        <is>
          <t>是</t>
        </is>
      </c>
      <c r="V4" s="9" t="inlineStr">
        <is>
          <t>无</t>
        </is>
      </c>
      <c r="W4" s="9" t="n">
        <v>6</v>
      </c>
      <c r="X4" s="9" t="inlineStr">
        <is>
          <t>电子工程博士·反向权衡者｜明确认为交互系统里延迟比抖动更致命；即使看到稳定性差异，也可能在权衡题和最终选择上偏向响应更快的一方。</t>
        </is>
      </c>
    </row>
    <row r="5">
      <c r="A5" s="7" t="inlineStr">
        <is>
          <t>P003</t>
        </is>
      </c>
      <c r="B5" s="9" t="inlineStr">
        <is>
          <t>O1-S2-OE</t>
        </is>
      </c>
      <c r="C5" s="9" t="n">
        <v>1</v>
      </c>
      <c r="D5" s="9" t="inlineStr">
        <is>
          <t>S2</t>
        </is>
      </c>
      <c r="E5" s="9" t="inlineStr">
        <is>
          <t>鼠标</t>
        </is>
      </c>
      <c r="F5" s="9" t="inlineStr">
        <is>
          <t>固定订书机</t>
        </is>
      </c>
      <c r="G5" s="9" t="inlineStr">
        <is>
          <t>游戏手柄</t>
        </is>
      </c>
      <c r="H5" s="9" t="inlineStr">
        <is>
          <t>B-A / A-B / B-A</t>
        </is>
      </c>
      <c r="I5" s="9" t="inlineStr">
        <is>
          <t>One-Euro</t>
        </is>
      </c>
      <c r="J5" s="9" t="inlineStr">
        <is>
          <t>EgoAnchor</t>
        </is>
      </c>
      <c r="K5" s="9" t="inlineStr">
        <is>
          <t>EgoAnchor</t>
        </is>
      </c>
      <c r="L5" s="9" t="n">
        <v>20</v>
      </c>
      <c r="M5" s="9" t="inlineStr">
        <is>
          <t>男</t>
        </is>
      </c>
      <c r="N5" s="9" t="inlineStr">
        <is>
          <t>右手</t>
        </is>
      </c>
      <c r="O5" s="9" t="inlineStr">
        <is>
          <t>正常</t>
        </is>
      </c>
      <c r="P5" s="9" t="inlineStr">
        <is>
          <t>1–5 次</t>
        </is>
      </c>
      <c r="Q5" s="9" t="inlineStr">
        <is>
          <t>从未</t>
        </is>
      </c>
      <c r="R5" s="9" t="inlineStr">
        <is>
          <t>是</t>
        </is>
      </c>
      <c r="S5" s="9" t="inlineStr">
        <is>
          <t>无</t>
        </is>
      </c>
      <c r="T5" s="9" t="n">
        <v>55.4</v>
      </c>
      <c r="U5" s="9" t="inlineStr">
        <is>
          <t>是</t>
        </is>
      </c>
      <c r="V5" s="9" t="inlineStr">
        <is>
          <t>无</t>
        </is>
      </c>
      <c r="W5" s="9" t="n">
        <v>6</v>
      </c>
      <c r="X5" s="9" t="inlineStr">
        <is>
          <t>物理系本科·量化思维｜会自己估计毫米量级并在心里换算，静止阶段刻意做大幅头动来放大差异。</t>
        </is>
      </c>
    </row>
    <row r="6">
      <c r="A6" s="7" t="inlineStr">
        <is>
          <t>P004</t>
        </is>
      </c>
      <c r="B6" s="9" t="inlineStr">
        <is>
          <t>O1-S1-OE</t>
        </is>
      </c>
      <c r="C6" s="9" t="n">
        <v>1</v>
      </c>
      <c r="D6" s="9" t="inlineStr">
        <is>
          <t>S1</t>
        </is>
      </c>
      <c r="E6" s="9" t="inlineStr">
        <is>
          <t>鼠标</t>
        </is>
      </c>
      <c r="F6" s="9" t="inlineStr">
        <is>
          <t>固定订书机</t>
        </is>
      </c>
      <c r="G6" s="9" t="inlineStr">
        <is>
          <t>游戏手柄</t>
        </is>
      </c>
      <c r="H6" s="9" t="inlineStr">
        <is>
          <t>A-B / B-A / A-B</t>
        </is>
      </c>
      <c r="I6" s="9" t="inlineStr">
        <is>
          <t>One-Euro</t>
        </is>
      </c>
      <c r="J6" s="9" t="inlineStr">
        <is>
          <t>EgoAnchor</t>
        </is>
      </c>
      <c r="K6" s="9" t="inlineStr">
        <is>
          <t>One-Euro</t>
        </is>
      </c>
      <c r="L6" s="9" t="n">
        <v>25</v>
      </c>
      <c r="M6" s="9" t="inlineStr">
        <is>
          <t>非二元或其他</t>
        </is>
      </c>
      <c r="N6" s="9" t="inlineStr">
        <is>
          <t>右手</t>
        </is>
      </c>
      <c r="O6" s="9" t="inlineStr">
        <is>
          <t>正常</t>
        </is>
      </c>
      <c r="P6" s="9" t="inlineStr">
        <is>
          <t>6–20 次</t>
        </is>
      </c>
      <c r="Q6" s="9" t="inlineStr">
        <is>
          <t>1–2 次</t>
        </is>
      </c>
      <c r="R6" s="9" t="inlineStr">
        <is>
          <t>是</t>
        </is>
      </c>
      <c r="S6" s="9" t="inlineStr">
        <is>
          <t>无</t>
        </is>
      </c>
      <c r="T6" s="9" t="n">
        <v>58.1</v>
      </c>
      <c r="U6" s="9" t="inlineStr">
        <is>
          <t>是</t>
        </is>
      </c>
      <c r="V6" s="9" t="inlineStr">
        <is>
          <t>无</t>
        </is>
      </c>
      <c r="W6" s="9" t="n">
        <v>7</v>
      </c>
      <c r="X6" s="9" t="inlineStr">
        <is>
          <t>研究生助教·需求特征敏感｜做过实验助教，最容易推测研究假设并顺着假设作答；是本组需求特征风险的上界样本。</t>
        </is>
      </c>
    </row>
    <row r="7">
      <c r="A7" s="7" t="inlineStr">
        <is>
          <t>P005</t>
        </is>
      </c>
      <c r="B7" s="9" t="inlineStr">
        <is>
          <t>O2-S1-EA</t>
        </is>
      </c>
      <c r="C7" s="9" t="n">
        <v>2</v>
      </c>
      <c r="D7" s="9" t="inlineStr">
        <is>
          <t>S1</t>
        </is>
      </c>
      <c r="E7" s="9" t="inlineStr">
        <is>
          <t>鼠标</t>
        </is>
      </c>
      <c r="F7" s="9" t="inlineStr">
        <is>
          <t>游戏手柄</t>
        </is>
      </c>
      <c r="G7" s="9" t="inlineStr">
        <is>
          <t>固定订书机</t>
        </is>
      </c>
      <c r="H7" s="9" t="inlineStr">
        <is>
          <t>A-B / B-A / A-B</t>
        </is>
      </c>
      <c r="I7" s="9" t="inlineStr">
        <is>
          <t>EgoAnchor</t>
        </is>
      </c>
      <c r="J7" s="9" t="inlineStr">
        <is>
          <t>One-Euro</t>
        </is>
      </c>
      <c r="K7" s="9" t="inlineStr">
        <is>
          <t>EgoAnchor</t>
        </is>
      </c>
      <c r="L7" s="9" t="n">
        <v>24</v>
      </c>
      <c r="M7" s="9" t="inlineStr">
        <is>
          <t>男</t>
        </is>
      </c>
      <c r="N7" s="9" t="inlineStr">
        <is>
          <t>右手</t>
        </is>
      </c>
      <c r="O7" s="9" t="inlineStr">
        <is>
          <t>正常</t>
        </is>
      </c>
      <c r="P7" s="9" t="inlineStr">
        <is>
          <t>6–20 次</t>
        </is>
      </c>
      <c r="Q7" s="9" t="inlineStr">
        <is>
          <t>1–2 次</t>
        </is>
      </c>
      <c r="R7" s="9" t="inlineStr">
        <is>
          <t>是</t>
        </is>
      </c>
      <c r="S7" s="9" t="inlineStr">
        <is>
          <t>无</t>
        </is>
      </c>
      <c r="T7" s="9" t="n">
        <v>54.8</v>
      </c>
      <c r="U7" s="9" t="inlineStr">
        <is>
          <t>是</t>
        </is>
      </c>
      <c r="V7" s="9" t="inlineStr">
        <is>
          <t>无</t>
        </is>
      </c>
      <c r="W7" s="9" t="n">
        <v>7</v>
      </c>
      <c r="X7" s="9" t="inlineStr">
        <is>
          <t>机械工程硕士·分析型｜习惯把现象拆成量级来判断，静止阶段会刻意左右移动头部反复确认，措辞克制。</t>
        </is>
      </c>
    </row>
    <row r="8">
      <c r="A8" s="7" t="inlineStr">
        <is>
          <t>P006</t>
        </is>
      </c>
      <c r="B8" s="9" t="inlineStr">
        <is>
          <t>O2-S2-EA</t>
        </is>
      </c>
      <c r="C8" s="9" t="n">
        <v>2</v>
      </c>
      <c r="D8" s="9" t="inlineStr">
        <is>
          <t>S2</t>
        </is>
      </c>
      <c r="E8" s="9" t="inlineStr">
        <is>
          <t>鼠标</t>
        </is>
      </c>
      <c r="F8" s="9" t="inlineStr">
        <is>
          <t>游戏手柄</t>
        </is>
      </c>
      <c r="G8" s="9" t="inlineStr">
        <is>
          <t>固定订书机</t>
        </is>
      </c>
      <c r="H8" s="9" t="inlineStr">
        <is>
          <t>B-A / A-B / B-A</t>
        </is>
      </c>
      <c r="I8" s="9" t="inlineStr">
        <is>
          <t>EgoAnchor</t>
        </is>
      </c>
      <c r="J8" s="9" t="inlineStr">
        <is>
          <t>One-Euro</t>
        </is>
      </c>
      <c r="K8" s="9" t="inlineStr">
        <is>
          <t>One-Euro</t>
        </is>
      </c>
      <c r="L8" s="9" t="n">
        <v>28</v>
      </c>
      <c r="M8" s="9" t="inlineStr">
        <is>
          <t>男</t>
        </is>
      </c>
      <c r="N8" s="9" t="inlineStr">
        <is>
          <t>右手</t>
        </is>
      </c>
      <c r="O8" s="9" t="inlineStr">
        <is>
          <t>矫正后正常</t>
        </is>
      </c>
      <c r="P8" s="9" t="inlineStr">
        <is>
          <t>1–5 次</t>
        </is>
      </c>
      <c r="Q8" s="9" t="inlineStr">
        <is>
          <t>从未</t>
        </is>
      </c>
      <c r="R8" s="9" t="inlineStr">
        <is>
          <t>是</t>
        </is>
      </c>
      <c r="S8" s="9" t="inlineStr">
        <is>
          <t>无</t>
        </is>
      </c>
      <c r="T8" s="9" t="n">
        <v>55.2</v>
      </c>
      <c r="U8" s="9" t="inlineStr">
        <is>
          <t>是</t>
        </is>
      </c>
      <c r="V8" s="9" t="inlineStr">
        <is>
          <t>无</t>
        </is>
      </c>
      <c r="W8" s="9" t="n">
        <v>5</v>
      </c>
      <c r="X8" s="9" t="inlineStr">
        <is>
          <t>材料学博士·低敏感高标准｜知觉敏感度偏低但打分标准很严：两个方法他都不太满意，整体分最低、差异幅度中等。</t>
        </is>
      </c>
    </row>
    <row r="9">
      <c r="A9" s="7" t="inlineStr">
        <is>
          <t>P007</t>
        </is>
      </c>
      <c r="B9" s="9" t="inlineStr">
        <is>
          <t>O2-S2-OE</t>
        </is>
      </c>
      <c r="C9" s="9" t="n">
        <v>2</v>
      </c>
      <c r="D9" s="9" t="inlineStr">
        <is>
          <t>S2</t>
        </is>
      </c>
      <c r="E9" s="9" t="inlineStr">
        <is>
          <t>鼠标</t>
        </is>
      </c>
      <c r="F9" s="9" t="inlineStr">
        <is>
          <t>游戏手柄</t>
        </is>
      </c>
      <c r="G9" s="9" t="inlineStr">
        <is>
          <t>固定订书机</t>
        </is>
      </c>
      <c r="H9" s="9" t="inlineStr">
        <is>
          <t>B-A / A-B / B-A</t>
        </is>
      </c>
      <c r="I9" s="9" t="inlineStr">
        <is>
          <t>One-Euro</t>
        </is>
      </c>
      <c r="J9" s="9" t="inlineStr">
        <is>
          <t>EgoAnchor</t>
        </is>
      </c>
      <c r="K9" s="9" t="inlineStr">
        <is>
          <t>EgoAnchor</t>
        </is>
      </c>
      <c r="L9" s="9" t="n">
        <v>19</v>
      </c>
      <c r="M9" s="9" t="inlineStr">
        <is>
          <t>女</t>
        </is>
      </c>
      <c r="N9" s="9" t="inlineStr">
        <is>
          <t>右手</t>
        </is>
      </c>
      <c r="O9" s="9" t="inlineStr">
        <is>
          <t>正常</t>
        </is>
      </c>
      <c r="P9" s="9" t="inlineStr">
        <is>
          <t>从未</t>
        </is>
      </c>
      <c r="Q9" s="9" t="inlineStr">
        <is>
          <t>从未</t>
        </is>
      </c>
      <c r="R9" s="9" t="inlineStr">
        <is>
          <t>是</t>
        </is>
      </c>
      <c r="S9" s="9" t="inlineStr">
        <is>
          <t>无</t>
        </is>
      </c>
      <c r="T9" s="9" t="n">
        <v>60</v>
      </c>
      <c r="U9" s="9" t="inlineStr">
        <is>
          <t>是</t>
        </is>
      </c>
      <c r="V9" s="9" t="inlineStr">
        <is>
          <t>无</t>
        </is>
      </c>
      <c r="W9" s="9" t="n">
        <v>5</v>
      </c>
      <c r="X9" s="9" t="inlineStr">
        <is>
          <t>大一新生·首次VR｜第一次戴头显，整体新奇感强，缺少参照系，倾向给偏高的分；只有明显跳变才会注意到。</t>
        </is>
      </c>
    </row>
    <row r="10">
      <c r="A10" s="7" t="inlineStr">
        <is>
          <t>P008</t>
        </is>
      </c>
      <c r="B10" s="9" t="inlineStr">
        <is>
          <t>O2-S1-OE</t>
        </is>
      </c>
      <c r="C10" s="9" t="n">
        <v>2</v>
      </c>
      <c r="D10" s="9" t="inlineStr">
        <is>
          <t>S1</t>
        </is>
      </c>
      <c r="E10" s="9" t="inlineStr">
        <is>
          <t>鼠标</t>
        </is>
      </c>
      <c r="F10" s="9" t="inlineStr">
        <is>
          <t>游戏手柄</t>
        </is>
      </c>
      <c r="G10" s="9" t="inlineStr">
        <is>
          <t>固定订书机</t>
        </is>
      </c>
      <c r="H10" s="9" t="inlineStr">
        <is>
          <t>A-B / B-A / A-B</t>
        </is>
      </c>
      <c r="I10" s="9" t="inlineStr">
        <is>
          <t>One-Euro</t>
        </is>
      </c>
      <c r="J10" s="9" t="inlineStr">
        <is>
          <t>EgoAnchor</t>
        </is>
      </c>
      <c r="K10" s="9" t="inlineStr">
        <is>
          <t>One-Euro</t>
        </is>
      </c>
      <c r="L10" s="9" t="n">
        <v>25</v>
      </c>
      <c r="M10" s="9" t="inlineStr">
        <is>
          <t>女</t>
        </is>
      </c>
      <c r="N10" s="9" t="inlineStr">
        <is>
          <t>右手</t>
        </is>
      </c>
      <c r="O10" s="9" t="inlineStr">
        <is>
          <t>正常</t>
        </is>
      </c>
      <c r="P10" s="9" t="inlineStr">
        <is>
          <t>6–20 次</t>
        </is>
      </c>
      <c r="Q10" s="9" t="inlineStr">
        <is>
          <t>1–2 次</t>
        </is>
      </c>
      <c r="R10" s="9" t="inlineStr">
        <is>
          <t>是</t>
        </is>
      </c>
      <c r="S10" s="9" t="inlineStr">
        <is>
          <t>无</t>
        </is>
      </c>
      <c r="T10" s="9" t="n">
        <v>55.1</v>
      </c>
      <c r="U10" s="9" t="inlineStr">
        <is>
          <t>是</t>
        </is>
      </c>
      <c r="V10" s="9" t="inlineStr">
        <is>
          <t>无</t>
        </is>
      </c>
      <c r="W10" s="9" t="n">
        <v>2</v>
      </c>
      <c r="X10" s="9" t="inlineStr">
        <is>
          <t>建筑学硕士·空间判断强｜受过空间训练，会用桌面网格和物体边缘做参照判断绝对位置与朝向，对偏移比对抖动更敏感。</t>
        </is>
      </c>
    </row>
    <row r="11">
      <c r="A11" s="7" t="inlineStr">
        <is>
          <t>P009</t>
        </is>
      </c>
      <c r="B11" s="9" t="inlineStr">
        <is>
          <t>O3-S1-EA</t>
        </is>
      </c>
      <c r="C11" s="9" t="n">
        <v>3</v>
      </c>
      <c r="D11" s="9" t="inlineStr">
        <is>
          <t>S1</t>
        </is>
      </c>
      <c r="E11" s="9" t="inlineStr">
        <is>
          <t>固定订书机</t>
        </is>
      </c>
      <c r="F11" s="9" t="inlineStr">
        <is>
          <t>鼠标</t>
        </is>
      </c>
      <c r="G11" s="9" t="inlineStr">
        <is>
          <t>游戏手柄</t>
        </is>
      </c>
      <c r="H11" s="9" t="inlineStr">
        <is>
          <t>A-B / B-A / A-B</t>
        </is>
      </c>
      <c r="I11" s="9" t="inlineStr">
        <is>
          <t>EgoAnchor</t>
        </is>
      </c>
      <c r="J11" s="9" t="inlineStr">
        <is>
          <t>One-Euro</t>
        </is>
      </c>
      <c r="K11" s="9" t="inlineStr">
        <is>
          <t>EgoAnchor</t>
        </is>
      </c>
      <c r="L11" s="9" t="n">
        <v>21</v>
      </c>
      <c r="M11" s="9" t="inlineStr">
        <is>
          <t>男</t>
        </is>
      </c>
      <c r="N11" s="9" t="inlineStr">
        <is>
          <t>右手</t>
        </is>
      </c>
      <c r="O11" s="9" t="inlineStr">
        <is>
          <t>正常</t>
        </is>
      </c>
      <c r="P11" s="9" t="inlineStr">
        <is>
          <t>超过 20 次</t>
        </is>
      </c>
      <c r="Q11" s="9" t="inlineStr">
        <is>
          <t>经常</t>
        </is>
      </c>
      <c r="R11" s="9" t="inlineStr">
        <is>
          <t>是</t>
        </is>
      </c>
      <c r="S11" s="9" t="inlineStr">
        <is>
          <t>无</t>
        </is>
      </c>
      <c r="T11" s="9" t="n">
        <v>51.7</v>
      </c>
      <c r="U11" s="9" t="inlineStr">
        <is>
          <t>是</t>
        </is>
      </c>
      <c r="V11" s="9" t="inlineStr">
        <is>
          <t>无</t>
        </is>
      </c>
      <c r="W11" s="9" t="n">
        <v>6</v>
      </c>
      <c r="X11" s="9" t="inlineStr">
        <is>
          <t>机器人竞赛学生·技术乐观｜做过视觉跟踪项目，能说出机制名词，对系统整体持乐观态度，给分偏高但区分清楚。</t>
        </is>
      </c>
    </row>
    <row r="12">
      <c r="A12" s="7" t="inlineStr">
        <is>
          <t>P010</t>
        </is>
      </c>
      <c r="B12" s="9" t="inlineStr">
        <is>
          <t>O3-S2-EA</t>
        </is>
      </c>
      <c r="C12" s="9" t="n">
        <v>3</v>
      </c>
      <c r="D12" s="9" t="inlineStr">
        <is>
          <t>S2</t>
        </is>
      </c>
      <c r="E12" s="9" t="inlineStr">
        <is>
          <t>固定订书机</t>
        </is>
      </c>
      <c r="F12" s="9" t="inlineStr">
        <is>
          <t>鼠标</t>
        </is>
      </c>
      <c r="G12" s="9" t="inlineStr">
        <is>
          <t>游戏手柄</t>
        </is>
      </c>
      <c r="H12" s="9" t="inlineStr">
        <is>
          <t>B-A / A-B / B-A</t>
        </is>
      </c>
      <c r="I12" s="9" t="inlineStr">
        <is>
          <t>EgoAnchor</t>
        </is>
      </c>
      <c r="J12" s="9" t="inlineStr">
        <is>
          <t>One-Euro</t>
        </is>
      </c>
      <c r="K12" s="9" t="inlineStr">
        <is>
          <t>One-Euro</t>
        </is>
      </c>
      <c r="L12" s="9" t="n">
        <v>45</v>
      </c>
      <c r="M12" s="9" t="inlineStr">
        <is>
          <t>女</t>
        </is>
      </c>
      <c r="N12" s="9" t="inlineStr">
        <is>
          <t>右手</t>
        </is>
      </c>
      <c r="O12" s="9" t="inlineStr">
        <is>
          <t>矫正后正常</t>
        </is>
      </c>
      <c r="P12" s="9" t="inlineStr">
        <is>
          <t>从未</t>
        </is>
      </c>
      <c r="Q12" s="9" t="inlineStr">
        <is>
          <t>从未</t>
        </is>
      </c>
      <c r="R12" s="9" t="inlineStr">
        <is>
          <t>是</t>
        </is>
      </c>
      <c r="S12" s="9" t="inlineStr">
        <is>
          <t>无</t>
        </is>
      </c>
      <c r="T12" s="9" t="n">
        <v>63.7</v>
      </c>
      <c r="U12" s="9" t="inlineStr">
        <is>
          <t>是</t>
        </is>
      </c>
      <c r="V12" s="9" t="inlineStr">
        <is>
          <t>无</t>
        </is>
      </c>
      <c r="W12" s="9" t="n">
        <v>6</v>
      </c>
      <c r="X12" s="9" t="inlineStr">
        <is>
          <t>图书馆员·耐心细致｜最慢最认真的参与者，逐题反复确认，问卷时长最长；对遮挡恢复的正确性印象最深。</t>
        </is>
      </c>
    </row>
    <row r="13">
      <c r="A13" s="7" t="inlineStr">
        <is>
          <t>P011</t>
        </is>
      </c>
      <c r="B13" s="9" t="inlineStr">
        <is>
          <t>O3-S2-OE</t>
        </is>
      </c>
      <c r="C13" s="9" t="n">
        <v>3</v>
      </c>
      <c r="D13" s="9" t="inlineStr">
        <is>
          <t>S2</t>
        </is>
      </c>
      <c r="E13" s="9" t="inlineStr">
        <is>
          <t>固定订书机</t>
        </is>
      </c>
      <c r="F13" s="9" t="inlineStr">
        <is>
          <t>鼠标</t>
        </is>
      </c>
      <c r="G13" s="9" t="inlineStr">
        <is>
          <t>游戏手柄</t>
        </is>
      </c>
      <c r="H13" s="9" t="inlineStr">
        <is>
          <t>B-A / A-B / B-A</t>
        </is>
      </c>
      <c r="I13" s="9" t="inlineStr">
        <is>
          <t>One-Euro</t>
        </is>
      </c>
      <c r="J13" s="9" t="inlineStr">
        <is>
          <t>EgoAnchor</t>
        </is>
      </c>
      <c r="K13" s="9" t="inlineStr">
        <is>
          <t>EgoAnchor</t>
        </is>
      </c>
      <c r="L13" s="9" t="n">
        <v>24</v>
      </c>
      <c r="M13" s="9" t="inlineStr">
        <is>
          <t>女</t>
        </is>
      </c>
      <c r="N13" s="9" t="inlineStr">
        <is>
          <t>右手</t>
        </is>
      </c>
      <c r="O13" s="9" t="inlineStr">
        <is>
          <t>正常</t>
        </is>
      </c>
      <c r="P13" s="9" t="inlineStr">
        <is>
          <t>从未</t>
        </is>
      </c>
      <c r="Q13" s="9" t="inlineStr">
        <is>
          <t>1–2 次</t>
        </is>
      </c>
      <c r="R13" s="9" t="inlineStr">
        <is>
          <t>是</t>
        </is>
      </c>
      <c r="S13" s="9" t="inlineStr">
        <is>
          <t>无</t>
        </is>
      </c>
      <c r="T13" s="9" t="n">
        <v>60.5</v>
      </c>
      <c r="U13" s="9" t="inlineStr">
        <is>
          <t>是</t>
        </is>
      </c>
      <c r="V13" s="9" t="inlineStr">
        <is>
          <t>无</t>
        </is>
      </c>
      <c r="W13" s="9" t="n">
        <v>2</v>
      </c>
      <c r="X13" s="9" t="inlineStr">
        <is>
          <t>护理专业·配合度高｜严格按指令完成动作，作答偏正面；对遮挡恢复后的正确性比较在意。</t>
        </is>
      </c>
    </row>
    <row r="14">
      <c r="A14" s="7" t="inlineStr">
        <is>
          <t>P012</t>
        </is>
      </c>
      <c r="B14" s="9" t="inlineStr">
        <is>
          <t>O3-S1-OE</t>
        </is>
      </c>
      <c r="C14" s="9" t="n">
        <v>3</v>
      </c>
      <c r="D14" s="9" t="inlineStr">
        <is>
          <t>S1</t>
        </is>
      </c>
      <c r="E14" s="9" t="inlineStr">
        <is>
          <t>固定订书机</t>
        </is>
      </c>
      <c r="F14" s="9" t="inlineStr">
        <is>
          <t>鼠标</t>
        </is>
      </c>
      <c r="G14" s="9" t="inlineStr">
        <is>
          <t>游戏手柄</t>
        </is>
      </c>
      <c r="H14" s="9" t="inlineStr">
        <is>
          <t>A-B / B-A / A-B</t>
        </is>
      </c>
      <c r="I14" s="9" t="inlineStr">
        <is>
          <t>One-Euro</t>
        </is>
      </c>
      <c r="J14" s="9" t="inlineStr">
        <is>
          <t>EgoAnchor</t>
        </is>
      </c>
      <c r="K14" s="9" t="inlineStr">
        <is>
          <t>One-Euro</t>
        </is>
      </c>
      <c r="L14" s="9" t="n">
        <v>28</v>
      </c>
      <c r="M14" s="9" t="inlineStr">
        <is>
          <t>非二元或其他</t>
        </is>
      </c>
      <c r="N14" s="9" t="inlineStr">
        <is>
          <t>左手</t>
        </is>
      </c>
      <c r="O14" s="9" t="inlineStr">
        <is>
          <t>正常</t>
        </is>
      </c>
      <c r="P14" s="9" t="inlineStr">
        <is>
          <t>6–20 次</t>
        </is>
      </c>
      <c r="Q14" s="9" t="inlineStr">
        <is>
          <t>数次</t>
        </is>
      </c>
      <c r="R14" s="9" t="inlineStr">
        <is>
          <t>是</t>
        </is>
      </c>
      <c r="S14" s="9" t="inlineStr">
        <is>
          <t>无</t>
        </is>
      </c>
      <c r="T14" s="9" t="n">
        <v>57</v>
      </c>
      <c r="U14" s="9" t="inlineStr">
        <is>
          <t>是</t>
        </is>
      </c>
      <c r="V14" s="9" t="inlineStr">
        <is>
          <t>无</t>
        </is>
      </c>
      <c r="W14" s="9" t="n">
        <v>7</v>
      </c>
      <c r="X14" s="9" t="inlineStr">
        <is>
          <t>工业设计师·细节挑剔｜职业习惯是找瑕疵，任何一处不贴合都会拉低整块评分；给分整体偏低但区分度最高。</t>
        </is>
      </c>
    </row>
    <row r="15">
      <c r="A15" s="7" t="inlineStr">
        <is>
          <t>P013</t>
        </is>
      </c>
      <c r="B15" s="9" t="inlineStr">
        <is>
          <t>O4-S1-EA</t>
        </is>
      </c>
      <c r="C15" s="9" t="n">
        <v>4</v>
      </c>
      <c r="D15" s="9" t="inlineStr">
        <is>
          <t>S1</t>
        </is>
      </c>
      <c r="E15" s="9" t="inlineStr">
        <is>
          <t>固定订书机</t>
        </is>
      </c>
      <c r="F15" s="9" t="inlineStr">
        <is>
          <t>游戏手柄</t>
        </is>
      </c>
      <c r="G15" s="9" t="inlineStr">
        <is>
          <t>鼠标</t>
        </is>
      </c>
      <c r="H15" s="9" t="inlineStr">
        <is>
          <t>A-B / B-A / A-B</t>
        </is>
      </c>
      <c r="I15" s="9" t="inlineStr">
        <is>
          <t>EgoAnchor</t>
        </is>
      </c>
      <c r="J15" s="9" t="inlineStr">
        <is>
          <t>One-Euro</t>
        </is>
      </c>
      <c r="K15" s="9" t="inlineStr">
        <is>
          <t>EgoAnchor</t>
        </is>
      </c>
      <c r="L15" s="9" t="n">
        <v>21</v>
      </c>
      <c r="M15" s="9" t="inlineStr">
        <is>
          <t>女</t>
        </is>
      </c>
      <c r="N15" s="9" t="inlineStr">
        <is>
          <t>右手</t>
        </is>
      </c>
      <c r="O15" s="9" t="inlineStr">
        <is>
          <t>矫正后正常</t>
        </is>
      </c>
      <c r="P15" s="9" t="inlineStr">
        <is>
          <t>1–5 次</t>
        </is>
      </c>
      <c r="Q15" s="9" t="inlineStr">
        <is>
          <t>从未</t>
        </is>
      </c>
      <c r="R15" s="9" t="inlineStr">
        <is>
          <t>是</t>
        </is>
      </c>
      <c r="S15" s="9" t="inlineStr">
        <is>
          <t>无</t>
        </is>
      </c>
      <c r="T15" s="9" t="n">
        <v>59</v>
      </c>
      <c r="U15" s="9" t="inlineStr">
        <is>
          <t>是</t>
        </is>
      </c>
      <c r="V15" s="9" t="inlineStr">
        <is>
          <t>无</t>
        </is>
      </c>
      <c r="W15" s="9" t="n">
        <v>5</v>
      </c>
      <c r="X15" s="9" t="inlineStr">
        <is>
          <t>设计学本科·视觉敏感｜从画面质感入手判断，对边缘是否贴合、整体是否协调最敏感，对时间量级不太在意。</t>
        </is>
      </c>
    </row>
    <row r="16">
      <c r="A16" s="7" t="inlineStr">
        <is>
          <t>P014</t>
        </is>
      </c>
      <c r="B16" s="9" t="inlineStr">
        <is>
          <t>O4-S2-EA</t>
        </is>
      </c>
      <c r="C16" s="9" t="n">
        <v>4</v>
      </c>
      <c r="D16" s="9" t="inlineStr">
        <is>
          <t>S2</t>
        </is>
      </c>
      <c r="E16" s="9" t="inlineStr">
        <is>
          <t>固定订书机</t>
        </is>
      </c>
      <c r="F16" s="9" t="inlineStr">
        <is>
          <t>游戏手柄</t>
        </is>
      </c>
      <c r="G16" s="9" t="inlineStr">
        <is>
          <t>鼠标</t>
        </is>
      </c>
      <c r="H16" s="9" t="inlineStr">
        <is>
          <t>B-A / A-B / B-A</t>
        </is>
      </c>
      <c r="I16" s="9" t="inlineStr">
        <is>
          <t>EgoAnchor</t>
        </is>
      </c>
      <c r="J16" s="9" t="inlineStr">
        <is>
          <t>One-Euro</t>
        </is>
      </c>
      <c r="K16" s="9" t="inlineStr">
        <is>
          <t>One-Euro</t>
        </is>
      </c>
      <c r="L16" s="9" t="n">
        <v>33</v>
      </c>
      <c r="M16" s="9" t="inlineStr">
        <is>
          <t>男</t>
        </is>
      </c>
      <c r="N16" s="9" t="inlineStr">
        <is>
          <t>右手</t>
        </is>
      </c>
      <c r="O16" s="9" t="inlineStr">
        <is>
          <t>正常</t>
        </is>
      </c>
      <c r="P16" s="9" t="inlineStr">
        <is>
          <t>6–20 次</t>
        </is>
      </c>
      <c r="Q16" s="9" t="inlineStr">
        <is>
          <t>数次</t>
        </is>
      </c>
      <c r="R16" s="9" t="inlineStr">
        <is>
          <t>是</t>
        </is>
      </c>
      <c r="S16" s="9" t="inlineStr">
        <is>
          <t>无</t>
        </is>
      </c>
      <c r="T16" s="9" t="n">
        <v>57.7</v>
      </c>
      <c r="U16" s="9" t="inlineStr">
        <is>
          <t>是</t>
        </is>
      </c>
      <c r="V16" s="9" t="inlineStr">
        <is>
          <t>无</t>
        </is>
      </c>
      <c r="W16" s="9" t="n">
        <v>7</v>
      </c>
      <c r="X16" s="9" t="inlineStr">
        <is>
          <t>自动化工程师·可预测优先｜做工业控制出身，最在意行为是否可预期；把偶发跳变视为不可接受的失效模式。</t>
        </is>
      </c>
    </row>
    <row r="17">
      <c r="A17" s="7" t="inlineStr">
        <is>
          <t>P015</t>
        </is>
      </c>
      <c r="B17" s="9" t="inlineStr">
        <is>
          <t>O4-S2-OE</t>
        </is>
      </c>
      <c r="C17" s="9" t="n">
        <v>4</v>
      </c>
      <c r="D17" s="9" t="inlineStr">
        <is>
          <t>S2</t>
        </is>
      </c>
      <c r="E17" s="9" t="inlineStr">
        <is>
          <t>固定订书机</t>
        </is>
      </c>
      <c r="F17" s="9" t="inlineStr">
        <is>
          <t>游戏手柄</t>
        </is>
      </c>
      <c r="G17" s="9" t="inlineStr">
        <is>
          <t>鼠标</t>
        </is>
      </c>
      <c r="H17" s="9" t="inlineStr">
        <is>
          <t>B-A / A-B / B-A</t>
        </is>
      </c>
      <c r="I17" s="9" t="inlineStr">
        <is>
          <t>One-Euro</t>
        </is>
      </c>
      <c r="J17" s="9" t="inlineStr">
        <is>
          <t>EgoAnchor</t>
        </is>
      </c>
      <c r="K17" s="9" t="inlineStr">
        <is>
          <t>EgoAnchor</t>
        </is>
      </c>
      <c r="L17" s="9" t="n">
        <v>22</v>
      </c>
      <c r="M17" s="9" t="inlineStr">
        <is>
          <t>男</t>
        </is>
      </c>
      <c r="N17" s="9" t="inlineStr">
        <is>
          <t>右手</t>
        </is>
      </c>
      <c r="O17" s="9" t="inlineStr">
        <is>
          <t>正常</t>
        </is>
      </c>
      <c r="P17" s="9" t="inlineStr">
        <is>
          <t>超过 20 次</t>
        </is>
      </c>
      <c r="Q17" s="9" t="inlineStr">
        <is>
          <t>数次</t>
        </is>
      </c>
      <c r="R17" s="9" t="inlineStr">
        <is>
          <t>是</t>
        </is>
      </c>
      <c r="S17" s="9" t="inlineStr">
        <is>
          <t>无</t>
        </is>
      </c>
      <c r="T17" s="9" t="n">
        <v>52.8</v>
      </c>
      <c r="U17" s="9" t="inlineStr">
        <is>
          <t>是</t>
        </is>
      </c>
      <c r="V17" s="9" t="inlineStr">
        <is>
          <t>无</t>
        </is>
      </c>
      <c r="W17" s="9" t="n">
        <v>4</v>
      </c>
      <c r="X17" s="9" t="inlineStr">
        <is>
          <t>游戏电竞玩家·延迟敏感｜常年打射击游戏，对输入到画面的延迟极其敏感；把跟手感当作首要标准，稳定性次之。</t>
        </is>
      </c>
    </row>
    <row r="18">
      <c r="A18" s="7" t="inlineStr">
        <is>
          <t>P016</t>
        </is>
      </c>
      <c r="B18" s="9" t="inlineStr">
        <is>
          <t>O4-S1-OE</t>
        </is>
      </c>
      <c r="C18" s="9" t="n">
        <v>4</v>
      </c>
      <c r="D18" s="9" t="inlineStr">
        <is>
          <t>S1</t>
        </is>
      </c>
      <c r="E18" s="9" t="inlineStr">
        <is>
          <t>固定订书机</t>
        </is>
      </c>
      <c r="F18" s="9" t="inlineStr">
        <is>
          <t>游戏手柄</t>
        </is>
      </c>
      <c r="G18" s="9" t="inlineStr">
        <is>
          <t>鼠标</t>
        </is>
      </c>
      <c r="H18" s="9" t="inlineStr">
        <is>
          <t>A-B / B-A / A-B</t>
        </is>
      </c>
      <c r="I18" s="9" t="inlineStr">
        <is>
          <t>One-Euro</t>
        </is>
      </c>
      <c r="J18" s="9" t="inlineStr">
        <is>
          <t>EgoAnchor</t>
        </is>
      </c>
      <c r="K18" s="9" t="inlineStr">
        <is>
          <t>One-Euro</t>
        </is>
      </c>
      <c r="L18" s="9" t="n">
        <v>58</v>
      </c>
      <c r="M18" s="9" t="inlineStr">
        <is>
          <t>女</t>
        </is>
      </c>
      <c r="N18" s="9" t="inlineStr">
        <is>
          <t>右手</t>
        </is>
      </c>
      <c r="O18" s="9" t="inlineStr">
        <is>
          <t>矫正后正常</t>
        </is>
      </c>
      <c r="P18" s="9" t="inlineStr">
        <is>
          <t>从未</t>
        </is>
      </c>
      <c r="Q18" s="9" t="inlineStr">
        <is>
          <t>从未</t>
        </is>
      </c>
      <c r="R18" s="9" t="inlineStr">
        <is>
          <t>是</t>
        </is>
      </c>
      <c r="S18" s="9" t="inlineStr">
        <is>
          <t>无</t>
        </is>
      </c>
      <c r="T18" s="9" t="n">
        <v>64.2</v>
      </c>
      <c r="U18" s="9" t="inlineStr">
        <is>
          <t>是</t>
        </is>
      </c>
      <c r="V18" s="9" t="inlineStr">
        <is>
          <t>无</t>
        </is>
      </c>
      <c r="W18" s="9" t="n">
        <v>4</v>
      </c>
      <c r="X18" s="9" t="inlineStr">
        <is>
          <t>退休教师·谨慎乐观｜年龄偏大、动态视力下降，作答慢且偏正面；配合度很高，会认真按语音提示做每个动作。</t>
        </is>
      </c>
    </row>
    <row r="19">
      <c r="A19" s="7" t="inlineStr">
        <is>
          <t>P017</t>
        </is>
      </c>
      <c r="B19" s="9" t="inlineStr">
        <is>
          <t>O5-S1-EA</t>
        </is>
      </c>
      <c r="C19" s="9" t="n">
        <v>5</v>
      </c>
      <c r="D19" s="9" t="inlineStr">
        <is>
          <t>S1</t>
        </is>
      </c>
      <c r="E19" s="9" t="inlineStr">
        <is>
          <t>游戏手柄</t>
        </is>
      </c>
      <c r="F19" s="9" t="inlineStr">
        <is>
          <t>鼠标</t>
        </is>
      </c>
      <c r="G19" s="9" t="inlineStr">
        <is>
          <t>固定订书机</t>
        </is>
      </c>
      <c r="H19" s="9" t="inlineStr">
        <is>
          <t>A-B / B-A / A-B</t>
        </is>
      </c>
      <c r="I19" s="9" t="inlineStr">
        <is>
          <t>EgoAnchor</t>
        </is>
      </c>
      <c r="J19" s="9" t="inlineStr">
        <is>
          <t>One-Euro</t>
        </is>
      </c>
      <c r="K19" s="9" t="inlineStr">
        <is>
          <t>EgoAnchor</t>
        </is>
      </c>
      <c r="L19" s="9" t="n">
        <v>35</v>
      </c>
      <c r="M19" s="9" t="inlineStr">
        <is>
          <t>女</t>
        </is>
      </c>
      <c r="N19" s="9" t="inlineStr">
        <is>
          <t>右手</t>
        </is>
      </c>
      <c r="O19" s="9" t="inlineStr">
        <is>
          <t>矫正后正常</t>
        </is>
      </c>
      <c r="P19" s="9" t="inlineStr">
        <is>
          <t>1–5 次</t>
        </is>
      </c>
      <c r="Q19" s="9" t="inlineStr">
        <is>
          <t>从未</t>
        </is>
      </c>
      <c r="R19" s="9" t="inlineStr">
        <is>
          <t>是</t>
        </is>
      </c>
      <c r="S19" s="9" t="inlineStr">
        <is>
          <t>无</t>
        </is>
      </c>
      <c r="T19" s="9" t="n">
        <v>60</v>
      </c>
      <c r="U19" s="9" t="inlineStr">
        <is>
          <t>是</t>
        </is>
      </c>
      <c r="V19" s="9" t="inlineStr">
        <is>
          <t>无</t>
        </is>
      </c>
      <c r="W19" s="9" t="n">
        <v>5</v>
      </c>
      <c r="X19" s="9" t="inlineStr">
        <is>
          <t>翻译工作者·字面理解型｜逐字理解条目措辞，会严格区分保持不动与位置正确两问，对措辞差别的响应最忠实。</t>
        </is>
      </c>
    </row>
    <row r="20">
      <c r="A20" s="7" t="inlineStr">
        <is>
          <t>P018</t>
        </is>
      </c>
      <c r="B20" s="9" t="inlineStr">
        <is>
          <t>O5-S2-EA</t>
        </is>
      </c>
      <c r="C20" s="9" t="n">
        <v>5</v>
      </c>
      <c r="D20" s="9" t="inlineStr">
        <is>
          <t>S2</t>
        </is>
      </c>
      <c r="E20" s="9" t="inlineStr">
        <is>
          <t>游戏手柄</t>
        </is>
      </c>
      <c r="F20" s="9" t="inlineStr">
        <is>
          <t>鼠标</t>
        </is>
      </c>
      <c r="G20" s="9" t="inlineStr">
        <is>
          <t>固定订书机</t>
        </is>
      </c>
      <c r="H20" s="9" t="inlineStr">
        <is>
          <t>B-A / A-B / B-A</t>
        </is>
      </c>
      <c r="I20" s="9" t="inlineStr">
        <is>
          <t>EgoAnchor</t>
        </is>
      </c>
      <c r="J20" s="9" t="inlineStr">
        <is>
          <t>One-Euro</t>
        </is>
      </c>
      <c r="K20" s="9" t="inlineStr">
        <is>
          <t>One-Euro</t>
        </is>
      </c>
      <c r="L20" s="9" t="n">
        <v>26</v>
      </c>
      <c r="M20" s="9" t="inlineStr">
        <is>
          <t>女</t>
        </is>
      </c>
      <c r="N20" s="9" t="inlineStr">
        <is>
          <t>右手</t>
        </is>
      </c>
      <c r="O20" s="9" t="inlineStr">
        <is>
          <t>正常</t>
        </is>
      </c>
      <c r="P20" s="9" t="inlineStr">
        <is>
          <t>6–20 次</t>
        </is>
      </c>
      <c r="Q20" s="9" t="inlineStr">
        <is>
          <t>1–2 次</t>
        </is>
      </c>
      <c r="R20" s="9" t="inlineStr">
        <is>
          <t>是</t>
        </is>
      </c>
      <c r="S20" s="9" t="inlineStr">
        <is>
          <t>无</t>
        </is>
      </c>
      <c r="T20" s="9" t="n">
        <v>56.9</v>
      </c>
      <c r="U20" s="9" t="inlineStr">
        <is>
          <t>是</t>
        </is>
      </c>
      <c r="V20" s="9" t="inlineStr">
        <is>
          <t>无</t>
        </is>
      </c>
      <c r="W20" s="9" t="n">
        <v>7</v>
      </c>
      <c r="X20" s="9" t="inlineStr">
        <is>
          <t>视光学研究生·观察训练｜受过视觉功能检查训练，对小幅运动的检出阈值最低；是全组中最能分辨静止抖动的人。</t>
        </is>
      </c>
    </row>
    <row r="21">
      <c r="A21" s="7" t="inlineStr">
        <is>
          <t>P019</t>
        </is>
      </c>
      <c r="B21" s="9" t="inlineStr">
        <is>
          <t>O5-S2-OE</t>
        </is>
      </c>
      <c r="C21" s="9" t="n">
        <v>5</v>
      </c>
      <c r="D21" s="9" t="inlineStr">
        <is>
          <t>S2</t>
        </is>
      </c>
      <c r="E21" s="9" t="inlineStr">
        <is>
          <t>游戏手柄</t>
        </is>
      </c>
      <c r="F21" s="9" t="inlineStr">
        <is>
          <t>鼠标</t>
        </is>
      </c>
      <c r="G21" s="9" t="inlineStr">
        <is>
          <t>固定订书机</t>
        </is>
      </c>
      <c r="H21" s="9" t="inlineStr">
        <is>
          <t>B-A / A-B / B-A</t>
        </is>
      </c>
      <c r="I21" s="9" t="inlineStr">
        <is>
          <t>One-Euro</t>
        </is>
      </c>
      <c r="J21" s="9" t="inlineStr">
        <is>
          <t>EgoAnchor</t>
        </is>
      </c>
      <c r="K21" s="9" t="inlineStr">
        <is>
          <t>EgoAnchor</t>
        </is>
      </c>
      <c r="L21" s="9" t="n">
        <v>27</v>
      </c>
      <c r="M21" s="9" t="inlineStr">
        <is>
          <t>男</t>
        </is>
      </c>
      <c r="N21" s="9" t="inlineStr">
        <is>
          <t>右手</t>
        </is>
      </c>
      <c r="O21" s="9" t="inlineStr">
        <is>
          <t>矫正后正常</t>
        </is>
      </c>
      <c r="P21" s="9" t="inlineStr">
        <is>
          <t>经常使用</t>
        </is>
      </c>
      <c r="Q21" s="9" t="inlineStr">
        <is>
          <t>数次</t>
        </is>
      </c>
      <c r="R21" s="9" t="inlineStr">
        <is>
          <t>是</t>
        </is>
      </c>
      <c r="S21" s="9" t="inlineStr">
        <is>
          <t>无</t>
        </is>
      </c>
      <c r="T21" s="9" t="n">
        <v>58.1</v>
      </c>
      <c r="U21" s="9" t="inlineStr">
        <is>
          <t>是</t>
        </is>
      </c>
      <c r="V21" s="9" t="inlineStr">
        <is>
          <t>无</t>
        </is>
      </c>
      <c r="W21" s="9" t="n">
        <v>5</v>
      </c>
      <c r="X21" s="9" t="inlineStr">
        <is>
          <t>计算机博士生·怀疑论者｜很快猜到在比两版算法，会主动说出推测；打分严格，不轻易给 7 分。</t>
        </is>
      </c>
    </row>
    <row r="22">
      <c r="A22" s="7" t="inlineStr">
        <is>
          <t>P020</t>
        </is>
      </c>
      <c r="B22" s="9" t="inlineStr">
        <is>
          <t>O5-S1-OE</t>
        </is>
      </c>
      <c r="C22" s="9" t="n">
        <v>5</v>
      </c>
      <c r="D22" s="9" t="inlineStr">
        <is>
          <t>S1</t>
        </is>
      </c>
      <c r="E22" s="9" t="inlineStr">
        <is>
          <t>游戏手柄</t>
        </is>
      </c>
      <c r="F22" s="9" t="inlineStr">
        <is>
          <t>鼠标</t>
        </is>
      </c>
      <c r="G22" s="9" t="inlineStr">
        <is>
          <t>固定订书机</t>
        </is>
      </c>
      <c r="H22" s="9" t="inlineStr">
        <is>
          <t>A-B / B-A / A-B</t>
        </is>
      </c>
      <c r="I22" s="9" t="inlineStr">
        <is>
          <t>One-Euro</t>
        </is>
      </c>
      <c r="J22" s="9" t="inlineStr">
        <is>
          <t>EgoAnchor</t>
        </is>
      </c>
      <c r="K22" s="9" t="inlineStr">
        <is>
          <t>One-Euro</t>
        </is>
      </c>
      <c r="L22" s="9" t="n">
        <v>37</v>
      </c>
      <c r="M22" s="9" t="inlineStr">
        <is>
          <t>男</t>
        </is>
      </c>
      <c r="N22" s="9" t="inlineStr">
        <is>
          <t>右手</t>
        </is>
      </c>
      <c r="O22" s="9" t="inlineStr">
        <is>
          <t>正常</t>
        </is>
      </c>
      <c r="P22" s="9" t="inlineStr">
        <is>
          <t>6–20 次</t>
        </is>
      </c>
      <c r="Q22" s="9" t="inlineStr">
        <is>
          <t>1–2 次</t>
        </is>
      </c>
      <c r="R22" s="9" t="inlineStr">
        <is>
          <t>是</t>
        </is>
      </c>
      <c r="S22" s="9" t="inlineStr">
        <is>
          <t>无</t>
        </is>
      </c>
      <c r="T22" s="9" t="n">
        <v>51.4</v>
      </c>
      <c r="U22" s="9" t="inlineStr">
        <is>
          <t>是</t>
        </is>
      </c>
      <c r="V22" s="9" t="inlineStr">
        <is>
          <t>无</t>
        </is>
      </c>
      <c r="W22" s="9" t="n">
        <v>7</v>
      </c>
      <c r="X22" s="9" t="inlineStr">
        <is>
          <t>创业者·时间压力大｜全程节奏快，问卷填得最快，后段出现连续同分；判断果断但依据粗。</t>
        </is>
      </c>
    </row>
    <row r="23">
      <c r="A23" s="7" t="inlineStr">
        <is>
          <t>P021</t>
        </is>
      </c>
      <c r="B23" s="9" t="inlineStr">
        <is>
          <t>O6-S1-EA</t>
        </is>
      </c>
      <c r="C23" s="9" t="n">
        <v>6</v>
      </c>
      <c r="D23" s="9" t="inlineStr">
        <is>
          <t>S1</t>
        </is>
      </c>
      <c r="E23" s="9" t="inlineStr">
        <is>
          <t>游戏手柄</t>
        </is>
      </c>
      <c r="F23" s="9" t="inlineStr">
        <is>
          <t>固定订书机</t>
        </is>
      </c>
      <c r="G23" s="9" t="inlineStr">
        <is>
          <t>鼠标</t>
        </is>
      </c>
      <c r="H23" s="9" t="inlineStr">
        <is>
          <t>A-B / B-A / A-B</t>
        </is>
      </c>
      <c r="I23" s="9" t="inlineStr">
        <is>
          <t>EgoAnchor</t>
        </is>
      </c>
      <c r="J23" s="9" t="inlineStr">
        <is>
          <t>One-Euro</t>
        </is>
      </c>
      <c r="K23" s="9" t="inlineStr">
        <is>
          <t>EgoAnchor</t>
        </is>
      </c>
      <c r="L23" s="9" t="n">
        <v>41</v>
      </c>
      <c r="M23" s="9" t="inlineStr">
        <is>
          <t>女</t>
        </is>
      </c>
      <c r="N23" s="9" t="inlineStr">
        <is>
          <t>右手</t>
        </is>
      </c>
      <c r="O23" s="9" t="inlineStr">
        <is>
          <t>矫正后正常</t>
        </is>
      </c>
      <c r="P23" s="9" t="inlineStr">
        <is>
          <t>从未</t>
        </is>
      </c>
      <c r="Q23" s="9" t="inlineStr">
        <is>
          <t>从未</t>
        </is>
      </c>
      <c r="R23" s="9" t="inlineStr">
        <is>
          <t>是</t>
        </is>
      </c>
      <c r="S23" s="9" t="inlineStr">
        <is>
          <t>无</t>
        </is>
      </c>
      <c r="T23" s="9" t="n">
        <v>62.8</v>
      </c>
      <c r="U23" s="9" t="inlineStr">
        <is>
          <t>是</t>
        </is>
      </c>
      <c r="V23" s="9" t="inlineStr">
        <is>
          <t>无</t>
        </is>
      </c>
      <c r="W23" s="9" t="n">
        <v>4</v>
      </c>
      <c r="X23" s="9" t="inlineStr">
        <is>
          <t>行政人员·低技术接触｜缺少技术词汇，只能描述现象；对细微差异不敏感，主要靠明显事件形成印象。</t>
        </is>
      </c>
    </row>
    <row r="24">
      <c r="A24" s="7" t="inlineStr">
        <is>
          <t>P022</t>
        </is>
      </c>
      <c r="B24" s="9" t="inlineStr">
        <is>
          <t>O6-S2-EA</t>
        </is>
      </c>
      <c r="C24" s="9" t="n">
        <v>6</v>
      </c>
      <c r="D24" s="9" t="inlineStr">
        <is>
          <t>S2</t>
        </is>
      </c>
      <c r="E24" s="9" t="inlineStr">
        <is>
          <t>游戏手柄</t>
        </is>
      </c>
      <c r="F24" s="9" t="inlineStr">
        <is>
          <t>固定订书机</t>
        </is>
      </c>
      <c r="G24" s="9" t="inlineStr">
        <is>
          <t>鼠标</t>
        </is>
      </c>
      <c r="H24" s="9" t="inlineStr">
        <is>
          <t>B-A / A-B / B-A</t>
        </is>
      </c>
      <c r="I24" s="9" t="inlineStr">
        <is>
          <t>EgoAnchor</t>
        </is>
      </c>
      <c r="J24" s="9" t="inlineStr">
        <is>
          <t>One-Euro</t>
        </is>
      </c>
      <c r="K24" s="9" t="inlineStr">
        <is>
          <t>One-Euro</t>
        </is>
      </c>
      <c r="L24" s="9" t="n">
        <v>20</v>
      </c>
      <c r="M24" s="9" t="inlineStr">
        <is>
          <t>男</t>
        </is>
      </c>
      <c r="N24" s="9" t="inlineStr">
        <is>
          <t>左手</t>
        </is>
      </c>
      <c r="O24" s="9" t="inlineStr">
        <is>
          <t>正常</t>
        </is>
      </c>
      <c r="P24" s="9" t="inlineStr">
        <is>
          <t>1–5 次</t>
        </is>
      </c>
      <c r="Q24" s="9" t="inlineStr">
        <is>
          <t>从未</t>
        </is>
      </c>
      <c r="R24" s="9" t="inlineStr">
        <is>
          <t>是</t>
        </is>
      </c>
      <c r="S24" s="9" t="inlineStr">
        <is>
          <t>无</t>
        </is>
      </c>
      <c r="T24" s="9" t="n">
        <v>56.2</v>
      </c>
      <c r="U24" s="9" t="inlineStr">
        <is>
          <t>是</t>
        </is>
      </c>
      <c r="V24" s="9" t="inlineStr">
        <is>
          <t>无</t>
        </is>
      </c>
      <c r="W24" s="9" t="n">
        <v>4</v>
      </c>
      <c r="X24" s="9" t="inlineStr">
        <is>
          <t>体育教育本科·动作导向｜动作幅度大、节奏快，运动阶段占据主要注意力；静止阶段观察不够细。</t>
        </is>
      </c>
    </row>
    <row r="25">
      <c r="A25" s="7" t="inlineStr">
        <is>
          <t>P023</t>
        </is>
      </c>
      <c r="B25" s="9" t="inlineStr">
        <is>
          <t>O6-S2-OE</t>
        </is>
      </c>
      <c r="C25" s="9" t="n">
        <v>6</v>
      </c>
      <c r="D25" s="9" t="inlineStr">
        <is>
          <t>S2</t>
        </is>
      </c>
      <c r="E25" s="9" t="inlineStr">
        <is>
          <t>游戏手柄</t>
        </is>
      </c>
      <c r="F25" s="9" t="inlineStr">
        <is>
          <t>固定订书机</t>
        </is>
      </c>
      <c r="G25" s="9" t="inlineStr">
        <is>
          <t>鼠标</t>
        </is>
      </c>
      <c r="H25" s="9" t="inlineStr">
        <is>
          <t>B-A / A-B / B-A</t>
        </is>
      </c>
      <c r="I25" s="9" t="inlineStr">
        <is>
          <t>One-Euro</t>
        </is>
      </c>
      <c r="J25" s="9" t="inlineStr">
        <is>
          <t>EgoAnchor</t>
        </is>
      </c>
      <c r="K25" s="9" t="inlineStr">
        <is>
          <t>EgoAnchor</t>
        </is>
      </c>
      <c r="L25" s="9" t="n">
        <v>26</v>
      </c>
      <c r="M25" s="9" t="inlineStr">
        <is>
          <t>女</t>
        </is>
      </c>
      <c r="N25" s="9" t="inlineStr">
        <is>
          <t>右手</t>
        </is>
      </c>
      <c r="O25" s="9" t="inlineStr">
        <is>
          <t>正常</t>
        </is>
      </c>
      <c r="P25" s="9" t="inlineStr">
        <is>
          <t>6–20 次</t>
        </is>
      </c>
      <c r="Q25" s="9" t="inlineStr">
        <is>
          <t>1–2 次</t>
        </is>
      </c>
      <c r="R25" s="9" t="inlineStr">
        <is>
          <t>是</t>
        </is>
      </c>
      <c r="S25" s="9" t="inlineStr">
        <is>
          <t>无</t>
        </is>
      </c>
      <c r="T25" s="9" t="n">
        <v>57.1</v>
      </c>
      <c r="U25" s="9" t="inlineStr">
        <is>
          <t>是</t>
        </is>
      </c>
      <c r="V25" s="9" t="inlineStr">
        <is>
          <t>无</t>
        </is>
      </c>
      <c r="W25" s="9" t="n">
        <v>2</v>
      </c>
      <c r="X25" s="9" t="inlineStr">
        <is>
          <t>心理学研究生·中庸作答｜熟悉问卷方法，刻意避免用极端值，几乎不打 1 和 7；差异判断准确但幅度被压缩。</t>
        </is>
      </c>
    </row>
    <row r="26">
      <c r="A26" s="7" t="inlineStr">
        <is>
          <t>P024</t>
        </is>
      </c>
      <c r="B26" s="9" t="inlineStr">
        <is>
          <t>O6-S1-OE</t>
        </is>
      </c>
      <c r="C26" s="9" t="n">
        <v>6</v>
      </c>
      <c r="D26" s="9" t="inlineStr">
        <is>
          <t>S1</t>
        </is>
      </c>
      <c r="E26" s="9" t="inlineStr">
        <is>
          <t>游戏手柄</t>
        </is>
      </c>
      <c r="F26" s="9" t="inlineStr">
        <is>
          <t>固定订书机</t>
        </is>
      </c>
      <c r="G26" s="9" t="inlineStr">
        <is>
          <t>鼠标</t>
        </is>
      </c>
      <c r="H26" s="9" t="inlineStr">
        <is>
          <t>A-B / B-A / A-B</t>
        </is>
      </c>
      <c r="I26" s="9" t="inlineStr">
        <is>
          <t>One-Euro</t>
        </is>
      </c>
      <c r="J26" s="9" t="inlineStr">
        <is>
          <t>EgoAnchor</t>
        </is>
      </c>
      <c r="K26" s="9" t="inlineStr">
        <is>
          <t>One-Euro</t>
        </is>
      </c>
      <c r="L26" s="9" t="n">
        <v>23</v>
      </c>
      <c r="M26" s="9" t="inlineStr">
        <is>
          <t>女</t>
        </is>
      </c>
      <c r="N26" s="9" t="inlineStr">
        <is>
          <t>右手</t>
        </is>
      </c>
      <c r="O26" s="9" t="inlineStr">
        <is>
          <t>正常</t>
        </is>
      </c>
      <c r="P26" s="9" t="inlineStr">
        <is>
          <t>1–5 次</t>
        </is>
      </c>
      <c r="Q26" s="9" t="inlineStr">
        <is>
          <t>1–2 次</t>
        </is>
      </c>
      <c r="R26" s="9" t="inlineStr">
        <is>
          <t>是</t>
        </is>
      </c>
      <c r="S26" s="9" t="inlineStr">
        <is>
          <t>无</t>
        </is>
      </c>
      <c r="T26" s="9" t="n">
        <v>55.8</v>
      </c>
      <c r="U26" s="9" t="inlineStr">
        <is>
          <t>是</t>
        </is>
      </c>
      <c r="V26" s="9" t="inlineStr">
        <is>
          <t>无</t>
        </is>
      </c>
      <c r="W26" s="9" t="n">
        <v>5</v>
      </c>
      <c r="X26" s="9" t="inlineStr">
        <is>
          <t>医学生·安全导向｜把这套东西代入手术导航之类的场景想，一次明显失败就会让她大幅下调依赖意愿并记很久。</t>
        </is>
      </c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4" customWidth="1" min="5" max="5"/>
    <col width="14" customWidth="1" min="6" max="6"/>
    <col width="12" customWidth="1" min="7" max="7"/>
    <col width="15" customWidth="1" min="8" max="8"/>
    <col width="11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1" customWidth="1" min="26" max="26"/>
    <col width="12" customWidth="1" min="27" max="27"/>
    <col width="11" customWidth="1" min="28" max="28"/>
    <col width="11" customWidth="1" min="29" max="29"/>
    <col width="11" customWidth="1" min="30" max="30"/>
    <col width="16" customWidth="1" min="31" max="31"/>
    <col width="17" customWidth="1" min="32" max="32"/>
    <col width="13" customWidth="1" min="33" max="33"/>
    <col width="18" customWidth="1" min="34" max="34"/>
    <col width="18" customWidth="1" min="35" max="35"/>
    <col width="13" customWidth="1" min="36" max="36"/>
    <col width="20" customWidth="1" min="37" max="37"/>
    <col width="11" customWidth="1" min="38" max="38"/>
    <col width="17" customWidth="1" min="39" max="39"/>
    <col width="18" customWidth="1" min="40" max="40"/>
    <col width="13" customWidth="1" min="41" max="41"/>
    <col width="15" customWidth="1" min="42" max="42"/>
    <col width="30" customWidth="1" min="43" max="43"/>
  </cols>
  <sheetData>
    <row r="1" ht="30" customHeight="1">
      <c r="A1" s="1" t="inlineStr">
        <is>
          <t>实验记录（合成数据）：A 区块 144 行 → B 方法级 48 行 → C 最终问卷 24 行。本表只放原始评分，原始分不得被反向分覆盖。</t>
        </is>
      </c>
    </row>
    <row r="3" ht="20" customHeight="1">
      <c r="A3" s="3" t="inlineStr">
        <is>
          <t>A. 区块记录（每行 = 一个方法×物体区块：进度 + 13 项评分（Q10 停用） + 问卷时长 + 运行时审计）</t>
        </is>
      </c>
    </row>
    <row r="4" ht="30" customHeight="1">
      <c r="A4" s="4" t="inlineStr">
        <is>
          <t>Participant_ID</t>
        </is>
      </c>
      <c r="B4" s="4" t="inlineStr">
        <is>
          <t>Block_Index</t>
        </is>
      </c>
      <c r="C4" s="4" t="inlineStr">
        <is>
          <t>平衡单元</t>
        </is>
      </c>
      <c r="D4" s="4" t="inlineStr">
        <is>
          <t>物体位置</t>
        </is>
      </c>
      <c r="E4" s="4" t="inlineStr">
        <is>
          <t>物体</t>
        </is>
      </c>
      <c r="F4" s="4" t="inlineStr">
        <is>
          <t>Object_Key</t>
        </is>
      </c>
      <c r="G4" s="4" t="inlineStr">
        <is>
          <t>Shown_Label</t>
        </is>
      </c>
      <c r="H4" s="4" t="inlineStr">
        <is>
          <t>Condition(保密)</t>
        </is>
      </c>
      <c r="I4" s="4" t="inlineStr">
        <is>
          <t>物体内先后</t>
        </is>
      </c>
      <c r="J4" s="4" t="inlineStr">
        <is>
          <t>该方法第几次</t>
        </is>
      </c>
      <c r="K4" s="4" t="inlineStr">
        <is>
          <t>Q1</t>
        </is>
      </c>
      <c r="L4" s="4" t="inlineStr">
        <is>
          <t>Q2</t>
        </is>
      </c>
      <c r="M4" s="4" t="inlineStr">
        <is>
          <t>Q9</t>
        </is>
      </c>
      <c r="N4" s="4" t="inlineStr">
        <is>
          <t>Q10_OPT</t>
        </is>
      </c>
      <c r="O4" s="4" t="inlineStr">
        <is>
          <t>AQ_IQ2</t>
        </is>
      </c>
      <c r="P4" s="4" t="inlineStr">
        <is>
          <t>AQ_IQ3</t>
        </is>
      </c>
      <c r="Q4" s="4" t="inlineStr">
        <is>
          <t>Q3</t>
        </is>
      </c>
      <c r="R4" s="4" t="inlineStr">
        <is>
          <t>Q8</t>
        </is>
      </c>
      <c r="S4" s="4" t="inlineStr">
        <is>
          <t>AQ_EQ1</t>
        </is>
      </c>
      <c r="T4" s="4" t="inlineStr">
        <is>
          <t>AQ_EQ2</t>
        </is>
      </c>
      <c r="U4" s="4" t="inlineStr">
        <is>
          <t>AQ_EQ3</t>
        </is>
      </c>
      <c r="V4" s="4" t="inlineStr">
        <is>
          <t>AQ_IQ1</t>
        </is>
      </c>
      <c r="W4" s="4" t="inlineStr">
        <is>
          <t>Q6</t>
        </is>
      </c>
      <c r="X4" s="4" t="inlineStr">
        <is>
          <t>Q7</t>
        </is>
      </c>
      <c r="Y4" s="4" t="inlineStr">
        <is>
          <t>问卷开始</t>
        </is>
      </c>
      <c r="Z4" s="4" t="inlineStr">
        <is>
          <t>问卷结束</t>
        </is>
      </c>
      <c r="AA4" s="4" t="inlineStr">
        <is>
          <t>问卷时长_s</t>
        </is>
      </c>
      <c r="AB4" s="4" t="inlineStr">
        <is>
          <t>任务完成</t>
        </is>
      </c>
      <c r="AC4" s="4" t="inlineStr">
        <is>
          <t>问卷完成</t>
        </is>
      </c>
      <c r="AD4" s="4" t="inlineStr">
        <is>
          <t>区块有效</t>
        </is>
      </c>
      <c r="AE4" s="4" t="inlineStr">
        <is>
          <t>技术问题</t>
        </is>
      </c>
      <c r="AF4" s="4" t="inlineStr">
        <is>
          <t>Candidate_Rate_Hz</t>
        </is>
      </c>
      <c r="AG4" s="4" t="inlineStr">
        <is>
          <t>VCD_Median</t>
        </is>
      </c>
      <c r="AH4" s="4" t="inlineStr">
        <is>
          <t>VCD_Admission_Rate</t>
        </is>
      </c>
      <c r="AI4" s="4" t="inlineStr">
        <is>
          <t>Output_Availability</t>
        </is>
      </c>
      <c r="AJ4" s="4" t="inlineStr">
        <is>
          <t>遮挡时长_s</t>
        </is>
      </c>
      <c r="AK4" s="4" t="inlineStr">
        <is>
          <t>遮挡生命周期状态</t>
        </is>
      </c>
      <c r="AL4" s="4" t="inlineStr">
        <is>
          <t>进入Lost</t>
        </is>
      </c>
      <c r="AM4" s="4" t="inlineStr">
        <is>
          <t>服务器重获取次数</t>
        </is>
      </c>
      <c r="AN4" s="4" t="inlineStr">
        <is>
          <t>StaticLock进入次数</t>
        </is>
      </c>
      <c r="AO4" s="4" t="inlineStr">
        <is>
          <t>注意力失效</t>
        </is>
      </c>
      <c r="AP4" s="4" t="inlineStr">
        <is>
          <t>最长连续同分</t>
        </is>
      </c>
      <c r="AQ4" s="4" t="inlineStr">
        <is>
          <t>备注</t>
        </is>
      </c>
    </row>
    <row r="5">
      <c r="A5" s="7" t="inlineStr">
        <is>
          <t>P001</t>
        </is>
      </c>
      <c r="B5" s="9" t="n">
        <v>1</v>
      </c>
      <c r="C5" s="9" t="inlineStr">
        <is>
          <t>O1-S1-EA</t>
        </is>
      </c>
      <c r="D5" s="9" t="n">
        <v>1</v>
      </c>
      <c r="E5" s="9" t="inlineStr">
        <is>
          <t>鼠标</t>
        </is>
      </c>
      <c r="F5" s="9" t="inlineStr">
        <is>
          <t>blue_mouse</t>
        </is>
      </c>
      <c r="G5" s="9" t="inlineStr">
        <is>
          <t>方法A</t>
        </is>
      </c>
      <c r="H5" s="9" t="inlineStr">
        <is>
          <t>EgoAnchor</t>
        </is>
      </c>
      <c r="I5" s="9" t="n">
        <v>1</v>
      </c>
      <c r="J5" s="9" t="n">
        <v>1</v>
      </c>
      <c r="K5" s="9" t="n">
        <v>5</v>
      </c>
      <c r="L5" s="9" t="n">
        <v>4</v>
      </c>
      <c r="M5" s="9" t="n">
        <v>4</v>
      </c>
      <c r="N5" s="9" t="n"/>
      <c r="O5" s="9" t="n">
        <v>5</v>
      </c>
      <c r="P5" s="9" t="n">
        <v>4</v>
      </c>
      <c r="Q5" s="9" t="n">
        <v>4</v>
      </c>
      <c r="R5" s="9" t="n">
        <v>5</v>
      </c>
      <c r="S5" s="9" t="n">
        <v>5</v>
      </c>
      <c r="T5" s="9" t="n">
        <v>5</v>
      </c>
      <c r="U5" s="9" t="n">
        <v>6</v>
      </c>
      <c r="V5" s="9" t="n">
        <v>5</v>
      </c>
      <c r="W5" s="9" t="n">
        <v>5</v>
      </c>
      <c r="X5" s="9" t="n">
        <v>4</v>
      </c>
      <c r="Y5" s="9" t="inlineStr">
        <is>
          <t>09:15:00</t>
        </is>
      </c>
      <c r="Z5" s="9" t="inlineStr">
        <is>
          <t>09:18:15</t>
        </is>
      </c>
      <c r="AA5" s="9" t="n">
        <v>195.6</v>
      </c>
      <c r="AB5" s="9" t="inlineStr">
        <is>
          <t>是</t>
        </is>
      </c>
      <c r="AC5" s="9" t="inlineStr">
        <is>
          <t>是</t>
        </is>
      </c>
      <c r="AD5" s="9" t="inlineStr">
        <is>
          <t>是</t>
        </is>
      </c>
      <c r="AE5" s="9" t="inlineStr">
        <is>
          <t>无</t>
        </is>
      </c>
      <c r="AF5" s="9" t="n">
        <v>9.85</v>
      </c>
      <c r="AG5" s="9" t="n">
        <v>0.892</v>
      </c>
      <c r="AH5" s="9" t="n">
        <v>0.9340000000000001</v>
      </c>
      <c r="AI5" s="9" t="n">
        <v>0.985</v>
      </c>
      <c r="AJ5" s="9" t="n">
        <v>0.722</v>
      </c>
      <c r="AK5" s="9" t="inlineStr">
        <is>
          <t>FrozenUncertain</t>
        </is>
      </c>
      <c r="AL5" s="9" t="inlineStr">
        <is>
          <t>否</t>
        </is>
      </c>
      <c r="AM5" s="9" t="n">
        <v>0</v>
      </c>
      <c r="AN5" s="9" t="n">
        <v>5</v>
      </c>
      <c r="AO5" s="9" t="inlineStr">
        <is>
          <t>否</t>
        </is>
      </c>
      <c r="AP5" s="9" t="n">
        <v>3</v>
      </c>
      <c r="AQ5" s="9" t="inlineStr"/>
    </row>
    <row r="6">
      <c r="A6" s="7" t="inlineStr">
        <is>
          <t>P001</t>
        </is>
      </c>
      <c r="B6" s="9" t="n">
        <v>2</v>
      </c>
      <c r="C6" s="9" t="inlineStr">
        <is>
          <t>O1-S1-EA</t>
        </is>
      </c>
      <c r="D6" s="9" t="n">
        <v>1</v>
      </c>
      <c r="E6" s="9" t="inlineStr">
        <is>
          <t>鼠标</t>
        </is>
      </c>
      <c r="F6" s="9" t="inlineStr">
        <is>
          <t>blue_mouse</t>
        </is>
      </c>
      <c r="G6" s="9" t="inlineStr">
        <is>
          <t>方法B</t>
        </is>
      </c>
      <c r="H6" s="9" t="inlineStr">
        <is>
          <t>One-Euro</t>
        </is>
      </c>
      <c r="I6" s="9" t="n">
        <v>2</v>
      </c>
      <c r="J6" s="9" t="n">
        <v>1</v>
      </c>
      <c r="K6" s="9" t="n">
        <v>3</v>
      </c>
      <c r="L6" s="9" t="n">
        <v>4</v>
      </c>
      <c r="M6" s="9" t="n">
        <v>5</v>
      </c>
      <c r="N6" s="9" t="n"/>
      <c r="O6" s="9" t="n">
        <v>4</v>
      </c>
      <c r="P6" s="9" t="n">
        <v>4</v>
      </c>
      <c r="Q6" s="9" t="n">
        <v>4</v>
      </c>
      <c r="R6" s="9" t="n">
        <v>4</v>
      </c>
      <c r="S6" s="9" t="n">
        <v>3</v>
      </c>
      <c r="T6" s="9" t="n">
        <v>4</v>
      </c>
      <c r="U6" s="9" t="n">
        <v>4</v>
      </c>
      <c r="V6" s="9" t="n">
        <v>3</v>
      </c>
      <c r="W6" s="9" t="n">
        <v>4</v>
      </c>
      <c r="X6" s="9" t="n">
        <v>4</v>
      </c>
      <c r="Y6" s="9" t="inlineStr">
        <is>
          <t>09:19:50</t>
        </is>
      </c>
      <c r="Z6" s="9" t="inlineStr">
        <is>
          <t>09:22:57</t>
        </is>
      </c>
      <c r="AA6" s="9" t="n">
        <v>186.7</v>
      </c>
      <c r="AB6" s="9" t="inlineStr">
        <is>
          <t>是</t>
        </is>
      </c>
      <c r="AC6" s="9" t="inlineStr">
        <is>
          <t>是</t>
        </is>
      </c>
      <c r="AD6" s="9" t="inlineStr">
        <is>
          <t>是</t>
        </is>
      </c>
      <c r="AE6" s="9" t="inlineStr">
        <is>
          <t>无</t>
        </is>
      </c>
      <c r="AF6" s="9" t="n">
        <v>9.33</v>
      </c>
      <c r="AG6" s="9" t="n">
        <v>0.889</v>
      </c>
      <c r="AH6" s="9" t="n">
        <v>0.952</v>
      </c>
      <c r="AI6" s="9" t="n">
        <v>0.991</v>
      </c>
      <c r="AJ6" s="9" t="n">
        <v>0.725</v>
      </c>
      <c r="AK6" s="9" t="inlineStr">
        <is>
          <t>FrozenUncertain</t>
        </is>
      </c>
      <c r="AL6" s="9" t="inlineStr">
        <is>
          <t>否</t>
        </is>
      </c>
      <c r="AM6" s="9" t="n">
        <v>0</v>
      </c>
      <c r="AN6" s="9" t="n">
        <v>0</v>
      </c>
      <c r="AO6" s="9" t="inlineStr">
        <is>
          <t>是</t>
        </is>
      </c>
      <c r="AP6" s="9" t="n">
        <v>4</v>
      </c>
      <c r="AQ6" s="9" t="inlineStr"/>
    </row>
    <row r="7">
      <c r="A7" s="7" t="inlineStr">
        <is>
          <t>P001</t>
        </is>
      </c>
      <c r="B7" s="9" t="n">
        <v>3</v>
      </c>
      <c r="C7" s="9" t="inlineStr">
        <is>
          <t>O1-S1-EA</t>
        </is>
      </c>
      <c r="D7" s="9" t="n">
        <v>2</v>
      </c>
      <c r="E7" s="9" t="inlineStr">
        <is>
          <t>固定订书机</t>
        </is>
      </c>
      <c r="F7" s="9" t="inlineStr">
        <is>
          <t>stapler</t>
        </is>
      </c>
      <c r="G7" s="9" t="inlineStr">
        <is>
          <t>方法B</t>
        </is>
      </c>
      <c r="H7" s="9" t="inlineStr">
        <is>
          <t>One-Euro</t>
        </is>
      </c>
      <c r="I7" s="9" t="n">
        <v>1</v>
      </c>
      <c r="J7" s="9" t="n">
        <v>2</v>
      </c>
      <c r="K7" s="9" t="n">
        <v>4</v>
      </c>
      <c r="L7" s="9" t="n">
        <v>5</v>
      </c>
      <c r="M7" s="9" t="n">
        <v>5</v>
      </c>
      <c r="N7" s="9" t="n"/>
      <c r="O7" s="9" t="n">
        <v>5</v>
      </c>
      <c r="P7" s="9" t="n">
        <v>4</v>
      </c>
      <c r="Q7" s="9" t="n">
        <v>4</v>
      </c>
      <c r="R7" s="9" t="n">
        <v>5</v>
      </c>
      <c r="S7" s="9" t="n">
        <v>5</v>
      </c>
      <c r="T7" s="9" t="n">
        <v>4</v>
      </c>
      <c r="U7" s="9" t="n">
        <v>5</v>
      </c>
      <c r="V7" s="9" t="n">
        <v>5</v>
      </c>
      <c r="W7" s="9" t="n">
        <v>5</v>
      </c>
      <c r="X7" s="9" t="n">
        <v>4</v>
      </c>
      <c r="Y7" s="9" t="inlineStr">
        <is>
          <t>09:24:32</t>
        </is>
      </c>
      <c r="Z7" s="9" t="inlineStr">
        <is>
          <t>09:27:16</t>
        </is>
      </c>
      <c r="AA7" s="9" t="n">
        <v>164.3</v>
      </c>
      <c r="AB7" s="9" t="inlineStr">
        <is>
          <t>是</t>
        </is>
      </c>
      <c r="AC7" s="9" t="inlineStr">
        <is>
          <t>是</t>
        </is>
      </c>
      <c r="AD7" s="9" t="inlineStr">
        <is>
          <t>是</t>
        </is>
      </c>
      <c r="AE7" s="9" t="inlineStr">
        <is>
          <t>无</t>
        </is>
      </c>
      <c r="AF7" s="9" t="n">
        <v>9.51</v>
      </c>
      <c r="AG7" s="9" t="n">
        <v>0.931</v>
      </c>
      <c r="AH7" s="9" t="n">
        <v>0.9409999999999999</v>
      </c>
      <c r="AI7" s="9" t="n">
        <v>0.995</v>
      </c>
      <c r="AJ7" s="9" t="n">
        <v>0.827</v>
      </c>
      <c r="AK7" s="9" t="inlineStr">
        <is>
          <t>FrozenUncertain</t>
        </is>
      </c>
      <c r="AL7" s="9" t="inlineStr">
        <is>
          <t>否</t>
        </is>
      </c>
      <c r="AM7" s="9" t="n">
        <v>0</v>
      </c>
      <c r="AN7" s="9" t="n">
        <v>0</v>
      </c>
      <c r="AO7" s="9" t="inlineStr">
        <is>
          <t>否</t>
        </is>
      </c>
      <c r="AP7" s="9" t="n">
        <v>3</v>
      </c>
      <c r="AQ7" s="9" t="inlineStr"/>
    </row>
    <row r="8">
      <c r="A8" s="7" t="inlineStr">
        <is>
          <t>P001</t>
        </is>
      </c>
      <c r="B8" s="9" t="n">
        <v>4</v>
      </c>
      <c r="C8" s="9" t="inlineStr">
        <is>
          <t>O1-S1-EA</t>
        </is>
      </c>
      <c r="D8" s="9" t="n">
        <v>2</v>
      </c>
      <c r="E8" s="9" t="inlineStr">
        <is>
          <t>固定订书机</t>
        </is>
      </c>
      <c r="F8" s="9" t="inlineStr">
        <is>
          <t>stapler</t>
        </is>
      </c>
      <c r="G8" s="9" t="inlineStr">
        <is>
          <t>方法A</t>
        </is>
      </c>
      <c r="H8" s="9" t="inlineStr">
        <is>
          <t>EgoAnchor</t>
        </is>
      </c>
      <c r="I8" s="9" t="n">
        <v>2</v>
      </c>
      <c r="J8" s="9" t="n">
        <v>2</v>
      </c>
      <c r="K8" s="9" t="n">
        <v>5</v>
      </c>
      <c r="L8" s="9" t="n">
        <v>5</v>
      </c>
      <c r="M8" s="9" t="n">
        <v>5</v>
      </c>
      <c r="N8" s="9" t="n"/>
      <c r="O8" s="9" t="n">
        <v>6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7</v>
      </c>
      <c r="V8" s="9" t="n">
        <v>5</v>
      </c>
      <c r="W8" s="9" t="n">
        <v>5</v>
      </c>
      <c r="X8" s="9" t="n">
        <v>6</v>
      </c>
      <c r="Y8" s="9" t="inlineStr">
        <is>
          <t>09:28:51</t>
        </is>
      </c>
      <c r="Z8" s="9" t="inlineStr">
        <is>
          <t>09:31:42</t>
        </is>
      </c>
      <c r="AA8" s="9" t="n">
        <v>170.4</v>
      </c>
      <c r="AB8" s="9" t="inlineStr">
        <is>
          <t>是</t>
        </is>
      </c>
      <c r="AC8" s="9" t="inlineStr">
        <is>
          <t>是</t>
        </is>
      </c>
      <c r="AD8" s="9" t="inlineStr">
        <is>
          <t>是</t>
        </is>
      </c>
      <c r="AE8" s="9" t="inlineStr">
        <is>
          <t>无</t>
        </is>
      </c>
      <c r="AF8" s="9" t="n">
        <v>9.800000000000001</v>
      </c>
      <c r="AG8" s="9" t="n">
        <v>0.917</v>
      </c>
      <c r="AH8" s="9" t="n">
        <v>0.953</v>
      </c>
      <c r="AI8" s="9" t="n">
        <v>0.997</v>
      </c>
      <c r="AJ8" s="9" t="n">
        <v>0.825</v>
      </c>
      <c r="AK8" s="9" t="inlineStr">
        <is>
          <t>FrozenUncertain</t>
        </is>
      </c>
      <c r="AL8" s="9" t="inlineStr">
        <is>
          <t>否</t>
        </is>
      </c>
      <c r="AM8" s="9" t="n">
        <v>0</v>
      </c>
      <c r="AN8" s="9" t="n">
        <v>3</v>
      </c>
      <c r="AO8" s="9" t="inlineStr">
        <is>
          <t>否</t>
        </is>
      </c>
      <c r="AP8" s="9" t="n">
        <v>5</v>
      </c>
      <c r="AQ8" s="9" t="inlineStr"/>
    </row>
    <row r="9">
      <c r="A9" s="7" t="inlineStr">
        <is>
          <t>P001</t>
        </is>
      </c>
      <c r="B9" s="9" t="n">
        <v>5</v>
      </c>
      <c r="C9" s="9" t="inlineStr">
        <is>
          <t>O1-S1-EA</t>
        </is>
      </c>
      <c r="D9" s="9" t="n">
        <v>3</v>
      </c>
      <c r="E9" s="9" t="inlineStr">
        <is>
          <t>游戏手柄</t>
        </is>
      </c>
      <c r="F9" s="9" t="inlineStr">
        <is>
          <t>gamepad</t>
        </is>
      </c>
      <c r="G9" s="9" t="inlineStr">
        <is>
          <t>方法A</t>
        </is>
      </c>
      <c r="H9" s="9" t="inlineStr">
        <is>
          <t>EgoAnchor</t>
        </is>
      </c>
      <c r="I9" s="9" t="n">
        <v>1</v>
      </c>
      <c r="J9" s="9" t="n">
        <v>3</v>
      </c>
      <c r="K9" s="9" t="n">
        <v>4</v>
      </c>
      <c r="L9" s="9" t="n">
        <v>6</v>
      </c>
      <c r="M9" s="9" t="n">
        <v>5</v>
      </c>
      <c r="N9" s="9" t="n"/>
      <c r="O9" s="9" t="n">
        <v>4</v>
      </c>
      <c r="P9" s="9" t="n">
        <v>3</v>
      </c>
      <c r="Q9" s="9" t="n">
        <v>5</v>
      </c>
      <c r="R9" s="9" t="n">
        <v>5</v>
      </c>
      <c r="S9" s="9" t="n">
        <v>5</v>
      </c>
      <c r="T9" s="9" t="n">
        <v>5</v>
      </c>
      <c r="U9" s="9" t="n">
        <v>7</v>
      </c>
      <c r="V9" s="9" t="n">
        <v>7</v>
      </c>
      <c r="W9" s="9" t="n">
        <v>7</v>
      </c>
      <c r="X9" s="9" t="n">
        <v>5</v>
      </c>
      <c r="Y9" s="9" t="inlineStr">
        <is>
          <t>09:33:17</t>
        </is>
      </c>
      <c r="Z9" s="9" t="inlineStr">
        <is>
          <t>09:36:04</t>
        </is>
      </c>
      <c r="AA9" s="9" t="n">
        <v>167.8</v>
      </c>
      <c r="AB9" s="9" t="inlineStr">
        <is>
          <t>是</t>
        </is>
      </c>
      <c r="AC9" s="9" t="inlineStr">
        <is>
          <t>是</t>
        </is>
      </c>
      <c r="AD9" s="9" t="inlineStr">
        <is>
          <t>是</t>
        </is>
      </c>
      <c r="AE9" s="9" t="inlineStr">
        <is>
          <t>无</t>
        </is>
      </c>
      <c r="AF9" s="9" t="n">
        <v>9.449999999999999</v>
      </c>
      <c r="AG9" s="9" t="n">
        <v>0.851</v>
      </c>
      <c r="AH9" s="9" t="n">
        <v>0.93</v>
      </c>
      <c r="AI9" s="9" t="n">
        <v>0.981</v>
      </c>
      <c r="AJ9" s="9" t="n">
        <v>0.847</v>
      </c>
      <c r="AK9" s="9" t="inlineStr">
        <is>
          <t>FrozenUncertain</t>
        </is>
      </c>
      <c r="AL9" s="9" t="inlineStr">
        <is>
          <t>否</t>
        </is>
      </c>
      <c r="AM9" s="9" t="n">
        <v>0</v>
      </c>
      <c r="AN9" s="9" t="n">
        <v>5</v>
      </c>
      <c r="AO9" s="9" t="inlineStr">
        <is>
          <t>是</t>
        </is>
      </c>
      <c r="AP9" s="9" t="n">
        <v>4</v>
      </c>
      <c r="AQ9" s="9" t="inlineStr"/>
    </row>
    <row r="10">
      <c r="A10" s="7" t="inlineStr">
        <is>
          <t>P001</t>
        </is>
      </c>
      <c r="B10" s="9" t="n">
        <v>6</v>
      </c>
      <c r="C10" s="9" t="inlineStr">
        <is>
          <t>O1-S1-EA</t>
        </is>
      </c>
      <c r="D10" s="9" t="n">
        <v>3</v>
      </c>
      <c r="E10" s="9" t="inlineStr">
        <is>
          <t>游戏手柄</t>
        </is>
      </c>
      <c r="F10" s="9" t="inlineStr">
        <is>
          <t>gamepad</t>
        </is>
      </c>
      <c r="G10" s="9" t="inlineStr">
        <is>
          <t>方法B</t>
        </is>
      </c>
      <c r="H10" s="9" t="inlineStr">
        <is>
          <t>One-Euro</t>
        </is>
      </c>
      <c r="I10" s="9" t="n">
        <v>2</v>
      </c>
      <c r="J10" s="9" t="n">
        <v>3</v>
      </c>
      <c r="K10" s="9" t="n">
        <v>3</v>
      </c>
      <c r="L10" s="9" t="n">
        <v>3</v>
      </c>
      <c r="M10" s="9" t="n">
        <v>3</v>
      </c>
      <c r="N10" s="9" t="n"/>
      <c r="O10" s="9" t="n">
        <v>5</v>
      </c>
      <c r="P10" s="9" t="n">
        <v>5</v>
      </c>
      <c r="Q10" s="9" t="n">
        <v>5</v>
      </c>
      <c r="R10" s="9" t="n">
        <v>4</v>
      </c>
      <c r="S10" s="9" t="n">
        <v>5</v>
      </c>
      <c r="T10" s="9" t="n">
        <v>4</v>
      </c>
      <c r="U10" s="9" t="n">
        <v>6</v>
      </c>
      <c r="V10" s="9" t="n">
        <v>6</v>
      </c>
      <c r="W10" s="9" t="n">
        <v>4</v>
      </c>
      <c r="X10" s="9" t="n">
        <v>5</v>
      </c>
      <c r="Y10" s="9" t="inlineStr">
        <is>
          <t>09:37:39</t>
        </is>
      </c>
      <c r="Z10" s="9" t="inlineStr">
        <is>
          <t>09:40:15</t>
        </is>
      </c>
      <c r="AA10" s="9" t="n">
        <v>155.9</v>
      </c>
      <c r="AB10" s="9" t="inlineStr">
        <is>
          <t>是</t>
        </is>
      </c>
      <c r="AC10" s="9" t="inlineStr">
        <is>
          <t>是</t>
        </is>
      </c>
      <c r="AD10" s="9" t="inlineStr">
        <is>
          <t>是</t>
        </is>
      </c>
      <c r="AE10" s="9" t="inlineStr">
        <is>
          <t>无</t>
        </is>
      </c>
      <c r="AF10" s="9" t="n">
        <v>9.210000000000001</v>
      </c>
      <c r="AG10" s="9" t="n">
        <v>0.857</v>
      </c>
      <c r="AH10" s="9" t="n">
        <v>0.899</v>
      </c>
      <c r="AI10" s="9" t="n">
        <v>0.982</v>
      </c>
      <c r="AJ10" s="9" t="n">
        <v>0.876</v>
      </c>
      <c r="AK10" s="9" t="inlineStr">
        <is>
          <t>FrozenUncertain</t>
        </is>
      </c>
      <c r="AL10" s="9" t="inlineStr">
        <is>
          <t>否</t>
        </is>
      </c>
      <c r="AM10" s="9" t="n">
        <v>0</v>
      </c>
      <c r="AN10" s="9" t="n">
        <v>0</v>
      </c>
      <c r="AO10" s="9" t="inlineStr">
        <is>
          <t>否</t>
        </is>
      </c>
      <c r="AP10" s="9" t="n">
        <v>3</v>
      </c>
      <c r="AQ10" s="9" t="inlineStr"/>
    </row>
    <row r="11">
      <c r="A11" s="7" t="inlineStr">
        <is>
          <t>P002</t>
        </is>
      </c>
      <c r="B11" s="9" t="n">
        <v>1</v>
      </c>
      <c r="C11" s="9" t="inlineStr">
        <is>
          <t>O1-S2-EA</t>
        </is>
      </c>
      <c r="D11" s="9" t="n">
        <v>1</v>
      </c>
      <c r="E11" s="9" t="inlineStr">
        <is>
          <t>鼠标</t>
        </is>
      </c>
      <c r="F11" s="9" t="inlineStr">
        <is>
          <t>blue_mouse</t>
        </is>
      </c>
      <c r="G11" s="9" t="inlineStr">
        <is>
          <t>方法B</t>
        </is>
      </c>
      <c r="H11" s="9" t="inlineStr">
        <is>
          <t>One-Euro</t>
        </is>
      </c>
      <c r="I11" s="9" t="n">
        <v>1</v>
      </c>
      <c r="J11" s="9" t="n">
        <v>1</v>
      </c>
      <c r="K11" s="9" t="n">
        <v>3</v>
      </c>
      <c r="L11" s="9" t="n">
        <v>3</v>
      </c>
      <c r="M11" s="9" t="n">
        <v>3</v>
      </c>
      <c r="N11" s="9" t="n"/>
      <c r="O11" s="9" t="n">
        <v>4</v>
      </c>
      <c r="P11" s="9" t="n">
        <v>5</v>
      </c>
      <c r="Q11" s="9" t="n">
        <v>1</v>
      </c>
      <c r="R11" s="9" t="n">
        <v>4</v>
      </c>
      <c r="S11" s="9" t="n">
        <v>5</v>
      </c>
      <c r="T11" s="9" t="n">
        <v>3</v>
      </c>
      <c r="U11" s="9" t="n">
        <v>6</v>
      </c>
      <c r="V11" s="9" t="n">
        <v>6</v>
      </c>
      <c r="W11" s="9" t="n">
        <v>1</v>
      </c>
      <c r="X11" s="9" t="n">
        <v>4</v>
      </c>
      <c r="Y11" s="9" t="inlineStr">
        <is>
          <t>09:15:00</t>
        </is>
      </c>
      <c r="Z11" s="9" t="inlineStr">
        <is>
          <t>09:16:59</t>
        </is>
      </c>
      <c r="AA11" s="9" t="n">
        <v>119.7</v>
      </c>
      <c r="AB11" s="9" t="inlineStr">
        <is>
          <t>是</t>
        </is>
      </c>
      <c r="AC11" s="9" t="inlineStr">
        <is>
          <t>是</t>
        </is>
      </c>
      <c r="AD11" s="9" t="inlineStr">
        <is>
          <t>是</t>
        </is>
      </c>
      <c r="AE11" s="9" t="inlineStr">
        <is>
          <t>无</t>
        </is>
      </c>
      <c r="AF11" s="9" t="n">
        <v>9.24</v>
      </c>
      <c r="AG11" s="9" t="n">
        <v>0.879</v>
      </c>
      <c r="AH11" s="9" t="n">
        <v>0.913</v>
      </c>
      <c r="AI11" s="9" t="n">
        <v>0.987</v>
      </c>
      <c r="AJ11" s="9" t="n">
        <v>0.712</v>
      </c>
      <c r="AK11" s="9" t="inlineStr">
        <is>
          <t>FrozenUncertain</t>
        </is>
      </c>
      <c r="AL11" s="9" t="inlineStr">
        <is>
          <t>否</t>
        </is>
      </c>
      <c r="AM11" s="9" t="n">
        <v>0</v>
      </c>
      <c r="AN11" s="9" t="n">
        <v>0</v>
      </c>
      <c r="AO11" s="9" t="inlineStr">
        <is>
          <t>否</t>
        </is>
      </c>
      <c r="AP11" s="9" t="n">
        <v>3</v>
      </c>
      <c r="AQ11" s="9" t="inlineStr">
        <is>
          <t>灾难性恢复失效(&gt;40mm 级)</t>
        </is>
      </c>
    </row>
    <row r="12">
      <c r="A12" s="7" t="inlineStr">
        <is>
          <t>P002</t>
        </is>
      </c>
      <c r="B12" s="9" t="n">
        <v>2</v>
      </c>
      <c r="C12" s="9" t="inlineStr">
        <is>
          <t>O1-S2-EA</t>
        </is>
      </c>
      <c r="D12" s="9" t="n">
        <v>1</v>
      </c>
      <c r="E12" s="9" t="inlineStr">
        <is>
          <t>鼠标</t>
        </is>
      </c>
      <c r="F12" s="9" t="inlineStr">
        <is>
          <t>blue_mouse</t>
        </is>
      </c>
      <c r="G12" s="9" t="inlineStr">
        <is>
          <t>方法A</t>
        </is>
      </c>
      <c r="H12" s="9" t="inlineStr">
        <is>
          <t>EgoAnchor</t>
        </is>
      </c>
      <c r="I12" s="9" t="n">
        <v>2</v>
      </c>
      <c r="J12" s="9" t="n">
        <v>1</v>
      </c>
      <c r="K12" s="9" t="n">
        <v>6</v>
      </c>
      <c r="L12" s="9" t="n">
        <v>5</v>
      </c>
      <c r="M12" s="9" t="n">
        <v>5</v>
      </c>
      <c r="N12" s="9" t="n"/>
      <c r="O12" s="9" t="n">
        <v>5</v>
      </c>
      <c r="P12" s="9" t="n">
        <v>5</v>
      </c>
      <c r="Q12" s="9" t="n">
        <v>6</v>
      </c>
      <c r="R12" s="9" t="n">
        <v>6</v>
      </c>
      <c r="S12" s="9" t="n">
        <v>6</v>
      </c>
      <c r="T12" s="9" t="n">
        <v>7</v>
      </c>
      <c r="U12" s="9" t="n">
        <v>7</v>
      </c>
      <c r="V12" s="9" t="n">
        <v>6</v>
      </c>
      <c r="W12" s="9" t="n">
        <v>6</v>
      </c>
      <c r="X12" s="9" t="n">
        <v>5</v>
      </c>
      <c r="Y12" s="9" t="inlineStr">
        <is>
          <t>09:18:34</t>
        </is>
      </c>
      <c r="Z12" s="9" t="inlineStr">
        <is>
          <t>09:20:37</t>
        </is>
      </c>
      <c r="AA12" s="9" t="n">
        <v>122.3</v>
      </c>
      <c r="AB12" s="9" t="inlineStr">
        <is>
          <t>是</t>
        </is>
      </c>
      <c r="AC12" s="9" t="inlineStr">
        <is>
          <t>是</t>
        </is>
      </c>
      <c r="AD12" s="9" t="inlineStr">
        <is>
          <t>是</t>
        </is>
      </c>
      <c r="AE12" s="9" t="inlineStr">
        <is>
          <t>无</t>
        </is>
      </c>
      <c r="AF12" s="9" t="n">
        <v>9.4</v>
      </c>
      <c r="AG12" s="9" t="n">
        <v>0.929</v>
      </c>
      <c r="AH12" s="9" t="n">
        <v>0.96</v>
      </c>
      <c r="AI12" s="9" t="n">
        <v>0.988</v>
      </c>
      <c r="AJ12" s="9" t="n">
        <v>0.716</v>
      </c>
      <c r="AK12" s="9" t="inlineStr">
        <is>
          <t>FrozenUncertain</t>
        </is>
      </c>
      <c r="AL12" s="9" t="inlineStr">
        <is>
          <t>否</t>
        </is>
      </c>
      <c r="AM12" s="9" t="n">
        <v>0</v>
      </c>
      <c r="AN12" s="9" t="n">
        <v>8</v>
      </c>
      <c r="AO12" s="9" t="inlineStr">
        <is>
          <t>否</t>
        </is>
      </c>
      <c r="AP12" s="9" t="n">
        <v>4</v>
      </c>
      <c r="AQ12" s="9" t="inlineStr"/>
    </row>
    <row r="13">
      <c r="A13" s="7" t="inlineStr">
        <is>
          <t>P002</t>
        </is>
      </c>
      <c r="B13" s="9" t="n">
        <v>3</v>
      </c>
      <c r="C13" s="9" t="inlineStr">
        <is>
          <t>O1-S2-EA</t>
        </is>
      </c>
      <c r="D13" s="9" t="n">
        <v>2</v>
      </c>
      <c r="E13" s="9" t="inlineStr">
        <is>
          <t>固定订书机</t>
        </is>
      </c>
      <c r="F13" s="9" t="inlineStr">
        <is>
          <t>stapler</t>
        </is>
      </c>
      <c r="G13" s="9" t="inlineStr">
        <is>
          <t>方法A</t>
        </is>
      </c>
      <c r="H13" s="9" t="inlineStr">
        <is>
          <t>EgoAnchor</t>
        </is>
      </c>
      <c r="I13" s="9" t="n">
        <v>1</v>
      </c>
      <c r="J13" s="9" t="n">
        <v>2</v>
      </c>
      <c r="K13" s="9" t="n">
        <v>6</v>
      </c>
      <c r="L13" s="9" t="n">
        <v>5</v>
      </c>
      <c r="M13" s="9" t="n">
        <v>6</v>
      </c>
      <c r="N13" s="9" t="n"/>
      <c r="O13" s="9" t="n">
        <v>5</v>
      </c>
      <c r="P13" s="9" t="n">
        <v>6</v>
      </c>
      <c r="Q13" s="9" t="n">
        <v>5</v>
      </c>
      <c r="R13" s="9" t="n">
        <v>6</v>
      </c>
      <c r="S13" s="9" t="n">
        <v>7</v>
      </c>
      <c r="T13" s="9" t="n">
        <v>6</v>
      </c>
      <c r="U13" s="9" t="n">
        <v>6</v>
      </c>
      <c r="V13" s="9" t="n">
        <v>6</v>
      </c>
      <c r="W13" s="9" t="n">
        <v>5</v>
      </c>
      <c r="X13" s="9" t="n">
        <v>6</v>
      </c>
      <c r="Y13" s="9" t="inlineStr">
        <is>
          <t>09:22:12</t>
        </is>
      </c>
      <c r="Z13" s="9" t="inlineStr">
        <is>
          <t>09:23:54</t>
        </is>
      </c>
      <c r="AA13" s="9" t="n">
        <v>102.4</v>
      </c>
      <c r="AB13" s="9" t="inlineStr">
        <is>
          <t>是</t>
        </is>
      </c>
      <c r="AC13" s="9" t="inlineStr">
        <is>
          <t>是</t>
        </is>
      </c>
      <c r="AD13" s="9" t="inlineStr">
        <is>
          <t>是</t>
        </is>
      </c>
      <c r="AE13" s="9" t="inlineStr">
        <is>
          <t>无</t>
        </is>
      </c>
      <c r="AF13" s="9" t="n">
        <v>9.640000000000001</v>
      </c>
      <c r="AG13" s="9" t="n">
        <v>0.9409999999999999</v>
      </c>
      <c r="AH13" s="9" t="n">
        <v>0.96</v>
      </c>
      <c r="AI13" s="9" t="n">
        <v>0.998</v>
      </c>
      <c r="AJ13" s="9" t="n">
        <v>0.782</v>
      </c>
      <c r="AK13" s="9" t="inlineStr">
        <is>
          <t>FrozenUncertain</t>
        </is>
      </c>
      <c r="AL13" s="9" t="inlineStr">
        <is>
          <t>否</t>
        </is>
      </c>
      <c r="AM13" s="9" t="n">
        <v>0</v>
      </c>
      <c r="AN13" s="9" t="n">
        <v>5</v>
      </c>
      <c r="AO13" s="9" t="inlineStr">
        <is>
          <t>否</t>
        </is>
      </c>
      <c r="AP13" s="9" t="n">
        <v>3</v>
      </c>
      <c r="AQ13" s="9" t="inlineStr"/>
    </row>
    <row r="14">
      <c r="A14" s="7" t="inlineStr">
        <is>
          <t>P002</t>
        </is>
      </c>
      <c r="B14" s="9" t="n">
        <v>4</v>
      </c>
      <c r="C14" s="9" t="inlineStr">
        <is>
          <t>O1-S2-EA</t>
        </is>
      </c>
      <c r="D14" s="9" t="n">
        <v>2</v>
      </c>
      <c r="E14" s="9" t="inlineStr">
        <is>
          <t>固定订书机</t>
        </is>
      </c>
      <c r="F14" s="9" t="inlineStr">
        <is>
          <t>stapler</t>
        </is>
      </c>
      <c r="G14" s="9" t="inlineStr">
        <is>
          <t>方法B</t>
        </is>
      </c>
      <c r="H14" s="9" t="inlineStr">
        <is>
          <t>One-Euro</t>
        </is>
      </c>
      <c r="I14" s="9" t="n">
        <v>2</v>
      </c>
      <c r="J14" s="9" t="n">
        <v>2</v>
      </c>
      <c r="K14" s="9" t="n">
        <v>5</v>
      </c>
      <c r="L14" s="9" t="n">
        <v>6</v>
      </c>
      <c r="M14" s="9" t="n">
        <v>5</v>
      </c>
      <c r="N14" s="9" t="n"/>
      <c r="O14" s="9" t="n">
        <v>6</v>
      </c>
      <c r="P14" s="9" t="n">
        <v>5</v>
      </c>
      <c r="Q14" s="9" t="n">
        <v>4</v>
      </c>
      <c r="R14" s="9" t="n">
        <v>4</v>
      </c>
      <c r="S14" s="9" t="n">
        <v>6</v>
      </c>
      <c r="T14" s="9" t="n">
        <v>5</v>
      </c>
      <c r="U14" s="9" t="n">
        <v>6</v>
      </c>
      <c r="V14" s="9" t="n">
        <v>6</v>
      </c>
      <c r="W14" s="9" t="n">
        <v>5</v>
      </c>
      <c r="X14" s="9" t="n">
        <v>4</v>
      </c>
      <c r="Y14" s="9" t="inlineStr">
        <is>
          <t>09:25:29</t>
        </is>
      </c>
      <c r="Z14" s="9" t="inlineStr">
        <is>
          <t>09:27:37</t>
        </is>
      </c>
      <c r="AA14" s="9" t="n">
        <v>127.7</v>
      </c>
      <c r="AB14" s="9" t="inlineStr">
        <is>
          <t>是</t>
        </is>
      </c>
      <c r="AC14" s="9" t="inlineStr">
        <is>
          <t>是</t>
        </is>
      </c>
      <c r="AD14" s="9" t="inlineStr">
        <is>
          <t>是</t>
        </is>
      </c>
      <c r="AE14" s="9" t="inlineStr">
        <is>
          <t>无</t>
        </is>
      </c>
      <c r="AF14" s="9" t="n">
        <v>9.25</v>
      </c>
      <c r="AG14" s="9" t="n">
        <v>0.9320000000000001</v>
      </c>
      <c r="AH14" s="9" t="n">
        <v>0.976</v>
      </c>
      <c r="AI14" s="9" t="n">
        <v>0.98</v>
      </c>
      <c r="AJ14" s="9" t="n">
        <v>0.741</v>
      </c>
      <c r="AK14" s="9" t="inlineStr">
        <is>
          <t>FrozenUncertain</t>
        </is>
      </c>
      <c r="AL14" s="9" t="inlineStr">
        <is>
          <t>否</t>
        </is>
      </c>
      <c r="AM14" s="9" t="n">
        <v>0</v>
      </c>
      <c r="AN14" s="9" t="n">
        <v>0</v>
      </c>
      <c r="AO14" s="9" t="inlineStr">
        <is>
          <t>否</t>
        </is>
      </c>
      <c r="AP14" s="9" t="n">
        <v>2</v>
      </c>
      <c r="AQ14" s="9" t="inlineStr"/>
    </row>
    <row r="15">
      <c r="A15" s="7" t="inlineStr">
        <is>
          <t>P002</t>
        </is>
      </c>
      <c r="B15" s="9" t="n">
        <v>5</v>
      </c>
      <c r="C15" s="9" t="inlineStr">
        <is>
          <t>O1-S2-EA</t>
        </is>
      </c>
      <c r="D15" s="9" t="n">
        <v>3</v>
      </c>
      <c r="E15" s="9" t="inlineStr">
        <is>
          <t>游戏手柄</t>
        </is>
      </c>
      <c r="F15" s="9" t="inlineStr">
        <is>
          <t>gamepad</t>
        </is>
      </c>
      <c r="G15" s="9" t="inlineStr">
        <is>
          <t>方法B</t>
        </is>
      </c>
      <c r="H15" s="9" t="inlineStr">
        <is>
          <t>One-Euro</t>
        </is>
      </c>
      <c r="I15" s="9" t="n">
        <v>1</v>
      </c>
      <c r="J15" s="9" t="n">
        <v>3</v>
      </c>
      <c r="K15" s="9" t="n">
        <v>5</v>
      </c>
      <c r="L15" s="9" t="n">
        <v>3</v>
      </c>
      <c r="M15" s="9" t="n">
        <v>4</v>
      </c>
      <c r="N15" s="9" t="n"/>
      <c r="O15" s="9" t="n">
        <v>5</v>
      </c>
      <c r="P15" s="9" t="n">
        <v>4</v>
      </c>
      <c r="Q15" s="9" t="n">
        <v>5</v>
      </c>
      <c r="R15" s="9" t="n">
        <v>5</v>
      </c>
      <c r="S15" s="9" t="n">
        <v>5</v>
      </c>
      <c r="T15" s="9" t="n">
        <v>4</v>
      </c>
      <c r="U15" s="9" t="n">
        <v>6</v>
      </c>
      <c r="V15" s="9" t="n">
        <v>5</v>
      </c>
      <c r="W15" s="9" t="n">
        <v>4</v>
      </c>
      <c r="X15" s="9" t="n">
        <v>4</v>
      </c>
      <c r="Y15" s="9" t="inlineStr">
        <is>
          <t>09:29:12</t>
        </is>
      </c>
      <c r="Z15" s="9" t="inlineStr">
        <is>
          <t>09:30:56</t>
        </is>
      </c>
      <c r="AA15" s="9" t="n">
        <v>103.9</v>
      </c>
      <c r="AB15" s="9" t="inlineStr">
        <is>
          <t>是</t>
        </is>
      </c>
      <c r="AC15" s="9" t="inlineStr">
        <is>
          <t>是</t>
        </is>
      </c>
      <c r="AD15" s="9" t="inlineStr">
        <is>
          <t>是</t>
        </is>
      </c>
      <c r="AE15" s="9" t="inlineStr">
        <is>
          <t>无</t>
        </is>
      </c>
      <c r="AF15" s="9" t="n">
        <v>9.220000000000001</v>
      </c>
      <c r="AG15" s="9" t="n">
        <v>0.868</v>
      </c>
      <c r="AH15" s="9" t="n">
        <v>0.911</v>
      </c>
      <c r="AI15" s="9" t="n">
        <v>0.973</v>
      </c>
      <c r="AJ15" s="9" t="n">
        <v>0.743</v>
      </c>
      <c r="AK15" s="9" t="inlineStr">
        <is>
          <t>FrozenUncertain</t>
        </is>
      </c>
      <c r="AL15" s="9" t="inlineStr">
        <is>
          <t>否</t>
        </is>
      </c>
      <c r="AM15" s="9" t="n">
        <v>0</v>
      </c>
      <c r="AN15" s="9" t="n">
        <v>0</v>
      </c>
      <c r="AO15" s="9" t="inlineStr">
        <is>
          <t>否</t>
        </is>
      </c>
      <c r="AP15" s="9" t="n">
        <v>3</v>
      </c>
      <c r="AQ15" s="9" t="inlineStr"/>
    </row>
    <row r="16">
      <c r="A16" s="7" t="inlineStr">
        <is>
          <t>P002</t>
        </is>
      </c>
      <c r="B16" s="9" t="n">
        <v>6</v>
      </c>
      <c r="C16" s="9" t="inlineStr">
        <is>
          <t>O1-S2-EA</t>
        </is>
      </c>
      <c r="D16" s="9" t="n">
        <v>3</v>
      </c>
      <c r="E16" s="9" t="inlineStr">
        <is>
          <t>游戏手柄</t>
        </is>
      </c>
      <c r="F16" s="9" t="inlineStr">
        <is>
          <t>gamepad</t>
        </is>
      </c>
      <c r="G16" s="9" t="inlineStr">
        <is>
          <t>方法A</t>
        </is>
      </c>
      <c r="H16" s="9" t="inlineStr">
        <is>
          <t>EgoAnchor</t>
        </is>
      </c>
      <c r="I16" s="9" t="n">
        <v>2</v>
      </c>
      <c r="J16" s="9" t="n">
        <v>3</v>
      </c>
      <c r="K16" s="9" t="n">
        <v>4</v>
      </c>
      <c r="L16" s="9" t="n">
        <v>7</v>
      </c>
      <c r="M16" s="9" t="n">
        <v>6</v>
      </c>
      <c r="N16" s="9" t="n"/>
      <c r="O16" s="9" t="n">
        <v>4</v>
      </c>
      <c r="P16" s="9" t="n">
        <v>2</v>
      </c>
      <c r="Q16" s="9" t="n">
        <v>3</v>
      </c>
      <c r="R16" s="9" t="n">
        <v>4</v>
      </c>
      <c r="S16" s="9" t="n">
        <v>7</v>
      </c>
      <c r="T16" s="9" t="n">
        <v>6</v>
      </c>
      <c r="U16" s="9" t="n">
        <v>5</v>
      </c>
      <c r="V16" s="9" t="n">
        <v>7</v>
      </c>
      <c r="W16" s="9" t="n">
        <v>7</v>
      </c>
      <c r="X16" s="9" t="n">
        <v>7</v>
      </c>
      <c r="Y16" s="9" t="inlineStr">
        <is>
          <t>09:32:31</t>
        </is>
      </c>
      <c r="Z16" s="9" t="inlineStr">
        <is>
          <t>09:34:41</t>
        </is>
      </c>
      <c r="AA16" s="9" t="n">
        <v>130.3</v>
      </c>
      <c r="AB16" s="9" t="inlineStr">
        <is>
          <t>是</t>
        </is>
      </c>
      <c r="AC16" s="9" t="inlineStr">
        <is>
          <t>是</t>
        </is>
      </c>
      <c r="AD16" s="9" t="inlineStr">
        <is>
          <t>是</t>
        </is>
      </c>
      <c r="AE16" s="9" t="inlineStr">
        <is>
          <t>无</t>
        </is>
      </c>
      <c r="AF16" s="9" t="n">
        <v>9.18</v>
      </c>
      <c r="AG16" s="9" t="n">
        <v>0.89</v>
      </c>
      <c r="AH16" s="9" t="n">
        <v>0.918</v>
      </c>
      <c r="AI16" s="9" t="n">
        <v>0.969</v>
      </c>
      <c r="AJ16" s="9" t="n">
        <v>0.8179999999999999</v>
      </c>
      <c r="AK16" s="9" t="inlineStr">
        <is>
          <t>FrozenUncertain</t>
        </is>
      </c>
      <c r="AL16" s="9" t="inlineStr">
        <is>
          <t>否</t>
        </is>
      </c>
      <c r="AM16" s="9" t="n">
        <v>0</v>
      </c>
      <c r="AN16" s="9" t="n">
        <v>4</v>
      </c>
      <c r="AO16" s="9" t="inlineStr">
        <is>
          <t>是</t>
        </is>
      </c>
      <c r="AP16" s="9" t="n">
        <v>3</v>
      </c>
      <c r="AQ16" s="9" t="inlineStr"/>
    </row>
    <row r="17">
      <c r="A17" s="7" t="inlineStr">
        <is>
          <t>P003</t>
        </is>
      </c>
      <c r="B17" s="9" t="n">
        <v>1</v>
      </c>
      <c r="C17" s="9" t="inlineStr">
        <is>
          <t>O1-S2-OE</t>
        </is>
      </c>
      <c r="D17" s="9" t="n">
        <v>1</v>
      </c>
      <c r="E17" s="9" t="inlineStr">
        <is>
          <t>鼠标</t>
        </is>
      </c>
      <c r="F17" s="9" t="inlineStr">
        <is>
          <t>blue_mouse</t>
        </is>
      </c>
      <c r="G17" s="9" t="inlineStr">
        <is>
          <t>方法B</t>
        </is>
      </c>
      <c r="H17" s="9" t="inlineStr">
        <is>
          <t>EgoAnchor</t>
        </is>
      </c>
      <c r="I17" s="9" t="n">
        <v>1</v>
      </c>
      <c r="J17" s="9" t="n">
        <v>1</v>
      </c>
      <c r="K17" s="9" t="n">
        <v>6</v>
      </c>
      <c r="L17" s="9" t="n">
        <v>5</v>
      </c>
      <c r="M17" s="9" t="n">
        <v>5</v>
      </c>
      <c r="N17" s="9" t="n"/>
      <c r="O17" s="9" t="n">
        <v>5</v>
      </c>
      <c r="P17" s="9" t="n">
        <v>5</v>
      </c>
      <c r="Q17" s="9" t="n">
        <v>4</v>
      </c>
      <c r="R17" s="9" t="n">
        <v>6</v>
      </c>
      <c r="S17" s="9" t="n">
        <v>6</v>
      </c>
      <c r="T17" s="9" t="n">
        <v>5</v>
      </c>
      <c r="U17" s="9" t="n">
        <v>6</v>
      </c>
      <c r="V17" s="9" t="n">
        <v>5</v>
      </c>
      <c r="W17" s="9" t="n">
        <v>6</v>
      </c>
      <c r="X17" s="9" t="n">
        <v>7</v>
      </c>
      <c r="Y17" s="9" t="inlineStr">
        <is>
          <t>09:15:00</t>
        </is>
      </c>
      <c r="Z17" s="9" t="inlineStr">
        <is>
          <t>09:16:52</t>
        </is>
      </c>
      <c r="AA17" s="9" t="n">
        <v>112.8</v>
      </c>
      <c r="AB17" s="9" t="inlineStr">
        <is>
          <t>是</t>
        </is>
      </c>
      <c r="AC17" s="9" t="inlineStr">
        <is>
          <t>是</t>
        </is>
      </c>
      <c r="AD17" s="9" t="inlineStr">
        <is>
          <t>是</t>
        </is>
      </c>
      <c r="AE17" s="9" t="inlineStr">
        <is>
          <t>无</t>
        </is>
      </c>
      <c r="AF17" s="9" t="n">
        <v>9.35</v>
      </c>
      <c r="AG17" s="9" t="n">
        <v>0.896</v>
      </c>
      <c r="AH17" s="9" t="n">
        <v>0.927</v>
      </c>
      <c r="AI17" s="9" t="n">
        <v>0.98</v>
      </c>
      <c r="AJ17" s="9" t="n">
        <v>0.738</v>
      </c>
      <c r="AK17" s="9" t="inlineStr">
        <is>
          <t>FrozenUncertain</t>
        </is>
      </c>
      <c r="AL17" s="9" t="inlineStr">
        <is>
          <t>否</t>
        </is>
      </c>
      <c r="AM17" s="9" t="n">
        <v>0</v>
      </c>
      <c r="AN17" s="9" t="n">
        <v>6</v>
      </c>
      <c r="AO17" s="9" t="inlineStr">
        <is>
          <t>否</t>
        </is>
      </c>
      <c r="AP17" s="9" t="n">
        <v>4</v>
      </c>
      <c r="AQ17" s="9" t="inlineStr"/>
    </row>
    <row r="18">
      <c r="A18" s="7" t="inlineStr">
        <is>
          <t>P003</t>
        </is>
      </c>
      <c r="B18" s="9" t="n">
        <v>2</v>
      </c>
      <c r="C18" s="9" t="inlineStr">
        <is>
          <t>O1-S2-OE</t>
        </is>
      </c>
      <c r="D18" s="9" t="n">
        <v>1</v>
      </c>
      <c r="E18" s="9" t="inlineStr">
        <is>
          <t>鼠标</t>
        </is>
      </c>
      <c r="F18" s="9" t="inlineStr">
        <is>
          <t>blue_mouse</t>
        </is>
      </c>
      <c r="G18" s="9" t="inlineStr">
        <is>
          <t>方法A</t>
        </is>
      </c>
      <c r="H18" s="9" t="inlineStr">
        <is>
          <t>One-Euro</t>
        </is>
      </c>
      <c r="I18" s="9" t="n">
        <v>2</v>
      </c>
      <c r="J18" s="9" t="n">
        <v>1</v>
      </c>
      <c r="K18" s="9" t="n">
        <v>5</v>
      </c>
      <c r="L18" s="9" t="n">
        <v>6</v>
      </c>
      <c r="M18" s="9" t="n">
        <v>4</v>
      </c>
      <c r="N18" s="9" t="n"/>
      <c r="O18" s="9" t="n">
        <v>6</v>
      </c>
      <c r="P18" s="9" t="n">
        <v>4</v>
      </c>
      <c r="Q18" s="9" t="n">
        <v>4</v>
      </c>
      <c r="R18" s="9" t="n">
        <v>3</v>
      </c>
      <c r="S18" s="9" t="n">
        <v>4</v>
      </c>
      <c r="T18" s="9" t="n">
        <v>4</v>
      </c>
      <c r="U18" s="9" t="n">
        <v>6</v>
      </c>
      <c r="V18" s="9" t="n">
        <v>6</v>
      </c>
      <c r="W18" s="9" t="n">
        <v>4</v>
      </c>
      <c r="X18" s="9" t="n">
        <v>3</v>
      </c>
      <c r="Y18" s="9" t="inlineStr">
        <is>
          <t>09:18:27</t>
        </is>
      </c>
      <c r="Z18" s="9" t="inlineStr">
        <is>
          <t>09:20:30</t>
        </is>
      </c>
      <c r="AA18" s="9" t="n">
        <v>122.8</v>
      </c>
      <c r="AB18" s="9" t="inlineStr">
        <is>
          <t>是</t>
        </is>
      </c>
      <c r="AC18" s="9" t="inlineStr">
        <is>
          <t>是</t>
        </is>
      </c>
      <c r="AD18" s="9" t="inlineStr">
        <is>
          <t>是</t>
        </is>
      </c>
      <c r="AE18" s="9" t="inlineStr">
        <is>
          <t>无</t>
        </is>
      </c>
      <c r="AF18" s="9" t="n">
        <v>9.630000000000001</v>
      </c>
      <c r="AG18" s="9" t="n">
        <v>0.909</v>
      </c>
      <c r="AH18" s="9" t="n">
        <v>0.962</v>
      </c>
      <c r="AI18" s="9" t="n">
        <v>0.985</v>
      </c>
      <c r="AJ18" s="9" t="n">
        <v>0.781</v>
      </c>
      <c r="AK18" s="9" t="inlineStr">
        <is>
          <t>FrozenUncertain</t>
        </is>
      </c>
      <c r="AL18" s="9" t="inlineStr">
        <is>
          <t>否</t>
        </is>
      </c>
      <c r="AM18" s="9" t="n">
        <v>0</v>
      </c>
      <c r="AN18" s="9" t="n">
        <v>0</v>
      </c>
      <c r="AO18" s="9" t="inlineStr">
        <is>
          <t>是</t>
        </is>
      </c>
      <c r="AP18" s="9" t="n">
        <v>2</v>
      </c>
      <c r="AQ18" s="9" t="inlineStr"/>
    </row>
    <row r="19">
      <c r="A19" s="7" t="inlineStr">
        <is>
          <t>P003</t>
        </is>
      </c>
      <c r="B19" s="9" t="n">
        <v>3</v>
      </c>
      <c r="C19" s="9" t="inlineStr">
        <is>
          <t>O1-S2-OE</t>
        </is>
      </c>
      <c r="D19" s="9" t="n">
        <v>2</v>
      </c>
      <c r="E19" s="9" t="inlineStr">
        <is>
          <t>固定订书机</t>
        </is>
      </c>
      <c r="F19" s="9" t="inlineStr">
        <is>
          <t>stapler</t>
        </is>
      </c>
      <c r="G19" s="9" t="inlineStr">
        <is>
          <t>方法A</t>
        </is>
      </c>
      <c r="H19" s="9" t="inlineStr">
        <is>
          <t>One-Euro</t>
        </is>
      </c>
      <c r="I19" s="9" t="n">
        <v>1</v>
      </c>
      <c r="J19" s="9" t="n">
        <v>2</v>
      </c>
      <c r="K19" s="9" t="n">
        <v>4</v>
      </c>
      <c r="L19" s="9" t="n">
        <v>4</v>
      </c>
      <c r="M19" s="9" t="n">
        <v>4</v>
      </c>
      <c r="N19" s="9" t="n"/>
      <c r="O19" s="9" t="n">
        <v>5</v>
      </c>
      <c r="P19" s="9" t="n">
        <v>4</v>
      </c>
      <c r="Q19" s="9" t="n">
        <v>4</v>
      </c>
      <c r="R19" s="9" t="n">
        <v>5</v>
      </c>
      <c r="S19" s="9" t="n">
        <v>6</v>
      </c>
      <c r="T19" s="9" t="n">
        <v>5</v>
      </c>
      <c r="U19" s="9" t="n">
        <v>6</v>
      </c>
      <c r="V19" s="9" t="n">
        <v>4</v>
      </c>
      <c r="W19" s="9" t="n">
        <v>5</v>
      </c>
      <c r="X19" s="9" t="n">
        <v>4</v>
      </c>
      <c r="Y19" s="9" t="inlineStr">
        <is>
          <t>09:22:05</t>
        </is>
      </c>
      <c r="Z19" s="9" t="inlineStr">
        <is>
          <t>09:24:11</t>
        </is>
      </c>
      <c r="AA19" s="9" t="n">
        <v>125.8</v>
      </c>
      <c r="AB19" s="9" t="inlineStr">
        <is>
          <t>是</t>
        </is>
      </c>
      <c r="AC19" s="9" t="inlineStr">
        <is>
          <t>是</t>
        </is>
      </c>
      <c r="AD19" s="9" t="inlineStr">
        <is>
          <t>是</t>
        </is>
      </c>
      <c r="AE19" s="9" t="inlineStr">
        <is>
          <t>无</t>
        </is>
      </c>
      <c r="AF19" s="9" t="n">
        <v>9.800000000000001</v>
      </c>
      <c r="AG19" s="9" t="n">
        <v>0.9</v>
      </c>
      <c r="AH19" s="9" t="n">
        <v>0.955</v>
      </c>
      <c r="AI19" s="9" t="n">
        <v>0.989</v>
      </c>
      <c r="AJ19" s="9" t="n">
        <v>0.6909999999999999</v>
      </c>
      <c r="AK19" s="9" t="inlineStr">
        <is>
          <t>FrozenUncertain</t>
        </is>
      </c>
      <c r="AL19" s="9" t="inlineStr">
        <is>
          <t>否</t>
        </is>
      </c>
      <c r="AM19" s="9" t="n">
        <v>0</v>
      </c>
      <c r="AN19" s="9" t="n">
        <v>0</v>
      </c>
      <c r="AO19" s="9" t="inlineStr">
        <is>
          <t>否</t>
        </is>
      </c>
      <c r="AP19" s="9" t="n">
        <v>3</v>
      </c>
      <c r="AQ19" s="9" t="inlineStr"/>
    </row>
    <row r="20">
      <c r="A20" s="7" t="inlineStr">
        <is>
          <t>P003</t>
        </is>
      </c>
      <c r="B20" s="9" t="n">
        <v>4</v>
      </c>
      <c r="C20" s="9" t="inlineStr">
        <is>
          <t>O1-S2-OE</t>
        </is>
      </c>
      <c r="D20" s="9" t="n">
        <v>2</v>
      </c>
      <c r="E20" s="9" t="inlineStr">
        <is>
          <t>固定订书机</t>
        </is>
      </c>
      <c r="F20" s="9" t="inlineStr">
        <is>
          <t>stapler</t>
        </is>
      </c>
      <c r="G20" s="9" t="inlineStr">
        <is>
          <t>方法B</t>
        </is>
      </c>
      <c r="H20" s="9" t="inlineStr">
        <is>
          <t>EgoAnchor</t>
        </is>
      </c>
      <c r="I20" s="9" t="n">
        <v>2</v>
      </c>
      <c r="J20" s="9" t="n">
        <v>2</v>
      </c>
      <c r="K20" s="9" t="n">
        <v>7</v>
      </c>
      <c r="L20" s="9" t="n">
        <v>6</v>
      </c>
      <c r="M20" s="9" t="n">
        <v>6</v>
      </c>
      <c r="N20" s="9" t="n"/>
      <c r="O20" s="9" t="n">
        <v>5</v>
      </c>
      <c r="P20" s="9" t="n">
        <v>6</v>
      </c>
      <c r="Q20" s="9" t="n">
        <v>5</v>
      </c>
      <c r="R20" s="9" t="n">
        <v>6</v>
      </c>
      <c r="S20" s="9" t="n">
        <v>6</v>
      </c>
      <c r="T20" s="9" t="n">
        <v>6</v>
      </c>
      <c r="U20" s="9" t="n">
        <v>6</v>
      </c>
      <c r="V20" s="9" t="n">
        <v>6</v>
      </c>
      <c r="W20" s="9" t="n">
        <v>6</v>
      </c>
      <c r="X20" s="9" t="n">
        <v>6</v>
      </c>
      <c r="Y20" s="9" t="inlineStr">
        <is>
          <t>09:25:46</t>
        </is>
      </c>
      <c r="Z20" s="9" t="inlineStr">
        <is>
          <t>09:28:07</t>
        </is>
      </c>
      <c r="AA20" s="9" t="n">
        <v>141.2</v>
      </c>
      <c r="AB20" s="9" t="inlineStr">
        <is>
          <t>是</t>
        </is>
      </c>
      <c r="AC20" s="9" t="inlineStr">
        <is>
          <t>是</t>
        </is>
      </c>
      <c r="AD20" s="9" t="inlineStr">
        <is>
          <t>是</t>
        </is>
      </c>
      <c r="AE20" s="9" t="inlineStr">
        <is>
          <t>无</t>
        </is>
      </c>
      <c r="AF20" s="9" t="n">
        <v>9.57</v>
      </c>
      <c r="AG20" s="9" t="n">
        <v>0.959</v>
      </c>
      <c r="AH20" s="9" t="n">
        <v>0.951</v>
      </c>
      <c r="AI20" s="9" t="n">
        <v>0.986</v>
      </c>
      <c r="AJ20" s="9" t="n">
        <v>0.694</v>
      </c>
      <c r="AK20" s="9" t="inlineStr">
        <is>
          <t>FrozenUncertain</t>
        </is>
      </c>
      <c r="AL20" s="9" t="inlineStr">
        <is>
          <t>否</t>
        </is>
      </c>
      <c r="AM20" s="9" t="n">
        <v>0</v>
      </c>
      <c r="AN20" s="9" t="n">
        <v>8</v>
      </c>
      <c r="AO20" s="9" t="inlineStr">
        <is>
          <t>否</t>
        </is>
      </c>
      <c r="AP20" s="9" t="n">
        <v>7</v>
      </c>
      <c r="AQ20" s="9" t="inlineStr"/>
    </row>
    <row r="21">
      <c r="A21" s="7" t="inlineStr">
        <is>
          <t>P003</t>
        </is>
      </c>
      <c r="B21" s="9" t="n">
        <v>5</v>
      </c>
      <c r="C21" s="9" t="inlineStr">
        <is>
          <t>O1-S2-OE</t>
        </is>
      </c>
      <c r="D21" s="9" t="n">
        <v>3</v>
      </c>
      <c r="E21" s="9" t="inlineStr">
        <is>
          <t>游戏手柄</t>
        </is>
      </c>
      <c r="F21" s="9" t="inlineStr">
        <is>
          <t>gamepad</t>
        </is>
      </c>
      <c r="G21" s="9" t="inlineStr">
        <is>
          <t>方法B</t>
        </is>
      </c>
      <c r="H21" s="9" t="inlineStr">
        <is>
          <t>EgoAnchor</t>
        </is>
      </c>
      <c r="I21" s="9" t="n">
        <v>1</v>
      </c>
      <c r="J21" s="9" t="n">
        <v>3</v>
      </c>
      <c r="K21" s="9" t="n">
        <v>5</v>
      </c>
      <c r="L21" s="9" t="n">
        <v>4</v>
      </c>
      <c r="M21" s="9" t="n">
        <v>4</v>
      </c>
      <c r="N21" s="9" t="n"/>
      <c r="O21" s="9" t="n">
        <v>4</v>
      </c>
      <c r="P21" s="9" t="n">
        <v>4</v>
      </c>
      <c r="Q21" s="9" t="n">
        <v>4</v>
      </c>
      <c r="R21" s="9" t="n">
        <v>6</v>
      </c>
      <c r="S21" s="9" t="n">
        <v>5</v>
      </c>
      <c r="T21" s="9" t="n">
        <v>5</v>
      </c>
      <c r="U21" s="9" t="n">
        <v>5</v>
      </c>
      <c r="V21" s="9" t="n">
        <v>4</v>
      </c>
      <c r="W21" s="9" t="n">
        <v>5</v>
      </c>
      <c r="X21" s="9" t="n">
        <v>5</v>
      </c>
      <c r="Y21" s="9" t="inlineStr">
        <is>
          <t>09:29:42</t>
        </is>
      </c>
      <c r="Z21" s="9" t="inlineStr">
        <is>
          <t>09:31:48</t>
        </is>
      </c>
      <c r="AA21" s="9" t="n">
        <v>126.1</v>
      </c>
      <c r="AB21" s="9" t="inlineStr">
        <is>
          <t>是</t>
        </is>
      </c>
      <c r="AC21" s="9" t="inlineStr">
        <is>
          <t>是</t>
        </is>
      </c>
      <c r="AD21" s="9" t="inlineStr">
        <is>
          <t>是</t>
        </is>
      </c>
      <c r="AE21" s="9" t="inlineStr">
        <is>
          <t>无</t>
        </is>
      </c>
      <c r="AF21" s="9" t="n">
        <v>9.43</v>
      </c>
      <c r="AG21" s="9" t="n">
        <v>0.892</v>
      </c>
      <c r="AH21" s="9" t="n">
        <v>0.945</v>
      </c>
      <c r="AI21" s="9" t="n">
        <v>0.986</v>
      </c>
      <c r="AJ21" s="9" t="n">
        <v>0.768</v>
      </c>
      <c r="AK21" s="9" t="inlineStr">
        <is>
          <t>FrozenUncertain</t>
        </is>
      </c>
      <c r="AL21" s="9" t="inlineStr">
        <is>
          <t>否</t>
        </is>
      </c>
      <c r="AM21" s="9" t="n">
        <v>0</v>
      </c>
      <c r="AN21" s="9" t="n">
        <v>7</v>
      </c>
      <c r="AO21" s="9" t="inlineStr">
        <is>
          <t>否</t>
        </is>
      </c>
      <c r="AP21" s="9" t="n">
        <v>5</v>
      </c>
      <c r="AQ21" s="9" t="inlineStr"/>
    </row>
    <row r="22">
      <c r="A22" s="7" t="inlineStr">
        <is>
          <t>P003</t>
        </is>
      </c>
      <c r="B22" s="9" t="n">
        <v>6</v>
      </c>
      <c r="C22" s="9" t="inlineStr">
        <is>
          <t>O1-S2-OE</t>
        </is>
      </c>
      <c r="D22" s="9" t="n">
        <v>3</v>
      </c>
      <c r="E22" s="9" t="inlineStr">
        <is>
          <t>游戏手柄</t>
        </is>
      </c>
      <c r="F22" s="9" t="inlineStr">
        <is>
          <t>gamepad</t>
        </is>
      </c>
      <c r="G22" s="9" t="inlineStr">
        <is>
          <t>方法A</t>
        </is>
      </c>
      <c r="H22" s="9" t="inlineStr">
        <is>
          <t>One-Euro</t>
        </is>
      </c>
      <c r="I22" s="9" t="n">
        <v>2</v>
      </c>
      <c r="J22" s="9" t="n">
        <v>3</v>
      </c>
      <c r="K22" s="9" t="n">
        <v>4</v>
      </c>
      <c r="L22" s="9" t="n">
        <v>4</v>
      </c>
      <c r="M22" s="9" t="n">
        <v>4</v>
      </c>
      <c r="N22" s="9" t="n"/>
      <c r="O22" s="9" t="n">
        <v>4</v>
      </c>
      <c r="P22" s="9" t="n">
        <v>3</v>
      </c>
      <c r="Q22" s="9" t="n">
        <v>3</v>
      </c>
      <c r="R22" s="9" t="n">
        <v>4</v>
      </c>
      <c r="S22" s="9" t="n">
        <v>4</v>
      </c>
      <c r="T22" s="9" t="n">
        <v>4</v>
      </c>
      <c r="U22" s="9" t="n">
        <v>6</v>
      </c>
      <c r="V22" s="9" t="n">
        <v>5</v>
      </c>
      <c r="W22" s="9" t="n">
        <v>4</v>
      </c>
      <c r="X22" s="9" t="n">
        <v>4</v>
      </c>
      <c r="Y22" s="9" t="inlineStr">
        <is>
          <t>09:33:23</t>
        </is>
      </c>
      <c r="Z22" s="9" t="inlineStr">
        <is>
          <t>09:35:30</t>
        </is>
      </c>
      <c r="AA22" s="9" t="n">
        <v>126.8</v>
      </c>
      <c r="AB22" s="9" t="inlineStr">
        <is>
          <t>是</t>
        </is>
      </c>
      <c r="AC22" s="9" t="inlineStr">
        <is>
          <t>是</t>
        </is>
      </c>
      <c r="AD22" s="9" t="inlineStr">
        <is>
          <t>是</t>
        </is>
      </c>
      <c r="AE22" s="9" t="inlineStr">
        <is>
          <t>无</t>
        </is>
      </c>
      <c r="AF22" s="9" t="n">
        <v>9.039999999999999</v>
      </c>
      <c r="AG22" s="9" t="n">
        <v>0.901</v>
      </c>
      <c r="AH22" s="9" t="n">
        <v>0.9330000000000001</v>
      </c>
      <c r="AI22" s="9" t="n">
        <v>0.992</v>
      </c>
      <c r="AJ22" s="9" t="n">
        <v>0.743</v>
      </c>
      <c r="AK22" s="9" t="inlineStr">
        <is>
          <t>FrozenUncertain</t>
        </is>
      </c>
      <c r="AL22" s="9" t="inlineStr">
        <is>
          <t>否</t>
        </is>
      </c>
      <c r="AM22" s="9" t="n">
        <v>0</v>
      </c>
      <c r="AN22" s="9" t="n">
        <v>0</v>
      </c>
      <c r="AO22" s="9" t="inlineStr">
        <is>
          <t>否</t>
        </is>
      </c>
      <c r="AP22" s="9" t="n">
        <v>4</v>
      </c>
      <c r="AQ22" s="9" t="inlineStr"/>
    </row>
    <row r="23">
      <c r="A23" s="7" t="inlineStr">
        <is>
          <t>P004</t>
        </is>
      </c>
      <c r="B23" s="9" t="n">
        <v>1</v>
      </c>
      <c r="C23" s="9" t="inlineStr">
        <is>
          <t>O1-S1-OE</t>
        </is>
      </c>
      <c r="D23" s="9" t="n">
        <v>1</v>
      </c>
      <c r="E23" s="9" t="inlineStr">
        <is>
          <t>鼠标</t>
        </is>
      </c>
      <c r="F23" s="9" t="inlineStr">
        <is>
          <t>blue_mouse</t>
        </is>
      </c>
      <c r="G23" s="9" t="inlineStr">
        <is>
          <t>方法A</t>
        </is>
      </c>
      <c r="H23" s="9" t="inlineStr">
        <is>
          <t>One-Euro</t>
        </is>
      </c>
      <c r="I23" s="9" t="n">
        <v>1</v>
      </c>
      <c r="J23" s="9" t="n">
        <v>1</v>
      </c>
      <c r="K23" s="9" t="n">
        <v>6</v>
      </c>
      <c r="L23" s="9" t="n">
        <v>5</v>
      </c>
      <c r="M23" s="9" t="n">
        <v>6</v>
      </c>
      <c r="N23" s="9" t="n"/>
      <c r="O23" s="9" t="n">
        <v>6</v>
      </c>
      <c r="P23" s="9" t="n">
        <v>5</v>
      </c>
      <c r="Q23" s="9" t="n">
        <v>2</v>
      </c>
      <c r="R23" s="9" t="n">
        <v>4</v>
      </c>
      <c r="S23" s="9" t="n">
        <v>6</v>
      </c>
      <c r="T23" s="9" t="n">
        <v>5</v>
      </c>
      <c r="U23" s="9" t="n">
        <v>7</v>
      </c>
      <c r="V23" s="9" t="n">
        <v>6</v>
      </c>
      <c r="W23" s="9" t="n">
        <v>2</v>
      </c>
      <c r="X23" s="9" t="n">
        <v>6</v>
      </c>
      <c r="Y23" s="9" t="inlineStr">
        <is>
          <t>09:15:00</t>
        </is>
      </c>
      <c r="Z23" s="9" t="inlineStr">
        <is>
          <t>09:17:12</t>
        </is>
      </c>
      <c r="AA23" s="9" t="n">
        <v>132.1</v>
      </c>
      <c r="AB23" s="9" t="inlineStr">
        <is>
          <t>是</t>
        </is>
      </c>
      <c r="AC23" s="9" t="inlineStr">
        <is>
          <t>是</t>
        </is>
      </c>
      <c r="AD23" s="9" t="inlineStr">
        <is>
          <t>是</t>
        </is>
      </c>
      <c r="AE23" s="9" t="inlineStr">
        <is>
          <t>无</t>
        </is>
      </c>
      <c r="AF23" s="9" t="n">
        <v>9.26</v>
      </c>
      <c r="AG23" s="9" t="n">
        <v>0.925</v>
      </c>
      <c r="AH23" s="9" t="n">
        <v>0.926</v>
      </c>
      <c r="AI23" s="9" t="n">
        <v>0.987</v>
      </c>
      <c r="AJ23" s="9" t="n">
        <v>0.826</v>
      </c>
      <c r="AK23" s="9" t="inlineStr">
        <is>
          <t>FrozenUncertain</t>
        </is>
      </c>
      <c r="AL23" s="9" t="inlineStr">
        <is>
          <t>否</t>
        </is>
      </c>
      <c r="AM23" s="9" t="n">
        <v>0</v>
      </c>
      <c r="AN23" s="9" t="n">
        <v>0</v>
      </c>
      <c r="AO23" s="9" t="inlineStr">
        <is>
          <t>否</t>
        </is>
      </c>
      <c r="AP23" s="9" t="n">
        <v>2</v>
      </c>
      <c r="AQ23" s="9" t="inlineStr">
        <is>
          <t>灾难性恢复失效(&gt;40mm 级)</t>
        </is>
      </c>
    </row>
    <row r="24">
      <c r="A24" s="7" t="inlineStr">
        <is>
          <t>P004</t>
        </is>
      </c>
      <c r="B24" s="9" t="n">
        <v>2</v>
      </c>
      <c r="C24" s="9" t="inlineStr">
        <is>
          <t>O1-S1-OE</t>
        </is>
      </c>
      <c r="D24" s="9" t="n">
        <v>1</v>
      </c>
      <c r="E24" s="9" t="inlineStr">
        <is>
          <t>鼠标</t>
        </is>
      </c>
      <c r="F24" s="9" t="inlineStr">
        <is>
          <t>blue_mouse</t>
        </is>
      </c>
      <c r="G24" s="9" t="inlineStr">
        <is>
          <t>方法B</t>
        </is>
      </c>
      <c r="H24" s="9" t="inlineStr">
        <is>
          <t>EgoAnchor</t>
        </is>
      </c>
      <c r="I24" s="9" t="n">
        <v>2</v>
      </c>
      <c r="J24" s="9" t="n">
        <v>1</v>
      </c>
      <c r="K24" s="9" t="n">
        <v>6</v>
      </c>
      <c r="L24" s="9" t="n">
        <v>5</v>
      </c>
      <c r="M24" s="9" t="n">
        <v>5</v>
      </c>
      <c r="N24" s="9" t="n"/>
      <c r="O24" s="9" t="n">
        <v>3</v>
      </c>
      <c r="P24" s="9" t="n">
        <v>5</v>
      </c>
      <c r="Q24" s="9" t="n">
        <v>5</v>
      </c>
      <c r="R24" s="9" t="n">
        <v>5</v>
      </c>
      <c r="S24" s="9" t="n">
        <v>5</v>
      </c>
      <c r="T24" s="9" t="n">
        <v>5</v>
      </c>
      <c r="U24" s="9" t="n">
        <v>6</v>
      </c>
      <c r="V24" s="9" t="n">
        <v>6</v>
      </c>
      <c r="W24" s="9" t="n">
        <v>5</v>
      </c>
      <c r="X24" s="9" t="n">
        <v>4</v>
      </c>
      <c r="Y24" s="9" t="inlineStr">
        <is>
          <t>09:18:47</t>
        </is>
      </c>
      <c r="Z24" s="9" t="inlineStr">
        <is>
          <t>09:21:18</t>
        </is>
      </c>
      <c r="AA24" s="9" t="n">
        <v>151.1</v>
      </c>
      <c r="AB24" s="9" t="inlineStr">
        <is>
          <t>是</t>
        </is>
      </c>
      <c r="AC24" s="9" t="inlineStr">
        <is>
          <t>是</t>
        </is>
      </c>
      <c r="AD24" s="9" t="inlineStr">
        <is>
          <t>是</t>
        </is>
      </c>
      <c r="AE24" s="9" t="inlineStr">
        <is>
          <t>无</t>
        </is>
      </c>
      <c r="AF24" s="9" t="n">
        <v>9.390000000000001</v>
      </c>
      <c r="AG24" s="9" t="n">
        <v>0.882</v>
      </c>
      <c r="AH24" s="9" t="n">
        <v>0.9389999999999999</v>
      </c>
      <c r="AI24" s="9" t="n">
        <v>0.997</v>
      </c>
      <c r="AJ24" s="9" t="n">
        <v>0.795</v>
      </c>
      <c r="AK24" s="9" t="inlineStr">
        <is>
          <t>FrozenUncertain</t>
        </is>
      </c>
      <c r="AL24" s="9" t="inlineStr">
        <is>
          <t>否</t>
        </is>
      </c>
      <c r="AM24" s="9" t="n">
        <v>0</v>
      </c>
      <c r="AN24" s="9" t="n">
        <v>3</v>
      </c>
      <c r="AO24" s="9" t="inlineStr">
        <is>
          <t>否</t>
        </is>
      </c>
      <c r="AP24" s="9" t="n">
        <v>5</v>
      </c>
      <c r="AQ24" s="9" t="inlineStr"/>
    </row>
    <row r="25">
      <c r="A25" s="7" t="inlineStr">
        <is>
          <t>P004</t>
        </is>
      </c>
      <c r="B25" s="9" t="n">
        <v>3</v>
      </c>
      <c r="C25" s="9" t="inlineStr">
        <is>
          <t>O1-S1-OE</t>
        </is>
      </c>
      <c r="D25" s="9" t="n">
        <v>2</v>
      </c>
      <c r="E25" s="9" t="inlineStr">
        <is>
          <t>固定订书机</t>
        </is>
      </c>
      <c r="F25" s="9" t="inlineStr">
        <is>
          <t>stapler</t>
        </is>
      </c>
      <c r="G25" s="9" t="inlineStr">
        <is>
          <t>方法B</t>
        </is>
      </c>
      <c r="H25" s="9" t="inlineStr">
        <is>
          <t>EgoAnchor</t>
        </is>
      </c>
      <c r="I25" s="9" t="n">
        <v>1</v>
      </c>
      <c r="J25" s="9" t="n">
        <v>2</v>
      </c>
      <c r="K25" s="9" t="n">
        <v>7</v>
      </c>
      <c r="L25" s="9" t="n">
        <v>6</v>
      </c>
      <c r="M25" s="9" t="n">
        <v>6</v>
      </c>
      <c r="N25" s="9" t="n"/>
      <c r="O25" s="9" t="n">
        <v>6</v>
      </c>
      <c r="P25" s="9" t="n">
        <v>6</v>
      </c>
      <c r="Q25" s="9" t="n">
        <v>4</v>
      </c>
      <c r="R25" s="9" t="n">
        <v>4</v>
      </c>
      <c r="S25" s="9" t="n">
        <v>6</v>
      </c>
      <c r="T25" s="9" t="n">
        <v>7</v>
      </c>
      <c r="U25" s="9" t="n">
        <v>6</v>
      </c>
      <c r="V25" s="9" t="n">
        <v>6</v>
      </c>
      <c r="W25" s="9" t="n">
        <v>5</v>
      </c>
      <c r="X25" s="9" t="n">
        <v>6</v>
      </c>
      <c r="Y25" s="9" t="inlineStr">
        <is>
          <t>09:22:53</t>
        </is>
      </c>
      <c r="Z25" s="9" t="inlineStr">
        <is>
          <t>09:25:26</t>
        </is>
      </c>
      <c r="AA25" s="9" t="n">
        <v>153.7</v>
      </c>
      <c r="AB25" s="9" t="inlineStr">
        <is>
          <t>是</t>
        </is>
      </c>
      <c r="AC25" s="9" t="inlineStr">
        <is>
          <t>是</t>
        </is>
      </c>
      <c r="AD25" s="9" t="inlineStr">
        <is>
          <t>是</t>
        </is>
      </c>
      <c r="AE25" s="9" t="inlineStr">
        <is>
          <t>无</t>
        </is>
      </c>
      <c r="AF25" s="9" t="n">
        <v>9.82</v>
      </c>
      <c r="AG25" s="9" t="n">
        <v>0.906</v>
      </c>
      <c r="AH25" s="9" t="n">
        <v>0.949</v>
      </c>
      <c r="AI25" s="9" t="n">
        <v>0.995</v>
      </c>
      <c r="AJ25" s="9" t="n">
        <v>0.761</v>
      </c>
      <c r="AK25" s="9" t="inlineStr">
        <is>
          <t>FrozenUncertain</t>
        </is>
      </c>
      <c r="AL25" s="9" t="inlineStr">
        <is>
          <t>否</t>
        </is>
      </c>
      <c r="AM25" s="9" t="n">
        <v>0</v>
      </c>
      <c r="AN25" s="9" t="n">
        <v>3</v>
      </c>
      <c r="AO25" s="9" t="inlineStr">
        <is>
          <t>否</t>
        </is>
      </c>
      <c r="AP25" s="9" t="n">
        <v>4</v>
      </c>
      <c r="AQ25" s="9" t="inlineStr"/>
    </row>
    <row r="26">
      <c r="A26" s="7" t="inlineStr">
        <is>
          <t>P004</t>
        </is>
      </c>
      <c r="B26" s="9" t="n">
        <v>4</v>
      </c>
      <c r="C26" s="9" t="inlineStr">
        <is>
          <t>O1-S1-OE</t>
        </is>
      </c>
      <c r="D26" s="9" t="n">
        <v>2</v>
      </c>
      <c r="E26" s="9" t="inlineStr">
        <is>
          <t>固定订书机</t>
        </is>
      </c>
      <c r="F26" s="9" t="inlineStr">
        <is>
          <t>stapler</t>
        </is>
      </c>
      <c r="G26" s="9" t="inlineStr">
        <is>
          <t>方法A</t>
        </is>
      </c>
      <c r="H26" s="9" t="inlineStr">
        <is>
          <t>One-Euro</t>
        </is>
      </c>
      <c r="I26" s="9" t="n">
        <v>2</v>
      </c>
      <c r="J26" s="9" t="n">
        <v>2</v>
      </c>
      <c r="K26" s="9" t="n">
        <v>6</v>
      </c>
      <c r="L26" s="9" t="n">
        <v>4</v>
      </c>
      <c r="M26" s="9" t="n">
        <v>5</v>
      </c>
      <c r="N26" s="9" t="n"/>
      <c r="O26" s="9" t="n">
        <v>6</v>
      </c>
      <c r="P26" s="9" t="n">
        <v>4</v>
      </c>
      <c r="Q26" s="9" t="n">
        <v>5</v>
      </c>
      <c r="R26" s="9" t="n">
        <v>5</v>
      </c>
      <c r="S26" s="9" t="n">
        <v>6</v>
      </c>
      <c r="T26" s="9" t="n">
        <v>6</v>
      </c>
      <c r="U26" s="9" t="n">
        <v>5</v>
      </c>
      <c r="V26" s="9" t="n">
        <v>6</v>
      </c>
      <c r="W26" s="9" t="n">
        <v>4</v>
      </c>
      <c r="X26" s="9" t="n">
        <v>4</v>
      </c>
      <c r="Y26" s="9" t="inlineStr">
        <is>
          <t>09:27:01</t>
        </is>
      </c>
      <c r="Z26" s="9" t="inlineStr">
        <is>
          <t>09:29:18</t>
        </is>
      </c>
      <c r="AA26" s="9" t="n">
        <v>136.3</v>
      </c>
      <c r="AB26" s="9" t="inlineStr">
        <is>
          <t>是</t>
        </is>
      </c>
      <c r="AC26" s="9" t="inlineStr">
        <is>
          <t>是</t>
        </is>
      </c>
      <c r="AD26" s="9" t="inlineStr">
        <is>
          <t>是</t>
        </is>
      </c>
      <c r="AE26" s="9" t="inlineStr">
        <is>
          <t>无</t>
        </is>
      </c>
      <c r="AF26" s="9" t="n">
        <v>9.33</v>
      </c>
      <c r="AG26" s="9" t="n">
        <v>0.962</v>
      </c>
      <c r="AH26" s="9" t="n">
        <v>0.959</v>
      </c>
      <c r="AI26" s="9" t="n">
        <v>0.997</v>
      </c>
      <c r="AJ26" s="9" t="n">
        <v>0.793</v>
      </c>
      <c r="AK26" s="9" t="inlineStr">
        <is>
          <t>FrozenUncertain</t>
        </is>
      </c>
      <c r="AL26" s="9" t="inlineStr">
        <is>
          <t>否</t>
        </is>
      </c>
      <c r="AM26" s="9" t="n">
        <v>0</v>
      </c>
      <c r="AN26" s="9" t="n">
        <v>0</v>
      </c>
      <c r="AO26" s="9" t="inlineStr">
        <is>
          <t>否</t>
        </is>
      </c>
      <c r="AP26" s="9" t="n">
        <v>2</v>
      </c>
      <c r="AQ26" s="9" t="inlineStr"/>
    </row>
    <row r="27">
      <c r="A27" s="7" t="inlineStr">
        <is>
          <t>P004</t>
        </is>
      </c>
      <c r="B27" s="9" t="n">
        <v>5</v>
      </c>
      <c r="C27" s="9" t="inlineStr">
        <is>
          <t>O1-S1-OE</t>
        </is>
      </c>
      <c r="D27" s="9" t="n">
        <v>3</v>
      </c>
      <c r="E27" s="9" t="inlineStr">
        <is>
          <t>游戏手柄</t>
        </is>
      </c>
      <c r="F27" s="9" t="inlineStr">
        <is>
          <t>gamepad</t>
        </is>
      </c>
      <c r="G27" s="9" t="inlineStr">
        <is>
          <t>方法A</t>
        </is>
      </c>
      <c r="H27" s="9" t="inlineStr">
        <is>
          <t>One-Euro</t>
        </is>
      </c>
      <c r="I27" s="9" t="n">
        <v>1</v>
      </c>
      <c r="J27" s="9" t="n">
        <v>3</v>
      </c>
      <c r="K27" s="9" t="n">
        <v>4</v>
      </c>
      <c r="L27" s="9" t="n">
        <v>5</v>
      </c>
      <c r="M27" s="9" t="n">
        <v>5</v>
      </c>
      <c r="N27" s="9" t="n"/>
      <c r="O27" s="9" t="n">
        <v>4</v>
      </c>
      <c r="P27" s="9" t="n">
        <v>4</v>
      </c>
      <c r="Q27" s="9" t="n">
        <v>2</v>
      </c>
      <c r="R27" s="9" t="n">
        <v>4</v>
      </c>
      <c r="S27" s="9" t="n">
        <v>5</v>
      </c>
      <c r="T27" s="9" t="n">
        <v>5</v>
      </c>
      <c r="U27" s="9" t="n">
        <v>5</v>
      </c>
      <c r="V27" s="9" t="n">
        <v>5</v>
      </c>
      <c r="W27" s="9" t="n">
        <v>1</v>
      </c>
      <c r="X27" s="9" t="n">
        <v>4</v>
      </c>
      <c r="Y27" s="9" t="inlineStr">
        <is>
          <t>09:30:53</t>
        </is>
      </c>
      <c r="Z27" s="9" t="inlineStr">
        <is>
          <t>09:33:22</t>
        </is>
      </c>
      <c r="AA27" s="9" t="n">
        <v>149.6</v>
      </c>
      <c r="AB27" s="9" t="inlineStr">
        <is>
          <t>是</t>
        </is>
      </c>
      <c r="AC27" s="9" t="inlineStr">
        <is>
          <t>是</t>
        </is>
      </c>
      <c r="AD27" s="9" t="inlineStr">
        <is>
          <t>是</t>
        </is>
      </c>
      <c r="AE27" s="9" t="inlineStr">
        <is>
          <t>无</t>
        </is>
      </c>
      <c r="AF27" s="9" t="n">
        <v>9.09</v>
      </c>
      <c r="AG27" s="9" t="n">
        <v>0.879</v>
      </c>
      <c r="AH27" s="9" t="n">
        <v>0.9340000000000001</v>
      </c>
      <c r="AI27" s="9" t="n">
        <v>0.971</v>
      </c>
      <c r="AJ27" s="9" t="n">
        <v>0.612</v>
      </c>
      <c r="AK27" s="9" t="inlineStr">
        <is>
          <t>FrozenUncertain</t>
        </is>
      </c>
      <c r="AL27" s="9" t="inlineStr">
        <is>
          <t>否</t>
        </is>
      </c>
      <c r="AM27" s="9" t="n">
        <v>0</v>
      </c>
      <c r="AN27" s="9" t="n">
        <v>0</v>
      </c>
      <c r="AO27" s="9" t="inlineStr">
        <is>
          <t>否</t>
        </is>
      </c>
      <c r="AP27" s="9" t="n">
        <v>4</v>
      </c>
      <c r="AQ27" s="9" t="inlineStr">
        <is>
          <t>灾难性恢复失效(&gt;40mm 级)</t>
        </is>
      </c>
    </row>
    <row r="28">
      <c r="A28" s="7" t="inlineStr">
        <is>
          <t>P004</t>
        </is>
      </c>
      <c r="B28" s="9" t="n">
        <v>6</v>
      </c>
      <c r="C28" s="9" t="inlineStr">
        <is>
          <t>O1-S1-OE</t>
        </is>
      </c>
      <c r="D28" s="9" t="n">
        <v>3</v>
      </c>
      <c r="E28" s="9" t="inlineStr">
        <is>
          <t>游戏手柄</t>
        </is>
      </c>
      <c r="F28" s="9" t="inlineStr">
        <is>
          <t>gamepad</t>
        </is>
      </c>
      <c r="G28" s="9" t="inlineStr">
        <is>
          <t>方法B</t>
        </is>
      </c>
      <c r="H28" s="9" t="inlineStr">
        <is>
          <t>EgoAnchor</t>
        </is>
      </c>
      <c r="I28" s="9" t="n">
        <v>2</v>
      </c>
      <c r="J28" s="9" t="n">
        <v>3</v>
      </c>
      <c r="K28" s="9" t="n">
        <v>6</v>
      </c>
      <c r="L28" s="9" t="n">
        <v>4</v>
      </c>
      <c r="M28" s="9" t="n">
        <v>4</v>
      </c>
      <c r="N28" s="9" t="n"/>
      <c r="O28" s="9" t="n">
        <v>6</v>
      </c>
      <c r="P28" s="9" t="n">
        <v>6</v>
      </c>
      <c r="Q28" s="9" t="n">
        <v>5</v>
      </c>
      <c r="R28" s="9" t="n">
        <v>5</v>
      </c>
      <c r="S28" s="9" t="n">
        <v>5</v>
      </c>
      <c r="T28" s="9" t="n">
        <v>6</v>
      </c>
      <c r="U28" s="9" t="n">
        <v>6</v>
      </c>
      <c r="V28" s="9" t="n">
        <v>5</v>
      </c>
      <c r="W28" s="9" t="n">
        <v>5</v>
      </c>
      <c r="X28" s="9" t="n">
        <v>5</v>
      </c>
      <c r="Y28" s="9" t="inlineStr">
        <is>
          <t>09:34:57</t>
        </is>
      </c>
      <c r="Z28" s="9" t="inlineStr">
        <is>
          <t>09:36:57</t>
        </is>
      </c>
      <c r="AA28" s="9" t="n">
        <v>119.7</v>
      </c>
      <c r="AB28" s="9" t="inlineStr">
        <is>
          <t>是</t>
        </is>
      </c>
      <c r="AC28" s="9" t="inlineStr">
        <is>
          <t>是</t>
        </is>
      </c>
      <c r="AD28" s="9" t="inlineStr">
        <is>
          <t>是</t>
        </is>
      </c>
      <c r="AE28" s="9" t="inlineStr">
        <is>
          <t>无</t>
        </is>
      </c>
      <c r="AF28" s="9" t="n">
        <v>9.390000000000001</v>
      </c>
      <c r="AG28" s="9" t="n">
        <v>0.881</v>
      </c>
      <c r="AH28" s="9" t="n">
        <v>0.913</v>
      </c>
      <c r="AI28" s="9" t="n">
        <v>0.979</v>
      </c>
      <c r="AJ28" s="9" t="n">
        <v>0.746</v>
      </c>
      <c r="AK28" s="9" t="inlineStr">
        <is>
          <t>FrozenUncertain</t>
        </is>
      </c>
      <c r="AL28" s="9" t="inlineStr">
        <is>
          <t>否</t>
        </is>
      </c>
      <c r="AM28" s="9" t="n">
        <v>0</v>
      </c>
      <c r="AN28" s="9" t="n">
        <v>4</v>
      </c>
      <c r="AO28" s="9" t="inlineStr">
        <is>
          <t>否</t>
        </is>
      </c>
      <c r="AP28" s="9" t="n">
        <v>3</v>
      </c>
      <c r="AQ28" s="9" t="inlineStr"/>
    </row>
    <row r="29">
      <c r="A29" s="7" t="inlineStr">
        <is>
          <t>P005</t>
        </is>
      </c>
      <c r="B29" s="9" t="n">
        <v>1</v>
      </c>
      <c r="C29" s="9" t="inlineStr">
        <is>
          <t>O2-S1-EA</t>
        </is>
      </c>
      <c r="D29" s="9" t="n">
        <v>1</v>
      </c>
      <c r="E29" s="9" t="inlineStr">
        <is>
          <t>鼠标</t>
        </is>
      </c>
      <c r="F29" s="9" t="inlineStr">
        <is>
          <t>blue_mouse</t>
        </is>
      </c>
      <c r="G29" s="9" t="inlineStr">
        <is>
          <t>方法A</t>
        </is>
      </c>
      <c r="H29" s="9" t="inlineStr">
        <is>
          <t>EgoAnchor</t>
        </is>
      </c>
      <c r="I29" s="9" t="n">
        <v>1</v>
      </c>
      <c r="J29" s="9" t="n">
        <v>1</v>
      </c>
      <c r="K29" s="9" t="n">
        <v>7</v>
      </c>
      <c r="L29" s="9" t="n">
        <v>4</v>
      </c>
      <c r="M29" s="9" t="n">
        <v>4</v>
      </c>
      <c r="N29" s="9" t="n"/>
      <c r="O29" s="9" t="n">
        <v>5</v>
      </c>
      <c r="P29" s="9" t="n">
        <v>6</v>
      </c>
      <c r="Q29" s="9" t="n">
        <v>4</v>
      </c>
      <c r="R29" s="9" t="n">
        <v>4</v>
      </c>
      <c r="S29" s="9" t="n">
        <v>4</v>
      </c>
      <c r="T29" s="9" t="n">
        <v>4</v>
      </c>
      <c r="U29" s="9" t="n">
        <v>6</v>
      </c>
      <c r="V29" s="9" t="n">
        <v>6</v>
      </c>
      <c r="W29" s="9" t="n">
        <v>4</v>
      </c>
      <c r="X29" s="9" t="n">
        <v>5</v>
      </c>
      <c r="Y29" s="9" t="inlineStr">
        <is>
          <t>09:15:00</t>
        </is>
      </c>
      <c r="Z29" s="9" t="inlineStr">
        <is>
          <t>09:17:02</t>
        </is>
      </c>
      <c r="AA29" s="9" t="n">
        <v>122.8</v>
      </c>
      <c r="AB29" s="9" t="inlineStr">
        <is>
          <t>是</t>
        </is>
      </c>
      <c r="AC29" s="9" t="inlineStr">
        <is>
          <t>是</t>
        </is>
      </c>
      <c r="AD29" s="9" t="inlineStr">
        <is>
          <t>是</t>
        </is>
      </c>
      <c r="AE29" s="9" t="inlineStr">
        <is>
          <t>无</t>
        </is>
      </c>
      <c r="AF29" s="9" t="n">
        <v>9.529999999999999</v>
      </c>
      <c r="AG29" s="9" t="n">
        <v>0.894</v>
      </c>
      <c r="AH29" s="9" t="n">
        <v>0.9409999999999999</v>
      </c>
      <c r="AI29" s="9" t="n">
        <v>0.986</v>
      </c>
      <c r="AJ29" s="9" t="n">
        <v>0.755</v>
      </c>
      <c r="AK29" s="9" t="inlineStr">
        <is>
          <t>FrozenUncertain</t>
        </is>
      </c>
      <c r="AL29" s="9" t="inlineStr">
        <is>
          <t>否</t>
        </is>
      </c>
      <c r="AM29" s="9" t="n">
        <v>0</v>
      </c>
      <c r="AN29" s="9" t="n">
        <v>4</v>
      </c>
      <c r="AO29" s="9" t="inlineStr">
        <is>
          <t>否</t>
        </is>
      </c>
      <c r="AP29" s="9" t="n">
        <v>4</v>
      </c>
      <c r="AQ29" s="9" t="inlineStr">
        <is>
          <t>StaticLock 锁在略偏位姿</t>
        </is>
      </c>
    </row>
    <row r="30">
      <c r="A30" s="7" t="inlineStr">
        <is>
          <t>P005</t>
        </is>
      </c>
      <c r="B30" s="9" t="n">
        <v>2</v>
      </c>
      <c r="C30" s="9" t="inlineStr">
        <is>
          <t>O2-S1-EA</t>
        </is>
      </c>
      <c r="D30" s="9" t="n">
        <v>1</v>
      </c>
      <c r="E30" s="9" t="inlineStr">
        <is>
          <t>鼠标</t>
        </is>
      </c>
      <c r="F30" s="9" t="inlineStr">
        <is>
          <t>blue_mouse</t>
        </is>
      </c>
      <c r="G30" s="9" t="inlineStr">
        <is>
          <t>方法B</t>
        </is>
      </c>
      <c r="H30" s="9" t="inlineStr">
        <is>
          <t>One-Euro</t>
        </is>
      </c>
      <c r="I30" s="9" t="n">
        <v>2</v>
      </c>
      <c r="J30" s="9" t="n">
        <v>1</v>
      </c>
      <c r="K30" s="9" t="n">
        <v>4</v>
      </c>
      <c r="L30" s="9" t="n">
        <v>5</v>
      </c>
      <c r="M30" s="9" t="n">
        <v>4</v>
      </c>
      <c r="N30" s="9" t="n"/>
      <c r="O30" s="9" t="n">
        <v>6</v>
      </c>
      <c r="P30" s="9" t="n">
        <v>4</v>
      </c>
      <c r="Q30" s="9" t="n">
        <v>4</v>
      </c>
      <c r="R30" s="9" t="n">
        <v>4</v>
      </c>
      <c r="S30" s="9" t="n">
        <v>5</v>
      </c>
      <c r="T30" s="9" t="n">
        <v>4</v>
      </c>
      <c r="U30" s="9" t="n">
        <v>6</v>
      </c>
      <c r="V30" s="9" t="n">
        <v>5</v>
      </c>
      <c r="W30" s="9" t="n">
        <v>4</v>
      </c>
      <c r="X30" s="9" t="n">
        <v>4</v>
      </c>
      <c r="Y30" s="9" t="inlineStr">
        <is>
          <t>09:18:37</t>
        </is>
      </c>
      <c r="Z30" s="9" t="inlineStr">
        <is>
          <t>09:20:38</t>
        </is>
      </c>
      <c r="AA30" s="9" t="n">
        <v>121</v>
      </c>
      <c r="AB30" s="9" t="inlineStr">
        <is>
          <t>是</t>
        </is>
      </c>
      <c r="AC30" s="9" t="inlineStr">
        <is>
          <t>是</t>
        </is>
      </c>
      <c r="AD30" s="9" t="inlineStr">
        <is>
          <t>是</t>
        </is>
      </c>
      <c r="AE30" s="9" t="inlineStr">
        <is>
          <t>无</t>
        </is>
      </c>
      <c r="AF30" s="9" t="n">
        <v>9.789999999999999</v>
      </c>
      <c r="AG30" s="9" t="n">
        <v>0.92</v>
      </c>
      <c r="AH30" s="9" t="n">
        <v>0.924</v>
      </c>
      <c r="AI30" s="9" t="n">
        <v>0.989</v>
      </c>
      <c r="AJ30" s="9" t="n">
        <v>0.829</v>
      </c>
      <c r="AK30" s="9" t="inlineStr">
        <is>
          <t>FrozenUncertain</t>
        </is>
      </c>
      <c r="AL30" s="9" t="inlineStr">
        <is>
          <t>否</t>
        </is>
      </c>
      <c r="AM30" s="9" t="n">
        <v>0</v>
      </c>
      <c r="AN30" s="9" t="n">
        <v>0</v>
      </c>
      <c r="AO30" s="9" t="inlineStr">
        <is>
          <t>否</t>
        </is>
      </c>
      <c r="AP30" s="9" t="n">
        <v>3</v>
      </c>
      <c r="AQ30" s="9" t="inlineStr"/>
    </row>
    <row r="31">
      <c r="A31" s="7" t="inlineStr">
        <is>
          <t>P005</t>
        </is>
      </c>
      <c r="B31" s="9" t="n">
        <v>3</v>
      </c>
      <c r="C31" s="9" t="inlineStr">
        <is>
          <t>O2-S1-EA</t>
        </is>
      </c>
      <c r="D31" s="9" t="n">
        <v>2</v>
      </c>
      <c r="E31" s="9" t="inlineStr">
        <is>
          <t>游戏手柄</t>
        </is>
      </c>
      <c r="F31" s="9" t="inlineStr">
        <is>
          <t>gamepad</t>
        </is>
      </c>
      <c r="G31" s="9" t="inlineStr">
        <is>
          <t>方法B</t>
        </is>
      </c>
      <c r="H31" s="9" t="inlineStr">
        <is>
          <t>One-Euro</t>
        </is>
      </c>
      <c r="I31" s="9" t="n">
        <v>1</v>
      </c>
      <c r="J31" s="9" t="n">
        <v>2</v>
      </c>
      <c r="K31" s="9" t="n">
        <v>1</v>
      </c>
      <c r="L31" s="9" t="n">
        <v>4</v>
      </c>
      <c r="M31" s="9" t="n">
        <v>3</v>
      </c>
      <c r="N31" s="9" t="n"/>
      <c r="O31" s="9" t="n">
        <v>3</v>
      </c>
      <c r="P31" s="9" t="n">
        <v>4</v>
      </c>
      <c r="Q31" s="9" t="n">
        <v>3</v>
      </c>
      <c r="R31" s="9" t="n">
        <v>3</v>
      </c>
      <c r="S31" s="9" t="n">
        <v>4</v>
      </c>
      <c r="T31" s="9" t="n">
        <v>3</v>
      </c>
      <c r="U31" s="9" t="n">
        <v>4</v>
      </c>
      <c r="V31" s="9" t="n">
        <v>5</v>
      </c>
      <c r="W31" s="9" t="n">
        <v>3</v>
      </c>
      <c r="X31" s="9" t="n">
        <v>3</v>
      </c>
      <c r="Y31" s="9" t="inlineStr">
        <is>
          <t>09:22:13</t>
        </is>
      </c>
      <c r="Z31" s="9" t="inlineStr">
        <is>
          <t>09:23:51</t>
        </is>
      </c>
      <c r="AA31" s="9" t="n">
        <v>97.90000000000001</v>
      </c>
      <c r="AB31" s="9" t="inlineStr">
        <is>
          <t>是</t>
        </is>
      </c>
      <c r="AC31" s="9" t="inlineStr">
        <is>
          <t>是</t>
        </is>
      </c>
      <c r="AD31" s="9" t="inlineStr">
        <is>
          <t>是</t>
        </is>
      </c>
      <c r="AE31" s="9" t="inlineStr">
        <is>
          <t>无</t>
        </is>
      </c>
      <c r="AF31" s="9" t="n">
        <v>9.34</v>
      </c>
      <c r="AG31" s="9" t="n">
        <v>0.869</v>
      </c>
      <c r="AH31" s="9" t="n">
        <v>0.924</v>
      </c>
      <c r="AI31" s="9" t="n">
        <v>0.988</v>
      </c>
      <c r="AJ31" s="9" t="n">
        <v>0.789</v>
      </c>
      <c r="AK31" s="9" t="inlineStr">
        <is>
          <t>FrozenUncertain</t>
        </is>
      </c>
      <c r="AL31" s="9" t="inlineStr">
        <is>
          <t>否</t>
        </is>
      </c>
      <c r="AM31" s="9" t="n">
        <v>0</v>
      </c>
      <c r="AN31" s="9" t="n">
        <v>0</v>
      </c>
      <c r="AO31" s="9" t="inlineStr">
        <is>
          <t>否</t>
        </is>
      </c>
      <c r="AP31" s="9" t="n">
        <v>2</v>
      </c>
      <c r="AQ31" s="9" t="inlineStr"/>
    </row>
    <row r="32">
      <c r="A32" s="7" t="inlineStr">
        <is>
          <t>P005</t>
        </is>
      </c>
      <c r="B32" s="9" t="n">
        <v>4</v>
      </c>
      <c r="C32" s="9" t="inlineStr">
        <is>
          <t>O2-S1-EA</t>
        </is>
      </c>
      <c r="D32" s="9" t="n">
        <v>2</v>
      </c>
      <c r="E32" s="9" t="inlineStr">
        <is>
          <t>游戏手柄</t>
        </is>
      </c>
      <c r="F32" s="9" t="inlineStr">
        <is>
          <t>gamepad</t>
        </is>
      </c>
      <c r="G32" s="9" t="inlineStr">
        <is>
          <t>方法A</t>
        </is>
      </c>
      <c r="H32" s="9" t="inlineStr">
        <is>
          <t>EgoAnchor</t>
        </is>
      </c>
      <c r="I32" s="9" t="n">
        <v>2</v>
      </c>
      <c r="J32" s="9" t="n">
        <v>2</v>
      </c>
      <c r="K32" s="9" t="n">
        <v>6</v>
      </c>
      <c r="L32" s="9" t="n">
        <v>6</v>
      </c>
      <c r="M32" s="9" t="n">
        <v>6</v>
      </c>
      <c r="N32" s="9" t="n"/>
      <c r="O32" s="9" t="n">
        <v>6</v>
      </c>
      <c r="P32" s="9" t="n">
        <v>4</v>
      </c>
      <c r="Q32" s="9" t="n">
        <v>5</v>
      </c>
      <c r="R32" s="9" t="n">
        <v>6</v>
      </c>
      <c r="S32" s="9" t="n">
        <v>6</v>
      </c>
      <c r="T32" s="9" t="n">
        <v>4</v>
      </c>
      <c r="U32" s="9" t="n">
        <v>6</v>
      </c>
      <c r="V32" s="9" t="n">
        <v>5</v>
      </c>
      <c r="W32" s="9" t="n">
        <v>5</v>
      </c>
      <c r="X32" s="9" t="n">
        <v>5</v>
      </c>
      <c r="Y32" s="9" t="inlineStr">
        <is>
          <t>09:25:26</t>
        </is>
      </c>
      <c r="Z32" s="9" t="inlineStr">
        <is>
          <t>09:26:53</t>
        </is>
      </c>
      <c r="AA32" s="9" t="n">
        <v>86.59999999999999</v>
      </c>
      <c r="AB32" s="9" t="inlineStr">
        <is>
          <t>是</t>
        </is>
      </c>
      <c r="AC32" s="9" t="inlineStr">
        <is>
          <t>是</t>
        </is>
      </c>
      <c r="AD32" s="9" t="inlineStr">
        <is>
          <t>是</t>
        </is>
      </c>
      <c r="AE32" s="9" t="inlineStr">
        <is>
          <t>无</t>
        </is>
      </c>
      <c r="AF32" s="9" t="n">
        <v>9.34</v>
      </c>
      <c r="AG32" s="9" t="n">
        <v>0.862</v>
      </c>
      <c r="AH32" s="9" t="n">
        <v>0.9379999999999999</v>
      </c>
      <c r="AI32" s="9" t="n">
        <v>0.994</v>
      </c>
      <c r="AJ32" s="9" t="n">
        <v>0.769</v>
      </c>
      <c r="AK32" s="9" t="inlineStr">
        <is>
          <t>FrozenUncertain</t>
        </is>
      </c>
      <c r="AL32" s="9" t="inlineStr">
        <is>
          <t>否</t>
        </is>
      </c>
      <c r="AM32" s="9" t="n">
        <v>0</v>
      </c>
      <c r="AN32" s="9" t="n">
        <v>2</v>
      </c>
      <c r="AO32" s="9" t="inlineStr">
        <is>
          <t>否</t>
        </is>
      </c>
      <c r="AP32" s="9" t="n">
        <v>4</v>
      </c>
      <c r="AQ32" s="9" t="inlineStr"/>
    </row>
    <row r="33">
      <c r="A33" s="7" t="inlineStr">
        <is>
          <t>P005</t>
        </is>
      </c>
      <c r="B33" s="9" t="n">
        <v>5</v>
      </c>
      <c r="C33" s="9" t="inlineStr">
        <is>
          <t>O2-S1-EA</t>
        </is>
      </c>
      <c r="D33" s="9" t="n">
        <v>3</v>
      </c>
      <c r="E33" s="9" t="inlineStr">
        <is>
          <t>固定订书机</t>
        </is>
      </c>
      <c r="F33" s="9" t="inlineStr">
        <is>
          <t>stapler</t>
        </is>
      </c>
      <c r="G33" s="9" t="inlineStr">
        <is>
          <t>方法A</t>
        </is>
      </c>
      <c r="H33" s="9" t="inlineStr">
        <is>
          <t>EgoAnchor</t>
        </is>
      </c>
      <c r="I33" s="9" t="n">
        <v>1</v>
      </c>
      <c r="J33" s="9" t="n">
        <v>3</v>
      </c>
      <c r="K33" s="9" t="n">
        <v>6</v>
      </c>
      <c r="L33" s="9" t="n">
        <v>4</v>
      </c>
      <c r="M33" s="9" t="n">
        <v>5</v>
      </c>
      <c r="N33" s="9" t="n"/>
      <c r="O33" s="9" t="n">
        <v>5</v>
      </c>
      <c r="P33" s="9" t="n">
        <v>5</v>
      </c>
      <c r="Q33" s="9" t="n">
        <v>5</v>
      </c>
      <c r="R33" s="9" t="n">
        <v>5</v>
      </c>
      <c r="S33" s="9" t="n">
        <v>6</v>
      </c>
      <c r="T33" s="9" t="n">
        <v>5</v>
      </c>
      <c r="U33" s="9" t="n">
        <v>7</v>
      </c>
      <c r="V33" s="9" t="n">
        <v>6</v>
      </c>
      <c r="W33" s="9" t="n">
        <v>5</v>
      </c>
      <c r="X33" s="9" t="n">
        <v>4</v>
      </c>
      <c r="Y33" s="9" t="inlineStr">
        <is>
          <t>09:28:28</t>
        </is>
      </c>
      <c r="Z33" s="9" t="inlineStr">
        <is>
          <t>09:30:31</t>
        </is>
      </c>
      <c r="AA33" s="9" t="n">
        <v>122.7</v>
      </c>
      <c r="AB33" s="9" t="inlineStr">
        <is>
          <t>是</t>
        </is>
      </c>
      <c r="AC33" s="9" t="inlineStr">
        <is>
          <t>是</t>
        </is>
      </c>
      <c r="AD33" s="9" t="inlineStr">
        <is>
          <t>是</t>
        </is>
      </c>
      <c r="AE33" s="9" t="inlineStr">
        <is>
          <t>无</t>
        </is>
      </c>
      <c r="AF33" s="9" t="n">
        <v>9.73</v>
      </c>
      <c r="AG33" s="9" t="n">
        <v>0.9350000000000001</v>
      </c>
      <c r="AH33" s="9" t="n">
        <v>0.9389999999999999</v>
      </c>
      <c r="AI33" s="9" t="n">
        <v>0.99</v>
      </c>
      <c r="AJ33" s="9" t="n">
        <v>0.742</v>
      </c>
      <c r="AK33" s="9" t="inlineStr">
        <is>
          <t>FrozenUncertain</t>
        </is>
      </c>
      <c r="AL33" s="9" t="inlineStr">
        <is>
          <t>否</t>
        </is>
      </c>
      <c r="AM33" s="9" t="n">
        <v>0</v>
      </c>
      <c r="AN33" s="9" t="n">
        <v>4</v>
      </c>
      <c r="AO33" s="9" t="inlineStr">
        <is>
          <t>否</t>
        </is>
      </c>
      <c r="AP33" s="9" t="n">
        <v>5</v>
      </c>
      <c r="AQ33" s="9" t="inlineStr"/>
    </row>
    <row r="34">
      <c r="A34" s="7" t="inlineStr">
        <is>
          <t>P005</t>
        </is>
      </c>
      <c r="B34" s="9" t="n">
        <v>6</v>
      </c>
      <c r="C34" s="9" t="inlineStr">
        <is>
          <t>O2-S1-EA</t>
        </is>
      </c>
      <c r="D34" s="9" t="n">
        <v>3</v>
      </c>
      <c r="E34" s="9" t="inlineStr">
        <is>
          <t>固定订书机</t>
        </is>
      </c>
      <c r="F34" s="9" t="inlineStr">
        <is>
          <t>stapler</t>
        </is>
      </c>
      <c r="G34" s="9" t="inlineStr">
        <is>
          <t>方法B</t>
        </is>
      </c>
      <c r="H34" s="9" t="inlineStr">
        <is>
          <t>One-Euro</t>
        </is>
      </c>
      <c r="I34" s="9" t="n">
        <v>2</v>
      </c>
      <c r="J34" s="9" t="n">
        <v>3</v>
      </c>
      <c r="K34" s="9" t="n">
        <v>5</v>
      </c>
      <c r="L34" s="9" t="n">
        <v>6</v>
      </c>
      <c r="M34" s="9" t="n">
        <v>5</v>
      </c>
      <c r="N34" s="9" t="n"/>
      <c r="O34" s="9" t="n">
        <v>6</v>
      </c>
      <c r="P34" s="9" t="n">
        <v>6</v>
      </c>
      <c r="Q34" s="9" t="n">
        <v>5</v>
      </c>
      <c r="R34" s="9" t="n">
        <v>6</v>
      </c>
      <c r="S34" s="9" t="n">
        <v>7</v>
      </c>
      <c r="T34" s="9" t="n">
        <v>5</v>
      </c>
      <c r="U34" s="9" t="n">
        <v>7</v>
      </c>
      <c r="V34" s="9" t="n">
        <v>7</v>
      </c>
      <c r="W34" s="9" t="n">
        <v>5</v>
      </c>
      <c r="X34" s="9" t="n">
        <v>6</v>
      </c>
      <c r="Y34" s="9" t="inlineStr">
        <is>
          <t>09:32:06</t>
        </is>
      </c>
      <c r="Z34" s="9" t="inlineStr">
        <is>
          <t>09:34:07</t>
        </is>
      </c>
      <c r="AA34" s="9" t="n">
        <v>121.4</v>
      </c>
      <c r="AB34" s="9" t="inlineStr">
        <is>
          <t>是</t>
        </is>
      </c>
      <c r="AC34" s="9" t="inlineStr">
        <is>
          <t>是</t>
        </is>
      </c>
      <c r="AD34" s="9" t="inlineStr">
        <is>
          <t>是</t>
        </is>
      </c>
      <c r="AE34" s="9" t="inlineStr">
        <is>
          <t>无</t>
        </is>
      </c>
      <c r="AF34" s="9" t="n">
        <v>9.31</v>
      </c>
      <c r="AG34" s="9" t="n">
        <v>0.902</v>
      </c>
      <c r="AH34" s="9" t="n">
        <v>0.9399999999999999</v>
      </c>
      <c r="AI34" s="9" t="n">
        <v>0.985</v>
      </c>
      <c r="AJ34" s="9" t="n">
        <v>0.8100000000000001</v>
      </c>
      <c r="AK34" s="9" t="inlineStr">
        <is>
          <t>FrozenUncertain</t>
        </is>
      </c>
      <c r="AL34" s="9" t="inlineStr">
        <is>
          <t>否</t>
        </is>
      </c>
      <c r="AM34" s="9" t="n">
        <v>0</v>
      </c>
      <c r="AN34" s="9" t="n">
        <v>0</v>
      </c>
      <c r="AO34" s="9" t="inlineStr">
        <is>
          <t>否</t>
        </is>
      </c>
      <c r="AP34" s="9" t="n">
        <v>2</v>
      </c>
      <c r="AQ34" s="9" t="inlineStr"/>
    </row>
    <row r="35">
      <c r="A35" s="7" t="inlineStr">
        <is>
          <t>P006</t>
        </is>
      </c>
      <c r="B35" s="9" t="n">
        <v>1</v>
      </c>
      <c r="C35" s="9" t="inlineStr">
        <is>
          <t>O2-S2-EA</t>
        </is>
      </c>
      <c r="D35" s="9" t="n">
        <v>1</v>
      </c>
      <c r="E35" s="9" t="inlineStr">
        <is>
          <t>鼠标</t>
        </is>
      </c>
      <c r="F35" s="9" t="inlineStr">
        <is>
          <t>blue_mouse</t>
        </is>
      </c>
      <c r="G35" s="9" t="inlineStr">
        <is>
          <t>方法B</t>
        </is>
      </c>
      <c r="H35" s="9" t="inlineStr">
        <is>
          <t>One-Euro</t>
        </is>
      </c>
      <c r="I35" s="9" t="n">
        <v>1</v>
      </c>
      <c r="J35" s="9" t="n">
        <v>1</v>
      </c>
      <c r="K35" s="9" t="n">
        <v>4</v>
      </c>
      <c r="L35" s="9" t="n">
        <v>5</v>
      </c>
      <c r="M35" s="9" t="n">
        <v>4</v>
      </c>
      <c r="N35" s="9" t="n"/>
      <c r="O35" s="9" t="n">
        <v>4</v>
      </c>
      <c r="P35" s="9" t="n">
        <v>4</v>
      </c>
      <c r="Q35" s="9" t="n">
        <v>4</v>
      </c>
      <c r="R35" s="9" t="n">
        <v>5</v>
      </c>
      <c r="S35" s="9" t="n">
        <v>5</v>
      </c>
      <c r="T35" s="9" t="n">
        <v>5</v>
      </c>
      <c r="U35" s="9" t="n">
        <v>5</v>
      </c>
      <c r="V35" s="9" t="n">
        <v>4</v>
      </c>
      <c r="W35" s="9" t="n">
        <v>4</v>
      </c>
      <c r="X35" s="9" t="n">
        <v>4</v>
      </c>
      <c r="Y35" s="9" t="inlineStr">
        <is>
          <t>09:15:00</t>
        </is>
      </c>
      <c r="Z35" s="9" t="inlineStr">
        <is>
          <t>09:17:15</t>
        </is>
      </c>
      <c r="AA35" s="9" t="n">
        <v>135.1</v>
      </c>
      <c r="AB35" s="9" t="inlineStr">
        <is>
          <t>是</t>
        </is>
      </c>
      <c r="AC35" s="9" t="inlineStr">
        <is>
          <t>是</t>
        </is>
      </c>
      <c r="AD35" s="9" t="inlineStr">
        <is>
          <t>是</t>
        </is>
      </c>
      <c r="AE35" s="9" t="inlineStr">
        <is>
          <t>无</t>
        </is>
      </c>
      <c r="AF35" s="9" t="n">
        <v>9.35</v>
      </c>
      <c r="AG35" s="9" t="n">
        <v>0.919</v>
      </c>
      <c r="AH35" s="9" t="n">
        <v>0.931</v>
      </c>
      <c r="AI35" s="9" t="n">
        <v>0.994</v>
      </c>
      <c r="AJ35" s="9" t="n">
        <v>0.776</v>
      </c>
      <c r="AK35" s="9" t="inlineStr">
        <is>
          <t>FrozenUncertain</t>
        </is>
      </c>
      <c r="AL35" s="9" t="inlineStr">
        <is>
          <t>否</t>
        </is>
      </c>
      <c r="AM35" s="9" t="n">
        <v>0</v>
      </c>
      <c r="AN35" s="9" t="n">
        <v>0</v>
      </c>
      <c r="AO35" s="9" t="inlineStr">
        <is>
          <t>否</t>
        </is>
      </c>
      <c r="AP35" s="9" t="n">
        <v>4</v>
      </c>
      <c r="AQ35" s="9" t="inlineStr"/>
    </row>
    <row r="36">
      <c r="A36" s="7" t="inlineStr">
        <is>
          <t>P006</t>
        </is>
      </c>
      <c r="B36" s="9" t="n">
        <v>2</v>
      </c>
      <c r="C36" s="9" t="inlineStr">
        <is>
          <t>O2-S2-EA</t>
        </is>
      </c>
      <c r="D36" s="9" t="n">
        <v>1</v>
      </c>
      <c r="E36" s="9" t="inlineStr">
        <is>
          <t>鼠标</t>
        </is>
      </c>
      <c r="F36" s="9" t="inlineStr">
        <is>
          <t>blue_mouse</t>
        </is>
      </c>
      <c r="G36" s="9" t="inlineStr">
        <is>
          <t>方法A</t>
        </is>
      </c>
      <c r="H36" s="9" t="inlineStr">
        <is>
          <t>EgoAnchor</t>
        </is>
      </c>
      <c r="I36" s="9" t="n">
        <v>2</v>
      </c>
      <c r="J36" s="9" t="n">
        <v>1</v>
      </c>
      <c r="K36" s="9" t="n">
        <v>3</v>
      </c>
      <c r="L36" s="9" t="n">
        <v>4</v>
      </c>
      <c r="M36" s="9" t="n">
        <v>4</v>
      </c>
      <c r="N36" s="9" t="n"/>
      <c r="O36" s="9" t="n">
        <v>3</v>
      </c>
      <c r="P36" s="9" t="n">
        <v>4</v>
      </c>
      <c r="Q36" s="9" t="n">
        <v>3</v>
      </c>
      <c r="R36" s="9" t="n">
        <v>4</v>
      </c>
      <c r="S36" s="9" t="n">
        <v>5</v>
      </c>
      <c r="T36" s="9" t="n">
        <v>4</v>
      </c>
      <c r="U36" s="9" t="n">
        <v>4</v>
      </c>
      <c r="V36" s="9" t="n">
        <v>4</v>
      </c>
      <c r="W36" s="9" t="n">
        <v>4</v>
      </c>
      <c r="X36" s="9" t="n">
        <v>4</v>
      </c>
      <c r="Y36" s="9" t="inlineStr">
        <is>
          <t>09:18:50</t>
        </is>
      </c>
      <c r="Z36" s="9" t="inlineStr">
        <is>
          <t>09:21:29</t>
        </is>
      </c>
      <c r="AA36" s="9" t="n">
        <v>159.1</v>
      </c>
      <c r="AB36" s="9" t="inlineStr">
        <is>
          <t>是</t>
        </is>
      </c>
      <c r="AC36" s="9" t="inlineStr">
        <is>
          <t>是</t>
        </is>
      </c>
      <c r="AD36" s="9" t="inlineStr">
        <is>
          <t>是</t>
        </is>
      </c>
      <c r="AE36" s="9" t="inlineStr">
        <is>
          <t>无</t>
        </is>
      </c>
      <c r="AF36" s="9" t="n">
        <v>9.5</v>
      </c>
      <c r="AG36" s="9" t="n">
        <v>0.9320000000000001</v>
      </c>
      <c r="AH36" s="9" t="n">
        <v>0.952</v>
      </c>
      <c r="AI36" s="9" t="n">
        <v>0.985</v>
      </c>
      <c r="AJ36" s="9" t="n">
        <v>0.839</v>
      </c>
      <c r="AK36" s="9" t="inlineStr">
        <is>
          <t>FrozenUncertain</t>
        </is>
      </c>
      <c r="AL36" s="9" t="inlineStr">
        <is>
          <t>否</t>
        </is>
      </c>
      <c r="AM36" s="9" t="n">
        <v>0</v>
      </c>
      <c r="AN36" s="9" t="n">
        <v>9</v>
      </c>
      <c r="AO36" s="9" t="inlineStr">
        <is>
          <t>否</t>
        </is>
      </c>
      <c r="AP36" s="9" t="n">
        <v>5</v>
      </c>
      <c r="AQ36" s="9" t="inlineStr"/>
    </row>
    <row r="37">
      <c r="A37" s="7" t="inlineStr">
        <is>
          <t>P006</t>
        </is>
      </c>
      <c r="B37" s="9" t="n">
        <v>3</v>
      </c>
      <c r="C37" s="9" t="inlineStr">
        <is>
          <t>O2-S2-EA</t>
        </is>
      </c>
      <c r="D37" s="9" t="n">
        <v>2</v>
      </c>
      <c r="E37" s="9" t="inlineStr">
        <is>
          <t>游戏手柄</t>
        </is>
      </c>
      <c r="F37" s="9" t="inlineStr">
        <is>
          <t>gamepad</t>
        </is>
      </c>
      <c r="G37" s="9" t="inlineStr">
        <is>
          <t>方法A</t>
        </is>
      </c>
      <c r="H37" s="9" t="inlineStr">
        <is>
          <t>EgoAnchor</t>
        </is>
      </c>
      <c r="I37" s="9" t="n">
        <v>1</v>
      </c>
      <c r="J37" s="9" t="n">
        <v>2</v>
      </c>
      <c r="K37" s="9" t="n">
        <v>5</v>
      </c>
      <c r="L37" s="9" t="n">
        <v>5</v>
      </c>
      <c r="M37" s="9" t="n">
        <v>5</v>
      </c>
      <c r="N37" s="9" t="n"/>
      <c r="O37" s="9" t="n">
        <v>4</v>
      </c>
      <c r="P37" s="9" t="n">
        <v>4</v>
      </c>
      <c r="Q37" s="9" t="n">
        <v>4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6</v>
      </c>
      <c r="Y37" s="9" t="inlineStr">
        <is>
          <t>09:23:04</t>
        </is>
      </c>
      <c r="Z37" s="9" t="inlineStr">
        <is>
          <t>09:25:13</t>
        </is>
      </c>
      <c r="AA37" s="9" t="n">
        <v>129.7</v>
      </c>
      <c r="AB37" s="9" t="inlineStr">
        <is>
          <t>是</t>
        </is>
      </c>
      <c r="AC37" s="9" t="inlineStr">
        <is>
          <t>是</t>
        </is>
      </c>
      <c r="AD37" s="9" t="inlineStr">
        <is>
          <t>是</t>
        </is>
      </c>
      <c r="AE37" s="9" t="inlineStr">
        <is>
          <t>无</t>
        </is>
      </c>
      <c r="AF37" s="9" t="n">
        <v>9.23</v>
      </c>
      <c r="AG37" s="9" t="n">
        <v>0.881</v>
      </c>
      <c r="AH37" s="9" t="n">
        <v>0.931</v>
      </c>
      <c r="AI37" s="9" t="n">
        <v>0.975</v>
      </c>
      <c r="AJ37" s="9" t="n">
        <v>0.702</v>
      </c>
      <c r="AK37" s="9" t="inlineStr">
        <is>
          <t>FrozenUncertain</t>
        </is>
      </c>
      <c r="AL37" s="9" t="inlineStr">
        <is>
          <t>否</t>
        </is>
      </c>
      <c r="AM37" s="9" t="n">
        <v>0</v>
      </c>
      <c r="AN37" s="9" t="n">
        <v>2</v>
      </c>
      <c r="AO37" s="9" t="inlineStr">
        <is>
          <t>否</t>
        </is>
      </c>
      <c r="AP37" s="9" t="n">
        <v>6</v>
      </c>
      <c r="AQ37" s="9" t="inlineStr"/>
    </row>
    <row r="38">
      <c r="A38" s="7" t="inlineStr">
        <is>
          <t>P006</t>
        </is>
      </c>
      <c r="B38" s="9" t="n">
        <v>4</v>
      </c>
      <c r="C38" s="9" t="inlineStr">
        <is>
          <t>O2-S2-EA</t>
        </is>
      </c>
      <c r="D38" s="9" t="n">
        <v>2</v>
      </c>
      <c r="E38" s="9" t="inlineStr">
        <is>
          <t>游戏手柄</t>
        </is>
      </c>
      <c r="F38" s="9" t="inlineStr">
        <is>
          <t>gamepad</t>
        </is>
      </c>
      <c r="G38" s="9" t="inlineStr">
        <is>
          <t>方法B</t>
        </is>
      </c>
      <c r="H38" s="9" t="inlineStr">
        <is>
          <t>One-Euro</t>
        </is>
      </c>
      <c r="I38" s="9" t="n">
        <v>2</v>
      </c>
      <c r="J38" s="9" t="n">
        <v>2</v>
      </c>
      <c r="K38" s="9" t="n">
        <v>3</v>
      </c>
      <c r="L38" s="9" t="n">
        <v>5</v>
      </c>
      <c r="M38" s="9" t="n">
        <v>3</v>
      </c>
      <c r="N38" s="9" t="n"/>
      <c r="O38" s="9" t="n">
        <v>4</v>
      </c>
      <c r="P38" s="9" t="n">
        <v>4</v>
      </c>
      <c r="Q38" s="9" t="n">
        <v>2</v>
      </c>
      <c r="R38" s="9" t="n">
        <v>4</v>
      </c>
      <c r="S38" s="9" t="n">
        <v>5</v>
      </c>
      <c r="T38" s="9" t="n">
        <v>4</v>
      </c>
      <c r="U38" s="9" t="n">
        <v>4</v>
      </c>
      <c r="V38" s="9" t="n">
        <v>5</v>
      </c>
      <c r="W38" s="9" t="n">
        <v>1</v>
      </c>
      <c r="X38" s="9" t="n">
        <v>4</v>
      </c>
      <c r="Y38" s="9" t="inlineStr">
        <is>
          <t>09:26:48</t>
        </is>
      </c>
      <c r="Z38" s="9" t="inlineStr">
        <is>
          <t>09:29:14</t>
        </is>
      </c>
      <c r="AA38" s="9" t="n">
        <v>145.4</v>
      </c>
      <c r="AB38" s="9" t="inlineStr">
        <is>
          <t>是</t>
        </is>
      </c>
      <c r="AC38" s="9" t="inlineStr">
        <is>
          <t>是</t>
        </is>
      </c>
      <c r="AD38" s="9" t="inlineStr">
        <is>
          <t>是</t>
        </is>
      </c>
      <c r="AE38" s="9" t="inlineStr">
        <is>
          <t>无</t>
        </is>
      </c>
      <c r="AF38" s="9" t="n">
        <v>9.52</v>
      </c>
      <c r="AG38" s="9" t="n">
        <v>0.863</v>
      </c>
      <c r="AH38" s="9" t="n">
        <v>0.923</v>
      </c>
      <c r="AI38" s="9" t="n">
        <v>0.99</v>
      </c>
      <c r="AJ38" s="9" t="n">
        <v>0.8100000000000001</v>
      </c>
      <c r="AK38" s="9" t="inlineStr">
        <is>
          <t>FrozenUncertain</t>
        </is>
      </c>
      <c r="AL38" s="9" t="inlineStr">
        <is>
          <t>否</t>
        </is>
      </c>
      <c r="AM38" s="9" t="n">
        <v>0</v>
      </c>
      <c r="AN38" s="9" t="n">
        <v>0</v>
      </c>
      <c r="AO38" s="9" t="inlineStr">
        <is>
          <t>否</t>
        </is>
      </c>
      <c r="AP38" s="9" t="n">
        <v>2</v>
      </c>
      <c r="AQ38" s="9" t="inlineStr">
        <is>
          <t>灾难性恢复失效(&gt;40mm 级)</t>
        </is>
      </c>
    </row>
    <row r="39">
      <c r="A39" s="7" t="inlineStr">
        <is>
          <t>P006</t>
        </is>
      </c>
      <c r="B39" s="9" t="n">
        <v>5</v>
      </c>
      <c r="C39" s="9" t="inlineStr">
        <is>
          <t>O2-S2-EA</t>
        </is>
      </c>
      <c r="D39" s="9" t="n">
        <v>3</v>
      </c>
      <c r="E39" s="9" t="inlineStr">
        <is>
          <t>固定订书机</t>
        </is>
      </c>
      <c r="F39" s="9" t="inlineStr">
        <is>
          <t>stapler</t>
        </is>
      </c>
      <c r="G39" s="9" t="inlineStr">
        <is>
          <t>方法B</t>
        </is>
      </c>
      <c r="H39" s="9" t="inlineStr">
        <is>
          <t>One-Euro</t>
        </is>
      </c>
      <c r="I39" s="9" t="n">
        <v>1</v>
      </c>
      <c r="J39" s="9" t="n">
        <v>3</v>
      </c>
      <c r="K39" s="9" t="n">
        <v>4</v>
      </c>
      <c r="L39" s="9" t="n">
        <v>5</v>
      </c>
      <c r="M39" s="9" t="n">
        <v>4</v>
      </c>
      <c r="N39" s="9" t="n"/>
      <c r="O39" s="9" t="n">
        <v>3</v>
      </c>
      <c r="P39" s="9" t="n">
        <v>5</v>
      </c>
      <c r="Q39" s="9" t="n">
        <v>5</v>
      </c>
      <c r="R39" s="9" t="n">
        <v>4</v>
      </c>
      <c r="S39" s="9" t="n">
        <v>5</v>
      </c>
      <c r="T39" s="9" t="n">
        <v>4</v>
      </c>
      <c r="U39" s="9" t="n">
        <v>4</v>
      </c>
      <c r="V39" s="9" t="n">
        <v>6</v>
      </c>
      <c r="W39" s="9" t="n">
        <v>4</v>
      </c>
      <c r="X39" s="9" t="n">
        <v>4</v>
      </c>
      <c r="Y39" s="9" t="inlineStr">
        <is>
          <t>09:30:49</t>
        </is>
      </c>
      <c r="Z39" s="9" t="inlineStr">
        <is>
          <t>09:32:39</t>
        </is>
      </c>
      <c r="AA39" s="9" t="n">
        <v>110</v>
      </c>
      <c r="AB39" s="9" t="inlineStr">
        <is>
          <t>是</t>
        </is>
      </c>
      <c r="AC39" s="9" t="inlineStr">
        <is>
          <t>是</t>
        </is>
      </c>
      <c r="AD39" s="9" t="inlineStr">
        <is>
          <t>是</t>
        </is>
      </c>
      <c r="AE39" s="9" t="inlineStr">
        <is>
          <t>无</t>
        </is>
      </c>
      <c r="AF39" s="9" t="n">
        <v>9.720000000000001</v>
      </c>
      <c r="AG39" s="9" t="n">
        <v>0.922</v>
      </c>
      <c r="AH39" s="9" t="n">
        <v>0.9350000000000001</v>
      </c>
      <c r="AI39" s="9" t="n">
        <v>0.994</v>
      </c>
      <c r="AJ39" s="9" t="n">
        <v>0.6860000000000001</v>
      </c>
      <c r="AK39" s="9" t="inlineStr">
        <is>
          <t>FrozenUncertain</t>
        </is>
      </c>
      <c r="AL39" s="9" t="inlineStr">
        <is>
          <t>否</t>
        </is>
      </c>
      <c r="AM39" s="9" t="n">
        <v>0</v>
      </c>
      <c r="AN39" s="9" t="n">
        <v>0</v>
      </c>
      <c r="AO39" s="9" t="inlineStr">
        <is>
          <t>否</t>
        </is>
      </c>
      <c r="AP39" s="9" t="n">
        <v>2</v>
      </c>
      <c r="AQ39" s="9" t="inlineStr"/>
    </row>
    <row r="40">
      <c r="A40" s="7" t="inlineStr">
        <is>
          <t>P006</t>
        </is>
      </c>
      <c r="B40" s="9" t="n">
        <v>6</v>
      </c>
      <c r="C40" s="9" t="inlineStr">
        <is>
          <t>O2-S2-EA</t>
        </is>
      </c>
      <c r="D40" s="9" t="n">
        <v>3</v>
      </c>
      <c r="E40" s="9" t="inlineStr">
        <is>
          <t>固定订书机</t>
        </is>
      </c>
      <c r="F40" s="9" t="inlineStr">
        <is>
          <t>stapler</t>
        </is>
      </c>
      <c r="G40" s="9" t="inlineStr">
        <is>
          <t>方法A</t>
        </is>
      </c>
      <c r="H40" s="9" t="inlineStr">
        <is>
          <t>EgoAnchor</t>
        </is>
      </c>
      <c r="I40" s="9" t="n">
        <v>2</v>
      </c>
      <c r="J40" s="9" t="n">
        <v>3</v>
      </c>
      <c r="K40" s="9" t="n">
        <v>5</v>
      </c>
      <c r="L40" s="9" t="n">
        <v>5</v>
      </c>
      <c r="M40" s="9" t="n">
        <v>5</v>
      </c>
      <c r="N40" s="9" t="n"/>
      <c r="O40" s="9" t="n">
        <v>4</v>
      </c>
      <c r="P40" s="9" t="n">
        <v>6</v>
      </c>
      <c r="Q40" s="9" t="n">
        <v>6</v>
      </c>
      <c r="R40" s="9" t="n">
        <v>6</v>
      </c>
      <c r="S40" s="9" t="n">
        <v>6</v>
      </c>
      <c r="T40" s="9" t="n">
        <v>5</v>
      </c>
      <c r="U40" s="9" t="n">
        <v>5</v>
      </c>
      <c r="V40" s="9" t="n">
        <v>5</v>
      </c>
      <c r="W40" s="9" t="n">
        <v>3</v>
      </c>
      <c r="X40" s="9" t="n">
        <v>6</v>
      </c>
      <c r="Y40" s="9" t="inlineStr">
        <is>
          <t>09:34:14</t>
        </is>
      </c>
      <c r="Z40" s="9" t="inlineStr">
        <is>
          <t>09:36:09</t>
        </is>
      </c>
      <c r="AA40" s="9" t="n">
        <v>115.5</v>
      </c>
      <c r="AB40" s="9" t="inlineStr">
        <is>
          <t>是</t>
        </is>
      </c>
      <c r="AC40" s="9" t="inlineStr">
        <is>
          <t>是</t>
        </is>
      </c>
      <c r="AD40" s="9" t="inlineStr">
        <is>
          <t>是</t>
        </is>
      </c>
      <c r="AE40" s="9" t="inlineStr">
        <is>
          <t>无</t>
        </is>
      </c>
      <c r="AF40" s="9" t="n">
        <v>9.859999999999999</v>
      </c>
      <c r="AG40" s="9" t="n">
        <v>0.959</v>
      </c>
      <c r="AH40" s="9" t="n">
        <v>0.979</v>
      </c>
      <c r="AI40" s="9" t="n">
        <v>1</v>
      </c>
      <c r="AJ40" s="9" t="n">
        <v>0.709</v>
      </c>
      <c r="AK40" s="9" t="inlineStr">
        <is>
          <t>FrozenUncertain</t>
        </is>
      </c>
      <c r="AL40" s="9" t="inlineStr">
        <is>
          <t>否</t>
        </is>
      </c>
      <c r="AM40" s="9" t="n">
        <v>0</v>
      </c>
      <c r="AN40" s="9" t="n">
        <v>5</v>
      </c>
      <c r="AO40" s="9" t="inlineStr">
        <is>
          <t>是</t>
        </is>
      </c>
      <c r="AP40" s="9" t="n">
        <v>4</v>
      </c>
      <c r="AQ40" s="9" t="inlineStr"/>
    </row>
    <row r="41">
      <c r="A41" s="7" t="inlineStr">
        <is>
          <t>P007</t>
        </is>
      </c>
      <c r="B41" s="9" t="n">
        <v>1</v>
      </c>
      <c r="C41" s="9" t="inlineStr">
        <is>
          <t>O2-S2-OE</t>
        </is>
      </c>
      <c r="D41" s="9" t="n">
        <v>1</v>
      </c>
      <c r="E41" s="9" t="inlineStr">
        <is>
          <t>鼠标</t>
        </is>
      </c>
      <c r="F41" s="9" t="inlineStr">
        <is>
          <t>blue_mouse</t>
        </is>
      </c>
      <c r="G41" s="9" t="inlineStr">
        <is>
          <t>方法B</t>
        </is>
      </c>
      <c r="H41" s="9" t="inlineStr">
        <is>
          <t>EgoAnchor</t>
        </is>
      </c>
      <c r="I41" s="9" t="n">
        <v>1</v>
      </c>
      <c r="J41" s="9" t="n">
        <v>1</v>
      </c>
      <c r="K41" s="9" t="n">
        <v>6</v>
      </c>
      <c r="L41" s="9" t="n">
        <v>6</v>
      </c>
      <c r="M41" s="9" t="n">
        <v>6</v>
      </c>
      <c r="N41" s="9" t="n"/>
      <c r="O41" s="9" t="n">
        <v>6</v>
      </c>
      <c r="P41" s="9" t="n">
        <v>6</v>
      </c>
      <c r="Q41" s="9" t="n">
        <v>5</v>
      </c>
      <c r="R41" s="9" t="n">
        <v>5</v>
      </c>
      <c r="S41" s="9" t="n">
        <v>6</v>
      </c>
      <c r="T41" s="9" t="n">
        <v>6</v>
      </c>
      <c r="U41" s="9" t="n">
        <v>6</v>
      </c>
      <c r="V41" s="9" t="n">
        <v>6</v>
      </c>
      <c r="W41" s="9" t="n">
        <v>6</v>
      </c>
      <c r="X41" s="9" t="n">
        <v>6</v>
      </c>
      <c r="Y41" s="9" t="inlineStr">
        <is>
          <t>09:15:00</t>
        </is>
      </c>
      <c r="Z41" s="9" t="inlineStr">
        <is>
          <t>09:17:43</t>
        </is>
      </c>
      <c r="AA41" s="9" t="n">
        <v>163.7</v>
      </c>
      <c r="AB41" s="9" t="inlineStr">
        <is>
          <t>是</t>
        </is>
      </c>
      <c r="AC41" s="9" t="inlineStr">
        <is>
          <t>是</t>
        </is>
      </c>
      <c r="AD41" s="9" t="inlineStr">
        <is>
          <t>是</t>
        </is>
      </c>
      <c r="AE41" s="9" t="inlineStr">
        <is>
          <t>无</t>
        </is>
      </c>
      <c r="AF41" s="9" t="n">
        <v>9.56</v>
      </c>
      <c r="AG41" s="9" t="n">
        <v>0.914</v>
      </c>
      <c r="AH41" s="9" t="n">
        <v>0.965</v>
      </c>
      <c r="AI41" s="9" t="n">
        <v>0.979</v>
      </c>
      <c r="AJ41" s="9" t="n">
        <v>0.735</v>
      </c>
      <c r="AK41" s="9" t="inlineStr">
        <is>
          <t>FrozenUncertain</t>
        </is>
      </c>
      <c r="AL41" s="9" t="inlineStr">
        <is>
          <t>否</t>
        </is>
      </c>
      <c r="AM41" s="9" t="n">
        <v>0</v>
      </c>
      <c r="AN41" s="9" t="n">
        <v>2</v>
      </c>
      <c r="AO41" s="9" t="inlineStr">
        <is>
          <t>否</t>
        </is>
      </c>
      <c r="AP41" s="9" t="n">
        <v>6</v>
      </c>
      <c r="AQ41" s="9" t="inlineStr"/>
    </row>
    <row r="42">
      <c r="A42" s="7" t="inlineStr">
        <is>
          <t>P007</t>
        </is>
      </c>
      <c r="B42" s="9" t="n">
        <v>2</v>
      </c>
      <c r="C42" s="9" t="inlineStr">
        <is>
          <t>O2-S2-OE</t>
        </is>
      </c>
      <c r="D42" s="9" t="n">
        <v>1</v>
      </c>
      <c r="E42" s="9" t="inlineStr">
        <is>
          <t>鼠标</t>
        </is>
      </c>
      <c r="F42" s="9" t="inlineStr">
        <is>
          <t>blue_mouse</t>
        </is>
      </c>
      <c r="G42" s="9" t="inlineStr">
        <is>
          <t>方法A</t>
        </is>
      </c>
      <c r="H42" s="9" t="inlineStr">
        <is>
          <t>One-Euro</t>
        </is>
      </c>
      <c r="I42" s="9" t="n">
        <v>2</v>
      </c>
      <c r="J42" s="9" t="n">
        <v>1</v>
      </c>
      <c r="K42" s="9" t="n">
        <v>4</v>
      </c>
      <c r="L42" s="9" t="n">
        <v>5</v>
      </c>
      <c r="M42" s="9" t="n">
        <v>4</v>
      </c>
      <c r="N42" s="9" t="n"/>
      <c r="O42" s="9" t="n">
        <v>4</v>
      </c>
      <c r="P42" s="9" t="n">
        <v>5</v>
      </c>
      <c r="Q42" s="9" t="n">
        <v>4</v>
      </c>
      <c r="R42" s="9" t="n">
        <v>4</v>
      </c>
      <c r="S42" s="9" t="n">
        <v>4</v>
      </c>
      <c r="T42" s="9" t="n">
        <v>4</v>
      </c>
      <c r="U42" s="9" t="n">
        <v>6</v>
      </c>
      <c r="V42" s="9" t="n">
        <v>5</v>
      </c>
      <c r="W42" s="9" t="n">
        <v>4</v>
      </c>
      <c r="X42" s="9" t="n">
        <v>4</v>
      </c>
      <c r="Y42" s="9" t="inlineStr">
        <is>
          <t>09:19:18</t>
        </is>
      </c>
      <c r="Z42" s="9" t="inlineStr">
        <is>
          <t>09:22:05</t>
        </is>
      </c>
      <c r="AA42" s="9" t="n">
        <v>167</v>
      </c>
      <c r="AB42" s="9" t="inlineStr">
        <is>
          <t>是</t>
        </is>
      </c>
      <c r="AC42" s="9" t="inlineStr">
        <is>
          <t>是</t>
        </is>
      </c>
      <c r="AD42" s="9" t="inlineStr">
        <is>
          <t>是</t>
        </is>
      </c>
      <c r="AE42" s="9" t="inlineStr">
        <is>
          <t>无</t>
        </is>
      </c>
      <c r="AF42" s="9" t="n">
        <v>9.539999999999999</v>
      </c>
      <c r="AG42" s="9" t="n">
        <v>0.915</v>
      </c>
      <c r="AH42" s="9" t="n">
        <v>0.953</v>
      </c>
      <c r="AI42" s="9" t="n">
        <v>0.977</v>
      </c>
      <c r="AJ42" s="9" t="n">
        <v>0.702</v>
      </c>
      <c r="AK42" s="9" t="inlineStr">
        <is>
          <t>FrozenUncertain</t>
        </is>
      </c>
      <c r="AL42" s="9" t="inlineStr">
        <is>
          <t>否</t>
        </is>
      </c>
      <c r="AM42" s="9" t="n">
        <v>0</v>
      </c>
      <c r="AN42" s="9" t="n">
        <v>0</v>
      </c>
      <c r="AO42" s="9" t="inlineStr">
        <is>
          <t>否</t>
        </is>
      </c>
      <c r="AP42" s="9" t="n">
        <v>4</v>
      </c>
      <c r="AQ42" s="9" t="inlineStr"/>
    </row>
    <row r="43">
      <c r="A43" s="7" t="inlineStr">
        <is>
          <t>P007</t>
        </is>
      </c>
      <c r="B43" s="9" t="n">
        <v>3</v>
      </c>
      <c r="C43" s="9" t="inlineStr">
        <is>
          <t>O2-S2-OE</t>
        </is>
      </c>
      <c r="D43" s="9" t="n">
        <v>2</v>
      </c>
      <c r="E43" s="9" t="inlineStr">
        <is>
          <t>游戏手柄</t>
        </is>
      </c>
      <c r="F43" s="9" t="inlineStr">
        <is>
          <t>gamepad</t>
        </is>
      </c>
      <c r="G43" s="9" t="inlineStr">
        <is>
          <t>方法A</t>
        </is>
      </c>
      <c r="H43" s="9" t="inlineStr">
        <is>
          <t>One-Euro</t>
        </is>
      </c>
      <c r="I43" s="9" t="n">
        <v>1</v>
      </c>
      <c r="J43" s="9" t="n">
        <v>2</v>
      </c>
      <c r="K43" s="9" t="n">
        <v>5</v>
      </c>
      <c r="L43" s="9" t="n">
        <v>4</v>
      </c>
      <c r="M43" s="9" t="n">
        <v>5</v>
      </c>
      <c r="N43" s="9" t="n"/>
      <c r="O43" s="9" t="n">
        <v>5</v>
      </c>
      <c r="P43" s="9" t="n">
        <v>5</v>
      </c>
      <c r="Q43" s="9" t="n">
        <v>3</v>
      </c>
      <c r="R43" s="9" t="n">
        <v>3</v>
      </c>
      <c r="S43" s="9" t="n">
        <v>5</v>
      </c>
      <c r="T43" s="9" t="n">
        <v>4</v>
      </c>
      <c r="U43" s="9" t="n">
        <v>4</v>
      </c>
      <c r="V43" s="9" t="n">
        <v>5</v>
      </c>
      <c r="W43" s="9" t="n">
        <v>4</v>
      </c>
      <c r="X43" s="9" t="n">
        <v>4</v>
      </c>
      <c r="Y43" s="9" t="inlineStr">
        <is>
          <t>09:23:40</t>
        </is>
      </c>
      <c r="Z43" s="9" t="inlineStr">
        <is>
          <t>09:26:17</t>
        </is>
      </c>
      <c r="AA43" s="9" t="n">
        <v>156.3</v>
      </c>
      <c r="AB43" s="9" t="inlineStr">
        <is>
          <t>是</t>
        </is>
      </c>
      <c r="AC43" s="9" t="inlineStr">
        <is>
          <t>是</t>
        </is>
      </c>
      <c r="AD43" s="9" t="inlineStr">
        <is>
          <t>是</t>
        </is>
      </c>
      <c r="AE43" s="9" t="inlineStr">
        <is>
          <t>无</t>
        </is>
      </c>
      <c r="AF43" s="9" t="n">
        <v>9.210000000000001</v>
      </c>
      <c r="AG43" s="9" t="n">
        <v>0.876</v>
      </c>
      <c r="AH43" s="9" t="n">
        <v>0.924</v>
      </c>
      <c r="AI43" s="9" t="n">
        <v>0.974</v>
      </c>
      <c r="AJ43" s="9" t="n">
        <v>0.793</v>
      </c>
      <c r="AK43" s="9" t="inlineStr">
        <is>
          <t>FrozenUncertain</t>
        </is>
      </c>
      <c r="AL43" s="9" t="inlineStr">
        <is>
          <t>否</t>
        </is>
      </c>
      <c r="AM43" s="9" t="n">
        <v>0</v>
      </c>
      <c r="AN43" s="9" t="n">
        <v>0</v>
      </c>
      <c r="AO43" s="9" t="inlineStr">
        <is>
          <t>否</t>
        </is>
      </c>
      <c r="AP43" s="9" t="n">
        <v>3</v>
      </c>
      <c r="AQ43" s="9" t="inlineStr">
        <is>
          <t>灾难性恢复失效(&gt;40mm 级)</t>
        </is>
      </c>
    </row>
    <row r="44">
      <c r="A44" s="7" t="inlineStr">
        <is>
          <t>P007</t>
        </is>
      </c>
      <c r="B44" s="9" t="n">
        <v>4</v>
      </c>
      <c r="C44" s="9" t="inlineStr">
        <is>
          <t>O2-S2-OE</t>
        </is>
      </c>
      <c r="D44" s="9" t="n">
        <v>2</v>
      </c>
      <c r="E44" s="9" t="inlineStr">
        <is>
          <t>游戏手柄</t>
        </is>
      </c>
      <c r="F44" s="9" t="inlineStr">
        <is>
          <t>gamepad</t>
        </is>
      </c>
      <c r="G44" s="9" t="inlineStr">
        <is>
          <t>方法B</t>
        </is>
      </c>
      <c r="H44" s="9" t="inlineStr">
        <is>
          <t>EgoAnchor</t>
        </is>
      </c>
      <c r="I44" s="9" t="n">
        <v>2</v>
      </c>
      <c r="J44" s="9" t="n">
        <v>2</v>
      </c>
      <c r="K44" s="9" t="n">
        <v>5</v>
      </c>
      <c r="L44" s="9" t="n">
        <v>6</v>
      </c>
      <c r="M44" s="9" t="n">
        <v>5</v>
      </c>
      <c r="N44" s="9" t="n"/>
      <c r="O44" s="9" t="n">
        <v>4</v>
      </c>
      <c r="P44" s="9" t="n">
        <v>5</v>
      </c>
      <c r="Q44" s="9" t="n">
        <v>4</v>
      </c>
      <c r="R44" s="9" t="n">
        <v>5</v>
      </c>
      <c r="S44" s="9" t="n">
        <v>6</v>
      </c>
      <c r="T44" s="9" t="n">
        <v>6</v>
      </c>
      <c r="U44" s="9" t="n">
        <v>7</v>
      </c>
      <c r="V44" s="9" t="n">
        <v>6</v>
      </c>
      <c r="W44" s="9" t="n">
        <v>4</v>
      </c>
      <c r="X44" s="9" t="n">
        <v>3</v>
      </c>
      <c r="Y44" s="9" t="inlineStr">
        <is>
          <t>09:27:52</t>
        </is>
      </c>
      <c r="Z44" s="9" t="inlineStr">
        <is>
          <t>09:30:48</t>
        </is>
      </c>
      <c r="AA44" s="9" t="n">
        <v>176.6</v>
      </c>
      <c r="AB44" s="9" t="inlineStr">
        <is>
          <t>是</t>
        </is>
      </c>
      <c r="AC44" s="9" t="inlineStr">
        <is>
          <t>是</t>
        </is>
      </c>
      <c r="AD44" s="9" t="inlineStr">
        <is>
          <t>是</t>
        </is>
      </c>
      <c r="AE44" s="9" t="inlineStr">
        <is>
          <t>无</t>
        </is>
      </c>
      <c r="AF44" s="9" t="n">
        <v>9.279999999999999</v>
      </c>
      <c r="AG44" s="9" t="n">
        <v>0.895</v>
      </c>
      <c r="AH44" s="9" t="n">
        <v>0.944</v>
      </c>
      <c r="AI44" s="9" t="n">
        <v>0.979</v>
      </c>
      <c r="AJ44" s="9" t="n">
        <v>0.723</v>
      </c>
      <c r="AK44" s="9" t="inlineStr">
        <is>
          <t>FrozenUncertain</t>
        </is>
      </c>
      <c r="AL44" s="9" t="inlineStr">
        <is>
          <t>否</t>
        </is>
      </c>
      <c r="AM44" s="9" t="n">
        <v>0</v>
      </c>
      <c r="AN44" s="9" t="n">
        <v>2</v>
      </c>
      <c r="AO44" s="9" t="inlineStr">
        <is>
          <t>是</t>
        </is>
      </c>
      <c r="AP44" s="9" t="n">
        <v>2</v>
      </c>
      <c r="AQ44" s="9" t="inlineStr"/>
    </row>
    <row r="45">
      <c r="A45" s="7" t="inlineStr">
        <is>
          <t>P007</t>
        </is>
      </c>
      <c r="B45" s="9" t="n">
        <v>5</v>
      </c>
      <c r="C45" s="9" t="inlineStr">
        <is>
          <t>O2-S2-OE</t>
        </is>
      </c>
      <c r="D45" s="9" t="n">
        <v>3</v>
      </c>
      <c r="E45" s="9" t="inlineStr">
        <is>
          <t>固定订书机</t>
        </is>
      </c>
      <c r="F45" s="9" t="inlineStr">
        <is>
          <t>stapler</t>
        </is>
      </c>
      <c r="G45" s="9" t="inlineStr">
        <is>
          <t>方法B</t>
        </is>
      </c>
      <c r="H45" s="9" t="inlineStr">
        <is>
          <t>EgoAnchor</t>
        </is>
      </c>
      <c r="I45" s="9" t="n">
        <v>1</v>
      </c>
      <c r="J45" s="9" t="n">
        <v>3</v>
      </c>
      <c r="K45" s="9" t="n">
        <v>5</v>
      </c>
      <c r="L45" s="9" t="n">
        <v>5</v>
      </c>
      <c r="M45" s="9" t="n">
        <v>6</v>
      </c>
      <c r="N45" s="9" t="n"/>
      <c r="O45" s="9" t="n">
        <v>6</v>
      </c>
      <c r="P45" s="9" t="n">
        <v>6</v>
      </c>
      <c r="Q45" s="9" t="n">
        <v>6</v>
      </c>
      <c r="R45" s="9" t="n">
        <v>6</v>
      </c>
      <c r="S45" s="9" t="n">
        <v>6</v>
      </c>
      <c r="T45" s="9" t="n">
        <v>6</v>
      </c>
      <c r="U45" s="9" t="n">
        <v>7</v>
      </c>
      <c r="V45" s="9" t="n">
        <v>6</v>
      </c>
      <c r="W45" s="9" t="n">
        <v>6</v>
      </c>
      <c r="X45" s="9" t="n">
        <v>6</v>
      </c>
      <c r="Y45" s="9" t="inlineStr">
        <is>
          <t>09:32:23</t>
        </is>
      </c>
      <c r="Z45" s="9" t="inlineStr">
        <is>
          <t>09:34:57</t>
        </is>
      </c>
      <c r="AA45" s="9" t="n">
        <v>153.6</v>
      </c>
      <c r="AB45" s="9" t="inlineStr">
        <is>
          <t>是</t>
        </is>
      </c>
      <c r="AC45" s="9" t="inlineStr">
        <is>
          <t>是</t>
        </is>
      </c>
      <c r="AD45" s="9" t="inlineStr">
        <is>
          <t>是</t>
        </is>
      </c>
      <c r="AE45" s="9" t="inlineStr">
        <is>
          <t>无</t>
        </is>
      </c>
      <c r="AF45" s="9" t="n">
        <v>9.619999999999999</v>
      </c>
      <c r="AG45" s="9" t="n">
        <v>0.921</v>
      </c>
      <c r="AH45" s="9" t="n">
        <v>0.958</v>
      </c>
      <c r="AI45" s="9" t="n">
        <v>0.99</v>
      </c>
      <c r="AJ45" s="9" t="n">
        <v>0.705</v>
      </c>
      <c r="AK45" s="9" t="inlineStr">
        <is>
          <t>FrozenUncertain</t>
        </is>
      </c>
      <c r="AL45" s="9" t="inlineStr">
        <is>
          <t>否</t>
        </is>
      </c>
      <c r="AM45" s="9" t="n">
        <v>0</v>
      </c>
      <c r="AN45" s="9" t="n">
        <v>2</v>
      </c>
      <c r="AO45" s="9" t="inlineStr">
        <is>
          <t>否</t>
        </is>
      </c>
      <c r="AP45" s="9" t="n">
        <v>7</v>
      </c>
      <c r="AQ45" s="9" t="inlineStr"/>
    </row>
    <row r="46">
      <c r="A46" s="7" t="inlineStr">
        <is>
          <t>P007</t>
        </is>
      </c>
      <c r="B46" s="9" t="n">
        <v>6</v>
      </c>
      <c r="C46" s="9" t="inlineStr">
        <is>
          <t>O2-S2-OE</t>
        </is>
      </c>
      <c r="D46" s="9" t="n">
        <v>3</v>
      </c>
      <c r="E46" s="9" t="inlineStr">
        <is>
          <t>固定订书机</t>
        </is>
      </c>
      <c r="F46" s="9" t="inlineStr">
        <is>
          <t>stapler</t>
        </is>
      </c>
      <c r="G46" s="9" t="inlineStr">
        <is>
          <t>方法A</t>
        </is>
      </c>
      <c r="H46" s="9" t="inlineStr">
        <is>
          <t>One-Euro</t>
        </is>
      </c>
      <c r="I46" s="9" t="n">
        <v>2</v>
      </c>
      <c r="J46" s="9" t="n">
        <v>3</v>
      </c>
      <c r="K46" s="9" t="n">
        <v>2</v>
      </c>
      <c r="L46" s="9" t="n">
        <v>7</v>
      </c>
      <c r="M46" s="9" t="n">
        <v>7</v>
      </c>
      <c r="N46" s="9" t="n"/>
      <c r="O46" s="9" t="n">
        <v>4</v>
      </c>
      <c r="P46" s="9" t="n">
        <v>6</v>
      </c>
      <c r="Q46" s="9" t="n">
        <v>6</v>
      </c>
      <c r="R46" s="9" t="n">
        <v>6</v>
      </c>
      <c r="S46" s="9" t="n">
        <v>6</v>
      </c>
      <c r="T46" s="9" t="n">
        <v>6</v>
      </c>
      <c r="U46" s="9" t="n">
        <v>4</v>
      </c>
      <c r="V46" s="9" t="n">
        <v>6</v>
      </c>
      <c r="W46" s="9" t="n">
        <v>6</v>
      </c>
      <c r="X46" s="9" t="n">
        <v>6</v>
      </c>
      <c r="Y46" s="9" t="inlineStr">
        <is>
          <t>09:36:32</t>
        </is>
      </c>
      <c r="Z46" s="9" t="inlineStr">
        <is>
          <t>09:38:47</t>
        </is>
      </c>
      <c r="AA46" s="9" t="n">
        <v>135.5</v>
      </c>
      <c r="AB46" s="9" t="inlineStr">
        <is>
          <t>是</t>
        </is>
      </c>
      <c r="AC46" s="9" t="inlineStr">
        <is>
          <t>是</t>
        </is>
      </c>
      <c r="AD46" s="9" t="inlineStr">
        <is>
          <t>是</t>
        </is>
      </c>
      <c r="AE46" s="9" t="inlineStr">
        <is>
          <t>无</t>
        </is>
      </c>
      <c r="AF46" s="9" t="n">
        <v>9.81</v>
      </c>
      <c r="AG46" s="9" t="n">
        <v>0.9370000000000001</v>
      </c>
      <c r="AH46" s="9" t="n">
        <v>0.96</v>
      </c>
      <c r="AI46" s="9" t="n">
        <v>0.996</v>
      </c>
      <c r="AJ46" s="9" t="n">
        <v>0.732</v>
      </c>
      <c r="AK46" s="9" t="inlineStr">
        <is>
          <t>FrozenUncertain</t>
        </is>
      </c>
      <c r="AL46" s="9" t="inlineStr">
        <is>
          <t>否</t>
        </is>
      </c>
      <c r="AM46" s="9" t="n">
        <v>0</v>
      </c>
      <c r="AN46" s="9" t="n">
        <v>0</v>
      </c>
      <c r="AO46" s="9" t="inlineStr">
        <is>
          <t>是</t>
        </is>
      </c>
      <c r="AP46" s="9" t="n">
        <v>5</v>
      </c>
      <c r="AQ46" s="9" t="inlineStr"/>
    </row>
    <row r="47">
      <c r="A47" s="7" t="inlineStr">
        <is>
          <t>P008</t>
        </is>
      </c>
      <c r="B47" s="9" t="n">
        <v>1</v>
      </c>
      <c r="C47" s="9" t="inlineStr">
        <is>
          <t>O2-S1-OE</t>
        </is>
      </c>
      <c r="D47" s="9" t="n">
        <v>1</v>
      </c>
      <c r="E47" s="9" t="inlineStr">
        <is>
          <t>鼠标</t>
        </is>
      </c>
      <c r="F47" s="9" t="inlineStr">
        <is>
          <t>blue_mouse</t>
        </is>
      </c>
      <c r="G47" s="9" t="inlineStr">
        <is>
          <t>方法A</t>
        </is>
      </c>
      <c r="H47" s="9" t="inlineStr">
        <is>
          <t>One-Euro</t>
        </is>
      </c>
      <c r="I47" s="9" t="n">
        <v>1</v>
      </c>
      <c r="J47" s="9" t="n">
        <v>1</v>
      </c>
      <c r="K47" s="9" t="n">
        <v>5</v>
      </c>
      <c r="L47" s="9" t="n">
        <v>5</v>
      </c>
      <c r="M47" s="9" t="n">
        <v>4</v>
      </c>
      <c r="N47" s="9" t="n"/>
      <c r="O47" s="9" t="n">
        <v>5</v>
      </c>
      <c r="P47" s="9" t="n">
        <v>5</v>
      </c>
      <c r="Q47" s="9" t="n">
        <v>4</v>
      </c>
      <c r="R47" s="9" t="n">
        <v>5</v>
      </c>
      <c r="S47" s="9" t="n">
        <v>5</v>
      </c>
      <c r="T47" s="9" t="n">
        <v>5</v>
      </c>
      <c r="U47" s="9" t="n">
        <v>5</v>
      </c>
      <c r="V47" s="9" t="n">
        <v>6</v>
      </c>
      <c r="W47" s="9" t="n">
        <v>3</v>
      </c>
      <c r="X47" s="9" t="n">
        <v>4</v>
      </c>
      <c r="Y47" s="9" t="inlineStr">
        <is>
          <t>09:15:00</t>
        </is>
      </c>
      <c r="Z47" s="9" t="inlineStr">
        <is>
          <t>09:17:22</t>
        </is>
      </c>
      <c r="AA47" s="9" t="n">
        <v>142.6</v>
      </c>
      <c r="AB47" s="9" t="inlineStr">
        <is>
          <t>是</t>
        </is>
      </c>
      <c r="AC47" s="9" t="inlineStr">
        <is>
          <t>是</t>
        </is>
      </c>
      <c r="AD47" s="9" t="inlineStr">
        <is>
          <t>是</t>
        </is>
      </c>
      <c r="AE47" s="9" t="inlineStr">
        <is>
          <t>无</t>
        </is>
      </c>
      <c r="AF47" s="9" t="n">
        <v>9.619999999999999</v>
      </c>
      <c r="AG47" s="9" t="n">
        <v>0.892</v>
      </c>
      <c r="AH47" s="9" t="n">
        <v>0.959</v>
      </c>
      <c r="AI47" s="9" t="n">
        <v>0.981</v>
      </c>
      <c r="AJ47" s="9" t="n">
        <v>0.841</v>
      </c>
      <c r="AK47" s="9" t="inlineStr">
        <is>
          <t>FrozenUncertain</t>
        </is>
      </c>
      <c r="AL47" s="9" t="inlineStr">
        <is>
          <t>否</t>
        </is>
      </c>
      <c r="AM47" s="9" t="n">
        <v>0</v>
      </c>
      <c r="AN47" s="9" t="n">
        <v>0</v>
      </c>
      <c r="AO47" s="9" t="inlineStr">
        <is>
          <t>否</t>
        </is>
      </c>
      <c r="AP47" s="9" t="n">
        <v>4</v>
      </c>
      <c r="AQ47" s="9" t="inlineStr"/>
    </row>
    <row r="48">
      <c r="A48" s="7" t="inlineStr">
        <is>
          <t>P008</t>
        </is>
      </c>
      <c r="B48" s="9" t="n">
        <v>2</v>
      </c>
      <c r="C48" s="9" t="inlineStr">
        <is>
          <t>O2-S1-OE</t>
        </is>
      </c>
      <c r="D48" s="9" t="n">
        <v>1</v>
      </c>
      <c r="E48" s="9" t="inlineStr">
        <is>
          <t>鼠标</t>
        </is>
      </c>
      <c r="F48" s="9" t="inlineStr">
        <is>
          <t>blue_mouse</t>
        </is>
      </c>
      <c r="G48" s="9" t="inlineStr">
        <is>
          <t>方法B</t>
        </is>
      </c>
      <c r="H48" s="9" t="inlineStr">
        <is>
          <t>EgoAnchor</t>
        </is>
      </c>
      <c r="I48" s="9" t="n">
        <v>2</v>
      </c>
      <c r="J48" s="9" t="n">
        <v>1</v>
      </c>
      <c r="K48" s="9" t="n">
        <v>6</v>
      </c>
      <c r="L48" s="9" t="n">
        <v>4</v>
      </c>
      <c r="M48" s="9" t="n">
        <v>5</v>
      </c>
      <c r="N48" s="9" t="n"/>
      <c r="O48" s="9" t="n">
        <v>4</v>
      </c>
      <c r="P48" s="9" t="n">
        <v>4</v>
      </c>
      <c r="Q48" s="9" t="n">
        <v>3</v>
      </c>
      <c r="R48" s="9" t="n">
        <v>4</v>
      </c>
      <c r="S48" s="9" t="n">
        <v>4</v>
      </c>
      <c r="T48" s="9" t="n">
        <v>5</v>
      </c>
      <c r="U48" s="9" t="n">
        <v>5</v>
      </c>
      <c r="V48" s="9" t="n">
        <v>5</v>
      </c>
      <c r="W48" s="9" t="n">
        <v>6</v>
      </c>
      <c r="X48" s="9" t="n">
        <v>6</v>
      </c>
      <c r="Y48" s="9" t="inlineStr">
        <is>
          <t>09:18:57</t>
        </is>
      </c>
      <c r="Z48" s="9" t="inlineStr">
        <is>
          <t>09:21:20</t>
        </is>
      </c>
      <c r="AA48" s="9" t="n">
        <v>143</v>
      </c>
      <c r="AB48" s="9" t="inlineStr">
        <is>
          <t>是</t>
        </is>
      </c>
      <c r="AC48" s="9" t="inlineStr">
        <is>
          <t>是</t>
        </is>
      </c>
      <c r="AD48" s="9" t="inlineStr">
        <is>
          <t>是</t>
        </is>
      </c>
      <c r="AE48" s="9" t="inlineStr">
        <is>
          <t>无</t>
        </is>
      </c>
      <c r="AF48" s="9" t="n">
        <v>9.67</v>
      </c>
      <c r="AG48" s="9" t="n">
        <v>0.902</v>
      </c>
      <c r="AH48" s="9" t="n">
        <v>0.9320000000000001</v>
      </c>
      <c r="AI48" s="9" t="n">
        <v>0.988</v>
      </c>
      <c r="AJ48" s="9" t="n">
        <v>1.017</v>
      </c>
      <c r="AK48" s="9" t="inlineStr">
        <is>
          <t>Lost</t>
        </is>
      </c>
      <c r="AL48" s="9" t="inlineStr">
        <is>
          <t>是</t>
        </is>
      </c>
      <c r="AM48" s="9" t="n">
        <v>1</v>
      </c>
      <c r="AN48" s="9" t="n">
        <v>8</v>
      </c>
      <c r="AO48" s="9" t="inlineStr">
        <is>
          <t>否</t>
        </is>
      </c>
      <c r="AP48" s="9" t="n">
        <v>3</v>
      </c>
      <c r="AQ48" s="9" t="inlineStr"/>
    </row>
    <row r="49">
      <c r="A49" s="7" t="inlineStr">
        <is>
          <t>P008</t>
        </is>
      </c>
      <c r="B49" s="9" t="n">
        <v>3</v>
      </c>
      <c r="C49" s="9" t="inlineStr">
        <is>
          <t>O2-S1-OE</t>
        </is>
      </c>
      <c r="D49" s="9" t="n">
        <v>2</v>
      </c>
      <c r="E49" s="9" t="inlineStr">
        <is>
          <t>游戏手柄</t>
        </is>
      </c>
      <c r="F49" s="9" t="inlineStr">
        <is>
          <t>gamepad</t>
        </is>
      </c>
      <c r="G49" s="9" t="inlineStr">
        <is>
          <t>方法B</t>
        </is>
      </c>
      <c r="H49" s="9" t="inlineStr">
        <is>
          <t>EgoAnchor</t>
        </is>
      </c>
      <c r="I49" s="9" t="n">
        <v>1</v>
      </c>
      <c r="J49" s="9" t="n">
        <v>2</v>
      </c>
      <c r="K49" s="9" t="n">
        <v>6</v>
      </c>
      <c r="L49" s="9" t="n">
        <v>4</v>
      </c>
      <c r="M49" s="9" t="n">
        <v>4</v>
      </c>
      <c r="N49" s="9" t="n"/>
      <c r="O49" s="9" t="n">
        <v>3</v>
      </c>
      <c r="P49" s="9" t="n">
        <v>4</v>
      </c>
      <c r="Q49" s="9" t="n">
        <v>3</v>
      </c>
      <c r="R49" s="9" t="n">
        <v>5</v>
      </c>
      <c r="S49" s="9" t="n">
        <v>5</v>
      </c>
      <c r="T49" s="9" t="n">
        <v>5</v>
      </c>
      <c r="U49" s="9" t="n">
        <v>4</v>
      </c>
      <c r="V49" s="9" t="n">
        <v>4</v>
      </c>
      <c r="W49" s="9" t="n">
        <v>5</v>
      </c>
      <c r="X49" s="9" t="n">
        <v>5</v>
      </c>
      <c r="Y49" s="9" t="inlineStr">
        <is>
          <t>09:22:55</t>
        </is>
      </c>
      <c r="Z49" s="9" t="inlineStr">
        <is>
          <t>09:24:46</t>
        </is>
      </c>
      <c r="AA49" s="9" t="n">
        <v>110.7</v>
      </c>
      <c r="AB49" s="9" t="inlineStr">
        <is>
          <t>是</t>
        </is>
      </c>
      <c r="AC49" s="9" t="inlineStr">
        <is>
          <t>是</t>
        </is>
      </c>
      <c r="AD49" s="9" t="inlineStr">
        <is>
          <t>是</t>
        </is>
      </c>
      <c r="AE49" s="9" t="inlineStr">
        <is>
          <t>无</t>
        </is>
      </c>
      <c r="AF49" s="9" t="n">
        <v>9.279999999999999</v>
      </c>
      <c r="AG49" s="9" t="n">
        <v>0.854</v>
      </c>
      <c r="AH49" s="9" t="n">
        <v>0.92</v>
      </c>
      <c r="AI49" s="9" t="n">
        <v>0.981</v>
      </c>
      <c r="AJ49" s="9" t="n">
        <v>0.714</v>
      </c>
      <c r="AK49" s="9" t="inlineStr">
        <is>
          <t>FrozenUncertain</t>
        </is>
      </c>
      <c r="AL49" s="9" t="inlineStr">
        <is>
          <t>否</t>
        </is>
      </c>
      <c r="AM49" s="9" t="n">
        <v>0</v>
      </c>
      <c r="AN49" s="9" t="n">
        <v>3</v>
      </c>
      <c r="AO49" s="9" t="inlineStr">
        <is>
          <t>否</t>
        </is>
      </c>
      <c r="AP49" s="9" t="n">
        <v>3</v>
      </c>
      <c r="AQ49" s="9" t="inlineStr"/>
    </row>
    <row r="50">
      <c r="A50" s="7" t="inlineStr">
        <is>
          <t>P008</t>
        </is>
      </c>
      <c r="B50" s="9" t="n">
        <v>4</v>
      </c>
      <c r="C50" s="9" t="inlineStr">
        <is>
          <t>O2-S1-OE</t>
        </is>
      </c>
      <c r="D50" s="9" t="n">
        <v>2</v>
      </c>
      <c r="E50" s="9" t="inlineStr">
        <is>
          <t>游戏手柄</t>
        </is>
      </c>
      <c r="F50" s="9" t="inlineStr">
        <is>
          <t>gamepad</t>
        </is>
      </c>
      <c r="G50" s="9" t="inlineStr">
        <is>
          <t>方法A</t>
        </is>
      </c>
      <c r="H50" s="9" t="inlineStr">
        <is>
          <t>One-Euro</t>
        </is>
      </c>
      <c r="I50" s="9" t="n">
        <v>2</v>
      </c>
      <c r="J50" s="9" t="n">
        <v>2</v>
      </c>
      <c r="K50" s="9" t="n">
        <v>4</v>
      </c>
      <c r="L50" s="9" t="n">
        <v>5</v>
      </c>
      <c r="M50" s="9" t="n">
        <v>4</v>
      </c>
      <c r="N50" s="9" t="n"/>
      <c r="O50" s="9" t="n">
        <v>5</v>
      </c>
      <c r="P50" s="9" t="n">
        <v>5</v>
      </c>
      <c r="Q50" s="9" t="n">
        <v>4</v>
      </c>
      <c r="R50" s="9" t="n">
        <v>4</v>
      </c>
      <c r="S50" s="9" t="n">
        <v>5</v>
      </c>
      <c r="T50" s="9" t="n">
        <v>5</v>
      </c>
      <c r="U50" s="9" t="n">
        <v>6</v>
      </c>
      <c r="V50" s="9" t="n">
        <v>6</v>
      </c>
      <c r="W50" s="9" t="n">
        <v>4</v>
      </c>
      <c r="X50" s="9" t="n">
        <v>5</v>
      </c>
      <c r="Y50" s="9" t="inlineStr">
        <is>
          <t>09:26:21</t>
        </is>
      </c>
      <c r="Z50" s="9" t="inlineStr">
        <is>
          <t>09:28:22</t>
        </is>
      </c>
      <c r="AA50" s="9" t="n">
        <v>121.2</v>
      </c>
      <c r="AB50" s="9" t="inlineStr">
        <is>
          <t>是</t>
        </is>
      </c>
      <c r="AC50" s="9" t="inlineStr">
        <is>
          <t>是</t>
        </is>
      </c>
      <c r="AD50" s="9" t="inlineStr">
        <is>
          <t>是</t>
        </is>
      </c>
      <c r="AE50" s="9" t="inlineStr">
        <is>
          <t>无</t>
        </is>
      </c>
      <c r="AF50" s="9" t="n">
        <v>9.1</v>
      </c>
      <c r="AG50" s="9" t="n">
        <v>0.863</v>
      </c>
      <c r="AH50" s="9" t="n">
        <v>0.912</v>
      </c>
      <c r="AI50" s="9" t="n">
        <v>0.991</v>
      </c>
      <c r="AJ50" s="9" t="n">
        <v>0.786</v>
      </c>
      <c r="AK50" s="9" t="inlineStr">
        <is>
          <t>FrozenUncertain</t>
        </is>
      </c>
      <c r="AL50" s="9" t="inlineStr">
        <is>
          <t>否</t>
        </is>
      </c>
      <c r="AM50" s="9" t="n">
        <v>1</v>
      </c>
      <c r="AN50" s="9" t="n">
        <v>0</v>
      </c>
      <c r="AO50" s="9" t="inlineStr">
        <is>
          <t>否</t>
        </is>
      </c>
      <c r="AP50" s="9" t="n">
        <v>2</v>
      </c>
      <c r="AQ50" s="9" t="inlineStr"/>
    </row>
    <row r="51">
      <c r="A51" s="7" t="inlineStr">
        <is>
          <t>P008</t>
        </is>
      </c>
      <c r="B51" s="9" t="n">
        <v>5</v>
      </c>
      <c r="C51" s="9" t="inlineStr">
        <is>
          <t>O2-S1-OE</t>
        </is>
      </c>
      <c r="D51" s="9" t="n">
        <v>3</v>
      </c>
      <c r="E51" s="9" t="inlineStr">
        <is>
          <t>固定订书机</t>
        </is>
      </c>
      <c r="F51" s="9" t="inlineStr">
        <is>
          <t>stapler</t>
        </is>
      </c>
      <c r="G51" s="9" t="inlineStr">
        <is>
          <t>方法A</t>
        </is>
      </c>
      <c r="H51" s="9" t="inlineStr">
        <is>
          <t>One-Euro</t>
        </is>
      </c>
      <c r="I51" s="9" t="n">
        <v>1</v>
      </c>
      <c r="J51" s="9" t="n">
        <v>3</v>
      </c>
      <c r="K51" s="9" t="n">
        <v>6</v>
      </c>
      <c r="L51" s="9" t="n">
        <v>6</v>
      </c>
      <c r="M51" s="9" t="n">
        <v>6</v>
      </c>
      <c r="N51" s="9" t="n"/>
      <c r="O51" s="9" t="n">
        <v>5</v>
      </c>
      <c r="P51" s="9" t="n">
        <v>4</v>
      </c>
      <c r="Q51" s="9" t="n">
        <v>6</v>
      </c>
      <c r="R51" s="9" t="n">
        <v>6</v>
      </c>
      <c r="S51" s="9" t="n">
        <v>4</v>
      </c>
      <c r="T51" s="9" t="n">
        <v>5</v>
      </c>
      <c r="U51" s="9" t="n">
        <v>7</v>
      </c>
      <c r="V51" s="9" t="n">
        <v>4</v>
      </c>
      <c r="W51" s="9" t="n">
        <v>4</v>
      </c>
      <c r="X51" s="9" t="n">
        <v>6</v>
      </c>
      <c r="Y51" s="9" t="inlineStr">
        <is>
          <t>09:29:57</t>
        </is>
      </c>
      <c r="Z51" s="9" t="inlineStr">
        <is>
          <t>09:31:54</t>
        </is>
      </c>
      <c r="AA51" s="9" t="n">
        <v>117</v>
      </c>
      <c r="AB51" s="9" t="inlineStr">
        <is>
          <t>是</t>
        </is>
      </c>
      <c r="AC51" s="9" t="inlineStr">
        <is>
          <t>是</t>
        </is>
      </c>
      <c r="AD51" s="9" t="inlineStr">
        <is>
          <t>是</t>
        </is>
      </c>
      <c r="AE51" s="9" t="inlineStr">
        <is>
          <t>无</t>
        </is>
      </c>
      <c r="AF51" s="9" t="n">
        <v>9.52</v>
      </c>
      <c r="AG51" s="9" t="n">
        <v>0.931</v>
      </c>
      <c r="AH51" s="9" t="n">
        <v>0.95</v>
      </c>
      <c r="AI51" s="9" t="n">
        <v>0.988</v>
      </c>
      <c r="AJ51" s="9" t="n">
        <v>0.699</v>
      </c>
      <c r="AK51" s="9" t="inlineStr">
        <is>
          <t>FrozenUncertain</t>
        </is>
      </c>
      <c r="AL51" s="9" t="inlineStr">
        <is>
          <t>否</t>
        </is>
      </c>
      <c r="AM51" s="9" t="n">
        <v>0</v>
      </c>
      <c r="AN51" s="9" t="n">
        <v>0</v>
      </c>
      <c r="AO51" s="9" t="inlineStr">
        <is>
          <t>是</t>
        </is>
      </c>
      <c r="AP51" s="9" t="n">
        <v>3</v>
      </c>
      <c r="AQ51" s="9" t="inlineStr"/>
    </row>
    <row r="52">
      <c r="A52" s="7" t="inlineStr">
        <is>
          <t>P008</t>
        </is>
      </c>
      <c r="B52" s="9" t="n">
        <v>6</v>
      </c>
      <c r="C52" s="9" t="inlineStr">
        <is>
          <t>O2-S1-OE</t>
        </is>
      </c>
      <c r="D52" s="9" t="n">
        <v>3</v>
      </c>
      <c r="E52" s="9" t="inlineStr">
        <is>
          <t>固定订书机</t>
        </is>
      </c>
      <c r="F52" s="9" t="inlineStr">
        <is>
          <t>stapler</t>
        </is>
      </c>
      <c r="G52" s="9" t="inlineStr">
        <is>
          <t>方法B</t>
        </is>
      </c>
      <c r="H52" s="9" t="inlineStr">
        <is>
          <t>EgoAnchor</t>
        </is>
      </c>
      <c r="I52" s="9" t="n">
        <v>2</v>
      </c>
      <c r="J52" s="9" t="n">
        <v>3</v>
      </c>
      <c r="K52" s="9" t="n">
        <v>6</v>
      </c>
      <c r="L52" s="9" t="n">
        <v>6</v>
      </c>
      <c r="M52" s="9" t="n">
        <v>4</v>
      </c>
      <c r="N52" s="9" t="n"/>
      <c r="O52" s="9" t="n">
        <v>4</v>
      </c>
      <c r="P52" s="9" t="n">
        <v>5</v>
      </c>
      <c r="Q52" s="9" t="n">
        <v>5</v>
      </c>
      <c r="R52" s="9" t="n">
        <v>6</v>
      </c>
      <c r="S52" s="9" t="n">
        <v>6</v>
      </c>
      <c r="T52" s="9" t="n">
        <v>6</v>
      </c>
      <c r="U52" s="9" t="n">
        <v>6</v>
      </c>
      <c r="V52" s="9" t="n">
        <v>6</v>
      </c>
      <c r="W52" s="9" t="n">
        <v>5</v>
      </c>
      <c r="X52" s="9" t="n">
        <v>6</v>
      </c>
      <c r="Y52" s="9" t="inlineStr">
        <is>
          <t>09:33:29</t>
        </is>
      </c>
      <c r="Z52" s="9" t="inlineStr">
        <is>
          <t>09:35:29</t>
        </is>
      </c>
      <c r="AA52" s="9" t="n">
        <v>119.6</v>
      </c>
      <c r="AB52" s="9" t="inlineStr">
        <is>
          <t>是</t>
        </is>
      </c>
      <c r="AC52" s="9" t="inlineStr">
        <is>
          <t>是</t>
        </is>
      </c>
      <c r="AD52" s="9" t="inlineStr">
        <is>
          <t>是</t>
        </is>
      </c>
      <c r="AE52" s="9" t="inlineStr">
        <is>
          <t>无</t>
        </is>
      </c>
      <c r="AF52" s="9" t="n">
        <v>9.32</v>
      </c>
      <c r="AG52" s="9" t="n">
        <v>0.955</v>
      </c>
      <c r="AH52" s="9" t="n">
        <v>0.9409999999999999</v>
      </c>
      <c r="AI52" s="9" t="n">
        <v>0.984</v>
      </c>
      <c r="AJ52" s="9" t="n">
        <v>0.763</v>
      </c>
      <c r="AK52" s="9" t="inlineStr">
        <is>
          <t>FrozenUncertain</t>
        </is>
      </c>
      <c r="AL52" s="9" t="inlineStr">
        <is>
          <t>否</t>
        </is>
      </c>
      <c r="AM52" s="9" t="n">
        <v>0</v>
      </c>
      <c r="AN52" s="9" t="n">
        <v>4</v>
      </c>
      <c r="AO52" s="9" t="inlineStr">
        <is>
          <t>否</t>
        </is>
      </c>
      <c r="AP52" s="9" t="n">
        <v>5</v>
      </c>
      <c r="AQ52" s="9" t="inlineStr"/>
    </row>
    <row r="53">
      <c r="A53" s="7" t="inlineStr">
        <is>
          <t>P009</t>
        </is>
      </c>
      <c r="B53" s="9" t="n">
        <v>1</v>
      </c>
      <c r="C53" s="9" t="inlineStr">
        <is>
          <t>O3-S1-EA</t>
        </is>
      </c>
      <c r="D53" s="9" t="n">
        <v>1</v>
      </c>
      <c r="E53" s="9" t="inlineStr">
        <is>
          <t>固定订书机</t>
        </is>
      </c>
      <c r="F53" s="9" t="inlineStr">
        <is>
          <t>stapler</t>
        </is>
      </c>
      <c r="G53" s="9" t="inlineStr">
        <is>
          <t>方法A</t>
        </is>
      </c>
      <c r="H53" s="9" t="inlineStr">
        <is>
          <t>EgoAnchor</t>
        </is>
      </c>
      <c r="I53" s="9" t="n">
        <v>1</v>
      </c>
      <c r="J53" s="9" t="n">
        <v>1</v>
      </c>
      <c r="K53" s="9" t="n">
        <v>7</v>
      </c>
      <c r="L53" s="9" t="n">
        <v>5</v>
      </c>
      <c r="M53" s="9" t="n">
        <v>5</v>
      </c>
      <c r="N53" s="9" t="n"/>
      <c r="O53" s="9" t="n">
        <v>5</v>
      </c>
      <c r="P53" s="9" t="n">
        <v>6</v>
      </c>
      <c r="Q53" s="9" t="n">
        <v>6</v>
      </c>
      <c r="R53" s="9" t="n">
        <v>6</v>
      </c>
      <c r="S53" s="9" t="n">
        <v>6</v>
      </c>
      <c r="T53" s="9" t="n">
        <v>6</v>
      </c>
      <c r="U53" s="9" t="n">
        <v>6</v>
      </c>
      <c r="V53" s="9" t="n">
        <v>6</v>
      </c>
      <c r="W53" s="9" t="n">
        <v>6</v>
      </c>
      <c r="X53" s="9" t="n">
        <v>6</v>
      </c>
      <c r="Y53" s="9" t="inlineStr">
        <is>
          <t>09:15:00</t>
        </is>
      </c>
      <c r="Z53" s="9" t="inlineStr">
        <is>
          <t>09:16:36</t>
        </is>
      </c>
      <c r="AA53" s="9" t="n">
        <v>96.5</v>
      </c>
      <c r="AB53" s="9" t="inlineStr">
        <is>
          <t>是</t>
        </is>
      </c>
      <c r="AC53" s="9" t="inlineStr">
        <is>
          <t>是</t>
        </is>
      </c>
      <c r="AD53" s="9" t="inlineStr">
        <is>
          <t>是</t>
        </is>
      </c>
      <c r="AE53" s="9" t="inlineStr">
        <is>
          <t>无</t>
        </is>
      </c>
      <c r="AF53" s="9" t="n">
        <v>9.710000000000001</v>
      </c>
      <c r="AG53" s="9" t="n">
        <v>0.972</v>
      </c>
      <c r="AH53" s="9" t="n">
        <v>0.957</v>
      </c>
      <c r="AI53" s="9" t="n">
        <v>0.989</v>
      </c>
      <c r="AJ53" s="9" t="n">
        <v>0.678</v>
      </c>
      <c r="AK53" s="9" t="inlineStr">
        <is>
          <t>FrozenUncertain</t>
        </is>
      </c>
      <c r="AL53" s="9" t="inlineStr">
        <is>
          <t>否</t>
        </is>
      </c>
      <c r="AM53" s="9" t="n">
        <v>0</v>
      </c>
      <c r="AN53" s="9" t="n">
        <v>9</v>
      </c>
      <c r="AO53" s="9" t="inlineStr">
        <is>
          <t>否</t>
        </is>
      </c>
      <c r="AP53" s="9" t="n">
        <v>9</v>
      </c>
      <c r="AQ53" s="9" t="inlineStr"/>
    </row>
    <row r="54">
      <c r="A54" s="7" t="inlineStr">
        <is>
          <t>P009</t>
        </is>
      </c>
      <c r="B54" s="9" t="n">
        <v>2</v>
      </c>
      <c r="C54" s="9" t="inlineStr">
        <is>
          <t>O3-S1-EA</t>
        </is>
      </c>
      <c r="D54" s="9" t="n">
        <v>1</v>
      </c>
      <c r="E54" s="9" t="inlineStr">
        <is>
          <t>固定订书机</t>
        </is>
      </c>
      <c r="F54" s="9" t="inlineStr">
        <is>
          <t>stapler</t>
        </is>
      </c>
      <c r="G54" s="9" t="inlineStr">
        <is>
          <t>方法B</t>
        </is>
      </c>
      <c r="H54" s="9" t="inlineStr">
        <is>
          <t>One-Euro</t>
        </is>
      </c>
      <c r="I54" s="9" t="n">
        <v>2</v>
      </c>
      <c r="J54" s="9" t="n">
        <v>1</v>
      </c>
      <c r="K54" s="9" t="n">
        <v>4</v>
      </c>
      <c r="L54" s="9" t="n">
        <v>5</v>
      </c>
      <c r="M54" s="9" t="n">
        <v>5</v>
      </c>
      <c r="N54" s="9" t="n"/>
      <c r="O54" s="9" t="n">
        <v>6</v>
      </c>
      <c r="P54" s="9" t="n">
        <v>5</v>
      </c>
      <c r="Q54" s="9" t="n">
        <v>5</v>
      </c>
      <c r="R54" s="9" t="n">
        <v>4</v>
      </c>
      <c r="S54" s="9" t="n">
        <v>5</v>
      </c>
      <c r="T54" s="9" t="n">
        <v>6</v>
      </c>
      <c r="U54" s="9" t="n">
        <v>7</v>
      </c>
      <c r="V54" s="9" t="n">
        <v>6</v>
      </c>
      <c r="W54" s="9" t="n">
        <v>5</v>
      </c>
      <c r="X54" s="9" t="n">
        <v>6</v>
      </c>
      <c r="Y54" s="9" t="inlineStr">
        <is>
          <t>09:18:11</t>
        </is>
      </c>
      <c r="Z54" s="9" t="inlineStr">
        <is>
          <t>09:20:07</t>
        </is>
      </c>
      <c r="AA54" s="9" t="n">
        <v>116.4</v>
      </c>
      <c r="AB54" s="9" t="inlineStr">
        <is>
          <t>是</t>
        </is>
      </c>
      <c r="AC54" s="9" t="inlineStr">
        <is>
          <t>是</t>
        </is>
      </c>
      <c r="AD54" s="9" t="inlineStr">
        <is>
          <t>是</t>
        </is>
      </c>
      <c r="AE54" s="9" t="inlineStr">
        <is>
          <t>无</t>
        </is>
      </c>
      <c r="AF54" s="9" t="n">
        <v>9.92</v>
      </c>
      <c r="AG54" s="9" t="n">
        <v>0.921</v>
      </c>
      <c r="AH54" s="9" t="n">
        <v>0.957</v>
      </c>
      <c r="AI54" s="9" t="n">
        <v>0.987</v>
      </c>
      <c r="AJ54" s="9" t="n">
        <v>0.8110000000000001</v>
      </c>
      <c r="AK54" s="9" t="inlineStr">
        <is>
          <t>FrozenUncertain</t>
        </is>
      </c>
      <c r="AL54" s="9" t="inlineStr">
        <is>
          <t>否</t>
        </is>
      </c>
      <c r="AM54" s="9" t="n">
        <v>0</v>
      </c>
      <c r="AN54" s="9" t="n">
        <v>0</v>
      </c>
      <c r="AO54" s="9" t="inlineStr">
        <is>
          <t>否</t>
        </is>
      </c>
      <c r="AP54" s="9" t="n">
        <v>2</v>
      </c>
      <c r="AQ54" s="9" t="inlineStr"/>
    </row>
    <row r="55">
      <c r="A55" s="7" t="inlineStr">
        <is>
          <t>P009</t>
        </is>
      </c>
      <c r="B55" s="9" t="n">
        <v>3</v>
      </c>
      <c r="C55" s="9" t="inlineStr">
        <is>
          <t>O3-S1-EA</t>
        </is>
      </c>
      <c r="D55" s="9" t="n">
        <v>2</v>
      </c>
      <c r="E55" s="9" t="inlineStr">
        <is>
          <t>鼠标</t>
        </is>
      </c>
      <c r="F55" s="9" t="inlineStr">
        <is>
          <t>blue_mouse</t>
        </is>
      </c>
      <c r="G55" s="9" t="inlineStr">
        <is>
          <t>方法B</t>
        </is>
      </c>
      <c r="H55" s="9" t="inlineStr">
        <is>
          <t>One-Euro</t>
        </is>
      </c>
      <c r="I55" s="9" t="n">
        <v>1</v>
      </c>
      <c r="J55" s="9" t="n">
        <v>2</v>
      </c>
      <c r="K55" s="9" t="n">
        <v>5</v>
      </c>
      <c r="L55" s="9" t="n">
        <v>5</v>
      </c>
      <c r="M55" s="9" t="n">
        <v>5</v>
      </c>
      <c r="N55" s="9" t="n"/>
      <c r="O55" s="9" t="n">
        <v>6</v>
      </c>
      <c r="P55" s="9" t="n">
        <v>5</v>
      </c>
      <c r="Q55" s="9" t="n">
        <v>5</v>
      </c>
      <c r="R55" s="9" t="n">
        <v>6</v>
      </c>
      <c r="S55" s="9" t="n">
        <v>5</v>
      </c>
      <c r="T55" s="9" t="n">
        <v>5</v>
      </c>
      <c r="U55" s="9" t="n">
        <v>6</v>
      </c>
      <c r="V55" s="9" t="n">
        <v>4</v>
      </c>
      <c r="W55" s="9" t="n">
        <v>5</v>
      </c>
      <c r="X55" s="9" t="n">
        <v>6</v>
      </c>
      <c r="Y55" s="9" t="inlineStr">
        <is>
          <t>09:21:42</t>
        </is>
      </c>
      <c r="Z55" s="9" t="inlineStr">
        <is>
          <t>09:23:33</t>
        </is>
      </c>
      <c r="AA55" s="9" t="n">
        <v>110.2</v>
      </c>
      <c r="AB55" s="9" t="inlineStr">
        <is>
          <t>是</t>
        </is>
      </c>
      <c r="AC55" s="9" t="inlineStr">
        <is>
          <t>是</t>
        </is>
      </c>
      <c r="AD55" s="9" t="inlineStr">
        <is>
          <t>是</t>
        </is>
      </c>
      <c r="AE55" s="9" t="inlineStr">
        <is>
          <t>无</t>
        </is>
      </c>
      <c r="AF55" s="9" t="n">
        <v>9.48</v>
      </c>
      <c r="AG55" s="9" t="n">
        <v>0.921</v>
      </c>
      <c r="AH55" s="9" t="n">
        <v>0.965</v>
      </c>
      <c r="AI55" s="9" t="n">
        <v>0.99</v>
      </c>
      <c r="AJ55" s="9" t="n">
        <v>0.828</v>
      </c>
      <c r="AK55" s="9" t="inlineStr">
        <is>
          <t>FrozenUncertain</t>
        </is>
      </c>
      <c r="AL55" s="9" t="inlineStr">
        <is>
          <t>否</t>
        </is>
      </c>
      <c r="AM55" s="9" t="n">
        <v>0</v>
      </c>
      <c r="AN55" s="9" t="n">
        <v>0</v>
      </c>
      <c r="AO55" s="9" t="inlineStr">
        <is>
          <t>否</t>
        </is>
      </c>
      <c r="AP55" s="9" t="n">
        <v>3</v>
      </c>
      <c r="AQ55" s="9" t="inlineStr"/>
    </row>
    <row r="56">
      <c r="A56" s="7" t="inlineStr">
        <is>
          <t>P009</t>
        </is>
      </c>
      <c r="B56" s="9" t="n">
        <v>4</v>
      </c>
      <c r="C56" s="9" t="inlineStr">
        <is>
          <t>O3-S1-EA</t>
        </is>
      </c>
      <c r="D56" s="9" t="n">
        <v>2</v>
      </c>
      <c r="E56" s="9" t="inlineStr">
        <is>
          <t>鼠标</t>
        </is>
      </c>
      <c r="F56" s="9" t="inlineStr">
        <is>
          <t>blue_mouse</t>
        </is>
      </c>
      <c r="G56" s="9" t="inlineStr">
        <is>
          <t>方法A</t>
        </is>
      </c>
      <c r="H56" s="9" t="inlineStr">
        <is>
          <t>EgoAnchor</t>
        </is>
      </c>
      <c r="I56" s="9" t="n">
        <v>2</v>
      </c>
      <c r="J56" s="9" t="n">
        <v>2</v>
      </c>
      <c r="K56" s="9" t="n">
        <v>6</v>
      </c>
      <c r="L56" s="9" t="n">
        <v>6</v>
      </c>
      <c r="M56" s="9" t="n">
        <v>6</v>
      </c>
      <c r="N56" s="9" t="n"/>
      <c r="O56" s="9" t="n">
        <v>5</v>
      </c>
      <c r="P56" s="9" t="n">
        <v>5</v>
      </c>
      <c r="Q56" s="9" t="n">
        <v>7</v>
      </c>
      <c r="R56" s="9" t="n">
        <v>7</v>
      </c>
      <c r="S56" s="9" t="n">
        <v>6</v>
      </c>
      <c r="T56" s="9" t="n">
        <v>6</v>
      </c>
      <c r="U56" s="9" t="n">
        <v>7</v>
      </c>
      <c r="V56" s="9" t="n">
        <v>7</v>
      </c>
      <c r="W56" s="9" t="n">
        <v>7</v>
      </c>
      <c r="X56" s="9" t="n">
        <v>6</v>
      </c>
      <c r="Y56" s="9" t="inlineStr">
        <is>
          <t>09:25:08</t>
        </is>
      </c>
      <c r="Z56" s="9" t="inlineStr">
        <is>
          <t>09:27:09</t>
        </is>
      </c>
      <c r="AA56" s="9" t="n">
        <v>121.8</v>
      </c>
      <c r="AB56" s="9" t="inlineStr">
        <is>
          <t>是</t>
        </is>
      </c>
      <c r="AC56" s="9" t="inlineStr">
        <is>
          <t>是</t>
        </is>
      </c>
      <c r="AD56" s="9" t="inlineStr">
        <is>
          <t>是</t>
        </is>
      </c>
      <c r="AE56" s="9" t="inlineStr">
        <is>
          <t>无</t>
        </is>
      </c>
      <c r="AF56" s="9" t="n">
        <v>9.42</v>
      </c>
      <c r="AG56" s="9" t="n">
        <v>0.89</v>
      </c>
      <c r="AH56" s="9" t="n">
        <v>0.9429999999999999</v>
      </c>
      <c r="AI56" s="9" t="n">
        <v>0.98</v>
      </c>
      <c r="AJ56" s="9" t="n">
        <v>0.71</v>
      </c>
      <c r="AK56" s="9" t="inlineStr">
        <is>
          <t>FrozenUncertain</t>
        </is>
      </c>
      <c r="AL56" s="9" t="inlineStr">
        <is>
          <t>否</t>
        </is>
      </c>
      <c r="AM56" s="9" t="n">
        <v>0</v>
      </c>
      <c r="AN56" s="9" t="n">
        <v>6</v>
      </c>
      <c r="AO56" s="9" t="inlineStr">
        <is>
          <t>否</t>
        </is>
      </c>
      <c r="AP56" s="9" t="n">
        <v>3</v>
      </c>
      <c r="AQ56" s="9" t="inlineStr"/>
    </row>
    <row r="57">
      <c r="A57" s="7" t="inlineStr">
        <is>
          <t>P009</t>
        </is>
      </c>
      <c r="B57" s="9" t="n">
        <v>5</v>
      </c>
      <c r="C57" s="9" t="inlineStr">
        <is>
          <t>O3-S1-EA</t>
        </is>
      </c>
      <c r="D57" s="9" t="n">
        <v>3</v>
      </c>
      <c r="E57" s="9" t="inlineStr">
        <is>
          <t>游戏手柄</t>
        </is>
      </c>
      <c r="F57" s="9" t="inlineStr">
        <is>
          <t>gamepad</t>
        </is>
      </c>
      <c r="G57" s="9" t="inlineStr">
        <is>
          <t>方法A</t>
        </is>
      </c>
      <c r="H57" s="9" t="inlineStr">
        <is>
          <t>EgoAnchor</t>
        </is>
      </c>
      <c r="I57" s="9" t="n">
        <v>1</v>
      </c>
      <c r="J57" s="9" t="n">
        <v>3</v>
      </c>
      <c r="K57" s="9" t="n">
        <v>5</v>
      </c>
      <c r="L57" s="9" t="n">
        <v>4</v>
      </c>
      <c r="M57" s="9" t="n">
        <v>4</v>
      </c>
      <c r="N57" s="9" t="n"/>
      <c r="O57" s="9" t="n">
        <v>5</v>
      </c>
      <c r="P57" s="9" t="n">
        <v>5</v>
      </c>
      <c r="Q57" s="9" t="n">
        <v>6</v>
      </c>
      <c r="R57" s="9" t="n">
        <v>5</v>
      </c>
      <c r="S57" s="9" t="n">
        <v>5</v>
      </c>
      <c r="T57" s="9" t="n">
        <v>4</v>
      </c>
      <c r="U57" s="9" t="n">
        <v>6</v>
      </c>
      <c r="V57" s="9" t="n">
        <v>5</v>
      </c>
      <c r="W57" s="9" t="n">
        <v>5</v>
      </c>
      <c r="X57" s="9" t="n">
        <v>4</v>
      </c>
      <c r="Y57" s="9" t="inlineStr">
        <is>
          <t>09:28:44</t>
        </is>
      </c>
      <c r="Z57" s="9" t="inlineStr">
        <is>
          <t>09:30:36</t>
        </is>
      </c>
      <c r="AA57" s="9" t="n">
        <v>111.3</v>
      </c>
      <c r="AB57" s="9" t="inlineStr">
        <is>
          <t>是</t>
        </is>
      </c>
      <c r="AC57" s="9" t="inlineStr">
        <is>
          <t>是</t>
        </is>
      </c>
      <c r="AD57" s="9" t="inlineStr">
        <is>
          <t>是</t>
        </is>
      </c>
      <c r="AE57" s="9" t="inlineStr">
        <is>
          <t>无</t>
        </is>
      </c>
      <c r="AF57" s="9" t="n">
        <v>9.619999999999999</v>
      </c>
      <c r="AG57" s="9" t="n">
        <v>0.88</v>
      </c>
      <c r="AH57" s="9" t="n">
        <v>0.925</v>
      </c>
      <c r="AI57" s="9" t="n">
        <v>0.984</v>
      </c>
      <c r="AJ57" s="9" t="n">
        <v>0.796</v>
      </c>
      <c r="AK57" s="9" t="inlineStr">
        <is>
          <t>FrozenUncertain</t>
        </is>
      </c>
      <c r="AL57" s="9" t="inlineStr">
        <is>
          <t>否</t>
        </is>
      </c>
      <c r="AM57" s="9" t="n">
        <v>0</v>
      </c>
      <c r="AN57" s="9" t="n">
        <v>9</v>
      </c>
      <c r="AO57" s="9" t="inlineStr">
        <is>
          <t>否</t>
        </is>
      </c>
      <c r="AP57" s="9" t="n">
        <v>2</v>
      </c>
      <c r="AQ57" s="9" t="inlineStr"/>
    </row>
    <row r="58">
      <c r="A58" s="7" t="inlineStr">
        <is>
          <t>P009</t>
        </is>
      </c>
      <c r="B58" s="9" t="n">
        <v>6</v>
      </c>
      <c r="C58" s="9" t="inlineStr">
        <is>
          <t>O3-S1-EA</t>
        </is>
      </c>
      <c r="D58" s="9" t="n">
        <v>3</v>
      </c>
      <c r="E58" s="9" t="inlineStr">
        <is>
          <t>游戏手柄</t>
        </is>
      </c>
      <c r="F58" s="9" t="inlineStr">
        <is>
          <t>gamepad</t>
        </is>
      </c>
      <c r="G58" s="9" t="inlineStr">
        <is>
          <t>方法B</t>
        </is>
      </c>
      <c r="H58" s="9" t="inlineStr">
        <is>
          <t>One-Euro</t>
        </is>
      </c>
      <c r="I58" s="9" t="n">
        <v>2</v>
      </c>
      <c r="J58" s="9" t="n">
        <v>3</v>
      </c>
      <c r="K58" s="9" t="n">
        <v>4</v>
      </c>
      <c r="L58" s="9" t="n">
        <v>6</v>
      </c>
      <c r="M58" s="9" t="n">
        <v>4</v>
      </c>
      <c r="N58" s="9" t="n"/>
      <c r="O58" s="9" t="n">
        <v>5</v>
      </c>
      <c r="P58" s="9" t="n">
        <v>5</v>
      </c>
      <c r="Q58" s="9" t="n">
        <v>5</v>
      </c>
      <c r="R58" s="9" t="n">
        <v>4</v>
      </c>
      <c r="S58" s="9" t="n">
        <v>4</v>
      </c>
      <c r="T58" s="9" t="n">
        <v>5</v>
      </c>
      <c r="U58" s="9" t="n">
        <v>6</v>
      </c>
      <c r="V58" s="9" t="n">
        <v>6</v>
      </c>
      <c r="W58" s="9" t="n">
        <v>4</v>
      </c>
      <c r="X58" s="9" t="n">
        <v>5</v>
      </c>
      <c r="Y58" s="9" t="inlineStr">
        <is>
          <t>09:32:11</t>
        </is>
      </c>
      <c r="Z58" s="9" t="inlineStr">
        <is>
          <t>09:34:02</t>
        </is>
      </c>
      <c r="AA58" s="9" t="n">
        <v>111.1</v>
      </c>
      <c r="AB58" s="9" t="inlineStr">
        <is>
          <t>是</t>
        </is>
      </c>
      <c r="AC58" s="9" t="inlineStr">
        <is>
          <t>是</t>
        </is>
      </c>
      <c r="AD58" s="9" t="inlineStr">
        <is>
          <t>是</t>
        </is>
      </c>
      <c r="AE58" s="9" t="inlineStr">
        <is>
          <t>无</t>
        </is>
      </c>
      <c r="AF58" s="9" t="n">
        <v>9.09</v>
      </c>
      <c r="AG58" s="9" t="n">
        <v>0.87</v>
      </c>
      <c r="AH58" s="9" t="n">
        <v>0.9419999999999999</v>
      </c>
      <c r="AI58" s="9" t="n">
        <v>0.989</v>
      </c>
      <c r="AJ58" s="9" t="n">
        <v>0.696</v>
      </c>
      <c r="AK58" s="9" t="inlineStr">
        <is>
          <t>FrozenUncertain</t>
        </is>
      </c>
      <c r="AL58" s="9" t="inlineStr">
        <is>
          <t>否</t>
        </is>
      </c>
      <c r="AM58" s="9" t="n">
        <v>0</v>
      </c>
      <c r="AN58" s="9" t="n">
        <v>0</v>
      </c>
      <c r="AO58" s="9" t="inlineStr">
        <is>
          <t>否</t>
        </is>
      </c>
      <c r="AP58" s="9" t="n">
        <v>3</v>
      </c>
      <c r="AQ58" s="9" t="inlineStr"/>
    </row>
    <row r="59">
      <c r="A59" s="7" t="inlineStr">
        <is>
          <t>P010</t>
        </is>
      </c>
      <c r="B59" s="9" t="n">
        <v>1</v>
      </c>
      <c r="C59" s="9" t="inlineStr">
        <is>
          <t>O3-S2-EA</t>
        </is>
      </c>
      <c r="D59" s="9" t="n">
        <v>1</v>
      </c>
      <c r="E59" s="9" t="inlineStr">
        <is>
          <t>固定订书机</t>
        </is>
      </c>
      <c r="F59" s="9" t="inlineStr">
        <is>
          <t>stapler</t>
        </is>
      </c>
      <c r="G59" s="9" t="inlineStr">
        <is>
          <t>方法B</t>
        </is>
      </c>
      <c r="H59" s="9" t="inlineStr">
        <is>
          <t>One-Euro</t>
        </is>
      </c>
      <c r="I59" s="9" t="n">
        <v>1</v>
      </c>
      <c r="J59" s="9" t="n">
        <v>1</v>
      </c>
      <c r="K59" s="9" t="n">
        <v>5</v>
      </c>
      <c r="L59" s="9" t="n">
        <v>6</v>
      </c>
      <c r="M59" s="9" t="n">
        <v>5</v>
      </c>
      <c r="N59" s="9" t="n"/>
      <c r="O59" s="9" t="n">
        <v>6</v>
      </c>
      <c r="P59" s="9" t="n">
        <v>5</v>
      </c>
      <c r="Q59" s="9" t="n">
        <v>5</v>
      </c>
      <c r="R59" s="9" t="n">
        <v>5</v>
      </c>
      <c r="S59" s="9" t="n">
        <v>5</v>
      </c>
      <c r="T59" s="9" t="n">
        <v>5</v>
      </c>
      <c r="U59" s="9" t="n">
        <v>6</v>
      </c>
      <c r="V59" s="9" t="n">
        <v>6</v>
      </c>
      <c r="W59" s="9" t="n">
        <v>5</v>
      </c>
      <c r="X59" s="9" t="n">
        <v>5</v>
      </c>
      <c r="Y59" s="9" t="inlineStr">
        <is>
          <t>09:15:00</t>
        </is>
      </c>
      <c r="Z59" s="9" t="inlineStr">
        <is>
          <t>09:18:09</t>
        </is>
      </c>
      <c r="AA59" s="9" t="n">
        <v>189.4</v>
      </c>
      <c r="AB59" s="9" t="inlineStr">
        <is>
          <t>是</t>
        </is>
      </c>
      <c r="AC59" s="9" t="inlineStr">
        <is>
          <t>是</t>
        </is>
      </c>
      <c r="AD59" s="9" t="inlineStr">
        <is>
          <t>是</t>
        </is>
      </c>
      <c r="AE59" s="9" t="inlineStr">
        <is>
          <t>无</t>
        </is>
      </c>
      <c r="AF59" s="9" t="n">
        <v>9.609999999999999</v>
      </c>
      <c r="AG59" s="9" t="n">
        <v>0.9320000000000001</v>
      </c>
      <c r="AH59" s="9" t="n">
        <v>0.954</v>
      </c>
      <c r="AI59" s="9" t="n">
        <v>0.995</v>
      </c>
      <c r="AJ59" s="9" t="n">
        <v>0.712</v>
      </c>
      <c r="AK59" s="9" t="inlineStr">
        <is>
          <t>FrozenUncertain</t>
        </is>
      </c>
      <c r="AL59" s="9" t="inlineStr">
        <is>
          <t>否</t>
        </is>
      </c>
      <c r="AM59" s="9" t="n">
        <v>0</v>
      </c>
      <c r="AN59" s="9" t="n">
        <v>0</v>
      </c>
      <c r="AO59" s="9" t="inlineStr">
        <is>
          <t>否</t>
        </is>
      </c>
      <c r="AP59" s="9" t="n">
        <v>5</v>
      </c>
      <c r="AQ59" s="9" t="inlineStr"/>
    </row>
    <row r="60">
      <c r="A60" s="7" t="inlineStr">
        <is>
          <t>P010</t>
        </is>
      </c>
      <c r="B60" s="9" t="n">
        <v>2</v>
      </c>
      <c r="C60" s="9" t="inlineStr">
        <is>
          <t>O3-S2-EA</t>
        </is>
      </c>
      <c r="D60" s="9" t="n">
        <v>1</v>
      </c>
      <c r="E60" s="9" t="inlineStr">
        <is>
          <t>固定订书机</t>
        </is>
      </c>
      <c r="F60" s="9" t="inlineStr">
        <is>
          <t>stapler</t>
        </is>
      </c>
      <c r="G60" s="9" t="inlineStr">
        <is>
          <t>方法A</t>
        </is>
      </c>
      <c r="H60" s="9" t="inlineStr">
        <is>
          <t>EgoAnchor</t>
        </is>
      </c>
      <c r="I60" s="9" t="n">
        <v>2</v>
      </c>
      <c r="J60" s="9" t="n">
        <v>1</v>
      </c>
      <c r="K60" s="9" t="n">
        <v>6</v>
      </c>
      <c r="L60" s="9" t="n">
        <v>5</v>
      </c>
      <c r="M60" s="9" t="n">
        <v>6</v>
      </c>
      <c r="N60" s="9" t="n"/>
      <c r="O60" s="9" t="n">
        <v>6</v>
      </c>
      <c r="P60" s="9" t="n">
        <v>6</v>
      </c>
      <c r="Q60" s="9" t="n">
        <v>6</v>
      </c>
      <c r="R60" s="9" t="n">
        <v>6</v>
      </c>
      <c r="S60" s="9" t="n">
        <v>5</v>
      </c>
      <c r="T60" s="9" t="n">
        <v>5</v>
      </c>
      <c r="U60" s="9" t="n">
        <v>6</v>
      </c>
      <c r="V60" s="9" t="n">
        <v>6</v>
      </c>
      <c r="W60" s="9" t="n">
        <v>6</v>
      </c>
      <c r="X60" s="9" t="n">
        <v>6</v>
      </c>
      <c r="Y60" s="9" t="inlineStr">
        <is>
          <t>09:19:44</t>
        </is>
      </c>
      <c r="Z60" s="9" t="inlineStr">
        <is>
          <t>09:23:12</t>
        </is>
      </c>
      <c r="AA60" s="9" t="n">
        <v>208.1</v>
      </c>
      <c r="AB60" s="9" t="inlineStr">
        <is>
          <t>是</t>
        </is>
      </c>
      <c r="AC60" s="9" t="inlineStr">
        <is>
          <t>是</t>
        </is>
      </c>
      <c r="AD60" s="9" t="inlineStr">
        <is>
          <t>是</t>
        </is>
      </c>
      <c r="AE60" s="9" t="inlineStr">
        <is>
          <t>无</t>
        </is>
      </c>
      <c r="AF60" s="9" t="n">
        <v>9.48</v>
      </c>
      <c r="AG60" s="9" t="n">
        <v>0.9409999999999999</v>
      </c>
      <c r="AH60" s="9" t="n">
        <v>0.9370000000000001</v>
      </c>
      <c r="AI60" s="9" t="n">
        <v>0.995</v>
      </c>
      <c r="AJ60" s="9" t="n">
        <v>0.726</v>
      </c>
      <c r="AK60" s="9" t="inlineStr">
        <is>
          <t>FrozenUncertain</t>
        </is>
      </c>
      <c r="AL60" s="9" t="inlineStr">
        <is>
          <t>否</t>
        </is>
      </c>
      <c r="AM60" s="9" t="n">
        <v>0</v>
      </c>
      <c r="AN60" s="9" t="n">
        <v>2</v>
      </c>
      <c r="AO60" s="9" t="inlineStr">
        <is>
          <t>否</t>
        </is>
      </c>
      <c r="AP60" s="9" t="n">
        <v>5</v>
      </c>
      <c r="AQ60" s="9" t="inlineStr"/>
    </row>
    <row r="61">
      <c r="A61" s="7" t="inlineStr">
        <is>
          <t>P010</t>
        </is>
      </c>
      <c r="B61" s="9" t="n">
        <v>3</v>
      </c>
      <c r="C61" s="9" t="inlineStr">
        <is>
          <t>O3-S2-EA</t>
        </is>
      </c>
      <c r="D61" s="9" t="n">
        <v>2</v>
      </c>
      <c r="E61" s="9" t="inlineStr">
        <is>
          <t>鼠标</t>
        </is>
      </c>
      <c r="F61" s="9" t="inlineStr">
        <is>
          <t>blue_mouse</t>
        </is>
      </c>
      <c r="G61" s="9" t="inlineStr">
        <is>
          <t>方法A</t>
        </is>
      </c>
      <c r="H61" s="9" t="inlineStr">
        <is>
          <t>EgoAnchor</t>
        </is>
      </c>
      <c r="I61" s="9" t="n">
        <v>1</v>
      </c>
      <c r="J61" s="9" t="n">
        <v>2</v>
      </c>
      <c r="K61" s="9" t="n">
        <v>6</v>
      </c>
      <c r="L61" s="9" t="n">
        <v>5</v>
      </c>
      <c r="M61" s="9" t="n">
        <v>5</v>
      </c>
      <c r="N61" s="9" t="n"/>
      <c r="O61" s="9" t="n">
        <v>6</v>
      </c>
      <c r="P61" s="9" t="n">
        <v>5</v>
      </c>
      <c r="Q61" s="9" t="n">
        <v>5</v>
      </c>
      <c r="R61" s="9" t="n">
        <v>6</v>
      </c>
      <c r="S61" s="9" t="n">
        <v>6</v>
      </c>
      <c r="T61" s="9" t="n">
        <v>5</v>
      </c>
      <c r="U61" s="9" t="n">
        <v>6</v>
      </c>
      <c r="V61" s="9" t="n">
        <v>6</v>
      </c>
      <c r="W61" s="9" t="n">
        <v>6</v>
      </c>
      <c r="X61" s="9" t="n">
        <v>6</v>
      </c>
      <c r="Y61" s="9" t="inlineStr">
        <is>
          <t>09:24:47</t>
        </is>
      </c>
      <c r="Z61" s="9" t="inlineStr">
        <is>
          <t>09:28:04</t>
        </is>
      </c>
      <c r="AA61" s="9" t="n">
        <v>196.6</v>
      </c>
      <c r="AB61" s="9" t="inlineStr">
        <is>
          <t>是</t>
        </is>
      </c>
      <c r="AC61" s="9" t="inlineStr">
        <is>
          <t>是</t>
        </is>
      </c>
      <c r="AD61" s="9" t="inlineStr">
        <is>
          <t>是</t>
        </is>
      </c>
      <c r="AE61" s="9" t="inlineStr">
        <is>
          <t>无</t>
        </is>
      </c>
      <c r="AF61" s="9" t="n">
        <v>9.380000000000001</v>
      </c>
      <c r="AG61" s="9" t="n">
        <v>0.893</v>
      </c>
      <c r="AH61" s="9" t="n">
        <v>0.929</v>
      </c>
      <c r="AI61" s="9" t="n">
        <v>0.986</v>
      </c>
      <c r="AJ61" s="9" t="n">
        <v>0.727</v>
      </c>
      <c r="AK61" s="9" t="inlineStr">
        <is>
          <t>FrozenUncertain</t>
        </is>
      </c>
      <c r="AL61" s="9" t="inlineStr">
        <is>
          <t>否</t>
        </is>
      </c>
      <c r="AM61" s="9" t="n">
        <v>0</v>
      </c>
      <c r="AN61" s="9" t="n">
        <v>3</v>
      </c>
      <c r="AO61" s="9" t="inlineStr">
        <is>
          <t>否</t>
        </is>
      </c>
      <c r="AP61" s="9" t="n">
        <v>4</v>
      </c>
      <c r="AQ61" s="9" t="inlineStr"/>
    </row>
    <row r="62">
      <c r="A62" s="7" t="inlineStr">
        <is>
          <t>P010</t>
        </is>
      </c>
      <c r="B62" s="9" t="n">
        <v>4</v>
      </c>
      <c r="C62" s="9" t="inlineStr">
        <is>
          <t>O3-S2-EA</t>
        </is>
      </c>
      <c r="D62" s="9" t="n">
        <v>2</v>
      </c>
      <c r="E62" s="9" t="inlineStr">
        <is>
          <t>鼠标</t>
        </is>
      </c>
      <c r="F62" s="9" t="inlineStr">
        <is>
          <t>blue_mouse</t>
        </is>
      </c>
      <c r="G62" s="9" t="inlineStr">
        <is>
          <t>方法B</t>
        </is>
      </c>
      <c r="H62" s="9" t="inlineStr">
        <is>
          <t>One-Euro</t>
        </is>
      </c>
      <c r="I62" s="9" t="n">
        <v>2</v>
      </c>
      <c r="J62" s="9" t="n">
        <v>2</v>
      </c>
      <c r="K62" s="9" t="n">
        <v>4</v>
      </c>
      <c r="L62" s="9" t="n">
        <v>5</v>
      </c>
      <c r="M62" s="9" t="n">
        <v>5</v>
      </c>
      <c r="N62" s="9" t="n"/>
      <c r="O62" s="9" t="n">
        <v>6</v>
      </c>
      <c r="P62" s="9" t="n">
        <v>5</v>
      </c>
      <c r="Q62" s="9" t="n">
        <v>5</v>
      </c>
      <c r="R62" s="9" t="n">
        <v>5</v>
      </c>
      <c r="S62" s="9" t="n">
        <v>6</v>
      </c>
      <c r="T62" s="9" t="n">
        <v>6</v>
      </c>
      <c r="U62" s="9" t="n">
        <v>6</v>
      </c>
      <c r="V62" s="9" t="n">
        <v>6</v>
      </c>
      <c r="W62" s="9" t="n">
        <v>5</v>
      </c>
      <c r="X62" s="9" t="n">
        <v>5</v>
      </c>
      <c r="Y62" s="9" t="inlineStr">
        <is>
          <t>09:29:39</t>
        </is>
      </c>
      <c r="Z62" s="9" t="inlineStr">
        <is>
          <t>09:33:01</t>
        </is>
      </c>
      <c r="AA62" s="9" t="n">
        <v>202</v>
      </c>
      <c r="AB62" s="9" t="inlineStr">
        <is>
          <t>是</t>
        </is>
      </c>
      <c r="AC62" s="9" t="inlineStr">
        <is>
          <t>是</t>
        </is>
      </c>
      <c r="AD62" s="9" t="inlineStr">
        <is>
          <t>是</t>
        </is>
      </c>
      <c r="AE62" s="9" t="inlineStr">
        <is>
          <t>无</t>
        </is>
      </c>
      <c r="AF62" s="9" t="n">
        <v>9.66</v>
      </c>
      <c r="AG62" s="9" t="n">
        <v>0.898</v>
      </c>
      <c r="AH62" s="9" t="n">
        <v>0.931</v>
      </c>
      <c r="AI62" s="9" t="n">
        <v>0.983</v>
      </c>
      <c r="AJ62" s="9" t="n">
        <v>0.773</v>
      </c>
      <c r="AK62" s="9" t="inlineStr">
        <is>
          <t>FrozenUncertain</t>
        </is>
      </c>
      <c r="AL62" s="9" t="inlineStr">
        <is>
          <t>否</t>
        </is>
      </c>
      <c r="AM62" s="9" t="n">
        <v>0</v>
      </c>
      <c r="AN62" s="9" t="n">
        <v>0</v>
      </c>
      <c r="AO62" s="9" t="inlineStr">
        <is>
          <t>否</t>
        </is>
      </c>
      <c r="AP62" s="9" t="n">
        <v>4</v>
      </c>
      <c r="AQ62" s="9" t="inlineStr"/>
    </row>
    <row r="63">
      <c r="A63" s="7" t="inlineStr">
        <is>
          <t>P010</t>
        </is>
      </c>
      <c r="B63" s="9" t="n">
        <v>5</v>
      </c>
      <c r="C63" s="9" t="inlineStr">
        <is>
          <t>O3-S2-EA</t>
        </is>
      </c>
      <c r="D63" s="9" t="n">
        <v>3</v>
      </c>
      <c r="E63" s="9" t="inlineStr">
        <is>
          <t>游戏手柄</t>
        </is>
      </c>
      <c r="F63" s="9" t="inlineStr">
        <is>
          <t>gamepad</t>
        </is>
      </c>
      <c r="G63" s="9" t="inlineStr">
        <is>
          <t>方法B</t>
        </is>
      </c>
      <c r="H63" s="9" t="inlineStr">
        <is>
          <t>One-Euro</t>
        </is>
      </c>
      <c r="I63" s="9" t="n">
        <v>1</v>
      </c>
      <c r="J63" s="9" t="n">
        <v>3</v>
      </c>
      <c r="K63" s="9" t="n">
        <v>4</v>
      </c>
      <c r="L63" s="9" t="n">
        <v>4</v>
      </c>
      <c r="M63" s="9" t="n">
        <v>3</v>
      </c>
      <c r="N63" s="9" t="n"/>
      <c r="O63" s="9" t="n">
        <v>4</v>
      </c>
      <c r="P63" s="9" t="n">
        <v>4</v>
      </c>
      <c r="Q63" s="9" t="n">
        <v>3</v>
      </c>
      <c r="R63" s="9" t="n">
        <v>3</v>
      </c>
      <c r="S63" s="9" t="n">
        <v>4</v>
      </c>
      <c r="T63" s="9" t="n">
        <v>4</v>
      </c>
      <c r="U63" s="9" t="n">
        <v>5</v>
      </c>
      <c r="V63" s="9" t="n">
        <v>5</v>
      </c>
      <c r="W63" s="9" t="n">
        <v>4</v>
      </c>
      <c r="X63" s="9" t="n">
        <v>4</v>
      </c>
      <c r="Y63" s="9" t="inlineStr">
        <is>
          <t>09:34:36</t>
        </is>
      </c>
      <c r="Z63" s="9" t="inlineStr">
        <is>
          <t>09:37:47</t>
        </is>
      </c>
      <c r="AA63" s="9" t="n">
        <v>191.8</v>
      </c>
      <c r="AB63" s="9" t="inlineStr">
        <is>
          <t>是</t>
        </is>
      </c>
      <c r="AC63" s="9" t="inlineStr">
        <is>
          <t>是</t>
        </is>
      </c>
      <c r="AD63" s="9" t="inlineStr">
        <is>
          <t>是</t>
        </is>
      </c>
      <c r="AE63" s="9" t="inlineStr">
        <is>
          <t>无</t>
        </is>
      </c>
      <c r="AF63" s="9" t="n">
        <v>9.17</v>
      </c>
      <c r="AG63" s="9" t="n">
        <v>0.87</v>
      </c>
      <c r="AH63" s="9" t="n">
        <v>0.9320000000000001</v>
      </c>
      <c r="AI63" s="9" t="n">
        <v>0.979</v>
      </c>
      <c r="AJ63" s="9" t="n">
        <v>0.82</v>
      </c>
      <c r="AK63" s="9" t="inlineStr">
        <is>
          <t>FrozenUncertain</t>
        </is>
      </c>
      <c r="AL63" s="9" t="inlineStr">
        <is>
          <t>否</t>
        </is>
      </c>
      <c r="AM63" s="9" t="n">
        <v>0</v>
      </c>
      <c r="AN63" s="9" t="n">
        <v>0</v>
      </c>
      <c r="AO63" s="9" t="inlineStr">
        <is>
          <t>否</t>
        </is>
      </c>
      <c r="AP63" s="9" t="n">
        <v>2</v>
      </c>
      <c r="AQ63" s="9" t="inlineStr"/>
    </row>
    <row r="64">
      <c r="A64" s="7" t="inlineStr">
        <is>
          <t>P010</t>
        </is>
      </c>
      <c r="B64" s="9" t="n">
        <v>6</v>
      </c>
      <c r="C64" s="9" t="inlineStr">
        <is>
          <t>O3-S2-EA</t>
        </is>
      </c>
      <c r="D64" s="9" t="n">
        <v>3</v>
      </c>
      <c r="E64" s="9" t="inlineStr">
        <is>
          <t>游戏手柄</t>
        </is>
      </c>
      <c r="F64" s="9" t="inlineStr">
        <is>
          <t>gamepad</t>
        </is>
      </c>
      <c r="G64" s="9" t="inlineStr">
        <is>
          <t>方法A</t>
        </is>
      </c>
      <c r="H64" s="9" t="inlineStr">
        <is>
          <t>EgoAnchor</t>
        </is>
      </c>
      <c r="I64" s="9" t="n">
        <v>2</v>
      </c>
      <c r="J64" s="9" t="n">
        <v>3</v>
      </c>
      <c r="K64" s="9" t="n">
        <v>6</v>
      </c>
      <c r="L64" s="9" t="n">
        <v>5</v>
      </c>
      <c r="M64" s="9" t="n">
        <v>5</v>
      </c>
      <c r="N64" s="9" t="n"/>
      <c r="O64" s="9" t="n">
        <v>5</v>
      </c>
      <c r="P64" s="9" t="n">
        <v>5</v>
      </c>
      <c r="Q64" s="9" t="n">
        <v>4</v>
      </c>
      <c r="R64" s="9" t="n">
        <v>5</v>
      </c>
      <c r="S64" s="9" t="n">
        <v>5</v>
      </c>
      <c r="T64" s="9" t="n">
        <v>5</v>
      </c>
      <c r="U64" s="9" t="n">
        <v>5</v>
      </c>
      <c r="V64" s="9" t="n">
        <v>5</v>
      </c>
      <c r="W64" s="9" t="n">
        <v>5</v>
      </c>
      <c r="X64" s="9" t="n">
        <v>5</v>
      </c>
      <c r="Y64" s="9" t="inlineStr">
        <is>
          <t>09:39:22</t>
        </is>
      </c>
      <c r="Z64" s="9" t="inlineStr">
        <is>
          <t>09:43:05</t>
        </is>
      </c>
      <c r="AA64" s="9" t="n">
        <v>222.1</v>
      </c>
      <c r="AB64" s="9" t="inlineStr">
        <is>
          <t>是</t>
        </is>
      </c>
      <c r="AC64" s="9" t="inlineStr">
        <is>
          <t>是</t>
        </is>
      </c>
      <c r="AD64" s="9" t="inlineStr">
        <is>
          <t>是</t>
        </is>
      </c>
      <c r="AE64" s="9" t="inlineStr">
        <is>
          <t>无</t>
        </is>
      </c>
      <c r="AF64" s="9" t="n">
        <v>9.48</v>
      </c>
      <c r="AG64" s="9" t="n">
        <v>0.872</v>
      </c>
      <c r="AH64" s="9" t="n">
        <v>0.923</v>
      </c>
      <c r="AI64" s="9" t="n">
        <v>0.981</v>
      </c>
      <c r="AJ64" s="9" t="n">
        <v>0.703</v>
      </c>
      <c r="AK64" s="9" t="inlineStr">
        <is>
          <t>FrozenUncertain</t>
        </is>
      </c>
      <c r="AL64" s="9" t="inlineStr">
        <is>
          <t>否</t>
        </is>
      </c>
      <c r="AM64" s="9" t="n">
        <v>0</v>
      </c>
      <c r="AN64" s="9" t="n">
        <v>4</v>
      </c>
      <c r="AO64" s="9" t="inlineStr">
        <is>
          <t>否</t>
        </is>
      </c>
      <c r="AP64" s="9" t="n">
        <v>7</v>
      </c>
      <c r="AQ64" s="9" t="inlineStr"/>
    </row>
    <row r="65">
      <c r="A65" s="7" t="inlineStr">
        <is>
          <t>P011</t>
        </is>
      </c>
      <c r="B65" s="9" t="n">
        <v>1</v>
      </c>
      <c r="C65" s="9" t="inlineStr">
        <is>
          <t>O3-S2-OE</t>
        </is>
      </c>
      <c r="D65" s="9" t="n">
        <v>1</v>
      </c>
      <c r="E65" s="9" t="inlineStr">
        <is>
          <t>固定订书机</t>
        </is>
      </c>
      <c r="F65" s="9" t="inlineStr">
        <is>
          <t>stapler</t>
        </is>
      </c>
      <c r="G65" s="9" t="inlineStr">
        <is>
          <t>方法B</t>
        </is>
      </c>
      <c r="H65" s="9" t="inlineStr">
        <is>
          <t>EgoAnchor</t>
        </is>
      </c>
      <c r="I65" s="9" t="n">
        <v>1</v>
      </c>
      <c r="J65" s="9" t="n">
        <v>1</v>
      </c>
      <c r="K65" s="9" t="n">
        <v>6</v>
      </c>
      <c r="L65" s="9" t="n">
        <v>5</v>
      </c>
      <c r="M65" s="9" t="n">
        <v>6</v>
      </c>
      <c r="N65" s="9" t="n"/>
      <c r="O65" s="9" t="n">
        <v>6</v>
      </c>
      <c r="P65" s="9" t="n">
        <v>6</v>
      </c>
      <c r="Q65" s="9" t="n">
        <v>5</v>
      </c>
      <c r="R65" s="9" t="n">
        <v>6</v>
      </c>
      <c r="S65" s="9" t="n">
        <v>4</v>
      </c>
      <c r="T65" s="9" t="n">
        <v>5</v>
      </c>
      <c r="U65" s="9" t="n">
        <v>6</v>
      </c>
      <c r="V65" s="9" t="n">
        <v>6</v>
      </c>
      <c r="W65" s="9" t="n">
        <v>6</v>
      </c>
      <c r="X65" s="9" t="n">
        <v>5</v>
      </c>
      <c r="Y65" s="9" t="inlineStr">
        <is>
          <t>09:15:00</t>
        </is>
      </c>
      <c r="Z65" s="9" t="inlineStr">
        <is>
          <t>09:17:30</t>
        </is>
      </c>
      <c r="AA65" s="9" t="n">
        <v>150.2</v>
      </c>
      <c r="AB65" s="9" t="inlineStr">
        <is>
          <t>是</t>
        </is>
      </c>
      <c r="AC65" s="9" t="inlineStr">
        <is>
          <t>是</t>
        </is>
      </c>
      <c r="AD65" s="9" t="inlineStr">
        <is>
          <t>是</t>
        </is>
      </c>
      <c r="AE65" s="9" t="inlineStr">
        <is>
          <t>无</t>
        </is>
      </c>
      <c r="AF65" s="9" t="n">
        <v>9.56</v>
      </c>
      <c r="AG65" s="9" t="n">
        <v>0.912</v>
      </c>
      <c r="AH65" s="9" t="n">
        <v>0.966</v>
      </c>
      <c r="AI65" s="9" t="n">
        <v>0.99</v>
      </c>
      <c r="AJ65" s="9" t="n">
        <v>0.791</v>
      </c>
      <c r="AK65" s="9" t="inlineStr">
        <is>
          <t>FrozenUncertain</t>
        </is>
      </c>
      <c r="AL65" s="9" t="inlineStr">
        <is>
          <t>否</t>
        </is>
      </c>
      <c r="AM65" s="9" t="n">
        <v>0</v>
      </c>
      <c r="AN65" s="9" t="n">
        <v>6</v>
      </c>
      <c r="AO65" s="9" t="inlineStr">
        <is>
          <t>否</t>
        </is>
      </c>
      <c r="AP65" s="9" t="n">
        <v>3</v>
      </c>
      <c r="AQ65" s="9" t="inlineStr"/>
    </row>
    <row r="66">
      <c r="A66" s="7" t="inlineStr">
        <is>
          <t>P011</t>
        </is>
      </c>
      <c r="B66" s="9" t="n">
        <v>2</v>
      </c>
      <c r="C66" s="9" t="inlineStr">
        <is>
          <t>O3-S2-OE</t>
        </is>
      </c>
      <c r="D66" s="9" t="n">
        <v>1</v>
      </c>
      <c r="E66" s="9" t="inlineStr">
        <is>
          <t>固定订书机</t>
        </is>
      </c>
      <c r="F66" s="9" t="inlineStr">
        <is>
          <t>stapler</t>
        </is>
      </c>
      <c r="G66" s="9" t="inlineStr">
        <is>
          <t>方法A</t>
        </is>
      </c>
      <c r="H66" s="9" t="inlineStr">
        <is>
          <t>One-Euro</t>
        </is>
      </c>
      <c r="I66" s="9" t="n">
        <v>2</v>
      </c>
      <c r="J66" s="9" t="n">
        <v>1</v>
      </c>
      <c r="K66" s="9" t="n">
        <v>6</v>
      </c>
      <c r="L66" s="9" t="n">
        <v>5</v>
      </c>
      <c r="M66" s="9" t="n">
        <v>4</v>
      </c>
      <c r="N66" s="9" t="n"/>
      <c r="O66" s="9" t="n">
        <v>6</v>
      </c>
      <c r="P66" s="9" t="n">
        <v>6</v>
      </c>
      <c r="Q66" s="9" t="n">
        <v>6</v>
      </c>
      <c r="R66" s="9" t="n">
        <v>5</v>
      </c>
      <c r="S66" s="9" t="n">
        <v>6</v>
      </c>
      <c r="T66" s="9" t="n">
        <v>6</v>
      </c>
      <c r="U66" s="9" t="n">
        <v>7</v>
      </c>
      <c r="V66" s="9" t="n">
        <v>6</v>
      </c>
      <c r="W66" s="9" t="n">
        <v>6</v>
      </c>
      <c r="X66" s="9" t="n">
        <v>6</v>
      </c>
      <c r="Y66" s="9" t="inlineStr">
        <is>
          <t>09:19:05</t>
        </is>
      </c>
      <c r="Z66" s="9" t="inlineStr">
        <is>
          <t>09:21:24</t>
        </is>
      </c>
      <c r="AA66" s="9" t="n">
        <v>139.7</v>
      </c>
      <c r="AB66" s="9" t="inlineStr">
        <is>
          <t>是</t>
        </is>
      </c>
      <c r="AC66" s="9" t="inlineStr">
        <is>
          <t>是</t>
        </is>
      </c>
      <c r="AD66" s="9" t="inlineStr">
        <is>
          <t>是</t>
        </is>
      </c>
      <c r="AE66" s="9" t="inlineStr">
        <is>
          <t>无</t>
        </is>
      </c>
      <c r="AF66" s="9" t="n">
        <v>9.65</v>
      </c>
      <c r="AG66" s="9" t="n">
        <v>0.917</v>
      </c>
      <c r="AH66" s="9" t="n">
        <v>0.9389999999999999</v>
      </c>
      <c r="AI66" s="9" t="n">
        <v>0.992</v>
      </c>
      <c r="AJ66" s="9" t="n">
        <v>0.802</v>
      </c>
      <c r="AK66" s="9" t="inlineStr">
        <is>
          <t>FrozenUncertain</t>
        </is>
      </c>
      <c r="AL66" s="9" t="inlineStr">
        <is>
          <t>否</t>
        </is>
      </c>
      <c r="AM66" s="9" t="n">
        <v>0</v>
      </c>
      <c r="AN66" s="9" t="n">
        <v>0</v>
      </c>
      <c r="AO66" s="9" t="inlineStr">
        <is>
          <t>否</t>
        </is>
      </c>
      <c r="AP66" s="9" t="n">
        <v>3</v>
      </c>
      <c r="AQ66" s="9" t="inlineStr"/>
    </row>
    <row r="67">
      <c r="A67" s="7" t="inlineStr">
        <is>
          <t>P011</t>
        </is>
      </c>
      <c r="B67" s="9" t="n">
        <v>3</v>
      </c>
      <c r="C67" s="9" t="inlineStr">
        <is>
          <t>O3-S2-OE</t>
        </is>
      </c>
      <c r="D67" s="9" t="n">
        <v>2</v>
      </c>
      <c r="E67" s="9" t="inlineStr">
        <is>
          <t>鼠标</t>
        </is>
      </c>
      <c r="F67" s="9" t="inlineStr">
        <is>
          <t>blue_mouse</t>
        </is>
      </c>
      <c r="G67" s="9" t="inlineStr">
        <is>
          <t>方法A</t>
        </is>
      </c>
      <c r="H67" s="9" t="inlineStr">
        <is>
          <t>One-Euro</t>
        </is>
      </c>
      <c r="I67" s="9" t="n">
        <v>1</v>
      </c>
      <c r="J67" s="9" t="n">
        <v>2</v>
      </c>
      <c r="K67" s="9" t="n">
        <v>4</v>
      </c>
      <c r="L67" s="9" t="n">
        <v>6</v>
      </c>
      <c r="M67" s="9" t="n">
        <v>5</v>
      </c>
      <c r="N67" s="9" t="n"/>
      <c r="O67" s="9" t="n">
        <v>6</v>
      </c>
      <c r="P67" s="9" t="n">
        <v>5</v>
      </c>
      <c r="Q67" s="9" t="n">
        <v>4</v>
      </c>
      <c r="R67" s="9" t="n">
        <v>5</v>
      </c>
      <c r="S67" s="9" t="n">
        <v>6</v>
      </c>
      <c r="T67" s="9" t="n">
        <v>6</v>
      </c>
      <c r="U67" s="9" t="n">
        <v>6</v>
      </c>
      <c r="V67" s="9" t="n">
        <v>5</v>
      </c>
      <c r="W67" s="9" t="n">
        <v>6</v>
      </c>
      <c r="X67" s="9" t="n">
        <v>5</v>
      </c>
      <c r="Y67" s="9" t="inlineStr">
        <is>
          <t>09:22:59</t>
        </is>
      </c>
      <c r="Z67" s="9" t="inlineStr">
        <is>
          <t>09:25:15</t>
        </is>
      </c>
      <c r="AA67" s="9" t="n">
        <v>135.7</v>
      </c>
      <c r="AB67" s="9" t="inlineStr">
        <is>
          <t>是</t>
        </is>
      </c>
      <c r="AC67" s="9" t="inlineStr">
        <is>
          <t>是</t>
        </is>
      </c>
      <c r="AD67" s="9" t="inlineStr">
        <is>
          <t>是</t>
        </is>
      </c>
      <c r="AE67" s="9" t="inlineStr">
        <is>
          <t>无</t>
        </is>
      </c>
      <c r="AF67" s="9" t="n">
        <v>9.390000000000001</v>
      </c>
      <c r="AG67" s="9" t="n">
        <v>0.891</v>
      </c>
      <c r="AH67" s="9" t="n">
        <v>0.958</v>
      </c>
      <c r="AI67" s="9" t="n">
        <v>0.976</v>
      </c>
      <c r="AJ67" s="9" t="n">
        <v>0.779</v>
      </c>
      <c r="AK67" s="9" t="inlineStr">
        <is>
          <t>FrozenUncertain</t>
        </is>
      </c>
      <c r="AL67" s="9" t="inlineStr">
        <is>
          <t>否</t>
        </is>
      </c>
      <c r="AM67" s="9" t="n">
        <v>0</v>
      </c>
      <c r="AN67" s="9" t="n">
        <v>0</v>
      </c>
      <c r="AO67" s="9" t="inlineStr">
        <is>
          <t>否</t>
        </is>
      </c>
      <c r="AP67" s="9" t="n">
        <v>3</v>
      </c>
      <c r="AQ67" s="9" t="inlineStr"/>
    </row>
    <row r="68">
      <c r="A68" s="7" t="inlineStr">
        <is>
          <t>P011</t>
        </is>
      </c>
      <c r="B68" s="9" t="n">
        <v>4</v>
      </c>
      <c r="C68" s="9" t="inlineStr">
        <is>
          <t>O3-S2-OE</t>
        </is>
      </c>
      <c r="D68" s="9" t="n">
        <v>2</v>
      </c>
      <c r="E68" s="9" t="inlineStr">
        <is>
          <t>鼠标</t>
        </is>
      </c>
      <c r="F68" s="9" t="inlineStr">
        <is>
          <t>blue_mouse</t>
        </is>
      </c>
      <c r="G68" s="9" t="inlineStr">
        <is>
          <t>方法B</t>
        </is>
      </c>
      <c r="H68" s="9" t="inlineStr">
        <is>
          <t>EgoAnchor</t>
        </is>
      </c>
      <c r="I68" s="9" t="n">
        <v>2</v>
      </c>
      <c r="J68" s="9" t="n">
        <v>2</v>
      </c>
      <c r="K68" s="9" t="n">
        <v>6</v>
      </c>
      <c r="L68" s="9" t="n">
        <v>6</v>
      </c>
      <c r="M68" s="9" t="n">
        <v>5</v>
      </c>
      <c r="N68" s="9" t="n"/>
      <c r="O68" s="9" t="n">
        <v>6</v>
      </c>
      <c r="P68" s="9" t="n">
        <v>6</v>
      </c>
      <c r="Q68" s="9" t="n">
        <v>5</v>
      </c>
      <c r="R68" s="9" t="n">
        <v>5</v>
      </c>
      <c r="S68" s="9" t="n">
        <v>5</v>
      </c>
      <c r="T68" s="9" t="n">
        <v>6</v>
      </c>
      <c r="U68" s="9" t="n">
        <v>6</v>
      </c>
      <c r="V68" s="9" t="n">
        <v>6</v>
      </c>
      <c r="W68" s="9" t="n">
        <v>6</v>
      </c>
      <c r="X68" s="9" t="n">
        <v>6</v>
      </c>
      <c r="Y68" s="9" t="inlineStr">
        <is>
          <t>09:26:50</t>
        </is>
      </c>
      <c r="Z68" s="9" t="inlineStr">
        <is>
          <t>09:29:29</t>
        </is>
      </c>
      <c r="AA68" s="9" t="n">
        <v>159.2</v>
      </c>
      <c r="AB68" s="9" t="inlineStr">
        <is>
          <t>是</t>
        </is>
      </c>
      <c r="AC68" s="9" t="inlineStr">
        <is>
          <t>是</t>
        </is>
      </c>
      <c r="AD68" s="9" t="inlineStr">
        <is>
          <t>是</t>
        </is>
      </c>
      <c r="AE68" s="9" t="inlineStr">
        <is>
          <t>无</t>
        </is>
      </c>
      <c r="AF68" s="9" t="n">
        <v>9.630000000000001</v>
      </c>
      <c r="AG68" s="9" t="n">
        <v>0.855</v>
      </c>
      <c r="AH68" s="9" t="n">
        <v>0.96</v>
      </c>
      <c r="AI68" s="9" t="n">
        <v>0.977</v>
      </c>
      <c r="AJ68" s="9" t="n">
        <v>0.724</v>
      </c>
      <c r="AK68" s="9" t="inlineStr">
        <is>
          <t>FrozenUncertain</t>
        </is>
      </c>
      <c r="AL68" s="9" t="inlineStr">
        <is>
          <t>否</t>
        </is>
      </c>
      <c r="AM68" s="9" t="n">
        <v>0</v>
      </c>
      <c r="AN68" s="9" t="n">
        <v>5</v>
      </c>
      <c r="AO68" s="9" t="inlineStr">
        <is>
          <t>否</t>
        </is>
      </c>
      <c r="AP68" s="9" t="n">
        <v>5</v>
      </c>
      <c r="AQ68" s="9" t="inlineStr"/>
    </row>
    <row r="69">
      <c r="A69" s="7" t="inlineStr">
        <is>
          <t>P011</t>
        </is>
      </c>
      <c r="B69" s="9" t="n">
        <v>5</v>
      </c>
      <c r="C69" s="9" t="inlineStr">
        <is>
          <t>O3-S2-OE</t>
        </is>
      </c>
      <c r="D69" s="9" t="n">
        <v>3</v>
      </c>
      <c r="E69" s="9" t="inlineStr">
        <is>
          <t>游戏手柄</t>
        </is>
      </c>
      <c r="F69" s="9" t="inlineStr">
        <is>
          <t>gamepad</t>
        </is>
      </c>
      <c r="G69" s="9" t="inlineStr">
        <is>
          <t>方法B</t>
        </is>
      </c>
      <c r="H69" s="9" t="inlineStr">
        <is>
          <t>EgoAnchor</t>
        </is>
      </c>
      <c r="I69" s="9" t="n">
        <v>1</v>
      </c>
      <c r="J69" s="9" t="n">
        <v>3</v>
      </c>
      <c r="K69" s="9" t="n">
        <v>5</v>
      </c>
      <c r="L69" s="9" t="n">
        <v>4</v>
      </c>
      <c r="M69" s="9" t="n">
        <v>5</v>
      </c>
      <c r="N69" s="9" t="n"/>
      <c r="O69" s="9" t="n">
        <v>4</v>
      </c>
      <c r="P69" s="9" t="n">
        <v>5</v>
      </c>
      <c r="Q69" s="9" t="n">
        <v>4</v>
      </c>
      <c r="R69" s="9" t="n">
        <v>5</v>
      </c>
      <c r="S69" s="9" t="n">
        <v>4</v>
      </c>
      <c r="T69" s="9" t="n">
        <v>5</v>
      </c>
      <c r="U69" s="9" t="n">
        <v>6</v>
      </c>
      <c r="V69" s="9" t="n">
        <v>5</v>
      </c>
      <c r="W69" s="9" t="n">
        <v>6</v>
      </c>
      <c r="X69" s="9" t="n">
        <v>5</v>
      </c>
      <c r="Y69" s="9" t="inlineStr">
        <is>
          <t>09:31:04</t>
        </is>
      </c>
      <c r="Z69" s="9" t="inlineStr">
        <is>
          <t>09:33:36</t>
        </is>
      </c>
      <c r="AA69" s="9" t="n">
        <v>152</v>
      </c>
      <c r="AB69" s="9" t="inlineStr">
        <is>
          <t>是</t>
        </is>
      </c>
      <c r="AC69" s="9" t="inlineStr">
        <is>
          <t>是</t>
        </is>
      </c>
      <c r="AD69" s="9" t="inlineStr">
        <is>
          <t>是</t>
        </is>
      </c>
      <c r="AE69" s="9" t="inlineStr">
        <is>
          <t>无</t>
        </is>
      </c>
      <c r="AF69" s="9" t="n">
        <v>9.369999999999999</v>
      </c>
      <c r="AG69" s="9" t="n">
        <v>0.873</v>
      </c>
      <c r="AH69" s="9" t="n">
        <v>0.9330000000000001</v>
      </c>
      <c r="AI69" s="9" t="n">
        <v>0.98</v>
      </c>
      <c r="AJ69" s="9" t="n">
        <v>1.031</v>
      </c>
      <c r="AK69" s="9" t="inlineStr">
        <is>
          <t>Lost</t>
        </is>
      </c>
      <c r="AL69" s="9" t="inlineStr">
        <is>
          <t>是</t>
        </is>
      </c>
      <c r="AM69" s="9" t="n">
        <v>1</v>
      </c>
      <c r="AN69" s="9" t="n">
        <v>4</v>
      </c>
      <c r="AO69" s="9" t="inlineStr">
        <is>
          <t>否</t>
        </is>
      </c>
      <c r="AP69" s="9" t="n">
        <v>1</v>
      </c>
      <c r="AQ69" s="9" t="inlineStr">
        <is>
          <t>StaticLock 锁在略偏位姿</t>
        </is>
      </c>
    </row>
    <row r="70">
      <c r="A70" s="7" t="inlineStr">
        <is>
          <t>P011</t>
        </is>
      </c>
      <c r="B70" s="9" t="n">
        <v>6</v>
      </c>
      <c r="C70" s="9" t="inlineStr">
        <is>
          <t>O3-S2-OE</t>
        </is>
      </c>
      <c r="D70" s="9" t="n">
        <v>3</v>
      </c>
      <c r="E70" s="9" t="inlineStr">
        <is>
          <t>游戏手柄</t>
        </is>
      </c>
      <c r="F70" s="9" t="inlineStr">
        <is>
          <t>gamepad</t>
        </is>
      </c>
      <c r="G70" s="9" t="inlineStr">
        <is>
          <t>方法A</t>
        </is>
      </c>
      <c r="H70" s="9" t="inlineStr">
        <is>
          <t>One-Euro</t>
        </is>
      </c>
      <c r="I70" s="9" t="n">
        <v>2</v>
      </c>
      <c r="J70" s="9" t="n">
        <v>3</v>
      </c>
      <c r="K70" s="9" t="n">
        <v>4</v>
      </c>
      <c r="L70" s="9" t="n">
        <v>5</v>
      </c>
      <c r="M70" s="9" t="n">
        <v>5</v>
      </c>
      <c r="N70" s="9" t="n"/>
      <c r="O70" s="9" t="n">
        <v>5</v>
      </c>
      <c r="P70" s="9" t="n">
        <v>5</v>
      </c>
      <c r="Q70" s="9" t="n">
        <v>6</v>
      </c>
      <c r="R70" s="9" t="n">
        <v>6</v>
      </c>
      <c r="S70" s="9" t="n">
        <v>5</v>
      </c>
      <c r="T70" s="9" t="n">
        <v>5</v>
      </c>
      <c r="U70" s="9" t="n">
        <v>6</v>
      </c>
      <c r="V70" s="9" t="n">
        <v>5</v>
      </c>
      <c r="W70" s="9" t="n">
        <v>5</v>
      </c>
      <c r="X70" s="9" t="n">
        <v>5</v>
      </c>
      <c r="Y70" s="9" t="inlineStr">
        <is>
          <t>09:35:11</t>
        </is>
      </c>
      <c r="Z70" s="9" t="inlineStr">
        <is>
          <t>09:37:22</t>
        </is>
      </c>
      <c r="AA70" s="9" t="n">
        <v>130.5</v>
      </c>
      <c r="AB70" s="9" t="inlineStr">
        <is>
          <t>是</t>
        </is>
      </c>
      <c r="AC70" s="9" t="inlineStr">
        <is>
          <t>是</t>
        </is>
      </c>
      <c r="AD70" s="9" t="inlineStr">
        <is>
          <t>是</t>
        </is>
      </c>
      <c r="AE70" s="9" t="inlineStr">
        <is>
          <t>无</t>
        </is>
      </c>
      <c r="AF70" s="9" t="n">
        <v>9.300000000000001</v>
      </c>
      <c r="AG70" s="9" t="n">
        <v>0.896</v>
      </c>
      <c r="AH70" s="9" t="n">
        <v>0.9350000000000001</v>
      </c>
      <c r="AI70" s="9" t="n">
        <v>0.988</v>
      </c>
      <c r="AJ70" s="9" t="n">
        <v>0.795</v>
      </c>
      <c r="AK70" s="9" t="inlineStr">
        <is>
          <t>FrozenUncertain</t>
        </is>
      </c>
      <c r="AL70" s="9" t="inlineStr">
        <is>
          <t>否</t>
        </is>
      </c>
      <c r="AM70" s="9" t="n">
        <v>1</v>
      </c>
      <c r="AN70" s="9" t="n">
        <v>0</v>
      </c>
      <c r="AO70" s="9" t="inlineStr">
        <is>
          <t>否</t>
        </is>
      </c>
      <c r="AP70" s="9" t="n">
        <v>4</v>
      </c>
      <c r="AQ70" s="9" t="inlineStr"/>
    </row>
    <row r="71">
      <c r="A71" s="7" t="inlineStr">
        <is>
          <t>P012</t>
        </is>
      </c>
      <c r="B71" s="9" t="n">
        <v>1</v>
      </c>
      <c r="C71" s="9" t="inlineStr">
        <is>
          <t>O3-S1-OE</t>
        </is>
      </c>
      <c r="D71" s="9" t="n">
        <v>1</v>
      </c>
      <c r="E71" s="9" t="inlineStr">
        <is>
          <t>固定订书机</t>
        </is>
      </c>
      <c r="F71" s="9" t="inlineStr">
        <is>
          <t>stapler</t>
        </is>
      </c>
      <c r="G71" s="9" t="inlineStr">
        <is>
          <t>方法A</t>
        </is>
      </c>
      <c r="H71" s="9" t="inlineStr">
        <is>
          <t>One-Euro</t>
        </is>
      </c>
      <c r="I71" s="9" t="n">
        <v>1</v>
      </c>
      <c r="J71" s="9" t="n">
        <v>1</v>
      </c>
      <c r="K71" s="9" t="n">
        <v>4</v>
      </c>
      <c r="L71" s="9" t="n">
        <v>6</v>
      </c>
      <c r="M71" s="9" t="n">
        <v>5</v>
      </c>
      <c r="N71" s="9" t="n"/>
      <c r="O71" s="9" t="n">
        <v>6</v>
      </c>
      <c r="P71" s="9" t="n">
        <v>5</v>
      </c>
      <c r="Q71" s="9" t="n">
        <v>4</v>
      </c>
      <c r="R71" s="9" t="n">
        <v>5</v>
      </c>
      <c r="S71" s="9" t="n">
        <v>6</v>
      </c>
      <c r="T71" s="9" t="n">
        <v>6</v>
      </c>
      <c r="U71" s="9" t="n">
        <v>6</v>
      </c>
      <c r="V71" s="9" t="n">
        <v>6</v>
      </c>
      <c r="W71" s="9" t="n">
        <v>4</v>
      </c>
      <c r="X71" s="9" t="n">
        <v>5</v>
      </c>
      <c r="Y71" s="9" t="inlineStr">
        <is>
          <t>09:15:00</t>
        </is>
      </c>
      <c r="Z71" s="9" t="inlineStr">
        <is>
          <t>09:16:55</t>
        </is>
      </c>
      <c r="AA71" s="9" t="n">
        <v>115.9</v>
      </c>
      <c r="AB71" s="9" t="inlineStr">
        <is>
          <t>是</t>
        </is>
      </c>
      <c r="AC71" s="9" t="inlineStr">
        <is>
          <t>是</t>
        </is>
      </c>
      <c r="AD71" s="9" t="inlineStr">
        <is>
          <t>是</t>
        </is>
      </c>
      <c r="AE71" s="9" t="inlineStr">
        <is>
          <t>无</t>
        </is>
      </c>
      <c r="AF71" s="9" t="n">
        <v>9.56</v>
      </c>
      <c r="AG71" s="9" t="n">
        <v>0.9409999999999999</v>
      </c>
      <c r="AH71" s="9" t="n">
        <v>0.974</v>
      </c>
      <c r="AI71" s="9" t="n">
        <v>0.986</v>
      </c>
      <c r="AJ71" s="9" t="n">
        <v>0.767</v>
      </c>
      <c r="AK71" s="9" t="inlineStr">
        <is>
          <t>FrozenUncertain</t>
        </is>
      </c>
      <c r="AL71" s="9" t="inlineStr">
        <is>
          <t>否</t>
        </is>
      </c>
      <c r="AM71" s="9" t="n">
        <v>0</v>
      </c>
      <c r="AN71" s="9" t="n">
        <v>0</v>
      </c>
      <c r="AO71" s="9" t="inlineStr">
        <is>
          <t>否</t>
        </is>
      </c>
      <c r="AP71" s="9" t="n">
        <v>4</v>
      </c>
      <c r="AQ71" s="9" t="inlineStr"/>
    </row>
    <row r="72">
      <c r="A72" s="7" t="inlineStr">
        <is>
          <t>P012</t>
        </is>
      </c>
      <c r="B72" s="9" t="n">
        <v>2</v>
      </c>
      <c r="C72" s="9" t="inlineStr">
        <is>
          <t>O3-S1-OE</t>
        </is>
      </c>
      <c r="D72" s="9" t="n">
        <v>1</v>
      </c>
      <c r="E72" s="9" t="inlineStr">
        <is>
          <t>固定订书机</t>
        </is>
      </c>
      <c r="F72" s="9" t="inlineStr">
        <is>
          <t>stapler</t>
        </is>
      </c>
      <c r="G72" s="9" t="inlineStr">
        <is>
          <t>方法B</t>
        </is>
      </c>
      <c r="H72" s="9" t="inlineStr">
        <is>
          <t>EgoAnchor</t>
        </is>
      </c>
      <c r="I72" s="9" t="n">
        <v>2</v>
      </c>
      <c r="J72" s="9" t="n">
        <v>1</v>
      </c>
      <c r="K72" s="9" t="n">
        <v>7</v>
      </c>
      <c r="L72" s="9" t="n">
        <v>4</v>
      </c>
      <c r="M72" s="9" t="n">
        <v>5</v>
      </c>
      <c r="N72" s="9" t="n"/>
      <c r="O72" s="9" t="n">
        <v>4</v>
      </c>
      <c r="P72" s="9" t="n">
        <v>4</v>
      </c>
      <c r="Q72" s="9" t="n">
        <v>5</v>
      </c>
      <c r="R72" s="9" t="n">
        <v>4</v>
      </c>
      <c r="S72" s="9" t="n">
        <v>5</v>
      </c>
      <c r="T72" s="9" t="n">
        <v>5</v>
      </c>
      <c r="U72" s="9" t="n">
        <v>7</v>
      </c>
      <c r="V72" s="9" t="n">
        <v>6</v>
      </c>
      <c r="W72" s="9" t="n">
        <v>4</v>
      </c>
      <c r="X72" s="9" t="n">
        <v>4</v>
      </c>
      <c r="Y72" s="9" t="inlineStr">
        <is>
          <t>09:18:30</t>
        </is>
      </c>
      <c r="Z72" s="9" t="inlineStr">
        <is>
          <t>09:20:32</t>
        </is>
      </c>
      <c r="AA72" s="9" t="n">
        <v>122</v>
      </c>
      <c r="AB72" s="9" t="inlineStr">
        <is>
          <t>是</t>
        </is>
      </c>
      <c r="AC72" s="9" t="inlineStr">
        <is>
          <t>是</t>
        </is>
      </c>
      <c r="AD72" s="9" t="inlineStr">
        <is>
          <t>是</t>
        </is>
      </c>
      <c r="AE72" s="9" t="inlineStr">
        <is>
          <t>无</t>
        </is>
      </c>
      <c r="AF72" s="9" t="n">
        <v>9.57</v>
      </c>
      <c r="AG72" s="9" t="n">
        <v>0.898</v>
      </c>
      <c r="AH72" s="9" t="n">
        <v>0.962</v>
      </c>
      <c r="AI72" s="9" t="n">
        <v>0.985</v>
      </c>
      <c r="AJ72" s="9" t="n">
        <v>0.75</v>
      </c>
      <c r="AK72" s="9" t="inlineStr">
        <is>
          <t>FrozenUncertain</t>
        </is>
      </c>
      <c r="AL72" s="9" t="inlineStr">
        <is>
          <t>否</t>
        </is>
      </c>
      <c r="AM72" s="9" t="n">
        <v>0</v>
      </c>
      <c r="AN72" s="9" t="n">
        <v>2</v>
      </c>
      <c r="AO72" s="9" t="inlineStr">
        <is>
          <t>否</t>
        </is>
      </c>
      <c r="AP72" s="9" t="n">
        <v>2</v>
      </c>
      <c r="AQ72" s="9" t="inlineStr">
        <is>
          <t>StaticLock 锁在略偏位姿</t>
        </is>
      </c>
    </row>
    <row r="73">
      <c r="A73" s="7" t="inlineStr">
        <is>
          <t>P012</t>
        </is>
      </c>
      <c r="B73" s="9" t="n">
        <v>3</v>
      </c>
      <c r="C73" s="9" t="inlineStr">
        <is>
          <t>O3-S1-OE</t>
        </is>
      </c>
      <c r="D73" s="9" t="n">
        <v>2</v>
      </c>
      <c r="E73" s="9" t="inlineStr">
        <is>
          <t>鼠标</t>
        </is>
      </c>
      <c r="F73" s="9" t="inlineStr">
        <is>
          <t>blue_mouse</t>
        </is>
      </c>
      <c r="G73" s="9" t="inlineStr">
        <is>
          <t>方法B</t>
        </is>
      </c>
      <c r="H73" s="9" t="inlineStr">
        <is>
          <t>EgoAnchor</t>
        </is>
      </c>
      <c r="I73" s="9" t="n">
        <v>1</v>
      </c>
      <c r="J73" s="9" t="n">
        <v>2</v>
      </c>
      <c r="K73" s="9" t="n">
        <v>7</v>
      </c>
      <c r="L73" s="9" t="n">
        <v>5</v>
      </c>
      <c r="M73" s="9" t="n">
        <v>6</v>
      </c>
      <c r="N73" s="9" t="n"/>
      <c r="O73" s="9" t="n">
        <v>4</v>
      </c>
      <c r="P73" s="9" t="n">
        <v>6</v>
      </c>
      <c r="Q73" s="9" t="n">
        <v>4</v>
      </c>
      <c r="R73" s="9" t="n">
        <v>6</v>
      </c>
      <c r="S73" s="9" t="n">
        <v>7</v>
      </c>
      <c r="T73" s="9" t="n">
        <v>5</v>
      </c>
      <c r="U73" s="9" t="n">
        <v>7</v>
      </c>
      <c r="V73" s="9" t="n">
        <v>6</v>
      </c>
      <c r="W73" s="9" t="n">
        <v>5</v>
      </c>
      <c r="X73" s="9" t="n">
        <v>5</v>
      </c>
      <c r="Y73" s="9" t="inlineStr">
        <is>
          <t>09:22:07</t>
        </is>
      </c>
      <c r="Z73" s="9" t="inlineStr">
        <is>
          <t>09:24:07</t>
        </is>
      </c>
      <c r="AA73" s="9" t="n">
        <v>119.8</v>
      </c>
      <c r="AB73" s="9" t="inlineStr">
        <is>
          <t>是</t>
        </is>
      </c>
      <c r="AC73" s="9" t="inlineStr">
        <is>
          <t>是</t>
        </is>
      </c>
      <c r="AD73" s="9" t="inlineStr">
        <is>
          <t>是</t>
        </is>
      </c>
      <c r="AE73" s="9" t="inlineStr">
        <is>
          <t>无</t>
        </is>
      </c>
      <c r="AF73" s="9" t="n">
        <v>9.35</v>
      </c>
      <c r="AG73" s="9" t="n">
        <v>0.875</v>
      </c>
      <c r="AH73" s="9" t="n">
        <v>0.9370000000000001</v>
      </c>
      <c r="AI73" s="9" t="n">
        <v>0.992</v>
      </c>
      <c r="AJ73" s="9" t="n">
        <v>0.761</v>
      </c>
      <c r="AK73" s="9" t="inlineStr">
        <is>
          <t>FrozenUncertain</t>
        </is>
      </c>
      <c r="AL73" s="9" t="inlineStr">
        <is>
          <t>否</t>
        </is>
      </c>
      <c r="AM73" s="9" t="n">
        <v>0</v>
      </c>
      <c r="AN73" s="9" t="n">
        <v>2</v>
      </c>
      <c r="AO73" s="9" t="inlineStr">
        <is>
          <t>否</t>
        </is>
      </c>
      <c r="AP73" s="9" t="n">
        <v>2</v>
      </c>
      <c r="AQ73" s="9" t="inlineStr"/>
    </row>
    <row r="74">
      <c r="A74" s="7" t="inlineStr">
        <is>
          <t>P012</t>
        </is>
      </c>
      <c r="B74" s="9" t="n">
        <v>4</v>
      </c>
      <c r="C74" s="9" t="inlineStr">
        <is>
          <t>O3-S1-OE</t>
        </is>
      </c>
      <c r="D74" s="9" t="n">
        <v>2</v>
      </c>
      <c r="E74" s="9" t="inlineStr">
        <is>
          <t>鼠标</t>
        </is>
      </c>
      <c r="F74" s="9" t="inlineStr">
        <is>
          <t>blue_mouse</t>
        </is>
      </c>
      <c r="G74" s="9" t="inlineStr">
        <is>
          <t>方法A</t>
        </is>
      </c>
      <c r="H74" s="9" t="inlineStr">
        <is>
          <t>One-Euro</t>
        </is>
      </c>
      <c r="I74" s="9" t="n">
        <v>2</v>
      </c>
      <c r="J74" s="9" t="n">
        <v>2</v>
      </c>
      <c r="K74" s="9" t="n">
        <v>3</v>
      </c>
      <c r="L74" s="9" t="n">
        <v>4</v>
      </c>
      <c r="M74" s="9" t="n">
        <v>3</v>
      </c>
      <c r="N74" s="9" t="n"/>
      <c r="O74" s="9" t="n">
        <v>5</v>
      </c>
      <c r="P74" s="9" t="n">
        <v>4</v>
      </c>
      <c r="Q74" s="9" t="n">
        <v>4</v>
      </c>
      <c r="R74" s="9" t="n">
        <v>4</v>
      </c>
      <c r="S74" s="9" t="n">
        <v>4</v>
      </c>
      <c r="T74" s="9" t="n">
        <v>4</v>
      </c>
      <c r="U74" s="9" t="n">
        <v>6</v>
      </c>
      <c r="V74" s="9" t="n">
        <v>4</v>
      </c>
      <c r="W74" s="9" t="n">
        <v>3</v>
      </c>
      <c r="X74" s="9" t="n">
        <v>4</v>
      </c>
      <c r="Y74" s="9" t="inlineStr">
        <is>
          <t>09:25:42</t>
        </is>
      </c>
      <c r="Z74" s="9" t="inlineStr">
        <is>
          <t>09:27:49</t>
        </is>
      </c>
      <c r="AA74" s="9" t="n">
        <v>126.7</v>
      </c>
      <c r="AB74" s="9" t="inlineStr">
        <is>
          <t>是</t>
        </is>
      </c>
      <c r="AC74" s="9" t="inlineStr">
        <is>
          <t>是</t>
        </is>
      </c>
      <c r="AD74" s="9" t="inlineStr">
        <is>
          <t>是</t>
        </is>
      </c>
      <c r="AE74" s="9" t="inlineStr">
        <is>
          <t>无</t>
        </is>
      </c>
      <c r="AF74" s="9" t="n">
        <v>9.33</v>
      </c>
      <c r="AG74" s="9" t="n">
        <v>0.895</v>
      </c>
      <c r="AH74" s="9" t="n">
        <v>0.955</v>
      </c>
      <c r="AI74" s="9" t="n">
        <v>0.995</v>
      </c>
      <c r="AJ74" s="9" t="n">
        <v>0.709</v>
      </c>
      <c r="AK74" s="9" t="inlineStr">
        <is>
          <t>FrozenUncertain</t>
        </is>
      </c>
      <c r="AL74" s="9" t="inlineStr">
        <is>
          <t>否</t>
        </is>
      </c>
      <c r="AM74" s="9" t="n">
        <v>0</v>
      </c>
      <c r="AN74" s="9" t="n">
        <v>0</v>
      </c>
      <c r="AO74" s="9" t="inlineStr">
        <is>
          <t>否</t>
        </is>
      </c>
      <c r="AP74" s="9" t="n">
        <v>5</v>
      </c>
      <c r="AQ74" s="9" t="inlineStr"/>
    </row>
    <row r="75">
      <c r="A75" s="7" t="inlineStr">
        <is>
          <t>P012</t>
        </is>
      </c>
      <c r="B75" s="9" t="n">
        <v>5</v>
      </c>
      <c r="C75" s="9" t="inlineStr">
        <is>
          <t>O3-S1-OE</t>
        </is>
      </c>
      <c r="D75" s="9" t="n">
        <v>3</v>
      </c>
      <c r="E75" s="9" t="inlineStr">
        <is>
          <t>游戏手柄</t>
        </is>
      </c>
      <c r="F75" s="9" t="inlineStr">
        <is>
          <t>gamepad</t>
        </is>
      </c>
      <c r="G75" s="9" t="inlineStr">
        <is>
          <t>方法A</t>
        </is>
      </c>
      <c r="H75" s="9" t="inlineStr">
        <is>
          <t>One-Euro</t>
        </is>
      </c>
      <c r="I75" s="9" t="n">
        <v>1</v>
      </c>
      <c r="J75" s="9" t="n">
        <v>3</v>
      </c>
      <c r="K75" s="9" t="n">
        <v>3</v>
      </c>
      <c r="L75" s="9" t="n">
        <v>5</v>
      </c>
      <c r="M75" s="9" t="n">
        <v>5</v>
      </c>
      <c r="N75" s="9" t="n"/>
      <c r="O75" s="9" t="n">
        <v>5</v>
      </c>
      <c r="P75" s="9" t="n">
        <v>5</v>
      </c>
      <c r="Q75" s="9" t="n">
        <v>4</v>
      </c>
      <c r="R75" s="9" t="n">
        <v>4</v>
      </c>
      <c r="S75" s="9" t="n">
        <v>4</v>
      </c>
      <c r="T75" s="9" t="n">
        <v>4</v>
      </c>
      <c r="U75" s="9" t="n">
        <v>6</v>
      </c>
      <c r="V75" s="9" t="n">
        <v>4</v>
      </c>
      <c r="W75" s="9" t="n">
        <v>3</v>
      </c>
      <c r="X75" s="9" t="n">
        <v>4</v>
      </c>
      <c r="Y75" s="9" t="inlineStr">
        <is>
          <t>09:29:24</t>
        </is>
      </c>
      <c r="Z75" s="9" t="inlineStr">
        <is>
          <t>09:31:41</t>
        </is>
      </c>
      <c r="AA75" s="9" t="n">
        <v>137.2</v>
      </c>
      <c r="AB75" s="9" t="inlineStr">
        <is>
          <t>是</t>
        </is>
      </c>
      <c r="AC75" s="9" t="inlineStr">
        <is>
          <t>是</t>
        </is>
      </c>
      <c r="AD75" s="9" t="inlineStr">
        <is>
          <t>是</t>
        </is>
      </c>
      <c r="AE75" s="9" t="inlineStr">
        <is>
          <t>无</t>
        </is>
      </c>
      <c r="AF75" s="9" t="n">
        <v>9.24</v>
      </c>
      <c r="AG75" s="9" t="n">
        <v>0.89</v>
      </c>
      <c r="AH75" s="9" t="n">
        <v>0.923</v>
      </c>
      <c r="AI75" s="9" t="n">
        <v>0.977</v>
      </c>
      <c r="AJ75" s="9" t="n">
        <v>0.766</v>
      </c>
      <c r="AK75" s="9" t="inlineStr">
        <is>
          <t>FrozenUncertain</t>
        </is>
      </c>
      <c r="AL75" s="9" t="inlineStr">
        <is>
          <t>否</t>
        </is>
      </c>
      <c r="AM75" s="9" t="n">
        <v>0</v>
      </c>
      <c r="AN75" s="9" t="n">
        <v>0</v>
      </c>
      <c r="AO75" s="9" t="inlineStr">
        <is>
          <t>否</t>
        </is>
      </c>
      <c r="AP75" s="9" t="n">
        <v>4</v>
      </c>
      <c r="AQ75" s="9" t="inlineStr"/>
    </row>
    <row r="76">
      <c r="A76" s="7" t="inlineStr">
        <is>
          <t>P012</t>
        </is>
      </c>
      <c r="B76" s="9" t="n">
        <v>6</v>
      </c>
      <c r="C76" s="9" t="inlineStr">
        <is>
          <t>O3-S1-OE</t>
        </is>
      </c>
      <c r="D76" s="9" t="n">
        <v>3</v>
      </c>
      <c r="E76" s="9" t="inlineStr">
        <is>
          <t>游戏手柄</t>
        </is>
      </c>
      <c r="F76" s="9" t="inlineStr">
        <is>
          <t>gamepad</t>
        </is>
      </c>
      <c r="G76" s="9" t="inlineStr">
        <is>
          <t>方法B</t>
        </is>
      </c>
      <c r="H76" s="9" t="inlineStr">
        <is>
          <t>EgoAnchor</t>
        </is>
      </c>
      <c r="I76" s="9" t="n">
        <v>2</v>
      </c>
      <c r="J76" s="9" t="n">
        <v>3</v>
      </c>
      <c r="K76" s="9" t="n">
        <v>6</v>
      </c>
      <c r="L76" s="9" t="n">
        <v>3</v>
      </c>
      <c r="M76" s="9" t="n">
        <v>4</v>
      </c>
      <c r="N76" s="9" t="n"/>
      <c r="O76" s="9" t="n">
        <v>4</v>
      </c>
      <c r="P76" s="9" t="n">
        <v>4</v>
      </c>
      <c r="Q76" s="9" t="n">
        <v>5</v>
      </c>
      <c r="R76" s="9" t="n">
        <v>6</v>
      </c>
      <c r="S76" s="9" t="n">
        <v>5</v>
      </c>
      <c r="T76" s="9" t="n">
        <v>5</v>
      </c>
      <c r="U76" s="9" t="n">
        <v>6</v>
      </c>
      <c r="V76" s="9" t="n">
        <v>5</v>
      </c>
      <c r="W76" s="9" t="n">
        <v>4</v>
      </c>
      <c r="X76" s="9" t="n">
        <v>4</v>
      </c>
      <c r="Y76" s="9" t="inlineStr">
        <is>
          <t>09:33:16</t>
        </is>
      </c>
      <c r="Z76" s="9" t="inlineStr">
        <is>
          <t>09:35:33</t>
        </is>
      </c>
      <c r="AA76" s="9" t="n">
        <v>137.2</v>
      </c>
      <c r="AB76" s="9" t="inlineStr">
        <is>
          <t>是</t>
        </is>
      </c>
      <c r="AC76" s="9" t="inlineStr">
        <is>
          <t>是</t>
        </is>
      </c>
      <c r="AD76" s="9" t="inlineStr">
        <is>
          <t>是</t>
        </is>
      </c>
      <c r="AE76" s="9" t="inlineStr">
        <is>
          <t>无</t>
        </is>
      </c>
      <c r="AF76" s="9" t="n">
        <v>9.08</v>
      </c>
      <c r="AG76" s="9" t="n">
        <v>0.896</v>
      </c>
      <c r="AH76" s="9" t="n">
        <v>0.91</v>
      </c>
      <c r="AI76" s="9" t="n">
        <v>0.99</v>
      </c>
      <c r="AJ76" s="9" t="n">
        <v>0.773</v>
      </c>
      <c r="AK76" s="9" t="inlineStr">
        <is>
          <t>FrozenUncertain</t>
        </is>
      </c>
      <c r="AL76" s="9" t="inlineStr">
        <is>
          <t>否</t>
        </is>
      </c>
      <c r="AM76" s="9" t="n">
        <v>0</v>
      </c>
      <c r="AN76" s="9" t="n">
        <v>6</v>
      </c>
      <c r="AO76" s="9" t="inlineStr">
        <is>
          <t>否</t>
        </is>
      </c>
      <c r="AP76" s="9" t="n">
        <v>3</v>
      </c>
      <c r="AQ76" s="9" t="inlineStr"/>
    </row>
    <row r="77">
      <c r="A77" s="7" t="inlineStr">
        <is>
          <t>P013</t>
        </is>
      </c>
      <c r="B77" s="9" t="n">
        <v>1</v>
      </c>
      <c r="C77" s="9" t="inlineStr">
        <is>
          <t>O4-S1-EA</t>
        </is>
      </c>
      <c r="D77" s="9" t="n">
        <v>1</v>
      </c>
      <c r="E77" s="9" t="inlineStr">
        <is>
          <t>固定订书机</t>
        </is>
      </c>
      <c r="F77" s="9" t="inlineStr">
        <is>
          <t>stapler</t>
        </is>
      </c>
      <c r="G77" s="9" t="inlineStr">
        <is>
          <t>方法A</t>
        </is>
      </c>
      <c r="H77" s="9" t="inlineStr">
        <is>
          <t>EgoAnchor</t>
        </is>
      </c>
      <c r="I77" s="9" t="n">
        <v>1</v>
      </c>
      <c r="J77" s="9" t="n">
        <v>1</v>
      </c>
      <c r="K77" s="9" t="n">
        <v>5</v>
      </c>
      <c r="L77" s="9" t="n">
        <v>6</v>
      </c>
      <c r="M77" s="9" t="n">
        <v>6</v>
      </c>
      <c r="N77" s="9" t="n"/>
      <c r="O77" s="9" t="n">
        <v>5</v>
      </c>
      <c r="P77" s="9" t="n">
        <v>5</v>
      </c>
      <c r="Q77" s="9" t="n">
        <v>6</v>
      </c>
      <c r="R77" s="9" t="n">
        <v>6</v>
      </c>
      <c r="S77" s="9" t="n">
        <v>6</v>
      </c>
      <c r="T77" s="9" t="n">
        <v>6</v>
      </c>
      <c r="U77" s="9" t="n">
        <v>6</v>
      </c>
      <c r="V77" s="9" t="n">
        <v>5</v>
      </c>
      <c r="W77" s="9" t="n">
        <v>6</v>
      </c>
      <c r="X77" s="9" t="n">
        <v>5</v>
      </c>
      <c r="Y77" s="9" t="inlineStr">
        <is>
          <t>09:15:00</t>
        </is>
      </c>
      <c r="Z77" s="9" t="inlineStr">
        <is>
          <t>09:17:14</t>
        </is>
      </c>
      <c r="AA77" s="9" t="n">
        <v>134.3</v>
      </c>
      <c r="AB77" s="9" t="inlineStr">
        <is>
          <t>是</t>
        </is>
      </c>
      <c r="AC77" s="9" t="inlineStr">
        <is>
          <t>是</t>
        </is>
      </c>
      <c r="AD77" s="9" t="inlineStr">
        <is>
          <t>是</t>
        </is>
      </c>
      <c r="AE77" s="9" t="inlineStr">
        <is>
          <t>无</t>
        </is>
      </c>
      <c r="AF77" s="9" t="n">
        <v>9.82</v>
      </c>
      <c r="AG77" s="9" t="n">
        <v>0.95</v>
      </c>
      <c r="AH77" s="9" t="n">
        <v>0.956</v>
      </c>
      <c r="AI77" s="9" t="n">
        <v>0.992</v>
      </c>
      <c r="AJ77" s="9" t="n">
        <v>0.835</v>
      </c>
      <c r="AK77" s="9" t="inlineStr">
        <is>
          <t>FrozenUncertain</t>
        </is>
      </c>
      <c r="AL77" s="9" t="inlineStr">
        <is>
          <t>否</t>
        </is>
      </c>
      <c r="AM77" s="9" t="n">
        <v>0</v>
      </c>
      <c r="AN77" s="9" t="n">
        <v>9</v>
      </c>
      <c r="AO77" s="9" t="inlineStr">
        <is>
          <t>否</t>
        </is>
      </c>
      <c r="AP77" s="9" t="n">
        <v>5</v>
      </c>
      <c r="AQ77" s="9" t="inlineStr"/>
    </row>
    <row r="78">
      <c r="A78" s="7" t="inlineStr">
        <is>
          <t>P013</t>
        </is>
      </c>
      <c r="B78" s="9" t="n">
        <v>2</v>
      </c>
      <c r="C78" s="9" t="inlineStr">
        <is>
          <t>O4-S1-EA</t>
        </is>
      </c>
      <c r="D78" s="9" t="n">
        <v>1</v>
      </c>
      <c r="E78" s="9" t="inlineStr">
        <is>
          <t>固定订书机</t>
        </is>
      </c>
      <c r="F78" s="9" t="inlineStr">
        <is>
          <t>stapler</t>
        </is>
      </c>
      <c r="G78" s="9" t="inlineStr">
        <is>
          <t>方法B</t>
        </is>
      </c>
      <c r="H78" s="9" t="inlineStr">
        <is>
          <t>One-Euro</t>
        </is>
      </c>
      <c r="I78" s="9" t="n">
        <v>2</v>
      </c>
      <c r="J78" s="9" t="n">
        <v>1</v>
      </c>
      <c r="K78" s="9" t="n">
        <v>6</v>
      </c>
      <c r="L78" s="9" t="n">
        <v>5</v>
      </c>
      <c r="M78" s="9" t="n">
        <v>6</v>
      </c>
      <c r="N78" s="9" t="n"/>
      <c r="O78" s="9" t="n">
        <v>6</v>
      </c>
      <c r="P78" s="9" t="n">
        <v>5</v>
      </c>
      <c r="Q78" s="9" t="n">
        <v>4</v>
      </c>
      <c r="R78" s="9" t="n">
        <v>5</v>
      </c>
      <c r="S78" s="9" t="n">
        <v>6</v>
      </c>
      <c r="T78" s="9" t="n">
        <v>7</v>
      </c>
      <c r="U78" s="9" t="n">
        <v>7</v>
      </c>
      <c r="V78" s="9" t="n">
        <v>6</v>
      </c>
      <c r="W78" s="9" t="n">
        <v>4</v>
      </c>
      <c r="X78" s="9" t="n">
        <v>5</v>
      </c>
      <c r="Y78" s="9" t="inlineStr">
        <is>
          <t>09:18:49</t>
        </is>
      </c>
      <c r="Z78" s="9" t="inlineStr">
        <is>
          <t>09:21:13</t>
        </is>
      </c>
      <c r="AA78" s="9" t="n">
        <v>144.2</v>
      </c>
      <c r="AB78" s="9" t="inlineStr">
        <is>
          <t>是</t>
        </is>
      </c>
      <c r="AC78" s="9" t="inlineStr">
        <is>
          <t>是</t>
        </is>
      </c>
      <c r="AD78" s="9" t="inlineStr">
        <is>
          <t>是</t>
        </is>
      </c>
      <c r="AE78" s="9" t="inlineStr">
        <is>
          <t>无</t>
        </is>
      </c>
      <c r="AF78" s="9" t="n">
        <v>9.529999999999999</v>
      </c>
      <c r="AG78" s="9" t="n">
        <v>0.946</v>
      </c>
      <c r="AH78" s="9" t="n">
        <v>0.947</v>
      </c>
      <c r="AI78" s="9" t="n">
        <v>0.989</v>
      </c>
      <c r="AJ78" s="9" t="n">
        <v>0.771</v>
      </c>
      <c r="AK78" s="9" t="inlineStr">
        <is>
          <t>FrozenUncertain</t>
        </is>
      </c>
      <c r="AL78" s="9" t="inlineStr">
        <is>
          <t>否</t>
        </is>
      </c>
      <c r="AM78" s="9" t="n">
        <v>0</v>
      </c>
      <c r="AN78" s="9" t="n">
        <v>0</v>
      </c>
      <c r="AO78" s="9" t="inlineStr">
        <is>
          <t>否</t>
        </is>
      </c>
      <c r="AP78" s="9" t="n">
        <v>2</v>
      </c>
      <c r="AQ78" s="9" t="inlineStr"/>
    </row>
    <row r="79">
      <c r="A79" s="7" t="inlineStr">
        <is>
          <t>P013</t>
        </is>
      </c>
      <c r="B79" s="9" t="n">
        <v>3</v>
      </c>
      <c r="C79" s="9" t="inlineStr">
        <is>
          <t>O4-S1-EA</t>
        </is>
      </c>
      <c r="D79" s="9" t="n">
        <v>2</v>
      </c>
      <c r="E79" s="9" t="inlineStr">
        <is>
          <t>游戏手柄</t>
        </is>
      </c>
      <c r="F79" s="9" t="inlineStr">
        <is>
          <t>gamepad</t>
        </is>
      </c>
      <c r="G79" s="9" t="inlineStr">
        <is>
          <t>方法B</t>
        </is>
      </c>
      <c r="H79" s="9" t="inlineStr">
        <is>
          <t>One-Euro</t>
        </is>
      </c>
      <c r="I79" s="9" t="n">
        <v>1</v>
      </c>
      <c r="J79" s="9" t="n">
        <v>2</v>
      </c>
      <c r="K79" s="9" t="n">
        <v>4</v>
      </c>
      <c r="L79" s="9" t="n">
        <v>6</v>
      </c>
      <c r="M79" s="9" t="n">
        <v>5</v>
      </c>
      <c r="N79" s="9" t="n"/>
      <c r="O79" s="9" t="n">
        <v>5</v>
      </c>
      <c r="P79" s="9" t="n">
        <v>5</v>
      </c>
      <c r="Q79" s="9" t="n">
        <v>5</v>
      </c>
      <c r="R79" s="9" t="n">
        <v>5</v>
      </c>
      <c r="S79" s="9" t="n">
        <v>6</v>
      </c>
      <c r="T79" s="9" t="n">
        <v>5</v>
      </c>
      <c r="U79" s="9" t="n">
        <v>5</v>
      </c>
      <c r="V79" s="9" t="n">
        <v>5</v>
      </c>
      <c r="W79" s="9" t="n">
        <v>5</v>
      </c>
      <c r="X79" s="9" t="n">
        <v>4</v>
      </c>
      <c r="Y79" s="9" t="inlineStr">
        <is>
          <t>09:22:48</t>
        </is>
      </c>
      <c r="Z79" s="9" t="inlineStr">
        <is>
          <t>09:25:11</t>
        </is>
      </c>
      <c r="AA79" s="9" t="n">
        <v>143.2</v>
      </c>
      <c r="AB79" s="9" t="inlineStr">
        <is>
          <t>是</t>
        </is>
      </c>
      <c r="AC79" s="9" t="inlineStr">
        <is>
          <t>是</t>
        </is>
      </c>
      <c r="AD79" s="9" t="inlineStr">
        <is>
          <t>是</t>
        </is>
      </c>
      <c r="AE79" s="9" t="inlineStr">
        <is>
          <t>无</t>
        </is>
      </c>
      <c r="AF79" s="9" t="n">
        <v>9.130000000000001</v>
      </c>
      <c r="AG79" s="9" t="n">
        <v>0.859</v>
      </c>
      <c r="AH79" s="9" t="n">
        <v>0.948</v>
      </c>
      <c r="AI79" s="9" t="n">
        <v>0.983</v>
      </c>
      <c r="AJ79" s="9" t="n">
        <v>0.67</v>
      </c>
      <c r="AK79" s="9" t="inlineStr">
        <is>
          <t>FrozenUncertain</t>
        </is>
      </c>
      <c r="AL79" s="9" t="inlineStr">
        <is>
          <t>否</t>
        </is>
      </c>
      <c r="AM79" s="9" t="n">
        <v>0</v>
      </c>
      <c r="AN79" s="9" t="n">
        <v>0</v>
      </c>
      <c r="AO79" s="9" t="inlineStr">
        <is>
          <t>否</t>
        </is>
      </c>
      <c r="AP79" s="9" t="n">
        <v>5</v>
      </c>
      <c r="AQ79" s="9" t="inlineStr"/>
    </row>
    <row r="80">
      <c r="A80" s="7" t="inlineStr">
        <is>
          <t>P013</t>
        </is>
      </c>
      <c r="B80" s="9" t="n">
        <v>4</v>
      </c>
      <c r="C80" s="9" t="inlineStr">
        <is>
          <t>O4-S1-EA</t>
        </is>
      </c>
      <c r="D80" s="9" t="n">
        <v>2</v>
      </c>
      <c r="E80" s="9" t="inlineStr">
        <is>
          <t>游戏手柄</t>
        </is>
      </c>
      <c r="F80" s="9" t="inlineStr">
        <is>
          <t>gamepad</t>
        </is>
      </c>
      <c r="G80" s="9" t="inlineStr">
        <is>
          <t>方法A</t>
        </is>
      </c>
      <c r="H80" s="9" t="inlineStr">
        <is>
          <t>EgoAnchor</t>
        </is>
      </c>
      <c r="I80" s="9" t="n">
        <v>2</v>
      </c>
      <c r="J80" s="9" t="n">
        <v>2</v>
      </c>
      <c r="K80" s="9" t="n">
        <v>6</v>
      </c>
      <c r="L80" s="9" t="n">
        <v>5</v>
      </c>
      <c r="M80" s="9" t="n">
        <v>5</v>
      </c>
      <c r="N80" s="9" t="n"/>
      <c r="O80" s="9" t="n">
        <v>5</v>
      </c>
      <c r="P80" s="9" t="n">
        <v>5</v>
      </c>
      <c r="Q80" s="9" t="n">
        <v>5</v>
      </c>
      <c r="R80" s="9" t="n">
        <v>5</v>
      </c>
      <c r="S80" s="9" t="n">
        <v>5</v>
      </c>
      <c r="T80" s="9" t="n">
        <v>6</v>
      </c>
      <c r="U80" s="9" t="n">
        <v>5</v>
      </c>
      <c r="V80" s="9" t="n">
        <v>5</v>
      </c>
      <c r="W80" s="9" t="n">
        <v>5</v>
      </c>
      <c r="X80" s="9" t="n">
        <v>5</v>
      </c>
      <c r="Y80" s="9" t="inlineStr">
        <is>
          <t>09:26:46</t>
        </is>
      </c>
      <c r="Z80" s="9" t="inlineStr">
        <is>
          <t>09:28:48</t>
        </is>
      </c>
      <c r="AA80" s="9" t="n">
        <v>122</v>
      </c>
      <c r="AB80" s="9" t="inlineStr">
        <is>
          <t>是</t>
        </is>
      </c>
      <c r="AC80" s="9" t="inlineStr">
        <is>
          <t>是</t>
        </is>
      </c>
      <c r="AD80" s="9" t="inlineStr">
        <is>
          <t>是</t>
        </is>
      </c>
      <c r="AE80" s="9" t="inlineStr">
        <is>
          <t>无</t>
        </is>
      </c>
      <c r="AF80" s="9" t="n">
        <v>9.5</v>
      </c>
      <c r="AG80" s="9" t="n">
        <v>0.87</v>
      </c>
      <c r="AH80" s="9" t="n">
        <v>0.925</v>
      </c>
      <c r="AI80" s="9" t="n">
        <v>0.986</v>
      </c>
      <c r="AJ80" s="9" t="n">
        <v>0.726</v>
      </c>
      <c r="AK80" s="9" t="inlineStr">
        <is>
          <t>FrozenUncertain</t>
        </is>
      </c>
      <c r="AL80" s="9" t="inlineStr">
        <is>
          <t>否</t>
        </is>
      </c>
      <c r="AM80" s="9" t="n">
        <v>0</v>
      </c>
      <c r="AN80" s="9" t="n">
        <v>9</v>
      </c>
      <c r="AO80" s="9" t="inlineStr">
        <is>
          <t>否</t>
        </is>
      </c>
      <c r="AP80" s="9" t="n">
        <v>7</v>
      </c>
      <c r="AQ80" s="9" t="inlineStr"/>
    </row>
    <row r="81">
      <c r="A81" s="7" t="inlineStr">
        <is>
          <t>P013</t>
        </is>
      </c>
      <c r="B81" s="9" t="n">
        <v>5</v>
      </c>
      <c r="C81" s="9" t="inlineStr">
        <is>
          <t>O4-S1-EA</t>
        </is>
      </c>
      <c r="D81" s="9" t="n">
        <v>3</v>
      </c>
      <c r="E81" s="9" t="inlineStr">
        <is>
          <t>鼠标</t>
        </is>
      </c>
      <c r="F81" s="9" t="inlineStr">
        <is>
          <t>blue_mouse</t>
        </is>
      </c>
      <c r="G81" s="9" t="inlineStr">
        <is>
          <t>方法A</t>
        </is>
      </c>
      <c r="H81" s="9" t="inlineStr">
        <is>
          <t>EgoAnchor</t>
        </is>
      </c>
      <c r="I81" s="9" t="n">
        <v>1</v>
      </c>
      <c r="J81" s="9" t="n">
        <v>3</v>
      </c>
      <c r="K81" s="9" t="n">
        <v>6</v>
      </c>
      <c r="L81" s="9" t="n">
        <v>5</v>
      </c>
      <c r="M81" s="9" t="n">
        <v>5</v>
      </c>
      <c r="N81" s="9" t="n"/>
      <c r="O81" s="9" t="n">
        <v>5</v>
      </c>
      <c r="P81" s="9" t="n">
        <v>5</v>
      </c>
      <c r="Q81" s="9" t="n">
        <v>4</v>
      </c>
      <c r="R81" s="9" t="n">
        <v>5</v>
      </c>
      <c r="S81" s="9" t="n">
        <v>5</v>
      </c>
      <c r="T81" s="9" t="n">
        <v>6</v>
      </c>
      <c r="U81" s="9" t="n">
        <v>5</v>
      </c>
      <c r="V81" s="9" t="n">
        <v>5</v>
      </c>
      <c r="W81" s="9" t="n">
        <v>6</v>
      </c>
      <c r="X81" s="9" t="n">
        <v>5</v>
      </c>
      <c r="Y81" s="9" t="inlineStr">
        <is>
          <t>09:30:23</t>
        </is>
      </c>
      <c r="Z81" s="9" t="inlineStr">
        <is>
          <t>09:32:48</t>
        </is>
      </c>
      <c r="AA81" s="9" t="n">
        <v>145.1</v>
      </c>
      <c r="AB81" s="9" t="inlineStr">
        <is>
          <t>是</t>
        </is>
      </c>
      <c r="AC81" s="9" t="inlineStr">
        <is>
          <t>是</t>
        </is>
      </c>
      <c r="AD81" s="9" t="inlineStr">
        <is>
          <t>是</t>
        </is>
      </c>
      <c r="AE81" s="9" t="inlineStr">
        <is>
          <t>无</t>
        </is>
      </c>
      <c r="AF81" s="9" t="n">
        <v>9.449999999999999</v>
      </c>
      <c r="AG81" s="9" t="n">
        <v>0.91</v>
      </c>
      <c r="AH81" s="9" t="n">
        <v>0.927</v>
      </c>
      <c r="AI81" s="9" t="n">
        <v>0.995</v>
      </c>
      <c r="AJ81" s="9" t="n">
        <v>0.733</v>
      </c>
      <c r="AK81" s="9" t="inlineStr">
        <is>
          <t>FrozenUncertain</t>
        </is>
      </c>
      <c r="AL81" s="9" t="inlineStr">
        <is>
          <t>否</t>
        </is>
      </c>
      <c r="AM81" s="9" t="n">
        <v>0</v>
      </c>
      <c r="AN81" s="9" t="n">
        <v>2</v>
      </c>
      <c r="AO81" s="9" t="inlineStr">
        <is>
          <t>否</t>
        </is>
      </c>
      <c r="AP81" s="9" t="n">
        <v>4</v>
      </c>
      <c r="AQ81" s="9" t="inlineStr"/>
    </row>
    <row r="82">
      <c r="A82" s="7" t="inlineStr">
        <is>
          <t>P013</t>
        </is>
      </c>
      <c r="B82" s="9" t="n">
        <v>6</v>
      </c>
      <c r="C82" s="9" t="inlineStr">
        <is>
          <t>O4-S1-EA</t>
        </is>
      </c>
      <c r="D82" s="9" t="n">
        <v>3</v>
      </c>
      <c r="E82" s="9" t="inlineStr">
        <is>
          <t>鼠标</t>
        </is>
      </c>
      <c r="F82" s="9" t="inlineStr">
        <is>
          <t>blue_mouse</t>
        </is>
      </c>
      <c r="G82" s="9" t="inlineStr">
        <is>
          <t>方法B</t>
        </is>
      </c>
      <c r="H82" s="9" t="inlineStr">
        <is>
          <t>One-Euro</t>
        </is>
      </c>
      <c r="I82" s="9" t="n">
        <v>2</v>
      </c>
      <c r="J82" s="9" t="n">
        <v>3</v>
      </c>
      <c r="K82" s="9" t="n">
        <v>5</v>
      </c>
      <c r="L82" s="9" t="n">
        <v>5</v>
      </c>
      <c r="M82" s="9" t="n">
        <v>5</v>
      </c>
      <c r="N82" s="9" t="n"/>
      <c r="O82" s="9" t="n">
        <v>5</v>
      </c>
      <c r="P82" s="9" t="n">
        <v>6</v>
      </c>
      <c r="Q82" s="9" t="n">
        <v>4</v>
      </c>
      <c r="R82" s="9" t="n">
        <v>5</v>
      </c>
      <c r="S82" s="9" t="n">
        <v>5</v>
      </c>
      <c r="T82" s="9" t="n">
        <v>5</v>
      </c>
      <c r="U82" s="9" t="n">
        <v>6</v>
      </c>
      <c r="V82" s="9" t="n">
        <v>6</v>
      </c>
      <c r="W82" s="9" t="n">
        <v>4</v>
      </c>
      <c r="X82" s="9" t="n">
        <v>5</v>
      </c>
      <c r="Y82" s="9" t="inlineStr">
        <is>
          <t>09:34:23</t>
        </is>
      </c>
      <c r="Z82" s="9" t="inlineStr">
        <is>
          <t>09:36:17</t>
        </is>
      </c>
      <c r="AA82" s="9" t="n">
        <v>113.4</v>
      </c>
      <c r="AB82" s="9" t="inlineStr">
        <is>
          <t>是</t>
        </is>
      </c>
      <c r="AC82" s="9" t="inlineStr">
        <is>
          <t>是</t>
        </is>
      </c>
      <c r="AD82" s="9" t="inlineStr">
        <is>
          <t>是</t>
        </is>
      </c>
      <c r="AE82" s="9" t="inlineStr">
        <is>
          <t>无</t>
        </is>
      </c>
      <c r="AF82" s="9" t="n">
        <v>9.31</v>
      </c>
      <c r="AG82" s="9" t="n">
        <v>0.9</v>
      </c>
      <c r="AH82" s="9" t="n">
        <v>0.921</v>
      </c>
      <c r="AI82" s="9" t="n">
        <v>0.983</v>
      </c>
      <c r="AJ82" s="9" t="n">
        <v>0.721</v>
      </c>
      <c r="AK82" s="9" t="inlineStr">
        <is>
          <t>FrozenUncertain</t>
        </is>
      </c>
      <c r="AL82" s="9" t="inlineStr">
        <is>
          <t>否</t>
        </is>
      </c>
      <c r="AM82" s="9" t="n">
        <v>0</v>
      </c>
      <c r="AN82" s="9" t="n">
        <v>0</v>
      </c>
      <c r="AO82" s="9" t="inlineStr">
        <is>
          <t>否</t>
        </is>
      </c>
      <c r="AP82" s="9" t="n">
        <v>4</v>
      </c>
      <c r="AQ82" s="9" t="inlineStr"/>
    </row>
    <row r="83">
      <c r="A83" s="7" t="inlineStr">
        <is>
          <t>P014</t>
        </is>
      </c>
      <c r="B83" s="9" t="n">
        <v>1</v>
      </c>
      <c r="C83" s="9" t="inlineStr">
        <is>
          <t>O4-S2-EA</t>
        </is>
      </c>
      <c r="D83" s="9" t="n">
        <v>1</v>
      </c>
      <c r="E83" s="9" t="inlineStr">
        <is>
          <t>固定订书机</t>
        </is>
      </c>
      <c r="F83" s="9" t="inlineStr">
        <is>
          <t>stapler</t>
        </is>
      </c>
      <c r="G83" s="9" t="inlineStr">
        <is>
          <t>方法B</t>
        </is>
      </c>
      <c r="H83" s="9" t="inlineStr">
        <is>
          <t>One-Euro</t>
        </is>
      </c>
      <c r="I83" s="9" t="n">
        <v>1</v>
      </c>
      <c r="J83" s="9" t="n">
        <v>1</v>
      </c>
      <c r="K83" s="9" t="n">
        <v>5</v>
      </c>
      <c r="L83" s="9" t="n">
        <v>5</v>
      </c>
      <c r="M83" s="9" t="n">
        <v>4</v>
      </c>
      <c r="N83" s="9" t="n"/>
      <c r="O83" s="9" t="n">
        <v>5</v>
      </c>
      <c r="P83" s="9" t="n">
        <v>4</v>
      </c>
      <c r="Q83" s="9" t="n">
        <v>1</v>
      </c>
      <c r="R83" s="9" t="n">
        <v>4</v>
      </c>
      <c r="S83" s="9" t="n">
        <v>6</v>
      </c>
      <c r="T83" s="9" t="n">
        <v>5</v>
      </c>
      <c r="U83" s="9" t="n">
        <v>7</v>
      </c>
      <c r="V83" s="9" t="n">
        <v>5</v>
      </c>
      <c r="W83" s="9" t="n">
        <v>1</v>
      </c>
      <c r="X83" s="9" t="n">
        <v>5</v>
      </c>
      <c r="Y83" s="9" t="inlineStr">
        <is>
          <t>09:15:00</t>
        </is>
      </c>
      <c r="Z83" s="9" t="inlineStr">
        <is>
          <t>09:17:10</t>
        </is>
      </c>
      <c r="AA83" s="9" t="n">
        <v>130.4</v>
      </c>
      <c r="AB83" s="9" t="inlineStr">
        <is>
          <t>是</t>
        </is>
      </c>
      <c r="AC83" s="9" t="inlineStr">
        <is>
          <t>是</t>
        </is>
      </c>
      <c r="AD83" s="9" t="inlineStr">
        <is>
          <t>是</t>
        </is>
      </c>
      <c r="AE83" s="9" t="inlineStr">
        <is>
          <t>无</t>
        </is>
      </c>
      <c r="AF83" s="9" t="n">
        <v>9.380000000000001</v>
      </c>
      <c r="AG83" s="9" t="n">
        <v>0.907</v>
      </c>
      <c r="AH83" s="9" t="n">
        <v>0.952</v>
      </c>
      <c r="AI83" s="9" t="n">
        <v>0.983</v>
      </c>
      <c r="AJ83" s="9" t="n">
        <v>0.788</v>
      </c>
      <c r="AK83" s="9" t="inlineStr">
        <is>
          <t>FrozenUncertain</t>
        </is>
      </c>
      <c r="AL83" s="9" t="inlineStr">
        <is>
          <t>否</t>
        </is>
      </c>
      <c r="AM83" s="9" t="n">
        <v>0</v>
      </c>
      <c r="AN83" s="9" t="n">
        <v>0</v>
      </c>
      <c r="AO83" s="9" t="inlineStr">
        <is>
          <t>否</t>
        </is>
      </c>
      <c r="AP83" s="9" t="n">
        <v>2</v>
      </c>
      <c r="AQ83" s="9" t="inlineStr">
        <is>
          <t>灾难性恢复失效(&gt;40mm 级)</t>
        </is>
      </c>
    </row>
    <row r="84">
      <c r="A84" s="7" t="inlineStr">
        <is>
          <t>P014</t>
        </is>
      </c>
      <c r="B84" s="9" t="n">
        <v>2</v>
      </c>
      <c r="C84" s="9" t="inlineStr">
        <is>
          <t>O4-S2-EA</t>
        </is>
      </c>
      <c r="D84" s="9" t="n">
        <v>1</v>
      </c>
      <c r="E84" s="9" t="inlineStr">
        <is>
          <t>固定订书机</t>
        </is>
      </c>
      <c r="F84" s="9" t="inlineStr">
        <is>
          <t>stapler</t>
        </is>
      </c>
      <c r="G84" s="9" t="inlineStr">
        <is>
          <t>方法A</t>
        </is>
      </c>
      <c r="H84" s="9" t="inlineStr">
        <is>
          <t>EgoAnchor</t>
        </is>
      </c>
      <c r="I84" s="9" t="n">
        <v>2</v>
      </c>
      <c r="J84" s="9" t="n">
        <v>1</v>
      </c>
      <c r="K84" s="9" t="n">
        <v>5</v>
      </c>
      <c r="L84" s="9" t="n">
        <v>6</v>
      </c>
      <c r="M84" s="9" t="n">
        <v>5</v>
      </c>
      <c r="N84" s="9" t="n"/>
      <c r="O84" s="9" t="n">
        <v>6</v>
      </c>
      <c r="P84" s="9" t="n">
        <v>6</v>
      </c>
      <c r="Q84" s="9" t="n">
        <v>5</v>
      </c>
      <c r="R84" s="9" t="n">
        <v>6</v>
      </c>
      <c r="S84" s="9" t="n">
        <v>6</v>
      </c>
      <c r="T84" s="9" t="n">
        <v>7</v>
      </c>
      <c r="U84" s="9" t="n">
        <v>7</v>
      </c>
      <c r="V84" s="9" t="n">
        <v>6</v>
      </c>
      <c r="W84" s="9" t="n">
        <v>5</v>
      </c>
      <c r="X84" s="9" t="n">
        <v>6</v>
      </c>
      <c r="Y84" s="9" t="inlineStr">
        <is>
          <t>09:18:45</t>
        </is>
      </c>
      <c r="Z84" s="9" t="inlineStr">
        <is>
          <t>09:21:08</t>
        </is>
      </c>
      <c r="AA84" s="9" t="n">
        <v>143.3</v>
      </c>
      <c r="AB84" s="9" t="inlineStr">
        <is>
          <t>是</t>
        </is>
      </c>
      <c r="AC84" s="9" t="inlineStr">
        <is>
          <t>是</t>
        </is>
      </c>
      <c r="AD84" s="9" t="inlineStr">
        <is>
          <t>是</t>
        </is>
      </c>
      <c r="AE84" s="9" t="inlineStr">
        <is>
          <t>无</t>
        </is>
      </c>
      <c r="AF84" s="9" t="n">
        <v>9.470000000000001</v>
      </c>
      <c r="AG84" s="9" t="n">
        <v>0.954</v>
      </c>
      <c r="AH84" s="9" t="n">
        <v>0.945</v>
      </c>
      <c r="AI84" s="9" t="n">
        <v>0.988</v>
      </c>
      <c r="AJ84" s="9" t="n">
        <v>0.7</v>
      </c>
      <c r="AK84" s="9" t="inlineStr">
        <is>
          <t>FrozenUncertain</t>
        </is>
      </c>
      <c r="AL84" s="9" t="inlineStr">
        <is>
          <t>否</t>
        </is>
      </c>
      <c r="AM84" s="9" t="n">
        <v>0</v>
      </c>
      <c r="AN84" s="9" t="n">
        <v>3</v>
      </c>
      <c r="AO84" s="9" t="inlineStr">
        <is>
          <t>否</t>
        </is>
      </c>
      <c r="AP84" s="9" t="n">
        <v>2</v>
      </c>
      <c r="AQ84" s="9" t="inlineStr"/>
    </row>
    <row r="85">
      <c r="A85" s="7" t="inlineStr">
        <is>
          <t>P014</t>
        </is>
      </c>
      <c r="B85" s="9" t="n">
        <v>3</v>
      </c>
      <c r="C85" s="9" t="inlineStr">
        <is>
          <t>O4-S2-EA</t>
        </is>
      </c>
      <c r="D85" s="9" t="n">
        <v>2</v>
      </c>
      <c r="E85" s="9" t="inlineStr">
        <is>
          <t>游戏手柄</t>
        </is>
      </c>
      <c r="F85" s="9" t="inlineStr">
        <is>
          <t>gamepad</t>
        </is>
      </c>
      <c r="G85" s="9" t="inlineStr">
        <is>
          <t>方法A</t>
        </is>
      </c>
      <c r="H85" s="9" t="inlineStr">
        <is>
          <t>EgoAnchor</t>
        </is>
      </c>
      <c r="I85" s="9" t="n">
        <v>1</v>
      </c>
      <c r="J85" s="9" t="n">
        <v>2</v>
      </c>
      <c r="K85" s="9" t="n">
        <v>5</v>
      </c>
      <c r="L85" s="9" t="n">
        <v>5</v>
      </c>
      <c r="M85" s="9" t="n">
        <v>4</v>
      </c>
      <c r="N85" s="9" t="n"/>
      <c r="O85" s="9" t="n">
        <v>5</v>
      </c>
      <c r="P85" s="9" t="n">
        <v>5</v>
      </c>
      <c r="Q85" s="9" t="n">
        <v>5</v>
      </c>
      <c r="R85" s="9" t="n">
        <v>5</v>
      </c>
      <c r="S85" s="9" t="n">
        <v>6</v>
      </c>
      <c r="T85" s="9" t="n">
        <v>5</v>
      </c>
      <c r="U85" s="9" t="n">
        <v>6</v>
      </c>
      <c r="V85" s="9" t="n">
        <v>6</v>
      </c>
      <c r="W85" s="9" t="n">
        <v>6</v>
      </c>
      <c r="X85" s="9" t="n">
        <v>6</v>
      </c>
      <c r="Y85" s="9" t="inlineStr">
        <is>
          <t>09:22:43</t>
        </is>
      </c>
      <c r="Z85" s="9" t="inlineStr">
        <is>
          <t>09:24:52</t>
        </is>
      </c>
      <c r="AA85" s="9" t="n">
        <v>128.3</v>
      </c>
      <c r="AB85" s="9" t="inlineStr">
        <is>
          <t>是</t>
        </is>
      </c>
      <c r="AC85" s="9" t="inlineStr">
        <is>
          <t>是</t>
        </is>
      </c>
      <c r="AD85" s="9" t="inlineStr">
        <is>
          <t>是</t>
        </is>
      </c>
      <c r="AE85" s="9" t="inlineStr">
        <is>
          <t>无</t>
        </is>
      </c>
      <c r="AF85" s="9" t="n">
        <v>9.18</v>
      </c>
      <c r="AG85" s="9" t="n">
        <v>0.87</v>
      </c>
      <c r="AH85" s="9" t="n">
        <v>0.923</v>
      </c>
      <c r="AI85" s="9" t="n">
        <v>0.981</v>
      </c>
      <c r="AJ85" s="9" t="n">
        <v>0.733</v>
      </c>
      <c r="AK85" s="9" t="inlineStr">
        <is>
          <t>FrozenUncertain</t>
        </is>
      </c>
      <c r="AL85" s="9" t="inlineStr">
        <is>
          <t>否</t>
        </is>
      </c>
      <c r="AM85" s="9" t="n">
        <v>0</v>
      </c>
      <c r="AN85" s="9" t="n">
        <v>3</v>
      </c>
      <c r="AO85" s="9" t="inlineStr">
        <is>
          <t>否</t>
        </is>
      </c>
      <c r="AP85" s="9" t="n">
        <v>4</v>
      </c>
      <c r="AQ85" s="9" t="inlineStr"/>
    </row>
    <row r="86">
      <c r="A86" s="7" t="inlineStr">
        <is>
          <t>P014</t>
        </is>
      </c>
      <c r="B86" s="9" t="n">
        <v>4</v>
      </c>
      <c r="C86" s="9" t="inlineStr">
        <is>
          <t>O4-S2-EA</t>
        </is>
      </c>
      <c r="D86" s="9" t="n">
        <v>2</v>
      </c>
      <c r="E86" s="9" t="inlineStr">
        <is>
          <t>游戏手柄</t>
        </is>
      </c>
      <c r="F86" s="9" t="inlineStr">
        <is>
          <t>gamepad</t>
        </is>
      </c>
      <c r="G86" s="9" t="inlineStr">
        <is>
          <t>方法B</t>
        </is>
      </c>
      <c r="H86" s="9" t="inlineStr">
        <is>
          <t>One-Euro</t>
        </is>
      </c>
      <c r="I86" s="9" t="n">
        <v>2</v>
      </c>
      <c r="J86" s="9" t="n">
        <v>2</v>
      </c>
      <c r="K86" s="9" t="n">
        <v>3</v>
      </c>
      <c r="L86" s="9" t="n">
        <v>5</v>
      </c>
      <c r="M86" s="9" t="n">
        <v>4</v>
      </c>
      <c r="N86" s="9" t="n"/>
      <c r="O86" s="9" t="n">
        <v>4</v>
      </c>
      <c r="P86" s="9" t="n">
        <v>4</v>
      </c>
      <c r="Q86" s="9" t="n">
        <v>3</v>
      </c>
      <c r="R86" s="9" t="n">
        <v>4</v>
      </c>
      <c r="S86" s="9" t="n">
        <v>4</v>
      </c>
      <c r="T86" s="9" t="n">
        <v>4</v>
      </c>
      <c r="U86" s="9" t="n">
        <v>6</v>
      </c>
      <c r="V86" s="9" t="n">
        <v>4</v>
      </c>
      <c r="W86" s="9" t="n">
        <v>3</v>
      </c>
      <c r="X86" s="9" t="n">
        <v>4</v>
      </c>
      <c r="Y86" s="9" t="inlineStr">
        <is>
          <t>09:26:27</t>
        </is>
      </c>
      <c r="Z86" s="9" t="inlineStr">
        <is>
          <t>09:28:48</t>
        </is>
      </c>
      <c r="AA86" s="9" t="n">
        <v>141.4</v>
      </c>
      <c r="AB86" s="9" t="inlineStr">
        <is>
          <t>是</t>
        </is>
      </c>
      <c r="AC86" s="9" t="inlineStr">
        <is>
          <t>是</t>
        </is>
      </c>
      <c r="AD86" s="9" t="inlineStr">
        <is>
          <t>是</t>
        </is>
      </c>
      <c r="AE86" s="9" t="inlineStr">
        <is>
          <t>无</t>
        </is>
      </c>
      <c r="AF86" s="9" t="n">
        <v>9.359999999999999</v>
      </c>
      <c r="AG86" s="9" t="n">
        <v>0.885</v>
      </c>
      <c r="AH86" s="9" t="n">
        <v>0.93</v>
      </c>
      <c r="AI86" s="9" t="n">
        <v>0.975</v>
      </c>
      <c r="AJ86" s="9" t="n">
        <v>0.763</v>
      </c>
      <c r="AK86" s="9" t="inlineStr">
        <is>
          <t>FrozenUncertain</t>
        </is>
      </c>
      <c r="AL86" s="9" t="inlineStr">
        <is>
          <t>否</t>
        </is>
      </c>
      <c r="AM86" s="9" t="n">
        <v>0</v>
      </c>
      <c r="AN86" s="9" t="n">
        <v>0</v>
      </c>
      <c r="AO86" s="9" t="inlineStr">
        <is>
          <t>否</t>
        </is>
      </c>
      <c r="AP86" s="9" t="n">
        <v>3</v>
      </c>
      <c r="AQ86" s="9" t="inlineStr"/>
    </row>
    <row r="87">
      <c r="A87" s="7" t="inlineStr">
        <is>
          <t>P014</t>
        </is>
      </c>
      <c r="B87" s="9" t="n">
        <v>5</v>
      </c>
      <c r="C87" s="9" t="inlineStr">
        <is>
          <t>O4-S2-EA</t>
        </is>
      </c>
      <c r="D87" s="9" t="n">
        <v>3</v>
      </c>
      <c r="E87" s="9" t="inlineStr">
        <is>
          <t>鼠标</t>
        </is>
      </c>
      <c r="F87" s="9" t="inlineStr">
        <is>
          <t>blue_mouse</t>
        </is>
      </c>
      <c r="G87" s="9" t="inlineStr">
        <is>
          <t>方法B</t>
        </is>
      </c>
      <c r="H87" s="9" t="inlineStr">
        <is>
          <t>One-Euro</t>
        </is>
      </c>
      <c r="I87" s="9" t="n">
        <v>1</v>
      </c>
      <c r="J87" s="9" t="n">
        <v>3</v>
      </c>
      <c r="K87" s="9" t="n">
        <v>3</v>
      </c>
      <c r="L87" s="9" t="n">
        <v>4</v>
      </c>
      <c r="M87" s="9" t="n">
        <v>4</v>
      </c>
      <c r="N87" s="9" t="n"/>
      <c r="O87" s="9" t="n">
        <v>5</v>
      </c>
      <c r="P87" s="9" t="n">
        <v>5</v>
      </c>
      <c r="Q87" s="9" t="n">
        <v>5</v>
      </c>
      <c r="R87" s="9" t="n">
        <v>4</v>
      </c>
      <c r="S87" s="9" t="n">
        <v>5</v>
      </c>
      <c r="T87" s="9" t="n">
        <v>5</v>
      </c>
      <c r="U87" s="9" t="n">
        <v>7</v>
      </c>
      <c r="V87" s="9" t="n">
        <v>5</v>
      </c>
      <c r="W87" s="9" t="n">
        <v>5</v>
      </c>
      <c r="X87" s="9" t="n">
        <v>4</v>
      </c>
      <c r="Y87" s="9" t="inlineStr">
        <is>
          <t>09:30:23</t>
        </is>
      </c>
      <c r="Z87" s="9" t="inlineStr">
        <is>
          <t>09:32:33</t>
        </is>
      </c>
      <c r="AA87" s="9" t="n">
        <v>129.8</v>
      </c>
      <c r="AB87" s="9" t="inlineStr">
        <is>
          <t>是</t>
        </is>
      </c>
      <c r="AC87" s="9" t="inlineStr">
        <is>
          <t>是</t>
        </is>
      </c>
      <c r="AD87" s="9" t="inlineStr">
        <is>
          <t>是</t>
        </is>
      </c>
      <c r="AE87" s="9" t="inlineStr">
        <is>
          <t>无</t>
        </is>
      </c>
      <c r="AF87" s="9" t="n">
        <v>9.630000000000001</v>
      </c>
      <c r="AG87" s="9" t="n">
        <v>0.89</v>
      </c>
      <c r="AH87" s="9" t="n">
        <v>0.921</v>
      </c>
      <c r="AI87" s="9" t="n">
        <v>0.99</v>
      </c>
      <c r="AJ87" s="9" t="n">
        <v>0.71</v>
      </c>
      <c r="AK87" s="9" t="inlineStr">
        <is>
          <t>FrozenUncertain</t>
        </is>
      </c>
      <c r="AL87" s="9" t="inlineStr">
        <is>
          <t>否</t>
        </is>
      </c>
      <c r="AM87" s="9" t="n">
        <v>0</v>
      </c>
      <c r="AN87" s="9" t="n">
        <v>0</v>
      </c>
      <c r="AO87" s="9" t="inlineStr">
        <is>
          <t>否</t>
        </is>
      </c>
      <c r="AP87" s="9" t="n">
        <v>3</v>
      </c>
      <c r="AQ87" s="9" t="inlineStr"/>
    </row>
    <row r="88">
      <c r="A88" s="7" t="inlineStr">
        <is>
          <t>P014</t>
        </is>
      </c>
      <c r="B88" s="9" t="n">
        <v>6</v>
      </c>
      <c r="C88" s="9" t="inlineStr">
        <is>
          <t>O4-S2-EA</t>
        </is>
      </c>
      <c r="D88" s="9" t="n">
        <v>3</v>
      </c>
      <c r="E88" s="9" t="inlineStr">
        <is>
          <t>鼠标</t>
        </is>
      </c>
      <c r="F88" s="9" t="inlineStr">
        <is>
          <t>blue_mouse</t>
        </is>
      </c>
      <c r="G88" s="9" t="inlineStr">
        <is>
          <t>方法A</t>
        </is>
      </c>
      <c r="H88" s="9" t="inlineStr">
        <is>
          <t>EgoAnchor</t>
        </is>
      </c>
      <c r="I88" s="9" t="n">
        <v>2</v>
      </c>
      <c r="J88" s="9" t="n">
        <v>3</v>
      </c>
      <c r="K88" s="9" t="n">
        <v>6</v>
      </c>
      <c r="L88" s="9" t="n">
        <v>5</v>
      </c>
      <c r="M88" s="9" t="n">
        <v>4</v>
      </c>
      <c r="N88" s="9" t="n"/>
      <c r="O88" s="9" t="n">
        <v>5</v>
      </c>
      <c r="P88" s="9" t="n">
        <v>4</v>
      </c>
      <c r="Q88" s="9" t="n">
        <v>4</v>
      </c>
      <c r="R88" s="9" t="n">
        <v>5</v>
      </c>
      <c r="S88" s="9" t="n">
        <v>5</v>
      </c>
      <c r="T88" s="9" t="n">
        <v>5</v>
      </c>
      <c r="U88" s="9" t="n">
        <v>6</v>
      </c>
      <c r="V88" s="9" t="n">
        <v>5</v>
      </c>
      <c r="W88" s="9" t="n">
        <v>4</v>
      </c>
      <c r="X88" s="9" t="n">
        <v>6</v>
      </c>
      <c r="Y88" s="9" t="inlineStr">
        <is>
          <t>09:34:08</t>
        </is>
      </c>
      <c r="Z88" s="9" t="inlineStr">
        <is>
          <t>09:36:28</t>
        </is>
      </c>
      <c r="AA88" s="9" t="n">
        <v>140.7</v>
      </c>
      <c r="AB88" s="9" t="inlineStr">
        <is>
          <t>是</t>
        </is>
      </c>
      <c r="AC88" s="9" t="inlineStr">
        <is>
          <t>是</t>
        </is>
      </c>
      <c r="AD88" s="9" t="inlineStr">
        <is>
          <t>是</t>
        </is>
      </c>
      <c r="AE88" s="9" t="inlineStr">
        <is>
          <t>无</t>
        </is>
      </c>
      <c r="AF88" s="9" t="n">
        <v>9.66</v>
      </c>
      <c r="AG88" s="9" t="n">
        <v>0.918</v>
      </c>
      <c r="AH88" s="9" t="n">
        <v>0.9409999999999999</v>
      </c>
      <c r="AI88" s="9" t="n">
        <v>0.991</v>
      </c>
      <c r="AJ88" s="9" t="n">
        <v>0.75</v>
      </c>
      <c r="AK88" s="9" t="inlineStr">
        <is>
          <t>FrozenUncertain</t>
        </is>
      </c>
      <c r="AL88" s="9" t="inlineStr">
        <is>
          <t>否</t>
        </is>
      </c>
      <c r="AM88" s="9" t="n">
        <v>0</v>
      </c>
      <c r="AN88" s="9" t="n">
        <v>3</v>
      </c>
      <c r="AO88" s="9" t="inlineStr">
        <is>
          <t>否</t>
        </is>
      </c>
      <c r="AP88" s="9" t="n">
        <v>3</v>
      </c>
      <c r="AQ88" s="9" t="inlineStr"/>
    </row>
    <row r="89">
      <c r="A89" s="7" t="inlineStr">
        <is>
          <t>P015</t>
        </is>
      </c>
      <c r="B89" s="9" t="n">
        <v>1</v>
      </c>
      <c r="C89" s="9" t="inlineStr">
        <is>
          <t>O4-S2-OE</t>
        </is>
      </c>
      <c r="D89" s="9" t="n">
        <v>1</v>
      </c>
      <c r="E89" s="9" t="inlineStr">
        <is>
          <t>固定订书机</t>
        </is>
      </c>
      <c r="F89" s="9" t="inlineStr">
        <is>
          <t>stapler</t>
        </is>
      </c>
      <c r="G89" s="9" t="inlineStr">
        <is>
          <t>方法B</t>
        </is>
      </c>
      <c r="H89" s="9" t="inlineStr">
        <is>
          <t>EgoAnchor</t>
        </is>
      </c>
      <c r="I89" s="9" t="n">
        <v>1</v>
      </c>
      <c r="J89" s="9" t="n">
        <v>1</v>
      </c>
      <c r="K89" s="9" t="n">
        <v>7</v>
      </c>
      <c r="L89" s="9" t="n">
        <v>4</v>
      </c>
      <c r="M89" s="9" t="n">
        <v>4</v>
      </c>
      <c r="N89" s="9" t="n"/>
      <c r="O89" s="9" t="n">
        <v>5</v>
      </c>
      <c r="P89" s="9" t="n">
        <v>5</v>
      </c>
      <c r="Q89" s="9" t="n">
        <v>5</v>
      </c>
      <c r="R89" s="9" t="n">
        <v>5</v>
      </c>
      <c r="S89" s="9" t="n">
        <v>4</v>
      </c>
      <c r="T89" s="9" t="n">
        <v>5</v>
      </c>
      <c r="U89" s="9" t="n">
        <v>5</v>
      </c>
      <c r="V89" s="9" t="n">
        <v>6</v>
      </c>
      <c r="W89" s="9" t="n">
        <v>5</v>
      </c>
      <c r="X89" s="9" t="n">
        <v>4</v>
      </c>
      <c r="Y89" s="9" t="inlineStr">
        <is>
          <t>09:15:00</t>
        </is>
      </c>
      <c r="Z89" s="9" t="inlineStr">
        <is>
          <t>09:17:10</t>
        </is>
      </c>
      <c r="AA89" s="9" t="n">
        <v>130.8</v>
      </c>
      <c r="AB89" s="9" t="inlineStr">
        <is>
          <t>是</t>
        </is>
      </c>
      <c r="AC89" s="9" t="inlineStr">
        <is>
          <t>是</t>
        </is>
      </c>
      <c r="AD89" s="9" t="inlineStr">
        <is>
          <t>是</t>
        </is>
      </c>
      <c r="AE89" s="9" t="inlineStr">
        <is>
          <t>无</t>
        </is>
      </c>
      <c r="AF89" s="9" t="n">
        <v>9.56</v>
      </c>
      <c r="AG89" s="9" t="n">
        <v>0.957</v>
      </c>
      <c r="AH89" s="9" t="n">
        <v>0.96</v>
      </c>
      <c r="AI89" s="9" t="n">
        <v>0.985</v>
      </c>
      <c r="AJ89" s="9" t="n">
        <v>0.792</v>
      </c>
      <c r="AK89" s="9" t="inlineStr">
        <is>
          <t>FrozenUncertain</t>
        </is>
      </c>
      <c r="AL89" s="9" t="inlineStr">
        <is>
          <t>否</t>
        </is>
      </c>
      <c r="AM89" s="9" t="n">
        <v>0</v>
      </c>
      <c r="AN89" s="9" t="n">
        <v>6</v>
      </c>
      <c r="AO89" s="9" t="inlineStr">
        <is>
          <t>否</t>
        </is>
      </c>
      <c r="AP89" s="9" t="n">
        <v>4</v>
      </c>
      <c r="AQ89" s="9" t="inlineStr">
        <is>
          <t>StaticLock 锁在略偏位姿</t>
        </is>
      </c>
    </row>
    <row r="90">
      <c r="A90" s="7" t="inlineStr">
        <is>
          <t>P015</t>
        </is>
      </c>
      <c r="B90" s="9" t="n">
        <v>2</v>
      </c>
      <c r="C90" s="9" t="inlineStr">
        <is>
          <t>O4-S2-OE</t>
        </is>
      </c>
      <c r="D90" s="9" t="n">
        <v>1</v>
      </c>
      <c r="E90" s="9" t="inlineStr">
        <is>
          <t>固定订书机</t>
        </is>
      </c>
      <c r="F90" s="9" t="inlineStr">
        <is>
          <t>stapler</t>
        </is>
      </c>
      <c r="G90" s="9" t="inlineStr">
        <is>
          <t>方法A</t>
        </is>
      </c>
      <c r="H90" s="9" t="inlineStr">
        <is>
          <t>One-Euro</t>
        </is>
      </c>
      <c r="I90" s="9" t="n">
        <v>2</v>
      </c>
      <c r="J90" s="9" t="n">
        <v>1</v>
      </c>
      <c r="K90" s="9" t="n">
        <v>5</v>
      </c>
      <c r="L90" s="9" t="n">
        <v>6</v>
      </c>
      <c r="M90" s="9" t="n">
        <v>5</v>
      </c>
      <c r="N90" s="9" t="n"/>
      <c r="O90" s="9" t="n">
        <v>5</v>
      </c>
      <c r="P90" s="9" t="n">
        <v>5</v>
      </c>
      <c r="Q90" s="9" t="n">
        <v>5</v>
      </c>
      <c r="R90" s="9" t="n">
        <v>5</v>
      </c>
      <c r="S90" s="9" t="n">
        <v>6</v>
      </c>
      <c r="T90" s="9" t="n">
        <v>6</v>
      </c>
      <c r="U90" s="9" t="n">
        <v>7</v>
      </c>
      <c r="V90" s="9" t="n">
        <v>5</v>
      </c>
      <c r="W90" s="9" t="n">
        <v>4</v>
      </c>
      <c r="X90" s="9" t="n">
        <v>6</v>
      </c>
      <c r="Y90" s="9" t="inlineStr">
        <is>
          <t>09:18:45</t>
        </is>
      </c>
      <c r="Z90" s="9" t="inlineStr">
        <is>
          <t>09:20:42</t>
        </is>
      </c>
      <c r="AA90" s="9" t="n">
        <v>116.8</v>
      </c>
      <c r="AB90" s="9" t="inlineStr">
        <is>
          <t>是</t>
        </is>
      </c>
      <c r="AC90" s="9" t="inlineStr">
        <is>
          <t>是</t>
        </is>
      </c>
      <c r="AD90" s="9" t="inlineStr">
        <is>
          <t>是</t>
        </is>
      </c>
      <c r="AE90" s="9" t="inlineStr">
        <is>
          <t>无</t>
        </is>
      </c>
      <c r="AF90" s="9" t="n">
        <v>9.82</v>
      </c>
      <c r="AG90" s="9" t="n">
        <v>0.894</v>
      </c>
      <c r="AH90" s="9" t="n">
        <v>0.948</v>
      </c>
      <c r="AI90" s="9" t="n">
        <v>0.996</v>
      </c>
      <c r="AJ90" s="9" t="n">
        <v>0.739</v>
      </c>
      <c r="AK90" s="9" t="inlineStr">
        <is>
          <t>FrozenUncertain</t>
        </is>
      </c>
      <c r="AL90" s="9" t="inlineStr">
        <is>
          <t>否</t>
        </is>
      </c>
      <c r="AM90" s="9" t="n">
        <v>0</v>
      </c>
      <c r="AN90" s="9" t="n">
        <v>0</v>
      </c>
      <c r="AO90" s="9" t="inlineStr">
        <is>
          <t>否</t>
        </is>
      </c>
      <c r="AP90" s="9" t="n">
        <v>5</v>
      </c>
      <c r="AQ90" s="9" t="inlineStr"/>
    </row>
    <row r="91">
      <c r="A91" s="7" t="inlineStr">
        <is>
          <t>P015</t>
        </is>
      </c>
      <c r="B91" s="9" t="n">
        <v>3</v>
      </c>
      <c r="C91" s="9" t="inlineStr">
        <is>
          <t>O4-S2-OE</t>
        </is>
      </c>
      <c r="D91" s="9" t="n">
        <v>2</v>
      </c>
      <c r="E91" s="9" t="inlineStr">
        <is>
          <t>游戏手柄</t>
        </is>
      </c>
      <c r="F91" s="9" t="inlineStr">
        <is>
          <t>gamepad</t>
        </is>
      </c>
      <c r="G91" s="9" t="inlineStr">
        <is>
          <t>方法A</t>
        </is>
      </c>
      <c r="H91" s="9" t="inlineStr">
        <is>
          <t>One-Euro</t>
        </is>
      </c>
      <c r="I91" s="9" t="n">
        <v>1</v>
      </c>
      <c r="J91" s="9" t="n">
        <v>2</v>
      </c>
      <c r="K91" s="9" t="n">
        <v>4</v>
      </c>
      <c r="L91" s="9" t="n">
        <v>5</v>
      </c>
      <c r="M91" s="9" t="n">
        <v>4</v>
      </c>
      <c r="N91" s="9" t="n"/>
      <c r="O91" s="9" t="n">
        <v>6</v>
      </c>
      <c r="P91" s="9" t="n">
        <v>4</v>
      </c>
      <c r="Q91" s="9" t="n">
        <v>4</v>
      </c>
      <c r="R91" s="9" t="n">
        <v>5</v>
      </c>
      <c r="S91" s="9" t="n">
        <v>5</v>
      </c>
      <c r="T91" s="9" t="n">
        <v>4</v>
      </c>
      <c r="U91" s="9" t="n">
        <v>6</v>
      </c>
      <c r="V91" s="9" t="n">
        <v>5</v>
      </c>
      <c r="W91" s="9" t="n">
        <v>3</v>
      </c>
      <c r="X91" s="9" t="n">
        <v>4</v>
      </c>
      <c r="Y91" s="9" t="inlineStr">
        <is>
          <t>09:22:17</t>
        </is>
      </c>
      <c r="Z91" s="9" t="inlineStr">
        <is>
          <t>09:24:13</t>
        </is>
      </c>
      <c r="AA91" s="9" t="n">
        <v>116.3</v>
      </c>
      <c r="AB91" s="9" t="inlineStr">
        <is>
          <t>是</t>
        </is>
      </c>
      <c r="AC91" s="9" t="inlineStr">
        <is>
          <t>是</t>
        </is>
      </c>
      <c r="AD91" s="9" t="inlineStr">
        <is>
          <t>是</t>
        </is>
      </c>
      <c r="AE91" s="9" t="inlineStr">
        <is>
          <t>无</t>
        </is>
      </c>
      <c r="AF91" s="9" t="n">
        <v>9.449999999999999</v>
      </c>
      <c r="AG91" s="9" t="n">
        <v>0.868</v>
      </c>
      <c r="AH91" s="9" t="n">
        <v>0.922</v>
      </c>
      <c r="AI91" s="9" t="n">
        <v>0.971</v>
      </c>
      <c r="AJ91" s="9" t="n">
        <v>0.8149999999999999</v>
      </c>
      <c r="AK91" s="9" t="inlineStr">
        <is>
          <t>FrozenUncertain</t>
        </is>
      </c>
      <c r="AL91" s="9" t="inlineStr">
        <is>
          <t>否</t>
        </is>
      </c>
      <c r="AM91" s="9" t="n">
        <v>0</v>
      </c>
      <c r="AN91" s="9" t="n">
        <v>0</v>
      </c>
      <c r="AO91" s="9" t="inlineStr">
        <is>
          <t>否</t>
        </is>
      </c>
      <c r="AP91" s="9" t="n">
        <v>2</v>
      </c>
      <c r="AQ91" s="9" t="inlineStr"/>
    </row>
    <row r="92">
      <c r="A92" s="7" t="inlineStr">
        <is>
          <t>P015</t>
        </is>
      </c>
      <c r="B92" s="9" t="n">
        <v>4</v>
      </c>
      <c r="C92" s="9" t="inlineStr">
        <is>
          <t>O4-S2-OE</t>
        </is>
      </c>
      <c r="D92" s="9" t="n">
        <v>2</v>
      </c>
      <c r="E92" s="9" t="inlineStr">
        <is>
          <t>游戏手柄</t>
        </is>
      </c>
      <c r="F92" s="9" t="inlineStr">
        <is>
          <t>gamepad</t>
        </is>
      </c>
      <c r="G92" s="9" t="inlineStr">
        <is>
          <t>方法B</t>
        </is>
      </c>
      <c r="H92" s="9" t="inlineStr">
        <is>
          <t>EgoAnchor</t>
        </is>
      </c>
      <c r="I92" s="9" t="n">
        <v>2</v>
      </c>
      <c r="J92" s="9" t="n">
        <v>2</v>
      </c>
      <c r="K92" s="9" t="n">
        <v>6</v>
      </c>
      <c r="L92" s="9" t="n">
        <v>4</v>
      </c>
      <c r="M92" s="9" t="n">
        <v>3</v>
      </c>
      <c r="N92" s="9" t="n"/>
      <c r="O92" s="9" t="n">
        <v>5</v>
      </c>
      <c r="P92" s="9" t="n">
        <v>5</v>
      </c>
      <c r="Q92" s="9" t="n">
        <v>5</v>
      </c>
      <c r="R92" s="9" t="n">
        <v>5</v>
      </c>
      <c r="S92" s="9" t="n">
        <v>4</v>
      </c>
      <c r="T92" s="9" t="n">
        <v>6</v>
      </c>
      <c r="U92" s="9" t="n">
        <v>6</v>
      </c>
      <c r="V92" s="9" t="n">
        <v>5</v>
      </c>
      <c r="W92" s="9" t="n">
        <v>5</v>
      </c>
      <c r="X92" s="9" t="n">
        <v>4</v>
      </c>
      <c r="Y92" s="9" t="inlineStr">
        <is>
          <t>09:25:48</t>
        </is>
      </c>
      <c r="Z92" s="9" t="inlineStr">
        <is>
          <t>09:27:07</t>
        </is>
      </c>
      <c r="AA92" s="9" t="n">
        <v>78.3</v>
      </c>
      <c r="AB92" s="9" t="inlineStr">
        <is>
          <t>是</t>
        </is>
      </c>
      <c r="AC92" s="9" t="inlineStr">
        <is>
          <t>是</t>
        </is>
      </c>
      <c r="AD92" s="9" t="inlineStr">
        <is>
          <t>是</t>
        </is>
      </c>
      <c r="AE92" s="9" t="inlineStr">
        <is>
          <t>无</t>
        </is>
      </c>
      <c r="AF92" s="9" t="n">
        <v>9.130000000000001</v>
      </c>
      <c r="AG92" s="9" t="n">
        <v>0.859</v>
      </c>
      <c r="AH92" s="9" t="n">
        <v>0.944</v>
      </c>
      <c r="AI92" s="9" t="n">
        <v>0.969</v>
      </c>
      <c r="AJ92" s="9" t="n">
        <v>0.739</v>
      </c>
      <c r="AK92" s="9" t="inlineStr">
        <is>
          <t>FrozenUncertain</t>
        </is>
      </c>
      <c r="AL92" s="9" t="inlineStr">
        <is>
          <t>否</t>
        </is>
      </c>
      <c r="AM92" s="9" t="n">
        <v>0</v>
      </c>
      <c r="AN92" s="9" t="n">
        <v>7</v>
      </c>
      <c r="AO92" s="9" t="inlineStr">
        <is>
          <t>否</t>
        </is>
      </c>
      <c r="AP92" s="9" t="n">
        <v>4</v>
      </c>
      <c r="AQ92" s="9" t="inlineStr"/>
    </row>
    <row r="93">
      <c r="A93" s="7" t="inlineStr">
        <is>
          <t>P015</t>
        </is>
      </c>
      <c r="B93" s="9" t="n">
        <v>5</v>
      </c>
      <c r="C93" s="9" t="inlineStr">
        <is>
          <t>O4-S2-OE</t>
        </is>
      </c>
      <c r="D93" s="9" t="n">
        <v>3</v>
      </c>
      <c r="E93" s="9" t="inlineStr">
        <is>
          <t>鼠标</t>
        </is>
      </c>
      <c r="F93" s="9" t="inlineStr">
        <is>
          <t>blue_mouse</t>
        </is>
      </c>
      <c r="G93" s="9" t="inlineStr">
        <is>
          <t>方法B</t>
        </is>
      </c>
      <c r="H93" s="9" t="inlineStr">
        <is>
          <t>EgoAnchor</t>
        </is>
      </c>
      <c r="I93" s="9" t="n">
        <v>1</v>
      </c>
      <c r="J93" s="9" t="n">
        <v>3</v>
      </c>
      <c r="K93" s="9" t="n">
        <v>6</v>
      </c>
      <c r="L93" s="9" t="n">
        <v>4</v>
      </c>
      <c r="M93" s="9" t="n">
        <v>4</v>
      </c>
      <c r="N93" s="9" t="n"/>
      <c r="O93" s="9" t="n">
        <v>5</v>
      </c>
      <c r="P93" s="9" t="n">
        <v>5</v>
      </c>
      <c r="Q93" s="9" t="n">
        <v>4</v>
      </c>
      <c r="R93" s="9" t="n">
        <v>5</v>
      </c>
      <c r="S93" s="9" t="n">
        <v>4</v>
      </c>
      <c r="T93" s="9" t="n">
        <v>4</v>
      </c>
      <c r="U93" s="9" t="n">
        <v>4</v>
      </c>
      <c r="V93" s="9" t="n">
        <v>5</v>
      </c>
      <c r="W93" s="9" t="n">
        <v>4</v>
      </c>
      <c r="X93" s="9" t="n">
        <v>5</v>
      </c>
      <c r="Y93" s="9" t="inlineStr">
        <is>
          <t>09:28:42</t>
        </is>
      </c>
      <c r="Z93" s="9" t="inlineStr">
        <is>
          <t>09:30:25</t>
        </is>
      </c>
      <c r="AA93" s="9" t="n">
        <v>103.7</v>
      </c>
      <c r="AB93" s="9" t="inlineStr">
        <is>
          <t>是</t>
        </is>
      </c>
      <c r="AC93" s="9" t="inlineStr">
        <is>
          <t>是</t>
        </is>
      </c>
      <c r="AD93" s="9" t="inlineStr">
        <is>
          <t>是</t>
        </is>
      </c>
      <c r="AE93" s="9" t="inlineStr">
        <is>
          <t>无</t>
        </is>
      </c>
      <c r="AF93" s="9" t="n">
        <v>9.710000000000001</v>
      </c>
      <c r="AG93" s="9" t="n">
        <v>0.918</v>
      </c>
      <c r="AH93" s="9" t="n">
        <v>0.9360000000000001</v>
      </c>
      <c r="AI93" s="9" t="n">
        <v>0.987</v>
      </c>
      <c r="AJ93" s="9" t="n">
        <v>0.756</v>
      </c>
      <c r="AK93" s="9" t="inlineStr">
        <is>
          <t>FrozenUncertain</t>
        </is>
      </c>
      <c r="AL93" s="9" t="inlineStr">
        <is>
          <t>否</t>
        </is>
      </c>
      <c r="AM93" s="9" t="n">
        <v>0</v>
      </c>
      <c r="AN93" s="9" t="n">
        <v>7</v>
      </c>
      <c r="AO93" s="9" t="inlineStr">
        <is>
          <t>否</t>
        </is>
      </c>
      <c r="AP93" s="9" t="n">
        <v>3</v>
      </c>
      <c r="AQ93" s="9" t="inlineStr"/>
    </row>
    <row r="94">
      <c r="A94" s="7" t="inlineStr">
        <is>
          <t>P015</t>
        </is>
      </c>
      <c r="B94" s="9" t="n">
        <v>6</v>
      </c>
      <c r="C94" s="9" t="inlineStr">
        <is>
          <t>O4-S2-OE</t>
        </is>
      </c>
      <c r="D94" s="9" t="n">
        <v>3</v>
      </c>
      <c r="E94" s="9" t="inlineStr">
        <is>
          <t>鼠标</t>
        </is>
      </c>
      <c r="F94" s="9" t="inlineStr">
        <is>
          <t>blue_mouse</t>
        </is>
      </c>
      <c r="G94" s="9" t="inlineStr">
        <is>
          <t>方法A</t>
        </is>
      </c>
      <c r="H94" s="9" t="inlineStr">
        <is>
          <t>One-Euro</t>
        </is>
      </c>
      <c r="I94" s="9" t="n">
        <v>2</v>
      </c>
      <c r="J94" s="9" t="n">
        <v>3</v>
      </c>
      <c r="K94" s="9" t="n">
        <v>4</v>
      </c>
      <c r="L94" s="9" t="n">
        <v>5</v>
      </c>
      <c r="M94" s="9" t="n">
        <v>4</v>
      </c>
      <c r="N94" s="9" t="n"/>
      <c r="O94" s="9" t="n">
        <v>4</v>
      </c>
      <c r="P94" s="9" t="n">
        <v>4</v>
      </c>
      <c r="Q94" s="9" t="n">
        <v>4</v>
      </c>
      <c r="R94" s="9" t="n">
        <v>4</v>
      </c>
      <c r="S94" s="9" t="n">
        <v>6</v>
      </c>
      <c r="T94" s="9" t="n">
        <v>6</v>
      </c>
      <c r="U94" s="9" t="n">
        <v>6</v>
      </c>
      <c r="V94" s="9" t="n">
        <v>4</v>
      </c>
      <c r="W94" s="9" t="n">
        <v>4</v>
      </c>
      <c r="X94" s="9" t="n">
        <v>5</v>
      </c>
      <c r="Y94" s="9" t="inlineStr">
        <is>
          <t>09:32:00</t>
        </is>
      </c>
      <c r="Z94" s="9" t="inlineStr">
        <is>
          <t>09:33:42</t>
        </is>
      </c>
      <c r="AA94" s="9" t="n">
        <v>101.1</v>
      </c>
      <c r="AB94" s="9" t="inlineStr">
        <is>
          <t>是</t>
        </is>
      </c>
      <c r="AC94" s="9" t="inlineStr">
        <is>
          <t>是</t>
        </is>
      </c>
      <c r="AD94" s="9" t="inlineStr">
        <is>
          <t>是</t>
        </is>
      </c>
      <c r="AE94" s="9" t="inlineStr">
        <is>
          <t>无</t>
        </is>
      </c>
      <c r="AF94" s="9" t="n">
        <v>9.300000000000001</v>
      </c>
      <c r="AG94" s="9" t="n">
        <v>0.9</v>
      </c>
      <c r="AH94" s="9" t="n">
        <v>0.9330000000000001</v>
      </c>
      <c r="AI94" s="9" t="n">
        <v>0.973</v>
      </c>
      <c r="AJ94" s="9" t="n">
        <v>0.784</v>
      </c>
      <c r="AK94" s="9" t="inlineStr">
        <is>
          <t>FrozenUncertain</t>
        </is>
      </c>
      <c r="AL94" s="9" t="inlineStr">
        <is>
          <t>否</t>
        </is>
      </c>
      <c r="AM94" s="9" t="n">
        <v>0</v>
      </c>
      <c r="AN94" s="9" t="n">
        <v>0</v>
      </c>
      <c r="AO94" s="9" t="inlineStr">
        <is>
          <t>否</t>
        </is>
      </c>
      <c r="AP94" s="9" t="n">
        <v>5</v>
      </c>
      <c r="AQ94" s="9" t="inlineStr"/>
    </row>
    <row r="95">
      <c r="A95" s="7" t="inlineStr">
        <is>
          <t>P016</t>
        </is>
      </c>
      <c r="B95" s="9" t="n">
        <v>1</v>
      </c>
      <c r="C95" s="9" t="inlineStr">
        <is>
          <t>O4-S1-OE</t>
        </is>
      </c>
      <c r="D95" s="9" t="n">
        <v>1</v>
      </c>
      <c r="E95" s="9" t="inlineStr">
        <is>
          <t>固定订书机</t>
        </is>
      </c>
      <c r="F95" s="9" t="inlineStr">
        <is>
          <t>stapler</t>
        </is>
      </c>
      <c r="G95" s="9" t="inlineStr">
        <is>
          <t>方法A</t>
        </is>
      </c>
      <c r="H95" s="9" t="inlineStr">
        <is>
          <t>One-Euro</t>
        </is>
      </c>
      <c r="I95" s="9" t="n">
        <v>1</v>
      </c>
      <c r="J95" s="9" t="n">
        <v>1</v>
      </c>
      <c r="K95" s="9" t="n">
        <v>5</v>
      </c>
      <c r="L95" s="9" t="n">
        <v>5</v>
      </c>
      <c r="M95" s="9" t="n">
        <v>5</v>
      </c>
      <c r="N95" s="9" t="n"/>
      <c r="O95" s="9" t="n">
        <v>6</v>
      </c>
      <c r="P95" s="9" t="n">
        <v>5</v>
      </c>
      <c r="Q95" s="9" t="n">
        <v>4</v>
      </c>
      <c r="R95" s="9" t="n">
        <v>5</v>
      </c>
      <c r="S95" s="9" t="n">
        <v>6</v>
      </c>
      <c r="T95" s="9" t="n">
        <v>6</v>
      </c>
      <c r="U95" s="9" t="n">
        <v>6</v>
      </c>
      <c r="V95" s="9" t="n">
        <v>6</v>
      </c>
      <c r="W95" s="9" t="n">
        <v>5</v>
      </c>
      <c r="X95" s="9" t="n">
        <v>5</v>
      </c>
      <c r="Y95" s="9" t="inlineStr">
        <is>
          <t>09:15:00</t>
        </is>
      </c>
      <c r="Z95" s="9" t="inlineStr">
        <is>
          <t>09:18:26</t>
        </is>
      </c>
      <c r="AA95" s="9" t="n">
        <v>206.3</v>
      </c>
      <c r="AB95" s="9" t="inlineStr">
        <is>
          <t>是</t>
        </is>
      </c>
      <c r="AC95" s="9" t="inlineStr">
        <is>
          <t>是</t>
        </is>
      </c>
      <c r="AD95" s="9" t="inlineStr">
        <is>
          <t>是</t>
        </is>
      </c>
      <c r="AE95" s="9" t="inlineStr">
        <is>
          <t>无</t>
        </is>
      </c>
      <c r="AF95" s="9" t="n">
        <v>9.470000000000001</v>
      </c>
      <c r="AG95" s="9" t="n">
        <v>0.9409999999999999</v>
      </c>
      <c r="AH95" s="9" t="n">
        <v>0.971</v>
      </c>
      <c r="AI95" s="9" t="n">
        <v>0.99</v>
      </c>
      <c r="AJ95" s="9" t="n">
        <v>0.6929999999999999</v>
      </c>
      <c r="AK95" s="9" t="inlineStr">
        <is>
          <t>FrozenUncertain</t>
        </is>
      </c>
      <c r="AL95" s="9" t="inlineStr">
        <is>
          <t>否</t>
        </is>
      </c>
      <c r="AM95" s="9" t="n">
        <v>0</v>
      </c>
      <c r="AN95" s="9" t="n">
        <v>0</v>
      </c>
      <c r="AO95" s="9" t="inlineStr">
        <is>
          <t>否</t>
        </is>
      </c>
      <c r="AP95" s="9" t="n">
        <v>4</v>
      </c>
      <c r="AQ95" s="9" t="inlineStr"/>
    </row>
    <row r="96">
      <c r="A96" s="7" t="inlineStr">
        <is>
          <t>P016</t>
        </is>
      </c>
      <c r="B96" s="9" t="n">
        <v>2</v>
      </c>
      <c r="C96" s="9" t="inlineStr">
        <is>
          <t>O4-S1-OE</t>
        </is>
      </c>
      <c r="D96" s="9" t="n">
        <v>1</v>
      </c>
      <c r="E96" s="9" t="inlineStr">
        <is>
          <t>固定订书机</t>
        </is>
      </c>
      <c r="F96" s="9" t="inlineStr">
        <is>
          <t>stapler</t>
        </is>
      </c>
      <c r="G96" s="9" t="inlineStr">
        <is>
          <t>方法B</t>
        </is>
      </c>
      <c r="H96" s="9" t="inlineStr">
        <is>
          <t>EgoAnchor</t>
        </is>
      </c>
      <c r="I96" s="9" t="n">
        <v>2</v>
      </c>
      <c r="J96" s="9" t="n">
        <v>1</v>
      </c>
      <c r="K96" s="9" t="n">
        <v>5</v>
      </c>
      <c r="L96" s="9" t="n">
        <v>5</v>
      </c>
      <c r="M96" s="9" t="n">
        <v>6</v>
      </c>
      <c r="N96" s="9" t="n"/>
      <c r="O96" s="9" t="n">
        <v>6</v>
      </c>
      <c r="P96" s="9" t="n">
        <v>5</v>
      </c>
      <c r="Q96" s="9" t="n">
        <v>5</v>
      </c>
      <c r="R96" s="9" t="n">
        <v>6</v>
      </c>
      <c r="S96" s="9" t="n">
        <v>5</v>
      </c>
      <c r="T96" s="9" t="n">
        <v>6</v>
      </c>
      <c r="U96" s="9" t="n">
        <v>7</v>
      </c>
      <c r="V96" s="9" t="n">
        <v>6</v>
      </c>
      <c r="W96" s="9" t="n">
        <v>6</v>
      </c>
      <c r="X96" s="9" t="n">
        <v>5</v>
      </c>
      <c r="Y96" s="9" t="inlineStr">
        <is>
          <t>09:20:01</t>
        </is>
      </c>
      <c r="Z96" s="9" t="inlineStr">
        <is>
          <t>09:23:06</t>
        </is>
      </c>
      <c r="AA96" s="9" t="n">
        <v>184.9</v>
      </c>
      <c r="AB96" s="9" t="inlineStr">
        <is>
          <t>是</t>
        </is>
      </c>
      <c r="AC96" s="9" t="inlineStr">
        <is>
          <t>是</t>
        </is>
      </c>
      <c r="AD96" s="9" t="inlineStr">
        <is>
          <t>是</t>
        </is>
      </c>
      <c r="AE96" s="9" t="inlineStr">
        <is>
          <t>无</t>
        </is>
      </c>
      <c r="AF96" s="9" t="n">
        <v>9.83</v>
      </c>
      <c r="AG96" s="9" t="n">
        <v>0.971</v>
      </c>
      <c r="AH96" s="9" t="n">
        <v>0.974</v>
      </c>
      <c r="AI96" s="9" t="n">
        <v>0.992</v>
      </c>
      <c r="AJ96" s="9" t="n">
        <v>0.766</v>
      </c>
      <c r="AK96" s="9" t="inlineStr">
        <is>
          <t>FrozenUncertain</t>
        </is>
      </c>
      <c r="AL96" s="9" t="inlineStr">
        <is>
          <t>否</t>
        </is>
      </c>
      <c r="AM96" s="9" t="n">
        <v>0</v>
      </c>
      <c r="AN96" s="9" t="n">
        <v>4</v>
      </c>
      <c r="AO96" s="9" t="inlineStr">
        <is>
          <t>否</t>
        </is>
      </c>
      <c r="AP96" s="9" t="n">
        <v>2</v>
      </c>
      <c r="AQ96" s="9" t="inlineStr">
        <is>
          <t>StaticLock 锁在略偏位姿</t>
        </is>
      </c>
    </row>
    <row r="97">
      <c r="A97" s="7" t="inlineStr">
        <is>
          <t>P016</t>
        </is>
      </c>
      <c r="B97" s="9" t="n">
        <v>3</v>
      </c>
      <c r="C97" s="9" t="inlineStr">
        <is>
          <t>O4-S1-OE</t>
        </is>
      </c>
      <c r="D97" s="9" t="n">
        <v>2</v>
      </c>
      <c r="E97" s="9" t="inlineStr">
        <is>
          <t>游戏手柄</t>
        </is>
      </c>
      <c r="F97" s="9" t="inlineStr">
        <is>
          <t>gamepad</t>
        </is>
      </c>
      <c r="G97" s="9" t="inlineStr">
        <is>
          <t>方法B</t>
        </is>
      </c>
      <c r="H97" s="9" t="inlineStr">
        <is>
          <t>EgoAnchor</t>
        </is>
      </c>
      <c r="I97" s="9" t="n">
        <v>1</v>
      </c>
      <c r="J97" s="9" t="n">
        <v>2</v>
      </c>
      <c r="K97" s="9" t="n">
        <v>6</v>
      </c>
      <c r="L97" s="9" t="n">
        <v>5</v>
      </c>
      <c r="M97" s="9" t="n">
        <v>4</v>
      </c>
      <c r="N97" s="9" t="n"/>
      <c r="O97" s="9" t="n">
        <v>5</v>
      </c>
      <c r="P97" s="9" t="n">
        <v>6</v>
      </c>
      <c r="Q97" s="9" t="n">
        <v>6</v>
      </c>
      <c r="R97" s="9" t="n">
        <v>5</v>
      </c>
      <c r="S97" s="9" t="n">
        <v>6</v>
      </c>
      <c r="T97" s="9" t="n">
        <v>5</v>
      </c>
      <c r="U97" s="9" t="n">
        <v>6</v>
      </c>
      <c r="V97" s="9" t="n">
        <v>6</v>
      </c>
      <c r="W97" s="9" t="n">
        <v>6</v>
      </c>
      <c r="X97" s="9" t="n">
        <v>4</v>
      </c>
      <c r="Y97" s="9" t="inlineStr">
        <is>
          <t>09:24:41</t>
        </is>
      </c>
      <c r="Z97" s="9" t="inlineStr">
        <is>
          <t>09:27:50</t>
        </is>
      </c>
      <c r="AA97" s="9" t="n">
        <v>189</v>
      </c>
      <c r="AB97" s="9" t="inlineStr">
        <is>
          <t>是</t>
        </is>
      </c>
      <c r="AC97" s="9" t="inlineStr">
        <is>
          <t>是</t>
        </is>
      </c>
      <c r="AD97" s="9" t="inlineStr">
        <is>
          <t>是</t>
        </is>
      </c>
      <c r="AE97" s="9" t="inlineStr">
        <is>
          <t>无</t>
        </is>
      </c>
      <c r="AF97" s="9" t="n">
        <v>9.34</v>
      </c>
      <c r="AG97" s="9" t="n">
        <v>0.867</v>
      </c>
      <c r="AH97" s="9" t="n">
        <v>0.926</v>
      </c>
      <c r="AI97" s="9" t="n">
        <v>0.983</v>
      </c>
      <c r="AJ97" s="9" t="n">
        <v>0.715</v>
      </c>
      <c r="AK97" s="9" t="inlineStr">
        <is>
          <t>FrozenUncertain</t>
        </is>
      </c>
      <c r="AL97" s="9" t="inlineStr">
        <is>
          <t>否</t>
        </is>
      </c>
      <c r="AM97" s="9" t="n">
        <v>0</v>
      </c>
      <c r="AN97" s="9" t="n">
        <v>4</v>
      </c>
      <c r="AO97" s="9" t="inlineStr">
        <is>
          <t>否</t>
        </is>
      </c>
      <c r="AP97" s="9" t="n">
        <v>3</v>
      </c>
      <c r="AQ97" s="9" t="inlineStr"/>
    </row>
    <row r="98">
      <c r="A98" s="7" t="inlineStr">
        <is>
          <t>P016</t>
        </is>
      </c>
      <c r="B98" s="9" t="n">
        <v>4</v>
      </c>
      <c r="C98" s="9" t="inlineStr">
        <is>
          <t>O4-S1-OE</t>
        </is>
      </c>
      <c r="D98" s="9" t="n">
        <v>2</v>
      </c>
      <c r="E98" s="9" t="inlineStr">
        <is>
          <t>游戏手柄</t>
        </is>
      </c>
      <c r="F98" s="9" t="inlineStr">
        <is>
          <t>gamepad</t>
        </is>
      </c>
      <c r="G98" s="9" t="inlineStr">
        <is>
          <t>方法A</t>
        </is>
      </c>
      <c r="H98" s="9" t="inlineStr">
        <is>
          <t>One-Euro</t>
        </is>
      </c>
      <c r="I98" s="9" t="n">
        <v>2</v>
      </c>
      <c r="J98" s="9" t="n">
        <v>2</v>
      </c>
      <c r="K98" s="9" t="n">
        <v>5</v>
      </c>
      <c r="L98" s="9" t="n">
        <v>5</v>
      </c>
      <c r="M98" s="9" t="n">
        <v>5</v>
      </c>
      <c r="N98" s="9" t="n"/>
      <c r="O98" s="9" t="n">
        <v>5</v>
      </c>
      <c r="P98" s="9" t="n">
        <v>4</v>
      </c>
      <c r="Q98" s="9" t="n">
        <v>5</v>
      </c>
      <c r="R98" s="9" t="n">
        <v>5</v>
      </c>
      <c r="S98" s="9" t="n">
        <v>5</v>
      </c>
      <c r="T98" s="9" t="n">
        <v>5</v>
      </c>
      <c r="U98" s="9" t="n">
        <v>7</v>
      </c>
      <c r="V98" s="9" t="n">
        <v>5</v>
      </c>
      <c r="W98" s="9" t="n">
        <v>5</v>
      </c>
      <c r="X98" s="9" t="n">
        <v>5</v>
      </c>
      <c r="Y98" s="9" t="inlineStr">
        <is>
          <t>09:29:25</t>
        </is>
      </c>
      <c r="Z98" s="9" t="inlineStr">
        <is>
          <t>09:32:38</t>
        </is>
      </c>
      <c r="AA98" s="9" t="n">
        <v>193.2</v>
      </c>
      <c r="AB98" s="9" t="inlineStr">
        <is>
          <t>是</t>
        </is>
      </c>
      <c r="AC98" s="9" t="inlineStr">
        <is>
          <t>是</t>
        </is>
      </c>
      <c r="AD98" s="9" t="inlineStr">
        <is>
          <t>是</t>
        </is>
      </c>
      <c r="AE98" s="9" t="inlineStr">
        <is>
          <t>无</t>
        </is>
      </c>
      <c r="AF98" s="9" t="n">
        <v>9.31</v>
      </c>
      <c r="AG98" s="9" t="n">
        <v>0.864</v>
      </c>
      <c r="AH98" s="9" t="n">
        <v>0.93</v>
      </c>
      <c r="AI98" s="9" t="n">
        <v>0.977</v>
      </c>
      <c r="AJ98" s="9" t="n">
        <v>0.847</v>
      </c>
      <c r="AK98" s="9" t="inlineStr">
        <is>
          <t>FrozenUncertain</t>
        </is>
      </c>
      <c r="AL98" s="9" t="inlineStr">
        <is>
          <t>否</t>
        </is>
      </c>
      <c r="AM98" s="9" t="n">
        <v>0</v>
      </c>
      <c r="AN98" s="9" t="n">
        <v>0</v>
      </c>
      <c r="AO98" s="9" t="inlineStr">
        <is>
          <t>否</t>
        </is>
      </c>
      <c r="AP98" s="9" t="n">
        <v>4</v>
      </c>
      <c r="AQ98" s="9" t="inlineStr"/>
    </row>
    <row r="99">
      <c r="A99" s="7" t="inlineStr">
        <is>
          <t>P016</t>
        </is>
      </c>
      <c r="B99" s="9" t="n">
        <v>5</v>
      </c>
      <c r="C99" s="9" t="inlineStr">
        <is>
          <t>O4-S1-OE</t>
        </is>
      </c>
      <c r="D99" s="9" t="n">
        <v>3</v>
      </c>
      <c r="E99" s="9" t="inlineStr">
        <is>
          <t>鼠标</t>
        </is>
      </c>
      <c r="F99" s="9" t="inlineStr">
        <is>
          <t>blue_mouse</t>
        </is>
      </c>
      <c r="G99" s="9" t="inlineStr">
        <is>
          <t>方法A</t>
        </is>
      </c>
      <c r="H99" s="9" t="inlineStr">
        <is>
          <t>One-Euro</t>
        </is>
      </c>
      <c r="I99" s="9" t="n">
        <v>1</v>
      </c>
      <c r="J99" s="9" t="n">
        <v>3</v>
      </c>
      <c r="K99" s="9" t="n">
        <v>4</v>
      </c>
      <c r="L99" s="9" t="n">
        <v>4</v>
      </c>
      <c r="M99" s="9" t="n">
        <v>4</v>
      </c>
      <c r="N99" s="9" t="n"/>
      <c r="O99" s="9" t="n">
        <v>5</v>
      </c>
      <c r="P99" s="9" t="n">
        <v>5</v>
      </c>
      <c r="Q99" s="9" t="n">
        <v>4</v>
      </c>
      <c r="R99" s="9" t="n">
        <v>4</v>
      </c>
      <c r="S99" s="9" t="n">
        <v>4</v>
      </c>
      <c r="T99" s="9" t="n">
        <v>4</v>
      </c>
      <c r="U99" s="9" t="n">
        <v>4</v>
      </c>
      <c r="V99" s="9" t="n">
        <v>6</v>
      </c>
      <c r="W99" s="9" t="n">
        <v>6</v>
      </c>
      <c r="X99" s="9" t="n">
        <v>4</v>
      </c>
      <c r="Y99" s="9" t="inlineStr">
        <is>
          <t>09:34:13</t>
        </is>
      </c>
      <c r="Z99" s="9" t="inlineStr">
        <is>
          <t>09:37:07</t>
        </is>
      </c>
      <c r="AA99" s="9" t="n">
        <v>174.1</v>
      </c>
      <c r="AB99" s="9" t="inlineStr">
        <is>
          <t>是</t>
        </is>
      </c>
      <c r="AC99" s="9" t="inlineStr">
        <is>
          <t>是</t>
        </is>
      </c>
      <c r="AD99" s="9" t="inlineStr">
        <is>
          <t>是</t>
        </is>
      </c>
      <c r="AE99" s="9" t="inlineStr">
        <is>
          <t>无</t>
        </is>
      </c>
      <c r="AF99" s="9" t="n">
        <v>9.640000000000001</v>
      </c>
      <c r="AG99" s="9" t="n">
        <v>0.911</v>
      </c>
      <c r="AH99" s="9" t="n">
        <v>0.928</v>
      </c>
      <c r="AI99" s="9" t="n">
        <v>0.974</v>
      </c>
      <c r="AJ99" s="9" t="n">
        <v>0.742</v>
      </c>
      <c r="AK99" s="9" t="inlineStr">
        <is>
          <t>FrozenUncertain</t>
        </is>
      </c>
      <c r="AL99" s="9" t="inlineStr">
        <is>
          <t>否</t>
        </is>
      </c>
      <c r="AM99" s="9" t="n">
        <v>0</v>
      </c>
      <c r="AN99" s="9" t="n">
        <v>0</v>
      </c>
      <c r="AO99" s="9" t="inlineStr">
        <is>
          <t>否</t>
        </is>
      </c>
      <c r="AP99" s="9" t="n">
        <v>5</v>
      </c>
      <c r="AQ99" s="9" t="inlineStr"/>
    </row>
    <row r="100">
      <c r="A100" s="7" t="inlineStr">
        <is>
          <t>P016</t>
        </is>
      </c>
      <c r="B100" s="9" t="n">
        <v>6</v>
      </c>
      <c r="C100" s="9" t="inlineStr">
        <is>
          <t>O4-S1-OE</t>
        </is>
      </c>
      <c r="D100" s="9" t="n">
        <v>3</v>
      </c>
      <c r="E100" s="9" t="inlineStr">
        <is>
          <t>鼠标</t>
        </is>
      </c>
      <c r="F100" s="9" t="inlineStr">
        <is>
          <t>blue_mouse</t>
        </is>
      </c>
      <c r="G100" s="9" t="inlineStr">
        <is>
          <t>方法B</t>
        </is>
      </c>
      <c r="H100" s="9" t="inlineStr">
        <is>
          <t>EgoAnchor</t>
        </is>
      </c>
      <c r="I100" s="9" t="n">
        <v>2</v>
      </c>
      <c r="J100" s="9" t="n">
        <v>3</v>
      </c>
      <c r="K100" s="9" t="n">
        <v>5</v>
      </c>
      <c r="L100" s="9" t="n">
        <v>5</v>
      </c>
      <c r="M100" s="9" t="n">
        <v>5</v>
      </c>
      <c r="N100" s="9" t="n"/>
      <c r="O100" s="9" t="n">
        <v>5</v>
      </c>
      <c r="P100" s="9" t="n">
        <v>5</v>
      </c>
      <c r="Q100" s="9" t="n">
        <v>5</v>
      </c>
      <c r="R100" s="9" t="n">
        <v>5</v>
      </c>
      <c r="S100" s="9" t="n">
        <v>5</v>
      </c>
      <c r="T100" s="9" t="n">
        <v>5</v>
      </c>
      <c r="U100" s="9" t="n">
        <v>6</v>
      </c>
      <c r="V100" s="9" t="n">
        <v>6</v>
      </c>
      <c r="W100" s="9" t="n">
        <v>6</v>
      </c>
      <c r="X100" s="9" t="n">
        <v>6</v>
      </c>
      <c r="Y100" s="9" t="inlineStr">
        <is>
          <t>09:38:42</t>
        </is>
      </c>
      <c r="Z100" s="9" t="inlineStr">
        <is>
          <t>09:41:45</t>
        </is>
      </c>
      <c r="AA100" s="9" t="n">
        <v>183.1</v>
      </c>
      <c r="AB100" s="9" t="inlineStr">
        <is>
          <t>是</t>
        </is>
      </c>
      <c r="AC100" s="9" t="inlineStr">
        <is>
          <t>是</t>
        </is>
      </c>
      <c r="AD100" s="9" t="inlineStr">
        <is>
          <t>是</t>
        </is>
      </c>
      <c r="AE100" s="9" t="inlineStr">
        <is>
          <t>无</t>
        </is>
      </c>
      <c r="AF100" s="9" t="n">
        <v>9.52</v>
      </c>
      <c r="AG100" s="9" t="n">
        <v>0.869</v>
      </c>
      <c r="AH100" s="9" t="n">
        <v>0.949</v>
      </c>
      <c r="AI100" s="9" t="n">
        <v>0.984</v>
      </c>
      <c r="AJ100" s="9" t="n">
        <v>0.753</v>
      </c>
      <c r="AK100" s="9" t="inlineStr">
        <is>
          <t>FrozenUncertain</t>
        </is>
      </c>
      <c r="AL100" s="9" t="inlineStr">
        <is>
          <t>否</t>
        </is>
      </c>
      <c r="AM100" s="9" t="n">
        <v>0</v>
      </c>
      <c r="AN100" s="9" t="n">
        <v>6</v>
      </c>
      <c r="AO100" s="9" t="inlineStr">
        <is>
          <t>否</t>
        </is>
      </c>
      <c r="AP100" s="9" t="n">
        <v>9</v>
      </c>
      <c r="AQ100" s="9" t="inlineStr"/>
    </row>
    <row r="101">
      <c r="A101" s="7" t="inlineStr">
        <is>
          <t>P017</t>
        </is>
      </c>
      <c r="B101" s="9" t="n">
        <v>1</v>
      </c>
      <c r="C101" s="9" t="inlineStr">
        <is>
          <t>O5-S1-EA</t>
        </is>
      </c>
      <c r="D101" s="9" t="n">
        <v>1</v>
      </c>
      <c r="E101" s="9" t="inlineStr">
        <is>
          <t>游戏手柄</t>
        </is>
      </c>
      <c r="F101" s="9" t="inlineStr">
        <is>
          <t>gamepad</t>
        </is>
      </c>
      <c r="G101" s="9" t="inlineStr">
        <is>
          <t>方法A</t>
        </is>
      </c>
      <c r="H101" s="9" t="inlineStr">
        <is>
          <t>EgoAnchor</t>
        </is>
      </c>
      <c r="I101" s="9" t="n">
        <v>1</v>
      </c>
      <c r="J101" s="9" t="n">
        <v>1</v>
      </c>
      <c r="K101" s="9" t="n">
        <v>5</v>
      </c>
      <c r="L101" s="9" t="n">
        <v>4</v>
      </c>
      <c r="M101" s="9" t="n">
        <v>3</v>
      </c>
      <c r="N101" s="9" t="n"/>
      <c r="O101" s="9" t="n">
        <v>4</v>
      </c>
      <c r="P101" s="9" t="n">
        <v>5</v>
      </c>
      <c r="Q101" s="9" t="n">
        <v>4</v>
      </c>
      <c r="R101" s="9" t="n">
        <v>6</v>
      </c>
      <c r="S101" s="9" t="n">
        <v>5</v>
      </c>
      <c r="T101" s="9" t="n">
        <v>5</v>
      </c>
      <c r="U101" s="9" t="n">
        <v>6</v>
      </c>
      <c r="V101" s="9" t="n">
        <v>5</v>
      </c>
      <c r="W101" s="9" t="n">
        <v>6</v>
      </c>
      <c r="X101" s="9" t="n">
        <v>5</v>
      </c>
      <c r="Y101" s="9" t="inlineStr">
        <is>
          <t>09:15:00</t>
        </is>
      </c>
      <c r="Z101" s="9" t="inlineStr">
        <is>
          <t>09:17:34</t>
        </is>
      </c>
      <c r="AA101" s="9" t="n">
        <v>154.5</v>
      </c>
      <c r="AB101" s="9" t="inlineStr">
        <is>
          <t>是</t>
        </is>
      </c>
      <c r="AC101" s="9" t="inlineStr">
        <is>
          <t>是</t>
        </is>
      </c>
      <c r="AD101" s="9" t="inlineStr">
        <is>
          <t>是</t>
        </is>
      </c>
      <c r="AE101" s="9" t="inlineStr">
        <is>
          <t>无</t>
        </is>
      </c>
      <c r="AF101" s="9" t="n">
        <v>9.23</v>
      </c>
      <c r="AG101" s="9" t="n">
        <v>0.855</v>
      </c>
      <c r="AH101" s="9" t="n">
        <v>0.9419999999999999</v>
      </c>
      <c r="AI101" s="9" t="n">
        <v>0.982</v>
      </c>
      <c r="AJ101" s="9" t="n">
        <v>0.755</v>
      </c>
      <c r="AK101" s="9" t="inlineStr">
        <is>
          <t>FrozenUncertain</t>
        </is>
      </c>
      <c r="AL101" s="9" t="inlineStr">
        <is>
          <t>否</t>
        </is>
      </c>
      <c r="AM101" s="9" t="n">
        <v>0</v>
      </c>
      <c r="AN101" s="9" t="n">
        <v>7</v>
      </c>
      <c r="AO101" s="9" t="inlineStr">
        <is>
          <t>否</t>
        </is>
      </c>
      <c r="AP101" s="9" t="n">
        <v>2</v>
      </c>
      <c r="AQ101" s="9" t="inlineStr"/>
    </row>
    <row r="102">
      <c r="A102" s="7" t="inlineStr">
        <is>
          <t>P017</t>
        </is>
      </c>
      <c r="B102" s="9" t="n">
        <v>2</v>
      </c>
      <c r="C102" s="9" t="inlineStr">
        <is>
          <t>O5-S1-EA</t>
        </is>
      </c>
      <c r="D102" s="9" t="n">
        <v>1</v>
      </c>
      <c r="E102" s="9" t="inlineStr">
        <is>
          <t>游戏手柄</t>
        </is>
      </c>
      <c r="F102" s="9" t="inlineStr">
        <is>
          <t>gamepad</t>
        </is>
      </c>
      <c r="G102" s="9" t="inlineStr">
        <is>
          <t>方法B</t>
        </is>
      </c>
      <c r="H102" s="9" t="inlineStr">
        <is>
          <t>One-Euro</t>
        </is>
      </c>
      <c r="I102" s="9" t="n">
        <v>2</v>
      </c>
      <c r="J102" s="9" t="n">
        <v>1</v>
      </c>
      <c r="K102" s="9" t="n">
        <v>5</v>
      </c>
      <c r="L102" s="9" t="n">
        <v>5</v>
      </c>
      <c r="M102" s="9" t="n">
        <v>6</v>
      </c>
      <c r="N102" s="9" t="n"/>
      <c r="O102" s="9" t="n">
        <v>5</v>
      </c>
      <c r="P102" s="9" t="n">
        <v>4</v>
      </c>
      <c r="Q102" s="9" t="n">
        <v>2</v>
      </c>
      <c r="R102" s="9" t="n">
        <v>5</v>
      </c>
      <c r="S102" s="9" t="n">
        <v>6</v>
      </c>
      <c r="T102" s="9" t="n">
        <v>5</v>
      </c>
      <c r="U102" s="9" t="n">
        <v>7</v>
      </c>
      <c r="V102" s="9" t="n">
        <v>5</v>
      </c>
      <c r="W102" s="9" t="n">
        <v>2</v>
      </c>
      <c r="X102" s="9" t="n">
        <v>4</v>
      </c>
      <c r="Y102" s="9" t="inlineStr">
        <is>
          <t>09:19:09</t>
        </is>
      </c>
      <c r="Z102" s="9" t="inlineStr">
        <is>
          <t>09:21:51</t>
        </is>
      </c>
      <c r="AA102" s="9" t="n">
        <v>161.7</v>
      </c>
      <c r="AB102" s="9" t="inlineStr">
        <is>
          <t>是</t>
        </is>
      </c>
      <c r="AC102" s="9" t="inlineStr">
        <is>
          <t>是</t>
        </is>
      </c>
      <c r="AD102" s="9" t="inlineStr">
        <is>
          <t>是</t>
        </is>
      </c>
      <c r="AE102" s="9" t="inlineStr">
        <is>
          <t>无</t>
        </is>
      </c>
      <c r="AF102" s="9" t="n">
        <v>9.220000000000001</v>
      </c>
      <c r="AG102" s="9" t="n">
        <v>0.9</v>
      </c>
      <c r="AH102" s="9" t="n">
        <v>0.928</v>
      </c>
      <c r="AI102" s="9" t="n">
        <v>0.981</v>
      </c>
      <c r="AJ102" s="9" t="n">
        <v>0.68</v>
      </c>
      <c r="AK102" s="9" t="inlineStr">
        <is>
          <t>FrozenUncertain</t>
        </is>
      </c>
      <c r="AL102" s="9" t="inlineStr">
        <is>
          <t>否</t>
        </is>
      </c>
      <c r="AM102" s="9" t="n">
        <v>0</v>
      </c>
      <c r="AN102" s="9" t="n">
        <v>0</v>
      </c>
      <c r="AO102" s="9" t="inlineStr">
        <is>
          <t>否</t>
        </is>
      </c>
      <c r="AP102" s="9" t="n">
        <v>2</v>
      </c>
      <c r="AQ102" s="9" t="inlineStr">
        <is>
          <t>灾难性恢复失效(&gt;40mm 级)</t>
        </is>
      </c>
    </row>
    <row r="103">
      <c r="A103" s="7" t="inlineStr">
        <is>
          <t>P017</t>
        </is>
      </c>
      <c r="B103" s="9" t="n">
        <v>3</v>
      </c>
      <c r="C103" s="9" t="inlineStr">
        <is>
          <t>O5-S1-EA</t>
        </is>
      </c>
      <c r="D103" s="9" t="n">
        <v>2</v>
      </c>
      <c r="E103" s="9" t="inlineStr">
        <is>
          <t>鼠标</t>
        </is>
      </c>
      <c r="F103" s="9" t="inlineStr">
        <is>
          <t>blue_mouse</t>
        </is>
      </c>
      <c r="G103" s="9" t="inlineStr">
        <is>
          <t>方法B</t>
        </is>
      </c>
      <c r="H103" s="9" t="inlineStr">
        <is>
          <t>One-Euro</t>
        </is>
      </c>
      <c r="I103" s="9" t="n">
        <v>1</v>
      </c>
      <c r="J103" s="9" t="n">
        <v>2</v>
      </c>
      <c r="K103" s="9" t="n">
        <v>4</v>
      </c>
      <c r="L103" s="9" t="n">
        <v>4</v>
      </c>
      <c r="M103" s="9" t="n">
        <v>4</v>
      </c>
      <c r="N103" s="9" t="n"/>
      <c r="O103" s="9" t="n">
        <v>4</v>
      </c>
      <c r="P103" s="9" t="n">
        <v>4</v>
      </c>
      <c r="Q103" s="9" t="n">
        <v>4</v>
      </c>
      <c r="R103" s="9" t="n">
        <v>5</v>
      </c>
      <c r="S103" s="9" t="n">
        <v>5</v>
      </c>
      <c r="T103" s="9" t="n">
        <v>5</v>
      </c>
      <c r="U103" s="9" t="n">
        <v>6</v>
      </c>
      <c r="V103" s="9" t="n">
        <v>5</v>
      </c>
      <c r="W103" s="9" t="n">
        <v>5</v>
      </c>
      <c r="X103" s="9" t="n">
        <v>4</v>
      </c>
      <c r="Y103" s="9" t="inlineStr">
        <is>
          <t>09:23:26</t>
        </is>
      </c>
      <c r="Z103" s="9" t="inlineStr">
        <is>
          <t>09:26:05</t>
        </is>
      </c>
      <c r="AA103" s="9" t="n">
        <v>159.1</v>
      </c>
      <c r="AB103" s="9" t="inlineStr">
        <is>
          <t>是</t>
        </is>
      </c>
      <c r="AC103" s="9" t="inlineStr">
        <is>
          <t>是</t>
        </is>
      </c>
      <c r="AD103" s="9" t="inlineStr">
        <is>
          <t>是</t>
        </is>
      </c>
      <c r="AE103" s="9" t="inlineStr">
        <is>
          <t>无</t>
        </is>
      </c>
      <c r="AF103" s="9" t="n">
        <v>9.91</v>
      </c>
      <c r="AG103" s="9" t="n">
        <v>0.887</v>
      </c>
      <c r="AH103" s="9" t="n">
        <v>0.945</v>
      </c>
      <c r="AI103" s="9" t="n">
        <v>0.998</v>
      </c>
      <c r="AJ103" s="9" t="n">
        <v>0.738</v>
      </c>
      <c r="AK103" s="9" t="inlineStr">
        <is>
          <t>FrozenUncertain</t>
        </is>
      </c>
      <c r="AL103" s="9" t="inlineStr">
        <is>
          <t>否</t>
        </is>
      </c>
      <c r="AM103" s="9" t="n">
        <v>0</v>
      </c>
      <c r="AN103" s="9" t="n">
        <v>0</v>
      </c>
      <c r="AO103" s="9" t="inlineStr">
        <is>
          <t>否</t>
        </is>
      </c>
      <c r="AP103" s="9" t="n">
        <v>6</v>
      </c>
      <c r="AQ103" s="9" t="inlineStr"/>
    </row>
    <row r="104">
      <c r="A104" s="7" t="inlineStr">
        <is>
          <t>P017</t>
        </is>
      </c>
      <c r="B104" s="9" t="n">
        <v>4</v>
      </c>
      <c r="C104" s="9" t="inlineStr">
        <is>
          <t>O5-S1-EA</t>
        </is>
      </c>
      <c r="D104" s="9" t="n">
        <v>2</v>
      </c>
      <c r="E104" s="9" t="inlineStr">
        <is>
          <t>鼠标</t>
        </is>
      </c>
      <c r="F104" s="9" t="inlineStr">
        <is>
          <t>blue_mouse</t>
        </is>
      </c>
      <c r="G104" s="9" t="inlineStr">
        <is>
          <t>方法A</t>
        </is>
      </c>
      <c r="H104" s="9" t="inlineStr">
        <is>
          <t>EgoAnchor</t>
        </is>
      </c>
      <c r="I104" s="9" t="n">
        <v>2</v>
      </c>
      <c r="J104" s="9" t="n">
        <v>2</v>
      </c>
      <c r="K104" s="9" t="n">
        <v>4</v>
      </c>
      <c r="L104" s="9" t="n">
        <v>4</v>
      </c>
      <c r="M104" s="9" t="n">
        <v>5</v>
      </c>
      <c r="N104" s="9" t="n"/>
      <c r="O104" s="9" t="n">
        <v>5</v>
      </c>
      <c r="P104" s="9" t="n">
        <v>5</v>
      </c>
      <c r="Q104" s="9" t="n">
        <v>5</v>
      </c>
      <c r="R104" s="9" t="n">
        <v>3</v>
      </c>
      <c r="S104" s="9" t="n">
        <v>5</v>
      </c>
      <c r="T104" s="9" t="n">
        <v>4</v>
      </c>
      <c r="U104" s="9" t="n">
        <v>7</v>
      </c>
      <c r="V104" s="9" t="n">
        <v>6</v>
      </c>
      <c r="W104" s="9" t="n">
        <v>6</v>
      </c>
      <c r="X104" s="9" t="n">
        <v>4</v>
      </c>
      <c r="Y104" s="9" t="inlineStr">
        <is>
          <t>09:27:40</t>
        </is>
      </c>
      <c r="Z104" s="9" t="inlineStr">
        <is>
          <t>09:30:10</t>
        </is>
      </c>
      <c r="AA104" s="9" t="n">
        <v>150.1</v>
      </c>
      <c r="AB104" s="9" t="inlineStr">
        <is>
          <t>是</t>
        </is>
      </c>
      <c r="AC104" s="9" t="inlineStr">
        <is>
          <t>是</t>
        </is>
      </c>
      <c r="AD104" s="9" t="inlineStr">
        <is>
          <t>是</t>
        </is>
      </c>
      <c r="AE104" s="9" t="inlineStr">
        <is>
          <t>无</t>
        </is>
      </c>
      <c r="AF104" s="9" t="n">
        <v>9.26</v>
      </c>
      <c r="AG104" s="9" t="n">
        <v>0.901</v>
      </c>
      <c r="AH104" s="9" t="n">
        <v>0.952</v>
      </c>
      <c r="AI104" s="9" t="n">
        <v>0.994</v>
      </c>
      <c r="AJ104" s="9" t="n">
        <v>0.715</v>
      </c>
      <c r="AK104" s="9" t="inlineStr">
        <is>
          <t>FrozenUncertain</t>
        </is>
      </c>
      <c r="AL104" s="9" t="inlineStr">
        <is>
          <t>否</t>
        </is>
      </c>
      <c r="AM104" s="9" t="n">
        <v>0</v>
      </c>
      <c r="AN104" s="9" t="n">
        <v>4</v>
      </c>
      <c r="AO104" s="9" t="inlineStr">
        <is>
          <t>否</t>
        </is>
      </c>
      <c r="AP104" s="9" t="n">
        <v>4</v>
      </c>
      <c r="AQ104" s="9" t="inlineStr">
        <is>
          <t>StaticLock 锁在略偏位姿</t>
        </is>
      </c>
    </row>
    <row r="105">
      <c r="A105" s="7" t="inlineStr">
        <is>
          <t>P017</t>
        </is>
      </c>
      <c r="B105" s="9" t="n">
        <v>5</v>
      </c>
      <c r="C105" s="9" t="inlineStr">
        <is>
          <t>O5-S1-EA</t>
        </is>
      </c>
      <c r="D105" s="9" t="n">
        <v>3</v>
      </c>
      <c r="E105" s="9" t="inlineStr">
        <is>
          <t>固定订书机</t>
        </is>
      </c>
      <c r="F105" s="9" t="inlineStr">
        <is>
          <t>stapler</t>
        </is>
      </c>
      <c r="G105" s="9" t="inlineStr">
        <is>
          <t>方法A</t>
        </is>
      </c>
      <c r="H105" s="9" t="inlineStr">
        <is>
          <t>EgoAnchor</t>
        </is>
      </c>
      <c r="I105" s="9" t="n">
        <v>1</v>
      </c>
      <c r="J105" s="9" t="n">
        <v>3</v>
      </c>
      <c r="K105" s="9" t="n">
        <v>4</v>
      </c>
      <c r="L105" s="9" t="n">
        <v>5</v>
      </c>
      <c r="M105" s="9" t="n">
        <v>5</v>
      </c>
      <c r="N105" s="9" t="n"/>
      <c r="O105" s="9" t="n">
        <v>5</v>
      </c>
      <c r="P105" s="9" t="n">
        <v>5</v>
      </c>
      <c r="Q105" s="9" t="n">
        <v>5</v>
      </c>
      <c r="R105" s="9" t="n">
        <v>5</v>
      </c>
      <c r="S105" s="9" t="n">
        <v>7</v>
      </c>
      <c r="T105" s="9" t="n">
        <v>5</v>
      </c>
      <c r="U105" s="9" t="n">
        <v>7</v>
      </c>
      <c r="V105" s="9" t="n">
        <v>4</v>
      </c>
      <c r="W105" s="9" t="n">
        <v>5</v>
      </c>
      <c r="X105" s="9" t="n">
        <v>2</v>
      </c>
      <c r="Y105" s="9" t="inlineStr">
        <is>
          <t>09:31:45</t>
        </is>
      </c>
      <c r="Z105" s="9" t="inlineStr">
        <is>
          <t>09:34:19</t>
        </is>
      </c>
      <c r="AA105" s="9" t="n">
        <v>153.8</v>
      </c>
      <c r="AB105" s="9" t="inlineStr">
        <is>
          <t>是</t>
        </is>
      </c>
      <c r="AC105" s="9" t="inlineStr">
        <is>
          <t>是</t>
        </is>
      </c>
      <c r="AD105" s="9" t="inlineStr">
        <is>
          <t>是</t>
        </is>
      </c>
      <c r="AE105" s="9" t="inlineStr">
        <is>
          <t>无</t>
        </is>
      </c>
      <c r="AF105" s="9" t="n">
        <v>9.24</v>
      </c>
      <c r="AG105" s="9" t="n">
        <v>0.911</v>
      </c>
      <c r="AH105" s="9" t="n">
        <v>0.954</v>
      </c>
      <c r="AI105" s="9" t="n">
        <v>0.987</v>
      </c>
      <c r="AJ105" s="9" t="n">
        <v>0.751</v>
      </c>
      <c r="AK105" s="9" t="inlineStr">
        <is>
          <t>FrozenUncertain</t>
        </is>
      </c>
      <c r="AL105" s="9" t="inlineStr">
        <is>
          <t>否</t>
        </is>
      </c>
      <c r="AM105" s="9" t="n">
        <v>0</v>
      </c>
      <c r="AN105" s="9" t="n">
        <v>7</v>
      </c>
      <c r="AO105" s="9" t="inlineStr">
        <is>
          <t>是</t>
        </is>
      </c>
      <c r="AP105" s="9" t="n">
        <v>6</v>
      </c>
      <c r="AQ105" s="9" t="inlineStr"/>
    </row>
    <row r="106">
      <c r="A106" s="7" t="inlineStr">
        <is>
          <t>P017</t>
        </is>
      </c>
      <c r="B106" s="9" t="n">
        <v>6</v>
      </c>
      <c r="C106" s="9" t="inlineStr">
        <is>
          <t>O5-S1-EA</t>
        </is>
      </c>
      <c r="D106" s="9" t="n">
        <v>3</v>
      </c>
      <c r="E106" s="9" t="inlineStr">
        <is>
          <t>固定订书机</t>
        </is>
      </c>
      <c r="F106" s="9" t="inlineStr">
        <is>
          <t>stapler</t>
        </is>
      </c>
      <c r="G106" s="9" t="inlineStr">
        <is>
          <t>方法B</t>
        </is>
      </c>
      <c r="H106" s="9" t="inlineStr">
        <is>
          <t>One-Euro</t>
        </is>
      </c>
      <c r="I106" s="9" t="n">
        <v>2</v>
      </c>
      <c r="J106" s="9" t="n">
        <v>3</v>
      </c>
      <c r="K106" s="9" t="n">
        <v>4</v>
      </c>
      <c r="L106" s="9" t="n">
        <v>5</v>
      </c>
      <c r="M106" s="9" t="n">
        <v>5</v>
      </c>
      <c r="N106" s="9" t="n"/>
      <c r="O106" s="9" t="n">
        <v>6</v>
      </c>
      <c r="P106" s="9" t="n">
        <v>5</v>
      </c>
      <c r="Q106" s="9" t="n">
        <v>4</v>
      </c>
      <c r="R106" s="9" t="n">
        <v>5</v>
      </c>
      <c r="S106" s="9" t="n">
        <v>5</v>
      </c>
      <c r="T106" s="9" t="n">
        <v>6</v>
      </c>
      <c r="U106" s="9" t="n">
        <v>6</v>
      </c>
      <c r="V106" s="9" t="n">
        <v>6</v>
      </c>
      <c r="W106" s="9" t="n">
        <v>6</v>
      </c>
      <c r="X106" s="9" t="n">
        <v>5</v>
      </c>
      <c r="Y106" s="9" t="inlineStr">
        <is>
          <t>09:35:54</t>
        </is>
      </c>
      <c r="Z106" s="9" t="inlineStr">
        <is>
          <t>09:38:26</t>
        </is>
      </c>
      <c r="AA106" s="9" t="n">
        <v>152.2</v>
      </c>
      <c r="AB106" s="9" t="inlineStr">
        <is>
          <t>是</t>
        </is>
      </c>
      <c r="AC106" s="9" t="inlineStr">
        <is>
          <t>是</t>
        </is>
      </c>
      <c r="AD106" s="9" t="inlineStr">
        <is>
          <t>是</t>
        </is>
      </c>
      <c r="AE106" s="9" t="inlineStr">
        <is>
          <t>无</t>
        </is>
      </c>
      <c r="AF106" s="9" t="n">
        <v>9.5</v>
      </c>
      <c r="AG106" s="9" t="n">
        <v>0.899</v>
      </c>
      <c r="AH106" s="9" t="n">
        <v>0.976</v>
      </c>
      <c r="AI106" s="9" t="n">
        <v>0.987</v>
      </c>
      <c r="AJ106" s="9" t="n">
        <v>0.802</v>
      </c>
      <c r="AK106" s="9" t="inlineStr">
        <is>
          <t>FrozenUncertain</t>
        </is>
      </c>
      <c r="AL106" s="9" t="inlineStr">
        <is>
          <t>否</t>
        </is>
      </c>
      <c r="AM106" s="9" t="n">
        <v>0</v>
      </c>
      <c r="AN106" s="9" t="n">
        <v>0</v>
      </c>
      <c r="AO106" s="9" t="inlineStr">
        <is>
          <t>否</t>
        </is>
      </c>
      <c r="AP106" s="9" t="n">
        <v>4</v>
      </c>
      <c r="AQ106" s="9" t="inlineStr"/>
    </row>
    <row r="107">
      <c r="A107" s="7" t="inlineStr">
        <is>
          <t>P018</t>
        </is>
      </c>
      <c r="B107" s="9" t="n">
        <v>1</v>
      </c>
      <c r="C107" s="9" t="inlineStr">
        <is>
          <t>O5-S2-EA</t>
        </is>
      </c>
      <c r="D107" s="9" t="n">
        <v>1</v>
      </c>
      <c r="E107" s="9" t="inlineStr">
        <is>
          <t>游戏手柄</t>
        </is>
      </c>
      <c r="F107" s="9" t="inlineStr">
        <is>
          <t>gamepad</t>
        </is>
      </c>
      <c r="G107" s="9" t="inlineStr">
        <is>
          <t>方法B</t>
        </is>
      </c>
      <c r="H107" s="9" t="inlineStr">
        <is>
          <t>One-Euro</t>
        </is>
      </c>
      <c r="I107" s="9" t="n">
        <v>1</v>
      </c>
      <c r="J107" s="9" t="n">
        <v>1</v>
      </c>
      <c r="K107" s="9" t="n">
        <v>3</v>
      </c>
      <c r="L107" s="9" t="n">
        <v>4</v>
      </c>
      <c r="M107" s="9" t="n">
        <v>4</v>
      </c>
      <c r="N107" s="9" t="n"/>
      <c r="O107" s="9" t="n">
        <v>4</v>
      </c>
      <c r="P107" s="9" t="n">
        <v>5</v>
      </c>
      <c r="Q107" s="9" t="n">
        <v>3</v>
      </c>
      <c r="R107" s="9" t="n">
        <v>2</v>
      </c>
      <c r="S107" s="9" t="n">
        <v>5</v>
      </c>
      <c r="T107" s="9" t="n">
        <v>4</v>
      </c>
      <c r="U107" s="9" t="n">
        <v>6</v>
      </c>
      <c r="V107" s="9" t="n">
        <v>5</v>
      </c>
      <c r="W107" s="9" t="n">
        <v>3</v>
      </c>
      <c r="X107" s="9" t="n">
        <v>3</v>
      </c>
      <c r="Y107" s="9" t="inlineStr">
        <is>
          <t>09:15:00</t>
        </is>
      </c>
      <c r="Z107" s="9" t="inlineStr">
        <is>
          <t>09:16:55</t>
        </is>
      </c>
      <c r="AA107" s="9" t="n">
        <v>115.3</v>
      </c>
      <c r="AB107" s="9" t="inlineStr">
        <is>
          <t>是</t>
        </is>
      </c>
      <c r="AC107" s="9" t="inlineStr">
        <is>
          <t>是</t>
        </is>
      </c>
      <c r="AD107" s="9" t="inlineStr">
        <is>
          <t>是</t>
        </is>
      </c>
      <c r="AE107" s="9" t="inlineStr">
        <is>
          <t>无</t>
        </is>
      </c>
      <c r="AF107" s="9" t="n">
        <v>9.58</v>
      </c>
      <c r="AG107" s="9" t="n">
        <v>0.878</v>
      </c>
      <c r="AH107" s="9" t="n">
        <v>0.906</v>
      </c>
      <c r="AI107" s="9" t="n">
        <v>0.971</v>
      </c>
      <c r="AJ107" s="9" t="n">
        <v>0.784</v>
      </c>
      <c r="AK107" s="9" t="inlineStr">
        <is>
          <t>FrozenUncertain</t>
        </is>
      </c>
      <c r="AL107" s="9" t="inlineStr">
        <is>
          <t>否</t>
        </is>
      </c>
      <c r="AM107" s="9" t="n">
        <v>0</v>
      </c>
      <c r="AN107" s="9" t="n">
        <v>0</v>
      </c>
      <c r="AO107" s="9" t="inlineStr">
        <is>
          <t>否</t>
        </is>
      </c>
      <c r="AP107" s="9" t="n">
        <v>3</v>
      </c>
      <c r="AQ107" s="9" t="inlineStr"/>
    </row>
    <row r="108">
      <c r="A108" s="7" t="inlineStr">
        <is>
          <t>P018</t>
        </is>
      </c>
      <c r="B108" s="9" t="n">
        <v>2</v>
      </c>
      <c r="C108" s="9" t="inlineStr">
        <is>
          <t>O5-S2-EA</t>
        </is>
      </c>
      <c r="D108" s="9" t="n">
        <v>1</v>
      </c>
      <c r="E108" s="9" t="inlineStr">
        <is>
          <t>游戏手柄</t>
        </is>
      </c>
      <c r="F108" s="9" t="inlineStr">
        <is>
          <t>gamepad</t>
        </is>
      </c>
      <c r="G108" s="9" t="inlineStr">
        <is>
          <t>方法A</t>
        </is>
      </c>
      <c r="H108" s="9" t="inlineStr">
        <is>
          <t>EgoAnchor</t>
        </is>
      </c>
      <c r="I108" s="9" t="n">
        <v>2</v>
      </c>
      <c r="J108" s="9" t="n">
        <v>1</v>
      </c>
      <c r="K108" s="9" t="n">
        <v>7</v>
      </c>
      <c r="L108" s="9" t="n">
        <v>5</v>
      </c>
      <c r="M108" s="9" t="n">
        <v>4</v>
      </c>
      <c r="N108" s="9" t="n"/>
      <c r="O108" s="9" t="n">
        <v>4</v>
      </c>
      <c r="P108" s="9" t="n">
        <v>5</v>
      </c>
      <c r="Q108" s="9" t="n">
        <v>7</v>
      </c>
      <c r="R108" s="9" t="n">
        <v>5</v>
      </c>
      <c r="S108" s="9" t="n">
        <v>6</v>
      </c>
      <c r="T108" s="9" t="n">
        <v>6</v>
      </c>
      <c r="U108" s="9" t="n">
        <v>7</v>
      </c>
      <c r="V108" s="9" t="n">
        <v>5</v>
      </c>
      <c r="W108" s="9" t="n">
        <v>6</v>
      </c>
      <c r="X108" s="9" t="n">
        <v>5</v>
      </c>
      <c r="Y108" s="9" t="inlineStr">
        <is>
          <t>09:18:30</t>
        </is>
      </c>
      <c r="Z108" s="9" t="inlineStr">
        <is>
          <t>09:20:39</t>
        </is>
      </c>
      <c r="AA108" s="9" t="n">
        <v>128.8</v>
      </c>
      <c r="AB108" s="9" t="inlineStr">
        <is>
          <t>是</t>
        </is>
      </c>
      <c r="AC108" s="9" t="inlineStr">
        <is>
          <t>是</t>
        </is>
      </c>
      <c r="AD108" s="9" t="inlineStr">
        <is>
          <t>是</t>
        </is>
      </c>
      <c r="AE108" s="9" t="inlineStr">
        <is>
          <t>无</t>
        </is>
      </c>
      <c r="AF108" s="9" t="n">
        <v>9.43</v>
      </c>
      <c r="AG108" s="9" t="n">
        <v>0.9</v>
      </c>
      <c r="AH108" s="9" t="n">
        <v>0.916</v>
      </c>
      <c r="AI108" s="9" t="n">
        <v>0.979</v>
      </c>
      <c r="AJ108" s="9" t="n">
        <v>0.717</v>
      </c>
      <c r="AK108" s="9" t="inlineStr">
        <is>
          <t>FrozenUncertain</t>
        </is>
      </c>
      <c r="AL108" s="9" t="inlineStr">
        <is>
          <t>否</t>
        </is>
      </c>
      <c r="AM108" s="9" t="n">
        <v>0</v>
      </c>
      <c r="AN108" s="9" t="n">
        <v>5</v>
      </c>
      <c r="AO108" s="9" t="inlineStr">
        <is>
          <t>否</t>
        </is>
      </c>
      <c r="AP108" s="9" t="n">
        <v>2</v>
      </c>
      <c r="AQ108" s="9" t="inlineStr"/>
    </row>
    <row r="109">
      <c r="A109" s="7" t="inlineStr">
        <is>
          <t>P018</t>
        </is>
      </c>
      <c r="B109" s="9" t="n">
        <v>3</v>
      </c>
      <c r="C109" s="9" t="inlineStr">
        <is>
          <t>O5-S2-EA</t>
        </is>
      </c>
      <c r="D109" s="9" t="n">
        <v>2</v>
      </c>
      <c r="E109" s="9" t="inlineStr">
        <is>
          <t>鼠标</t>
        </is>
      </c>
      <c r="F109" s="9" t="inlineStr">
        <is>
          <t>blue_mouse</t>
        </is>
      </c>
      <c r="G109" s="9" t="inlineStr">
        <is>
          <t>方法A</t>
        </is>
      </c>
      <c r="H109" s="9" t="inlineStr">
        <is>
          <t>EgoAnchor</t>
        </is>
      </c>
      <c r="I109" s="9" t="n">
        <v>1</v>
      </c>
      <c r="J109" s="9" t="n">
        <v>2</v>
      </c>
      <c r="K109" s="9" t="n">
        <v>7</v>
      </c>
      <c r="L109" s="9" t="n">
        <v>4</v>
      </c>
      <c r="M109" s="9" t="n">
        <v>5</v>
      </c>
      <c r="N109" s="9" t="n"/>
      <c r="O109" s="9" t="n">
        <v>5</v>
      </c>
      <c r="P109" s="9" t="n">
        <v>5</v>
      </c>
      <c r="Q109" s="9" t="n">
        <v>6</v>
      </c>
      <c r="R109" s="9" t="n">
        <v>5</v>
      </c>
      <c r="S109" s="9" t="n">
        <v>6</v>
      </c>
      <c r="T109" s="9" t="n">
        <v>5</v>
      </c>
      <c r="U109" s="9" t="n">
        <v>6</v>
      </c>
      <c r="V109" s="9" t="n">
        <v>6</v>
      </c>
      <c r="W109" s="9" t="n">
        <v>6</v>
      </c>
      <c r="X109" s="9" t="n">
        <v>6</v>
      </c>
      <c r="Y109" s="9" t="inlineStr">
        <is>
          <t>09:22:14</t>
        </is>
      </c>
      <c r="Z109" s="9" t="inlineStr">
        <is>
          <t>09:24:14</t>
        </is>
      </c>
      <c r="AA109" s="9" t="n">
        <v>120.8</v>
      </c>
      <c r="AB109" s="9" t="inlineStr">
        <is>
          <t>是</t>
        </is>
      </c>
      <c r="AC109" s="9" t="inlineStr">
        <is>
          <t>是</t>
        </is>
      </c>
      <c r="AD109" s="9" t="inlineStr">
        <is>
          <t>是</t>
        </is>
      </c>
      <c r="AE109" s="9" t="inlineStr">
        <is>
          <t>无</t>
        </is>
      </c>
      <c r="AF109" s="9" t="n">
        <v>9.539999999999999</v>
      </c>
      <c r="AG109" s="9" t="n">
        <v>0.898</v>
      </c>
      <c r="AH109" s="9" t="n">
        <v>0.924</v>
      </c>
      <c r="AI109" s="9" t="n">
        <v>0.991</v>
      </c>
      <c r="AJ109" s="9" t="n">
        <v>0.7</v>
      </c>
      <c r="AK109" s="9" t="inlineStr">
        <is>
          <t>FrozenUncertain</t>
        </is>
      </c>
      <c r="AL109" s="9" t="inlineStr">
        <is>
          <t>否</t>
        </is>
      </c>
      <c r="AM109" s="9" t="n">
        <v>0</v>
      </c>
      <c r="AN109" s="9" t="n">
        <v>3</v>
      </c>
      <c r="AO109" s="9" t="inlineStr">
        <is>
          <t>否</t>
        </is>
      </c>
      <c r="AP109" s="9" t="n">
        <v>4</v>
      </c>
      <c r="AQ109" s="9" t="inlineStr"/>
    </row>
    <row r="110">
      <c r="A110" s="7" t="inlineStr">
        <is>
          <t>P018</t>
        </is>
      </c>
      <c r="B110" s="9" t="n">
        <v>4</v>
      </c>
      <c r="C110" s="9" t="inlineStr">
        <is>
          <t>O5-S2-EA</t>
        </is>
      </c>
      <c r="D110" s="9" t="n">
        <v>2</v>
      </c>
      <c r="E110" s="9" t="inlineStr">
        <is>
          <t>鼠标</t>
        </is>
      </c>
      <c r="F110" s="9" t="inlineStr">
        <is>
          <t>blue_mouse</t>
        </is>
      </c>
      <c r="G110" s="9" t="inlineStr">
        <is>
          <t>方法B</t>
        </is>
      </c>
      <c r="H110" s="9" t="inlineStr">
        <is>
          <t>One-Euro</t>
        </is>
      </c>
      <c r="I110" s="9" t="n">
        <v>2</v>
      </c>
      <c r="J110" s="9" t="n">
        <v>2</v>
      </c>
      <c r="K110" s="9" t="n">
        <v>3</v>
      </c>
      <c r="L110" s="9" t="n">
        <v>5</v>
      </c>
      <c r="M110" s="9" t="n">
        <v>4</v>
      </c>
      <c r="N110" s="9" t="n"/>
      <c r="O110" s="9" t="n">
        <v>5</v>
      </c>
      <c r="P110" s="9" t="n">
        <v>5</v>
      </c>
      <c r="Q110" s="9" t="n">
        <v>4</v>
      </c>
      <c r="R110" s="9" t="n">
        <v>4</v>
      </c>
      <c r="S110" s="9" t="n">
        <v>5</v>
      </c>
      <c r="T110" s="9" t="n">
        <v>4</v>
      </c>
      <c r="U110" s="9" t="n">
        <v>6</v>
      </c>
      <c r="V110" s="9" t="n">
        <v>5</v>
      </c>
      <c r="W110" s="9" t="n">
        <v>4</v>
      </c>
      <c r="X110" s="9" t="n">
        <v>4</v>
      </c>
      <c r="Y110" s="9" t="inlineStr">
        <is>
          <t>09:25:49</t>
        </is>
      </c>
      <c r="Z110" s="9" t="inlineStr">
        <is>
          <t>09:27:53</t>
        </is>
      </c>
      <c r="AA110" s="9" t="n">
        <v>123.3</v>
      </c>
      <c r="AB110" s="9" t="inlineStr">
        <is>
          <t>是</t>
        </is>
      </c>
      <c r="AC110" s="9" t="inlineStr">
        <is>
          <t>是</t>
        </is>
      </c>
      <c r="AD110" s="9" t="inlineStr">
        <is>
          <t>是</t>
        </is>
      </c>
      <c r="AE110" s="9" t="inlineStr">
        <is>
          <t>无</t>
        </is>
      </c>
      <c r="AF110" s="9" t="n">
        <v>9.33</v>
      </c>
      <c r="AG110" s="9" t="n">
        <v>0.902</v>
      </c>
      <c r="AH110" s="9" t="n">
        <v>0.9350000000000001</v>
      </c>
      <c r="AI110" s="9" t="n">
        <v>0.997</v>
      </c>
      <c r="AJ110" s="9" t="n">
        <v>0.741</v>
      </c>
      <c r="AK110" s="9" t="inlineStr">
        <is>
          <t>FrozenUncertain</t>
        </is>
      </c>
      <c r="AL110" s="9" t="inlineStr">
        <is>
          <t>否</t>
        </is>
      </c>
      <c r="AM110" s="9" t="n">
        <v>0</v>
      </c>
      <c r="AN110" s="9" t="n">
        <v>0</v>
      </c>
      <c r="AO110" s="9" t="inlineStr">
        <is>
          <t>否</t>
        </is>
      </c>
      <c r="AP110" s="9" t="n">
        <v>2</v>
      </c>
      <c r="AQ110" s="9" t="inlineStr"/>
    </row>
    <row r="111">
      <c r="A111" s="7" t="inlineStr">
        <is>
          <t>P018</t>
        </is>
      </c>
      <c r="B111" s="9" t="n">
        <v>5</v>
      </c>
      <c r="C111" s="9" t="inlineStr">
        <is>
          <t>O5-S2-EA</t>
        </is>
      </c>
      <c r="D111" s="9" t="n">
        <v>3</v>
      </c>
      <c r="E111" s="9" t="inlineStr">
        <is>
          <t>固定订书机</t>
        </is>
      </c>
      <c r="F111" s="9" t="inlineStr">
        <is>
          <t>stapler</t>
        </is>
      </c>
      <c r="G111" s="9" t="inlineStr">
        <is>
          <t>方法B</t>
        </is>
      </c>
      <c r="H111" s="9" t="inlineStr">
        <is>
          <t>One-Euro</t>
        </is>
      </c>
      <c r="I111" s="9" t="n">
        <v>1</v>
      </c>
      <c r="J111" s="9" t="n">
        <v>3</v>
      </c>
      <c r="K111" s="9" t="n">
        <v>4</v>
      </c>
      <c r="L111" s="9" t="n">
        <v>4</v>
      </c>
      <c r="M111" s="9" t="n">
        <v>4</v>
      </c>
      <c r="N111" s="9" t="n"/>
      <c r="O111" s="9" t="n">
        <v>5</v>
      </c>
      <c r="P111" s="9" t="n">
        <v>6</v>
      </c>
      <c r="Q111" s="9" t="n">
        <v>5</v>
      </c>
      <c r="R111" s="9" t="n">
        <v>5</v>
      </c>
      <c r="S111" s="9" t="n">
        <v>5</v>
      </c>
      <c r="T111" s="9" t="n">
        <v>7</v>
      </c>
      <c r="U111" s="9" t="n">
        <v>7</v>
      </c>
      <c r="V111" s="9" t="n">
        <v>4</v>
      </c>
      <c r="W111" s="9" t="n">
        <v>6</v>
      </c>
      <c r="X111" s="9" t="n">
        <v>5</v>
      </c>
      <c r="Y111" s="9" t="inlineStr">
        <is>
          <t>09:29:28</t>
        </is>
      </c>
      <c r="Z111" s="9" t="inlineStr">
        <is>
          <t>09:31:50</t>
        </is>
      </c>
      <c r="AA111" s="9" t="n">
        <v>141.9</v>
      </c>
      <c r="AB111" s="9" t="inlineStr">
        <is>
          <t>是</t>
        </is>
      </c>
      <c r="AC111" s="9" t="inlineStr">
        <is>
          <t>是</t>
        </is>
      </c>
      <c r="AD111" s="9" t="inlineStr">
        <is>
          <t>是</t>
        </is>
      </c>
      <c r="AE111" s="9" t="inlineStr">
        <is>
          <t>无</t>
        </is>
      </c>
      <c r="AF111" s="9" t="n">
        <v>9.52</v>
      </c>
      <c r="AG111" s="9" t="n">
        <v>0.908</v>
      </c>
      <c r="AH111" s="9" t="n">
        <v>0.968</v>
      </c>
      <c r="AI111" s="9" t="n">
        <v>0.992</v>
      </c>
      <c r="AJ111" s="9" t="n">
        <v>0.663</v>
      </c>
      <c r="AK111" s="9" t="inlineStr">
        <is>
          <t>FrozenUncertain</t>
        </is>
      </c>
      <c r="AL111" s="9" t="inlineStr">
        <is>
          <t>否</t>
        </is>
      </c>
      <c r="AM111" s="9" t="n">
        <v>0</v>
      </c>
      <c r="AN111" s="9" t="n">
        <v>0</v>
      </c>
      <c r="AO111" s="9" t="inlineStr">
        <is>
          <t>是</t>
        </is>
      </c>
      <c r="AP111" s="9" t="n">
        <v>3</v>
      </c>
      <c r="AQ111" s="9" t="inlineStr"/>
    </row>
    <row r="112">
      <c r="A112" s="7" t="inlineStr">
        <is>
          <t>P018</t>
        </is>
      </c>
      <c r="B112" s="9" t="n">
        <v>6</v>
      </c>
      <c r="C112" s="9" t="inlineStr">
        <is>
          <t>O5-S2-EA</t>
        </is>
      </c>
      <c r="D112" s="9" t="n">
        <v>3</v>
      </c>
      <c r="E112" s="9" t="inlineStr">
        <is>
          <t>固定订书机</t>
        </is>
      </c>
      <c r="F112" s="9" t="inlineStr">
        <is>
          <t>stapler</t>
        </is>
      </c>
      <c r="G112" s="9" t="inlineStr">
        <is>
          <t>方法A</t>
        </is>
      </c>
      <c r="H112" s="9" t="inlineStr">
        <is>
          <t>EgoAnchor</t>
        </is>
      </c>
      <c r="I112" s="9" t="n">
        <v>2</v>
      </c>
      <c r="J112" s="9" t="n">
        <v>3</v>
      </c>
      <c r="K112" s="9" t="n">
        <v>7</v>
      </c>
      <c r="L112" s="9" t="n">
        <v>4</v>
      </c>
      <c r="M112" s="9" t="n">
        <v>5</v>
      </c>
      <c r="N112" s="9" t="n"/>
      <c r="O112" s="9" t="n">
        <v>5</v>
      </c>
      <c r="P112" s="9" t="n">
        <v>6</v>
      </c>
      <c r="Q112" s="9" t="n">
        <v>5</v>
      </c>
      <c r="R112" s="9" t="n">
        <v>4</v>
      </c>
      <c r="S112" s="9" t="n">
        <v>6</v>
      </c>
      <c r="T112" s="9" t="n">
        <v>5</v>
      </c>
      <c r="U112" s="9" t="n">
        <v>6</v>
      </c>
      <c r="V112" s="9" t="n">
        <v>5</v>
      </c>
      <c r="W112" s="9" t="n">
        <v>5</v>
      </c>
      <c r="X112" s="9" t="n">
        <v>5</v>
      </c>
      <c r="Y112" s="9" t="inlineStr">
        <is>
          <t>09:33:25</t>
        </is>
      </c>
      <c r="Z112" s="9" t="inlineStr">
        <is>
          <t>09:35:44</t>
        </is>
      </c>
      <c r="AA112" s="9" t="n">
        <v>139</v>
      </c>
      <c r="AB112" s="9" t="inlineStr">
        <is>
          <t>是</t>
        </is>
      </c>
      <c r="AC112" s="9" t="inlineStr">
        <is>
          <t>是</t>
        </is>
      </c>
      <c r="AD112" s="9" t="inlineStr">
        <is>
          <t>是</t>
        </is>
      </c>
      <c r="AE112" s="9" t="inlineStr">
        <is>
          <t>无</t>
        </is>
      </c>
      <c r="AF112" s="9" t="n">
        <v>9.550000000000001</v>
      </c>
      <c r="AG112" s="9" t="n">
        <v>0.907</v>
      </c>
      <c r="AH112" s="9" t="n">
        <v>0.9389999999999999</v>
      </c>
      <c r="AI112" s="9" t="n">
        <v>0.986</v>
      </c>
      <c r="AJ112" s="9" t="n">
        <v>0.8100000000000001</v>
      </c>
      <c r="AK112" s="9" t="inlineStr">
        <is>
          <t>FrozenUncertain</t>
        </is>
      </c>
      <c r="AL112" s="9" t="inlineStr">
        <is>
          <t>否</t>
        </is>
      </c>
      <c r="AM112" s="9" t="n">
        <v>0</v>
      </c>
      <c r="AN112" s="9" t="n">
        <v>6</v>
      </c>
      <c r="AO112" s="9" t="inlineStr">
        <is>
          <t>否</t>
        </is>
      </c>
      <c r="AP112" s="9" t="n">
        <v>3</v>
      </c>
      <c r="AQ112" s="9" t="inlineStr"/>
    </row>
    <row r="113">
      <c r="A113" s="7" t="inlineStr">
        <is>
          <t>P019</t>
        </is>
      </c>
      <c r="B113" s="9" t="n">
        <v>1</v>
      </c>
      <c r="C113" s="9" t="inlineStr">
        <is>
          <t>O5-S2-OE</t>
        </is>
      </c>
      <c r="D113" s="9" t="n">
        <v>1</v>
      </c>
      <c r="E113" s="9" t="inlineStr">
        <is>
          <t>游戏手柄</t>
        </is>
      </c>
      <c r="F113" s="9" t="inlineStr">
        <is>
          <t>gamepad</t>
        </is>
      </c>
      <c r="G113" s="9" t="inlineStr">
        <is>
          <t>方法B</t>
        </is>
      </c>
      <c r="H113" s="9" t="inlineStr">
        <is>
          <t>EgoAnchor</t>
        </is>
      </c>
      <c r="I113" s="9" t="n">
        <v>1</v>
      </c>
      <c r="J113" s="9" t="n">
        <v>1</v>
      </c>
      <c r="K113" s="9" t="n">
        <v>4</v>
      </c>
      <c r="L113" s="9" t="n">
        <v>3</v>
      </c>
      <c r="M113" s="9" t="n">
        <v>2</v>
      </c>
      <c r="N113" s="9" t="n"/>
      <c r="O113" s="9" t="n">
        <v>4</v>
      </c>
      <c r="P113" s="9" t="n">
        <v>4</v>
      </c>
      <c r="Q113" s="9" t="n">
        <v>4</v>
      </c>
      <c r="R113" s="9" t="n">
        <v>2</v>
      </c>
      <c r="S113" s="9" t="n">
        <v>4</v>
      </c>
      <c r="T113" s="9" t="n">
        <v>4</v>
      </c>
      <c r="U113" s="9" t="n">
        <v>6</v>
      </c>
      <c r="V113" s="9" t="n">
        <v>3</v>
      </c>
      <c r="W113" s="9" t="n">
        <v>4</v>
      </c>
      <c r="X113" s="9" t="n">
        <v>3</v>
      </c>
      <c r="Y113" s="9" t="inlineStr">
        <is>
          <t>09:15:00</t>
        </is>
      </c>
      <c r="Z113" s="9" t="inlineStr">
        <is>
          <t>09:17:01</t>
        </is>
      </c>
      <c r="AA113" s="9" t="n">
        <v>121.8</v>
      </c>
      <c r="AB113" s="9" t="inlineStr">
        <is>
          <t>是</t>
        </is>
      </c>
      <c r="AC113" s="9" t="inlineStr">
        <is>
          <t>是</t>
        </is>
      </c>
      <c r="AD113" s="9" t="inlineStr">
        <is>
          <t>是</t>
        </is>
      </c>
      <c r="AE113" s="9" t="inlineStr">
        <is>
          <t>无</t>
        </is>
      </c>
      <c r="AF113" s="9" t="n">
        <v>9.44</v>
      </c>
      <c r="AG113" s="9" t="n">
        <v>0.865</v>
      </c>
      <c r="AH113" s="9" t="n">
        <v>0.9419999999999999</v>
      </c>
      <c r="AI113" s="9" t="n">
        <v>0.989</v>
      </c>
      <c r="AJ113" s="9" t="n">
        <v>0.659</v>
      </c>
      <c r="AK113" s="9" t="inlineStr">
        <is>
          <t>FrozenUncertain</t>
        </is>
      </c>
      <c r="AL113" s="9" t="inlineStr">
        <is>
          <t>否</t>
        </is>
      </c>
      <c r="AM113" s="9" t="n">
        <v>0</v>
      </c>
      <c r="AN113" s="9" t="n">
        <v>3</v>
      </c>
      <c r="AO113" s="9" t="inlineStr">
        <is>
          <t>是</t>
        </is>
      </c>
      <c r="AP113" s="9" t="n">
        <v>3</v>
      </c>
      <c r="AQ113" s="9" t="inlineStr"/>
    </row>
    <row r="114">
      <c r="A114" s="7" t="inlineStr">
        <is>
          <t>P019</t>
        </is>
      </c>
      <c r="B114" s="9" t="n">
        <v>2</v>
      </c>
      <c r="C114" s="9" t="inlineStr">
        <is>
          <t>O5-S2-OE</t>
        </is>
      </c>
      <c r="D114" s="9" t="n">
        <v>1</v>
      </c>
      <c r="E114" s="9" t="inlineStr">
        <is>
          <t>游戏手柄</t>
        </is>
      </c>
      <c r="F114" s="9" t="inlineStr">
        <is>
          <t>gamepad</t>
        </is>
      </c>
      <c r="G114" s="9" t="inlineStr">
        <is>
          <t>方法A</t>
        </is>
      </c>
      <c r="H114" s="9" t="inlineStr">
        <is>
          <t>One-Euro</t>
        </is>
      </c>
      <c r="I114" s="9" t="n">
        <v>2</v>
      </c>
      <c r="J114" s="9" t="n">
        <v>1</v>
      </c>
      <c r="K114" s="9" t="n">
        <v>3</v>
      </c>
      <c r="L114" s="9" t="n">
        <v>4</v>
      </c>
      <c r="M114" s="9" t="n">
        <v>4</v>
      </c>
      <c r="N114" s="9" t="n"/>
      <c r="O114" s="9" t="n">
        <v>4</v>
      </c>
      <c r="P114" s="9" t="n">
        <v>4</v>
      </c>
      <c r="Q114" s="9" t="n">
        <v>3</v>
      </c>
      <c r="R114" s="9" t="n">
        <v>4</v>
      </c>
      <c r="S114" s="9" t="n">
        <v>5</v>
      </c>
      <c r="T114" s="9" t="n">
        <v>4</v>
      </c>
      <c r="U114" s="9" t="n">
        <v>6</v>
      </c>
      <c r="V114" s="9" t="n">
        <v>4</v>
      </c>
      <c r="W114" s="9" t="n">
        <v>3</v>
      </c>
      <c r="X114" s="9" t="n">
        <v>4</v>
      </c>
      <c r="Y114" s="9" t="inlineStr">
        <is>
          <t>09:18:36</t>
        </is>
      </c>
      <c r="Z114" s="9" t="inlineStr">
        <is>
          <t>09:20:49</t>
        </is>
      </c>
      <c r="AA114" s="9" t="n">
        <v>133.1</v>
      </c>
      <c r="AB114" s="9" t="inlineStr">
        <is>
          <t>是</t>
        </is>
      </c>
      <c r="AC114" s="9" t="inlineStr">
        <is>
          <t>是</t>
        </is>
      </c>
      <c r="AD114" s="9" t="inlineStr">
        <is>
          <t>是</t>
        </is>
      </c>
      <c r="AE114" s="9" t="inlineStr">
        <is>
          <t>无</t>
        </is>
      </c>
      <c r="AF114" s="9" t="n">
        <v>9.1</v>
      </c>
      <c r="AG114" s="9" t="n">
        <v>0.87</v>
      </c>
      <c r="AH114" s="9" t="n">
        <v>0.899</v>
      </c>
      <c r="AI114" s="9" t="n">
        <v>0.97</v>
      </c>
      <c r="AJ114" s="9" t="n">
        <v>0.803</v>
      </c>
      <c r="AK114" s="9" t="inlineStr">
        <is>
          <t>FrozenUncertain</t>
        </is>
      </c>
      <c r="AL114" s="9" t="inlineStr">
        <is>
          <t>否</t>
        </is>
      </c>
      <c r="AM114" s="9" t="n">
        <v>0</v>
      </c>
      <c r="AN114" s="9" t="n">
        <v>0</v>
      </c>
      <c r="AO114" s="9" t="inlineStr">
        <is>
          <t>否</t>
        </is>
      </c>
      <c r="AP114" s="9" t="n">
        <v>4</v>
      </c>
      <c r="AQ114" s="9" t="inlineStr"/>
    </row>
    <row r="115">
      <c r="A115" s="7" t="inlineStr">
        <is>
          <t>P019</t>
        </is>
      </c>
      <c r="B115" s="9" t="n">
        <v>3</v>
      </c>
      <c r="C115" s="9" t="inlineStr">
        <is>
          <t>O5-S2-OE</t>
        </is>
      </c>
      <c r="D115" s="9" t="n">
        <v>2</v>
      </c>
      <c r="E115" s="9" t="inlineStr">
        <is>
          <t>鼠标</t>
        </is>
      </c>
      <c r="F115" s="9" t="inlineStr">
        <is>
          <t>blue_mouse</t>
        </is>
      </c>
      <c r="G115" s="9" t="inlineStr">
        <is>
          <t>方法A</t>
        </is>
      </c>
      <c r="H115" s="9" t="inlineStr">
        <is>
          <t>One-Euro</t>
        </is>
      </c>
      <c r="I115" s="9" t="n">
        <v>1</v>
      </c>
      <c r="J115" s="9" t="n">
        <v>2</v>
      </c>
      <c r="K115" s="9" t="n">
        <v>3</v>
      </c>
      <c r="L115" s="9" t="n">
        <v>3</v>
      </c>
      <c r="M115" s="9" t="n">
        <v>4</v>
      </c>
      <c r="N115" s="9" t="n"/>
      <c r="O115" s="9" t="n">
        <v>4</v>
      </c>
      <c r="P115" s="9" t="n">
        <v>4</v>
      </c>
      <c r="Q115" s="9" t="n">
        <v>4</v>
      </c>
      <c r="R115" s="9" t="n">
        <v>4</v>
      </c>
      <c r="S115" s="9" t="n">
        <v>5</v>
      </c>
      <c r="T115" s="9" t="n">
        <v>4</v>
      </c>
      <c r="U115" s="9" t="n">
        <v>6</v>
      </c>
      <c r="V115" s="9" t="n">
        <v>4</v>
      </c>
      <c r="W115" s="9" t="n">
        <v>4</v>
      </c>
      <c r="X115" s="9" t="n">
        <v>4</v>
      </c>
      <c r="Y115" s="9" t="inlineStr">
        <is>
          <t>09:22:24</t>
        </is>
      </c>
      <c r="Z115" s="9" t="inlineStr">
        <is>
          <t>09:24:14</t>
        </is>
      </c>
      <c r="AA115" s="9" t="n">
        <v>109.9</v>
      </c>
      <c r="AB115" s="9" t="inlineStr">
        <is>
          <t>是</t>
        </is>
      </c>
      <c r="AC115" s="9" t="inlineStr">
        <is>
          <t>是</t>
        </is>
      </c>
      <c r="AD115" s="9" t="inlineStr">
        <is>
          <t>是</t>
        </is>
      </c>
      <c r="AE115" s="9" t="inlineStr">
        <is>
          <t>无</t>
        </is>
      </c>
      <c r="AF115" s="9" t="n">
        <v>9.48</v>
      </c>
      <c r="AG115" s="9" t="n">
        <v>0.857</v>
      </c>
      <c r="AH115" s="9" t="n">
        <v>0.9429999999999999</v>
      </c>
      <c r="AI115" s="9" t="n">
        <v>0.995</v>
      </c>
      <c r="AJ115" s="9" t="n">
        <v>0.655</v>
      </c>
      <c r="AK115" s="9" t="inlineStr">
        <is>
          <t>FrozenUncertain</t>
        </is>
      </c>
      <c r="AL115" s="9" t="inlineStr">
        <is>
          <t>否</t>
        </is>
      </c>
      <c r="AM115" s="9" t="n">
        <v>0</v>
      </c>
      <c r="AN115" s="9" t="n">
        <v>0</v>
      </c>
      <c r="AO115" s="9" t="inlineStr">
        <is>
          <t>否</t>
        </is>
      </c>
      <c r="AP115" s="9" t="n">
        <v>5</v>
      </c>
      <c r="AQ115" s="9" t="inlineStr"/>
    </row>
    <row r="116">
      <c r="A116" s="7" t="inlineStr">
        <is>
          <t>P019</t>
        </is>
      </c>
      <c r="B116" s="9" t="n">
        <v>4</v>
      </c>
      <c r="C116" s="9" t="inlineStr">
        <is>
          <t>O5-S2-OE</t>
        </is>
      </c>
      <c r="D116" s="9" t="n">
        <v>2</v>
      </c>
      <c r="E116" s="9" t="inlineStr">
        <is>
          <t>鼠标</t>
        </is>
      </c>
      <c r="F116" s="9" t="inlineStr">
        <is>
          <t>blue_mouse</t>
        </is>
      </c>
      <c r="G116" s="9" t="inlineStr">
        <is>
          <t>方法B</t>
        </is>
      </c>
      <c r="H116" s="9" t="inlineStr">
        <is>
          <t>EgoAnchor</t>
        </is>
      </c>
      <c r="I116" s="9" t="n">
        <v>2</v>
      </c>
      <c r="J116" s="9" t="n">
        <v>2</v>
      </c>
      <c r="K116" s="9" t="n">
        <v>7</v>
      </c>
      <c r="L116" s="9" t="n">
        <v>6</v>
      </c>
      <c r="M116" s="9" t="n">
        <v>4</v>
      </c>
      <c r="N116" s="9" t="n"/>
      <c r="O116" s="9" t="n">
        <v>6</v>
      </c>
      <c r="P116" s="9" t="n">
        <v>5</v>
      </c>
      <c r="Q116" s="9" t="n">
        <v>5</v>
      </c>
      <c r="R116" s="9" t="n">
        <v>6</v>
      </c>
      <c r="S116" s="9" t="n">
        <v>6</v>
      </c>
      <c r="T116" s="9" t="n">
        <v>7</v>
      </c>
      <c r="U116" s="9" t="n">
        <v>6</v>
      </c>
      <c r="V116" s="9" t="n">
        <v>6</v>
      </c>
      <c r="W116" s="9" t="n">
        <v>6</v>
      </c>
      <c r="X116" s="9" t="n">
        <v>6</v>
      </c>
      <c r="Y116" s="9" t="inlineStr">
        <is>
          <t>09:25:49</t>
        </is>
      </c>
      <c r="Z116" s="9" t="inlineStr">
        <is>
          <t>09:27:58</t>
        </is>
      </c>
      <c r="AA116" s="9" t="n">
        <v>128.6</v>
      </c>
      <c r="AB116" s="9" t="inlineStr">
        <is>
          <t>是</t>
        </is>
      </c>
      <c r="AC116" s="9" t="inlineStr">
        <is>
          <t>是</t>
        </is>
      </c>
      <c r="AD116" s="9" t="inlineStr">
        <is>
          <t>是</t>
        </is>
      </c>
      <c r="AE116" s="9" t="inlineStr">
        <is>
          <t>无</t>
        </is>
      </c>
      <c r="AF116" s="9" t="n">
        <v>9.31</v>
      </c>
      <c r="AG116" s="9" t="n">
        <v>0.895</v>
      </c>
      <c r="AH116" s="9" t="n">
        <v>0.948</v>
      </c>
      <c r="AI116" s="9" t="n">
        <v>0.996</v>
      </c>
      <c r="AJ116" s="9" t="n">
        <v>0.714</v>
      </c>
      <c r="AK116" s="9" t="inlineStr">
        <is>
          <t>FrozenUncertain</t>
        </is>
      </c>
      <c r="AL116" s="9" t="inlineStr">
        <is>
          <t>否</t>
        </is>
      </c>
      <c r="AM116" s="9" t="n">
        <v>0</v>
      </c>
      <c r="AN116" s="9" t="n">
        <v>3</v>
      </c>
      <c r="AO116" s="9" t="inlineStr">
        <is>
          <t>否</t>
        </is>
      </c>
      <c r="AP116" s="9" t="n">
        <v>4</v>
      </c>
      <c r="AQ116" s="9" t="inlineStr"/>
    </row>
    <row r="117">
      <c r="A117" s="7" t="inlineStr">
        <is>
          <t>P019</t>
        </is>
      </c>
      <c r="B117" s="9" t="n">
        <v>5</v>
      </c>
      <c r="C117" s="9" t="inlineStr">
        <is>
          <t>O5-S2-OE</t>
        </is>
      </c>
      <c r="D117" s="9" t="n">
        <v>3</v>
      </c>
      <c r="E117" s="9" t="inlineStr">
        <is>
          <t>固定订书机</t>
        </is>
      </c>
      <c r="F117" s="9" t="inlineStr">
        <is>
          <t>stapler</t>
        </is>
      </c>
      <c r="G117" s="9" t="inlineStr">
        <is>
          <t>方法B</t>
        </is>
      </c>
      <c r="H117" s="9" t="inlineStr">
        <is>
          <t>EgoAnchor</t>
        </is>
      </c>
      <c r="I117" s="9" t="n">
        <v>1</v>
      </c>
      <c r="J117" s="9" t="n">
        <v>3</v>
      </c>
      <c r="K117" s="9" t="n">
        <v>6</v>
      </c>
      <c r="L117" s="9" t="n">
        <v>4</v>
      </c>
      <c r="M117" s="9" t="n">
        <v>4</v>
      </c>
      <c r="N117" s="9" t="n"/>
      <c r="O117" s="9" t="n">
        <v>5</v>
      </c>
      <c r="P117" s="9" t="n">
        <v>6</v>
      </c>
      <c r="Q117" s="9" t="n">
        <v>5</v>
      </c>
      <c r="R117" s="9" t="n">
        <v>5</v>
      </c>
      <c r="S117" s="9" t="n">
        <v>4</v>
      </c>
      <c r="T117" s="9" t="n">
        <v>5</v>
      </c>
      <c r="U117" s="9" t="n">
        <v>5</v>
      </c>
      <c r="V117" s="9" t="n">
        <v>4</v>
      </c>
      <c r="W117" s="9" t="n">
        <v>4</v>
      </c>
      <c r="X117" s="9" t="n">
        <v>5</v>
      </c>
      <c r="Y117" s="9" t="inlineStr">
        <is>
          <t>09:29:33</t>
        </is>
      </c>
      <c r="Z117" s="9" t="inlineStr">
        <is>
          <t>09:31:38</t>
        </is>
      </c>
      <c r="AA117" s="9" t="n">
        <v>125.3</v>
      </c>
      <c r="AB117" s="9" t="inlineStr">
        <is>
          <t>是</t>
        </is>
      </c>
      <c r="AC117" s="9" t="inlineStr">
        <is>
          <t>是</t>
        </is>
      </c>
      <c r="AD117" s="9" t="inlineStr">
        <is>
          <t>是</t>
        </is>
      </c>
      <c r="AE117" s="9" t="inlineStr">
        <is>
          <t>无</t>
        </is>
      </c>
      <c r="AF117" s="9" t="n">
        <v>9.640000000000001</v>
      </c>
      <c r="AG117" s="9" t="n">
        <v>0.93</v>
      </c>
      <c r="AH117" s="9" t="n">
        <v>0.947</v>
      </c>
      <c r="AI117" s="9" t="n">
        <v>0.996</v>
      </c>
      <c r="AJ117" s="9" t="n">
        <v>0.8139999999999999</v>
      </c>
      <c r="AK117" s="9" t="inlineStr">
        <is>
          <t>FrozenUncertain</t>
        </is>
      </c>
      <c r="AL117" s="9" t="inlineStr">
        <is>
          <t>否</t>
        </is>
      </c>
      <c r="AM117" s="9" t="n">
        <v>0</v>
      </c>
      <c r="AN117" s="9" t="n">
        <v>7</v>
      </c>
      <c r="AO117" s="9" t="inlineStr">
        <is>
          <t>否</t>
        </is>
      </c>
      <c r="AP117" s="9" t="n">
        <v>2</v>
      </c>
      <c r="AQ117" s="9" t="inlineStr"/>
    </row>
    <row r="118">
      <c r="A118" s="7" t="inlineStr">
        <is>
          <t>P019</t>
        </is>
      </c>
      <c r="B118" s="9" t="n">
        <v>6</v>
      </c>
      <c r="C118" s="9" t="inlineStr">
        <is>
          <t>O5-S2-OE</t>
        </is>
      </c>
      <c r="D118" s="9" t="n">
        <v>3</v>
      </c>
      <c r="E118" s="9" t="inlineStr">
        <is>
          <t>固定订书机</t>
        </is>
      </c>
      <c r="F118" s="9" t="inlineStr">
        <is>
          <t>stapler</t>
        </is>
      </c>
      <c r="G118" s="9" t="inlineStr">
        <is>
          <t>方法A</t>
        </is>
      </c>
      <c r="H118" s="9" t="inlineStr">
        <is>
          <t>One-Euro</t>
        </is>
      </c>
      <c r="I118" s="9" t="n">
        <v>2</v>
      </c>
      <c r="J118" s="9" t="n">
        <v>3</v>
      </c>
      <c r="K118" s="9" t="n">
        <v>4</v>
      </c>
      <c r="L118" s="9" t="n">
        <v>7</v>
      </c>
      <c r="M118" s="9" t="n">
        <v>5</v>
      </c>
      <c r="N118" s="9" t="n"/>
      <c r="O118" s="9" t="n">
        <v>6</v>
      </c>
      <c r="P118" s="9" t="n">
        <v>5</v>
      </c>
      <c r="Q118" s="9" t="n">
        <v>5</v>
      </c>
      <c r="R118" s="9" t="n">
        <v>5</v>
      </c>
      <c r="S118" s="9" t="n">
        <v>7</v>
      </c>
      <c r="T118" s="9" t="n">
        <v>6</v>
      </c>
      <c r="U118" s="9" t="n">
        <v>6</v>
      </c>
      <c r="V118" s="9" t="n">
        <v>6</v>
      </c>
      <c r="W118" s="9" t="n">
        <v>5</v>
      </c>
      <c r="X118" s="9" t="n">
        <v>5</v>
      </c>
      <c r="Y118" s="9" t="inlineStr">
        <is>
          <t>09:33:13</t>
        </is>
      </c>
      <c r="Z118" s="9" t="inlineStr">
        <is>
          <t>09:35:18</t>
        </is>
      </c>
      <c r="AA118" s="9" t="n">
        <v>124.7</v>
      </c>
      <c r="AB118" s="9" t="inlineStr">
        <is>
          <t>是</t>
        </is>
      </c>
      <c r="AC118" s="9" t="inlineStr">
        <is>
          <t>是</t>
        </is>
      </c>
      <c r="AD118" s="9" t="inlineStr">
        <is>
          <t>是</t>
        </is>
      </c>
      <c r="AE118" s="9" t="inlineStr">
        <is>
          <t>无</t>
        </is>
      </c>
      <c r="AF118" s="9" t="n">
        <v>9.859999999999999</v>
      </c>
      <c r="AG118" s="9" t="n">
        <v>0.924</v>
      </c>
      <c r="AH118" s="9" t="n">
        <v>0.9389999999999999</v>
      </c>
      <c r="AI118" s="9" t="n">
        <v>0.985</v>
      </c>
      <c r="AJ118" s="9" t="n">
        <v>0.752</v>
      </c>
      <c r="AK118" s="9" t="inlineStr">
        <is>
          <t>FrozenUncertain</t>
        </is>
      </c>
      <c r="AL118" s="9" t="inlineStr">
        <is>
          <t>否</t>
        </is>
      </c>
      <c r="AM118" s="9" t="n">
        <v>0</v>
      </c>
      <c r="AN118" s="9" t="n">
        <v>0</v>
      </c>
      <c r="AO118" s="9" t="inlineStr">
        <is>
          <t>否</t>
        </is>
      </c>
      <c r="AP118" s="9" t="n">
        <v>3</v>
      </c>
      <c r="AQ118" s="9" t="inlineStr"/>
    </row>
    <row r="119">
      <c r="A119" s="7" t="inlineStr">
        <is>
          <t>P020</t>
        </is>
      </c>
      <c r="B119" s="9" t="n">
        <v>1</v>
      </c>
      <c r="C119" s="9" t="inlineStr">
        <is>
          <t>O5-S1-OE</t>
        </is>
      </c>
      <c r="D119" s="9" t="n">
        <v>1</v>
      </c>
      <c r="E119" s="9" t="inlineStr">
        <is>
          <t>游戏手柄</t>
        </is>
      </c>
      <c r="F119" s="9" t="inlineStr">
        <is>
          <t>gamepad</t>
        </is>
      </c>
      <c r="G119" s="9" t="inlineStr">
        <is>
          <t>方法A</t>
        </is>
      </c>
      <c r="H119" s="9" t="inlineStr">
        <is>
          <t>One-Euro</t>
        </is>
      </c>
      <c r="I119" s="9" t="n">
        <v>1</v>
      </c>
      <c r="J119" s="9" t="n">
        <v>1</v>
      </c>
      <c r="K119" s="9" t="n">
        <v>5</v>
      </c>
      <c r="L119" s="9" t="n">
        <v>5</v>
      </c>
      <c r="M119" s="9" t="n">
        <v>5</v>
      </c>
      <c r="N119" s="9" t="n"/>
      <c r="O119" s="9" t="n">
        <v>5</v>
      </c>
      <c r="P119" s="9" t="n">
        <v>5</v>
      </c>
      <c r="Q119" s="9" t="n">
        <v>6</v>
      </c>
      <c r="R119" s="9" t="n">
        <v>4</v>
      </c>
      <c r="S119" s="9" t="n">
        <v>6</v>
      </c>
      <c r="T119" s="9" t="n">
        <v>6</v>
      </c>
      <c r="U119" s="9" t="n">
        <v>7</v>
      </c>
      <c r="V119" s="9" t="n">
        <v>5</v>
      </c>
      <c r="W119" s="9" t="n">
        <v>6</v>
      </c>
      <c r="X119" s="9" t="n">
        <v>4</v>
      </c>
      <c r="Y119" s="9" t="inlineStr">
        <is>
          <t>09:15:00</t>
        </is>
      </c>
      <c r="Z119" s="9" t="inlineStr">
        <is>
          <t>09:16:56</t>
        </is>
      </c>
      <c r="AA119" s="9" t="n">
        <v>116.8</v>
      </c>
      <c r="AB119" s="9" t="inlineStr">
        <is>
          <t>是</t>
        </is>
      </c>
      <c r="AC119" s="9" t="inlineStr">
        <is>
          <t>是</t>
        </is>
      </c>
      <c r="AD119" s="9" t="inlineStr">
        <is>
          <t>是</t>
        </is>
      </c>
      <c r="AE119" s="9" t="inlineStr">
        <is>
          <t>无</t>
        </is>
      </c>
      <c r="AF119" s="9" t="n">
        <v>9.35</v>
      </c>
      <c r="AG119" s="9" t="n">
        <v>0.853</v>
      </c>
      <c r="AH119" s="9" t="n">
        <v>0.923</v>
      </c>
      <c r="AI119" s="9" t="n">
        <v>0.986</v>
      </c>
      <c r="AJ119" s="9" t="n">
        <v>0.735</v>
      </c>
      <c r="AK119" s="9" t="inlineStr">
        <is>
          <t>FrozenUncertain</t>
        </is>
      </c>
      <c r="AL119" s="9" t="inlineStr">
        <is>
          <t>否</t>
        </is>
      </c>
      <c r="AM119" s="9" t="n">
        <v>0</v>
      </c>
      <c r="AN119" s="9" t="n">
        <v>0</v>
      </c>
      <c r="AO119" s="9" t="inlineStr">
        <is>
          <t>否</t>
        </is>
      </c>
      <c r="AP119" s="9" t="n">
        <v>5</v>
      </c>
      <c r="AQ119" s="9" t="inlineStr"/>
    </row>
    <row r="120">
      <c r="A120" s="7" t="inlineStr">
        <is>
          <t>P020</t>
        </is>
      </c>
      <c r="B120" s="9" t="n">
        <v>2</v>
      </c>
      <c r="C120" s="9" t="inlineStr">
        <is>
          <t>O5-S1-OE</t>
        </is>
      </c>
      <c r="D120" s="9" t="n">
        <v>1</v>
      </c>
      <c r="E120" s="9" t="inlineStr">
        <is>
          <t>游戏手柄</t>
        </is>
      </c>
      <c r="F120" s="9" t="inlineStr">
        <is>
          <t>gamepad</t>
        </is>
      </c>
      <c r="G120" s="9" t="inlineStr">
        <is>
          <t>方法B</t>
        </is>
      </c>
      <c r="H120" s="9" t="inlineStr">
        <is>
          <t>EgoAnchor</t>
        </is>
      </c>
      <c r="I120" s="9" t="n">
        <v>2</v>
      </c>
      <c r="J120" s="9" t="n">
        <v>1</v>
      </c>
      <c r="K120" s="9" t="n">
        <v>5</v>
      </c>
      <c r="L120" s="9" t="n">
        <v>4</v>
      </c>
      <c r="M120" s="9" t="n">
        <v>4</v>
      </c>
      <c r="N120" s="9" t="n"/>
      <c r="O120" s="9" t="n">
        <v>6</v>
      </c>
      <c r="P120" s="9" t="n">
        <v>5</v>
      </c>
      <c r="Q120" s="9" t="n">
        <v>6</v>
      </c>
      <c r="R120" s="9" t="n">
        <v>5</v>
      </c>
      <c r="S120" s="9" t="n">
        <v>6</v>
      </c>
      <c r="T120" s="9" t="n">
        <v>5</v>
      </c>
      <c r="U120" s="9" t="n">
        <v>6</v>
      </c>
      <c r="V120" s="9" t="n">
        <v>6</v>
      </c>
      <c r="W120" s="9" t="n">
        <v>6</v>
      </c>
      <c r="X120" s="9" t="n">
        <v>6</v>
      </c>
      <c r="Y120" s="9" t="inlineStr">
        <is>
          <t>09:18:31</t>
        </is>
      </c>
      <c r="Z120" s="9" t="inlineStr">
        <is>
          <t>09:20:05</t>
        </is>
      </c>
      <c r="AA120" s="9" t="n">
        <v>93.3</v>
      </c>
      <c r="AB120" s="9" t="inlineStr">
        <is>
          <t>是</t>
        </is>
      </c>
      <c r="AC120" s="9" t="inlineStr">
        <is>
          <t>是</t>
        </is>
      </c>
      <c r="AD120" s="9" t="inlineStr">
        <is>
          <t>是</t>
        </is>
      </c>
      <c r="AE120" s="9" t="inlineStr">
        <is>
          <t>无</t>
        </is>
      </c>
      <c r="AF120" s="9" t="n">
        <v>9.51</v>
      </c>
      <c r="AG120" s="9" t="n">
        <v>0.869</v>
      </c>
      <c r="AH120" s="9" t="n">
        <v>0.9360000000000001</v>
      </c>
      <c r="AI120" s="9" t="n">
        <v>0.979</v>
      </c>
      <c r="AJ120" s="9" t="n">
        <v>0.742</v>
      </c>
      <c r="AK120" s="9" t="inlineStr">
        <is>
          <t>FrozenUncertain</t>
        </is>
      </c>
      <c r="AL120" s="9" t="inlineStr">
        <is>
          <t>否</t>
        </is>
      </c>
      <c r="AM120" s="9" t="n">
        <v>0</v>
      </c>
      <c r="AN120" s="9" t="n">
        <v>8</v>
      </c>
      <c r="AO120" s="9" t="inlineStr">
        <is>
          <t>否</t>
        </is>
      </c>
      <c r="AP120" s="9" t="n">
        <v>4</v>
      </c>
      <c r="AQ120" s="9" t="inlineStr"/>
    </row>
    <row r="121">
      <c r="A121" s="7" t="inlineStr">
        <is>
          <t>P020</t>
        </is>
      </c>
      <c r="B121" s="9" t="n">
        <v>3</v>
      </c>
      <c r="C121" s="9" t="inlineStr">
        <is>
          <t>O5-S1-OE</t>
        </is>
      </c>
      <c r="D121" s="9" t="n">
        <v>2</v>
      </c>
      <c r="E121" s="9" t="inlineStr">
        <is>
          <t>鼠标</t>
        </is>
      </c>
      <c r="F121" s="9" t="inlineStr">
        <is>
          <t>blue_mouse</t>
        </is>
      </c>
      <c r="G121" s="9" t="inlineStr">
        <is>
          <t>方法B</t>
        </is>
      </c>
      <c r="H121" s="9" t="inlineStr">
        <is>
          <t>EgoAnchor</t>
        </is>
      </c>
      <c r="I121" s="9" t="n">
        <v>1</v>
      </c>
      <c r="J121" s="9" t="n">
        <v>2</v>
      </c>
      <c r="K121" s="9" t="n">
        <v>5</v>
      </c>
      <c r="L121" s="9" t="n">
        <v>4</v>
      </c>
      <c r="M121" s="9" t="n">
        <v>4</v>
      </c>
      <c r="N121" s="9" t="n"/>
      <c r="O121" s="9" t="n">
        <v>4</v>
      </c>
      <c r="P121" s="9" t="n">
        <v>6</v>
      </c>
      <c r="Q121" s="9" t="n">
        <v>5</v>
      </c>
      <c r="R121" s="9" t="n">
        <v>7</v>
      </c>
      <c r="S121" s="9" t="n">
        <v>6</v>
      </c>
      <c r="T121" s="9" t="n">
        <v>5</v>
      </c>
      <c r="U121" s="9" t="n">
        <v>6</v>
      </c>
      <c r="V121" s="9" t="n">
        <v>4</v>
      </c>
      <c r="W121" s="9" t="n">
        <v>5</v>
      </c>
      <c r="X121" s="9" t="n">
        <v>4</v>
      </c>
      <c r="Y121" s="9" t="inlineStr">
        <is>
          <t>09:21:40</t>
        </is>
      </c>
      <c r="Z121" s="9" t="inlineStr">
        <is>
          <t>09:23:18</t>
        </is>
      </c>
      <c r="AA121" s="9" t="n">
        <v>98</v>
      </c>
      <c r="AB121" s="9" t="inlineStr">
        <is>
          <t>是</t>
        </is>
      </c>
      <c r="AC121" s="9" t="inlineStr">
        <is>
          <t>是</t>
        </is>
      </c>
      <c r="AD121" s="9" t="inlineStr">
        <is>
          <t>是</t>
        </is>
      </c>
      <c r="AE121" s="9" t="inlineStr">
        <is>
          <t>无</t>
        </is>
      </c>
      <c r="AF121" s="9" t="n">
        <v>9.550000000000001</v>
      </c>
      <c r="AG121" s="9" t="n">
        <v>0.884</v>
      </c>
      <c r="AH121" s="9" t="n">
        <v>0.945</v>
      </c>
      <c r="AI121" s="9" t="n">
        <v>0.982</v>
      </c>
      <c r="AJ121" s="9" t="n">
        <v>0.743</v>
      </c>
      <c r="AK121" s="9" t="inlineStr">
        <is>
          <t>FrozenUncertain</t>
        </is>
      </c>
      <c r="AL121" s="9" t="inlineStr">
        <is>
          <t>否</t>
        </is>
      </c>
      <c r="AM121" s="9" t="n">
        <v>0</v>
      </c>
      <c r="AN121" s="9" t="n">
        <v>5</v>
      </c>
      <c r="AO121" s="9" t="inlineStr">
        <is>
          <t>否</t>
        </is>
      </c>
      <c r="AP121" s="9" t="n">
        <v>3</v>
      </c>
      <c r="AQ121" s="9" t="inlineStr"/>
    </row>
    <row r="122">
      <c r="A122" s="7" t="inlineStr">
        <is>
          <t>P020</t>
        </is>
      </c>
      <c r="B122" s="9" t="n">
        <v>4</v>
      </c>
      <c r="C122" s="9" t="inlineStr">
        <is>
          <t>O5-S1-OE</t>
        </is>
      </c>
      <c r="D122" s="9" t="n">
        <v>2</v>
      </c>
      <c r="E122" s="9" t="inlineStr">
        <is>
          <t>鼠标</t>
        </is>
      </c>
      <c r="F122" s="9" t="inlineStr">
        <is>
          <t>blue_mouse</t>
        </is>
      </c>
      <c r="G122" s="9" t="inlineStr">
        <is>
          <t>方法A</t>
        </is>
      </c>
      <c r="H122" s="9" t="inlineStr">
        <is>
          <t>One-Euro</t>
        </is>
      </c>
      <c r="I122" s="9" t="n">
        <v>2</v>
      </c>
      <c r="J122" s="9" t="n">
        <v>2</v>
      </c>
      <c r="K122" s="9" t="n">
        <v>3</v>
      </c>
      <c r="L122" s="9" t="n">
        <v>4</v>
      </c>
      <c r="M122" s="9" t="n">
        <v>4</v>
      </c>
      <c r="N122" s="9" t="n"/>
      <c r="O122" s="9" t="n">
        <v>4</v>
      </c>
      <c r="P122" s="9" t="n">
        <v>4</v>
      </c>
      <c r="Q122" s="9" t="n">
        <v>1</v>
      </c>
      <c r="R122" s="9" t="n">
        <v>1</v>
      </c>
      <c r="S122" s="9" t="n">
        <v>4</v>
      </c>
      <c r="T122" s="9" t="n">
        <v>3</v>
      </c>
      <c r="U122" s="9" t="n">
        <v>6</v>
      </c>
      <c r="V122" s="9" t="n">
        <v>2</v>
      </c>
      <c r="W122" s="9" t="n">
        <v>1</v>
      </c>
      <c r="X122" s="9" t="n">
        <v>3</v>
      </c>
      <c r="Y122" s="9" t="inlineStr">
        <is>
          <t>09:24:53</t>
        </is>
      </c>
      <c r="Z122" s="9" t="inlineStr">
        <is>
          <t>09:26:56</t>
        </is>
      </c>
      <c r="AA122" s="9" t="n">
        <v>123.4</v>
      </c>
      <c r="AB122" s="9" t="inlineStr">
        <is>
          <t>是</t>
        </is>
      </c>
      <c r="AC122" s="9" t="inlineStr">
        <is>
          <t>是</t>
        </is>
      </c>
      <c r="AD122" s="9" t="inlineStr">
        <is>
          <t>是</t>
        </is>
      </c>
      <c r="AE122" s="9" t="inlineStr">
        <is>
          <t>无</t>
        </is>
      </c>
      <c r="AF122" s="9" t="n">
        <v>9.369999999999999</v>
      </c>
      <c r="AG122" s="9" t="n">
        <v>0.905</v>
      </c>
      <c r="AH122" s="9" t="n">
        <v>0.965</v>
      </c>
      <c r="AI122" s="9" t="n">
        <v>0.986</v>
      </c>
      <c r="AJ122" s="9" t="n">
        <v>0.6929999999999999</v>
      </c>
      <c r="AK122" s="9" t="inlineStr">
        <is>
          <t>FrozenUncertain</t>
        </is>
      </c>
      <c r="AL122" s="9" t="inlineStr">
        <is>
          <t>否</t>
        </is>
      </c>
      <c r="AM122" s="9" t="n">
        <v>0</v>
      </c>
      <c r="AN122" s="9" t="n">
        <v>0</v>
      </c>
      <c r="AO122" s="9" t="inlineStr">
        <is>
          <t>否</t>
        </is>
      </c>
      <c r="AP122" s="9" t="n">
        <v>4</v>
      </c>
      <c r="AQ122" s="9" t="inlineStr">
        <is>
          <t>灾难性恢复失效(&gt;40mm 级)</t>
        </is>
      </c>
    </row>
    <row r="123">
      <c r="A123" s="7" t="inlineStr">
        <is>
          <t>P020</t>
        </is>
      </c>
      <c r="B123" s="9" t="n">
        <v>5</v>
      </c>
      <c r="C123" s="9" t="inlineStr">
        <is>
          <t>O5-S1-OE</t>
        </is>
      </c>
      <c r="D123" s="9" t="n">
        <v>3</v>
      </c>
      <c r="E123" s="9" t="inlineStr">
        <is>
          <t>固定订书机</t>
        </is>
      </c>
      <c r="F123" s="9" t="inlineStr">
        <is>
          <t>stapler</t>
        </is>
      </c>
      <c r="G123" s="9" t="inlineStr">
        <is>
          <t>方法A</t>
        </is>
      </c>
      <c r="H123" s="9" t="inlineStr">
        <is>
          <t>One-Euro</t>
        </is>
      </c>
      <c r="I123" s="9" t="n">
        <v>1</v>
      </c>
      <c r="J123" s="9" t="n">
        <v>3</v>
      </c>
      <c r="K123" s="9" t="n">
        <v>4</v>
      </c>
      <c r="L123" s="9" t="n">
        <v>4</v>
      </c>
      <c r="M123" s="9" t="n">
        <v>5</v>
      </c>
      <c r="N123" s="9" t="n"/>
      <c r="O123" s="9" t="n">
        <v>5</v>
      </c>
      <c r="P123" s="9" t="n">
        <v>5</v>
      </c>
      <c r="Q123" s="9" t="n">
        <v>4</v>
      </c>
      <c r="R123" s="9" t="n">
        <v>4</v>
      </c>
      <c r="S123" s="9" t="n">
        <v>6</v>
      </c>
      <c r="T123" s="9" t="n">
        <v>6</v>
      </c>
      <c r="U123" s="9" t="n">
        <v>5</v>
      </c>
      <c r="V123" s="9" t="n">
        <v>5</v>
      </c>
      <c r="W123" s="9" t="n">
        <v>6</v>
      </c>
      <c r="X123" s="9" t="n">
        <v>4</v>
      </c>
      <c r="Y123" s="9" t="inlineStr">
        <is>
          <t>09:28:31</t>
        </is>
      </c>
      <c r="Z123" s="9" t="inlineStr">
        <is>
          <t>09:29:55</t>
        </is>
      </c>
      <c r="AA123" s="9" t="n">
        <v>83.90000000000001</v>
      </c>
      <c r="AB123" s="9" t="inlineStr">
        <is>
          <t>是</t>
        </is>
      </c>
      <c r="AC123" s="9" t="inlineStr">
        <is>
          <t>是</t>
        </is>
      </c>
      <c r="AD123" s="9" t="inlineStr">
        <is>
          <t>是</t>
        </is>
      </c>
      <c r="AE123" s="9" t="inlineStr">
        <is>
          <t>无</t>
        </is>
      </c>
      <c r="AF123" s="9" t="n">
        <v>9.699999999999999</v>
      </c>
      <c r="AG123" s="9" t="n">
        <v>0.9399999999999999</v>
      </c>
      <c r="AH123" s="9" t="n">
        <v>0.989</v>
      </c>
      <c r="AI123" s="9" t="n">
        <v>0.988</v>
      </c>
      <c r="AJ123" s="9" t="n">
        <v>0.772</v>
      </c>
      <c r="AK123" s="9" t="inlineStr">
        <is>
          <t>FrozenUncertain</t>
        </is>
      </c>
      <c r="AL123" s="9" t="inlineStr">
        <is>
          <t>否</t>
        </is>
      </c>
      <c r="AM123" s="9" t="n">
        <v>0</v>
      </c>
      <c r="AN123" s="9" t="n">
        <v>0</v>
      </c>
      <c r="AO123" s="9" t="inlineStr">
        <is>
          <t>否</t>
        </is>
      </c>
      <c r="AP123" s="9" t="n">
        <v>3</v>
      </c>
      <c r="AQ123" s="9" t="inlineStr"/>
    </row>
    <row r="124">
      <c r="A124" s="7" t="inlineStr">
        <is>
          <t>P020</t>
        </is>
      </c>
      <c r="B124" s="9" t="n">
        <v>6</v>
      </c>
      <c r="C124" s="9" t="inlineStr">
        <is>
          <t>O5-S1-OE</t>
        </is>
      </c>
      <c r="D124" s="9" t="n">
        <v>3</v>
      </c>
      <c r="E124" s="9" t="inlineStr">
        <is>
          <t>固定订书机</t>
        </is>
      </c>
      <c r="F124" s="9" t="inlineStr">
        <is>
          <t>stapler</t>
        </is>
      </c>
      <c r="G124" s="9" t="inlineStr">
        <is>
          <t>方法B</t>
        </is>
      </c>
      <c r="H124" s="9" t="inlineStr">
        <is>
          <t>EgoAnchor</t>
        </is>
      </c>
      <c r="I124" s="9" t="n">
        <v>2</v>
      </c>
      <c r="J124" s="9" t="n">
        <v>3</v>
      </c>
      <c r="K124" s="9" t="n">
        <v>6</v>
      </c>
      <c r="L124" s="9" t="n">
        <v>5</v>
      </c>
      <c r="M124" s="9" t="n">
        <v>5</v>
      </c>
      <c r="N124" s="9" t="n"/>
      <c r="O124" s="9" t="n">
        <v>5</v>
      </c>
      <c r="P124" s="9" t="n">
        <v>6</v>
      </c>
      <c r="Q124" s="9" t="n">
        <v>6</v>
      </c>
      <c r="R124" s="9" t="n">
        <v>6</v>
      </c>
      <c r="S124" s="9" t="n">
        <v>6</v>
      </c>
      <c r="T124" s="9" t="n">
        <v>5</v>
      </c>
      <c r="U124" s="9" t="n">
        <v>7</v>
      </c>
      <c r="V124" s="9" t="n">
        <v>7</v>
      </c>
      <c r="W124" s="9" t="n">
        <v>5</v>
      </c>
      <c r="X124" s="9" t="n">
        <v>6</v>
      </c>
      <c r="Y124" s="9" t="inlineStr">
        <is>
          <t>09:31:30</t>
        </is>
      </c>
      <c r="Z124" s="9" t="inlineStr">
        <is>
          <t>09:32:52</t>
        </is>
      </c>
      <c r="AA124" s="9" t="n">
        <v>82.3</v>
      </c>
      <c r="AB124" s="9" t="inlineStr">
        <is>
          <t>是</t>
        </is>
      </c>
      <c r="AC124" s="9" t="inlineStr">
        <is>
          <t>是</t>
        </is>
      </c>
      <c r="AD124" s="9" t="inlineStr">
        <is>
          <t>是</t>
        </is>
      </c>
      <c r="AE124" s="9" t="inlineStr">
        <is>
          <t>无</t>
        </is>
      </c>
      <c r="AF124" s="9" t="n">
        <v>9.49</v>
      </c>
      <c r="AG124" s="9" t="n">
        <v>0.9429999999999999</v>
      </c>
      <c r="AH124" s="9" t="n">
        <v>0.96</v>
      </c>
      <c r="AI124" s="9" t="n">
        <v>0.986</v>
      </c>
      <c r="AJ124" s="9" t="n">
        <v>0.71</v>
      </c>
      <c r="AK124" s="9" t="inlineStr">
        <is>
          <t>FrozenUncertain</t>
        </is>
      </c>
      <c r="AL124" s="9" t="inlineStr">
        <is>
          <t>否</t>
        </is>
      </c>
      <c r="AM124" s="9" t="n">
        <v>0</v>
      </c>
      <c r="AN124" s="9" t="n">
        <v>8</v>
      </c>
      <c r="AO124" s="9" t="inlineStr">
        <is>
          <t>否</t>
        </is>
      </c>
      <c r="AP124" s="9" t="n">
        <v>4</v>
      </c>
      <c r="AQ124" s="9" t="inlineStr"/>
    </row>
    <row r="125">
      <c r="A125" s="7" t="inlineStr">
        <is>
          <t>P021</t>
        </is>
      </c>
      <c r="B125" s="9" t="n">
        <v>1</v>
      </c>
      <c r="C125" s="9" t="inlineStr">
        <is>
          <t>O6-S1-EA</t>
        </is>
      </c>
      <c r="D125" s="9" t="n">
        <v>1</v>
      </c>
      <c r="E125" s="9" t="inlineStr">
        <is>
          <t>游戏手柄</t>
        </is>
      </c>
      <c r="F125" s="9" t="inlineStr">
        <is>
          <t>gamepad</t>
        </is>
      </c>
      <c r="G125" s="9" t="inlineStr">
        <is>
          <t>方法A</t>
        </is>
      </c>
      <c r="H125" s="9" t="inlineStr">
        <is>
          <t>EgoAnchor</t>
        </is>
      </c>
      <c r="I125" s="9" t="n">
        <v>1</v>
      </c>
      <c r="J125" s="9" t="n">
        <v>1</v>
      </c>
      <c r="K125" s="9" t="n">
        <v>6</v>
      </c>
      <c r="L125" s="9" t="n">
        <v>5</v>
      </c>
      <c r="M125" s="9" t="n">
        <v>5</v>
      </c>
      <c r="N125" s="9" t="n"/>
      <c r="O125" s="9" t="n">
        <v>6</v>
      </c>
      <c r="P125" s="9" t="n">
        <v>5</v>
      </c>
      <c r="Q125" s="9" t="n">
        <v>6</v>
      </c>
      <c r="R125" s="9" t="n">
        <v>5</v>
      </c>
      <c r="S125" s="9" t="n">
        <v>6</v>
      </c>
      <c r="T125" s="9" t="n">
        <v>5</v>
      </c>
      <c r="U125" s="9" t="n">
        <v>6</v>
      </c>
      <c r="V125" s="9" t="n">
        <v>6</v>
      </c>
      <c r="W125" s="9" t="n">
        <v>5</v>
      </c>
      <c r="X125" s="9" t="n">
        <v>5</v>
      </c>
      <c r="Y125" s="9" t="inlineStr">
        <is>
          <t>09:15:00</t>
        </is>
      </c>
      <c r="Z125" s="9" t="inlineStr">
        <is>
          <t>09:17:56</t>
        </is>
      </c>
      <c r="AA125" s="9" t="n">
        <v>176.3</v>
      </c>
      <c r="AB125" s="9" t="inlineStr">
        <is>
          <t>是</t>
        </is>
      </c>
      <c r="AC125" s="9" t="inlineStr">
        <is>
          <t>是</t>
        </is>
      </c>
      <c r="AD125" s="9" t="inlineStr">
        <is>
          <t>是</t>
        </is>
      </c>
      <c r="AE125" s="9" t="inlineStr">
        <is>
          <t>无</t>
        </is>
      </c>
      <c r="AF125" s="9" t="n">
        <v>9.34</v>
      </c>
      <c r="AG125" s="9" t="n">
        <v>0.891</v>
      </c>
      <c r="AH125" s="9" t="n">
        <v>0.9350000000000001</v>
      </c>
      <c r="AI125" s="9" t="n">
        <v>0.976</v>
      </c>
      <c r="AJ125" s="9" t="n">
        <v>0.853</v>
      </c>
      <c r="AK125" s="9" t="inlineStr">
        <is>
          <t>FrozenUncertain</t>
        </is>
      </c>
      <c r="AL125" s="9" t="inlineStr">
        <is>
          <t>否</t>
        </is>
      </c>
      <c r="AM125" s="9" t="n">
        <v>0</v>
      </c>
      <c r="AN125" s="9" t="n">
        <v>6</v>
      </c>
      <c r="AO125" s="9" t="inlineStr">
        <is>
          <t>否</t>
        </is>
      </c>
      <c r="AP125" s="9" t="n">
        <v>2</v>
      </c>
      <c r="AQ125" s="9" t="inlineStr"/>
    </row>
    <row r="126">
      <c r="A126" s="7" t="inlineStr">
        <is>
          <t>P021</t>
        </is>
      </c>
      <c r="B126" s="9" t="n">
        <v>2</v>
      </c>
      <c r="C126" s="9" t="inlineStr">
        <is>
          <t>O6-S1-EA</t>
        </is>
      </c>
      <c r="D126" s="9" t="n">
        <v>1</v>
      </c>
      <c r="E126" s="9" t="inlineStr">
        <is>
          <t>游戏手柄</t>
        </is>
      </c>
      <c r="F126" s="9" t="inlineStr">
        <is>
          <t>gamepad</t>
        </is>
      </c>
      <c r="G126" s="9" t="inlineStr">
        <is>
          <t>方法B</t>
        </is>
      </c>
      <c r="H126" s="9" t="inlineStr">
        <is>
          <t>One-Euro</t>
        </is>
      </c>
      <c r="I126" s="9" t="n">
        <v>2</v>
      </c>
      <c r="J126" s="9" t="n">
        <v>1</v>
      </c>
      <c r="K126" s="9" t="n">
        <v>5</v>
      </c>
      <c r="L126" s="9" t="n">
        <v>5</v>
      </c>
      <c r="M126" s="9" t="n">
        <v>5</v>
      </c>
      <c r="N126" s="9" t="n"/>
      <c r="O126" s="9" t="n">
        <v>5</v>
      </c>
      <c r="P126" s="9" t="n">
        <v>5</v>
      </c>
      <c r="Q126" s="9" t="n">
        <v>5</v>
      </c>
      <c r="R126" s="9" t="n">
        <v>4</v>
      </c>
      <c r="S126" s="9" t="n">
        <v>6</v>
      </c>
      <c r="T126" s="9" t="n">
        <v>5</v>
      </c>
      <c r="U126" s="9" t="n">
        <v>6</v>
      </c>
      <c r="V126" s="9" t="n">
        <v>5</v>
      </c>
      <c r="W126" s="9" t="n">
        <v>4</v>
      </c>
      <c r="X126" s="9" t="n">
        <v>5</v>
      </c>
      <c r="Y126" s="9" t="inlineStr">
        <is>
          <t>09:19:31</t>
        </is>
      </c>
      <c r="Z126" s="9" t="inlineStr">
        <is>
          <t>09:22:28</t>
        </is>
      </c>
      <c r="AA126" s="9" t="n">
        <v>176.9</v>
      </c>
      <c r="AB126" s="9" t="inlineStr">
        <is>
          <t>是</t>
        </is>
      </c>
      <c r="AC126" s="9" t="inlineStr">
        <is>
          <t>是</t>
        </is>
      </c>
      <c r="AD126" s="9" t="inlineStr">
        <is>
          <t>是</t>
        </is>
      </c>
      <c r="AE126" s="9" t="inlineStr">
        <is>
          <t>无</t>
        </is>
      </c>
      <c r="AF126" s="9" t="n">
        <v>9.16</v>
      </c>
      <c r="AG126" s="9" t="n">
        <v>0.856</v>
      </c>
      <c r="AH126" s="9" t="n">
        <v>0.925</v>
      </c>
      <c r="AI126" s="9" t="n">
        <v>0.979</v>
      </c>
      <c r="AJ126" s="9" t="n">
        <v>0.803</v>
      </c>
      <c r="AK126" s="9" t="inlineStr">
        <is>
          <t>FrozenUncertain</t>
        </is>
      </c>
      <c r="AL126" s="9" t="inlineStr">
        <is>
          <t>否</t>
        </is>
      </c>
      <c r="AM126" s="9" t="n">
        <v>0</v>
      </c>
      <c r="AN126" s="9" t="n">
        <v>0</v>
      </c>
      <c r="AO126" s="9" t="inlineStr">
        <is>
          <t>否</t>
        </is>
      </c>
      <c r="AP126" s="9" t="n">
        <v>6</v>
      </c>
      <c r="AQ126" s="9" t="inlineStr"/>
    </row>
    <row r="127">
      <c r="A127" s="7" t="inlineStr">
        <is>
          <t>P021</t>
        </is>
      </c>
      <c r="B127" s="9" t="n">
        <v>3</v>
      </c>
      <c r="C127" s="9" t="inlineStr">
        <is>
          <t>O6-S1-EA</t>
        </is>
      </c>
      <c r="D127" s="9" t="n">
        <v>2</v>
      </c>
      <c r="E127" s="9" t="inlineStr">
        <is>
          <t>固定订书机</t>
        </is>
      </c>
      <c r="F127" s="9" t="inlineStr">
        <is>
          <t>stapler</t>
        </is>
      </c>
      <c r="G127" s="9" t="inlineStr">
        <is>
          <t>方法B</t>
        </is>
      </c>
      <c r="H127" s="9" t="inlineStr">
        <is>
          <t>One-Euro</t>
        </is>
      </c>
      <c r="I127" s="9" t="n">
        <v>1</v>
      </c>
      <c r="J127" s="9" t="n">
        <v>2</v>
      </c>
      <c r="K127" s="9" t="n">
        <v>6</v>
      </c>
      <c r="L127" s="9" t="n">
        <v>5</v>
      </c>
      <c r="M127" s="9" t="n">
        <v>5</v>
      </c>
      <c r="N127" s="9" t="n"/>
      <c r="O127" s="9" t="n">
        <v>5</v>
      </c>
      <c r="P127" s="9" t="n">
        <v>6</v>
      </c>
      <c r="Q127" s="9" t="n">
        <v>5</v>
      </c>
      <c r="R127" s="9" t="n">
        <v>5</v>
      </c>
      <c r="S127" s="9" t="n">
        <v>5</v>
      </c>
      <c r="T127" s="9" t="n">
        <v>6</v>
      </c>
      <c r="U127" s="9" t="n">
        <v>6</v>
      </c>
      <c r="V127" s="9" t="n">
        <v>5</v>
      </c>
      <c r="W127" s="9" t="n">
        <v>5</v>
      </c>
      <c r="X127" s="9" t="n">
        <v>5</v>
      </c>
      <c r="Y127" s="9" t="inlineStr">
        <is>
          <t>09:24:03</t>
        </is>
      </c>
      <c r="Z127" s="9" t="inlineStr">
        <is>
          <t>09:26:49</t>
        </is>
      </c>
      <c r="AA127" s="9" t="n">
        <v>165.9</v>
      </c>
      <c r="AB127" s="9" t="inlineStr">
        <is>
          <t>是</t>
        </is>
      </c>
      <c r="AC127" s="9" t="inlineStr">
        <is>
          <t>是</t>
        </is>
      </c>
      <c r="AD127" s="9" t="inlineStr">
        <is>
          <t>是</t>
        </is>
      </c>
      <c r="AE127" s="9" t="inlineStr">
        <is>
          <t>无</t>
        </is>
      </c>
      <c r="AF127" s="9" t="n">
        <v>9.51</v>
      </c>
      <c r="AG127" s="9" t="n">
        <v>0.915</v>
      </c>
      <c r="AH127" s="9" t="n">
        <v>0.949</v>
      </c>
      <c r="AI127" s="9" t="n">
        <v>0.989</v>
      </c>
      <c r="AJ127" s="9" t="n">
        <v>0.754</v>
      </c>
      <c r="AK127" s="9" t="inlineStr">
        <is>
          <t>FrozenUncertain</t>
        </is>
      </c>
      <c r="AL127" s="9" t="inlineStr">
        <is>
          <t>否</t>
        </is>
      </c>
      <c r="AM127" s="9" t="n">
        <v>0</v>
      </c>
      <c r="AN127" s="9" t="n">
        <v>0</v>
      </c>
      <c r="AO127" s="9" t="inlineStr">
        <is>
          <t>否</t>
        </is>
      </c>
      <c r="AP127" s="9" t="n">
        <v>3</v>
      </c>
      <c r="AQ127" s="9" t="inlineStr"/>
    </row>
    <row r="128">
      <c r="A128" s="7" t="inlineStr">
        <is>
          <t>P021</t>
        </is>
      </c>
      <c r="B128" s="9" t="n">
        <v>4</v>
      </c>
      <c r="C128" s="9" t="inlineStr">
        <is>
          <t>O6-S1-EA</t>
        </is>
      </c>
      <c r="D128" s="9" t="n">
        <v>2</v>
      </c>
      <c r="E128" s="9" t="inlineStr">
        <is>
          <t>固定订书机</t>
        </is>
      </c>
      <c r="F128" s="9" t="inlineStr">
        <is>
          <t>stapler</t>
        </is>
      </c>
      <c r="G128" s="9" t="inlineStr">
        <is>
          <t>方法A</t>
        </is>
      </c>
      <c r="H128" s="9" t="inlineStr">
        <is>
          <t>EgoAnchor</t>
        </is>
      </c>
      <c r="I128" s="9" t="n">
        <v>2</v>
      </c>
      <c r="J128" s="9" t="n">
        <v>2</v>
      </c>
      <c r="K128" s="9" t="n">
        <v>6</v>
      </c>
      <c r="L128" s="9" t="n">
        <v>6</v>
      </c>
      <c r="M128" s="9" t="n">
        <v>6</v>
      </c>
      <c r="N128" s="9" t="n"/>
      <c r="O128" s="9" t="n">
        <v>6</v>
      </c>
      <c r="P128" s="9" t="n">
        <v>5</v>
      </c>
      <c r="Q128" s="9" t="n">
        <v>5</v>
      </c>
      <c r="R128" s="9" t="n">
        <v>6</v>
      </c>
      <c r="S128" s="9" t="n">
        <v>6</v>
      </c>
      <c r="T128" s="9" t="n">
        <v>6</v>
      </c>
      <c r="U128" s="9" t="n">
        <v>6</v>
      </c>
      <c r="V128" s="9" t="n">
        <v>7</v>
      </c>
      <c r="W128" s="9" t="n">
        <v>6</v>
      </c>
      <c r="X128" s="9" t="n">
        <v>6</v>
      </c>
      <c r="Y128" s="9" t="inlineStr">
        <is>
          <t>09:28:24</t>
        </is>
      </c>
      <c r="Z128" s="9" t="inlineStr">
        <is>
          <t>09:31:27</t>
        </is>
      </c>
      <c r="AA128" s="9" t="n">
        <v>183.4</v>
      </c>
      <c r="AB128" s="9" t="inlineStr">
        <is>
          <t>是</t>
        </is>
      </c>
      <c r="AC128" s="9" t="inlineStr">
        <is>
          <t>是</t>
        </is>
      </c>
      <c r="AD128" s="9" t="inlineStr">
        <is>
          <t>是</t>
        </is>
      </c>
      <c r="AE128" s="9" t="inlineStr">
        <is>
          <t>无</t>
        </is>
      </c>
      <c r="AF128" s="9" t="n">
        <v>9.779999999999999</v>
      </c>
      <c r="AG128" s="9" t="n">
        <v>0.916</v>
      </c>
      <c r="AH128" s="9" t="n">
        <v>0.957</v>
      </c>
      <c r="AI128" s="9" t="n">
        <v>0.992</v>
      </c>
      <c r="AJ128" s="9" t="n">
        <v>0.716</v>
      </c>
      <c r="AK128" s="9" t="inlineStr">
        <is>
          <t>FrozenUncertain</t>
        </is>
      </c>
      <c r="AL128" s="9" t="inlineStr">
        <is>
          <t>否</t>
        </is>
      </c>
      <c r="AM128" s="9" t="n">
        <v>0</v>
      </c>
      <c r="AN128" s="9" t="n">
        <v>3</v>
      </c>
      <c r="AO128" s="9" t="inlineStr">
        <is>
          <t>否</t>
        </is>
      </c>
      <c r="AP128" s="9" t="n">
        <v>4</v>
      </c>
      <c r="AQ128" s="9" t="inlineStr"/>
    </row>
    <row r="129">
      <c r="A129" s="7" t="inlineStr">
        <is>
          <t>P021</t>
        </is>
      </c>
      <c r="B129" s="9" t="n">
        <v>5</v>
      </c>
      <c r="C129" s="9" t="inlineStr">
        <is>
          <t>O6-S1-EA</t>
        </is>
      </c>
      <c r="D129" s="9" t="n">
        <v>3</v>
      </c>
      <c r="E129" s="9" t="inlineStr">
        <is>
          <t>鼠标</t>
        </is>
      </c>
      <c r="F129" s="9" t="inlineStr">
        <is>
          <t>blue_mouse</t>
        </is>
      </c>
      <c r="G129" s="9" t="inlineStr">
        <is>
          <t>方法A</t>
        </is>
      </c>
      <c r="H129" s="9" t="inlineStr">
        <is>
          <t>EgoAnchor</t>
        </is>
      </c>
      <c r="I129" s="9" t="n">
        <v>1</v>
      </c>
      <c r="J129" s="9" t="n">
        <v>3</v>
      </c>
      <c r="K129" s="9" t="n">
        <v>6</v>
      </c>
      <c r="L129" s="9" t="n">
        <v>4</v>
      </c>
      <c r="M129" s="9" t="n">
        <v>5</v>
      </c>
      <c r="N129" s="9" t="n"/>
      <c r="O129" s="9" t="n">
        <v>5</v>
      </c>
      <c r="P129" s="9" t="n">
        <v>5</v>
      </c>
      <c r="Q129" s="9" t="n">
        <v>5</v>
      </c>
      <c r="R129" s="9" t="n">
        <v>5</v>
      </c>
      <c r="S129" s="9" t="n">
        <v>4</v>
      </c>
      <c r="T129" s="9" t="n">
        <v>5</v>
      </c>
      <c r="U129" s="9" t="n">
        <v>5</v>
      </c>
      <c r="V129" s="9" t="n">
        <v>5</v>
      </c>
      <c r="W129" s="9" t="n">
        <v>4</v>
      </c>
      <c r="X129" s="9" t="n">
        <v>4</v>
      </c>
      <c r="Y129" s="9" t="inlineStr">
        <is>
          <t>09:33:02</t>
        </is>
      </c>
      <c r="Z129" s="9" t="inlineStr">
        <is>
          <t>09:35:41</t>
        </is>
      </c>
      <c r="AA129" s="9" t="n">
        <v>158.5</v>
      </c>
      <c r="AB129" s="9" t="inlineStr">
        <is>
          <t>是</t>
        </is>
      </c>
      <c r="AC129" s="9" t="inlineStr">
        <is>
          <t>是</t>
        </is>
      </c>
      <c r="AD129" s="9" t="inlineStr">
        <is>
          <t>是</t>
        </is>
      </c>
      <c r="AE129" s="9" t="inlineStr">
        <is>
          <t>无</t>
        </is>
      </c>
      <c r="AF129" s="9" t="n">
        <v>9.81</v>
      </c>
      <c r="AG129" s="9" t="n">
        <v>0.914</v>
      </c>
      <c r="AH129" s="9" t="n">
        <v>0.925</v>
      </c>
      <c r="AI129" s="9" t="n">
        <v>0.982</v>
      </c>
      <c r="AJ129" s="9" t="n">
        <v>0.756</v>
      </c>
      <c r="AK129" s="9" t="inlineStr">
        <is>
          <t>FrozenUncertain</t>
        </is>
      </c>
      <c r="AL129" s="9" t="inlineStr">
        <is>
          <t>否</t>
        </is>
      </c>
      <c r="AM129" s="9" t="n">
        <v>0</v>
      </c>
      <c r="AN129" s="9" t="n">
        <v>7</v>
      </c>
      <c r="AO129" s="9" t="inlineStr">
        <is>
          <t>否</t>
        </is>
      </c>
      <c r="AP129" s="9" t="n">
        <v>5</v>
      </c>
      <c r="AQ129" s="9" t="inlineStr"/>
    </row>
    <row r="130">
      <c r="A130" s="7" t="inlineStr">
        <is>
          <t>P021</t>
        </is>
      </c>
      <c r="B130" s="9" t="n">
        <v>6</v>
      </c>
      <c r="C130" s="9" t="inlineStr">
        <is>
          <t>O6-S1-EA</t>
        </is>
      </c>
      <c r="D130" s="9" t="n">
        <v>3</v>
      </c>
      <c r="E130" s="9" t="inlineStr">
        <is>
          <t>鼠标</t>
        </is>
      </c>
      <c r="F130" s="9" t="inlineStr">
        <is>
          <t>blue_mouse</t>
        </is>
      </c>
      <c r="G130" s="9" t="inlineStr">
        <is>
          <t>方法B</t>
        </is>
      </c>
      <c r="H130" s="9" t="inlineStr">
        <is>
          <t>One-Euro</t>
        </is>
      </c>
      <c r="I130" s="9" t="n">
        <v>2</v>
      </c>
      <c r="J130" s="9" t="n">
        <v>3</v>
      </c>
      <c r="K130" s="9" t="n">
        <v>5</v>
      </c>
      <c r="L130" s="9" t="n">
        <v>5</v>
      </c>
      <c r="M130" s="9" t="n">
        <v>5</v>
      </c>
      <c r="N130" s="9" t="n"/>
      <c r="O130" s="9" t="n">
        <v>7</v>
      </c>
      <c r="P130" s="9" t="n">
        <v>7</v>
      </c>
      <c r="Q130" s="9" t="n">
        <v>5</v>
      </c>
      <c r="R130" s="9" t="n">
        <v>6</v>
      </c>
      <c r="S130" s="9" t="n">
        <v>6</v>
      </c>
      <c r="T130" s="9" t="n">
        <v>6</v>
      </c>
      <c r="U130" s="9" t="n">
        <v>6</v>
      </c>
      <c r="V130" s="9" t="n">
        <v>6</v>
      </c>
      <c r="W130" s="9" t="n">
        <v>6</v>
      </c>
      <c r="X130" s="9" t="n">
        <v>4</v>
      </c>
      <c r="Y130" s="9" t="inlineStr">
        <is>
          <t>09:37:16</t>
        </is>
      </c>
      <c r="Z130" s="9" t="inlineStr">
        <is>
          <t>09:40:10</t>
        </is>
      </c>
      <c r="AA130" s="9" t="n">
        <v>174.4</v>
      </c>
      <c r="AB130" s="9" t="inlineStr">
        <is>
          <t>是</t>
        </is>
      </c>
      <c r="AC130" s="9" t="inlineStr">
        <is>
          <t>是</t>
        </is>
      </c>
      <c r="AD130" s="9" t="inlineStr">
        <is>
          <t>是</t>
        </is>
      </c>
      <c r="AE130" s="9" t="inlineStr">
        <is>
          <t>无</t>
        </is>
      </c>
      <c r="AF130" s="9" t="n">
        <v>9.41</v>
      </c>
      <c r="AG130" s="9" t="n">
        <v>0.899</v>
      </c>
      <c r="AH130" s="9" t="n">
        <v>0.948</v>
      </c>
      <c r="AI130" s="9" t="n">
        <v>0.984</v>
      </c>
      <c r="AJ130" s="9" t="n">
        <v>0.697</v>
      </c>
      <c r="AK130" s="9" t="inlineStr">
        <is>
          <t>FrozenUncertain</t>
        </is>
      </c>
      <c r="AL130" s="9" t="inlineStr">
        <is>
          <t>否</t>
        </is>
      </c>
      <c r="AM130" s="9" t="n">
        <v>0</v>
      </c>
      <c r="AN130" s="9" t="n">
        <v>0</v>
      </c>
      <c r="AO130" s="9" t="inlineStr">
        <is>
          <t>否</t>
        </is>
      </c>
      <c r="AP130" s="9" t="n">
        <v>6</v>
      </c>
      <c r="AQ130" s="9" t="inlineStr"/>
    </row>
    <row r="131">
      <c r="A131" s="7" t="inlineStr">
        <is>
          <t>P022</t>
        </is>
      </c>
      <c r="B131" s="9" t="n">
        <v>1</v>
      </c>
      <c r="C131" s="9" t="inlineStr">
        <is>
          <t>O6-S2-EA</t>
        </is>
      </c>
      <c r="D131" s="9" t="n">
        <v>1</v>
      </c>
      <c r="E131" s="9" t="inlineStr">
        <is>
          <t>游戏手柄</t>
        </is>
      </c>
      <c r="F131" s="9" t="inlineStr">
        <is>
          <t>gamepad</t>
        </is>
      </c>
      <c r="G131" s="9" t="inlineStr">
        <is>
          <t>方法B</t>
        </is>
      </c>
      <c r="H131" s="9" t="inlineStr">
        <is>
          <t>One-Euro</t>
        </is>
      </c>
      <c r="I131" s="9" t="n">
        <v>1</v>
      </c>
      <c r="J131" s="9" t="n">
        <v>1</v>
      </c>
      <c r="K131" s="9" t="n">
        <v>6</v>
      </c>
      <c r="L131" s="9" t="n">
        <v>6</v>
      </c>
      <c r="M131" s="9" t="n">
        <v>5</v>
      </c>
      <c r="N131" s="9" t="n"/>
      <c r="O131" s="9" t="n">
        <v>7</v>
      </c>
      <c r="P131" s="9" t="n">
        <v>6</v>
      </c>
      <c r="Q131" s="9" t="n">
        <v>6</v>
      </c>
      <c r="R131" s="9" t="n">
        <v>6</v>
      </c>
      <c r="S131" s="9" t="n">
        <v>6</v>
      </c>
      <c r="T131" s="9" t="n">
        <v>5</v>
      </c>
      <c r="U131" s="9" t="n">
        <v>7</v>
      </c>
      <c r="V131" s="9" t="n">
        <v>6</v>
      </c>
      <c r="W131" s="9" t="n">
        <v>7</v>
      </c>
      <c r="X131" s="9" t="n">
        <v>6</v>
      </c>
      <c r="Y131" s="9" t="inlineStr">
        <is>
          <t>09:15:00</t>
        </is>
      </c>
      <c r="Z131" s="9" t="inlineStr">
        <is>
          <t>09:16:35</t>
        </is>
      </c>
      <c r="AA131" s="9" t="n">
        <v>95.5</v>
      </c>
      <c r="AB131" s="9" t="inlineStr">
        <is>
          <t>是</t>
        </is>
      </c>
      <c r="AC131" s="9" t="inlineStr">
        <is>
          <t>是</t>
        </is>
      </c>
      <c r="AD131" s="9" t="inlineStr">
        <is>
          <t>是</t>
        </is>
      </c>
      <c r="AE131" s="9" t="inlineStr">
        <is>
          <t>无</t>
        </is>
      </c>
      <c r="AF131" s="9" t="n">
        <v>9.460000000000001</v>
      </c>
      <c r="AG131" s="9" t="n">
        <v>0.88</v>
      </c>
      <c r="AH131" s="9" t="n">
        <v>0.914</v>
      </c>
      <c r="AI131" s="9" t="n">
        <v>0.973</v>
      </c>
      <c r="AJ131" s="9" t="n">
        <v>0.736</v>
      </c>
      <c r="AK131" s="9" t="inlineStr">
        <is>
          <t>FrozenUncertain</t>
        </is>
      </c>
      <c r="AL131" s="9" t="inlineStr">
        <is>
          <t>否</t>
        </is>
      </c>
      <c r="AM131" s="9" t="n">
        <v>0</v>
      </c>
      <c r="AN131" s="9" t="n">
        <v>0</v>
      </c>
      <c r="AO131" s="9" t="inlineStr">
        <is>
          <t>否</t>
        </is>
      </c>
      <c r="AP131" s="9" t="n">
        <v>4</v>
      </c>
      <c r="AQ131" s="9" t="inlineStr"/>
    </row>
    <row r="132">
      <c r="A132" s="7" t="inlineStr">
        <is>
          <t>P022</t>
        </is>
      </c>
      <c r="B132" s="9" t="n">
        <v>2</v>
      </c>
      <c r="C132" s="9" t="inlineStr">
        <is>
          <t>O6-S2-EA</t>
        </is>
      </c>
      <c r="D132" s="9" t="n">
        <v>1</v>
      </c>
      <c r="E132" s="9" t="inlineStr">
        <is>
          <t>游戏手柄</t>
        </is>
      </c>
      <c r="F132" s="9" t="inlineStr">
        <is>
          <t>gamepad</t>
        </is>
      </c>
      <c r="G132" s="9" t="inlineStr">
        <is>
          <t>方法A</t>
        </is>
      </c>
      <c r="H132" s="9" t="inlineStr">
        <is>
          <t>EgoAnchor</t>
        </is>
      </c>
      <c r="I132" s="9" t="n">
        <v>2</v>
      </c>
      <c r="J132" s="9" t="n">
        <v>1</v>
      </c>
      <c r="K132" s="9" t="n">
        <v>6</v>
      </c>
      <c r="L132" s="9" t="n">
        <v>5</v>
      </c>
      <c r="M132" s="9" t="n">
        <v>5</v>
      </c>
      <c r="N132" s="9" t="n"/>
      <c r="O132" s="9" t="n">
        <v>6</v>
      </c>
      <c r="P132" s="9" t="n">
        <v>6</v>
      </c>
      <c r="Q132" s="9" t="n">
        <v>6</v>
      </c>
      <c r="R132" s="9" t="n">
        <v>6</v>
      </c>
      <c r="S132" s="9" t="n">
        <v>6</v>
      </c>
      <c r="T132" s="9" t="n">
        <v>6</v>
      </c>
      <c r="U132" s="9" t="n">
        <v>6</v>
      </c>
      <c r="V132" s="9" t="n">
        <v>6</v>
      </c>
      <c r="W132" s="9" t="n">
        <v>5</v>
      </c>
      <c r="X132" s="9" t="n">
        <v>5</v>
      </c>
      <c r="Y132" s="9" t="inlineStr">
        <is>
          <t>09:18:10</t>
        </is>
      </c>
      <c r="Z132" s="9" t="inlineStr">
        <is>
          <t>09:19:55</t>
        </is>
      </c>
      <c r="AA132" s="9" t="n">
        <v>104.5</v>
      </c>
      <c r="AB132" s="9" t="inlineStr">
        <is>
          <t>是</t>
        </is>
      </c>
      <c r="AC132" s="9" t="inlineStr">
        <is>
          <t>是</t>
        </is>
      </c>
      <c r="AD132" s="9" t="inlineStr">
        <is>
          <t>是</t>
        </is>
      </c>
      <c r="AE132" s="9" t="inlineStr">
        <is>
          <t>无</t>
        </is>
      </c>
      <c r="AF132" s="9" t="n">
        <v>9.44</v>
      </c>
      <c r="AG132" s="9" t="n">
        <v>0.844</v>
      </c>
      <c r="AH132" s="9" t="n">
        <v>0.9350000000000001</v>
      </c>
      <c r="AI132" s="9" t="n">
        <v>0.977</v>
      </c>
      <c r="AJ132" s="9" t="n">
        <v>0.793</v>
      </c>
      <c r="AK132" s="9" t="inlineStr">
        <is>
          <t>FrozenUncertain</t>
        </is>
      </c>
      <c r="AL132" s="9" t="inlineStr">
        <is>
          <t>否</t>
        </is>
      </c>
      <c r="AM132" s="9" t="n">
        <v>0</v>
      </c>
      <c r="AN132" s="9" t="n">
        <v>8</v>
      </c>
      <c r="AO132" s="9" t="inlineStr">
        <is>
          <t>否</t>
        </is>
      </c>
      <c r="AP132" s="9" t="n">
        <v>8</v>
      </c>
      <c r="AQ132" s="9" t="inlineStr"/>
    </row>
    <row r="133">
      <c r="A133" s="7" t="inlineStr">
        <is>
          <t>P022</t>
        </is>
      </c>
      <c r="B133" s="9" t="n">
        <v>3</v>
      </c>
      <c r="C133" s="9" t="inlineStr">
        <is>
          <t>O6-S2-EA</t>
        </is>
      </c>
      <c r="D133" s="9" t="n">
        <v>2</v>
      </c>
      <c r="E133" s="9" t="inlineStr">
        <is>
          <t>固定订书机</t>
        </is>
      </c>
      <c r="F133" s="9" t="inlineStr">
        <is>
          <t>stapler</t>
        </is>
      </c>
      <c r="G133" s="9" t="inlineStr">
        <is>
          <t>方法A</t>
        </is>
      </c>
      <c r="H133" s="9" t="inlineStr">
        <is>
          <t>EgoAnchor</t>
        </is>
      </c>
      <c r="I133" s="9" t="n">
        <v>1</v>
      </c>
      <c r="J133" s="9" t="n">
        <v>2</v>
      </c>
      <c r="K133" s="9" t="n">
        <v>6</v>
      </c>
      <c r="L133" s="9" t="n">
        <v>5</v>
      </c>
      <c r="M133" s="9" t="n">
        <v>6</v>
      </c>
      <c r="N133" s="9" t="n"/>
      <c r="O133" s="9" t="n">
        <v>6</v>
      </c>
      <c r="P133" s="9" t="n">
        <v>6</v>
      </c>
      <c r="Q133" s="9" t="n">
        <v>6</v>
      </c>
      <c r="R133" s="9" t="n">
        <v>6</v>
      </c>
      <c r="S133" s="9" t="n">
        <v>6</v>
      </c>
      <c r="T133" s="9" t="n">
        <v>6</v>
      </c>
      <c r="U133" s="9" t="n">
        <v>6</v>
      </c>
      <c r="V133" s="9" t="n">
        <v>7</v>
      </c>
      <c r="W133" s="9" t="n">
        <v>6</v>
      </c>
      <c r="X133" s="9" t="n">
        <v>6</v>
      </c>
      <c r="Y133" s="9" t="inlineStr">
        <is>
          <t>09:21:30</t>
        </is>
      </c>
      <c r="Z133" s="9" t="inlineStr">
        <is>
          <t>09:23:41</t>
        </is>
      </c>
      <c r="AA133" s="9" t="n">
        <v>131.8</v>
      </c>
      <c r="AB133" s="9" t="inlineStr">
        <is>
          <t>是</t>
        </is>
      </c>
      <c r="AC133" s="9" t="inlineStr">
        <is>
          <t>是</t>
        </is>
      </c>
      <c r="AD133" s="9" t="inlineStr">
        <is>
          <t>是</t>
        </is>
      </c>
      <c r="AE133" s="9" t="inlineStr">
        <is>
          <t>无</t>
        </is>
      </c>
      <c r="AF133" s="9" t="n">
        <v>9.58</v>
      </c>
      <c r="AG133" s="9" t="n">
        <v>0.9379999999999999</v>
      </c>
      <c r="AH133" s="9" t="n">
        <v>0.944</v>
      </c>
      <c r="AI133" s="9" t="n">
        <v>0.991</v>
      </c>
      <c r="AJ133" s="9" t="n">
        <v>0.742</v>
      </c>
      <c r="AK133" s="9" t="inlineStr">
        <is>
          <t>FrozenUncertain</t>
        </is>
      </c>
      <c r="AL133" s="9" t="inlineStr">
        <is>
          <t>否</t>
        </is>
      </c>
      <c r="AM133" s="9" t="n">
        <v>1</v>
      </c>
      <c r="AN133" s="9" t="n">
        <v>4</v>
      </c>
      <c r="AO133" s="9" t="inlineStr">
        <is>
          <t>否</t>
        </is>
      </c>
      <c r="AP133" s="9" t="n">
        <v>8</v>
      </c>
      <c r="AQ133" s="9" t="inlineStr">
        <is>
          <t>StaticLock 锁在略偏位姿</t>
        </is>
      </c>
    </row>
    <row r="134">
      <c r="A134" s="7" t="inlineStr">
        <is>
          <t>P022</t>
        </is>
      </c>
      <c r="B134" s="9" t="n">
        <v>4</v>
      </c>
      <c r="C134" s="9" t="inlineStr">
        <is>
          <t>O6-S2-EA</t>
        </is>
      </c>
      <c r="D134" s="9" t="n">
        <v>2</v>
      </c>
      <c r="E134" s="9" t="inlineStr">
        <is>
          <t>固定订书机</t>
        </is>
      </c>
      <c r="F134" s="9" t="inlineStr">
        <is>
          <t>stapler</t>
        </is>
      </c>
      <c r="G134" s="9" t="inlineStr">
        <is>
          <t>方法B</t>
        </is>
      </c>
      <c r="H134" s="9" t="inlineStr">
        <is>
          <t>One-Euro</t>
        </is>
      </c>
      <c r="I134" s="9" t="n">
        <v>2</v>
      </c>
      <c r="J134" s="9" t="n">
        <v>2</v>
      </c>
      <c r="K134" s="9" t="n">
        <v>5</v>
      </c>
      <c r="L134" s="9" t="n">
        <v>6</v>
      </c>
      <c r="M134" s="9" t="n">
        <v>6</v>
      </c>
      <c r="N134" s="9" t="n"/>
      <c r="O134" s="9" t="n">
        <v>7</v>
      </c>
      <c r="P134" s="9" t="n">
        <v>6</v>
      </c>
      <c r="Q134" s="9" t="n">
        <v>6</v>
      </c>
      <c r="R134" s="9" t="n">
        <v>6</v>
      </c>
      <c r="S134" s="9" t="n">
        <v>6</v>
      </c>
      <c r="T134" s="9" t="n">
        <v>6</v>
      </c>
      <c r="U134" s="9" t="n">
        <v>7</v>
      </c>
      <c r="V134" s="9" t="n">
        <v>7</v>
      </c>
      <c r="W134" s="9" t="n">
        <v>6</v>
      </c>
      <c r="X134" s="9" t="n">
        <v>6</v>
      </c>
      <c r="Y134" s="9" t="inlineStr">
        <is>
          <t>09:25:16</t>
        </is>
      </c>
      <c r="Z134" s="9" t="inlineStr">
        <is>
          <t>09:26:58</t>
        </is>
      </c>
      <c r="AA134" s="9" t="n">
        <v>101.8</v>
      </c>
      <c r="AB134" s="9" t="inlineStr">
        <is>
          <t>是</t>
        </is>
      </c>
      <c r="AC134" s="9" t="inlineStr">
        <is>
          <t>是</t>
        </is>
      </c>
      <c r="AD134" s="9" t="inlineStr">
        <is>
          <t>是</t>
        </is>
      </c>
      <c r="AE134" s="9" t="inlineStr">
        <is>
          <t>无</t>
        </is>
      </c>
      <c r="AF134" s="9" t="n">
        <v>9.57</v>
      </c>
      <c r="AG134" s="9" t="n">
        <v>0.923</v>
      </c>
      <c r="AH134" s="9" t="n">
        <v>0.96</v>
      </c>
      <c r="AI134" s="9" t="n">
        <v>0.998</v>
      </c>
      <c r="AJ134" s="9" t="n">
        <v>0.791</v>
      </c>
      <c r="AK134" s="9" t="inlineStr">
        <is>
          <t>FrozenUncertain</t>
        </is>
      </c>
      <c r="AL134" s="9" t="inlineStr">
        <is>
          <t>否</t>
        </is>
      </c>
      <c r="AM134" s="9" t="n">
        <v>0</v>
      </c>
      <c r="AN134" s="9" t="n">
        <v>0</v>
      </c>
      <c r="AO134" s="9" t="inlineStr">
        <is>
          <t>否</t>
        </is>
      </c>
      <c r="AP134" s="9" t="n">
        <v>5</v>
      </c>
      <c r="AQ134" s="9" t="inlineStr"/>
    </row>
    <row r="135">
      <c r="A135" s="7" t="inlineStr">
        <is>
          <t>P022</t>
        </is>
      </c>
      <c r="B135" s="9" t="n">
        <v>5</v>
      </c>
      <c r="C135" s="9" t="inlineStr">
        <is>
          <t>O6-S2-EA</t>
        </is>
      </c>
      <c r="D135" s="9" t="n">
        <v>3</v>
      </c>
      <c r="E135" s="9" t="inlineStr">
        <is>
          <t>鼠标</t>
        </is>
      </c>
      <c r="F135" s="9" t="inlineStr">
        <is>
          <t>blue_mouse</t>
        </is>
      </c>
      <c r="G135" s="9" t="inlineStr">
        <is>
          <t>方法B</t>
        </is>
      </c>
      <c r="H135" s="9" t="inlineStr">
        <is>
          <t>One-Euro</t>
        </is>
      </c>
      <c r="I135" s="9" t="n">
        <v>1</v>
      </c>
      <c r="J135" s="9" t="n">
        <v>3</v>
      </c>
      <c r="K135" s="9" t="n">
        <v>4</v>
      </c>
      <c r="L135" s="9" t="n">
        <v>5</v>
      </c>
      <c r="M135" s="9" t="n">
        <v>5</v>
      </c>
      <c r="N135" s="9" t="n"/>
      <c r="O135" s="9" t="n">
        <v>6</v>
      </c>
      <c r="P135" s="9" t="n">
        <v>4</v>
      </c>
      <c r="Q135" s="9" t="n">
        <v>2</v>
      </c>
      <c r="R135" s="9" t="n">
        <v>4</v>
      </c>
      <c r="S135" s="9" t="n">
        <v>5</v>
      </c>
      <c r="T135" s="9" t="n">
        <v>6</v>
      </c>
      <c r="U135" s="9" t="n">
        <v>7</v>
      </c>
      <c r="V135" s="9" t="n">
        <v>5</v>
      </c>
      <c r="W135" s="9" t="n">
        <v>4</v>
      </c>
      <c r="X135" s="9" t="n">
        <v>4</v>
      </c>
      <c r="Y135" s="9" t="inlineStr">
        <is>
          <t>09:28:33</t>
        </is>
      </c>
      <c r="Z135" s="9" t="inlineStr">
        <is>
          <t>09:30:30</t>
        </is>
      </c>
      <c r="AA135" s="9" t="n">
        <v>116.7</v>
      </c>
      <c r="AB135" s="9" t="inlineStr">
        <is>
          <t>是</t>
        </is>
      </c>
      <c r="AC135" s="9" t="inlineStr">
        <is>
          <t>是</t>
        </is>
      </c>
      <c r="AD135" s="9" t="inlineStr">
        <is>
          <t>是</t>
        </is>
      </c>
      <c r="AE135" s="9" t="inlineStr">
        <is>
          <t>无</t>
        </is>
      </c>
      <c r="AF135" s="9" t="n">
        <v>9.57</v>
      </c>
      <c r="AG135" s="9" t="n">
        <v>0.914</v>
      </c>
      <c r="AH135" s="9" t="n">
        <v>0.9429999999999999</v>
      </c>
      <c r="AI135" s="9" t="n">
        <v>0.989</v>
      </c>
      <c r="AJ135" s="9" t="n">
        <v>0.749</v>
      </c>
      <c r="AK135" s="9" t="inlineStr">
        <is>
          <t>FrozenUncertain</t>
        </is>
      </c>
      <c r="AL135" s="9" t="inlineStr">
        <is>
          <t>否</t>
        </is>
      </c>
      <c r="AM135" s="9" t="n">
        <v>0</v>
      </c>
      <c r="AN135" s="9" t="n">
        <v>0</v>
      </c>
      <c r="AO135" s="9" t="inlineStr">
        <is>
          <t>否</t>
        </is>
      </c>
      <c r="AP135" s="9" t="n">
        <v>2</v>
      </c>
      <c r="AQ135" s="9" t="inlineStr">
        <is>
          <t>灾难性恢复失效(&gt;40mm 级)</t>
        </is>
      </c>
    </row>
    <row r="136">
      <c r="A136" s="7" t="inlineStr">
        <is>
          <t>P022</t>
        </is>
      </c>
      <c r="B136" s="9" t="n">
        <v>6</v>
      </c>
      <c r="C136" s="9" t="inlineStr">
        <is>
          <t>O6-S2-EA</t>
        </is>
      </c>
      <c r="D136" s="9" t="n">
        <v>3</v>
      </c>
      <c r="E136" s="9" t="inlineStr">
        <is>
          <t>鼠标</t>
        </is>
      </c>
      <c r="F136" s="9" t="inlineStr">
        <is>
          <t>blue_mouse</t>
        </is>
      </c>
      <c r="G136" s="9" t="inlineStr">
        <is>
          <t>方法A</t>
        </is>
      </c>
      <c r="H136" s="9" t="inlineStr">
        <is>
          <t>EgoAnchor</t>
        </is>
      </c>
      <c r="I136" s="9" t="n">
        <v>2</v>
      </c>
      <c r="J136" s="9" t="n">
        <v>3</v>
      </c>
      <c r="K136" s="9" t="n">
        <v>6</v>
      </c>
      <c r="L136" s="9" t="n">
        <v>6</v>
      </c>
      <c r="M136" s="9" t="n">
        <v>6</v>
      </c>
      <c r="N136" s="9" t="n"/>
      <c r="O136" s="9" t="n">
        <v>6</v>
      </c>
      <c r="P136" s="9" t="n">
        <v>6</v>
      </c>
      <c r="Q136" s="9" t="n">
        <v>7</v>
      </c>
      <c r="R136" s="9" t="n">
        <v>6</v>
      </c>
      <c r="S136" s="9" t="n">
        <v>4</v>
      </c>
      <c r="T136" s="9" t="n">
        <v>5</v>
      </c>
      <c r="U136" s="9" t="n">
        <v>5</v>
      </c>
      <c r="V136" s="9" t="n">
        <v>7</v>
      </c>
      <c r="W136" s="9" t="n">
        <v>7</v>
      </c>
      <c r="X136" s="9" t="n">
        <v>6</v>
      </c>
      <c r="Y136" s="9" t="inlineStr">
        <is>
          <t>09:32:05</t>
        </is>
      </c>
      <c r="Z136" s="9" t="inlineStr">
        <is>
          <t>09:34:05</t>
        </is>
      </c>
      <c r="AA136" s="9" t="n">
        <v>119.9</v>
      </c>
      <c r="AB136" s="9" t="inlineStr">
        <is>
          <t>是</t>
        </is>
      </c>
      <c r="AC136" s="9" t="inlineStr">
        <is>
          <t>是</t>
        </is>
      </c>
      <c r="AD136" s="9" t="inlineStr">
        <is>
          <t>是</t>
        </is>
      </c>
      <c r="AE136" s="9" t="inlineStr">
        <is>
          <t>无</t>
        </is>
      </c>
      <c r="AF136" s="9" t="n">
        <v>9.609999999999999</v>
      </c>
      <c r="AG136" s="9" t="n">
        <v>0.862</v>
      </c>
      <c r="AH136" s="9" t="n">
        <v>0.952</v>
      </c>
      <c r="AI136" s="9" t="n">
        <v>0.982</v>
      </c>
      <c r="AJ136" s="9" t="n">
        <v>0.721</v>
      </c>
      <c r="AK136" s="9" t="inlineStr">
        <is>
          <t>FrozenUncertain</t>
        </is>
      </c>
      <c r="AL136" s="9" t="inlineStr">
        <is>
          <t>否</t>
        </is>
      </c>
      <c r="AM136" s="9" t="n">
        <v>0</v>
      </c>
      <c r="AN136" s="9" t="n">
        <v>4</v>
      </c>
      <c r="AO136" s="9" t="inlineStr">
        <is>
          <t>否</t>
        </is>
      </c>
      <c r="AP136" s="9" t="n">
        <v>5</v>
      </c>
      <c r="AQ136" s="9" t="inlineStr"/>
    </row>
    <row r="137">
      <c r="A137" s="7" t="inlineStr">
        <is>
          <t>P023</t>
        </is>
      </c>
      <c r="B137" s="9" t="n">
        <v>1</v>
      </c>
      <c r="C137" s="9" t="inlineStr">
        <is>
          <t>O6-S2-OE</t>
        </is>
      </c>
      <c r="D137" s="9" t="n">
        <v>1</v>
      </c>
      <c r="E137" s="9" t="inlineStr">
        <is>
          <t>游戏手柄</t>
        </is>
      </c>
      <c r="F137" s="9" t="inlineStr">
        <is>
          <t>gamepad</t>
        </is>
      </c>
      <c r="G137" s="9" t="inlineStr">
        <is>
          <t>方法B</t>
        </is>
      </c>
      <c r="H137" s="9" t="inlineStr">
        <is>
          <t>EgoAnchor</t>
        </is>
      </c>
      <c r="I137" s="9" t="n">
        <v>1</v>
      </c>
      <c r="J137" s="9" t="n">
        <v>1</v>
      </c>
      <c r="K137" s="9" t="n">
        <v>5</v>
      </c>
      <c r="L137" s="9" t="n">
        <v>5</v>
      </c>
      <c r="M137" s="9" t="n">
        <v>4</v>
      </c>
      <c r="N137" s="9" t="n"/>
      <c r="O137" s="9" t="n">
        <v>4</v>
      </c>
      <c r="P137" s="9" t="n">
        <v>5</v>
      </c>
      <c r="Q137" s="9" t="n">
        <v>5</v>
      </c>
      <c r="R137" s="9" t="n">
        <v>4</v>
      </c>
      <c r="S137" s="9" t="n">
        <v>5</v>
      </c>
      <c r="T137" s="9" t="n">
        <v>4</v>
      </c>
      <c r="U137" s="9" t="n">
        <v>5</v>
      </c>
      <c r="V137" s="9" t="n">
        <v>5</v>
      </c>
      <c r="W137" s="9" t="n">
        <v>5</v>
      </c>
      <c r="X137" s="9" t="n">
        <v>5</v>
      </c>
      <c r="Y137" s="9" t="inlineStr">
        <is>
          <t>09:15:00</t>
        </is>
      </c>
      <c r="Z137" s="9" t="inlineStr">
        <is>
          <t>09:17:23</t>
        </is>
      </c>
      <c r="AA137" s="9" t="n">
        <v>143.6</v>
      </c>
      <c r="AB137" s="9" t="inlineStr">
        <is>
          <t>是</t>
        </is>
      </c>
      <c r="AC137" s="9" t="inlineStr">
        <is>
          <t>是</t>
        </is>
      </c>
      <c r="AD137" s="9" t="inlineStr">
        <is>
          <t>是</t>
        </is>
      </c>
      <c r="AE137" s="9" t="inlineStr">
        <is>
          <t>无</t>
        </is>
      </c>
      <c r="AF137" s="9" t="n">
        <v>9.58</v>
      </c>
      <c r="AG137" s="9" t="n">
        <v>0.877</v>
      </c>
      <c r="AH137" s="9" t="n">
        <v>0.9360000000000001</v>
      </c>
      <c r="AI137" s="9" t="n">
        <v>0.98</v>
      </c>
      <c r="AJ137" s="9" t="n">
        <v>0.848</v>
      </c>
      <c r="AK137" s="9" t="inlineStr">
        <is>
          <t>FrozenUncertain</t>
        </is>
      </c>
      <c r="AL137" s="9" t="inlineStr">
        <is>
          <t>否</t>
        </is>
      </c>
      <c r="AM137" s="9" t="n">
        <v>0</v>
      </c>
      <c r="AN137" s="9" t="n">
        <v>5</v>
      </c>
      <c r="AO137" s="9" t="inlineStr">
        <is>
          <t>否</t>
        </is>
      </c>
      <c r="AP137" s="9" t="n">
        <v>4</v>
      </c>
      <c r="AQ137" s="9" t="inlineStr"/>
    </row>
    <row r="138">
      <c r="A138" s="7" t="inlineStr">
        <is>
          <t>P023</t>
        </is>
      </c>
      <c r="B138" s="9" t="n">
        <v>2</v>
      </c>
      <c r="C138" s="9" t="inlineStr">
        <is>
          <t>O6-S2-OE</t>
        </is>
      </c>
      <c r="D138" s="9" t="n">
        <v>1</v>
      </c>
      <c r="E138" s="9" t="inlineStr">
        <is>
          <t>游戏手柄</t>
        </is>
      </c>
      <c r="F138" s="9" t="inlineStr">
        <is>
          <t>gamepad</t>
        </is>
      </c>
      <c r="G138" s="9" t="inlineStr">
        <is>
          <t>方法A</t>
        </is>
      </c>
      <c r="H138" s="9" t="inlineStr">
        <is>
          <t>One-Euro</t>
        </is>
      </c>
      <c r="I138" s="9" t="n">
        <v>2</v>
      </c>
      <c r="J138" s="9" t="n">
        <v>1</v>
      </c>
      <c r="K138" s="9" t="n">
        <v>4</v>
      </c>
      <c r="L138" s="9" t="n">
        <v>5</v>
      </c>
      <c r="M138" s="9" t="n">
        <v>5</v>
      </c>
      <c r="N138" s="9" t="n"/>
      <c r="O138" s="9" t="n">
        <v>5</v>
      </c>
      <c r="P138" s="9" t="n">
        <v>5</v>
      </c>
      <c r="Q138" s="9" t="n">
        <v>5</v>
      </c>
      <c r="R138" s="9" t="n">
        <v>5</v>
      </c>
      <c r="S138" s="9" t="n">
        <v>4</v>
      </c>
      <c r="T138" s="9" t="n">
        <v>5</v>
      </c>
      <c r="U138" s="9" t="n">
        <v>5</v>
      </c>
      <c r="V138" s="9" t="n">
        <v>5</v>
      </c>
      <c r="W138" s="9" t="n">
        <v>5</v>
      </c>
      <c r="X138" s="9" t="n">
        <v>5</v>
      </c>
      <c r="Y138" s="9" t="inlineStr">
        <is>
          <t>09:18:58</t>
        </is>
      </c>
      <c r="Z138" s="9" t="inlineStr">
        <is>
          <t>09:21:17</t>
        </is>
      </c>
      <c r="AA138" s="9" t="n">
        <v>138.6</v>
      </c>
      <c r="AB138" s="9" t="inlineStr">
        <is>
          <t>是</t>
        </is>
      </c>
      <c r="AC138" s="9" t="inlineStr">
        <is>
          <t>是</t>
        </is>
      </c>
      <c r="AD138" s="9" t="inlineStr">
        <is>
          <t>是</t>
        </is>
      </c>
      <c r="AE138" s="9" t="inlineStr">
        <is>
          <t>无</t>
        </is>
      </c>
      <c r="AF138" s="9" t="n">
        <v>9.16</v>
      </c>
      <c r="AG138" s="9" t="n">
        <v>0.847</v>
      </c>
      <c r="AH138" s="9" t="n">
        <v>0.909</v>
      </c>
      <c r="AI138" s="9" t="n">
        <v>0.98</v>
      </c>
      <c r="AJ138" s="9" t="n">
        <v>0.736</v>
      </c>
      <c r="AK138" s="9" t="inlineStr">
        <is>
          <t>FrozenUncertain</t>
        </is>
      </c>
      <c r="AL138" s="9" t="inlineStr">
        <is>
          <t>否</t>
        </is>
      </c>
      <c r="AM138" s="9" t="n">
        <v>0</v>
      </c>
      <c r="AN138" s="9" t="n">
        <v>0</v>
      </c>
      <c r="AO138" s="9" t="inlineStr">
        <is>
          <t>否</t>
        </is>
      </c>
      <c r="AP138" s="9" t="n">
        <v>6</v>
      </c>
      <c r="AQ138" s="9" t="inlineStr"/>
    </row>
    <row r="139">
      <c r="A139" s="7" t="inlineStr">
        <is>
          <t>P023</t>
        </is>
      </c>
      <c r="B139" s="9" t="n">
        <v>3</v>
      </c>
      <c r="C139" s="9" t="inlineStr">
        <is>
          <t>O6-S2-OE</t>
        </is>
      </c>
      <c r="D139" s="9" t="n">
        <v>2</v>
      </c>
      <c r="E139" s="9" t="inlineStr">
        <is>
          <t>固定订书机</t>
        </is>
      </c>
      <c r="F139" s="9" t="inlineStr">
        <is>
          <t>stapler</t>
        </is>
      </c>
      <c r="G139" s="9" t="inlineStr">
        <is>
          <t>方法A</t>
        </is>
      </c>
      <c r="H139" s="9" t="inlineStr">
        <is>
          <t>One-Euro</t>
        </is>
      </c>
      <c r="I139" s="9" t="n">
        <v>1</v>
      </c>
      <c r="J139" s="9" t="n">
        <v>2</v>
      </c>
      <c r="K139" s="9" t="n">
        <v>5</v>
      </c>
      <c r="L139" s="9" t="n">
        <v>5</v>
      </c>
      <c r="M139" s="9" t="n">
        <v>4</v>
      </c>
      <c r="N139" s="9" t="n"/>
      <c r="O139" s="9" t="n">
        <v>5</v>
      </c>
      <c r="P139" s="9" t="n">
        <v>5</v>
      </c>
      <c r="Q139" s="9" t="n">
        <v>5</v>
      </c>
      <c r="R139" s="9" t="n">
        <v>5</v>
      </c>
      <c r="S139" s="9" t="n">
        <v>5</v>
      </c>
      <c r="T139" s="9" t="n">
        <v>5</v>
      </c>
      <c r="U139" s="9" t="n">
        <v>6</v>
      </c>
      <c r="V139" s="9" t="n">
        <v>6</v>
      </c>
      <c r="W139" s="9" t="n">
        <v>5</v>
      </c>
      <c r="X139" s="9" t="n">
        <v>5</v>
      </c>
      <c r="Y139" s="9" t="inlineStr">
        <is>
          <t>09:22:52</t>
        </is>
      </c>
      <c r="Z139" s="9" t="inlineStr">
        <is>
          <t>09:24:51</t>
        </is>
      </c>
      <c r="AA139" s="9" t="n">
        <v>119.2</v>
      </c>
      <c r="AB139" s="9" t="inlineStr">
        <is>
          <t>是</t>
        </is>
      </c>
      <c r="AC139" s="9" t="inlineStr">
        <is>
          <t>是</t>
        </is>
      </c>
      <c r="AD139" s="9" t="inlineStr">
        <is>
          <t>是</t>
        </is>
      </c>
      <c r="AE139" s="9" t="inlineStr">
        <is>
          <t>无</t>
        </is>
      </c>
      <c r="AF139" s="9" t="n">
        <v>9.68</v>
      </c>
      <c r="AG139" s="9" t="n">
        <v>0.93</v>
      </c>
      <c r="AH139" s="9" t="n">
        <v>0.9389999999999999</v>
      </c>
      <c r="AI139" s="9" t="n">
        <v>0.989</v>
      </c>
      <c r="AJ139" s="9" t="n">
        <v>0.768</v>
      </c>
      <c r="AK139" s="9" t="inlineStr">
        <is>
          <t>FrozenUncertain</t>
        </is>
      </c>
      <c r="AL139" s="9" t="inlineStr">
        <is>
          <t>否</t>
        </is>
      </c>
      <c r="AM139" s="9" t="n">
        <v>0</v>
      </c>
      <c r="AN139" s="9" t="n">
        <v>0</v>
      </c>
      <c r="AO139" s="9" t="inlineStr">
        <is>
          <t>否</t>
        </is>
      </c>
      <c r="AP139" s="9" t="n">
        <v>6</v>
      </c>
      <c r="AQ139" s="9" t="inlineStr"/>
    </row>
    <row r="140">
      <c r="A140" s="7" t="inlineStr">
        <is>
          <t>P023</t>
        </is>
      </c>
      <c r="B140" s="9" t="n">
        <v>4</v>
      </c>
      <c r="C140" s="9" t="inlineStr">
        <is>
          <t>O6-S2-OE</t>
        </is>
      </c>
      <c r="D140" s="9" t="n">
        <v>2</v>
      </c>
      <c r="E140" s="9" t="inlineStr">
        <is>
          <t>固定订书机</t>
        </is>
      </c>
      <c r="F140" s="9" t="inlineStr">
        <is>
          <t>stapler</t>
        </is>
      </c>
      <c r="G140" s="9" t="inlineStr">
        <is>
          <t>方法B</t>
        </is>
      </c>
      <c r="H140" s="9" t="inlineStr">
        <is>
          <t>EgoAnchor</t>
        </is>
      </c>
      <c r="I140" s="9" t="n">
        <v>2</v>
      </c>
      <c r="J140" s="9" t="n">
        <v>2</v>
      </c>
      <c r="K140" s="9" t="n">
        <v>5</v>
      </c>
      <c r="L140" s="9" t="n">
        <v>5</v>
      </c>
      <c r="M140" s="9" t="n">
        <v>5</v>
      </c>
      <c r="N140" s="9" t="n"/>
      <c r="O140" s="9" t="n">
        <v>4</v>
      </c>
      <c r="P140" s="9" t="n">
        <v>5</v>
      </c>
      <c r="Q140" s="9" t="n">
        <v>5</v>
      </c>
      <c r="R140" s="9" t="n">
        <v>5</v>
      </c>
      <c r="S140" s="9" t="n">
        <v>5</v>
      </c>
      <c r="T140" s="9" t="n">
        <v>4</v>
      </c>
      <c r="U140" s="9" t="n">
        <v>5</v>
      </c>
      <c r="V140" s="9" t="n">
        <v>5</v>
      </c>
      <c r="W140" s="9" t="n">
        <v>6</v>
      </c>
      <c r="X140" s="9" t="n">
        <v>5</v>
      </c>
      <c r="Y140" s="9" t="inlineStr">
        <is>
          <t>09:26:26</t>
        </is>
      </c>
      <c r="Z140" s="9" t="inlineStr">
        <is>
          <t>09:28:57</t>
        </is>
      </c>
      <c r="AA140" s="9" t="n">
        <v>151.4</v>
      </c>
      <c r="AB140" s="9" t="inlineStr">
        <is>
          <t>是</t>
        </is>
      </c>
      <c r="AC140" s="9" t="inlineStr">
        <is>
          <t>是</t>
        </is>
      </c>
      <c r="AD140" s="9" t="inlineStr">
        <is>
          <t>是</t>
        </is>
      </c>
      <c r="AE140" s="9" t="inlineStr">
        <is>
          <t>无</t>
        </is>
      </c>
      <c r="AF140" s="9" t="n">
        <v>9.779999999999999</v>
      </c>
      <c r="AG140" s="9" t="n">
        <v>0.925</v>
      </c>
      <c r="AH140" s="9" t="n">
        <v>0.958</v>
      </c>
      <c r="AI140" s="9" t="n">
        <v>0.996</v>
      </c>
      <c r="AJ140" s="9" t="n">
        <v>0.762</v>
      </c>
      <c r="AK140" s="9" t="inlineStr">
        <is>
          <t>FrozenUncertain</t>
        </is>
      </c>
      <c r="AL140" s="9" t="inlineStr">
        <is>
          <t>否</t>
        </is>
      </c>
      <c r="AM140" s="9" t="n">
        <v>0</v>
      </c>
      <c r="AN140" s="9" t="n">
        <v>4</v>
      </c>
      <c r="AO140" s="9" t="inlineStr">
        <is>
          <t>否</t>
        </is>
      </c>
      <c r="AP140" s="9" t="n">
        <v>4</v>
      </c>
      <c r="AQ140" s="9" t="inlineStr"/>
    </row>
    <row r="141">
      <c r="A141" s="7" t="inlineStr">
        <is>
          <t>P023</t>
        </is>
      </c>
      <c r="B141" s="9" t="n">
        <v>5</v>
      </c>
      <c r="C141" s="9" t="inlineStr">
        <is>
          <t>O6-S2-OE</t>
        </is>
      </c>
      <c r="D141" s="9" t="n">
        <v>3</v>
      </c>
      <c r="E141" s="9" t="inlineStr">
        <is>
          <t>鼠标</t>
        </is>
      </c>
      <c r="F141" s="9" t="inlineStr">
        <is>
          <t>blue_mouse</t>
        </is>
      </c>
      <c r="G141" s="9" t="inlineStr">
        <is>
          <t>方法B</t>
        </is>
      </c>
      <c r="H141" s="9" t="inlineStr">
        <is>
          <t>EgoAnchor</t>
        </is>
      </c>
      <c r="I141" s="9" t="n">
        <v>1</v>
      </c>
      <c r="J141" s="9" t="n">
        <v>3</v>
      </c>
      <c r="K141" s="9" t="n">
        <v>5</v>
      </c>
      <c r="L141" s="9" t="n">
        <v>4</v>
      </c>
      <c r="M141" s="9" t="n">
        <v>4</v>
      </c>
      <c r="N141" s="9" t="n"/>
      <c r="O141" s="9" t="n">
        <v>4</v>
      </c>
      <c r="P141" s="9" t="n">
        <v>5</v>
      </c>
      <c r="Q141" s="9" t="n">
        <v>5</v>
      </c>
      <c r="R141" s="9" t="n">
        <v>4</v>
      </c>
      <c r="S141" s="9" t="n">
        <v>4</v>
      </c>
      <c r="T141" s="9" t="n">
        <v>4</v>
      </c>
      <c r="U141" s="9" t="n">
        <v>5</v>
      </c>
      <c r="V141" s="9" t="n">
        <v>4</v>
      </c>
      <c r="W141" s="9" t="n">
        <v>5</v>
      </c>
      <c r="X141" s="9" t="n">
        <v>5</v>
      </c>
      <c r="Y141" s="9" t="inlineStr">
        <is>
          <t>09:30:32</t>
        </is>
      </c>
      <c r="Z141" s="9" t="inlineStr">
        <is>
          <t>09:32:53</t>
        </is>
      </c>
      <c r="AA141" s="9" t="n">
        <v>141</v>
      </c>
      <c r="AB141" s="9" t="inlineStr">
        <is>
          <t>是</t>
        </is>
      </c>
      <c r="AC141" s="9" t="inlineStr">
        <is>
          <t>是</t>
        </is>
      </c>
      <c r="AD141" s="9" t="inlineStr">
        <is>
          <t>是</t>
        </is>
      </c>
      <c r="AE141" s="9" t="inlineStr">
        <is>
          <t>无</t>
        </is>
      </c>
      <c r="AF141" s="9" t="n">
        <v>9.5</v>
      </c>
      <c r="AG141" s="9" t="n">
        <v>0.887</v>
      </c>
      <c r="AH141" s="9" t="n">
        <v>0.945</v>
      </c>
      <c r="AI141" s="9" t="n">
        <v>0.991</v>
      </c>
      <c r="AJ141" s="9" t="n">
        <v>0.8090000000000001</v>
      </c>
      <c r="AK141" s="9" t="inlineStr">
        <is>
          <t>FrozenUncertain</t>
        </is>
      </c>
      <c r="AL141" s="9" t="inlineStr">
        <is>
          <t>否</t>
        </is>
      </c>
      <c r="AM141" s="9" t="n">
        <v>0</v>
      </c>
      <c r="AN141" s="9" t="n">
        <v>6</v>
      </c>
      <c r="AO141" s="9" t="inlineStr">
        <is>
          <t>否</t>
        </is>
      </c>
      <c r="AP141" s="9" t="n">
        <v>3</v>
      </c>
      <c r="AQ141" s="9" t="inlineStr"/>
    </row>
    <row r="142">
      <c r="A142" s="7" t="inlineStr">
        <is>
          <t>P023</t>
        </is>
      </c>
      <c r="B142" s="9" t="n">
        <v>6</v>
      </c>
      <c r="C142" s="9" t="inlineStr">
        <is>
          <t>O6-S2-OE</t>
        </is>
      </c>
      <c r="D142" s="9" t="n">
        <v>3</v>
      </c>
      <c r="E142" s="9" t="inlineStr">
        <is>
          <t>鼠标</t>
        </is>
      </c>
      <c r="F142" s="9" t="inlineStr">
        <is>
          <t>blue_mouse</t>
        </is>
      </c>
      <c r="G142" s="9" t="inlineStr">
        <is>
          <t>方法A</t>
        </is>
      </c>
      <c r="H142" s="9" t="inlineStr">
        <is>
          <t>One-Euro</t>
        </is>
      </c>
      <c r="I142" s="9" t="n">
        <v>2</v>
      </c>
      <c r="J142" s="9" t="n">
        <v>3</v>
      </c>
      <c r="K142" s="9" t="n">
        <v>4</v>
      </c>
      <c r="L142" s="9" t="n">
        <v>5</v>
      </c>
      <c r="M142" s="9" t="n">
        <v>4</v>
      </c>
      <c r="N142" s="9" t="n"/>
      <c r="O142" s="9" t="n">
        <v>4</v>
      </c>
      <c r="P142" s="9" t="n">
        <v>5</v>
      </c>
      <c r="Q142" s="9" t="n">
        <v>4</v>
      </c>
      <c r="R142" s="9" t="n">
        <v>4</v>
      </c>
      <c r="S142" s="9" t="n">
        <v>5</v>
      </c>
      <c r="T142" s="9" t="n">
        <v>5</v>
      </c>
      <c r="U142" s="9" t="n">
        <v>6</v>
      </c>
      <c r="V142" s="9" t="n">
        <v>5</v>
      </c>
      <c r="W142" s="9" t="n">
        <v>5</v>
      </c>
      <c r="X142" s="9" t="n">
        <v>5</v>
      </c>
      <c r="Y142" s="9" t="inlineStr">
        <is>
          <t>09:34:28</t>
        </is>
      </c>
      <c r="Z142" s="9" t="inlineStr">
        <is>
          <t>09:36:43</t>
        </is>
      </c>
      <c r="AA142" s="9" t="n">
        <v>134.3</v>
      </c>
      <c r="AB142" s="9" t="inlineStr">
        <is>
          <t>是</t>
        </is>
      </c>
      <c r="AC142" s="9" t="inlineStr">
        <is>
          <t>是</t>
        </is>
      </c>
      <c r="AD142" s="9" t="inlineStr">
        <is>
          <t>是</t>
        </is>
      </c>
      <c r="AE142" s="9" t="inlineStr">
        <is>
          <t>无</t>
        </is>
      </c>
      <c r="AF142" s="9" t="n">
        <v>9.6</v>
      </c>
      <c r="AG142" s="9" t="n">
        <v>0.93</v>
      </c>
      <c r="AH142" s="9" t="n">
        <v>0.954</v>
      </c>
      <c r="AI142" s="9" t="n">
        <v>0.986</v>
      </c>
      <c r="AJ142" s="9" t="n">
        <v>0.775</v>
      </c>
      <c r="AK142" s="9" t="inlineStr">
        <is>
          <t>FrozenUncertain</t>
        </is>
      </c>
      <c r="AL142" s="9" t="inlineStr">
        <is>
          <t>否</t>
        </is>
      </c>
      <c r="AM142" s="9" t="n">
        <v>0</v>
      </c>
      <c r="AN142" s="9" t="n">
        <v>0</v>
      </c>
      <c r="AO142" s="9" t="inlineStr">
        <is>
          <t>否</t>
        </is>
      </c>
      <c r="AP142" s="9" t="n">
        <v>3</v>
      </c>
      <c r="AQ142" s="9" t="inlineStr"/>
    </row>
    <row r="143">
      <c r="A143" s="7" t="inlineStr">
        <is>
          <t>P024</t>
        </is>
      </c>
      <c r="B143" s="9" t="n">
        <v>1</v>
      </c>
      <c r="C143" s="9" t="inlineStr">
        <is>
          <t>O6-S1-OE</t>
        </is>
      </c>
      <c r="D143" s="9" t="n">
        <v>1</v>
      </c>
      <c r="E143" s="9" t="inlineStr">
        <is>
          <t>游戏手柄</t>
        </is>
      </c>
      <c r="F143" s="9" t="inlineStr">
        <is>
          <t>gamepad</t>
        </is>
      </c>
      <c r="G143" s="9" t="inlineStr">
        <is>
          <t>方法A</t>
        </is>
      </c>
      <c r="H143" s="9" t="inlineStr">
        <is>
          <t>One-Euro</t>
        </is>
      </c>
      <c r="I143" s="9" t="n">
        <v>1</v>
      </c>
      <c r="J143" s="9" t="n">
        <v>1</v>
      </c>
      <c r="K143" s="9" t="n">
        <v>3</v>
      </c>
      <c r="L143" s="9" t="n">
        <v>4</v>
      </c>
      <c r="M143" s="9" t="n">
        <v>4</v>
      </c>
      <c r="N143" s="9" t="n"/>
      <c r="O143" s="9" t="n">
        <v>5</v>
      </c>
      <c r="P143" s="9" t="n">
        <v>5</v>
      </c>
      <c r="Q143" s="9" t="n">
        <v>5</v>
      </c>
      <c r="R143" s="9" t="n">
        <v>5</v>
      </c>
      <c r="S143" s="9" t="n">
        <v>5</v>
      </c>
      <c r="T143" s="9" t="n">
        <v>4</v>
      </c>
      <c r="U143" s="9" t="n">
        <v>6</v>
      </c>
      <c r="V143" s="9" t="n">
        <v>6</v>
      </c>
      <c r="W143" s="9" t="n">
        <v>5</v>
      </c>
      <c r="X143" s="9" t="n">
        <v>5</v>
      </c>
      <c r="Y143" s="9" t="inlineStr">
        <is>
          <t>09:15:00</t>
        </is>
      </c>
      <c r="Z143" s="9" t="inlineStr">
        <is>
          <t>09:17:09</t>
        </is>
      </c>
      <c r="AA143" s="9" t="n">
        <v>129.2</v>
      </c>
      <c r="AB143" s="9" t="inlineStr">
        <is>
          <t>是</t>
        </is>
      </c>
      <c r="AC143" s="9" t="inlineStr">
        <is>
          <t>是</t>
        </is>
      </c>
      <c r="AD143" s="9" t="inlineStr">
        <is>
          <t>是</t>
        </is>
      </c>
      <c r="AE143" s="9" t="inlineStr">
        <is>
          <t>无</t>
        </is>
      </c>
      <c r="AF143" s="9" t="n">
        <v>9.35</v>
      </c>
      <c r="AG143" s="9" t="n">
        <v>0.868</v>
      </c>
      <c r="AH143" s="9" t="n">
        <v>0.9350000000000001</v>
      </c>
      <c r="AI143" s="9" t="n">
        <v>0.983</v>
      </c>
      <c r="AJ143" s="9" t="n">
        <v>0.831</v>
      </c>
      <c r="AK143" s="9" t="inlineStr">
        <is>
          <t>FrozenUncertain</t>
        </is>
      </c>
      <c r="AL143" s="9" t="inlineStr">
        <is>
          <t>否</t>
        </is>
      </c>
      <c r="AM143" s="9" t="n">
        <v>0</v>
      </c>
      <c r="AN143" s="9" t="n">
        <v>0</v>
      </c>
      <c r="AO143" s="9" t="inlineStr">
        <is>
          <t>否</t>
        </is>
      </c>
      <c r="AP143" s="9" t="n">
        <v>5</v>
      </c>
      <c r="AQ143" s="9" t="inlineStr"/>
    </row>
    <row r="144">
      <c r="A144" s="7" t="inlineStr">
        <is>
          <t>P024</t>
        </is>
      </c>
      <c r="B144" s="9" t="n">
        <v>2</v>
      </c>
      <c r="C144" s="9" t="inlineStr">
        <is>
          <t>O6-S1-OE</t>
        </is>
      </c>
      <c r="D144" s="9" t="n">
        <v>1</v>
      </c>
      <c r="E144" s="9" t="inlineStr">
        <is>
          <t>游戏手柄</t>
        </is>
      </c>
      <c r="F144" s="9" t="inlineStr">
        <is>
          <t>gamepad</t>
        </is>
      </c>
      <c r="G144" s="9" t="inlineStr">
        <is>
          <t>方法B</t>
        </is>
      </c>
      <c r="H144" s="9" t="inlineStr">
        <is>
          <t>EgoAnchor</t>
        </is>
      </c>
      <c r="I144" s="9" t="n">
        <v>2</v>
      </c>
      <c r="J144" s="9" t="n">
        <v>1</v>
      </c>
      <c r="K144" s="9" t="n">
        <v>5</v>
      </c>
      <c r="L144" s="9" t="n">
        <v>4</v>
      </c>
      <c r="M144" s="9" t="n">
        <v>6</v>
      </c>
      <c r="N144" s="9" t="n"/>
      <c r="O144" s="9" t="n">
        <v>6</v>
      </c>
      <c r="P144" s="9" t="n">
        <v>6</v>
      </c>
      <c r="Q144" s="9" t="n">
        <v>4</v>
      </c>
      <c r="R144" s="9" t="n">
        <v>5</v>
      </c>
      <c r="S144" s="9" t="n">
        <v>5</v>
      </c>
      <c r="T144" s="9" t="n">
        <v>6</v>
      </c>
      <c r="U144" s="9" t="n">
        <v>6</v>
      </c>
      <c r="V144" s="9" t="n">
        <v>6</v>
      </c>
      <c r="W144" s="9" t="n">
        <v>5</v>
      </c>
      <c r="X144" s="9" t="n">
        <v>4</v>
      </c>
      <c r="Y144" s="9" t="inlineStr">
        <is>
          <t>09:18:44</t>
        </is>
      </c>
      <c r="Z144" s="9" t="inlineStr">
        <is>
          <t>09:21:08</t>
        </is>
      </c>
      <c r="AA144" s="9" t="n">
        <v>144.1</v>
      </c>
      <c r="AB144" s="9" t="inlineStr">
        <is>
          <t>是</t>
        </is>
      </c>
      <c r="AC144" s="9" t="inlineStr">
        <is>
          <t>是</t>
        </is>
      </c>
      <c r="AD144" s="9" t="inlineStr">
        <is>
          <t>是</t>
        </is>
      </c>
      <c r="AE144" s="9" t="inlineStr">
        <is>
          <t>无</t>
        </is>
      </c>
      <c r="AF144" s="9" t="n">
        <v>9.19</v>
      </c>
      <c r="AG144" s="9" t="n">
        <v>0.867</v>
      </c>
      <c r="AH144" s="9" t="n">
        <v>0.9360000000000001</v>
      </c>
      <c r="AI144" s="9" t="n">
        <v>0.975</v>
      </c>
      <c r="AJ144" s="9" t="n">
        <v>0.855</v>
      </c>
      <c r="AK144" s="9" t="inlineStr">
        <is>
          <t>FrozenUncertain</t>
        </is>
      </c>
      <c r="AL144" s="9" t="inlineStr">
        <is>
          <t>否</t>
        </is>
      </c>
      <c r="AM144" s="9" t="n">
        <v>0</v>
      </c>
      <c r="AN144" s="9" t="n">
        <v>7</v>
      </c>
      <c r="AO144" s="9" t="inlineStr">
        <is>
          <t>是</t>
        </is>
      </c>
      <c r="AP144" s="9" t="n">
        <v>3</v>
      </c>
      <c r="AQ144" s="9" t="inlineStr"/>
    </row>
    <row r="145">
      <c r="A145" s="7" t="inlineStr">
        <is>
          <t>P024</t>
        </is>
      </c>
      <c r="B145" s="9" t="n">
        <v>3</v>
      </c>
      <c r="C145" s="9" t="inlineStr">
        <is>
          <t>O6-S1-OE</t>
        </is>
      </c>
      <c r="D145" s="9" t="n">
        <v>2</v>
      </c>
      <c r="E145" s="9" t="inlineStr">
        <is>
          <t>固定订书机</t>
        </is>
      </c>
      <c r="F145" s="9" t="inlineStr">
        <is>
          <t>stapler</t>
        </is>
      </c>
      <c r="G145" s="9" t="inlineStr">
        <is>
          <t>方法B</t>
        </is>
      </c>
      <c r="H145" s="9" t="inlineStr">
        <is>
          <t>EgoAnchor</t>
        </is>
      </c>
      <c r="I145" s="9" t="n">
        <v>1</v>
      </c>
      <c r="J145" s="9" t="n">
        <v>2</v>
      </c>
      <c r="K145" s="9" t="n">
        <v>6</v>
      </c>
      <c r="L145" s="9" t="n">
        <v>4</v>
      </c>
      <c r="M145" s="9" t="n">
        <v>5</v>
      </c>
      <c r="N145" s="9" t="n"/>
      <c r="O145" s="9" t="n">
        <v>5</v>
      </c>
      <c r="P145" s="9" t="n">
        <v>6</v>
      </c>
      <c r="Q145" s="9" t="n">
        <v>6</v>
      </c>
      <c r="R145" s="9" t="n">
        <v>6</v>
      </c>
      <c r="S145" s="9" t="n">
        <v>6</v>
      </c>
      <c r="T145" s="9" t="n">
        <v>6</v>
      </c>
      <c r="U145" s="9" t="n">
        <v>6</v>
      </c>
      <c r="V145" s="9" t="n">
        <v>7</v>
      </c>
      <c r="W145" s="9" t="n">
        <v>6</v>
      </c>
      <c r="X145" s="9" t="n">
        <v>6</v>
      </c>
      <c r="Y145" s="9" t="inlineStr">
        <is>
          <t>09:22:43</t>
        </is>
      </c>
      <c r="Z145" s="9" t="inlineStr">
        <is>
          <t>09:25:01</t>
        </is>
      </c>
      <c r="AA145" s="9" t="n">
        <v>138.5</v>
      </c>
      <c r="AB145" s="9" t="inlineStr">
        <is>
          <t>是</t>
        </is>
      </c>
      <c r="AC145" s="9" t="inlineStr">
        <is>
          <t>是</t>
        </is>
      </c>
      <c r="AD145" s="9" t="inlineStr">
        <is>
          <t>是</t>
        </is>
      </c>
      <c r="AE145" s="9" t="inlineStr">
        <is>
          <t>无</t>
        </is>
      </c>
      <c r="AF145" s="9" t="n">
        <v>9.77</v>
      </c>
      <c r="AG145" s="9" t="n">
        <v>0.967</v>
      </c>
      <c r="AH145" s="9" t="n">
        <v>0.967</v>
      </c>
      <c r="AI145" s="9" t="n">
        <v>1</v>
      </c>
      <c r="AJ145" s="9" t="n">
        <v>0.858</v>
      </c>
      <c r="AK145" s="9" t="inlineStr">
        <is>
          <t>FrozenUncertain</t>
        </is>
      </c>
      <c r="AL145" s="9" t="inlineStr">
        <is>
          <t>否</t>
        </is>
      </c>
      <c r="AM145" s="9" t="n">
        <v>0</v>
      </c>
      <c r="AN145" s="9" t="n">
        <v>8</v>
      </c>
      <c r="AO145" s="9" t="inlineStr">
        <is>
          <t>否</t>
        </is>
      </c>
      <c r="AP145" s="9" t="n">
        <v>6</v>
      </c>
      <c r="AQ145" s="9" t="inlineStr"/>
    </row>
    <row r="146">
      <c r="A146" s="7" t="inlineStr">
        <is>
          <t>P024</t>
        </is>
      </c>
      <c r="B146" s="9" t="n">
        <v>4</v>
      </c>
      <c r="C146" s="9" t="inlineStr">
        <is>
          <t>O6-S1-OE</t>
        </is>
      </c>
      <c r="D146" s="9" t="n">
        <v>2</v>
      </c>
      <c r="E146" s="9" t="inlineStr">
        <is>
          <t>固定订书机</t>
        </is>
      </c>
      <c r="F146" s="9" t="inlineStr">
        <is>
          <t>stapler</t>
        </is>
      </c>
      <c r="G146" s="9" t="inlineStr">
        <is>
          <t>方法A</t>
        </is>
      </c>
      <c r="H146" s="9" t="inlineStr">
        <is>
          <t>One-Euro</t>
        </is>
      </c>
      <c r="I146" s="9" t="n">
        <v>2</v>
      </c>
      <c r="J146" s="9" t="n">
        <v>2</v>
      </c>
      <c r="K146" s="9" t="n">
        <v>5</v>
      </c>
      <c r="L146" s="9" t="n">
        <v>5</v>
      </c>
      <c r="M146" s="9" t="n">
        <v>5</v>
      </c>
      <c r="N146" s="9" t="n"/>
      <c r="O146" s="9" t="n">
        <v>6</v>
      </c>
      <c r="P146" s="9" t="n">
        <v>5</v>
      </c>
      <c r="Q146" s="9" t="n">
        <v>5</v>
      </c>
      <c r="R146" s="9" t="n">
        <v>5</v>
      </c>
      <c r="S146" s="9" t="n">
        <v>6</v>
      </c>
      <c r="T146" s="9" t="n">
        <v>5</v>
      </c>
      <c r="U146" s="9" t="n">
        <v>7</v>
      </c>
      <c r="V146" s="9" t="n">
        <v>6</v>
      </c>
      <c r="W146" s="9" t="n">
        <v>6</v>
      </c>
      <c r="X146" s="9" t="n">
        <v>5</v>
      </c>
      <c r="Y146" s="9" t="inlineStr">
        <is>
          <t>09:26:36</t>
        </is>
      </c>
      <c r="Z146" s="9" t="inlineStr">
        <is>
          <t>09:29:04</t>
        </is>
      </c>
      <c r="AA146" s="9" t="n">
        <v>148.2</v>
      </c>
      <c r="AB146" s="9" t="inlineStr">
        <is>
          <t>是</t>
        </is>
      </c>
      <c r="AC146" s="9" t="inlineStr">
        <is>
          <t>是</t>
        </is>
      </c>
      <c r="AD146" s="9" t="inlineStr">
        <is>
          <t>是</t>
        </is>
      </c>
      <c r="AE146" s="9" t="inlineStr">
        <is>
          <t>无</t>
        </is>
      </c>
      <c r="AF146" s="9" t="n">
        <v>9.67</v>
      </c>
      <c r="AG146" s="9" t="n">
        <v>0.919</v>
      </c>
      <c r="AH146" s="9" t="n">
        <v>0.962</v>
      </c>
      <c r="AI146" s="9" t="n">
        <v>0.998</v>
      </c>
      <c r="AJ146" s="9" t="n">
        <v>0.697</v>
      </c>
      <c r="AK146" s="9" t="inlineStr">
        <is>
          <t>FrozenUncertain</t>
        </is>
      </c>
      <c r="AL146" s="9" t="inlineStr">
        <is>
          <t>否</t>
        </is>
      </c>
      <c r="AM146" s="9" t="n">
        <v>0</v>
      </c>
      <c r="AN146" s="9" t="n">
        <v>0</v>
      </c>
      <c r="AO146" s="9" t="inlineStr">
        <is>
          <t>否</t>
        </is>
      </c>
      <c r="AP146" s="9" t="n">
        <v>3</v>
      </c>
      <c r="AQ146" s="9" t="inlineStr"/>
    </row>
    <row r="147">
      <c r="A147" s="7" t="inlineStr">
        <is>
          <t>P024</t>
        </is>
      </c>
      <c r="B147" s="9" t="n">
        <v>5</v>
      </c>
      <c r="C147" s="9" t="inlineStr">
        <is>
          <t>O6-S1-OE</t>
        </is>
      </c>
      <c r="D147" s="9" t="n">
        <v>3</v>
      </c>
      <c r="E147" s="9" t="inlineStr">
        <is>
          <t>鼠标</t>
        </is>
      </c>
      <c r="F147" s="9" t="inlineStr">
        <is>
          <t>blue_mouse</t>
        </is>
      </c>
      <c r="G147" s="9" t="inlineStr">
        <is>
          <t>方法A</t>
        </is>
      </c>
      <c r="H147" s="9" t="inlineStr">
        <is>
          <t>One-Euro</t>
        </is>
      </c>
      <c r="I147" s="9" t="n">
        <v>1</v>
      </c>
      <c r="J147" s="9" t="n">
        <v>3</v>
      </c>
      <c r="K147" s="9" t="n">
        <v>4</v>
      </c>
      <c r="L147" s="9" t="n">
        <v>4</v>
      </c>
      <c r="M147" s="9" t="n">
        <v>4</v>
      </c>
      <c r="N147" s="9" t="n"/>
      <c r="O147" s="9" t="n">
        <v>4</v>
      </c>
      <c r="P147" s="9" t="n">
        <v>5</v>
      </c>
      <c r="Q147" s="9" t="n">
        <v>5</v>
      </c>
      <c r="R147" s="9" t="n">
        <v>5</v>
      </c>
      <c r="S147" s="9" t="n">
        <v>6</v>
      </c>
      <c r="T147" s="9" t="n">
        <v>5</v>
      </c>
      <c r="U147" s="9" t="n">
        <v>6</v>
      </c>
      <c r="V147" s="9" t="n">
        <v>5</v>
      </c>
      <c r="W147" s="9" t="n">
        <v>5</v>
      </c>
      <c r="X147" s="9" t="n">
        <v>4</v>
      </c>
      <c r="Y147" s="9" t="inlineStr">
        <is>
          <t>09:30:39</t>
        </is>
      </c>
      <c r="Z147" s="9" t="inlineStr">
        <is>
          <t>09:32:57</t>
        </is>
      </c>
      <c r="AA147" s="9" t="n">
        <v>137.5</v>
      </c>
      <c r="AB147" s="9" t="inlineStr">
        <is>
          <t>是</t>
        </is>
      </c>
      <c r="AC147" s="9" t="inlineStr">
        <is>
          <t>是</t>
        </is>
      </c>
      <c r="AD147" s="9" t="inlineStr">
        <is>
          <t>是</t>
        </is>
      </c>
      <c r="AE147" s="9" t="inlineStr">
        <is>
          <t>无</t>
        </is>
      </c>
      <c r="AF147" s="9" t="n">
        <v>9.460000000000001</v>
      </c>
      <c r="AG147" s="9" t="n">
        <v>0.863</v>
      </c>
      <c r="AH147" s="9" t="n">
        <v>0.9340000000000001</v>
      </c>
      <c r="AI147" s="9" t="n">
        <v>0.986</v>
      </c>
      <c r="AJ147" s="9" t="n">
        <v>0.665</v>
      </c>
      <c r="AK147" s="9" t="inlineStr">
        <is>
          <t>FrozenUncertain</t>
        </is>
      </c>
      <c r="AL147" s="9" t="inlineStr">
        <is>
          <t>否</t>
        </is>
      </c>
      <c r="AM147" s="9" t="n">
        <v>0</v>
      </c>
      <c r="AN147" s="9" t="n">
        <v>0</v>
      </c>
      <c r="AO147" s="9" t="inlineStr">
        <is>
          <t>否</t>
        </is>
      </c>
      <c r="AP147" s="9" t="n">
        <v>4</v>
      </c>
      <c r="AQ147" s="9" t="inlineStr"/>
    </row>
    <row r="148">
      <c r="A148" s="7" t="inlineStr">
        <is>
          <t>P024</t>
        </is>
      </c>
      <c r="B148" s="9" t="n">
        <v>6</v>
      </c>
      <c r="C148" s="9" t="inlineStr">
        <is>
          <t>O6-S1-OE</t>
        </is>
      </c>
      <c r="D148" s="9" t="n">
        <v>3</v>
      </c>
      <c r="E148" s="9" t="inlineStr">
        <is>
          <t>鼠标</t>
        </is>
      </c>
      <c r="F148" s="9" t="inlineStr">
        <is>
          <t>blue_mouse</t>
        </is>
      </c>
      <c r="G148" s="9" t="inlineStr">
        <is>
          <t>方法B</t>
        </is>
      </c>
      <c r="H148" s="9" t="inlineStr">
        <is>
          <t>EgoAnchor</t>
        </is>
      </c>
      <c r="I148" s="9" t="n">
        <v>2</v>
      </c>
      <c r="J148" s="9" t="n">
        <v>3</v>
      </c>
      <c r="K148" s="9" t="n">
        <v>5</v>
      </c>
      <c r="L148" s="9" t="n">
        <v>3</v>
      </c>
      <c r="M148" s="9" t="n">
        <v>4</v>
      </c>
      <c r="N148" s="9" t="n"/>
      <c r="O148" s="9" t="n">
        <v>5</v>
      </c>
      <c r="P148" s="9" t="n">
        <v>5</v>
      </c>
      <c r="Q148" s="9" t="n">
        <v>5</v>
      </c>
      <c r="R148" s="9" t="n">
        <v>6</v>
      </c>
      <c r="S148" s="9" t="n">
        <v>6</v>
      </c>
      <c r="T148" s="9" t="n">
        <v>5</v>
      </c>
      <c r="U148" s="9" t="n">
        <v>6</v>
      </c>
      <c r="V148" s="9" t="n">
        <v>6</v>
      </c>
      <c r="W148" s="9" t="n">
        <v>7</v>
      </c>
      <c r="X148" s="9" t="n">
        <v>5</v>
      </c>
      <c r="Y148" s="9" t="inlineStr">
        <is>
          <t>09:34:32</t>
        </is>
      </c>
      <c r="Z148" s="9" t="inlineStr">
        <is>
          <t>09:36:53</t>
        </is>
      </c>
      <c r="AA148" s="9" t="n">
        <v>140.5</v>
      </c>
      <c r="AB148" s="9" t="inlineStr">
        <is>
          <t>是</t>
        </is>
      </c>
      <c r="AC148" s="9" t="inlineStr">
        <is>
          <t>是</t>
        </is>
      </c>
      <c r="AD148" s="9" t="inlineStr">
        <is>
          <t>是</t>
        </is>
      </c>
      <c r="AE148" s="9" t="inlineStr">
        <is>
          <t>无</t>
        </is>
      </c>
      <c r="AF148" s="9" t="n">
        <v>9.69</v>
      </c>
      <c r="AG148" s="9" t="n">
        <v>0.908</v>
      </c>
      <c r="AH148" s="9" t="n">
        <v>0.946</v>
      </c>
      <c r="AI148" s="9" t="n">
        <v>0.987</v>
      </c>
      <c r="AJ148" s="9" t="n">
        <v>0.7</v>
      </c>
      <c r="AK148" s="9" t="inlineStr">
        <is>
          <t>FrozenUncertain</t>
        </is>
      </c>
      <c r="AL148" s="9" t="inlineStr">
        <is>
          <t>否</t>
        </is>
      </c>
      <c r="AM148" s="9" t="n">
        <v>0</v>
      </c>
      <c r="AN148" s="9" t="n">
        <v>7</v>
      </c>
      <c r="AO148" s="9" t="inlineStr">
        <is>
          <t>否</t>
        </is>
      </c>
      <c r="AP148" s="9" t="n">
        <v>3</v>
      </c>
      <c r="AQ148" s="9" t="inlineStr"/>
    </row>
    <row r="150" ht="20" customHeight="1">
      <c r="A150" s="3" t="inlineStr">
        <is>
          <t>B. 方法级记录（全部六区块完成后；S1 先评方法 A、S2 先评方法 B；TiA→提示页→S-TIAS）</t>
        </is>
      </c>
    </row>
    <row r="151" ht="30" customHeight="1">
      <c r="A151" s="4" t="inlineStr">
        <is>
          <t>Participant_ID</t>
        </is>
      </c>
      <c r="B151" s="4" t="inlineStr">
        <is>
          <t>Rating_Order</t>
        </is>
      </c>
      <c r="C151" s="4" t="inlineStr">
        <is>
          <t>Shown_Label</t>
        </is>
      </c>
      <c r="D151" s="4" t="inlineStr">
        <is>
          <t>Condition(保密)</t>
        </is>
      </c>
      <c r="E151" s="4" t="inlineStr">
        <is>
          <t>TIA_RC1</t>
        </is>
      </c>
      <c r="F151" s="4" t="inlineStr">
        <is>
          <t>TIA_RC2</t>
        </is>
      </c>
      <c r="G151" s="4" t="inlineStr">
        <is>
          <t>TIA_RC3_REV</t>
        </is>
      </c>
      <c r="H151" s="4" t="inlineStr">
        <is>
          <t>TIA_RC4</t>
        </is>
      </c>
      <c r="I151" s="4" t="inlineStr">
        <is>
          <t>TIA_RC5_REV</t>
        </is>
      </c>
      <c r="J151" s="4" t="inlineStr">
        <is>
          <t>TIA_RC6</t>
        </is>
      </c>
      <c r="K151" s="4" t="inlineStr">
        <is>
          <t>TIA_UP1</t>
        </is>
      </c>
      <c r="L151" s="4" t="inlineStr">
        <is>
          <t>TIA_UP2_REV</t>
        </is>
      </c>
      <c r="M151" s="4" t="inlineStr">
        <is>
          <t>TIA_UP3</t>
        </is>
      </c>
      <c r="N151" s="4" t="inlineStr">
        <is>
          <t>TIA_UP4_REV</t>
        </is>
      </c>
      <c r="O151" s="4" t="inlineStr">
        <is>
          <t>STIAS1</t>
        </is>
      </c>
      <c r="P151" s="4" t="inlineStr">
        <is>
          <t>STIAS2</t>
        </is>
      </c>
      <c r="Q151" s="4" t="inlineStr">
        <is>
          <t>STIAS3</t>
        </is>
      </c>
      <c r="R151" s="4" t="inlineStr">
        <is>
          <t>尺度切换确认</t>
        </is>
      </c>
      <c r="S151" s="4" t="inlineStr">
        <is>
          <t>A/B归属回忆检查</t>
        </is>
      </c>
      <c r="T151" s="4" t="inlineStr">
        <is>
          <t>问卷开始</t>
        </is>
      </c>
      <c r="U151" s="4" t="inlineStr">
        <is>
          <t>问卷结束</t>
        </is>
      </c>
      <c r="V151" s="4" t="inlineStr">
        <is>
          <t>时长_s</t>
        </is>
      </c>
      <c r="W151" s="4" t="inlineStr">
        <is>
          <t>技术问题</t>
        </is>
      </c>
      <c r="X151" s="4" t="inlineStr">
        <is>
          <t>备注</t>
        </is>
      </c>
    </row>
    <row r="152">
      <c r="A152" s="7" t="inlineStr">
        <is>
          <t>P001</t>
        </is>
      </c>
      <c r="B152" s="9" t="n">
        <v>1</v>
      </c>
      <c r="C152" s="9" t="inlineStr">
        <is>
          <t>方法A</t>
        </is>
      </c>
      <c r="D152" s="9" t="inlineStr">
        <is>
          <t>EgoAnchor</t>
        </is>
      </c>
      <c r="E152" s="9" t="n">
        <v>4</v>
      </c>
      <c r="F152" s="9" t="n">
        <v>4</v>
      </c>
      <c r="G152" s="9" t="n">
        <v>2</v>
      </c>
      <c r="H152" s="9" t="n">
        <v>4</v>
      </c>
      <c r="I152" s="9" t="n">
        <v>2</v>
      </c>
      <c r="J152" s="9" t="n">
        <v>4</v>
      </c>
      <c r="K152" s="9" t="n">
        <v>3</v>
      </c>
      <c r="L152" s="9" t="n">
        <v>2</v>
      </c>
      <c r="M152" s="9" t="n">
        <v>4</v>
      </c>
      <c r="N152" s="9" t="n">
        <v>3</v>
      </c>
      <c r="O152" s="9" t="n">
        <v>4</v>
      </c>
      <c r="P152" s="9" t="n">
        <v>5</v>
      </c>
      <c r="Q152" s="9" t="n">
        <v>5</v>
      </c>
      <c r="R152" s="9" t="inlineStr">
        <is>
          <t>是</t>
        </is>
      </c>
      <c r="S152" s="9" t="inlineStr">
        <is>
          <t>通过</t>
        </is>
      </c>
      <c r="T152" s="9" t="inlineStr">
        <is>
          <t>09:42:00</t>
        </is>
      </c>
      <c r="U152" s="9" t="inlineStr">
        <is>
          <t>09:44:44</t>
        </is>
      </c>
      <c r="V152" s="9" t="n">
        <v>164.6</v>
      </c>
      <c r="W152" s="9" t="inlineStr">
        <is>
          <t>无</t>
        </is>
      </c>
      <c r="X152" s="9" t="inlineStr"/>
    </row>
    <row r="153">
      <c r="A153" s="7" t="inlineStr">
        <is>
          <t>P001</t>
        </is>
      </c>
      <c r="B153" s="9" t="n">
        <v>2</v>
      </c>
      <c r="C153" s="9" t="inlineStr">
        <is>
          <t>方法B</t>
        </is>
      </c>
      <c r="D153" s="9" t="inlineStr">
        <is>
          <t>One-Euro</t>
        </is>
      </c>
      <c r="E153" s="9" t="n">
        <v>3</v>
      </c>
      <c r="F153" s="9" t="n">
        <v>4</v>
      </c>
      <c r="G153" s="9" t="n">
        <v>3</v>
      </c>
      <c r="H153" s="9" t="n">
        <v>4</v>
      </c>
      <c r="I153" s="9" t="n">
        <v>2</v>
      </c>
      <c r="J153" s="9" t="n">
        <v>4</v>
      </c>
      <c r="K153" s="9" t="n">
        <v>4</v>
      </c>
      <c r="L153" s="9" t="n">
        <v>2</v>
      </c>
      <c r="M153" s="9" t="n">
        <v>4</v>
      </c>
      <c r="N153" s="9" t="n">
        <v>2</v>
      </c>
      <c r="O153" s="9" t="n">
        <v>5</v>
      </c>
      <c r="P153" s="9" t="n">
        <v>4</v>
      </c>
      <c r="Q153" s="9" t="n">
        <v>4</v>
      </c>
      <c r="R153" s="9" t="inlineStr">
        <is>
          <t>是</t>
        </is>
      </c>
      <c r="S153" s="9" t="inlineStr">
        <is>
          <t>通过</t>
        </is>
      </c>
      <c r="T153" s="9" t="inlineStr">
        <is>
          <t>09:45:14</t>
        </is>
      </c>
      <c r="U153" s="9" t="inlineStr">
        <is>
          <t>09:48:03</t>
        </is>
      </c>
      <c r="V153" s="9" t="n">
        <v>169.3</v>
      </c>
      <c r="W153" s="9" t="inlineStr">
        <is>
          <t>无</t>
        </is>
      </c>
      <c r="X153" s="9" t="inlineStr"/>
    </row>
    <row r="154">
      <c r="A154" s="7" t="inlineStr">
        <is>
          <t>P002</t>
        </is>
      </c>
      <c r="B154" s="9" t="n">
        <v>1</v>
      </c>
      <c r="C154" s="9" t="inlineStr">
        <is>
          <t>方法B</t>
        </is>
      </c>
      <c r="D154" s="9" t="inlineStr">
        <is>
          <t>One-Euro</t>
        </is>
      </c>
      <c r="E154" s="9" t="n">
        <v>2</v>
      </c>
      <c r="F154" s="9" t="n">
        <v>2</v>
      </c>
      <c r="G154" s="9" t="n">
        <v>3</v>
      </c>
      <c r="H154" s="9" t="n">
        <v>3</v>
      </c>
      <c r="I154" s="9" t="n">
        <v>4</v>
      </c>
      <c r="J154" s="9" t="n">
        <v>2</v>
      </c>
      <c r="K154" s="9" t="n">
        <v>3</v>
      </c>
      <c r="L154" s="9" t="n">
        <v>4</v>
      </c>
      <c r="M154" s="9" t="n">
        <v>2</v>
      </c>
      <c r="N154" s="9" t="n">
        <v>3</v>
      </c>
      <c r="O154" s="9" t="n">
        <v>4</v>
      </c>
      <c r="P154" s="9" t="n">
        <v>3</v>
      </c>
      <c r="Q154" s="9" t="n">
        <v>4</v>
      </c>
      <c r="R154" s="9" t="inlineStr">
        <is>
          <t>是</t>
        </is>
      </c>
      <c r="S154" s="9" t="inlineStr">
        <is>
          <t>通过</t>
        </is>
      </c>
      <c r="T154" s="9" t="inlineStr">
        <is>
          <t>09:42:00</t>
        </is>
      </c>
      <c r="U154" s="9" t="inlineStr">
        <is>
          <t>09:44:01</t>
        </is>
      </c>
      <c r="V154" s="9" t="n">
        <v>121.6</v>
      </c>
      <c r="W154" s="9" t="inlineStr">
        <is>
          <t>无</t>
        </is>
      </c>
      <c r="X154" s="9" t="inlineStr"/>
    </row>
    <row r="155">
      <c r="A155" s="7" t="inlineStr">
        <is>
          <t>P002</t>
        </is>
      </c>
      <c r="B155" s="9" t="n">
        <v>2</v>
      </c>
      <c r="C155" s="9" t="inlineStr">
        <is>
          <t>方法A</t>
        </is>
      </c>
      <c r="D155" s="9" t="inlineStr">
        <is>
          <t>EgoAnchor</t>
        </is>
      </c>
      <c r="E155" s="9" t="n">
        <v>3</v>
      </c>
      <c r="F155" s="9" t="n">
        <v>3</v>
      </c>
      <c r="G155" s="9" t="n">
        <v>2</v>
      </c>
      <c r="H155" s="9" t="n">
        <v>3</v>
      </c>
      <c r="I155" s="9" t="n">
        <v>2</v>
      </c>
      <c r="J155" s="9" t="n">
        <v>4</v>
      </c>
      <c r="K155" s="9" t="n">
        <v>4</v>
      </c>
      <c r="L155" s="9" t="n">
        <v>2</v>
      </c>
      <c r="M155" s="9" t="n">
        <v>3</v>
      </c>
      <c r="N155" s="9" t="n">
        <v>2</v>
      </c>
      <c r="O155" s="9" t="n">
        <v>5</v>
      </c>
      <c r="P155" s="9" t="n">
        <v>5</v>
      </c>
      <c r="Q155" s="9" t="n">
        <v>6</v>
      </c>
      <c r="R155" s="9" t="inlineStr">
        <is>
          <t>是</t>
        </is>
      </c>
      <c r="S155" s="9" t="inlineStr">
        <is>
          <t>通过</t>
        </is>
      </c>
      <c r="T155" s="9" t="inlineStr">
        <is>
          <t>09:44:31</t>
        </is>
      </c>
      <c r="U155" s="9" t="inlineStr">
        <is>
          <t>09:46:16</t>
        </is>
      </c>
      <c r="V155" s="9" t="n">
        <v>105</v>
      </c>
      <c r="W155" s="9" t="inlineStr">
        <is>
          <t>无</t>
        </is>
      </c>
      <c r="X155" s="9" t="inlineStr"/>
    </row>
    <row r="156">
      <c r="A156" s="7" t="inlineStr">
        <is>
          <t>P003</t>
        </is>
      </c>
      <c r="B156" s="9" t="n">
        <v>1</v>
      </c>
      <c r="C156" s="9" t="inlineStr">
        <is>
          <t>方法B</t>
        </is>
      </c>
      <c r="D156" s="9" t="inlineStr">
        <is>
          <t>EgoAnchor</t>
        </is>
      </c>
      <c r="E156" s="9" t="n">
        <v>4</v>
      </c>
      <c r="F156" s="9" t="n">
        <v>4</v>
      </c>
      <c r="G156" s="9" t="n">
        <v>2</v>
      </c>
      <c r="H156" s="9" t="n">
        <v>3</v>
      </c>
      <c r="I156" s="9" t="n">
        <v>2</v>
      </c>
      <c r="J156" s="9" t="n">
        <v>4</v>
      </c>
      <c r="K156" s="9" t="n">
        <v>4</v>
      </c>
      <c r="L156" s="9" t="n">
        <v>2</v>
      </c>
      <c r="M156" s="9" t="n">
        <v>4</v>
      </c>
      <c r="N156" s="9" t="n">
        <v>2</v>
      </c>
      <c r="O156" s="9" t="n">
        <v>5</v>
      </c>
      <c r="P156" s="9" t="n">
        <v>5</v>
      </c>
      <c r="Q156" s="9" t="n">
        <v>6</v>
      </c>
      <c r="R156" s="9" t="inlineStr">
        <is>
          <t>是</t>
        </is>
      </c>
      <c r="S156" s="9" t="inlineStr">
        <is>
          <t>通过</t>
        </is>
      </c>
      <c r="T156" s="9" t="inlineStr">
        <is>
          <t>09:42:00</t>
        </is>
      </c>
      <c r="U156" s="9" t="inlineStr">
        <is>
          <t>09:43:56</t>
        </is>
      </c>
      <c r="V156" s="9" t="n">
        <v>116.1</v>
      </c>
      <c r="W156" s="9" t="inlineStr">
        <is>
          <t>无</t>
        </is>
      </c>
      <c r="X156" s="9" t="inlineStr"/>
    </row>
    <row r="157">
      <c r="A157" s="7" t="inlineStr">
        <is>
          <t>P003</t>
        </is>
      </c>
      <c r="B157" s="9" t="n">
        <v>2</v>
      </c>
      <c r="C157" s="9" t="inlineStr">
        <is>
          <t>方法A</t>
        </is>
      </c>
      <c r="D157" s="9" t="inlineStr">
        <is>
          <t>One-Euro</t>
        </is>
      </c>
      <c r="E157" s="9" t="n">
        <v>3</v>
      </c>
      <c r="F157" s="9" t="n">
        <v>3</v>
      </c>
      <c r="G157" s="9" t="n">
        <v>3</v>
      </c>
      <c r="H157" s="9" t="n">
        <v>3</v>
      </c>
      <c r="I157" s="9" t="n">
        <v>4</v>
      </c>
      <c r="J157" s="9" t="n">
        <v>3</v>
      </c>
      <c r="K157" s="9" t="n">
        <v>3</v>
      </c>
      <c r="L157" s="9" t="n">
        <v>3</v>
      </c>
      <c r="M157" s="9" t="n">
        <v>3</v>
      </c>
      <c r="N157" s="9" t="n">
        <v>3</v>
      </c>
      <c r="O157" s="9" t="n">
        <v>4</v>
      </c>
      <c r="P157" s="9" t="n">
        <v>4</v>
      </c>
      <c r="Q157" s="9" t="n">
        <v>4</v>
      </c>
      <c r="R157" s="9" t="inlineStr">
        <is>
          <t>是</t>
        </is>
      </c>
      <c r="S157" s="9" t="inlineStr">
        <is>
          <t>通过</t>
        </is>
      </c>
      <c r="T157" s="9" t="inlineStr">
        <is>
          <t>09:44:26</t>
        </is>
      </c>
      <c r="U157" s="9" t="inlineStr">
        <is>
          <t>09:46:18</t>
        </is>
      </c>
      <c r="V157" s="9" t="n">
        <v>112.3</v>
      </c>
      <c r="W157" s="9" t="inlineStr">
        <is>
          <t>无</t>
        </is>
      </c>
      <c r="X157" s="9" t="inlineStr"/>
    </row>
    <row r="158">
      <c r="A158" s="7" t="inlineStr">
        <is>
          <t>P004</t>
        </is>
      </c>
      <c r="B158" s="9" t="n">
        <v>1</v>
      </c>
      <c r="C158" s="9" t="inlineStr">
        <is>
          <t>方法A</t>
        </is>
      </c>
      <c r="D158" s="9" t="inlineStr">
        <is>
          <t>One-Euro</t>
        </is>
      </c>
      <c r="E158" s="9" t="n">
        <v>4</v>
      </c>
      <c r="F158" s="9" t="n">
        <v>3</v>
      </c>
      <c r="G158" s="9" t="n">
        <v>3</v>
      </c>
      <c r="H158" s="9" t="n">
        <v>4</v>
      </c>
      <c r="I158" s="9" t="n">
        <v>2</v>
      </c>
      <c r="J158" s="9" t="n">
        <v>3</v>
      </c>
      <c r="K158" s="9" t="n">
        <v>3</v>
      </c>
      <c r="L158" s="9" t="n">
        <v>3</v>
      </c>
      <c r="M158" s="9" t="n">
        <v>3</v>
      </c>
      <c r="N158" s="9" t="n">
        <v>3</v>
      </c>
      <c r="O158" s="9" t="n">
        <v>4</v>
      </c>
      <c r="P158" s="9" t="n">
        <v>4</v>
      </c>
      <c r="Q158" s="9" t="n">
        <v>5</v>
      </c>
      <c r="R158" s="9" t="inlineStr">
        <is>
          <t>是</t>
        </is>
      </c>
      <c r="S158" s="9" t="inlineStr">
        <is>
          <t>通过</t>
        </is>
      </c>
      <c r="T158" s="9" t="inlineStr">
        <is>
          <t>09:42:00</t>
        </is>
      </c>
      <c r="U158" s="9" t="inlineStr">
        <is>
          <t>09:44:11</t>
        </is>
      </c>
      <c r="V158" s="9" t="n">
        <v>131.3</v>
      </c>
      <c r="W158" s="9" t="inlineStr">
        <is>
          <t>无</t>
        </is>
      </c>
      <c r="X158" s="9" t="inlineStr"/>
    </row>
    <row r="159">
      <c r="A159" s="7" t="inlineStr">
        <is>
          <t>P004</t>
        </is>
      </c>
      <c r="B159" s="9" t="n">
        <v>2</v>
      </c>
      <c r="C159" s="9" t="inlineStr">
        <is>
          <t>方法B</t>
        </is>
      </c>
      <c r="D159" s="9" t="inlineStr">
        <is>
          <t>EgoAnchor</t>
        </is>
      </c>
      <c r="E159" s="9" t="n">
        <v>4</v>
      </c>
      <c r="F159" s="9" t="n">
        <v>4</v>
      </c>
      <c r="G159" s="9" t="n">
        <v>2</v>
      </c>
      <c r="H159" s="9" t="n">
        <v>4</v>
      </c>
      <c r="I159" s="9" t="n">
        <v>1</v>
      </c>
      <c r="J159" s="9" t="n">
        <v>4</v>
      </c>
      <c r="K159" s="9" t="n">
        <v>4</v>
      </c>
      <c r="L159" s="9" t="n">
        <v>2</v>
      </c>
      <c r="M159" s="9" t="n">
        <v>4</v>
      </c>
      <c r="N159" s="9" t="n">
        <v>2</v>
      </c>
      <c r="O159" s="9" t="n">
        <v>6</v>
      </c>
      <c r="P159" s="9" t="n">
        <v>6</v>
      </c>
      <c r="Q159" s="9" t="n">
        <v>6</v>
      </c>
      <c r="R159" s="9" t="inlineStr">
        <is>
          <t>是</t>
        </is>
      </c>
      <c r="S159" s="9" t="inlineStr">
        <is>
          <t>通过</t>
        </is>
      </c>
      <c r="T159" s="9" t="inlineStr">
        <is>
          <t>09:44:41</t>
        </is>
      </c>
      <c r="U159" s="9" t="inlineStr">
        <is>
          <t>09:46:58</t>
        </is>
      </c>
      <c r="V159" s="9" t="n">
        <v>136.7</v>
      </c>
      <c r="W159" s="9" t="inlineStr">
        <is>
          <t>无</t>
        </is>
      </c>
      <c r="X159" s="9" t="inlineStr"/>
    </row>
    <row r="160">
      <c r="A160" s="7" t="inlineStr">
        <is>
          <t>P005</t>
        </is>
      </c>
      <c r="B160" s="9" t="n">
        <v>1</v>
      </c>
      <c r="C160" s="9" t="inlineStr">
        <is>
          <t>方法A</t>
        </is>
      </c>
      <c r="D160" s="9" t="inlineStr">
        <is>
          <t>EgoAnchor</t>
        </is>
      </c>
      <c r="E160" s="9" t="n">
        <v>3</v>
      </c>
      <c r="F160" s="9" t="n">
        <v>4</v>
      </c>
      <c r="G160" s="9" t="n">
        <v>2</v>
      </c>
      <c r="H160" s="9" t="n">
        <v>3</v>
      </c>
      <c r="I160" s="9" t="n">
        <v>2</v>
      </c>
      <c r="J160" s="9" t="n">
        <v>4</v>
      </c>
      <c r="K160" s="9" t="n">
        <v>3</v>
      </c>
      <c r="L160" s="9" t="n">
        <v>2</v>
      </c>
      <c r="M160" s="9" t="n">
        <v>3</v>
      </c>
      <c r="N160" s="9" t="n">
        <v>2</v>
      </c>
      <c r="O160" s="9" t="n">
        <v>5</v>
      </c>
      <c r="P160" s="9" t="n">
        <v>5</v>
      </c>
      <c r="Q160" s="9" t="n">
        <v>4</v>
      </c>
      <c r="R160" s="9" t="inlineStr">
        <is>
          <t>是</t>
        </is>
      </c>
      <c r="S160" s="9" t="inlineStr">
        <is>
          <t>通过</t>
        </is>
      </c>
      <c r="T160" s="9" t="inlineStr">
        <is>
          <t>09:42:00</t>
        </is>
      </c>
      <c r="U160" s="9" t="inlineStr">
        <is>
          <t>09:43:41</t>
        </is>
      </c>
      <c r="V160" s="9" t="n">
        <v>101.5</v>
      </c>
      <c r="W160" s="9" t="inlineStr">
        <is>
          <t>无</t>
        </is>
      </c>
      <c r="X160" s="9" t="inlineStr"/>
    </row>
    <row r="161">
      <c r="A161" s="7" t="inlineStr">
        <is>
          <t>P005</t>
        </is>
      </c>
      <c r="B161" s="9" t="n">
        <v>2</v>
      </c>
      <c r="C161" s="9" t="inlineStr">
        <is>
          <t>方法B</t>
        </is>
      </c>
      <c r="D161" s="9" t="inlineStr">
        <is>
          <t>One-Euro</t>
        </is>
      </c>
      <c r="E161" s="9" t="n">
        <v>3</v>
      </c>
      <c r="F161" s="9" t="n">
        <v>3</v>
      </c>
      <c r="G161" s="9" t="n">
        <v>3</v>
      </c>
      <c r="H161" s="9" t="n">
        <v>3</v>
      </c>
      <c r="I161" s="9" t="n">
        <v>4</v>
      </c>
      <c r="J161" s="9" t="n">
        <v>2</v>
      </c>
      <c r="K161" s="9" t="n">
        <v>2</v>
      </c>
      <c r="L161" s="9" t="n">
        <v>3</v>
      </c>
      <c r="M161" s="9" t="n">
        <v>3</v>
      </c>
      <c r="N161" s="9" t="n">
        <v>3</v>
      </c>
      <c r="O161" s="9" t="n">
        <v>3</v>
      </c>
      <c r="P161" s="9" t="n">
        <v>3</v>
      </c>
      <c r="Q161" s="9" t="n">
        <v>4</v>
      </c>
      <c r="R161" s="9" t="inlineStr">
        <is>
          <t>是</t>
        </is>
      </c>
      <c r="S161" s="9" t="inlineStr">
        <is>
          <t>通过</t>
        </is>
      </c>
      <c r="T161" s="9" t="inlineStr">
        <is>
          <t>09:44:11</t>
        </is>
      </c>
      <c r="U161" s="9" t="inlineStr">
        <is>
          <t>09:46:12</t>
        </is>
      </c>
      <c r="V161" s="9" t="n">
        <v>121.2</v>
      </c>
      <c r="W161" s="9" t="inlineStr">
        <is>
          <t>无</t>
        </is>
      </c>
      <c r="X161" s="9" t="inlineStr"/>
    </row>
    <row r="162">
      <c r="A162" s="7" t="inlineStr">
        <is>
          <t>P006</t>
        </is>
      </c>
      <c r="B162" s="9" t="n">
        <v>1</v>
      </c>
      <c r="C162" s="9" t="inlineStr">
        <is>
          <t>方法B</t>
        </is>
      </c>
      <c r="D162" s="9" t="inlineStr">
        <is>
          <t>One-Euro</t>
        </is>
      </c>
      <c r="E162" s="9" t="n">
        <v>3</v>
      </c>
      <c r="F162" s="9" t="n">
        <v>2</v>
      </c>
      <c r="G162" s="9" t="n">
        <v>4</v>
      </c>
      <c r="H162" s="9" t="n">
        <v>2</v>
      </c>
      <c r="I162" s="9" t="n">
        <v>4</v>
      </c>
      <c r="J162" s="9" t="n">
        <v>2</v>
      </c>
      <c r="K162" s="9" t="n">
        <v>3</v>
      </c>
      <c r="L162" s="9" t="n">
        <v>3</v>
      </c>
      <c r="M162" s="9" t="n">
        <v>2</v>
      </c>
      <c r="N162" s="9" t="n">
        <v>4</v>
      </c>
      <c r="O162" s="9" t="n">
        <v>3</v>
      </c>
      <c r="P162" s="9" t="n">
        <v>3</v>
      </c>
      <c r="Q162" s="9" t="n">
        <v>3</v>
      </c>
      <c r="R162" s="9" t="inlineStr">
        <is>
          <t>是</t>
        </is>
      </c>
      <c r="S162" s="9" t="inlineStr">
        <is>
          <t>通过</t>
        </is>
      </c>
      <c r="T162" s="9" t="inlineStr">
        <is>
          <t>09:42:00</t>
        </is>
      </c>
      <c r="U162" s="9" t="inlineStr">
        <is>
          <t>09:44:21</t>
        </is>
      </c>
      <c r="V162" s="9" t="n">
        <v>141.6</v>
      </c>
      <c r="W162" s="9" t="inlineStr">
        <is>
          <t>无</t>
        </is>
      </c>
      <c r="X162" s="9" t="inlineStr"/>
    </row>
    <row r="163">
      <c r="A163" s="7" t="inlineStr">
        <is>
          <t>P006</t>
        </is>
      </c>
      <c r="B163" s="9" t="n">
        <v>2</v>
      </c>
      <c r="C163" s="9" t="inlineStr">
        <is>
          <t>方法A</t>
        </is>
      </c>
      <c r="D163" s="9" t="inlineStr">
        <is>
          <t>EgoAnchor</t>
        </is>
      </c>
      <c r="E163" s="9" t="n">
        <v>3</v>
      </c>
      <c r="F163" s="9" t="n">
        <v>3</v>
      </c>
      <c r="G163" s="9" t="n">
        <v>3</v>
      </c>
      <c r="H163" s="9" t="n">
        <v>3</v>
      </c>
      <c r="I163" s="9" t="n">
        <v>3</v>
      </c>
      <c r="J163" s="9" t="n">
        <v>3</v>
      </c>
      <c r="K163" s="9" t="n">
        <v>3</v>
      </c>
      <c r="L163" s="9" t="n">
        <v>2</v>
      </c>
      <c r="M163" s="9" t="n">
        <v>2</v>
      </c>
      <c r="N163" s="9" t="n">
        <v>4</v>
      </c>
      <c r="O163" s="9" t="n">
        <v>3</v>
      </c>
      <c r="P163" s="9" t="n">
        <v>4</v>
      </c>
      <c r="Q163" s="9" t="n">
        <v>4</v>
      </c>
      <c r="R163" s="9" t="inlineStr">
        <is>
          <t>是</t>
        </is>
      </c>
      <c r="S163" s="9" t="inlineStr">
        <is>
          <t>通过</t>
        </is>
      </c>
      <c r="T163" s="9" t="inlineStr">
        <is>
          <t>09:44:51</t>
        </is>
      </c>
      <c r="U163" s="9" t="inlineStr">
        <is>
          <t>09:46:49</t>
        </is>
      </c>
      <c r="V163" s="9" t="n">
        <v>117.6</v>
      </c>
      <c r="W163" s="9" t="inlineStr">
        <is>
          <t>无</t>
        </is>
      </c>
      <c r="X163" s="9" t="inlineStr"/>
    </row>
    <row r="164">
      <c r="A164" s="7" t="inlineStr">
        <is>
          <t>P007</t>
        </is>
      </c>
      <c r="B164" s="9" t="n">
        <v>1</v>
      </c>
      <c r="C164" s="9" t="inlineStr">
        <is>
          <t>方法B</t>
        </is>
      </c>
      <c r="D164" s="9" t="inlineStr">
        <is>
          <t>EgoAnchor</t>
        </is>
      </c>
      <c r="E164" s="9" t="n">
        <v>4</v>
      </c>
      <c r="F164" s="9" t="n">
        <v>4</v>
      </c>
      <c r="G164" s="9" t="n">
        <v>2</v>
      </c>
      <c r="H164" s="9" t="n">
        <v>4</v>
      </c>
      <c r="I164" s="9" t="n">
        <v>2</v>
      </c>
      <c r="J164" s="9" t="n">
        <v>4</v>
      </c>
      <c r="K164" s="9" t="n">
        <v>4</v>
      </c>
      <c r="L164" s="9" t="n">
        <v>2</v>
      </c>
      <c r="M164" s="9" t="n">
        <v>4</v>
      </c>
      <c r="N164" s="9" t="n">
        <v>2</v>
      </c>
      <c r="O164" s="9" t="n">
        <v>6</v>
      </c>
      <c r="P164" s="9" t="n">
        <v>5</v>
      </c>
      <c r="Q164" s="9" t="n">
        <v>5</v>
      </c>
      <c r="R164" s="9" t="inlineStr">
        <is>
          <t>是</t>
        </is>
      </c>
      <c r="S164" s="9" t="inlineStr">
        <is>
          <t>通过</t>
        </is>
      </c>
      <c r="T164" s="9" t="inlineStr">
        <is>
          <t>09:42:00</t>
        </is>
      </c>
      <c r="U164" s="9" t="inlineStr">
        <is>
          <t>09:44:36</t>
        </is>
      </c>
      <c r="V164" s="9" t="n">
        <v>156.7</v>
      </c>
      <c r="W164" s="9" t="inlineStr">
        <is>
          <t>无</t>
        </is>
      </c>
      <c r="X164" s="9" t="inlineStr"/>
    </row>
    <row r="165">
      <c r="A165" s="7" t="inlineStr">
        <is>
          <t>P007</t>
        </is>
      </c>
      <c r="B165" s="9" t="n">
        <v>2</v>
      </c>
      <c r="C165" s="9" t="inlineStr">
        <is>
          <t>方法A</t>
        </is>
      </c>
      <c r="D165" s="9" t="inlineStr">
        <is>
          <t>One-Euro</t>
        </is>
      </c>
      <c r="E165" s="9" t="n">
        <v>4</v>
      </c>
      <c r="F165" s="9" t="n">
        <v>4</v>
      </c>
      <c r="G165" s="9" t="n">
        <v>2</v>
      </c>
      <c r="H165" s="9" t="n">
        <v>4</v>
      </c>
      <c r="I165" s="9" t="n">
        <v>2</v>
      </c>
      <c r="J165" s="9" t="n">
        <v>3</v>
      </c>
      <c r="K165" s="9" t="n">
        <v>4</v>
      </c>
      <c r="L165" s="9" t="n">
        <v>2</v>
      </c>
      <c r="M165" s="9" t="n">
        <v>4</v>
      </c>
      <c r="N165" s="9" t="n">
        <v>1</v>
      </c>
      <c r="O165" s="9" t="n">
        <v>5</v>
      </c>
      <c r="P165" s="9" t="n">
        <v>5</v>
      </c>
      <c r="Q165" s="9" t="n">
        <v>4</v>
      </c>
      <c r="R165" s="9" t="inlineStr">
        <is>
          <t>是</t>
        </is>
      </c>
      <c r="S165" s="9" t="inlineStr">
        <is>
          <t>通过</t>
        </is>
      </c>
      <c r="T165" s="9" t="inlineStr">
        <is>
          <t>09:45:06</t>
        </is>
      </c>
      <c r="U165" s="9" t="inlineStr">
        <is>
          <t>09:47:36</t>
        </is>
      </c>
      <c r="V165" s="9" t="n">
        <v>149.9</v>
      </c>
      <c r="W165" s="9" t="inlineStr">
        <is>
          <t>无</t>
        </is>
      </c>
      <c r="X165" s="9" t="inlineStr"/>
    </row>
    <row r="166">
      <c r="A166" s="7" t="inlineStr">
        <is>
          <t>P008</t>
        </is>
      </c>
      <c r="B166" s="9" t="n">
        <v>1</v>
      </c>
      <c r="C166" s="9" t="inlineStr">
        <is>
          <t>方法A</t>
        </is>
      </c>
      <c r="D166" s="9" t="inlineStr">
        <is>
          <t>One-Euro</t>
        </is>
      </c>
      <c r="E166" s="9" t="n">
        <v>2</v>
      </c>
      <c r="F166" s="9" t="n">
        <v>3</v>
      </c>
      <c r="G166" s="9" t="n">
        <v>3</v>
      </c>
      <c r="H166" s="9" t="n">
        <v>4</v>
      </c>
      <c r="I166" s="9" t="n">
        <v>3</v>
      </c>
      <c r="J166" s="9" t="n">
        <v>3</v>
      </c>
      <c r="K166" s="9" t="n">
        <v>3</v>
      </c>
      <c r="L166" s="9" t="n">
        <v>2</v>
      </c>
      <c r="M166" s="9" t="n">
        <v>3</v>
      </c>
      <c r="N166" s="9" t="n">
        <v>3</v>
      </c>
      <c r="O166" s="9" t="n">
        <v>4</v>
      </c>
      <c r="P166" s="9" t="n">
        <v>5</v>
      </c>
      <c r="Q166" s="9" t="n">
        <v>5</v>
      </c>
      <c r="R166" s="9" t="inlineStr">
        <is>
          <t>是</t>
        </is>
      </c>
      <c r="S166" s="9" t="inlineStr">
        <is>
          <t>通过</t>
        </is>
      </c>
      <c r="T166" s="9" t="inlineStr">
        <is>
          <t>09:42:00</t>
        </is>
      </c>
      <c r="U166" s="9" t="inlineStr">
        <is>
          <t>09:44:09</t>
        </is>
      </c>
      <c r="V166" s="9" t="n">
        <v>129</v>
      </c>
      <c r="W166" s="9" t="inlineStr">
        <is>
          <t>无</t>
        </is>
      </c>
      <c r="X166" s="9" t="inlineStr"/>
    </row>
    <row r="167">
      <c r="A167" s="7" t="inlineStr">
        <is>
          <t>P008</t>
        </is>
      </c>
      <c r="B167" s="9" t="n">
        <v>2</v>
      </c>
      <c r="C167" s="9" t="inlineStr">
        <is>
          <t>方法B</t>
        </is>
      </c>
      <c r="D167" s="9" t="inlineStr">
        <is>
          <t>EgoAnchor</t>
        </is>
      </c>
      <c r="E167" s="9" t="n">
        <v>3</v>
      </c>
      <c r="F167" s="9" t="n">
        <v>4</v>
      </c>
      <c r="G167" s="9" t="n">
        <v>2</v>
      </c>
      <c r="H167" s="9" t="n">
        <v>4</v>
      </c>
      <c r="I167" s="9" t="n">
        <v>2</v>
      </c>
      <c r="J167" s="9" t="n">
        <v>3</v>
      </c>
      <c r="K167" s="9" t="n">
        <v>4</v>
      </c>
      <c r="L167" s="9" t="n">
        <v>2</v>
      </c>
      <c r="M167" s="9" t="n">
        <v>4</v>
      </c>
      <c r="N167" s="9" t="n">
        <v>2</v>
      </c>
      <c r="O167" s="9" t="n">
        <v>6</v>
      </c>
      <c r="P167" s="9" t="n">
        <v>6</v>
      </c>
      <c r="Q167" s="9" t="n">
        <v>5</v>
      </c>
      <c r="R167" s="9" t="inlineStr">
        <is>
          <t>是</t>
        </is>
      </c>
      <c r="S167" s="9" t="inlineStr">
        <is>
          <t>通过</t>
        </is>
      </c>
      <c r="T167" s="9" t="inlineStr">
        <is>
          <t>09:44:39</t>
        </is>
      </c>
      <c r="U167" s="9" t="inlineStr">
        <is>
          <t>09:46:42</t>
        </is>
      </c>
      <c r="V167" s="9" t="n">
        <v>123.6</v>
      </c>
      <c r="W167" s="9" t="inlineStr">
        <is>
          <t>无</t>
        </is>
      </c>
      <c r="X167" s="9" t="inlineStr"/>
    </row>
    <row r="168">
      <c r="A168" s="7" t="inlineStr">
        <is>
          <t>P009</t>
        </is>
      </c>
      <c r="B168" s="9" t="n">
        <v>1</v>
      </c>
      <c r="C168" s="9" t="inlineStr">
        <is>
          <t>方法A</t>
        </is>
      </c>
      <c r="D168" s="9" t="inlineStr">
        <is>
          <t>EgoAnchor</t>
        </is>
      </c>
      <c r="E168" s="9" t="n">
        <v>4</v>
      </c>
      <c r="F168" s="9" t="n">
        <v>4</v>
      </c>
      <c r="G168" s="9" t="n">
        <v>1</v>
      </c>
      <c r="H168" s="9" t="n">
        <v>4</v>
      </c>
      <c r="I168" s="9" t="n">
        <v>2</v>
      </c>
      <c r="J168" s="9" t="n">
        <v>4</v>
      </c>
      <c r="K168" s="9" t="n">
        <v>5</v>
      </c>
      <c r="L168" s="9" t="n">
        <v>2</v>
      </c>
      <c r="M168" s="9" t="n">
        <v>4</v>
      </c>
      <c r="N168" s="9" t="n">
        <v>2</v>
      </c>
      <c r="O168" s="9" t="n">
        <v>5</v>
      </c>
      <c r="P168" s="9" t="n">
        <v>5</v>
      </c>
      <c r="Q168" s="9" t="n">
        <v>5</v>
      </c>
      <c r="R168" s="9" t="inlineStr">
        <is>
          <t>是</t>
        </is>
      </c>
      <c r="S168" s="9" t="inlineStr">
        <is>
          <t>通过</t>
        </is>
      </c>
      <c r="T168" s="9" t="inlineStr">
        <is>
          <t>09:42:00</t>
        </is>
      </c>
      <c r="U168" s="9" t="inlineStr">
        <is>
          <t>09:43:34</t>
        </is>
      </c>
      <c r="V168" s="9" t="n">
        <v>94.5</v>
      </c>
      <c r="W168" s="9" t="inlineStr">
        <is>
          <t>无</t>
        </is>
      </c>
      <c r="X168" s="9" t="inlineStr"/>
    </row>
    <row r="169">
      <c r="A169" s="7" t="inlineStr">
        <is>
          <t>P009</t>
        </is>
      </c>
      <c r="B169" s="9" t="n">
        <v>2</v>
      </c>
      <c r="C169" s="9" t="inlineStr">
        <is>
          <t>方法B</t>
        </is>
      </c>
      <c r="D169" s="9" t="inlineStr">
        <is>
          <t>One-Euro</t>
        </is>
      </c>
      <c r="E169" s="9" t="n">
        <v>4</v>
      </c>
      <c r="F169" s="9" t="n">
        <v>4</v>
      </c>
      <c r="G169" s="9" t="n">
        <v>3</v>
      </c>
      <c r="H169" s="9" t="n">
        <v>4</v>
      </c>
      <c r="I169" s="9" t="n">
        <v>2</v>
      </c>
      <c r="J169" s="9" t="n">
        <v>4</v>
      </c>
      <c r="K169" s="9" t="n">
        <v>4</v>
      </c>
      <c r="L169" s="9" t="n">
        <v>2</v>
      </c>
      <c r="M169" s="9" t="n">
        <v>4</v>
      </c>
      <c r="N169" s="9" t="n">
        <v>2</v>
      </c>
      <c r="O169" s="9" t="n">
        <v>4</v>
      </c>
      <c r="P169" s="9" t="n">
        <v>6</v>
      </c>
      <c r="Q169" s="9" t="n">
        <v>6</v>
      </c>
      <c r="R169" s="9" t="inlineStr">
        <is>
          <t>是</t>
        </is>
      </c>
      <c r="S169" s="9" t="inlineStr">
        <is>
          <t>通过</t>
        </is>
      </c>
      <c r="T169" s="9" t="inlineStr">
        <is>
          <t>09:44:04</t>
        </is>
      </c>
      <c r="U169" s="9" t="inlineStr">
        <is>
          <t>09:45:56</t>
        </is>
      </c>
      <c r="V169" s="9" t="n">
        <v>112.3</v>
      </c>
      <c r="W169" s="9" t="inlineStr">
        <is>
          <t>无</t>
        </is>
      </c>
      <c r="X169" s="9" t="inlineStr"/>
    </row>
    <row r="170">
      <c r="A170" s="7" t="inlineStr">
        <is>
          <t>P010</t>
        </is>
      </c>
      <c r="B170" s="9" t="n">
        <v>1</v>
      </c>
      <c r="C170" s="9" t="inlineStr">
        <is>
          <t>方法B</t>
        </is>
      </c>
      <c r="D170" s="9" t="inlineStr">
        <is>
          <t>One-Euro</t>
        </is>
      </c>
      <c r="E170" s="9" t="n">
        <v>3</v>
      </c>
      <c r="F170" s="9" t="n">
        <v>4</v>
      </c>
      <c r="G170" s="9" t="n">
        <v>3</v>
      </c>
      <c r="H170" s="9" t="n">
        <v>3</v>
      </c>
      <c r="I170" s="9" t="n">
        <v>3</v>
      </c>
      <c r="J170" s="9" t="n">
        <v>4</v>
      </c>
      <c r="K170" s="9" t="n">
        <v>4</v>
      </c>
      <c r="L170" s="9" t="n">
        <v>3</v>
      </c>
      <c r="M170" s="9" t="n">
        <v>4</v>
      </c>
      <c r="N170" s="9" t="n">
        <v>3</v>
      </c>
      <c r="O170" s="9" t="n">
        <v>5</v>
      </c>
      <c r="P170" s="9" t="n">
        <v>5</v>
      </c>
      <c r="Q170" s="9" t="n">
        <v>5</v>
      </c>
      <c r="R170" s="9" t="inlineStr">
        <is>
          <t>是</t>
        </is>
      </c>
      <c r="S170" s="9" t="inlineStr">
        <is>
          <t>通过</t>
        </is>
      </c>
      <c r="T170" s="9" t="inlineStr">
        <is>
          <t>09:42:00</t>
        </is>
      </c>
      <c r="U170" s="9" t="inlineStr">
        <is>
          <t>09:45:03</t>
        </is>
      </c>
      <c r="V170" s="9" t="n">
        <v>183.5</v>
      </c>
      <c r="W170" s="9" t="inlineStr">
        <is>
          <t>无</t>
        </is>
      </c>
      <c r="X170" s="9" t="inlineStr"/>
    </row>
    <row r="171">
      <c r="A171" s="7" t="inlineStr">
        <is>
          <t>P010</t>
        </is>
      </c>
      <c r="B171" s="9" t="n">
        <v>2</v>
      </c>
      <c r="C171" s="9" t="inlineStr">
        <is>
          <t>方法A</t>
        </is>
      </c>
      <c r="D171" s="9" t="inlineStr">
        <is>
          <t>EgoAnchor</t>
        </is>
      </c>
      <c r="E171" s="9" t="n">
        <v>4</v>
      </c>
      <c r="F171" s="9" t="n">
        <v>4</v>
      </c>
      <c r="G171" s="9" t="n">
        <v>2</v>
      </c>
      <c r="H171" s="9" t="n">
        <v>4</v>
      </c>
      <c r="I171" s="9" t="n">
        <v>2</v>
      </c>
      <c r="J171" s="9" t="n">
        <v>4</v>
      </c>
      <c r="K171" s="9" t="n">
        <v>4</v>
      </c>
      <c r="L171" s="9" t="n">
        <v>2</v>
      </c>
      <c r="M171" s="9" t="n">
        <v>4</v>
      </c>
      <c r="N171" s="9" t="n">
        <v>2</v>
      </c>
      <c r="O171" s="9" t="n">
        <v>5</v>
      </c>
      <c r="P171" s="9" t="n">
        <v>5</v>
      </c>
      <c r="Q171" s="9" t="n">
        <v>5</v>
      </c>
      <c r="R171" s="9" t="inlineStr">
        <is>
          <t>是</t>
        </is>
      </c>
      <c r="S171" s="9" t="inlineStr">
        <is>
          <t>通过</t>
        </is>
      </c>
      <c r="T171" s="9" t="inlineStr">
        <is>
          <t>09:45:33</t>
        </is>
      </c>
      <c r="U171" s="9" t="inlineStr">
        <is>
          <t>09:48:55</t>
        </is>
      </c>
      <c r="V171" s="9" t="n">
        <v>202.1</v>
      </c>
      <c r="W171" s="9" t="inlineStr">
        <is>
          <t>无</t>
        </is>
      </c>
      <c r="X171" s="9" t="inlineStr"/>
    </row>
    <row r="172">
      <c r="A172" s="7" t="inlineStr">
        <is>
          <t>P011</t>
        </is>
      </c>
      <c r="B172" s="9" t="n">
        <v>1</v>
      </c>
      <c r="C172" s="9" t="inlineStr">
        <is>
          <t>方法B</t>
        </is>
      </c>
      <c r="D172" s="9" t="inlineStr">
        <is>
          <t>EgoAnchor</t>
        </is>
      </c>
      <c r="E172" s="9" t="n">
        <v>4</v>
      </c>
      <c r="F172" s="9" t="n">
        <v>4</v>
      </c>
      <c r="G172" s="9" t="n">
        <v>2</v>
      </c>
      <c r="H172" s="9" t="n">
        <v>4</v>
      </c>
      <c r="I172" s="9" t="n">
        <v>2</v>
      </c>
      <c r="J172" s="9" t="n">
        <v>4</v>
      </c>
      <c r="K172" s="9" t="n">
        <v>4</v>
      </c>
      <c r="L172" s="9" t="n">
        <v>2</v>
      </c>
      <c r="M172" s="9" t="n">
        <v>4</v>
      </c>
      <c r="N172" s="9" t="n">
        <v>2</v>
      </c>
      <c r="O172" s="9" t="n">
        <v>6</v>
      </c>
      <c r="P172" s="9" t="n">
        <v>5</v>
      </c>
      <c r="Q172" s="9" t="n">
        <v>5</v>
      </c>
      <c r="R172" s="9" t="inlineStr">
        <is>
          <t>是</t>
        </is>
      </c>
      <c r="S172" s="9" t="inlineStr">
        <is>
          <t>通过</t>
        </is>
      </c>
      <c r="T172" s="9" t="inlineStr">
        <is>
          <t>09:42:00</t>
        </is>
      </c>
      <c r="U172" s="9" t="inlineStr">
        <is>
          <t>09:44:22</t>
        </is>
      </c>
      <c r="V172" s="9" t="n">
        <v>142.9</v>
      </c>
      <c r="W172" s="9" t="inlineStr">
        <is>
          <t>无</t>
        </is>
      </c>
      <c r="X172" s="9" t="inlineStr"/>
    </row>
    <row r="173">
      <c r="A173" s="7" t="inlineStr">
        <is>
          <t>P011</t>
        </is>
      </c>
      <c r="B173" s="9" t="n">
        <v>2</v>
      </c>
      <c r="C173" s="9" t="inlineStr">
        <is>
          <t>方法A</t>
        </is>
      </c>
      <c r="D173" s="9" t="inlineStr">
        <is>
          <t>One-Euro</t>
        </is>
      </c>
      <c r="E173" s="9" t="n">
        <v>4</v>
      </c>
      <c r="F173" s="9" t="n">
        <v>4</v>
      </c>
      <c r="G173" s="9" t="n">
        <v>2</v>
      </c>
      <c r="H173" s="9" t="n">
        <v>4</v>
      </c>
      <c r="I173" s="9" t="n">
        <v>2</v>
      </c>
      <c r="J173" s="9" t="n">
        <v>4</v>
      </c>
      <c r="K173" s="9" t="n">
        <v>4</v>
      </c>
      <c r="L173" s="9" t="n">
        <v>2</v>
      </c>
      <c r="M173" s="9" t="n">
        <v>4</v>
      </c>
      <c r="N173" s="9" t="n">
        <v>2</v>
      </c>
      <c r="O173" s="9" t="n">
        <v>5</v>
      </c>
      <c r="P173" s="9" t="n">
        <v>6</v>
      </c>
      <c r="Q173" s="9" t="n">
        <v>5</v>
      </c>
      <c r="R173" s="9" t="inlineStr">
        <is>
          <t>是</t>
        </is>
      </c>
      <c r="S173" s="9" t="inlineStr">
        <is>
          <t>通过</t>
        </is>
      </c>
      <c r="T173" s="9" t="inlineStr">
        <is>
          <t>09:44:52</t>
        </is>
      </c>
      <c r="U173" s="9" t="inlineStr">
        <is>
          <t>09:47:03</t>
        </is>
      </c>
      <c r="V173" s="9" t="n">
        <v>130.5</v>
      </c>
      <c r="W173" s="9" t="inlineStr">
        <is>
          <t>无</t>
        </is>
      </c>
      <c r="X173" s="9" t="inlineStr"/>
    </row>
    <row r="174">
      <c r="A174" s="7" t="inlineStr">
        <is>
          <t>P012</t>
        </is>
      </c>
      <c r="B174" s="9" t="n">
        <v>1</v>
      </c>
      <c r="C174" s="9" t="inlineStr">
        <is>
          <t>方法A</t>
        </is>
      </c>
      <c r="D174" s="9" t="inlineStr">
        <is>
          <t>One-Euro</t>
        </is>
      </c>
      <c r="E174" s="9" t="n">
        <v>3</v>
      </c>
      <c r="F174" s="9" t="n">
        <v>3</v>
      </c>
      <c r="G174" s="9" t="n">
        <v>3</v>
      </c>
      <c r="H174" s="9" t="n">
        <v>3</v>
      </c>
      <c r="I174" s="9" t="n">
        <v>3</v>
      </c>
      <c r="J174" s="9" t="n">
        <v>2</v>
      </c>
      <c r="K174" s="9" t="n">
        <v>3</v>
      </c>
      <c r="L174" s="9" t="n">
        <v>3</v>
      </c>
      <c r="M174" s="9" t="n">
        <v>2</v>
      </c>
      <c r="N174" s="9" t="n">
        <v>3</v>
      </c>
      <c r="O174" s="9" t="n">
        <v>3</v>
      </c>
      <c r="P174" s="9" t="n">
        <v>3</v>
      </c>
      <c r="Q174" s="9" t="n">
        <v>3</v>
      </c>
      <c r="R174" s="9" t="inlineStr">
        <is>
          <t>是</t>
        </is>
      </c>
      <c r="S174" s="9" t="inlineStr">
        <is>
          <t>通过</t>
        </is>
      </c>
      <c r="T174" s="9" t="inlineStr">
        <is>
          <t>09:42:00</t>
        </is>
      </c>
      <c r="U174" s="9" t="inlineStr">
        <is>
          <t>09:43:43</t>
        </is>
      </c>
      <c r="V174" s="9" t="n">
        <v>103.8</v>
      </c>
      <c r="W174" s="9" t="inlineStr">
        <is>
          <t>无</t>
        </is>
      </c>
      <c r="X174" s="9" t="inlineStr"/>
    </row>
    <row r="175">
      <c r="A175" s="7" t="inlineStr">
        <is>
          <t>P012</t>
        </is>
      </c>
      <c r="B175" s="9" t="n">
        <v>2</v>
      </c>
      <c r="C175" s="9" t="inlineStr">
        <is>
          <t>方法B</t>
        </is>
      </c>
      <c r="D175" s="9" t="inlineStr">
        <is>
          <t>EgoAnchor</t>
        </is>
      </c>
      <c r="E175" s="9" t="n">
        <v>3</v>
      </c>
      <c r="F175" s="9" t="n">
        <v>4</v>
      </c>
      <c r="G175" s="9" t="n">
        <v>3</v>
      </c>
      <c r="H175" s="9" t="n">
        <v>4</v>
      </c>
      <c r="I175" s="9" t="n">
        <v>3</v>
      </c>
      <c r="J175" s="9" t="n">
        <v>3</v>
      </c>
      <c r="K175" s="9" t="n">
        <v>4</v>
      </c>
      <c r="L175" s="9" t="n">
        <v>3</v>
      </c>
      <c r="M175" s="9" t="n">
        <v>3</v>
      </c>
      <c r="N175" s="9" t="n">
        <v>2</v>
      </c>
      <c r="O175" s="9" t="n">
        <v>5</v>
      </c>
      <c r="P175" s="9" t="n">
        <v>4</v>
      </c>
      <c r="Q175" s="9" t="n">
        <v>5</v>
      </c>
      <c r="R175" s="9" t="inlineStr">
        <is>
          <t>是</t>
        </is>
      </c>
      <c r="S175" s="9" t="inlineStr">
        <is>
          <t>通过</t>
        </is>
      </c>
      <c r="T175" s="9" t="inlineStr">
        <is>
          <t>09:44:13</t>
        </is>
      </c>
      <c r="U175" s="9" t="inlineStr">
        <is>
          <t>09:46:16</t>
        </is>
      </c>
      <c r="V175" s="9" t="n">
        <v>122.3</v>
      </c>
      <c r="W175" s="9" t="inlineStr">
        <is>
          <t>无</t>
        </is>
      </c>
      <c r="X175" s="9" t="inlineStr"/>
    </row>
    <row r="176">
      <c r="A176" s="7" t="inlineStr">
        <is>
          <t>P013</t>
        </is>
      </c>
      <c r="B176" s="9" t="n">
        <v>1</v>
      </c>
      <c r="C176" s="9" t="inlineStr">
        <is>
          <t>方法A</t>
        </is>
      </c>
      <c r="D176" s="9" t="inlineStr">
        <is>
          <t>EgoAnchor</t>
        </is>
      </c>
      <c r="E176" s="9" t="n">
        <v>4</v>
      </c>
      <c r="F176" s="9" t="n">
        <v>4</v>
      </c>
      <c r="G176" s="9" t="n">
        <v>3</v>
      </c>
      <c r="H176" s="9" t="n">
        <v>4</v>
      </c>
      <c r="I176" s="9" t="n">
        <v>2</v>
      </c>
      <c r="J176" s="9" t="n">
        <v>4</v>
      </c>
      <c r="K176" s="9" t="n">
        <v>4</v>
      </c>
      <c r="L176" s="9" t="n">
        <v>2</v>
      </c>
      <c r="M176" s="9" t="n">
        <v>4</v>
      </c>
      <c r="N176" s="9" t="n">
        <v>2</v>
      </c>
      <c r="O176" s="9" t="n">
        <v>6</v>
      </c>
      <c r="P176" s="9" t="n">
        <v>5</v>
      </c>
      <c r="Q176" s="9" t="n">
        <v>5</v>
      </c>
      <c r="R176" s="9" t="inlineStr">
        <is>
          <t>是</t>
        </is>
      </c>
      <c r="S176" s="9" t="inlineStr">
        <is>
          <t>通过</t>
        </is>
      </c>
      <c r="T176" s="9" t="inlineStr">
        <is>
          <t>09:42:00</t>
        </is>
      </c>
      <c r="U176" s="9" t="inlineStr">
        <is>
          <t>09:44:19</t>
        </is>
      </c>
      <c r="V176" s="9" t="n">
        <v>139.7</v>
      </c>
      <c r="W176" s="9" t="inlineStr">
        <is>
          <t>无</t>
        </is>
      </c>
      <c r="X176" s="9" t="inlineStr"/>
    </row>
    <row r="177">
      <c r="A177" s="7" t="inlineStr">
        <is>
          <t>P013</t>
        </is>
      </c>
      <c r="B177" s="9" t="n">
        <v>2</v>
      </c>
      <c r="C177" s="9" t="inlineStr">
        <is>
          <t>方法B</t>
        </is>
      </c>
      <c r="D177" s="9" t="inlineStr">
        <is>
          <t>One-Euro</t>
        </is>
      </c>
      <c r="E177" s="9" t="n">
        <v>4</v>
      </c>
      <c r="F177" s="9" t="n">
        <v>4</v>
      </c>
      <c r="G177" s="9" t="n">
        <v>3</v>
      </c>
      <c r="H177" s="9" t="n">
        <v>4</v>
      </c>
      <c r="I177" s="9" t="n">
        <v>3</v>
      </c>
      <c r="J177" s="9" t="n">
        <v>4</v>
      </c>
      <c r="K177" s="9" t="n">
        <v>4</v>
      </c>
      <c r="L177" s="9" t="n">
        <v>2</v>
      </c>
      <c r="M177" s="9" t="n">
        <v>4</v>
      </c>
      <c r="N177" s="9" t="n">
        <v>2</v>
      </c>
      <c r="O177" s="9" t="n">
        <v>5</v>
      </c>
      <c r="P177" s="9" t="n">
        <v>5</v>
      </c>
      <c r="Q177" s="9" t="n">
        <v>4</v>
      </c>
      <c r="R177" s="9" t="inlineStr">
        <is>
          <t>是</t>
        </is>
      </c>
      <c r="S177" s="9" t="inlineStr">
        <is>
          <t>通过</t>
        </is>
      </c>
      <c r="T177" s="9" t="inlineStr">
        <is>
          <t>09:44:49</t>
        </is>
      </c>
      <c r="U177" s="9" t="inlineStr">
        <is>
          <t>09:46:46</t>
        </is>
      </c>
      <c r="V177" s="9" t="n">
        <v>116.4</v>
      </c>
      <c r="W177" s="9" t="inlineStr">
        <is>
          <t>无</t>
        </is>
      </c>
      <c r="X177" s="9" t="inlineStr"/>
    </row>
    <row r="178">
      <c r="A178" s="7" t="inlineStr">
        <is>
          <t>P014</t>
        </is>
      </c>
      <c r="B178" s="9" t="n">
        <v>1</v>
      </c>
      <c r="C178" s="9" t="inlineStr">
        <is>
          <t>方法B</t>
        </is>
      </c>
      <c r="D178" s="9" t="inlineStr">
        <is>
          <t>One-Euro</t>
        </is>
      </c>
      <c r="E178" s="9" t="n">
        <v>3</v>
      </c>
      <c r="F178" s="9" t="n">
        <v>3</v>
      </c>
      <c r="G178" s="9" t="n">
        <v>4</v>
      </c>
      <c r="H178" s="9" t="n">
        <v>3</v>
      </c>
      <c r="I178" s="9" t="n">
        <v>4</v>
      </c>
      <c r="J178" s="9" t="n">
        <v>3</v>
      </c>
      <c r="K178" s="9" t="n">
        <v>3</v>
      </c>
      <c r="L178" s="9" t="n">
        <v>3</v>
      </c>
      <c r="M178" s="9" t="n">
        <v>3</v>
      </c>
      <c r="N178" s="9" t="n">
        <v>4</v>
      </c>
      <c r="O178" s="9" t="n">
        <v>3</v>
      </c>
      <c r="P178" s="9" t="n">
        <v>3</v>
      </c>
      <c r="Q178" s="9" t="n">
        <v>4</v>
      </c>
      <c r="R178" s="9" t="inlineStr">
        <is>
          <t>是</t>
        </is>
      </c>
      <c r="S178" s="9" t="inlineStr">
        <is>
          <t>通过</t>
        </is>
      </c>
      <c r="T178" s="9" t="inlineStr">
        <is>
          <t>09:42:00</t>
        </is>
      </c>
      <c r="U178" s="9" t="inlineStr">
        <is>
          <t>09:44:05</t>
        </is>
      </c>
      <c r="V178" s="9" t="n">
        <v>125.4</v>
      </c>
      <c r="W178" s="9" t="inlineStr">
        <is>
          <t>无</t>
        </is>
      </c>
      <c r="X178" s="9" t="inlineStr"/>
    </row>
    <row r="179">
      <c r="A179" s="7" t="inlineStr">
        <is>
          <t>P014</t>
        </is>
      </c>
      <c r="B179" s="9" t="n">
        <v>2</v>
      </c>
      <c r="C179" s="9" t="inlineStr">
        <is>
          <t>方法A</t>
        </is>
      </c>
      <c r="D179" s="9" t="inlineStr">
        <is>
          <t>EgoAnchor</t>
        </is>
      </c>
      <c r="E179" s="9" t="n">
        <v>4</v>
      </c>
      <c r="F179" s="9" t="n">
        <v>4</v>
      </c>
      <c r="G179" s="9" t="n">
        <v>2</v>
      </c>
      <c r="H179" s="9" t="n">
        <v>4</v>
      </c>
      <c r="I179" s="9" t="n">
        <v>2</v>
      </c>
      <c r="J179" s="9" t="n">
        <v>4</v>
      </c>
      <c r="K179" s="9" t="n">
        <v>4</v>
      </c>
      <c r="L179" s="9" t="n">
        <v>2</v>
      </c>
      <c r="M179" s="9" t="n">
        <v>4</v>
      </c>
      <c r="N179" s="9" t="n">
        <v>3</v>
      </c>
      <c r="O179" s="9" t="n">
        <v>5</v>
      </c>
      <c r="P179" s="9" t="n">
        <v>6</v>
      </c>
      <c r="Q179" s="9" t="n">
        <v>6</v>
      </c>
      <c r="R179" s="9" t="inlineStr">
        <is>
          <t>是</t>
        </is>
      </c>
      <c r="S179" s="9" t="inlineStr">
        <is>
          <t>通过</t>
        </is>
      </c>
      <c r="T179" s="9" t="inlineStr">
        <is>
          <t>09:44:35</t>
        </is>
      </c>
      <c r="U179" s="9" t="inlineStr">
        <is>
          <t>09:46:43</t>
        </is>
      </c>
      <c r="V179" s="9" t="n">
        <v>128.3</v>
      </c>
      <c r="W179" s="9" t="inlineStr">
        <is>
          <t>无</t>
        </is>
      </c>
      <c r="X179" s="9" t="inlineStr"/>
    </row>
    <row r="180">
      <c r="A180" s="7" t="inlineStr">
        <is>
          <t>P015</t>
        </is>
      </c>
      <c r="B180" s="9" t="n">
        <v>1</v>
      </c>
      <c r="C180" s="9" t="inlineStr">
        <is>
          <t>方法B</t>
        </is>
      </c>
      <c r="D180" s="9" t="inlineStr">
        <is>
          <t>EgoAnchor</t>
        </is>
      </c>
      <c r="E180" s="9" t="n">
        <v>4</v>
      </c>
      <c r="F180" s="9" t="n">
        <v>3</v>
      </c>
      <c r="G180" s="9" t="n">
        <v>4</v>
      </c>
      <c r="H180" s="9" t="n">
        <v>4</v>
      </c>
      <c r="I180" s="9" t="n">
        <v>3</v>
      </c>
      <c r="J180" s="9" t="n">
        <v>4</v>
      </c>
      <c r="K180" s="9" t="n">
        <v>4</v>
      </c>
      <c r="L180" s="9" t="n">
        <v>2</v>
      </c>
      <c r="M180" s="9" t="n">
        <v>4</v>
      </c>
      <c r="N180" s="9" t="n">
        <v>2</v>
      </c>
      <c r="O180" s="9" t="n">
        <v>4</v>
      </c>
      <c r="P180" s="9" t="n">
        <v>4</v>
      </c>
      <c r="Q180" s="9" t="n">
        <v>3</v>
      </c>
      <c r="R180" s="9" t="inlineStr">
        <is>
          <t>是</t>
        </is>
      </c>
      <c r="S180" s="9" t="inlineStr">
        <is>
          <t>通过</t>
        </is>
      </c>
      <c r="T180" s="9" t="inlineStr">
        <is>
          <t>09:42:00</t>
        </is>
      </c>
      <c r="U180" s="9" t="inlineStr">
        <is>
          <t>09:43:32</t>
        </is>
      </c>
      <c r="V180" s="9" t="n">
        <v>92</v>
      </c>
      <c r="W180" s="9" t="inlineStr">
        <is>
          <t>无</t>
        </is>
      </c>
      <c r="X180" s="9" t="inlineStr"/>
    </row>
    <row r="181">
      <c r="A181" s="7" t="inlineStr">
        <is>
          <t>P015</t>
        </is>
      </c>
      <c r="B181" s="9" t="n">
        <v>2</v>
      </c>
      <c r="C181" s="9" t="inlineStr">
        <is>
          <t>方法A</t>
        </is>
      </c>
      <c r="D181" s="9" t="inlineStr">
        <is>
          <t>One-Euro</t>
        </is>
      </c>
      <c r="E181" s="9" t="n">
        <v>4</v>
      </c>
      <c r="F181" s="9" t="n">
        <v>4</v>
      </c>
      <c r="G181" s="9" t="n">
        <v>3</v>
      </c>
      <c r="H181" s="9" t="n">
        <v>4</v>
      </c>
      <c r="I181" s="9" t="n">
        <v>2</v>
      </c>
      <c r="J181" s="9" t="n">
        <v>4</v>
      </c>
      <c r="K181" s="9" t="n">
        <v>4</v>
      </c>
      <c r="L181" s="9" t="n">
        <v>1</v>
      </c>
      <c r="M181" s="9" t="n">
        <v>4</v>
      </c>
      <c r="N181" s="9" t="n">
        <v>3</v>
      </c>
      <c r="O181" s="9" t="n">
        <v>5</v>
      </c>
      <c r="P181" s="9" t="n">
        <v>5</v>
      </c>
      <c r="Q181" s="9" t="n">
        <v>4</v>
      </c>
      <c r="R181" s="9" t="inlineStr">
        <is>
          <t>是</t>
        </is>
      </c>
      <c r="S181" s="9" t="inlineStr">
        <is>
          <t>通过</t>
        </is>
      </c>
      <c r="T181" s="9" t="inlineStr">
        <is>
          <t>09:44:02</t>
        </is>
      </c>
      <c r="U181" s="9" t="inlineStr">
        <is>
          <t>09:45:47</t>
        </is>
      </c>
      <c r="V181" s="9" t="n">
        <v>105.5</v>
      </c>
      <c r="W181" s="9" t="inlineStr">
        <is>
          <t>无</t>
        </is>
      </c>
      <c r="X181" s="9" t="inlineStr"/>
    </row>
    <row r="182">
      <c r="A182" s="7" t="inlineStr">
        <is>
          <t>P016</t>
        </is>
      </c>
      <c r="B182" s="9" t="n">
        <v>1</v>
      </c>
      <c r="C182" s="9" t="inlineStr">
        <is>
          <t>方法A</t>
        </is>
      </c>
      <c r="D182" s="9" t="inlineStr">
        <is>
          <t>One-Euro</t>
        </is>
      </c>
      <c r="E182" s="9" t="n">
        <v>4</v>
      </c>
      <c r="F182" s="9" t="n">
        <v>4</v>
      </c>
      <c r="G182" s="9" t="n">
        <v>2</v>
      </c>
      <c r="H182" s="9" t="n">
        <v>4</v>
      </c>
      <c r="I182" s="9" t="n">
        <v>2</v>
      </c>
      <c r="J182" s="9" t="n">
        <v>4</v>
      </c>
      <c r="K182" s="9" t="n">
        <v>3</v>
      </c>
      <c r="L182" s="9" t="n">
        <v>2</v>
      </c>
      <c r="M182" s="9" t="n">
        <v>4</v>
      </c>
      <c r="N182" s="9" t="n">
        <v>2</v>
      </c>
      <c r="O182" s="9" t="n">
        <v>4</v>
      </c>
      <c r="P182" s="9" t="n">
        <v>5</v>
      </c>
      <c r="Q182" s="9" t="n">
        <v>5</v>
      </c>
      <c r="R182" s="9" t="inlineStr">
        <is>
          <t>是</t>
        </is>
      </c>
      <c r="S182" s="9" t="inlineStr">
        <is>
          <t>通过</t>
        </is>
      </c>
      <c r="T182" s="9" t="inlineStr">
        <is>
          <t>09:42:00</t>
        </is>
      </c>
      <c r="U182" s="9" t="inlineStr">
        <is>
          <t>09:44:53</t>
        </is>
      </c>
      <c r="V182" s="9" t="n">
        <v>173</v>
      </c>
      <c r="W182" s="9" t="inlineStr">
        <is>
          <t>无</t>
        </is>
      </c>
      <c r="X182" s="9" t="inlineStr"/>
    </row>
    <row r="183">
      <c r="A183" s="7" t="inlineStr">
        <is>
          <t>P016</t>
        </is>
      </c>
      <c r="B183" s="9" t="n">
        <v>2</v>
      </c>
      <c r="C183" s="9" t="inlineStr">
        <is>
          <t>方法B</t>
        </is>
      </c>
      <c r="D183" s="9" t="inlineStr">
        <is>
          <t>EgoAnchor</t>
        </is>
      </c>
      <c r="E183" s="9" t="n">
        <v>4</v>
      </c>
      <c r="F183" s="9" t="n">
        <v>4</v>
      </c>
      <c r="G183" s="9" t="n">
        <v>1</v>
      </c>
      <c r="H183" s="9" t="n">
        <v>4</v>
      </c>
      <c r="I183" s="9" t="n">
        <v>2</v>
      </c>
      <c r="J183" s="9" t="n">
        <v>4</v>
      </c>
      <c r="K183" s="9" t="n">
        <v>4</v>
      </c>
      <c r="L183" s="9" t="n">
        <v>3</v>
      </c>
      <c r="M183" s="9" t="n">
        <v>4</v>
      </c>
      <c r="N183" s="9" t="n">
        <v>2</v>
      </c>
      <c r="O183" s="9" t="n">
        <v>5</v>
      </c>
      <c r="P183" s="9" t="n">
        <v>5</v>
      </c>
      <c r="Q183" s="9" t="n">
        <v>6</v>
      </c>
      <c r="R183" s="9" t="inlineStr">
        <is>
          <t>是</t>
        </is>
      </c>
      <c r="S183" s="9" t="inlineStr">
        <is>
          <t>通过</t>
        </is>
      </c>
      <c r="T183" s="9" t="inlineStr">
        <is>
          <t>09:45:23</t>
        </is>
      </c>
      <c r="U183" s="9" t="inlineStr">
        <is>
          <t>09:48:28</t>
        </is>
      </c>
      <c r="V183" s="9" t="n">
        <v>185</v>
      </c>
      <c r="W183" s="9" t="inlineStr">
        <is>
          <t>无</t>
        </is>
      </c>
      <c r="X183" s="9" t="inlineStr"/>
    </row>
    <row r="184">
      <c r="A184" s="7" t="inlineStr">
        <is>
          <t>P017</t>
        </is>
      </c>
      <c r="B184" s="9" t="n">
        <v>1</v>
      </c>
      <c r="C184" s="9" t="inlineStr">
        <is>
          <t>方法A</t>
        </is>
      </c>
      <c r="D184" s="9" t="inlineStr">
        <is>
          <t>EgoAnchor</t>
        </is>
      </c>
      <c r="E184" s="9" t="n">
        <v>3</v>
      </c>
      <c r="F184" s="9" t="n">
        <v>4</v>
      </c>
      <c r="G184" s="9" t="n">
        <v>2</v>
      </c>
      <c r="H184" s="9" t="n">
        <v>4</v>
      </c>
      <c r="I184" s="9" t="n">
        <v>2</v>
      </c>
      <c r="J184" s="9" t="n">
        <v>4</v>
      </c>
      <c r="K184" s="9" t="n">
        <v>4</v>
      </c>
      <c r="L184" s="9" t="n">
        <v>1</v>
      </c>
      <c r="M184" s="9" t="n">
        <v>4</v>
      </c>
      <c r="N184" s="9" t="n">
        <v>2</v>
      </c>
      <c r="O184" s="9" t="n">
        <v>5</v>
      </c>
      <c r="P184" s="9" t="n">
        <v>5</v>
      </c>
      <c r="Q184" s="9" t="n">
        <v>4</v>
      </c>
      <c r="R184" s="9" t="inlineStr">
        <is>
          <t>是</t>
        </is>
      </c>
      <c r="S184" s="9" t="inlineStr">
        <is>
          <t>通过</t>
        </is>
      </c>
      <c r="T184" s="9" t="inlineStr">
        <is>
          <t>09:42:00</t>
        </is>
      </c>
      <c r="U184" s="9" t="inlineStr">
        <is>
          <t>09:44:26</t>
        </is>
      </c>
      <c r="V184" s="9" t="n">
        <v>146.6</v>
      </c>
      <c r="W184" s="9" t="inlineStr">
        <is>
          <t>无</t>
        </is>
      </c>
      <c r="X184" s="9" t="inlineStr"/>
    </row>
    <row r="185">
      <c r="A185" s="7" t="inlineStr">
        <is>
          <t>P017</t>
        </is>
      </c>
      <c r="B185" s="9" t="n">
        <v>2</v>
      </c>
      <c r="C185" s="9" t="inlineStr">
        <is>
          <t>方法B</t>
        </is>
      </c>
      <c r="D185" s="9" t="inlineStr">
        <is>
          <t>One-Euro</t>
        </is>
      </c>
      <c r="E185" s="9" t="n">
        <v>3</v>
      </c>
      <c r="F185" s="9" t="n">
        <v>4</v>
      </c>
      <c r="G185" s="9" t="n">
        <v>3</v>
      </c>
      <c r="H185" s="9" t="n">
        <v>4</v>
      </c>
      <c r="I185" s="9" t="n">
        <v>3</v>
      </c>
      <c r="J185" s="9" t="n">
        <v>4</v>
      </c>
      <c r="K185" s="9" t="n">
        <v>4</v>
      </c>
      <c r="L185" s="9" t="n">
        <v>2</v>
      </c>
      <c r="M185" s="9" t="n">
        <v>3</v>
      </c>
      <c r="N185" s="9" t="n">
        <v>2</v>
      </c>
      <c r="O185" s="9" t="n">
        <v>5</v>
      </c>
      <c r="P185" s="9" t="n">
        <v>5</v>
      </c>
      <c r="Q185" s="9" t="n">
        <v>5</v>
      </c>
      <c r="R185" s="9" t="inlineStr">
        <is>
          <t>是</t>
        </is>
      </c>
      <c r="S185" s="9" t="inlineStr">
        <is>
          <t>通过</t>
        </is>
      </c>
      <c r="T185" s="9" t="inlineStr">
        <is>
          <t>09:44:56</t>
        </is>
      </c>
      <c r="U185" s="9" t="inlineStr">
        <is>
          <t>09:47:38</t>
        </is>
      </c>
      <c r="V185" s="9" t="n">
        <v>162.2</v>
      </c>
      <c r="W185" s="9" t="inlineStr">
        <is>
          <t>无</t>
        </is>
      </c>
      <c r="X185" s="9" t="inlineStr"/>
    </row>
    <row r="186">
      <c r="A186" s="7" t="inlineStr">
        <is>
          <t>P018</t>
        </is>
      </c>
      <c r="B186" s="9" t="n">
        <v>1</v>
      </c>
      <c r="C186" s="9" t="inlineStr">
        <is>
          <t>方法B</t>
        </is>
      </c>
      <c r="D186" s="9" t="inlineStr">
        <is>
          <t>One-Euro</t>
        </is>
      </c>
      <c r="E186" s="9" t="n">
        <v>3</v>
      </c>
      <c r="F186" s="9" t="n">
        <v>3</v>
      </c>
      <c r="G186" s="9" t="n">
        <v>3</v>
      </c>
      <c r="H186" s="9" t="n">
        <v>3</v>
      </c>
      <c r="I186" s="9" t="n">
        <v>3</v>
      </c>
      <c r="J186" s="9" t="n">
        <v>3</v>
      </c>
      <c r="K186" s="9" t="n">
        <v>3</v>
      </c>
      <c r="L186" s="9" t="n">
        <v>3</v>
      </c>
      <c r="M186" s="9" t="n">
        <v>3</v>
      </c>
      <c r="N186" s="9" t="n">
        <v>2</v>
      </c>
      <c r="O186" s="9" t="n">
        <v>4</v>
      </c>
      <c r="P186" s="9" t="n">
        <v>3</v>
      </c>
      <c r="Q186" s="9" t="n">
        <v>3</v>
      </c>
      <c r="R186" s="9" t="inlineStr">
        <is>
          <t>是</t>
        </is>
      </c>
      <c r="S186" s="9" t="inlineStr">
        <is>
          <t>通过</t>
        </is>
      </c>
      <c r="T186" s="9" t="inlineStr">
        <is>
          <t>09:42:00</t>
        </is>
      </c>
      <c r="U186" s="9" t="inlineStr">
        <is>
          <t>09:44:00</t>
        </is>
      </c>
      <c r="V186" s="9" t="n">
        <v>120.1</v>
      </c>
      <c r="W186" s="9" t="inlineStr">
        <is>
          <t>无</t>
        </is>
      </c>
      <c r="X186" s="9" t="inlineStr"/>
    </row>
    <row r="187">
      <c r="A187" s="7" t="inlineStr">
        <is>
          <t>P018</t>
        </is>
      </c>
      <c r="B187" s="9" t="n">
        <v>2</v>
      </c>
      <c r="C187" s="9" t="inlineStr">
        <is>
          <t>方法A</t>
        </is>
      </c>
      <c r="D187" s="9" t="inlineStr">
        <is>
          <t>EgoAnchor</t>
        </is>
      </c>
      <c r="E187" s="9" t="n">
        <v>3</v>
      </c>
      <c r="F187" s="9" t="n">
        <v>3</v>
      </c>
      <c r="G187" s="9" t="n">
        <v>2</v>
      </c>
      <c r="H187" s="9" t="n">
        <v>3</v>
      </c>
      <c r="I187" s="9" t="n">
        <v>3</v>
      </c>
      <c r="J187" s="9" t="n">
        <v>4</v>
      </c>
      <c r="K187" s="9" t="n">
        <v>4</v>
      </c>
      <c r="L187" s="9" t="n">
        <v>3</v>
      </c>
      <c r="M187" s="9" t="n">
        <v>4</v>
      </c>
      <c r="N187" s="9" t="n">
        <v>2</v>
      </c>
      <c r="O187" s="9" t="n">
        <v>5</v>
      </c>
      <c r="P187" s="9" t="n">
        <v>4</v>
      </c>
      <c r="Q187" s="9" t="n">
        <v>5</v>
      </c>
      <c r="R187" s="9" t="inlineStr">
        <is>
          <t>是</t>
        </is>
      </c>
      <c r="S187" s="9" t="inlineStr">
        <is>
          <t>通过</t>
        </is>
      </c>
      <c r="T187" s="9" t="inlineStr">
        <is>
          <t>09:44:30</t>
        </is>
      </c>
      <c r="U187" s="9" t="inlineStr">
        <is>
          <t>09:46:24</t>
        </is>
      </c>
      <c r="V187" s="9" t="n">
        <v>114.2</v>
      </c>
      <c r="W187" s="9" t="inlineStr">
        <is>
          <t>无</t>
        </is>
      </c>
      <c r="X187" s="9" t="inlineStr"/>
    </row>
    <row r="188">
      <c r="A188" s="7" t="inlineStr">
        <is>
          <t>P019</t>
        </is>
      </c>
      <c r="B188" s="9" t="n">
        <v>1</v>
      </c>
      <c r="C188" s="9" t="inlineStr">
        <is>
          <t>方法B</t>
        </is>
      </c>
      <c r="D188" s="9" t="inlineStr">
        <is>
          <t>EgoAnchor</t>
        </is>
      </c>
      <c r="E188" s="9" t="n">
        <v>3</v>
      </c>
      <c r="F188" s="9" t="n">
        <v>3</v>
      </c>
      <c r="G188" s="9" t="n">
        <v>2</v>
      </c>
      <c r="H188" s="9" t="n">
        <v>3</v>
      </c>
      <c r="I188" s="9" t="n">
        <v>3</v>
      </c>
      <c r="J188" s="9" t="n">
        <v>3</v>
      </c>
      <c r="K188" s="9" t="n">
        <v>4</v>
      </c>
      <c r="L188" s="9" t="n">
        <v>3</v>
      </c>
      <c r="M188" s="9" t="n">
        <v>3</v>
      </c>
      <c r="N188" s="9" t="n">
        <v>2</v>
      </c>
      <c r="O188" s="9" t="n">
        <v>4</v>
      </c>
      <c r="P188" s="9" t="n">
        <v>5</v>
      </c>
      <c r="Q188" s="9" t="n">
        <v>4</v>
      </c>
      <c r="R188" s="9" t="inlineStr">
        <is>
          <t>是</t>
        </is>
      </c>
      <c r="S188" s="9" t="inlineStr">
        <is>
          <t>通过</t>
        </is>
      </c>
      <c r="T188" s="9" t="inlineStr">
        <is>
          <t>09:42:00</t>
        </is>
      </c>
      <c r="U188" s="9" t="inlineStr">
        <is>
          <t>09:43:44</t>
        </is>
      </c>
      <c r="V188" s="9" t="n">
        <v>104.4</v>
      </c>
      <c r="W188" s="9" t="inlineStr">
        <is>
          <t>无</t>
        </is>
      </c>
      <c r="X188" s="9" t="inlineStr"/>
    </row>
    <row r="189">
      <c r="A189" s="7" t="inlineStr">
        <is>
          <t>P019</t>
        </is>
      </c>
      <c r="B189" s="9" t="n">
        <v>2</v>
      </c>
      <c r="C189" s="9" t="inlineStr">
        <is>
          <t>方法A</t>
        </is>
      </c>
      <c r="D189" s="9" t="inlineStr">
        <is>
          <t>One-Euro</t>
        </is>
      </c>
      <c r="E189" s="9" t="n">
        <v>3</v>
      </c>
      <c r="F189" s="9" t="n">
        <v>3</v>
      </c>
      <c r="G189" s="9" t="n">
        <v>2</v>
      </c>
      <c r="H189" s="9" t="n">
        <v>3</v>
      </c>
      <c r="I189" s="9" t="n">
        <v>3</v>
      </c>
      <c r="J189" s="9" t="n">
        <v>3</v>
      </c>
      <c r="K189" s="9" t="n">
        <v>3</v>
      </c>
      <c r="L189" s="9" t="n">
        <v>2</v>
      </c>
      <c r="M189" s="9" t="n">
        <v>4</v>
      </c>
      <c r="N189" s="9" t="n">
        <v>2</v>
      </c>
      <c r="O189" s="9" t="n">
        <v>4</v>
      </c>
      <c r="P189" s="9" t="n">
        <v>5</v>
      </c>
      <c r="Q189" s="9" t="n">
        <v>5</v>
      </c>
      <c r="R189" s="9" t="inlineStr">
        <is>
          <t>是</t>
        </is>
      </c>
      <c r="S189" s="9" t="inlineStr">
        <is>
          <t>通过</t>
        </is>
      </c>
      <c r="T189" s="9" t="inlineStr">
        <is>
          <t>09:44:14</t>
        </is>
      </c>
      <c r="U189" s="9" t="inlineStr">
        <is>
          <t>09:45:59</t>
        </is>
      </c>
      <c r="V189" s="9" t="n">
        <v>104.9</v>
      </c>
      <c r="W189" s="9" t="inlineStr">
        <is>
          <t>无</t>
        </is>
      </c>
      <c r="X189" s="9" t="inlineStr"/>
    </row>
    <row r="190">
      <c r="A190" s="7" t="inlineStr">
        <is>
          <t>P020</t>
        </is>
      </c>
      <c r="B190" s="9" t="n">
        <v>1</v>
      </c>
      <c r="C190" s="9" t="inlineStr">
        <is>
          <t>方法A</t>
        </is>
      </c>
      <c r="D190" s="9" t="inlineStr">
        <is>
          <t>One-Euro</t>
        </is>
      </c>
      <c r="E190" s="9" t="n">
        <v>3</v>
      </c>
      <c r="F190" s="9" t="n">
        <v>3</v>
      </c>
      <c r="G190" s="9" t="n">
        <v>3</v>
      </c>
      <c r="H190" s="9" t="n">
        <v>3</v>
      </c>
      <c r="I190" s="9" t="n">
        <v>3</v>
      </c>
      <c r="J190" s="9" t="n">
        <v>3</v>
      </c>
      <c r="K190" s="9" t="n">
        <v>4</v>
      </c>
      <c r="L190" s="9" t="n">
        <v>3</v>
      </c>
      <c r="M190" s="9" t="n">
        <v>3</v>
      </c>
      <c r="N190" s="9" t="n">
        <v>4</v>
      </c>
      <c r="O190" s="9" t="n">
        <v>5</v>
      </c>
      <c r="P190" s="9" t="n">
        <v>4</v>
      </c>
      <c r="Q190" s="9" t="n">
        <v>4</v>
      </c>
      <c r="R190" s="9" t="inlineStr">
        <is>
          <t>是</t>
        </is>
      </c>
      <c r="S190" s="9" t="inlineStr">
        <is>
          <t>通过</t>
        </is>
      </c>
      <c r="T190" s="9" t="inlineStr">
        <is>
          <t>09:42:00</t>
        </is>
      </c>
      <c r="U190" s="9" t="inlineStr">
        <is>
          <t>09:43:37</t>
        </is>
      </c>
      <c r="V190" s="9" t="n">
        <v>97</v>
      </c>
      <c r="W190" s="9" t="inlineStr">
        <is>
          <t>无</t>
        </is>
      </c>
      <c r="X190" s="9" t="inlineStr"/>
    </row>
    <row r="191">
      <c r="A191" s="7" t="inlineStr">
        <is>
          <t>P020</t>
        </is>
      </c>
      <c r="B191" s="9" t="n">
        <v>2</v>
      </c>
      <c r="C191" s="9" t="inlineStr">
        <is>
          <t>方法B</t>
        </is>
      </c>
      <c r="D191" s="9" t="inlineStr">
        <is>
          <t>EgoAnchor</t>
        </is>
      </c>
      <c r="E191" s="9" t="n">
        <v>4</v>
      </c>
      <c r="F191" s="9" t="n">
        <v>4</v>
      </c>
      <c r="G191" s="9" t="n">
        <v>1</v>
      </c>
      <c r="H191" s="9" t="n">
        <v>4</v>
      </c>
      <c r="I191" s="9" t="n">
        <v>2</v>
      </c>
      <c r="J191" s="9" t="n">
        <v>4</v>
      </c>
      <c r="K191" s="9" t="n">
        <v>4</v>
      </c>
      <c r="L191" s="9" t="n">
        <v>1</v>
      </c>
      <c r="M191" s="9" t="n">
        <v>4</v>
      </c>
      <c r="N191" s="9" t="n">
        <v>2</v>
      </c>
      <c r="O191" s="9" t="n">
        <v>6</v>
      </c>
      <c r="P191" s="9" t="n">
        <v>5</v>
      </c>
      <c r="Q191" s="9" t="n">
        <v>6</v>
      </c>
      <c r="R191" s="9" t="inlineStr">
        <is>
          <t>是</t>
        </is>
      </c>
      <c r="S191" s="9" t="inlineStr">
        <is>
          <t>通过</t>
        </is>
      </c>
      <c r="T191" s="9" t="inlineStr">
        <is>
          <t>09:44:07</t>
        </is>
      </c>
      <c r="U191" s="9" t="inlineStr">
        <is>
          <t>09:45:38</t>
        </is>
      </c>
      <c r="V191" s="9" t="n">
        <v>91.40000000000001</v>
      </c>
      <c r="W191" s="9" t="inlineStr">
        <is>
          <t>无</t>
        </is>
      </c>
      <c r="X191" s="9" t="inlineStr"/>
    </row>
    <row r="192">
      <c r="A192" s="7" t="inlineStr">
        <is>
          <t>P021</t>
        </is>
      </c>
      <c r="B192" s="9" t="n">
        <v>1</v>
      </c>
      <c r="C192" s="9" t="inlineStr">
        <is>
          <t>方法A</t>
        </is>
      </c>
      <c r="D192" s="9" t="inlineStr">
        <is>
          <t>EgoAnchor</t>
        </is>
      </c>
      <c r="E192" s="9" t="n">
        <v>4</v>
      </c>
      <c r="F192" s="9" t="n">
        <v>4</v>
      </c>
      <c r="G192" s="9" t="n">
        <v>2</v>
      </c>
      <c r="H192" s="9" t="n">
        <v>4</v>
      </c>
      <c r="I192" s="9" t="n">
        <v>2</v>
      </c>
      <c r="J192" s="9" t="n">
        <v>4</v>
      </c>
      <c r="K192" s="9" t="n">
        <v>4</v>
      </c>
      <c r="L192" s="9" t="n">
        <v>2</v>
      </c>
      <c r="M192" s="9" t="n">
        <v>4</v>
      </c>
      <c r="N192" s="9" t="n">
        <v>2</v>
      </c>
      <c r="O192" s="9" t="n">
        <v>6</v>
      </c>
      <c r="P192" s="9" t="n">
        <v>5</v>
      </c>
      <c r="Q192" s="9" t="n">
        <v>5</v>
      </c>
      <c r="R192" s="9" t="inlineStr">
        <is>
          <t>是</t>
        </is>
      </c>
      <c r="S192" s="9" t="inlineStr">
        <is>
          <t>通过</t>
        </is>
      </c>
      <c r="T192" s="9" t="inlineStr">
        <is>
          <t>09:42:00</t>
        </is>
      </c>
      <c r="U192" s="9" t="inlineStr">
        <is>
          <t>09:45:05</t>
        </is>
      </c>
      <c r="V192" s="9" t="n">
        <v>185.4</v>
      </c>
      <c r="W192" s="9" t="inlineStr">
        <is>
          <t>无</t>
        </is>
      </c>
      <c r="X192" s="9" t="inlineStr"/>
    </row>
    <row r="193">
      <c r="A193" s="7" t="inlineStr">
        <is>
          <t>P021</t>
        </is>
      </c>
      <c r="B193" s="9" t="n">
        <v>2</v>
      </c>
      <c r="C193" s="9" t="inlineStr">
        <is>
          <t>方法B</t>
        </is>
      </c>
      <c r="D193" s="9" t="inlineStr">
        <is>
          <t>One-Euro</t>
        </is>
      </c>
      <c r="E193" s="9" t="n">
        <v>4</v>
      </c>
      <c r="F193" s="9" t="n">
        <v>4</v>
      </c>
      <c r="G193" s="9" t="n">
        <v>2</v>
      </c>
      <c r="H193" s="9" t="n">
        <v>4</v>
      </c>
      <c r="I193" s="9" t="n">
        <v>2</v>
      </c>
      <c r="J193" s="9" t="n">
        <v>4</v>
      </c>
      <c r="K193" s="9" t="n">
        <v>4</v>
      </c>
      <c r="L193" s="9" t="n">
        <v>2</v>
      </c>
      <c r="M193" s="9" t="n">
        <v>4</v>
      </c>
      <c r="N193" s="9" t="n">
        <v>2</v>
      </c>
      <c r="O193" s="9" t="n">
        <v>5</v>
      </c>
      <c r="P193" s="9" t="n">
        <v>5</v>
      </c>
      <c r="Q193" s="9" t="n">
        <v>6</v>
      </c>
      <c r="R193" s="9" t="inlineStr">
        <is>
          <t>是</t>
        </is>
      </c>
      <c r="S193" s="9" t="inlineStr">
        <is>
          <t>通过</t>
        </is>
      </c>
      <c r="T193" s="9" t="inlineStr">
        <is>
          <t>09:45:35</t>
        </is>
      </c>
      <c r="U193" s="9" t="inlineStr">
        <is>
          <t>09:48:25</t>
        </is>
      </c>
      <c r="V193" s="9" t="n">
        <v>170.3</v>
      </c>
      <c r="W193" s="9" t="inlineStr">
        <is>
          <t>无</t>
        </is>
      </c>
      <c r="X193" s="9" t="inlineStr"/>
    </row>
    <row r="194">
      <c r="A194" s="7" t="inlineStr">
        <is>
          <t>P022</t>
        </is>
      </c>
      <c r="B194" s="9" t="n">
        <v>1</v>
      </c>
      <c r="C194" s="9" t="inlineStr">
        <is>
          <t>方法B</t>
        </is>
      </c>
      <c r="D194" s="9" t="inlineStr">
        <is>
          <t>One-Euro</t>
        </is>
      </c>
      <c r="E194" s="9" t="n">
        <v>4</v>
      </c>
      <c r="F194" s="9" t="n">
        <v>3</v>
      </c>
      <c r="G194" s="9" t="n">
        <v>3</v>
      </c>
      <c r="H194" s="9" t="n">
        <v>4</v>
      </c>
      <c r="I194" s="9" t="n">
        <v>3</v>
      </c>
      <c r="J194" s="9" t="n">
        <v>3</v>
      </c>
      <c r="K194" s="9" t="n">
        <v>4</v>
      </c>
      <c r="L194" s="9" t="n">
        <v>3</v>
      </c>
      <c r="M194" s="9" t="n">
        <v>4</v>
      </c>
      <c r="N194" s="9" t="n">
        <v>3</v>
      </c>
      <c r="O194" s="9" t="n">
        <v>5</v>
      </c>
      <c r="P194" s="9" t="n">
        <v>4</v>
      </c>
      <c r="Q194" s="9" t="n">
        <v>5</v>
      </c>
      <c r="R194" s="9" t="inlineStr">
        <is>
          <t>是</t>
        </is>
      </c>
      <c r="S194" s="9" t="inlineStr">
        <is>
          <t>通过</t>
        </is>
      </c>
      <c r="T194" s="9" t="inlineStr">
        <is>
          <t>09:42:00</t>
        </is>
      </c>
      <c r="U194" s="9" t="inlineStr">
        <is>
          <t>09:43:53</t>
        </is>
      </c>
      <c r="V194" s="9" t="n">
        <v>113.8</v>
      </c>
      <c r="W194" s="9" t="inlineStr">
        <is>
          <t>无</t>
        </is>
      </c>
      <c r="X194" s="9" t="inlineStr"/>
    </row>
    <row r="195">
      <c r="A195" s="7" t="inlineStr">
        <is>
          <t>P022</t>
        </is>
      </c>
      <c r="B195" s="9" t="n">
        <v>2</v>
      </c>
      <c r="C195" s="9" t="inlineStr">
        <is>
          <t>方法A</t>
        </is>
      </c>
      <c r="D195" s="9" t="inlineStr">
        <is>
          <t>EgoAnchor</t>
        </is>
      </c>
      <c r="E195" s="9" t="n">
        <v>4</v>
      </c>
      <c r="F195" s="9" t="n">
        <v>4</v>
      </c>
      <c r="G195" s="9" t="n">
        <v>1</v>
      </c>
      <c r="H195" s="9" t="n">
        <v>3</v>
      </c>
      <c r="I195" s="9" t="n">
        <v>2</v>
      </c>
      <c r="J195" s="9" t="n">
        <v>4</v>
      </c>
      <c r="K195" s="9" t="n">
        <v>4</v>
      </c>
      <c r="L195" s="9" t="n">
        <v>2</v>
      </c>
      <c r="M195" s="9" t="n">
        <v>4</v>
      </c>
      <c r="N195" s="9" t="n">
        <v>3</v>
      </c>
      <c r="O195" s="9" t="n">
        <v>5</v>
      </c>
      <c r="P195" s="9" t="n">
        <v>5</v>
      </c>
      <c r="Q195" s="9" t="n">
        <v>5</v>
      </c>
      <c r="R195" s="9" t="inlineStr">
        <is>
          <t>是</t>
        </is>
      </c>
      <c r="S195" s="9" t="inlineStr">
        <is>
          <t>通过</t>
        </is>
      </c>
      <c r="T195" s="9" t="inlineStr">
        <is>
          <t>09:44:23</t>
        </is>
      </c>
      <c r="U195" s="9" t="inlineStr">
        <is>
          <t>09:46:27</t>
        </is>
      </c>
      <c r="V195" s="9" t="n">
        <v>123.9</v>
      </c>
      <c r="W195" s="9" t="inlineStr">
        <is>
          <t>无</t>
        </is>
      </c>
      <c r="X195" s="9" t="inlineStr"/>
    </row>
    <row r="196">
      <c r="A196" s="7" t="inlineStr">
        <is>
          <t>P023</t>
        </is>
      </c>
      <c r="B196" s="9" t="n">
        <v>1</v>
      </c>
      <c r="C196" s="9" t="inlineStr">
        <is>
          <t>方法B</t>
        </is>
      </c>
      <c r="D196" s="9" t="inlineStr">
        <is>
          <t>EgoAnchor</t>
        </is>
      </c>
      <c r="E196" s="9" t="n">
        <v>3</v>
      </c>
      <c r="F196" s="9" t="n">
        <v>4</v>
      </c>
      <c r="G196" s="9" t="n">
        <v>3</v>
      </c>
      <c r="H196" s="9" t="n">
        <v>3</v>
      </c>
      <c r="I196" s="9" t="n">
        <v>2</v>
      </c>
      <c r="J196" s="9" t="n">
        <v>4</v>
      </c>
      <c r="K196" s="9" t="n">
        <v>4</v>
      </c>
      <c r="L196" s="9" t="n">
        <v>3</v>
      </c>
      <c r="M196" s="9" t="n">
        <v>3</v>
      </c>
      <c r="N196" s="9" t="n">
        <v>2</v>
      </c>
      <c r="O196" s="9" t="n">
        <v>4</v>
      </c>
      <c r="P196" s="9" t="n">
        <v>5</v>
      </c>
      <c r="Q196" s="9" t="n">
        <v>5</v>
      </c>
      <c r="R196" s="9" t="inlineStr">
        <is>
          <t>是</t>
        </is>
      </c>
      <c r="S196" s="9" t="inlineStr">
        <is>
          <t>通过</t>
        </is>
      </c>
      <c r="T196" s="9" t="inlineStr">
        <is>
          <t>09:42:00</t>
        </is>
      </c>
      <c r="U196" s="9" t="inlineStr">
        <is>
          <t>09:44:21</t>
        </is>
      </c>
      <c r="V196" s="9" t="n">
        <v>141.5</v>
      </c>
      <c r="W196" s="9" t="inlineStr">
        <is>
          <t>无</t>
        </is>
      </c>
      <c r="X196" s="9" t="inlineStr"/>
    </row>
    <row r="197">
      <c r="A197" s="7" t="inlineStr">
        <is>
          <t>P023</t>
        </is>
      </c>
      <c r="B197" s="9" t="n">
        <v>2</v>
      </c>
      <c r="C197" s="9" t="inlineStr">
        <is>
          <t>方法A</t>
        </is>
      </c>
      <c r="D197" s="9" t="inlineStr">
        <is>
          <t>One-Euro</t>
        </is>
      </c>
      <c r="E197" s="9" t="n">
        <v>3</v>
      </c>
      <c r="F197" s="9" t="n">
        <v>3</v>
      </c>
      <c r="G197" s="9" t="n">
        <v>2</v>
      </c>
      <c r="H197" s="9" t="n">
        <v>3</v>
      </c>
      <c r="I197" s="9" t="n">
        <v>3</v>
      </c>
      <c r="J197" s="9" t="n">
        <v>4</v>
      </c>
      <c r="K197" s="9" t="n">
        <v>3</v>
      </c>
      <c r="L197" s="9" t="n">
        <v>2</v>
      </c>
      <c r="M197" s="9" t="n">
        <v>3</v>
      </c>
      <c r="N197" s="9" t="n">
        <v>2</v>
      </c>
      <c r="O197" s="9" t="n">
        <v>4</v>
      </c>
      <c r="P197" s="9" t="n">
        <v>4</v>
      </c>
      <c r="Q197" s="9" t="n">
        <v>4</v>
      </c>
      <c r="R197" s="9" t="inlineStr">
        <is>
          <t>是</t>
        </is>
      </c>
      <c r="S197" s="9" t="inlineStr">
        <is>
          <t>通过</t>
        </is>
      </c>
      <c r="T197" s="9" t="inlineStr">
        <is>
          <t>09:44:51</t>
        </is>
      </c>
      <c r="U197" s="9" t="inlineStr">
        <is>
          <t>09:46:59</t>
        </is>
      </c>
      <c r="V197" s="9" t="n">
        <v>127.6</v>
      </c>
      <c r="W197" s="9" t="inlineStr">
        <is>
          <t>无</t>
        </is>
      </c>
      <c r="X197" s="9" t="inlineStr"/>
    </row>
    <row r="198">
      <c r="A198" s="7" t="inlineStr">
        <is>
          <t>P024</t>
        </is>
      </c>
      <c r="B198" s="9" t="n">
        <v>1</v>
      </c>
      <c r="C198" s="9" t="inlineStr">
        <is>
          <t>方法A</t>
        </is>
      </c>
      <c r="D198" s="9" t="inlineStr">
        <is>
          <t>One-Euro</t>
        </is>
      </c>
      <c r="E198" s="9" t="n">
        <v>3</v>
      </c>
      <c r="F198" s="9" t="n">
        <v>3</v>
      </c>
      <c r="G198" s="9" t="n">
        <v>3</v>
      </c>
      <c r="H198" s="9" t="n">
        <v>3</v>
      </c>
      <c r="I198" s="9" t="n">
        <v>3</v>
      </c>
      <c r="J198" s="9" t="n">
        <v>3</v>
      </c>
      <c r="K198" s="9" t="n">
        <v>3</v>
      </c>
      <c r="L198" s="9" t="n">
        <v>4</v>
      </c>
      <c r="M198" s="9" t="n">
        <v>3</v>
      </c>
      <c r="N198" s="9" t="n">
        <v>3</v>
      </c>
      <c r="O198" s="9" t="n">
        <v>4</v>
      </c>
      <c r="P198" s="9" t="n">
        <v>4</v>
      </c>
      <c r="Q198" s="9" t="n">
        <v>4</v>
      </c>
      <c r="R198" s="9" t="inlineStr">
        <is>
          <t>是</t>
        </is>
      </c>
      <c r="S198" s="9" t="inlineStr">
        <is>
          <t>通过</t>
        </is>
      </c>
      <c r="T198" s="9" t="inlineStr">
        <is>
          <t>09:42:00</t>
        </is>
      </c>
      <c r="U198" s="9" t="inlineStr">
        <is>
          <t>09:43:58</t>
        </is>
      </c>
      <c r="V198" s="9" t="n">
        <v>118.7</v>
      </c>
      <c r="W198" s="9" t="inlineStr">
        <is>
          <t>无</t>
        </is>
      </c>
      <c r="X198" s="9" t="inlineStr"/>
    </row>
    <row r="199">
      <c r="A199" s="7" t="inlineStr">
        <is>
          <t>P024</t>
        </is>
      </c>
      <c r="B199" s="9" t="n">
        <v>2</v>
      </c>
      <c r="C199" s="9" t="inlineStr">
        <is>
          <t>方法B</t>
        </is>
      </c>
      <c r="D199" s="9" t="inlineStr">
        <is>
          <t>EgoAnchor</t>
        </is>
      </c>
      <c r="E199" s="9" t="n">
        <v>3</v>
      </c>
      <c r="F199" s="9" t="n">
        <v>4</v>
      </c>
      <c r="G199" s="9" t="n">
        <v>2</v>
      </c>
      <c r="H199" s="9" t="n">
        <v>3</v>
      </c>
      <c r="I199" s="9" t="n">
        <v>2</v>
      </c>
      <c r="J199" s="9" t="n">
        <v>3</v>
      </c>
      <c r="K199" s="9" t="n">
        <v>4</v>
      </c>
      <c r="L199" s="9" t="n">
        <v>3</v>
      </c>
      <c r="M199" s="9" t="n">
        <v>4</v>
      </c>
      <c r="N199" s="9" t="n">
        <v>1</v>
      </c>
      <c r="O199" s="9" t="n">
        <v>4</v>
      </c>
      <c r="P199" s="9" t="n">
        <v>5</v>
      </c>
      <c r="Q199" s="9" t="n">
        <v>6</v>
      </c>
      <c r="R199" s="9" t="inlineStr">
        <is>
          <t>是</t>
        </is>
      </c>
      <c r="S199" s="9" t="inlineStr">
        <is>
          <t>通过</t>
        </is>
      </c>
      <c r="T199" s="9" t="inlineStr">
        <is>
          <t>09:44:28</t>
        </is>
      </c>
      <c r="U199" s="9" t="inlineStr">
        <is>
          <t>09:46:25</t>
        </is>
      </c>
      <c r="V199" s="9" t="n">
        <v>116.8</v>
      </c>
      <c r="W199" s="9" t="inlineStr">
        <is>
          <t>无</t>
        </is>
      </c>
      <c r="X199" s="9" t="inlineStr"/>
    </row>
    <row r="201" ht="20" customHeight="1">
      <c r="A201" s="3" t="inlineStr">
        <is>
          <t>C. 最终问卷记录（摘下头显后；解码列按 Participants 映射填写）</t>
        </is>
      </c>
    </row>
    <row r="202" ht="30" customHeight="1">
      <c r="A202" s="4" t="inlineStr">
        <is>
          <t>Participant_ID</t>
        </is>
      </c>
      <c r="B202" s="4" t="inlineStr">
        <is>
          <t>方法选择(标签)</t>
        </is>
      </c>
      <c r="C202" s="4" t="inlineStr">
        <is>
          <t>偏好强度(1-7/NA)</t>
        </is>
      </c>
      <c r="D202" s="4" t="inlineStr">
        <is>
          <t>信任选择(标签)</t>
        </is>
      </c>
      <c r="E202" s="4" t="inlineStr">
        <is>
          <t>区分信心(1-7)</t>
        </is>
      </c>
      <c r="F202" s="4" t="inlineStr">
        <is>
          <t>开放:最明显区别</t>
        </is>
      </c>
      <c r="G202" s="4" t="inlineStr">
        <is>
          <t>开放:最破坏信任的现象</t>
        </is>
      </c>
      <c r="H202" s="4" t="inlineStr">
        <is>
          <t>结束不适</t>
        </is>
      </c>
      <c r="I202" s="4" t="inlineStr">
        <is>
          <t>方法选择(解码)</t>
        </is>
      </c>
      <c r="J202" s="4" t="inlineStr">
        <is>
          <t>信任选择(解码)</t>
        </is>
      </c>
      <c r="K202" s="4" t="inlineStr">
        <is>
          <t>访谈备注</t>
        </is>
      </c>
    </row>
    <row r="203">
      <c r="A203" s="7" t="inlineStr">
        <is>
          <t>P001</t>
        </is>
      </c>
      <c r="B203" s="9" t="inlineStr">
        <is>
          <t>方法A</t>
        </is>
      </c>
      <c r="C203" s="9" t="n">
        <v>6</v>
      </c>
      <c r="D203" s="9" t="inlineStr">
        <is>
          <t>方法A</t>
        </is>
      </c>
      <c r="E203" s="9" t="n">
        <v>7</v>
      </c>
      <c r="F203" s="9" t="inlineStr">
        <is>
          <t>前面几轮能看出一个更稳；后面戴久了眼睛累，说实话没太仔细区分。</t>
        </is>
      </c>
      <c r="G203" s="9" t="inlineStr">
        <is>
          <t>东西抖。抖起来看久了头晕，就更不想相信它了。</t>
        </is>
      </c>
      <c r="H203" s="9" t="inlineStr">
        <is>
          <t>轻微</t>
        </is>
      </c>
      <c r="I203" s="9" t="inlineStr">
        <is>
          <t>EgoAnchor</t>
        </is>
      </c>
      <c r="J203" s="9" t="inlineStr">
        <is>
          <t>EgoAnchor</t>
        </is>
      </c>
      <c r="K203" s="9" t="inlineStr"/>
    </row>
    <row r="204">
      <c r="A204" s="7" t="inlineStr">
        <is>
          <t>P002</t>
        </is>
      </c>
      <c r="B204" s="9" t="inlineStr">
        <is>
          <t>方法A</t>
        </is>
      </c>
      <c r="C204" s="9" t="n">
        <v>7</v>
      </c>
      <c r="D204" s="9" t="inlineStr">
        <is>
          <t>方法A</t>
        </is>
      </c>
      <c r="E204" s="9" t="n">
        <v>6</v>
      </c>
      <c r="F204" s="9" t="inlineStr">
        <is>
          <t>稳定性 B 更好，但 B 起动时的滞后我完全无法接受；A 虽然抖一点但一直跟着我。</t>
        </is>
      </c>
      <c r="G204" s="9" t="inlineStr">
        <is>
          <t>慢。延迟到了一定程度，它标的位置对我当下的动作就是错的。</t>
        </is>
      </c>
      <c r="H204" s="9" t="inlineStr">
        <is>
          <t>无</t>
        </is>
      </c>
      <c r="I204" s="9" t="inlineStr">
        <is>
          <t>EgoAnchor</t>
        </is>
      </c>
      <c r="J204" s="9" t="inlineStr">
        <is>
          <t>EgoAnchor</t>
        </is>
      </c>
      <c r="K204" s="9" t="inlineStr"/>
    </row>
    <row r="205">
      <c r="A205" s="7" t="inlineStr">
        <is>
          <t>P003</t>
        </is>
      </c>
      <c r="B205" s="9" t="inlineStr">
        <is>
          <t>方法B</t>
        </is>
      </c>
      <c r="C205" s="9" t="n">
        <v>7</v>
      </c>
      <c r="D205" s="9" t="inlineStr">
        <is>
          <t>方法B</t>
        </is>
      </c>
      <c r="E205" s="9" t="n">
        <v>6</v>
      </c>
      <c r="F205" s="9" t="inlineStr">
        <is>
          <t>静止的时候，A 的轮廓有大概几毫米的来回，B 几乎测不出来。运动中反而差不多。</t>
        </is>
      </c>
      <c r="G205" s="9" t="inlineStr">
        <is>
          <t>随机抖动。系统性偏差我可以校正，随机的没法补。</t>
        </is>
      </c>
      <c r="H205" s="9" t="inlineStr">
        <is>
          <t>无</t>
        </is>
      </c>
      <c r="I205" s="9" t="inlineStr">
        <is>
          <t>EgoAnchor</t>
        </is>
      </c>
      <c r="J205" s="9" t="inlineStr">
        <is>
          <t>EgoAnchor</t>
        </is>
      </c>
      <c r="K205" s="9" t="inlineStr"/>
    </row>
    <row r="206">
      <c r="A206" s="7" t="inlineStr">
        <is>
          <t>P004</t>
        </is>
      </c>
      <c r="B206" s="9" t="inlineStr">
        <is>
          <t>方法B</t>
        </is>
      </c>
      <c r="C206" s="9" t="n">
        <v>6</v>
      </c>
      <c r="D206" s="9" t="inlineStr">
        <is>
          <t>方法B</t>
        </is>
      </c>
      <c r="E206" s="9" t="n">
        <v>7</v>
      </c>
      <c r="F206" s="9" t="inlineStr">
        <is>
          <t>我猜后体验的那个是改进版？确实感觉更稳，不过我也可能是被自己的猜测带着走。</t>
        </is>
      </c>
      <c r="G206" s="9" t="inlineStr">
        <is>
          <t>不稳定。不过老实说我也在猜你们想让我说什么。</t>
        </is>
      </c>
      <c r="H206" s="9" t="inlineStr">
        <is>
          <t>无</t>
        </is>
      </c>
      <c r="I206" s="9" t="inlineStr">
        <is>
          <t>EgoAnchor</t>
        </is>
      </c>
      <c r="J206" s="9" t="inlineStr">
        <is>
          <t>EgoAnchor</t>
        </is>
      </c>
      <c r="K206" s="9" t="inlineStr"/>
    </row>
    <row r="207">
      <c r="A207" s="7" t="inlineStr">
        <is>
          <t>P005</t>
        </is>
      </c>
      <c r="B207" s="9" t="inlineStr">
        <is>
          <t>方法A</t>
        </is>
      </c>
      <c r="C207" s="9" t="n">
        <v>6</v>
      </c>
      <c r="D207" s="9" t="inlineStr">
        <is>
          <t>方法A</t>
        </is>
      </c>
      <c r="E207" s="9" t="n">
        <v>7</v>
      </c>
      <c r="F207" s="9" t="inlineStr">
        <is>
          <t>一个在我头动的时候轮廓会跟着飘一点，另一个基本钉住不动；差别主要在静止观察那一段。</t>
        </is>
      </c>
      <c r="G207" s="9" t="inlineStr">
        <is>
          <t>轮廓自己在动。只要它在物体不动的时候还在飘，我就没法把它当成物体的一部分。</t>
        </is>
      </c>
      <c r="H207" s="9" t="inlineStr">
        <is>
          <t>无</t>
        </is>
      </c>
      <c r="I207" s="9" t="inlineStr">
        <is>
          <t>EgoAnchor</t>
        </is>
      </c>
      <c r="J207" s="9" t="inlineStr">
        <is>
          <t>EgoAnchor</t>
        </is>
      </c>
      <c r="K207" s="9" t="inlineStr"/>
    </row>
    <row r="208">
      <c r="A208" s="7" t="inlineStr">
        <is>
          <t>P006</t>
        </is>
      </c>
      <c r="B208" s="9" t="inlineStr">
        <is>
          <t>方法A</t>
        </is>
      </c>
      <c r="C208" s="9" t="n">
        <v>7</v>
      </c>
      <c r="D208" s="9" t="inlineStr">
        <is>
          <t>方法A</t>
        </is>
      </c>
      <c r="E208" s="9" t="n">
        <v>5</v>
      </c>
      <c r="F208" s="9" t="inlineStr">
        <is>
          <t>两个都还不够准。相对来说有一个稍微稳定些，但都达不到我会用的程度。</t>
        </is>
      </c>
      <c r="G208" s="9" t="inlineStr">
        <is>
          <t>精度不够。它标的位置和真实位置差着可见的距离，这个前提下谈信任没意义。</t>
        </is>
      </c>
      <c r="H208" s="9" t="inlineStr">
        <is>
          <t>无</t>
        </is>
      </c>
      <c r="I208" s="9" t="inlineStr">
        <is>
          <t>EgoAnchor</t>
        </is>
      </c>
      <c r="J208" s="9" t="inlineStr">
        <is>
          <t>EgoAnchor</t>
        </is>
      </c>
      <c r="K208" s="9" t="inlineStr"/>
    </row>
    <row r="209">
      <c r="A209" s="7" t="inlineStr">
        <is>
          <t>P007</t>
        </is>
      </c>
      <c r="B209" s="9" t="inlineStr">
        <is>
          <t>方法B</t>
        </is>
      </c>
      <c r="C209" s="9" t="n">
        <v>6</v>
      </c>
      <c r="D209" s="9" t="inlineStr">
        <is>
          <t>方法B</t>
        </is>
      </c>
      <c r="E209" s="9" t="n">
        <v>5</v>
      </c>
      <c r="F209" s="9" t="inlineStr">
        <is>
          <t>感觉差不多？可能后面那个稍微稳一点，但我不太确定。</t>
        </is>
      </c>
      <c r="G209" s="9" t="inlineStr">
        <is>
          <t>挡住又拿开以后，那个框突然跳到别的地方，那一下有点吓人。</t>
        </is>
      </c>
      <c r="H209" s="9" t="inlineStr">
        <is>
          <t>无</t>
        </is>
      </c>
      <c r="I209" s="9" t="inlineStr">
        <is>
          <t>EgoAnchor</t>
        </is>
      </c>
      <c r="J209" s="9" t="inlineStr">
        <is>
          <t>EgoAnchor</t>
        </is>
      </c>
      <c r="K209" s="9" t="inlineStr"/>
    </row>
    <row r="210">
      <c r="A210" s="7" t="inlineStr">
        <is>
          <t>P008</t>
        </is>
      </c>
      <c r="B210" s="9" t="inlineStr">
        <is>
          <t>方法B</t>
        </is>
      </c>
      <c r="C210" s="9" t="n">
        <v>4</v>
      </c>
      <c r="D210" s="9" t="inlineStr">
        <is>
          <t>方法B</t>
        </is>
      </c>
      <c r="E210" s="9" t="n">
        <v>2</v>
      </c>
      <c r="F210" s="9" t="inlineStr">
        <is>
          <t>B 的位置更准，尤其是俯视看的时候边缘能对上；A 整体偏了一点，一直偏在同一侧。</t>
        </is>
      </c>
      <c r="G210" s="9" t="inlineStr">
        <is>
          <t>位置系统性偏掉。它稳是稳，但一直偏在一边，那说明它其实没找对地方。</t>
        </is>
      </c>
      <c r="H210" s="9" t="inlineStr">
        <is>
          <t>无</t>
        </is>
      </c>
      <c r="I210" s="9" t="inlineStr">
        <is>
          <t>EgoAnchor</t>
        </is>
      </c>
      <c r="J210" s="9" t="inlineStr">
        <is>
          <t>EgoAnchor</t>
        </is>
      </c>
      <c r="K210" s="9" t="inlineStr"/>
    </row>
    <row r="211">
      <c r="A211" s="7" t="inlineStr">
        <is>
          <t>P009</t>
        </is>
      </c>
      <c r="B211" s="9" t="inlineStr">
        <is>
          <t>方法A</t>
        </is>
      </c>
      <c r="C211" s="9" t="n">
        <v>4</v>
      </c>
      <c r="D211" s="9" t="inlineStr">
        <is>
          <t>方法A</t>
        </is>
      </c>
      <c r="E211" s="9" t="n">
        <v>6</v>
      </c>
      <c r="F211" s="9" t="inlineStr">
        <is>
          <t>一个明显上了更强的滤波或者锁定，静止时完全不动；代价是动起来那一下延迟更大。</t>
        </is>
      </c>
      <c r="G211" s="9" t="inlineStr">
        <is>
          <t>丢了目标又硬给一个位置。宁可告诉我它不确定，也别给我一个假的。</t>
        </is>
      </c>
      <c r="H211" s="9" t="inlineStr">
        <is>
          <t>无</t>
        </is>
      </c>
      <c r="I211" s="9" t="inlineStr">
        <is>
          <t>EgoAnchor</t>
        </is>
      </c>
      <c r="J211" s="9" t="inlineStr">
        <is>
          <t>EgoAnchor</t>
        </is>
      </c>
      <c r="K211" s="9" t="inlineStr"/>
    </row>
    <row r="212">
      <c r="A212" s="7" t="inlineStr">
        <is>
          <t>P010</t>
        </is>
      </c>
      <c r="B212" s="9" t="inlineStr">
        <is>
          <t>方法A</t>
        </is>
      </c>
      <c r="C212" s="9" t="n">
        <v>5</v>
      </c>
      <c r="D212" s="9" t="inlineStr">
        <is>
          <t>方法A</t>
        </is>
      </c>
      <c r="E212" s="9" t="n">
        <v>6</v>
      </c>
      <c r="F212" s="9" t="inlineStr">
        <is>
          <t>静止的时候一个稳一个轻微地动；挡住再放开，一个回得准一个回得偏。</t>
        </is>
      </c>
      <c r="G212" s="9" t="inlineStr">
        <is>
          <t>遮挡以后回到错的位置，而且它看起来还挺确定的样子。</t>
        </is>
      </c>
      <c r="H212" s="9" t="inlineStr">
        <is>
          <t>无</t>
        </is>
      </c>
      <c r="I212" s="9" t="inlineStr">
        <is>
          <t>EgoAnchor</t>
        </is>
      </c>
      <c r="J212" s="9" t="inlineStr">
        <is>
          <t>EgoAnchor</t>
        </is>
      </c>
      <c r="K212" s="9" t="inlineStr"/>
    </row>
    <row r="213">
      <c r="A213" s="7" t="inlineStr">
        <is>
          <t>P011</t>
        </is>
      </c>
      <c r="B213" s="9" t="inlineStr">
        <is>
          <t>无明显偏好</t>
        </is>
      </c>
      <c r="C213" s="9" t="inlineStr">
        <is>
          <t>NA</t>
        </is>
      </c>
      <c r="D213" s="9" t="inlineStr">
        <is>
          <t>无明显偏好</t>
        </is>
      </c>
      <c r="E213" s="9" t="n">
        <v>2</v>
      </c>
      <c r="F213" s="9" t="inlineStr">
        <is>
          <t>拿开挡板以后的表现不太一样，有一个回来得更准更快。</t>
        </is>
      </c>
      <c r="G213" s="9" t="inlineStr">
        <is>
          <t>它回来的时候位置不对。那种情况下我宁愿它先不显示。</t>
        </is>
      </c>
      <c r="H213" s="9" t="inlineStr">
        <is>
          <t>无</t>
        </is>
      </c>
      <c r="I213" s="9" t="inlineStr">
        <is>
          <t>无明显偏好</t>
        </is>
      </c>
      <c r="J213" s="9" t="inlineStr">
        <is>
          <t>无明显偏好</t>
        </is>
      </c>
      <c r="K213" s="9" t="inlineStr"/>
    </row>
    <row r="214">
      <c r="A214" s="7" t="inlineStr">
        <is>
          <t>P012</t>
        </is>
      </c>
      <c r="B214" s="9" t="inlineStr">
        <is>
          <t>方法B</t>
        </is>
      </c>
      <c r="C214" s="9" t="n">
        <v>4</v>
      </c>
      <c r="D214" s="9" t="inlineStr">
        <is>
          <t>方法B</t>
        </is>
      </c>
      <c r="E214" s="9" t="n">
        <v>7</v>
      </c>
      <c r="F214" s="9" t="inlineStr">
        <is>
          <t>差别挺清楚：一个在静止时有细微高频抖动，边缘发毛；另一个是死的，但起动那一下更钝。</t>
        </is>
      </c>
      <c r="G214" s="9" t="inlineStr">
        <is>
          <t>抖动和错位同时出现。只要我发现它在自己动，后面就一直在盯这个问题。</t>
        </is>
      </c>
      <c r="H214" s="9" t="inlineStr">
        <is>
          <t>无</t>
        </is>
      </c>
      <c r="I214" s="9" t="inlineStr">
        <is>
          <t>EgoAnchor</t>
        </is>
      </c>
      <c r="J214" s="9" t="inlineStr">
        <is>
          <t>EgoAnchor</t>
        </is>
      </c>
      <c r="K214" s="9" t="inlineStr"/>
    </row>
    <row r="215">
      <c r="A215" s="7" t="inlineStr">
        <is>
          <t>P013</t>
        </is>
      </c>
      <c r="B215" s="9" t="inlineStr">
        <is>
          <t>无明显偏好</t>
        </is>
      </c>
      <c r="C215" s="9" t="inlineStr">
        <is>
          <t>NA</t>
        </is>
      </c>
      <c r="D215" s="9" t="inlineStr">
        <is>
          <t>无明显偏好</t>
        </is>
      </c>
      <c r="E215" s="9" t="n">
        <v>5</v>
      </c>
      <c r="F215" s="9" t="inlineStr">
        <is>
          <t>B 看上去更服帖，贴在东西上像一层皮；A 有点像浮在上面。</t>
        </is>
      </c>
      <c r="G215" s="9" t="inlineStr">
        <is>
          <t>边缘对不上的时候。哪怕只错一点，那种贴纸没贴好的感觉一出来就出戏了。</t>
        </is>
      </c>
      <c r="H215" s="9" t="inlineStr">
        <is>
          <t>无</t>
        </is>
      </c>
      <c r="I215" s="9" t="inlineStr">
        <is>
          <t>无明显偏好</t>
        </is>
      </c>
      <c r="J215" s="9" t="inlineStr">
        <is>
          <t>无明显偏好</t>
        </is>
      </c>
      <c r="K215" s="9" t="inlineStr"/>
    </row>
    <row r="216">
      <c r="A216" s="7" t="inlineStr">
        <is>
          <t>P014</t>
        </is>
      </c>
      <c r="B216" s="9" t="inlineStr">
        <is>
          <t>方法A</t>
        </is>
      </c>
      <c r="C216" s="9" t="n">
        <v>6</v>
      </c>
      <c r="D216" s="9" t="inlineStr">
        <is>
          <t>方法A</t>
        </is>
      </c>
      <c r="E216" s="9" t="n">
        <v>7</v>
      </c>
      <c r="F216" s="9" t="inlineStr">
        <is>
          <t>B 的行为更一致，我能预判它接下来会怎样；A 偶尔会给我一个意外。</t>
        </is>
      </c>
      <c r="G216" s="9" t="inlineStr">
        <is>
          <t>偶发的意外行为。哪怕十次里只有一次，我也会一直等着那一次。</t>
        </is>
      </c>
      <c r="H216" s="9" t="inlineStr">
        <is>
          <t>无</t>
        </is>
      </c>
      <c r="I216" s="9" t="inlineStr">
        <is>
          <t>EgoAnchor</t>
        </is>
      </c>
      <c r="J216" s="9" t="inlineStr">
        <is>
          <t>EgoAnchor</t>
        </is>
      </c>
      <c r="K216" s="9" t="inlineStr"/>
    </row>
    <row r="217">
      <c r="A217" s="7" t="inlineStr">
        <is>
          <t>P015</t>
        </is>
      </c>
      <c r="B217" s="9" t="inlineStr">
        <is>
          <t>方法A</t>
        </is>
      </c>
      <c r="C217" s="9" t="n">
        <v>5</v>
      </c>
      <c r="D217" s="9" t="inlineStr">
        <is>
          <t>方法B</t>
        </is>
      </c>
      <c r="E217" s="9" t="n">
        <v>4</v>
      </c>
      <c r="F217" s="9" t="inlineStr">
        <is>
          <t>A 跟手，B 起步有明显的一顿——我抬起来它还留在桌上一小会儿才追上来。</t>
        </is>
      </c>
      <c r="G217" s="9" t="inlineStr">
        <is>
          <t>拖影和跟不上。它慢半拍的时候我就知道它看到的不是我现在手里的东西。</t>
        </is>
      </c>
      <c r="H217" s="9" t="inlineStr">
        <is>
          <t>无</t>
        </is>
      </c>
      <c r="I217" s="9" t="inlineStr">
        <is>
          <t>One-Euro</t>
        </is>
      </c>
      <c r="J217" s="9" t="inlineStr">
        <is>
          <t>EgoAnchor</t>
        </is>
      </c>
      <c r="K217" s="9" t="inlineStr">
        <is>
          <t>词典式否决触发（响应优先）</t>
        </is>
      </c>
    </row>
    <row r="218">
      <c r="A218" s="7" t="inlineStr">
        <is>
          <t>P016</t>
        </is>
      </c>
      <c r="B218" s="9" t="inlineStr">
        <is>
          <t>方法B</t>
        </is>
      </c>
      <c r="C218" s="9" t="n">
        <v>7</v>
      </c>
      <c r="D218" s="9" t="inlineStr">
        <is>
          <t>方法B</t>
        </is>
      </c>
      <c r="E218" s="9" t="n">
        <v>4</v>
      </c>
      <c r="F218" s="9" t="inlineStr">
        <is>
          <t>有一个比较安稳，另一个会轻轻晃。我年纪大了看得不算清楚，只能说安稳那个舒服些。</t>
        </is>
      </c>
      <c r="G218" s="9" t="inlineStr">
        <is>
          <t>它晃。人的东西放着不动，它自己动，那就不对了。</t>
        </is>
      </c>
      <c r="H218" s="9" t="inlineStr">
        <is>
          <t>无</t>
        </is>
      </c>
      <c r="I218" s="9" t="inlineStr">
        <is>
          <t>EgoAnchor</t>
        </is>
      </c>
      <c r="J218" s="9" t="inlineStr">
        <is>
          <t>EgoAnchor</t>
        </is>
      </c>
      <c r="K218" s="9" t="inlineStr"/>
    </row>
    <row r="219">
      <c r="A219" s="7" t="inlineStr">
        <is>
          <t>P017</t>
        </is>
      </c>
      <c r="B219" s="9" t="inlineStr">
        <is>
          <t>无明显偏好</t>
        </is>
      </c>
      <c r="C219" s="9" t="inlineStr">
        <is>
          <t>NA</t>
        </is>
      </c>
      <c r="D219" s="9" t="inlineStr">
        <is>
          <t>方法A</t>
        </is>
      </c>
      <c r="E219" s="9" t="n">
        <v>5</v>
      </c>
      <c r="F219" s="9" t="inlineStr">
        <is>
          <t>要分开说：位置准不准和它会不会自己动，这是两件事。有一个是不动但略偏，有一个是位置差不多但会晃。</t>
        </is>
      </c>
      <c r="G219" s="9" t="inlineStr">
        <is>
          <t>它自己动。位置略微偏一点我还能接受，自己动我就不信了。</t>
        </is>
      </c>
      <c r="H219" s="9" t="inlineStr">
        <is>
          <t>无</t>
        </is>
      </c>
      <c r="I219" s="9" t="inlineStr">
        <is>
          <t>无明显偏好</t>
        </is>
      </c>
      <c r="J219" s="9" t="inlineStr">
        <is>
          <t>EgoAnchor</t>
        </is>
      </c>
      <c r="K219" s="9" t="inlineStr"/>
    </row>
    <row r="220">
      <c r="A220" s="7" t="inlineStr">
        <is>
          <t>P018</t>
        </is>
      </c>
      <c r="B220" s="9" t="inlineStr">
        <is>
          <t>方法A</t>
        </is>
      </c>
      <c r="C220" s="9" t="n">
        <v>7</v>
      </c>
      <c r="D220" s="9" t="inlineStr">
        <is>
          <t>方法A</t>
        </is>
      </c>
      <c r="E220" s="9" t="n">
        <v>7</v>
      </c>
      <c r="F220" s="9" t="inlineStr">
        <is>
          <t>静止时的微动差别很大：一个有持续的小幅游移，另一个真的静止。旋转时两个差别小得多。</t>
        </is>
      </c>
      <c r="G220" s="9" t="inlineStr">
        <is>
          <t>持续的小幅游移。它一直在轻微地动，就说明它其实不知道东西在哪。</t>
        </is>
      </c>
      <c r="H220" s="9" t="inlineStr">
        <is>
          <t>无</t>
        </is>
      </c>
      <c r="I220" s="9" t="inlineStr">
        <is>
          <t>EgoAnchor</t>
        </is>
      </c>
      <c r="J220" s="9" t="inlineStr">
        <is>
          <t>EgoAnchor</t>
        </is>
      </c>
      <c r="K220" s="9" t="inlineStr"/>
    </row>
    <row r="221">
      <c r="A221" s="7" t="inlineStr">
        <is>
          <t>P019</t>
        </is>
      </c>
      <c r="B221" s="9" t="inlineStr">
        <is>
          <t>方法B</t>
        </is>
      </c>
      <c r="C221" s="9" t="n">
        <v>4</v>
      </c>
      <c r="D221" s="9" t="inlineStr">
        <is>
          <t>方法B</t>
        </is>
      </c>
      <c r="E221" s="9" t="n">
        <v>5</v>
      </c>
      <c r="F221" s="9" t="inlineStr">
        <is>
          <t>应该是滤波不一样。一个静止时残留高频抖动，另一个抖动几乎没了但起步慢半拍。</t>
        </is>
      </c>
      <c r="G221" s="9" t="inlineStr">
        <is>
          <t>不可预测。误差忽大忽小比稳定偏 5 mm 更让我不敢用——我没法预判它下一秒的行为。</t>
        </is>
      </c>
      <c r="H221" s="9" t="inlineStr">
        <is>
          <t>无</t>
        </is>
      </c>
      <c r="I221" s="9" t="inlineStr">
        <is>
          <t>EgoAnchor</t>
        </is>
      </c>
      <c r="J221" s="9" t="inlineStr">
        <is>
          <t>EgoAnchor</t>
        </is>
      </c>
      <c r="K221" s="9" t="inlineStr"/>
    </row>
    <row r="222">
      <c r="A222" s="7" t="inlineStr">
        <is>
          <t>P020</t>
        </is>
      </c>
      <c r="B222" s="9" t="inlineStr">
        <is>
          <t>方法B</t>
        </is>
      </c>
      <c r="C222" s="9" t="n">
        <v>6</v>
      </c>
      <c r="D222" s="9" t="inlineStr">
        <is>
          <t>方法B</t>
        </is>
      </c>
      <c r="E222" s="9" t="n">
        <v>7</v>
      </c>
      <c r="F222" s="9" t="inlineStr">
        <is>
          <t>一个更稳，一个更快。就这个区别。</t>
        </is>
      </c>
      <c r="G222" s="9" t="inlineStr">
        <is>
          <t>出错了还不承认。给我一个明显错的位置比不给更糟。</t>
        </is>
      </c>
      <c r="H222" s="9" t="inlineStr">
        <is>
          <t>无</t>
        </is>
      </c>
      <c r="I222" s="9" t="inlineStr">
        <is>
          <t>EgoAnchor</t>
        </is>
      </c>
      <c r="J222" s="9" t="inlineStr">
        <is>
          <t>EgoAnchor</t>
        </is>
      </c>
      <c r="K222" s="9" t="inlineStr"/>
    </row>
    <row r="223">
      <c r="A223" s="7" t="inlineStr">
        <is>
          <t>P021</t>
        </is>
      </c>
      <c r="B223" s="9" t="inlineStr">
        <is>
          <t>无明显偏好</t>
        </is>
      </c>
      <c r="C223" s="9" t="inlineStr">
        <is>
          <t>NA</t>
        </is>
      </c>
      <c r="D223" s="9" t="inlineStr">
        <is>
          <t>无明显偏好</t>
        </is>
      </c>
      <c r="E223" s="9" t="n">
        <v>4</v>
      </c>
      <c r="F223" s="9" t="inlineStr">
        <is>
          <t>好像有一个更老实一点，放着不动就真的不动。另一个会有一点点动。</t>
        </is>
      </c>
      <c r="G223" s="9" t="inlineStr">
        <is>
          <t>它乱跑的时候。突然移到别的地方去了，那就不能信了。</t>
        </is>
      </c>
      <c r="H223" s="9" t="inlineStr">
        <is>
          <t>轻微</t>
        </is>
      </c>
      <c r="I223" s="9" t="inlineStr">
        <is>
          <t>无明显偏好</t>
        </is>
      </c>
      <c r="J223" s="9" t="inlineStr">
        <is>
          <t>无明显偏好</t>
        </is>
      </c>
      <c r="K223" s="9" t="inlineStr"/>
    </row>
    <row r="224">
      <c r="A224" s="7" t="inlineStr">
        <is>
          <t>P022</t>
        </is>
      </c>
      <c r="B224" s="9" t="inlineStr">
        <is>
          <t>方法A</t>
        </is>
      </c>
      <c r="C224" s="9" t="n">
        <v>4</v>
      </c>
      <c r="D224" s="9" t="inlineStr">
        <is>
          <t>方法A</t>
        </is>
      </c>
      <c r="E224" s="9" t="n">
        <v>4</v>
      </c>
      <c r="F224" s="9" t="inlineStr">
        <is>
          <t>拿起来的时候感觉不一样，有一个跟得更紧。放着不动那段我没太看。</t>
        </is>
      </c>
      <c r="G224" s="9" t="inlineStr">
        <is>
          <t>跟不上我的动作。手上的东西已经到位了，它还在半路上。</t>
        </is>
      </c>
      <c r="H224" s="9" t="inlineStr">
        <is>
          <t>无</t>
        </is>
      </c>
      <c r="I224" s="9" t="inlineStr">
        <is>
          <t>EgoAnchor</t>
        </is>
      </c>
      <c r="J224" s="9" t="inlineStr">
        <is>
          <t>EgoAnchor</t>
        </is>
      </c>
      <c r="K224" s="9" t="inlineStr"/>
    </row>
    <row r="225">
      <c r="A225" s="7" t="inlineStr">
        <is>
          <t>P023</t>
        </is>
      </c>
      <c r="B225" s="9" t="inlineStr">
        <is>
          <t>无明显偏好</t>
        </is>
      </c>
      <c r="C225" s="9" t="inlineStr">
        <is>
          <t>NA</t>
        </is>
      </c>
      <c r="D225" s="9" t="inlineStr">
        <is>
          <t>无明显偏好</t>
        </is>
      </c>
      <c r="E225" s="9" t="n">
        <v>2</v>
      </c>
      <c r="F225" s="9" t="inlineStr">
        <is>
          <t>其中一个在静止和遮挡恢复上都更一致，差异是真实的，但没有大到我要给满分。</t>
        </is>
      </c>
      <c r="G225" s="9" t="inlineStr">
        <is>
          <t>恢复之后落在错的位置。比完全不显示更糟，因为它给了我一个错的信息。</t>
        </is>
      </c>
      <c r="H225" s="9" t="inlineStr">
        <is>
          <t>无</t>
        </is>
      </c>
      <c r="I225" s="9" t="inlineStr">
        <is>
          <t>无明显偏好</t>
        </is>
      </c>
      <c r="J225" s="9" t="inlineStr">
        <is>
          <t>无明显偏好</t>
        </is>
      </c>
      <c r="K225" s="9" t="inlineStr"/>
    </row>
    <row r="226">
      <c r="A226" s="7" t="inlineStr">
        <is>
          <t>P024</t>
        </is>
      </c>
      <c r="B226" s="9" t="inlineStr">
        <is>
          <t>方法B</t>
        </is>
      </c>
      <c r="C226" s="9" t="n">
        <v>6</v>
      </c>
      <c r="D226" s="9" t="inlineStr">
        <is>
          <t>方法B</t>
        </is>
      </c>
      <c r="E226" s="9" t="n">
        <v>5</v>
      </c>
      <c r="F226" s="9" t="inlineStr">
        <is>
          <t>遮挡之后的表现差得最多。一个能回到原位，另一个有一次回错了地方。</t>
        </is>
      </c>
      <c r="G226" s="9" t="inlineStr">
        <is>
          <t>回错位置还装作没事。如果它出错的时候不告诉我，我就完全不能依赖它。</t>
        </is>
      </c>
      <c r="H226" s="9" t="inlineStr">
        <is>
          <t>无</t>
        </is>
      </c>
      <c r="I226" s="9" t="inlineStr">
        <is>
          <t>EgoAnchor</t>
        </is>
      </c>
      <c r="J226" s="9" t="inlineStr">
        <is>
          <t>EgoAnchor</t>
        </is>
      </c>
      <c r="K226" s="9" t="inlineStr"/>
    </row>
  </sheetData>
  <mergeCells count="4">
    <mergeCell ref="A1:AQ1"/>
    <mergeCell ref="A3:AQ3"/>
    <mergeCell ref="A201:AQ201"/>
    <mergeCell ref="A150:AQ1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" t="inlineStr">
        <is>
          <t>派生层（全部为公式，Excel 打开时实时重算）：L1 区块子量表 → L2 三物体均值 → L3 TiA 反向与量表分 → L4 配对差</t>
        </is>
      </c>
    </row>
    <row r="3" ht="20" customHeight="1">
      <c r="A3" s="3" t="inlineStr">
        <is>
          <t>L1. 区块级派生（每行 = 一个方法×物体区块；13 项引用 Records A 段，AQ 两子量表分 = 3 项均值，公式实时计算）</t>
        </is>
      </c>
    </row>
    <row r="4" ht="30" customHeight="1">
      <c r="A4" s="4" t="inlineStr">
        <is>
          <t>Participant_ID</t>
        </is>
      </c>
      <c r="B4" s="4" t="inlineStr">
        <is>
          <t>Method(内部)</t>
        </is>
      </c>
      <c r="C4" s="4" t="inlineStr">
        <is>
          <t>Object_Key</t>
        </is>
      </c>
      <c r="D4" s="4" t="inlineStr">
        <is>
          <t>Records行</t>
        </is>
      </c>
      <c r="E4" s="4" t="inlineStr">
        <is>
          <t>Q1</t>
        </is>
      </c>
      <c r="F4" s="4" t="inlineStr">
        <is>
          <t>Q8</t>
        </is>
      </c>
      <c r="G4" s="4" t="inlineStr">
        <is>
          <t>Q2</t>
        </is>
      </c>
      <c r="H4" s="4" t="inlineStr">
        <is>
          <t>Q9</t>
        </is>
      </c>
      <c r="I4" s="4" t="inlineStr">
        <is>
          <t>Q3</t>
        </is>
      </c>
      <c r="J4" s="4" t="inlineStr">
        <is>
          <t>Q6</t>
        </is>
      </c>
      <c r="K4" s="4" t="inlineStr">
        <is>
          <t>Q7</t>
        </is>
      </c>
      <c r="L4" s="4" t="inlineStr">
        <is>
          <t>AQ_EQ1</t>
        </is>
      </c>
      <c r="M4" s="4" t="inlineStr">
        <is>
          <t>AQ_EQ2</t>
        </is>
      </c>
      <c r="N4" s="4" t="inlineStr">
        <is>
          <t>AQ_EQ3</t>
        </is>
      </c>
      <c r="O4" s="4" t="inlineStr">
        <is>
          <t>AQ_IQ1</t>
        </is>
      </c>
      <c r="P4" s="4" t="inlineStr">
        <is>
          <t>AQ_IQ2</t>
        </is>
      </c>
      <c r="Q4" s="4" t="inlineStr">
        <is>
          <t>AQ_IQ3</t>
        </is>
      </c>
      <c r="R4" s="4" t="inlineStr">
        <is>
          <t>AQ_EQ(3项均值)</t>
        </is>
      </c>
      <c r="S4" s="4" t="inlineStr">
        <is>
          <t>AQ_IQ(3项均值)</t>
        </is>
      </c>
      <c r="T4" s="4" t="inlineStr">
        <is>
          <t>问卷时长_s</t>
        </is>
      </c>
      <c r="U4" s="4" t="inlineStr">
        <is>
          <t>最长连续同分</t>
        </is>
      </c>
      <c r="V4" s="4" t="inlineStr">
        <is>
          <t>问卷&gt;150s</t>
        </is>
      </c>
    </row>
    <row r="5">
      <c r="A5" s="5" t="inlineStr">
        <is>
          <t>P001</t>
        </is>
      </c>
      <c r="B5" s="6" t="inlineStr">
        <is>
          <t>One-Euro</t>
        </is>
      </c>
      <c r="C5" s="6" t="inlineStr">
        <is>
          <t>blue_mouse</t>
        </is>
      </c>
      <c r="D5" s="6" t="n">
        <v>6</v>
      </c>
      <c r="E5" s="10">
        <f>Records!K6</f>
        <v>3</v>
      </c>
      <c r="F5" s="10">
        <f>Records!R6</f>
        <v>4</v>
      </c>
      <c r="G5" s="10">
        <f>Records!L6</f>
        <v>4</v>
      </c>
      <c r="H5" s="10">
        <f>Records!M6</f>
        <v>5</v>
      </c>
      <c r="I5" s="10">
        <f>Records!Q6</f>
        <v>4</v>
      </c>
      <c r="J5" s="10">
        <f>Records!W6</f>
        <v>4</v>
      </c>
      <c r="K5" s="10">
        <f>Records!X6</f>
        <v>4</v>
      </c>
      <c r="L5" s="10">
        <f>Records!S6</f>
        <v>3</v>
      </c>
      <c r="M5" s="10">
        <f>Records!T6</f>
        <v>4</v>
      </c>
      <c r="N5" s="10">
        <f>Records!U6</f>
        <v>4</v>
      </c>
      <c r="O5" s="10">
        <f>Records!V6</f>
        <v>3</v>
      </c>
      <c r="P5" s="10">
        <f>Records!O6</f>
        <v>4</v>
      </c>
      <c r="Q5" s="10">
        <f>Records!P6</f>
        <v>4</v>
      </c>
      <c r="R5" s="10">
        <f>AVERAGE(Records!S6,Records!T6,Records!U6)</f>
        <v>3.6666666666666665</v>
      </c>
      <c r="S5" s="10">
        <f>AVERAGE(Records!V6,Records!O6,Records!P6)</f>
        <v>3.6666666666666665</v>
      </c>
      <c r="T5" s="10">
        <f>Records!AA6</f>
        <v>186.7</v>
      </c>
      <c r="U5" s="10">
        <f>Records!AP6</f>
        <v>4</v>
      </c>
      <c r="V5" s="10">
        <f>IF(Records!AA6&gt;150,1,0)</f>
        <v>1</v>
      </c>
    </row>
    <row r="6">
      <c r="A6" s="5" t="inlineStr">
        <is>
          <t>P002</t>
        </is>
      </c>
      <c r="B6" s="6" t="inlineStr">
        <is>
          <t>One-Euro</t>
        </is>
      </c>
      <c r="C6" s="6" t="inlineStr">
        <is>
          <t>blue_mouse</t>
        </is>
      </c>
      <c r="D6" s="6" t="n">
        <v>11</v>
      </c>
      <c r="E6" s="10">
        <f>Records!K11</f>
        <v>3</v>
      </c>
      <c r="F6" s="10">
        <f>Records!R11</f>
        <v>4</v>
      </c>
      <c r="G6" s="10">
        <f>Records!L11</f>
        <v>3</v>
      </c>
      <c r="H6" s="10">
        <f>Records!M11</f>
        <v>3</v>
      </c>
      <c r="I6" s="10">
        <f>Records!Q11</f>
        <v>1</v>
      </c>
      <c r="J6" s="10">
        <f>Records!W11</f>
        <v>1</v>
      </c>
      <c r="K6" s="10">
        <f>Records!X11</f>
        <v>4</v>
      </c>
      <c r="L6" s="10">
        <f>Records!S11</f>
        <v>5</v>
      </c>
      <c r="M6" s="10">
        <f>Records!T11</f>
        <v>3</v>
      </c>
      <c r="N6" s="10">
        <f>Records!U11</f>
        <v>6</v>
      </c>
      <c r="O6" s="10">
        <f>Records!V11</f>
        <v>6</v>
      </c>
      <c r="P6" s="10">
        <f>Records!O11</f>
        <v>4</v>
      </c>
      <c r="Q6" s="10">
        <f>Records!P11</f>
        <v>5</v>
      </c>
      <c r="R6" s="10">
        <f>AVERAGE(Records!S11,Records!T11,Records!U11)</f>
        <v>4.666666666666667</v>
      </c>
      <c r="S6" s="10">
        <f>AVERAGE(Records!V11,Records!O11,Records!P11)</f>
        <v>5</v>
      </c>
      <c r="T6" s="10">
        <f>Records!AA11</f>
        <v>119.7</v>
      </c>
      <c r="U6" s="10">
        <f>Records!AP11</f>
        <v>3</v>
      </c>
      <c r="V6" s="10">
        <f>IF(Records!AA11&gt;150,1,0)</f>
        <v>0</v>
      </c>
    </row>
    <row r="7">
      <c r="A7" s="5" t="inlineStr">
        <is>
          <t>P003</t>
        </is>
      </c>
      <c r="B7" s="6" t="inlineStr">
        <is>
          <t>One-Euro</t>
        </is>
      </c>
      <c r="C7" s="6" t="inlineStr">
        <is>
          <t>blue_mouse</t>
        </is>
      </c>
      <c r="D7" s="6" t="n">
        <v>18</v>
      </c>
      <c r="E7" s="10">
        <f>Records!K18</f>
        <v>5</v>
      </c>
      <c r="F7" s="10">
        <f>Records!R18</f>
        <v>3</v>
      </c>
      <c r="G7" s="10">
        <f>Records!L18</f>
        <v>6</v>
      </c>
      <c r="H7" s="10">
        <f>Records!M18</f>
        <v>4</v>
      </c>
      <c r="I7" s="10">
        <f>Records!Q18</f>
        <v>4</v>
      </c>
      <c r="J7" s="10">
        <f>Records!W18</f>
        <v>4</v>
      </c>
      <c r="K7" s="10">
        <f>Records!X18</f>
        <v>3</v>
      </c>
      <c r="L7" s="10">
        <f>Records!S18</f>
        <v>4</v>
      </c>
      <c r="M7" s="10">
        <f>Records!T18</f>
        <v>4</v>
      </c>
      <c r="N7" s="10">
        <f>Records!U18</f>
        <v>6</v>
      </c>
      <c r="O7" s="10">
        <f>Records!V18</f>
        <v>6</v>
      </c>
      <c r="P7" s="10">
        <f>Records!O18</f>
        <v>6</v>
      </c>
      <c r="Q7" s="10">
        <f>Records!P18</f>
        <v>4</v>
      </c>
      <c r="R7" s="10">
        <f>AVERAGE(Records!S18,Records!T18,Records!U18)</f>
        <v>4.666666666666667</v>
      </c>
      <c r="S7" s="10">
        <f>AVERAGE(Records!V18,Records!O18,Records!P18)</f>
        <v>5.333333333333333</v>
      </c>
      <c r="T7" s="10">
        <f>Records!AA18</f>
        <v>122.8</v>
      </c>
      <c r="U7" s="10">
        <f>Records!AP18</f>
        <v>2</v>
      </c>
      <c r="V7" s="10">
        <f>IF(Records!AA18&gt;150,1,0)</f>
        <v>0</v>
      </c>
    </row>
    <row r="8">
      <c r="A8" s="5" t="inlineStr">
        <is>
          <t>P004</t>
        </is>
      </c>
      <c r="B8" s="6" t="inlineStr">
        <is>
          <t>One-Euro</t>
        </is>
      </c>
      <c r="C8" s="6" t="inlineStr">
        <is>
          <t>blue_mouse</t>
        </is>
      </c>
      <c r="D8" s="6" t="n">
        <v>23</v>
      </c>
      <c r="E8" s="10">
        <f>Records!K23</f>
        <v>6</v>
      </c>
      <c r="F8" s="10">
        <f>Records!R23</f>
        <v>4</v>
      </c>
      <c r="G8" s="10">
        <f>Records!L23</f>
        <v>5</v>
      </c>
      <c r="H8" s="10">
        <f>Records!M23</f>
        <v>6</v>
      </c>
      <c r="I8" s="10">
        <f>Records!Q23</f>
        <v>2</v>
      </c>
      <c r="J8" s="10">
        <f>Records!W23</f>
        <v>2</v>
      </c>
      <c r="K8" s="10">
        <f>Records!X23</f>
        <v>6</v>
      </c>
      <c r="L8" s="10">
        <f>Records!S23</f>
        <v>6</v>
      </c>
      <c r="M8" s="10">
        <f>Records!T23</f>
        <v>5</v>
      </c>
      <c r="N8" s="10">
        <f>Records!U23</f>
        <v>7</v>
      </c>
      <c r="O8" s="10">
        <f>Records!V23</f>
        <v>6</v>
      </c>
      <c r="P8" s="10">
        <f>Records!O23</f>
        <v>6</v>
      </c>
      <c r="Q8" s="10">
        <f>Records!P23</f>
        <v>5</v>
      </c>
      <c r="R8" s="10">
        <f>AVERAGE(Records!S23,Records!T23,Records!U23)</f>
        <v>6</v>
      </c>
      <c r="S8" s="10">
        <f>AVERAGE(Records!V23,Records!O23,Records!P23)</f>
        <v>5.666666666666667</v>
      </c>
      <c r="T8" s="10">
        <f>Records!AA23</f>
        <v>132.1</v>
      </c>
      <c r="U8" s="10">
        <f>Records!AP23</f>
        <v>2</v>
      </c>
      <c r="V8" s="10">
        <f>IF(Records!AA23&gt;150,1,0)</f>
        <v>0</v>
      </c>
    </row>
    <row r="9">
      <c r="A9" s="5" t="inlineStr">
        <is>
          <t>P005</t>
        </is>
      </c>
      <c r="B9" s="6" t="inlineStr">
        <is>
          <t>One-Euro</t>
        </is>
      </c>
      <c r="C9" s="6" t="inlineStr">
        <is>
          <t>blue_mouse</t>
        </is>
      </c>
      <c r="D9" s="6" t="n">
        <v>30</v>
      </c>
      <c r="E9" s="10">
        <f>Records!K30</f>
        <v>4</v>
      </c>
      <c r="F9" s="10">
        <f>Records!R30</f>
        <v>4</v>
      </c>
      <c r="G9" s="10">
        <f>Records!L30</f>
        <v>5</v>
      </c>
      <c r="H9" s="10">
        <f>Records!M30</f>
        <v>4</v>
      </c>
      <c r="I9" s="10">
        <f>Records!Q30</f>
        <v>4</v>
      </c>
      <c r="J9" s="10">
        <f>Records!W30</f>
        <v>4</v>
      </c>
      <c r="K9" s="10">
        <f>Records!X30</f>
        <v>4</v>
      </c>
      <c r="L9" s="10">
        <f>Records!S30</f>
        <v>5</v>
      </c>
      <c r="M9" s="10">
        <f>Records!T30</f>
        <v>4</v>
      </c>
      <c r="N9" s="10">
        <f>Records!U30</f>
        <v>6</v>
      </c>
      <c r="O9" s="10">
        <f>Records!V30</f>
        <v>5</v>
      </c>
      <c r="P9" s="10">
        <f>Records!O30</f>
        <v>6</v>
      </c>
      <c r="Q9" s="10">
        <f>Records!P30</f>
        <v>4</v>
      </c>
      <c r="R9" s="10">
        <f>AVERAGE(Records!S30,Records!T30,Records!U30)</f>
        <v>5</v>
      </c>
      <c r="S9" s="10">
        <f>AVERAGE(Records!V30,Records!O30,Records!P30)</f>
        <v>5</v>
      </c>
      <c r="T9" s="10">
        <f>Records!AA30</f>
        <v>121</v>
      </c>
      <c r="U9" s="10">
        <f>Records!AP30</f>
        <v>3</v>
      </c>
      <c r="V9" s="10">
        <f>IF(Records!AA30&gt;150,1,0)</f>
        <v>0</v>
      </c>
    </row>
    <row r="10">
      <c r="A10" s="5" t="inlineStr">
        <is>
          <t>P006</t>
        </is>
      </c>
      <c r="B10" s="6" t="inlineStr">
        <is>
          <t>One-Euro</t>
        </is>
      </c>
      <c r="C10" s="6" t="inlineStr">
        <is>
          <t>blue_mouse</t>
        </is>
      </c>
      <c r="D10" s="6" t="n">
        <v>35</v>
      </c>
      <c r="E10" s="10">
        <f>Records!K35</f>
        <v>4</v>
      </c>
      <c r="F10" s="10">
        <f>Records!R35</f>
        <v>5</v>
      </c>
      <c r="G10" s="10">
        <f>Records!L35</f>
        <v>5</v>
      </c>
      <c r="H10" s="10">
        <f>Records!M35</f>
        <v>4</v>
      </c>
      <c r="I10" s="10">
        <f>Records!Q35</f>
        <v>4</v>
      </c>
      <c r="J10" s="10">
        <f>Records!W35</f>
        <v>4</v>
      </c>
      <c r="K10" s="10">
        <f>Records!X35</f>
        <v>4</v>
      </c>
      <c r="L10" s="10">
        <f>Records!S35</f>
        <v>5</v>
      </c>
      <c r="M10" s="10">
        <f>Records!T35</f>
        <v>5</v>
      </c>
      <c r="N10" s="10">
        <f>Records!U35</f>
        <v>5</v>
      </c>
      <c r="O10" s="10">
        <f>Records!V35</f>
        <v>4</v>
      </c>
      <c r="P10" s="10">
        <f>Records!O35</f>
        <v>4</v>
      </c>
      <c r="Q10" s="10">
        <f>Records!P35</f>
        <v>4</v>
      </c>
      <c r="R10" s="10">
        <f>AVERAGE(Records!S35,Records!T35,Records!U35)</f>
        <v>5</v>
      </c>
      <c r="S10" s="10">
        <f>AVERAGE(Records!V35,Records!O35,Records!P35)</f>
        <v>4</v>
      </c>
      <c r="T10" s="10">
        <f>Records!AA35</f>
        <v>135.1</v>
      </c>
      <c r="U10" s="10">
        <f>Records!AP35</f>
        <v>4</v>
      </c>
      <c r="V10" s="10">
        <f>IF(Records!AA35&gt;150,1,0)</f>
        <v>0</v>
      </c>
    </row>
    <row r="11">
      <c r="A11" s="5" t="inlineStr">
        <is>
          <t>P007</t>
        </is>
      </c>
      <c r="B11" s="6" t="inlineStr">
        <is>
          <t>One-Euro</t>
        </is>
      </c>
      <c r="C11" s="6" t="inlineStr">
        <is>
          <t>blue_mouse</t>
        </is>
      </c>
      <c r="D11" s="6" t="n">
        <v>42</v>
      </c>
      <c r="E11" s="10">
        <f>Records!K42</f>
        <v>4</v>
      </c>
      <c r="F11" s="10">
        <f>Records!R42</f>
        <v>4</v>
      </c>
      <c r="G11" s="10">
        <f>Records!L42</f>
        <v>5</v>
      </c>
      <c r="H11" s="10">
        <f>Records!M42</f>
        <v>4</v>
      </c>
      <c r="I11" s="10">
        <f>Records!Q42</f>
        <v>4</v>
      </c>
      <c r="J11" s="10">
        <f>Records!W42</f>
        <v>4</v>
      </c>
      <c r="K11" s="10">
        <f>Records!X42</f>
        <v>4</v>
      </c>
      <c r="L11" s="10">
        <f>Records!S42</f>
        <v>4</v>
      </c>
      <c r="M11" s="10">
        <f>Records!T42</f>
        <v>4</v>
      </c>
      <c r="N11" s="10">
        <f>Records!U42</f>
        <v>6</v>
      </c>
      <c r="O11" s="10">
        <f>Records!V42</f>
        <v>5</v>
      </c>
      <c r="P11" s="10">
        <f>Records!O42</f>
        <v>4</v>
      </c>
      <c r="Q11" s="10">
        <f>Records!P42</f>
        <v>5</v>
      </c>
      <c r="R11" s="10">
        <f>AVERAGE(Records!S42,Records!T42,Records!U42)</f>
        <v>4.666666666666667</v>
      </c>
      <c r="S11" s="10">
        <f>AVERAGE(Records!V42,Records!O42,Records!P42)</f>
        <v>4.666666666666667</v>
      </c>
      <c r="T11" s="10">
        <f>Records!AA42</f>
        <v>167</v>
      </c>
      <c r="U11" s="10">
        <f>Records!AP42</f>
        <v>4</v>
      </c>
      <c r="V11" s="10">
        <f>IF(Records!AA42&gt;150,1,0)</f>
        <v>1</v>
      </c>
    </row>
    <row r="12">
      <c r="A12" s="5" t="inlineStr">
        <is>
          <t>P008</t>
        </is>
      </c>
      <c r="B12" s="6" t="inlineStr">
        <is>
          <t>One-Euro</t>
        </is>
      </c>
      <c r="C12" s="6" t="inlineStr">
        <is>
          <t>blue_mouse</t>
        </is>
      </c>
      <c r="D12" s="6" t="n">
        <v>47</v>
      </c>
      <c r="E12" s="10">
        <f>Records!K47</f>
        <v>5</v>
      </c>
      <c r="F12" s="10">
        <f>Records!R47</f>
        <v>5</v>
      </c>
      <c r="G12" s="10">
        <f>Records!L47</f>
        <v>5</v>
      </c>
      <c r="H12" s="10">
        <f>Records!M47</f>
        <v>4</v>
      </c>
      <c r="I12" s="10">
        <f>Records!Q47</f>
        <v>4</v>
      </c>
      <c r="J12" s="10">
        <f>Records!W47</f>
        <v>3</v>
      </c>
      <c r="K12" s="10">
        <f>Records!X47</f>
        <v>4</v>
      </c>
      <c r="L12" s="10">
        <f>Records!S47</f>
        <v>5</v>
      </c>
      <c r="M12" s="10">
        <f>Records!T47</f>
        <v>5</v>
      </c>
      <c r="N12" s="10">
        <f>Records!U47</f>
        <v>5</v>
      </c>
      <c r="O12" s="10">
        <f>Records!V47</f>
        <v>6</v>
      </c>
      <c r="P12" s="10">
        <f>Records!O47</f>
        <v>5</v>
      </c>
      <c r="Q12" s="10">
        <f>Records!P47</f>
        <v>5</v>
      </c>
      <c r="R12" s="10">
        <f>AVERAGE(Records!S47,Records!T47,Records!U47)</f>
        <v>5</v>
      </c>
      <c r="S12" s="10">
        <f>AVERAGE(Records!V47,Records!O47,Records!P47)</f>
        <v>5.333333333333333</v>
      </c>
      <c r="T12" s="10">
        <f>Records!AA47</f>
        <v>142.6</v>
      </c>
      <c r="U12" s="10">
        <f>Records!AP47</f>
        <v>4</v>
      </c>
      <c r="V12" s="10">
        <f>IF(Records!AA47&gt;150,1,0)</f>
        <v>0</v>
      </c>
    </row>
    <row r="13">
      <c r="A13" s="5" t="inlineStr">
        <is>
          <t>P009</t>
        </is>
      </c>
      <c r="B13" s="6" t="inlineStr">
        <is>
          <t>One-Euro</t>
        </is>
      </c>
      <c r="C13" s="6" t="inlineStr">
        <is>
          <t>blue_mouse</t>
        </is>
      </c>
      <c r="D13" s="6" t="n">
        <v>55</v>
      </c>
      <c r="E13" s="10">
        <f>Records!K55</f>
        <v>5</v>
      </c>
      <c r="F13" s="10">
        <f>Records!R55</f>
        <v>6</v>
      </c>
      <c r="G13" s="10">
        <f>Records!L55</f>
        <v>5</v>
      </c>
      <c r="H13" s="10">
        <f>Records!M55</f>
        <v>5</v>
      </c>
      <c r="I13" s="10">
        <f>Records!Q55</f>
        <v>5</v>
      </c>
      <c r="J13" s="10">
        <f>Records!W55</f>
        <v>5</v>
      </c>
      <c r="K13" s="10">
        <f>Records!X55</f>
        <v>6</v>
      </c>
      <c r="L13" s="10">
        <f>Records!S55</f>
        <v>5</v>
      </c>
      <c r="M13" s="10">
        <f>Records!T55</f>
        <v>5</v>
      </c>
      <c r="N13" s="10">
        <f>Records!U55</f>
        <v>6</v>
      </c>
      <c r="O13" s="10">
        <f>Records!V55</f>
        <v>4</v>
      </c>
      <c r="P13" s="10">
        <f>Records!O55</f>
        <v>6</v>
      </c>
      <c r="Q13" s="10">
        <f>Records!P55</f>
        <v>5</v>
      </c>
      <c r="R13" s="10">
        <f>AVERAGE(Records!S55,Records!T55,Records!U55)</f>
        <v>5.333333333333333</v>
      </c>
      <c r="S13" s="10">
        <f>AVERAGE(Records!V55,Records!O55,Records!P55)</f>
        <v>5</v>
      </c>
      <c r="T13" s="10">
        <f>Records!AA55</f>
        <v>110.2</v>
      </c>
      <c r="U13" s="10">
        <f>Records!AP55</f>
        <v>3</v>
      </c>
      <c r="V13" s="10">
        <f>IF(Records!AA55&gt;150,1,0)</f>
        <v>0</v>
      </c>
    </row>
    <row r="14">
      <c r="A14" s="5" t="inlineStr">
        <is>
          <t>P010</t>
        </is>
      </c>
      <c r="B14" s="6" t="inlineStr">
        <is>
          <t>One-Euro</t>
        </is>
      </c>
      <c r="C14" s="6" t="inlineStr">
        <is>
          <t>blue_mouse</t>
        </is>
      </c>
      <c r="D14" s="6" t="n">
        <v>62</v>
      </c>
      <c r="E14" s="10">
        <f>Records!K62</f>
        <v>4</v>
      </c>
      <c r="F14" s="10">
        <f>Records!R62</f>
        <v>5</v>
      </c>
      <c r="G14" s="10">
        <f>Records!L62</f>
        <v>5</v>
      </c>
      <c r="H14" s="10">
        <f>Records!M62</f>
        <v>5</v>
      </c>
      <c r="I14" s="10">
        <f>Records!Q62</f>
        <v>5</v>
      </c>
      <c r="J14" s="10">
        <f>Records!W62</f>
        <v>5</v>
      </c>
      <c r="K14" s="10">
        <f>Records!X62</f>
        <v>5</v>
      </c>
      <c r="L14" s="10">
        <f>Records!S62</f>
        <v>6</v>
      </c>
      <c r="M14" s="10">
        <f>Records!T62</f>
        <v>6</v>
      </c>
      <c r="N14" s="10">
        <f>Records!U62</f>
        <v>6</v>
      </c>
      <c r="O14" s="10">
        <f>Records!V62</f>
        <v>6</v>
      </c>
      <c r="P14" s="10">
        <f>Records!O62</f>
        <v>6</v>
      </c>
      <c r="Q14" s="10">
        <f>Records!P62</f>
        <v>5</v>
      </c>
      <c r="R14" s="10">
        <f>AVERAGE(Records!S62,Records!T62,Records!U62)</f>
        <v>6</v>
      </c>
      <c r="S14" s="10">
        <f>AVERAGE(Records!V62,Records!O62,Records!P62)</f>
        <v>5.666666666666667</v>
      </c>
      <c r="T14" s="10">
        <f>Records!AA62</f>
        <v>202</v>
      </c>
      <c r="U14" s="10">
        <f>Records!AP62</f>
        <v>4</v>
      </c>
      <c r="V14" s="10">
        <f>IF(Records!AA62&gt;150,1,0)</f>
        <v>1</v>
      </c>
    </row>
    <row r="15">
      <c r="A15" s="5" t="inlineStr">
        <is>
          <t>P011</t>
        </is>
      </c>
      <c r="B15" s="6" t="inlineStr">
        <is>
          <t>One-Euro</t>
        </is>
      </c>
      <c r="C15" s="6" t="inlineStr">
        <is>
          <t>blue_mouse</t>
        </is>
      </c>
      <c r="D15" s="6" t="n">
        <v>67</v>
      </c>
      <c r="E15" s="10">
        <f>Records!K67</f>
        <v>4</v>
      </c>
      <c r="F15" s="10">
        <f>Records!R67</f>
        <v>5</v>
      </c>
      <c r="G15" s="10">
        <f>Records!L67</f>
        <v>6</v>
      </c>
      <c r="H15" s="10">
        <f>Records!M67</f>
        <v>5</v>
      </c>
      <c r="I15" s="10">
        <f>Records!Q67</f>
        <v>4</v>
      </c>
      <c r="J15" s="10">
        <f>Records!W67</f>
        <v>6</v>
      </c>
      <c r="K15" s="10">
        <f>Records!X67</f>
        <v>5</v>
      </c>
      <c r="L15" s="10">
        <f>Records!S67</f>
        <v>6</v>
      </c>
      <c r="M15" s="10">
        <f>Records!T67</f>
        <v>6</v>
      </c>
      <c r="N15" s="10">
        <f>Records!U67</f>
        <v>6</v>
      </c>
      <c r="O15" s="10">
        <f>Records!V67</f>
        <v>5</v>
      </c>
      <c r="P15" s="10">
        <f>Records!O67</f>
        <v>6</v>
      </c>
      <c r="Q15" s="10">
        <f>Records!P67</f>
        <v>5</v>
      </c>
      <c r="R15" s="10">
        <f>AVERAGE(Records!S67,Records!T67,Records!U67)</f>
        <v>6</v>
      </c>
      <c r="S15" s="10">
        <f>AVERAGE(Records!V67,Records!O67,Records!P67)</f>
        <v>5.333333333333333</v>
      </c>
      <c r="T15" s="10">
        <f>Records!AA67</f>
        <v>135.7</v>
      </c>
      <c r="U15" s="10">
        <f>Records!AP67</f>
        <v>3</v>
      </c>
      <c r="V15" s="10">
        <f>IF(Records!AA67&gt;150,1,0)</f>
        <v>0</v>
      </c>
    </row>
    <row r="16">
      <c r="A16" s="5" t="inlineStr">
        <is>
          <t>P012</t>
        </is>
      </c>
      <c r="B16" s="6" t="inlineStr">
        <is>
          <t>One-Euro</t>
        </is>
      </c>
      <c r="C16" s="6" t="inlineStr">
        <is>
          <t>blue_mouse</t>
        </is>
      </c>
      <c r="D16" s="6" t="n">
        <v>74</v>
      </c>
      <c r="E16" s="10">
        <f>Records!K74</f>
        <v>3</v>
      </c>
      <c r="F16" s="10">
        <f>Records!R74</f>
        <v>4</v>
      </c>
      <c r="G16" s="10">
        <f>Records!L74</f>
        <v>4</v>
      </c>
      <c r="H16" s="10">
        <f>Records!M74</f>
        <v>3</v>
      </c>
      <c r="I16" s="10">
        <f>Records!Q74</f>
        <v>4</v>
      </c>
      <c r="J16" s="10">
        <f>Records!W74</f>
        <v>3</v>
      </c>
      <c r="K16" s="10">
        <f>Records!X74</f>
        <v>4</v>
      </c>
      <c r="L16" s="10">
        <f>Records!S74</f>
        <v>4</v>
      </c>
      <c r="M16" s="10">
        <f>Records!T74</f>
        <v>4</v>
      </c>
      <c r="N16" s="10">
        <f>Records!U74</f>
        <v>6</v>
      </c>
      <c r="O16" s="10">
        <f>Records!V74</f>
        <v>4</v>
      </c>
      <c r="P16" s="10">
        <f>Records!O74</f>
        <v>5</v>
      </c>
      <c r="Q16" s="10">
        <f>Records!P74</f>
        <v>4</v>
      </c>
      <c r="R16" s="10">
        <f>AVERAGE(Records!S74,Records!T74,Records!U74)</f>
        <v>4.666666666666667</v>
      </c>
      <c r="S16" s="10">
        <f>AVERAGE(Records!V74,Records!O74,Records!P74)</f>
        <v>4.333333333333333</v>
      </c>
      <c r="T16" s="10">
        <f>Records!AA74</f>
        <v>126.7</v>
      </c>
      <c r="U16" s="10">
        <f>Records!AP74</f>
        <v>5</v>
      </c>
      <c r="V16" s="10">
        <f>IF(Records!AA74&gt;150,1,0)</f>
        <v>0</v>
      </c>
    </row>
    <row r="17">
      <c r="A17" s="5" t="inlineStr">
        <is>
          <t>P013</t>
        </is>
      </c>
      <c r="B17" s="6" t="inlineStr">
        <is>
          <t>One-Euro</t>
        </is>
      </c>
      <c r="C17" s="6" t="inlineStr">
        <is>
          <t>blue_mouse</t>
        </is>
      </c>
      <c r="D17" s="6" t="n">
        <v>82</v>
      </c>
      <c r="E17" s="10">
        <f>Records!K82</f>
        <v>5</v>
      </c>
      <c r="F17" s="10">
        <f>Records!R82</f>
        <v>5</v>
      </c>
      <c r="G17" s="10">
        <f>Records!L82</f>
        <v>5</v>
      </c>
      <c r="H17" s="10">
        <f>Records!M82</f>
        <v>5</v>
      </c>
      <c r="I17" s="10">
        <f>Records!Q82</f>
        <v>4</v>
      </c>
      <c r="J17" s="10">
        <f>Records!W82</f>
        <v>4</v>
      </c>
      <c r="K17" s="10">
        <f>Records!X82</f>
        <v>5</v>
      </c>
      <c r="L17" s="10">
        <f>Records!S82</f>
        <v>5</v>
      </c>
      <c r="M17" s="10">
        <f>Records!T82</f>
        <v>5</v>
      </c>
      <c r="N17" s="10">
        <f>Records!U82</f>
        <v>6</v>
      </c>
      <c r="O17" s="10">
        <f>Records!V82</f>
        <v>6</v>
      </c>
      <c r="P17" s="10">
        <f>Records!O82</f>
        <v>5</v>
      </c>
      <c r="Q17" s="10">
        <f>Records!P82</f>
        <v>6</v>
      </c>
      <c r="R17" s="10">
        <f>AVERAGE(Records!S82,Records!T82,Records!U82)</f>
        <v>5.333333333333333</v>
      </c>
      <c r="S17" s="10">
        <f>AVERAGE(Records!V82,Records!O82,Records!P82)</f>
        <v>5.666666666666667</v>
      </c>
      <c r="T17" s="10">
        <f>Records!AA82</f>
        <v>113.4</v>
      </c>
      <c r="U17" s="10">
        <f>Records!AP82</f>
        <v>4</v>
      </c>
      <c r="V17" s="10">
        <f>IF(Records!AA82&gt;150,1,0)</f>
        <v>0</v>
      </c>
    </row>
    <row r="18">
      <c r="A18" s="5" t="inlineStr">
        <is>
          <t>P014</t>
        </is>
      </c>
      <c r="B18" s="6" t="inlineStr">
        <is>
          <t>One-Euro</t>
        </is>
      </c>
      <c r="C18" s="6" t="inlineStr">
        <is>
          <t>blue_mouse</t>
        </is>
      </c>
      <c r="D18" s="6" t="n">
        <v>87</v>
      </c>
      <c r="E18" s="10">
        <f>Records!K87</f>
        <v>3</v>
      </c>
      <c r="F18" s="10">
        <f>Records!R87</f>
        <v>4</v>
      </c>
      <c r="G18" s="10">
        <f>Records!L87</f>
        <v>4</v>
      </c>
      <c r="H18" s="10">
        <f>Records!M87</f>
        <v>4</v>
      </c>
      <c r="I18" s="10">
        <f>Records!Q87</f>
        <v>5</v>
      </c>
      <c r="J18" s="10">
        <f>Records!W87</f>
        <v>5</v>
      </c>
      <c r="K18" s="10">
        <f>Records!X87</f>
        <v>4</v>
      </c>
      <c r="L18" s="10">
        <f>Records!S87</f>
        <v>5</v>
      </c>
      <c r="M18" s="10">
        <f>Records!T87</f>
        <v>5</v>
      </c>
      <c r="N18" s="10">
        <f>Records!U87</f>
        <v>7</v>
      </c>
      <c r="O18" s="10">
        <f>Records!V87</f>
        <v>5</v>
      </c>
      <c r="P18" s="10">
        <f>Records!O87</f>
        <v>5</v>
      </c>
      <c r="Q18" s="10">
        <f>Records!P87</f>
        <v>5</v>
      </c>
      <c r="R18" s="10">
        <f>AVERAGE(Records!S87,Records!T87,Records!U87)</f>
        <v>5.666666666666667</v>
      </c>
      <c r="S18" s="10">
        <f>AVERAGE(Records!V87,Records!O87,Records!P87)</f>
        <v>5</v>
      </c>
      <c r="T18" s="10">
        <f>Records!AA87</f>
        <v>129.8</v>
      </c>
      <c r="U18" s="10">
        <f>Records!AP87</f>
        <v>3</v>
      </c>
      <c r="V18" s="10">
        <f>IF(Records!AA87&gt;150,1,0)</f>
        <v>0</v>
      </c>
    </row>
    <row r="19">
      <c r="A19" s="5" t="inlineStr">
        <is>
          <t>P015</t>
        </is>
      </c>
      <c r="B19" s="6" t="inlineStr">
        <is>
          <t>One-Euro</t>
        </is>
      </c>
      <c r="C19" s="6" t="inlineStr">
        <is>
          <t>blue_mouse</t>
        </is>
      </c>
      <c r="D19" s="6" t="n">
        <v>94</v>
      </c>
      <c r="E19" s="10">
        <f>Records!K94</f>
        <v>4</v>
      </c>
      <c r="F19" s="10">
        <f>Records!R94</f>
        <v>4</v>
      </c>
      <c r="G19" s="10">
        <f>Records!L94</f>
        <v>5</v>
      </c>
      <c r="H19" s="10">
        <f>Records!M94</f>
        <v>4</v>
      </c>
      <c r="I19" s="10">
        <f>Records!Q94</f>
        <v>4</v>
      </c>
      <c r="J19" s="10">
        <f>Records!W94</f>
        <v>4</v>
      </c>
      <c r="K19" s="10">
        <f>Records!X94</f>
        <v>5</v>
      </c>
      <c r="L19" s="10">
        <f>Records!S94</f>
        <v>6</v>
      </c>
      <c r="M19" s="10">
        <f>Records!T94</f>
        <v>6</v>
      </c>
      <c r="N19" s="10">
        <f>Records!U94</f>
        <v>6</v>
      </c>
      <c r="O19" s="10">
        <f>Records!V94</f>
        <v>4</v>
      </c>
      <c r="P19" s="10">
        <f>Records!O94</f>
        <v>4</v>
      </c>
      <c r="Q19" s="10">
        <f>Records!P94</f>
        <v>4</v>
      </c>
      <c r="R19" s="10">
        <f>AVERAGE(Records!S94,Records!T94,Records!U94)</f>
        <v>6</v>
      </c>
      <c r="S19" s="10">
        <f>AVERAGE(Records!V94,Records!O94,Records!P94)</f>
        <v>4</v>
      </c>
      <c r="T19" s="10">
        <f>Records!AA94</f>
        <v>101.1</v>
      </c>
      <c r="U19" s="10">
        <f>Records!AP94</f>
        <v>5</v>
      </c>
      <c r="V19" s="10">
        <f>IF(Records!AA94&gt;150,1,0)</f>
        <v>0</v>
      </c>
    </row>
    <row r="20">
      <c r="A20" s="5" t="inlineStr">
        <is>
          <t>P016</t>
        </is>
      </c>
      <c r="B20" s="6" t="inlineStr">
        <is>
          <t>One-Euro</t>
        </is>
      </c>
      <c r="C20" s="6" t="inlineStr">
        <is>
          <t>blue_mouse</t>
        </is>
      </c>
      <c r="D20" s="6" t="n">
        <v>99</v>
      </c>
      <c r="E20" s="10">
        <f>Records!K99</f>
        <v>4</v>
      </c>
      <c r="F20" s="10">
        <f>Records!R99</f>
        <v>4</v>
      </c>
      <c r="G20" s="10">
        <f>Records!L99</f>
        <v>4</v>
      </c>
      <c r="H20" s="10">
        <f>Records!M99</f>
        <v>4</v>
      </c>
      <c r="I20" s="10">
        <f>Records!Q99</f>
        <v>4</v>
      </c>
      <c r="J20" s="10">
        <f>Records!W99</f>
        <v>6</v>
      </c>
      <c r="K20" s="10">
        <f>Records!X99</f>
        <v>4</v>
      </c>
      <c r="L20" s="10">
        <f>Records!S99</f>
        <v>4</v>
      </c>
      <c r="M20" s="10">
        <f>Records!T99</f>
        <v>4</v>
      </c>
      <c r="N20" s="10">
        <f>Records!U99</f>
        <v>4</v>
      </c>
      <c r="O20" s="10">
        <f>Records!V99</f>
        <v>6</v>
      </c>
      <c r="P20" s="10">
        <f>Records!O99</f>
        <v>5</v>
      </c>
      <c r="Q20" s="10">
        <f>Records!P99</f>
        <v>5</v>
      </c>
      <c r="R20" s="10">
        <f>AVERAGE(Records!S99,Records!T99,Records!U99)</f>
        <v>4</v>
      </c>
      <c r="S20" s="10">
        <f>AVERAGE(Records!V99,Records!O99,Records!P99)</f>
        <v>5.333333333333333</v>
      </c>
      <c r="T20" s="10">
        <f>Records!AA99</f>
        <v>174.1</v>
      </c>
      <c r="U20" s="10">
        <f>Records!AP99</f>
        <v>5</v>
      </c>
      <c r="V20" s="10">
        <f>IF(Records!AA99&gt;150,1,0)</f>
        <v>1</v>
      </c>
    </row>
    <row r="21">
      <c r="A21" s="5" t="inlineStr">
        <is>
          <t>P017</t>
        </is>
      </c>
      <c r="B21" s="6" t="inlineStr">
        <is>
          <t>One-Euro</t>
        </is>
      </c>
      <c r="C21" s="6" t="inlineStr">
        <is>
          <t>blue_mouse</t>
        </is>
      </c>
      <c r="D21" s="6" t="n">
        <v>103</v>
      </c>
      <c r="E21" s="10">
        <f>Records!K103</f>
        <v>4</v>
      </c>
      <c r="F21" s="10">
        <f>Records!R103</f>
        <v>5</v>
      </c>
      <c r="G21" s="10">
        <f>Records!L103</f>
        <v>4</v>
      </c>
      <c r="H21" s="10">
        <f>Records!M103</f>
        <v>4</v>
      </c>
      <c r="I21" s="10">
        <f>Records!Q103</f>
        <v>4</v>
      </c>
      <c r="J21" s="10">
        <f>Records!W103</f>
        <v>5</v>
      </c>
      <c r="K21" s="10">
        <f>Records!X103</f>
        <v>4</v>
      </c>
      <c r="L21" s="10">
        <f>Records!S103</f>
        <v>5</v>
      </c>
      <c r="M21" s="10">
        <f>Records!T103</f>
        <v>5</v>
      </c>
      <c r="N21" s="10">
        <f>Records!U103</f>
        <v>6</v>
      </c>
      <c r="O21" s="10">
        <f>Records!V103</f>
        <v>5</v>
      </c>
      <c r="P21" s="10">
        <f>Records!O103</f>
        <v>4</v>
      </c>
      <c r="Q21" s="10">
        <f>Records!P103</f>
        <v>4</v>
      </c>
      <c r="R21" s="10">
        <f>AVERAGE(Records!S103,Records!T103,Records!U103)</f>
        <v>5.333333333333333</v>
      </c>
      <c r="S21" s="10">
        <f>AVERAGE(Records!V103,Records!O103,Records!P103)</f>
        <v>4.333333333333333</v>
      </c>
      <c r="T21" s="10">
        <f>Records!AA103</f>
        <v>159.1</v>
      </c>
      <c r="U21" s="10">
        <f>Records!AP103</f>
        <v>6</v>
      </c>
      <c r="V21" s="10">
        <f>IF(Records!AA103&gt;150,1,0)</f>
        <v>1</v>
      </c>
    </row>
    <row r="22">
      <c r="A22" s="5" t="inlineStr">
        <is>
          <t>P018</t>
        </is>
      </c>
      <c r="B22" s="6" t="inlineStr">
        <is>
          <t>One-Euro</t>
        </is>
      </c>
      <c r="C22" s="6" t="inlineStr">
        <is>
          <t>blue_mouse</t>
        </is>
      </c>
      <c r="D22" s="6" t="n">
        <v>110</v>
      </c>
      <c r="E22" s="10">
        <f>Records!K110</f>
        <v>3</v>
      </c>
      <c r="F22" s="10">
        <f>Records!R110</f>
        <v>4</v>
      </c>
      <c r="G22" s="10">
        <f>Records!L110</f>
        <v>5</v>
      </c>
      <c r="H22" s="10">
        <f>Records!M110</f>
        <v>4</v>
      </c>
      <c r="I22" s="10">
        <f>Records!Q110</f>
        <v>4</v>
      </c>
      <c r="J22" s="10">
        <f>Records!W110</f>
        <v>4</v>
      </c>
      <c r="K22" s="10">
        <f>Records!X110</f>
        <v>4</v>
      </c>
      <c r="L22" s="10">
        <f>Records!S110</f>
        <v>5</v>
      </c>
      <c r="M22" s="10">
        <f>Records!T110</f>
        <v>4</v>
      </c>
      <c r="N22" s="10">
        <f>Records!U110</f>
        <v>6</v>
      </c>
      <c r="O22" s="10">
        <f>Records!V110</f>
        <v>5</v>
      </c>
      <c r="P22" s="10">
        <f>Records!O110</f>
        <v>5</v>
      </c>
      <c r="Q22" s="10">
        <f>Records!P110</f>
        <v>5</v>
      </c>
      <c r="R22" s="10">
        <f>AVERAGE(Records!S110,Records!T110,Records!U110)</f>
        <v>5</v>
      </c>
      <c r="S22" s="10">
        <f>AVERAGE(Records!V110,Records!O110,Records!P110)</f>
        <v>5</v>
      </c>
      <c r="T22" s="10">
        <f>Records!AA110</f>
        <v>123.3</v>
      </c>
      <c r="U22" s="10">
        <f>Records!AP110</f>
        <v>2</v>
      </c>
      <c r="V22" s="10">
        <f>IF(Records!AA110&gt;150,1,0)</f>
        <v>0</v>
      </c>
    </row>
    <row r="23">
      <c r="A23" s="5" t="inlineStr">
        <is>
          <t>P019</t>
        </is>
      </c>
      <c r="B23" s="6" t="inlineStr">
        <is>
          <t>One-Euro</t>
        </is>
      </c>
      <c r="C23" s="6" t="inlineStr">
        <is>
          <t>blue_mouse</t>
        </is>
      </c>
      <c r="D23" s="6" t="n">
        <v>115</v>
      </c>
      <c r="E23" s="10">
        <f>Records!K115</f>
        <v>3</v>
      </c>
      <c r="F23" s="10">
        <f>Records!R115</f>
        <v>4</v>
      </c>
      <c r="G23" s="10">
        <f>Records!L115</f>
        <v>3</v>
      </c>
      <c r="H23" s="10">
        <f>Records!M115</f>
        <v>4</v>
      </c>
      <c r="I23" s="10">
        <f>Records!Q115</f>
        <v>4</v>
      </c>
      <c r="J23" s="10">
        <f>Records!W115</f>
        <v>4</v>
      </c>
      <c r="K23" s="10">
        <f>Records!X115</f>
        <v>4</v>
      </c>
      <c r="L23" s="10">
        <f>Records!S115</f>
        <v>5</v>
      </c>
      <c r="M23" s="10">
        <f>Records!T115</f>
        <v>4</v>
      </c>
      <c r="N23" s="10">
        <f>Records!U115</f>
        <v>6</v>
      </c>
      <c r="O23" s="10">
        <f>Records!V115</f>
        <v>4</v>
      </c>
      <c r="P23" s="10">
        <f>Records!O115</f>
        <v>4</v>
      </c>
      <c r="Q23" s="10">
        <f>Records!P115</f>
        <v>4</v>
      </c>
      <c r="R23" s="10">
        <f>AVERAGE(Records!S115,Records!T115,Records!U115)</f>
        <v>5</v>
      </c>
      <c r="S23" s="10">
        <f>AVERAGE(Records!V115,Records!O115,Records!P115)</f>
        <v>4</v>
      </c>
      <c r="T23" s="10">
        <f>Records!AA115</f>
        <v>109.9</v>
      </c>
      <c r="U23" s="10">
        <f>Records!AP115</f>
        <v>5</v>
      </c>
      <c r="V23" s="10">
        <f>IF(Records!AA115&gt;150,1,0)</f>
        <v>0</v>
      </c>
    </row>
    <row r="24">
      <c r="A24" s="5" t="inlineStr">
        <is>
          <t>P020</t>
        </is>
      </c>
      <c r="B24" s="6" t="inlineStr">
        <is>
          <t>One-Euro</t>
        </is>
      </c>
      <c r="C24" s="6" t="inlineStr">
        <is>
          <t>blue_mouse</t>
        </is>
      </c>
      <c r="D24" s="6" t="n">
        <v>122</v>
      </c>
      <c r="E24" s="10">
        <f>Records!K122</f>
        <v>3</v>
      </c>
      <c r="F24" s="10">
        <f>Records!R122</f>
        <v>1</v>
      </c>
      <c r="G24" s="10">
        <f>Records!L122</f>
        <v>4</v>
      </c>
      <c r="H24" s="10">
        <f>Records!M122</f>
        <v>4</v>
      </c>
      <c r="I24" s="10">
        <f>Records!Q122</f>
        <v>1</v>
      </c>
      <c r="J24" s="10">
        <f>Records!W122</f>
        <v>1</v>
      </c>
      <c r="K24" s="10">
        <f>Records!X122</f>
        <v>3</v>
      </c>
      <c r="L24" s="10">
        <f>Records!S122</f>
        <v>4</v>
      </c>
      <c r="M24" s="10">
        <f>Records!T122</f>
        <v>3</v>
      </c>
      <c r="N24" s="10">
        <f>Records!U122</f>
        <v>6</v>
      </c>
      <c r="O24" s="10">
        <f>Records!V122</f>
        <v>2</v>
      </c>
      <c r="P24" s="10">
        <f>Records!O122</f>
        <v>4</v>
      </c>
      <c r="Q24" s="10">
        <f>Records!P122</f>
        <v>4</v>
      </c>
      <c r="R24" s="10">
        <f>AVERAGE(Records!S122,Records!T122,Records!U122)</f>
        <v>4.333333333333333</v>
      </c>
      <c r="S24" s="10">
        <f>AVERAGE(Records!V122,Records!O122,Records!P122)</f>
        <v>3.3333333333333335</v>
      </c>
      <c r="T24" s="10">
        <f>Records!AA122</f>
        <v>123.4</v>
      </c>
      <c r="U24" s="10">
        <f>Records!AP122</f>
        <v>4</v>
      </c>
      <c r="V24" s="10">
        <f>IF(Records!AA122&gt;150,1,0)</f>
        <v>0</v>
      </c>
    </row>
    <row r="25">
      <c r="A25" s="5" t="inlineStr">
        <is>
          <t>P021</t>
        </is>
      </c>
      <c r="B25" s="6" t="inlineStr">
        <is>
          <t>One-Euro</t>
        </is>
      </c>
      <c r="C25" s="6" t="inlineStr">
        <is>
          <t>blue_mouse</t>
        </is>
      </c>
      <c r="D25" s="6" t="n">
        <v>130</v>
      </c>
      <c r="E25" s="10">
        <f>Records!K130</f>
        <v>5</v>
      </c>
      <c r="F25" s="10">
        <f>Records!R130</f>
        <v>6</v>
      </c>
      <c r="G25" s="10">
        <f>Records!L130</f>
        <v>5</v>
      </c>
      <c r="H25" s="10">
        <f>Records!M130</f>
        <v>5</v>
      </c>
      <c r="I25" s="10">
        <f>Records!Q130</f>
        <v>5</v>
      </c>
      <c r="J25" s="10">
        <f>Records!W130</f>
        <v>6</v>
      </c>
      <c r="K25" s="10">
        <f>Records!X130</f>
        <v>4</v>
      </c>
      <c r="L25" s="10">
        <f>Records!S130</f>
        <v>6</v>
      </c>
      <c r="M25" s="10">
        <f>Records!T130</f>
        <v>6</v>
      </c>
      <c r="N25" s="10">
        <f>Records!U130</f>
        <v>6</v>
      </c>
      <c r="O25" s="10">
        <f>Records!V130</f>
        <v>6</v>
      </c>
      <c r="P25" s="10">
        <f>Records!O130</f>
        <v>7</v>
      </c>
      <c r="Q25" s="10">
        <f>Records!P130</f>
        <v>7</v>
      </c>
      <c r="R25" s="10">
        <f>AVERAGE(Records!S130,Records!T130,Records!U130)</f>
        <v>6</v>
      </c>
      <c r="S25" s="10">
        <f>AVERAGE(Records!V130,Records!O130,Records!P130)</f>
        <v>6.666666666666667</v>
      </c>
      <c r="T25" s="10">
        <f>Records!AA130</f>
        <v>174.4</v>
      </c>
      <c r="U25" s="10">
        <f>Records!AP130</f>
        <v>6</v>
      </c>
      <c r="V25" s="10">
        <f>IF(Records!AA130&gt;150,1,0)</f>
        <v>1</v>
      </c>
    </row>
    <row r="26">
      <c r="A26" s="5" t="inlineStr">
        <is>
          <t>P022</t>
        </is>
      </c>
      <c r="B26" s="6" t="inlineStr">
        <is>
          <t>One-Euro</t>
        </is>
      </c>
      <c r="C26" s="6" t="inlineStr">
        <is>
          <t>blue_mouse</t>
        </is>
      </c>
      <c r="D26" s="6" t="n">
        <v>135</v>
      </c>
      <c r="E26" s="10">
        <f>Records!K135</f>
        <v>4</v>
      </c>
      <c r="F26" s="10">
        <f>Records!R135</f>
        <v>4</v>
      </c>
      <c r="G26" s="10">
        <f>Records!L135</f>
        <v>5</v>
      </c>
      <c r="H26" s="10">
        <f>Records!M135</f>
        <v>5</v>
      </c>
      <c r="I26" s="10">
        <f>Records!Q135</f>
        <v>2</v>
      </c>
      <c r="J26" s="10">
        <f>Records!W135</f>
        <v>4</v>
      </c>
      <c r="K26" s="10">
        <f>Records!X135</f>
        <v>4</v>
      </c>
      <c r="L26" s="10">
        <f>Records!S135</f>
        <v>5</v>
      </c>
      <c r="M26" s="10">
        <f>Records!T135</f>
        <v>6</v>
      </c>
      <c r="N26" s="10">
        <f>Records!U135</f>
        <v>7</v>
      </c>
      <c r="O26" s="10">
        <f>Records!V135</f>
        <v>5</v>
      </c>
      <c r="P26" s="10">
        <f>Records!O135</f>
        <v>6</v>
      </c>
      <c r="Q26" s="10">
        <f>Records!P135</f>
        <v>4</v>
      </c>
      <c r="R26" s="10">
        <f>AVERAGE(Records!S135,Records!T135,Records!U135)</f>
        <v>6</v>
      </c>
      <c r="S26" s="10">
        <f>AVERAGE(Records!V135,Records!O135,Records!P135)</f>
        <v>5</v>
      </c>
      <c r="T26" s="10">
        <f>Records!AA135</f>
        <v>116.7</v>
      </c>
      <c r="U26" s="10">
        <f>Records!AP135</f>
        <v>2</v>
      </c>
      <c r="V26" s="10">
        <f>IF(Records!AA135&gt;150,1,0)</f>
        <v>0</v>
      </c>
    </row>
    <row r="27">
      <c r="A27" s="5" t="inlineStr">
        <is>
          <t>P023</t>
        </is>
      </c>
      <c r="B27" s="6" t="inlineStr">
        <is>
          <t>One-Euro</t>
        </is>
      </c>
      <c r="C27" s="6" t="inlineStr">
        <is>
          <t>blue_mouse</t>
        </is>
      </c>
      <c r="D27" s="6" t="n">
        <v>142</v>
      </c>
      <c r="E27" s="10">
        <f>Records!K142</f>
        <v>4</v>
      </c>
      <c r="F27" s="10">
        <f>Records!R142</f>
        <v>4</v>
      </c>
      <c r="G27" s="10">
        <f>Records!L142</f>
        <v>5</v>
      </c>
      <c r="H27" s="10">
        <f>Records!M142</f>
        <v>4</v>
      </c>
      <c r="I27" s="10">
        <f>Records!Q142</f>
        <v>4</v>
      </c>
      <c r="J27" s="10">
        <f>Records!W142</f>
        <v>5</v>
      </c>
      <c r="K27" s="10">
        <f>Records!X142</f>
        <v>5</v>
      </c>
      <c r="L27" s="10">
        <f>Records!S142</f>
        <v>5</v>
      </c>
      <c r="M27" s="10">
        <f>Records!T142</f>
        <v>5</v>
      </c>
      <c r="N27" s="10">
        <f>Records!U142</f>
        <v>6</v>
      </c>
      <c r="O27" s="10">
        <f>Records!V142</f>
        <v>5</v>
      </c>
      <c r="P27" s="10">
        <f>Records!O142</f>
        <v>4</v>
      </c>
      <c r="Q27" s="10">
        <f>Records!P142</f>
        <v>5</v>
      </c>
      <c r="R27" s="10">
        <f>AVERAGE(Records!S142,Records!T142,Records!U142)</f>
        <v>5.333333333333333</v>
      </c>
      <c r="S27" s="10">
        <f>AVERAGE(Records!V142,Records!O142,Records!P142)</f>
        <v>4.666666666666667</v>
      </c>
      <c r="T27" s="10">
        <f>Records!AA142</f>
        <v>134.3</v>
      </c>
      <c r="U27" s="10">
        <f>Records!AP142</f>
        <v>3</v>
      </c>
      <c r="V27" s="10">
        <f>IF(Records!AA142&gt;150,1,0)</f>
        <v>0</v>
      </c>
    </row>
    <row r="28">
      <c r="A28" s="5" t="inlineStr">
        <is>
          <t>P024</t>
        </is>
      </c>
      <c r="B28" s="6" t="inlineStr">
        <is>
          <t>One-Euro</t>
        </is>
      </c>
      <c r="C28" s="6" t="inlineStr">
        <is>
          <t>blue_mouse</t>
        </is>
      </c>
      <c r="D28" s="6" t="n">
        <v>147</v>
      </c>
      <c r="E28" s="10">
        <f>Records!K147</f>
        <v>4</v>
      </c>
      <c r="F28" s="10">
        <f>Records!R147</f>
        <v>5</v>
      </c>
      <c r="G28" s="10">
        <f>Records!L147</f>
        <v>4</v>
      </c>
      <c r="H28" s="10">
        <f>Records!M147</f>
        <v>4</v>
      </c>
      <c r="I28" s="10">
        <f>Records!Q147</f>
        <v>5</v>
      </c>
      <c r="J28" s="10">
        <f>Records!W147</f>
        <v>5</v>
      </c>
      <c r="K28" s="10">
        <f>Records!X147</f>
        <v>4</v>
      </c>
      <c r="L28" s="10">
        <f>Records!S147</f>
        <v>6</v>
      </c>
      <c r="M28" s="10">
        <f>Records!T147</f>
        <v>5</v>
      </c>
      <c r="N28" s="10">
        <f>Records!U147</f>
        <v>6</v>
      </c>
      <c r="O28" s="10">
        <f>Records!V147</f>
        <v>5</v>
      </c>
      <c r="P28" s="10">
        <f>Records!O147</f>
        <v>4</v>
      </c>
      <c r="Q28" s="10">
        <f>Records!P147</f>
        <v>5</v>
      </c>
      <c r="R28" s="10">
        <f>AVERAGE(Records!S147,Records!T147,Records!U147)</f>
        <v>5.666666666666667</v>
      </c>
      <c r="S28" s="10">
        <f>AVERAGE(Records!V147,Records!O147,Records!P147)</f>
        <v>4.666666666666667</v>
      </c>
      <c r="T28" s="10">
        <f>Records!AA147</f>
        <v>137.5</v>
      </c>
      <c r="U28" s="10">
        <f>Records!AP147</f>
        <v>4</v>
      </c>
      <c r="V28" s="10">
        <f>IF(Records!AA147&gt;150,1,0)</f>
        <v>0</v>
      </c>
    </row>
    <row r="29">
      <c r="A29" s="5" t="inlineStr">
        <is>
          <t>P001</t>
        </is>
      </c>
      <c r="B29" s="6" t="inlineStr">
        <is>
          <t>One-Euro</t>
        </is>
      </c>
      <c r="C29" s="6" t="inlineStr">
        <is>
          <t>stapler</t>
        </is>
      </c>
      <c r="D29" s="6" t="n">
        <v>7</v>
      </c>
      <c r="E29" s="10">
        <f>Records!K7</f>
        <v>4</v>
      </c>
      <c r="F29" s="10">
        <f>Records!R7</f>
        <v>5</v>
      </c>
      <c r="G29" s="10">
        <f>Records!L7</f>
        <v>5</v>
      </c>
      <c r="H29" s="10">
        <f>Records!M7</f>
        <v>5</v>
      </c>
      <c r="I29" s="10">
        <f>Records!Q7</f>
        <v>4</v>
      </c>
      <c r="J29" s="10">
        <f>Records!W7</f>
        <v>5</v>
      </c>
      <c r="K29" s="10">
        <f>Records!X7</f>
        <v>4</v>
      </c>
      <c r="L29" s="10">
        <f>Records!S7</f>
        <v>5</v>
      </c>
      <c r="M29" s="10">
        <f>Records!T7</f>
        <v>4</v>
      </c>
      <c r="N29" s="10">
        <f>Records!U7</f>
        <v>5</v>
      </c>
      <c r="O29" s="10">
        <f>Records!V7</f>
        <v>5</v>
      </c>
      <c r="P29" s="10">
        <f>Records!O7</f>
        <v>5</v>
      </c>
      <c r="Q29" s="10">
        <f>Records!P7</f>
        <v>4</v>
      </c>
      <c r="R29" s="10">
        <f>AVERAGE(Records!S7,Records!T7,Records!U7)</f>
        <v>4.666666666666667</v>
      </c>
      <c r="S29" s="10">
        <f>AVERAGE(Records!V7,Records!O7,Records!P7)</f>
        <v>4.666666666666667</v>
      </c>
      <c r="T29" s="10">
        <f>Records!AA7</f>
        <v>164.3</v>
      </c>
      <c r="U29" s="10">
        <f>Records!AP7</f>
        <v>3</v>
      </c>
      <c r="V29" s="10">
        <f>IF(Records!AA7&gt;150,1,0)</f>
        <v>1</v>
      </c>
    </row>
    <row r="30">
      <c r="A30" s="5" t="inlineStr">
        <is>
          <t>P002</t>
        </is>
      </c>
      <c r="B30" s="6" t="inlineStr">
        <is>
          <t>One-Euro</t>
        </is>
      </c>
      <c r="C30" s="6" t="inlineStr">
        <is>
          <t>stapler</t>
        </is>
      </c>
      <c r="D30" s="6" t="n">
        <v>14</v>
      </c>
      <c r="E30" s="10">
        <f>Records!K14</f>
        <v>5</v>
      </c>
      <c r="F30" s="10">
        <f>Records!R14</f>
        <v>4</v>
      </c>
      <c r="G30" s="10">
        <f>Records!L14</f>
        <v>6</v>
      </c>
      <c r="H30" s="10">
        <f>Records!M14</f>
        <v>5</v>
      </c>
      <c r="I30" s="10">
        <f>Records!Q14</f>
        <v>4</v>
      </c>
      <c r="J30" s="10">
        <f>Records!W14</f>
        <v>5</v>
      </c>
      <c r="K30" s="10">
        <f>Records!X14</f>
        <v>4</v>
      </c>
      <c r="L30" s="10">
        <f>Records!S14</f>
        <v>6</v>
      </c>
      <c r="M30" s="10">
        <f>Records!T14</f>
        <v>5</v>
      </c>
      <c r="N30" s="10">
        <f>Records!U14</f>
        <v>6</v>
      </c>
      <c r="O30" s="10">
        <f>Records!V14</f>
        <v>6</v>
      </c>
      <c r="P30" s="10">
        <f>Records!O14</f>
        <v>6</v>
      </c>
      <c r="Q30" s="10">
        <f>Records!P14</f>
        <v>5</v>
      </c>
      <c r="R30" s="10">
        <f>AVERAGE(Records!S14,Records!T14,Records!U14)</f>
        <v>5.666666666666667</v>
      </c>
      <c r="S30" s="10">
        <f>AVERAGE(Records!V14,Records!O14,Records!P14)</f>
        <v>5.666666666666667</v>
      </c>
      <c r="T30" s="10">
        <f>Records!AA14</f>
        <v>127.7</v>
      </c>
      <c r="U30" s="10">
        <f>Records!AP14</f>
        <v>2</v>
      </c>
      <c r="V30" s="10">
        <f>IF(Records!AA14&gt;150,1,0)</f>
        <v>0</v>
      </c>
    </row>
    <row r="31">
      <c r="A31" s="5" t="inlineStr">
        <is>
          <t>P003</t>
        </is>
      </c>
      <c r="B31" s="6" t="inlineStr">
        <is>
          <t>One-Euro</t>
        </is>
      </c>
      <c r="C31" s="6" t="inlineStr">
        <is>
          <t>stapler</t>
        </is>
      </c>
      <c r="D31" s="6" t="n">
        <v>19</v>
      </c>
      <c r="E31" s="10">
        <f>Records!K19</f>
        <v>4</v>
      </c>
      <c r="F31" s="10">
        <f>Records!R19</f>
        <v>5</v>
      </c>
      <c r="G31" s="10">
        <f>Records!L19</f>
        <v>4</v>
      </c>
      <c r="H31" s="10">
        <f>Records!M19</f>
        <v>4</v>
      </c>
      <c r="I31" s="10">
        <f>Records!Q19</f>
        <v>4</v>
      </c>
      <c r="J31" s="10">
        <f>Records!W19</f>
        <v>5</v>
      </c>
      <c r="K31" s="10">
        <f>Records!X19</f>
        <v>4</v>
      </c>
      <c r="L31" s="10">
        <f>Records!S19</f>
        <v>6</v>
      </c>
      <c r="M31" s="10">
        <f>Records!T19</f>
        <v>5</v>
      </c>
      <c r="N31" s="10">
        <f>Records!U19</f>
        <v>6</v>
      </c>
      <c r="O31" s="10">
        <f>Records!V19</f>
        <v>4</v>
      </c>
      <c r="P31" s="10">
        <f>Records!O19</f>
        <v>5</v>
      </c>
      <c r="Q31" s="10">
        <f>Records!P19</f>
        <v>4</v>
      </c>
      <c r="R31" s="10">
        <f>AVERAGE(Records!S19,Records!T19,Records!U19)</f>
        <v>5.666666666666667</v>
      </c>
      <c r="S31" s="10">
        <f>AVERAGE(Records!V19,Records!O19,Records!P19)</f>
        <v>4.333333333333333</v>
      </c>
      <c r="T31" s="10">
        <f>Records!AA19</f>
        <v>125.8</v>
      </c>
      <c r="U31" s="10">
        <f>Records!AP19</f>
        <v>3</v>
      </c>
      <c r="V31" s="10">
        <f>IF(Records!AA19&gt;150,1,0)</f>
        <v>0</v>
      </c>
    </row>
    <row r="32">
      <c r="A32" s="5" t="inlineStr">
        <is>
          <t>P004</t>
        </is>
      </c>
      <c r="B32" s="6" t="inlineStr">
        <is>
          <t>One-Euro</t>
        </is>
      </c>
      <c r="C32" s="6" t="inlineStr">
        <is>
          <t>stapler</t>
        </is>
      </c>
      <c r="D32" s="6" t="n">
        <v>26</v>
      </c>
      <c r="E32" s="10">
        <f>Records!K26</f>
        <v>6</v>
      </c>
      <c r="F32" s="10">
        <f>Records!R26</f>
        <v>5</v>
      </c>
      <c r="G32" s="10">
        <f>Records!L26</f>
        <v>4</v>
      </c>
      <c r="H32" s="10">
        <f>Records!M26</f>
        <v>5</v>
      </c>
      <c r="I32" s="10">
        <f>Records!Q26</f>
        <v>5</v>
      </c>
      <c r="J32" s="10">
        <f>Records!W26</f>
        <v>4</v>
      </c>
      <c r="K32" s="10">
        <f>Records!X26</f>
        <v>4</v>
      </c>
      <c r="L32" s="10">
        <f>Records!S26</f>
        <v>6</v>
      </c>
      <c r="M32" s="10">
        <f>Records!T26</f>
        <v>6</v>
      </c>
      <c r="N32" s="10">
        <f>Records!U26</f>
        <v>5</v>
      </c>
      <c r="O32" s="10">
        <f>Records!V26</f>
        <v>6</v>
      </c>
      <c r="P32" s="10">
        <f>Records!O26</f>
        <v>6</v>
      </c>
      <c r="Q32" s="10">
        <f>Records!P26</f>
        <v>4</v>
      </c>
      <c r="R32" s="10">
        <f>AVERAGE(Records!S26,Records!T26,Records!U26)</f>
        <v>5.666666666666667</v>
      </c>
      <c r="S32" s="10">
        <f>AVERAGE(Records!V26,Records!O26,Records!P26)</f>
        <v>5.333333333333333</v>
      </c>
      <c r="T32" s="10">
        <f>Records!AA26</f>
        <v>136.3</v>
      </c>
      <c r="U32" s="10">
        <f>Records!AP26</f>
        <v>2</v>
      </c>
      <c r="V32" s="10">
        <f>IF(Records!AA26&gt;150,1,0)</f>
        <v>0</v>
      </c>
    </row>
    <row r="33">
      <c r="A33" s="5" t="inlineStr">
        <is>
          <t>P005</t>
        </is>
      </c>
      <c r="B33" s="6" t="inlineStr">
        <is>
          <t>One-Euro</t>
        </is>
      </c>
      <c r="C33" s="6" t="inlineStr">
        <is>
          <t>stapler</t>
        </is>
      </c>
      <c r="D33" s="6" t="n">
        <v>34</v>
      </c>
      <c r="E33" s="10">
        <f>Records!K34</f>
        <v>5</v>
      </c>
      <c r="F33" s="10">
        <f>Records!R34</f>
        <v>6</v>
      </c>
      <c r="G33" s="10">
        <f>Records!L34</f>
        <v>6</v>
      </c>
      <c r="H33" s="10">
        <f>Records!M34</f>
        <v>5</v>
      </c>
      <c r="I33" s="10">
        <f>Records!Q34</f>
        <v>5</v>
      </c>
      <c r="J33" s="10">
        <f>Records!W34</f>
        <v>5</v>
      </c>
      <c r="K33" s="10">
        <f>Records!X34</f>
        <v>6</v>
      </c>
      <c r="L33" s="10">
        <f>Records!S34</f>
        <v>7</v>
      </c>
      <c r="M33" s="10">
        <f>Records!T34</f>
        <v>5</v>
      </c>
      <c r="N33" s="10">
        <f>Records!U34</f>
        <v>7</v>
      </c>
      <c r="O33" s="10">
        <f>Records!V34</f>
        <v>7</v>
      </c>
      <c r="P33" s="10">
        <f>Records!O34</f>
        <v>6</v>
      </c>
      <c r="Q33" s="10">
        <f>Records!P34</f>
        <v>6</v>
      </c>
      <c r="R33" s="10">
        <f>AVERAGE(Records!S34,Records!T34,Records!U34)</f>
        <v>6.333333333333333</v>
      </c>
      <c r="S33" s="10">
        <f>AVERAGE(Records!V34,Records!O34,Records!P34)</f>
        <v>6.333333333333333</v>
      </c>
      <c r="T33" s="10">
        <f>Records!AA34</f>
        <v>121.4</v>
      </c>
      <c r="U33" s="10">
        <f>Records!AP34</f>
        <v>2</v>
      </c>
      <c r="V33" s="10">
        <f>IF(Records!AA34&gt;150,1,0)</f>
        <v>0</v>
      </c>
    </row>
    <row r="34">
      <c r="A34" s="5" t="inlineStr">
        <is>
          <t>P006</t>
        </is>
      </c>
      <c r="B34" s="6" t="inlineStr">
        <is>
          <t>One-Euro</t>
        </is>
      </c>
      <c r="C34" s="6" t="inlineStr">
        <is>
          <t>stapler</t>
        </is>
      </c>
      <c r="D34" s="6" t="n">
        <v>39</v>
      </c>
      <c r="E34" s="10">
        <f>Records!K39</f>
        <v>4</v>
      </c>
      <c r="F34" s="10">
        <f>Records!R39</f>
        <v>4</v>
      </c>
      <c r="G34" s="10">
        <f>Records!L39</f>
        <v>5</v>
      </c>
      <c r="H34" s="10">
        <f>Records!M39</f>
        <v>4</v>
      </c>
      <c r="I34" s="10">
        <f>Records!Q39</f>
        <v>5</v>
      </c>
      <c r="J34" s="10">
        <f>Records!W39</f>
        <v>4</v>
      </c>
      <c r="K34" s="10">
        <f>Records!X39</f>
        <v>4</v>
      </c>
      <c r="L34" s="10">
        <f>Records!S39</f>
        <v>5</v>
      </c>
      <c r="M34" s="10">
        <f>Records!T39</f>
        <v>4</v>
      </c>
      <c r="N34" s="10">
        <f>Records!U39</f>
        <v>4</v>
      </c>
      <c r="O34" s="10">
        <f>Records!V39</f>
        <v>6</v>
      </c>
      <c r="P34" s="10">
        <f>Records!O39</f>
        <v>3</v>
      </c>
      <c r="Q34" s="10">
        <f>Records!P39</f>
        <v>5</v>
      </c>
      <c r="R34" s="10">
        <f>AVERAGE(Records!S39,Records!T39,Records!U39)</f>
        <v>4.333333333333333</v>
      </c>
      <c r="S34" s="10">
        <f>AVERAGE(Records!V39,Records!O39,Records!P39)</f>
        <v>4.666666666666667</v>
      </c>
      <c r="T34" s="10">
        <f>Records!AA39</f>
        <v>110</v>
      </c>
      <c r="U34" s="10">
        <f>Records!AP39</f>
        <v>2</v>
      </c>
      <c r="V34" s="10">
        <f>IF(Records!AA39&gt;150,1,0)</f>
        <v>0</v>
      </c>
    </row>
    <row r="35">
      <c r="A35" s="5" t="inlineStr">
        <is>
          <t>P007</t>
        </is>
      </c>
      <c r="B35" s="6" t="inlineStr">
        <is>
          <t>One-Euro</t>
        </is>
      </c>
      <c r="C35" s="6" t="inlineStr">
        <is>
          <t>stapler</t>
        </is>
      </c>
      <c r="D35" s="6" t="n">
        <v>46</v>
      </c>
      <c r="E35" s="10">
        <f>Records!K46</f>
        <v>2</v>
      </c>
      <c r="F35" s="10">
        <f>Records!R46</f>
        <v>6</v>
      </c>
      <c r="G35" s="10">
        <f>Records!L46</f>
        <v>7</v>
      </c>
      <c r="H35" s="10">
        <f>Records!M46</f>
        <v>7</v>
      </c>
      <c r="I35" s="10">
        <f>Records!Q46</f>
        <v>6</v>
      </c>
      <c r="J35" s="10">
        <f>Records!W46</f>
        <v>6</v>
      </c>
      <c r="K35" s="10">
        <f>Records!X46</f>
        <v>6</v>
      </c>
      <c r="L35" s="10">
        <f>Records!S46</f>
        <v>6</v>
      </c>
      <c r="M35" s="10">
        <f>Records!T46</f>
        <v>6</v>
      </c>
      <c r="N35" s="10">
        <f>Records!U46</f>
        <v>4</v>
      </c>
      <c r="O35" s="10">
        <f>Records!V46</f>
        <v>6</v>
      </c>
      <c r="P35" s="10">
        <f>Records!O46</f>
        <v>4</v>
      </c>
      <c r="Q35" s="10">
        <f>Records!P46</f>
        <v>6</v>
      </c>
      <c r="R35" s="10">
        <f>AVERAGE(Records!S46,Records!T46,Records!U46)</f>
        <v>5.333333333333333</v>
      </c>
      <c r="S35" s="10">
        <f>AVERAGE(Records!V46,Records!O46,Records!P46)</f>
        <v>5.333333333333333</v>
      </c>
      <c r="T35" s="10">
        <f>Records!AA46</f>
        <v>135.5</v>
      </c>
      <c r="U35" s="10">
        <f>Records!AP46</f>
        <v>5</v>
      </c>
      <c r="V35" s="10">
        <f>IF(Records!AA46&gt;150,1,0)</f>
        <v>0</v>
      </c>
    </row>
    <row r="36">
      <c r="A36" s="5" t="inlineStr">
        <is>
          <t>P008</t>
        </is>
      </c>
      <c r="B36" s="6" t="inlineStr">
        <is>
          <t>One-Euro</t>
        </is>
      </c>
      <c r="C36" s="6" t="inlineStr">
        <is>
          <t>stapler</t>
        </is>
      </c>
      <c r="D36" s="6" t="n">
        <v>51</v>
      </c>
      <c r="E36" s="10">
        <f>Records!K51</f>
        <v>6</v>
      </c>
      <c r="F36" s="10">
        <f>Records!R51</f>
        <v>6</v>
      </c>
      <c r="G36" s="10">
        <f>Records!L51</f>
        <v>6</v>
      </c>
      <c r="H36" s="10">
        <f>Records!M51</f>
        <v>6</v>
      </c>
      <c r="I36" s="10">
        <f>Records!Q51</f>
        <v>6</v>
      </c>
      <c r="J36" s="10">
        <f>Records!W51</f>
        <v>4</v>
      </c>
      <c r="K36" s="10">
        <f>Records!X51</f>
        <v>6</v>
      </c>
      <c r="L36" s="10">
        <f>Records!S51</f>
        <v>4</v>
      </c>
      <c r="M36" s="10">
        <f>Records!T51</f>
        <v>5</v>
      </c>
      <c r="N36" s="10">
        <f>Records!U51</f>
        <v>7</v>
      </c>
      <c r="O36" s="10">
        <f>Records!V51</f>
        <v>4</v>
      </c>
      <c r="P36" s="10">
        <f>Records!O51</f>
        <v>5</v>
      </c>
      <c r="Q36" s="10">
        <f>Records!P51</f>
        <v>4</v>
      </c>
      <c r="R36" s="10">
        <f>AVERAGE(Records!S51,Records!T51,Records!U51)</f>
        <v>5.333333333333333</v>
      </c>
      <c r="S36" s="10">
        <f>AVERAGE(Records!V51,Records!O51,Records!P51)</f>
        <v>4.333333333333333</v>
      </c>
      <c r="T36" s="10">
        <f>Records!AA51</f>
        <v>117</v>
      </c>
      <c r="U36" s="10">
        <f>Records!AP51</f>
        <v>3</v>
      </c>
      <c r="V36" s="10">
        <f>IF(Records!AA51&gt;150,1,0)</f>
        <v>0</v>
      </c>
    </row>
    <row r="37">
      <c r="A37" s="5" t="inlineStr">
        <is>
          <t>P009</t>
        </is>
      </c>
      <c r="B37" s="6" t="inlineStr">
        <is>
          <t>One-Euro</t>
        </is>
      </c>
      <c r="C37" s="6" t="inlineStr">
        <is>
          <t>stapler</t>
        </is>
      </c>
      <c r="D37" s="6" t="n">
        <v>54</v>
      </c>
      <c r="E37" s="10">
        <f>Records!K54</f>
        <v>4</v>
      </c>
      <c r="F37" s="10">
        <f>Records!R54</f>
        <v>4</v>
      </c>
      <c r="G37" s="10">
        <f>Records!L54</f>
        <v>5</v>
      </c>
      <c r="H37" s="10">
        <f>Records!M54</f>
        <v>5</v>
      </c>
      <c r="I37" s="10">
        <f>Records!Q54</f>
        <v>5</v>
      </c>
      <c r="J37" s="10">
        <f>Records!W54</f>
        <v>5</v>
      </c>
      <c r="K37" s="10">
        <f>Records!X54</f>
        <v>6</v>
      </c>
      <c r="L37" s="10">
        <f>Records!S54</f>
        <v>5</v>
      </c>
      <c r="M37" s="10">
        <f>Records!T54</f>
        <v>6</v>
      </c>
      <c r="N37" s="10">
        <f>Records!U54</f>
        <v>7</v>
      </c>
      <c r="O37" s="10">
        <f>Records!V54</f>
        <v>6</v>
      </c>
      <c r="P37" s="10">
        <f>Records!O54</f>
        <v>6</v>
      </c>
      <c r="Q37" s="10">
        <f>Records!P54</f>
        <v>5</v>
      </c>
      <c r="R37" s="10">
        <f>AVERAGE(Records!S54,Records!T54,Records!U54)</f>
        <v>6</v>
      </c>
      <c r="S37" s="10">
        <f>AVERAGE(Records!V54,Records!O54,Records!P54)</f>
        <v>5.666666666666667</v>
      </c>
      <c r="T37" s="10">
        <f>Records!AA54</f>
        <v>116.4</v>
      </c>
      <c r="U37" s="10">
        <f>Records!AP54</f>
        <v>2</v>
      </c>
      <c r="V37" s="10">
        <f>IF(Records!AA54&gt;150,1,0)</f>
        <v>0</v>
      </c>
    </row>
    <row r="38">
      <c r="A38" s="5" t="inlineStr">
        <is>
          <t>P010</t>
        </is>
      </c>
      <c r="B38" s="6" t="inlineStr">
        <is>
          <t>One-Euro</t>
        </is>
      </c>
      <c r="C38" s="6" t="inlineStr">
        <is>
          <t>stapler</t>
        </is>
      </c>
      <c r="D38" s="6" t="n">
        <v>59</v>
      </c>
      <c r="E38" s="10">
        <f>Records!K59</f>
        <v>5</v>
      </c>
      <c r="F38" s="10">
        <f>Records!R59</f>
        <v>5</v>
      </c>
      <c r="G38" s="10">
        <f>Records!L59</f>
        <v>6</v>
      </c>
      <c r="H38" s="10">
        <f>Records!M59</f>
        <v>5</v>
      </c>
      <c r="I38" s="10">
        <f>Records!Q59</f>
        <v>5</v>
      </c>
      <c r="J38" s="10">
        <f>Records!W59</f>
        <v>5</v>
      </c>
      <c r="K38" s="10">
        <f>Records!X59</f>
        <v>5</v>
      </c>
      <c r="L38" s="10">
        <f>Records!S59</f>
        <v>5</v>
      </c>
      <c r="M38" s="10">
        <f>Records!T59</f>
        <v>5</v>
      </c>
      <c r="N38" s="10">
        <f>Records!U59</f>
        <v>6</v>
      </c>
      <c r="O38" s="10">
        <f>Records!V59</f>
        <v>6</v>
      </c>
      <c r="P38" s="10">
        <f>Records!O59</f>
        <v>6</v>
      </c>
      <c r="Q38" s="10">
        <f>Records!P59</f>
        <v>5</v>
      </c>
      <c r="R38" s="10">
        <f>AVERAGE(Records!S59,Records!T59,Records!U59)</f>
        <v>5.333333333333333</v>
      </c>
      <c r="S38" s="10">
        <f>AVERAGE(Records!V59,Records!O59,Records!P59)</f>
        <v>5.666666666666667</v>
      </c>
      <c r="T38" s="10">
        <f>Records!AA59</f>
        <v>189.4</v>
      </c>
      <c r="U38" s="10">
        <f>Records!AP59</f>
        <v>5</v>
      </c>
      <c r="V38" s="10">
        <f>IF(Records!AA59&gt;150,1,0)</f>
        <v>1</v>
      </c>
    </row>
    <row r="39">
      <c r="A39" s="5" t="inlineStr">
        <is>
          <t>P011</t>
        </is>
      </c>
      <c r="B39" s="6" t="inlineStr">
        <is>
          <t>One-Euro</t>
        </is>
      </c>
      <c r="C39" s="6" t="inlineStr">
        <is>
          <t>stapler</t>
        </is>
      </c>
      <c r="D39" s="6" t="n">
        <v>66</v>
      </c>
      <c r="E39" s="10">
        <f>Records!K66</f>
        <v>6</v>
      </c>
      <c r="F39" s="10">
        <f>Records!R66</f>
        <v>5</v>
      </c>
      <c r="G39" s="10">
        <f>Records!L66</f>
        <v>5</v>
      </c>
      <c r="H39" s="10">
        <f>Records!M66</f>
        <v>4</v>
      </c>
      <c r="I39" s="10">
        <f>Records!Q66</f>
        <v>6</v>
      </c>
      <c r="J39" s="10">
        <f>Records!W66</f>
        <v>6</v>
      </c>
      <c r="K39" s="10">
        <f>Records!X66</f>
        <v>6</v>
      </c>
      <c r="L39" s="10">
        <f>Records!S66</f>
        <v>6</v>
      </c>
      <c r="M39" s="10">
        <f>Records!T66</f>
        <v>6</v>
      </c>
      <c r="N39" s="10">
        <f>Records!U66</f>
        <v>7</v>
      </c>
      <c r="O39" s="10">
        <f>Records!V66</f>
        <v>6</v>
      </c>
      <c r="P39" s="10">
        <f>Records!O66</f>
        <v>6</v>
      </c>
      <c r="Q39" s="10">
        <f>Records!P66</f>
        <v>6</v>
      </c>
      <c r="R39" s="10">
        <f>AVERAGE(Records!S66,Records!T66,Records!U66)</f>
        <v>6.333333333333333</v>
      </c>
      <c r="S39" s="10">
        <f>AVERAGE(Records!V66,Records!O66,Records!P66)</f>
        <v>6</v>
      </c>
      <c r="T39" s="10">
        <f>Records!AA66</f>
        <v>139.7</v>
      </c>
      <c r="U39" s="10">
        <f>Records!AP66</f>
        <v>3</v>
      </c>
      <c r="V39" s="10">
        <f>IF(Records!AA66&gt;150,1,0)</f>
        <v>0</v>
      </c>
    </row>
    <row r="40">
      <c r="A40" s="5" t="inlineStr">
        <is>
          <t>P012</t>
        </is>
      </c>
      <c r="B40" s="6" t="inlineStr">
        <is>
          <t>One-Euro</t>
        </is>
      </c>
      <c r="C40" s="6" t="inlineStr">
        <is>
          <t>stapler</t>
        </is>
      </c>
      <c r="D40" s="6" t="n">
        <v>71</v>
      </c>
      <c r="E40" s="10">
        <f>Records!K71</f>
        <v>4</v>
      </c>
      <c r="F40" s="10">
        <f>Records!R71</f>
        <v>5</v>
      </c>
      <c r="G40" s="10">
        <f>Records!L71</f>
        <v>6</v>
      </c>
      <c r="H40" s="10">
        <f>Records!M71</f>
        <v>5</v>
      </c>
      <c r="I40" s="10">
        <f>Records!Q71</f>
        <v>4</v>
      </c>
      <c r="J40" s="10">
        <f>Records!W71</f>
        <v>4</v>
      </c>
      <c r="K40" s="10">
        <f>Records!X71</f>
        <v>5</v>
      </c>
      <c r="L40" s="10">
        <f>Records!S71</f>
        <v>6</v>
      </c>
      <c r="M40" s="10">
        <f>Records!T71</f>
        <v>6</v>
      </c>
      <c r="N40" s="10">
        <f>Records!U71</f>
        <v>6</v>
      </c>
      <c r="O40" s="10">
        <f>Records!V71</f>
        <v>6</v>
      </c>
      <c r="P40" s="10">
        <f>Records!O71</f>
        <v>6</v>
      </c>
      <c r="Q40" s="10">
        <f>Records!P71</f>
        <v>5</v>
      </c>
      <c r="R40" s="10">
        <f>AVERAGE(Records!S71,Records!T71,Records!U71)</f>
        <v>6</v>
      </c>
      <c r="S40" s="10">
        <f>AVERAGE(Records!V71,Records!O71,Records!P71)</f>
        <v>5.666666666666667</v>
      </c>
      <c r="T40" s="10">
        <f>Records!AA71</f>
        <v>115.9</v>
      </c>
      <c r="U40" s="10">
        <f>Records!AP71</f>
        <v>4</v>
      </c>
      <c r="V40" s="10">
        <f>IF(Records!AA71&gt;150,1,0)</f>
        <v>0</v>
      </c>
    </row>
    <row r="41">
      <c r="A41" s="5" t="inlineStr">
        <is>
          <t>P013</t>
        </is>
      </c>
      <c r="B41" s="6" t="inlineStr">
        <is>
          <t>One-Euro</t>
        </is>
      </c>
      <c r="C41" s="6" t="inlineStr">
        <is>
          <t>stapler</t>
        </is>
      </c>
      <c r="D41" s="6" t="n">
        <v>78</v>
      </c>
      <c r="E41" s="10">
        <f>Records!K78</f>
        <v>6</v>
      </c>
      <c r="F41" s="10">
        <f>Records!R78</f>
        <v>5</v>
      </c>
      <c r="G41" s="10">
        <f>Records!L78</f>
        <v>5</v>
      </c>
      <c r="H41" s="10">
        <f>Records!M78</f>
        <v>6</v>
      </c>
      <c r="I41" s="10">
        <f>Records!Q78</f>
        <v>4</v>
      </c>
      <c r="J41" s="10">
        <f>Records!W78</f>
        <v>4</v>
      </c>
      <c r="K41" s="10">
        <f>Records!X78</f>
        <v>5</v>
      </c>
      <c r="L41" s="10">
        <f>Records!S78</f>
        <v>6</v>
      </c>
      <c r="M41" s="10">
        <f>Records!T78</f>
        <v>7</v>
      </c>
      <c r="N41" s="10">
        <f>Records!U78</f>
        <v>7</v>
      </c>
      <c r="O41" s="10">
        <f>Records!V78</f>
        <v>6</v>
      </c>
      <c r="P41" s="10">
        <f>Records!O78</f>
        <v>6</v>
      </c>
      <c r="Q41" s="10">
        <f>Records!P78</f>
        <v>5</v>
      </c>
      <c r="R41" s="10">
        <f>AVERAGE(Records!S78,Records!T78,Records!U78)</f>
        <v>6.666666666666667</v>
      </c>
      <c r="S41" s="10">
        <f>AVERAGE(Records!V78,Records!O78,Records!P78)</f>
        <v>5.666666666666667</v>
      </c>
      <c r="T41" s="10">
        <f>Records!AA78</f>
        <v>144.2</v>
      </c>
      <c r="U41" s="10">
        <f>Records!AP78</f>
        <v>2</v>
      </c>
      <c r="V41" s="10">
        <f>IF(Records!AA78&gt;150,1,0)</f>
        <v>0</v>
      </c>
    </row>
    <row r="42">
      <c r="A42" s="5" t="inlineStr">
        <is>
          <t>P014</t>
        </is>
      </c>
      <c r="B42" s="6" t="inlineStr">
        <is>
          <t>One-Euro</t>
        </is>
      </c>
      <c r="C42" s="6" t="inlineStr">
        <is>
          <t>stapler</t>
        </is>
      </c>
      <c r="D42" s="6" t="n">
        <v>83</v>
      </c>
      <c r="E42" s="10">
        <f>Records!K83</f>
        <v>5</v>
      </c>
      <c r="F42" s="10">
        <f>Records!R83</f>
        <v>4</v>
      </c>
      <c r="G42" s="10">
        <f>Records!L83</f>
        <v>5</v>
      </c>
      <c r="H42" s="10">
        <f>Records!M83</f>
        <v>4</v>
      </c>
      <c r="I42" s="10">
        <f>Records!Q83</f>
        <v>1</v>
      </c>
      <c r="J42" s="10">
        <f>Records!W83</f>
        <v>1</v>
      </c>
      <c r="K42" s="10">
        <f>Records!X83</f>
        <v>5</v>
      </c>
      <c r="L42" s="10">
        <f>Records!S83</f>
        <v>6</v>
      </c>
      <c r="M42" s="10">
        <f>Records!T83</f>
        <v>5</v>
      </c>
      <c r="N42" s="10">
        <f>Records!U83</f>
        <v>7</v>
      </c>
      <c r="O42" s="10">
        <f>Records!V83</f>
        <v>5</v>
      </c>
      <c r="P42" s="10">
        <f>Records!O83</f>
        <v>5</v>
      </c>
      <c r="Q42" s="10">
        <f>Records!P83</f>
        <v>4</v>
      </c>
      <c r="R42" s="10">
        <f>AVERAGE(Records!S83,Records!T83,Records!U83)</f>
        <v>6</v>
      </c>
      <c r="S42" s="10">
        <f>AVERAGE(Records!V83,Records!O83,Records!P83)</f>
        <v>4.666666666666667</v>
      </c>
      <c r="T42" s="10">
        <f>Records!AA83</f>
        <v>130.4</v>
      </c>
      <c r="U42" s="10">
        <f>Records!AP83</f>
        <v>2</v>
      </c>
      <c r="V42" s="10">
        <f>IF(Records!AA83&gt;150,1,0)</f>
        <v>0</v>
      </c>
    </row>
    <row r="43">
      <c r="A43" s="5" t="inlineStr">
        <is>
          <t>P015</t>
        </is>
      </c>
      <c r="B43" s="6" t="inlineStr">
        <is>
          <t>One-Euro</t>
        </is>
      </c>
      <c r="C43" s="6" t="inlineStr">
        <is>
          <t>stapler</t>
        </is>
      </c>
      <c r="D43" s="6" t="n">
        <v>90</v>
      </c>
      <c r="E43" s="10">
        <f>Records!K90</f>
        <v>5</v>
      </c>
      <c r="F43" s="10">
        <f>Records!R90</f>
        <v>5</v>
      </c>
      <c r="G43" s="10">
        <f>Records!L90</f>
        <v>6</v>
      </c>
      <c r="H43" s="10">
        <f>Records!M90</f>
        <v>5</v>
      </c>
      <c r="I43" s="10">
        <f>Records!Q90</f>
        <v>5</v>
      </c>
      <c r="J43" s="10">
        <f>Records!W90</f>
        <v>4</v>
      </c>
      <c r="K43" s="10">
        <f>Records!X90</f>
        <v>6</v>
      </c>
      <c r="L43" s="10">
        <f>Records!S90</f>
        <v>6</v>
      </c>
      <c r="M43" s="10">
        <f>Records!T90</f>
        <v>6</v>
      </c>
      <c r="N43" s="10">
        <f>Records!U90</f>
        <v>7</v>
      </c>
      <c r="O43" s="10">
        <f>Records!V90</f>
        <v>5</v>
      </c>
      <c r="P43" s="10">
        <f>Records!O90</f>
        <v>5</v>
      </c>
      <c r="Q43" s="10">
        <f>Records!P90</f>
        <v>5</v>
      </c>
      <c r="R43" s="10">
        <f>AVERAGE(Records!S90,Records!T90,Records!U90)</f>
        <v>6.333333333333333</v>
      </c>
      <c r="S43" s="10">
        <f>AVERAGE(Records!V90,Records!O90,Records!P90)</f>
        <v>5</v>
      </c>
      <c r="T43" s="10">
        <f>Records!AA90</f>
        <v>116.8</v>
      </c>
      <c r="U43" s="10">
        <f>Records!AP90</f>
        <v>5</v>
      </c>
      <c r="V43" s="10">
        <f>IF(Records!AA90&gt;150,1,0)</f>
        <v>0</v>
      </c>
    </row>
    <row r="44">
      <c r="A44" s="5" t="inlineStr">
        <is>
          <t>P016</t>
        </is>
      </c>
      <c r="B44" s="6" t="inlineStr">
        <is>
          <t>One-Euro</t>
        </is>
      </c>
      <c r="C44" s="6" t="inlineStr">
        <is>
          <t>stapler</t>
        </is>
      </c>
      <c r="D44" s="6" t="n">
        <v>95</v>
      </c>
      <c r="E44" s="10">
        <f>Records!K95</f>
        <v>5</v>
      </c>
      <c r="F44" s="10">
        <f>Records!R95</f>
        <v>5</v>
      </c>
      <c r="G44" s="10">
        <f>Records!L95</f>
        <v>5</v>
      </c>
      <c r="H44" s="10">
        <f>Records!M95</f>
        <v>5</v>
      </c>
      <c r="I44" s="10">
        <f>Records!Q95</f>
        <v>4</v>
      </c>
      <c r="J44" s="10">
        <f>Records!W95</f>
        <v>5</v>
      </c>
      <c r="K44" s="10">
        <f>Records!X95</f>
        <v>5</v>
      </c>
      <c r="L44" s="10">
        <f>Records!S95</f>
        <v>6</v>
      </c>
      <c r="M44" s="10">
        <f>Records!T95</f>
        <v>6</v>
      </c>
      <c r="N44" s="10">
        <f>Records!U95</f>
        <v>6</v>
      </c>
      <c r="O44" s="10">
        <f>Records!V95</f>
        <v>6</v>
      </c>
      <c r="P44" s="10">
        <f>Records!O95</f>
        <v>6</v>
      </c>
      <c r="Q44" s="10">
        <f>Records!P95</f>
        <v>5</v>
      </c>
      <c r="R44" s="10">
        <f>AVERAGE(Records!S95,Records!T95,Records!U95)</f>
        <v>6</v>
      </c>
      <c r="S44" s="10">
        <f>AVERAGE(Records!V95,Records!O95,Records!P95)</f>
        <v>5.666666666666667</v>
      </c>
      <c r="T44" s="10">
        <f>Records!AA95</f>
        <v>206.3</v>
      </c>
      <c r="U44" s="10">
        <f>Records!AP95</f>
        <v>4</v>
      </c>
      <c r="V44" s="10">
        <f>IF(Records!AA95&gt;150,1,0)</f>
        <v>1</v>
      </c>
    </row>
    <row r="45">
      <c r="A45" s="5" t="inlineStr">
        <is>
          <t>P017</t>
        </is>
      </c>
      <c r="B45" s="6" t="inlineStr">
        <is>
          <t>One-Euro</t>
        </is>
      </c>
      <c r="C45" s="6" t="inlineStr">
        <is>
          <t>stapler</t>
        </is>
      </c>
      <c r="D45" s="6" t="n">
        <v>106</v>
      </c>
      <c r="E45" s="10">
        <f>Records!K106</f>
        <v>4</v>
      </c>
      <c r="F45" s="10">
        <f>Records!R106</f>
        <v>5</v>
      </c>
      <c r="G45" s="10">
        <f>Records!L106</f>
        <v>5</v>
      </c>
      <c r="H45" s="10">
        <f>Records!M106</f>
        <v>5</v>
      </c>
      <c r="I45" s="10">
        <f>Records!Q106</f>
        <v>4</v>
      </c>
      <c r="J45" s="10">
        <f>Records!W106</f>
        <v>6</v>
      </c>
      <c r="K45" s="10">
        <f>Records!X106</f>
        <v>5</v>
      </c>
      <c r="L45" s="10">
        <f>Records!S106</f>
        <v>5</v>
      </c>
      <c r="M45" s="10">
        <f>Records!T106</f>
        <v>6</v>
      </c>
      <c r="N45" s="10">
        <f>Records!U106</f>
        <v>6</v>
      </c>
      <c r="O45" s="10">
        <f>Records!V106</f>
        <v>6</v>
      </c>
      <c r="P45" s="10">
        <f>Records!O106</f>
        <v>6</v>
      </c>
      <c r="Q45" s="10">
        <f>Records!P106</f>
        <v>5</v>
      </c>
      <c r="R45" s="10">
        <f>AVERAGE(Records!S106,Records!T106,Records!U106)</f>
        <v>5.666666666666667</v>
      </c>
      <c r="S45" s="10">
        <f>AVERAGE(Records!V106,Records!O106,Records!P106)</f>
        <v>5.666666666666667</v>
      </c>
      <c r="T45" s="10">
        <f>Records!AA106</f>
        <v>152.2</v>
      </c>
      <c r="U45" s="10">
        <f>Records!AP106</f>
        <v>4</v>
      </c>
      <c r="V45" s="10">
        <f>IF(Records!AA106&gt;150,1,0)</f>
        <v>1</v>
      </c>
    </row>
    <row r="46">
      <c r="A46" s="5" t="inlineStr">
        <is>
          <t>P018</t>
        </is>
      </c>
      <c r="B46" s="6" t="inlineStr">
        <is>
          <t>One-Euro</t>
        </is>
      </c>
      <c r="C46" s="6" t="inlineStr">
        <is>
          <t>stapler</t>
        </is>
      </c>
      <c r="D46" s="6" t="n">
        <v>111</v>
      </c>
      <c r="E46" s="10">
        <f>Records!K111</f>
        <v>4</v>
      </c>
      <c r="F46" s="10">
        <f>Records!R111</f>
        <v>5</v>
      </c>
      <c r="G46" s="10">
        <f>Records!L111</f>
        <v>4</v>
      </c>
      <c r="H46" s="10">
        <f>Records!M111</f>
        <v>4</v>
      </c>
      <c r="I46" s="10">
        <f>Records!Q111</f>
        <v>5</v>
      </c>
      <c r="J46" s="10">
        <f>Records!W111</f>
        <v>6</v>
      </c>
      <c r="K46" s="10">
        <f>Records!X111</f>
        <v>5</v>
      </c>
      <c r="L46" s="10">
        <f>Records!S111</f>
        <v>5</v>
      </c>
      <c r="M46" s="10">
        <f>Records!T111</f>
        <v>7</v>
      </c>
      <c r="N46" s="10">
        <f>Records!U111</f>
        <v>7</v>
      </c>
      <c r="O46" s="10">
        <f>Records!V111</f>
        <v>4</v>
      </c>
      <c r="P46" s="10">
        <f>Records!O111</f>
        <v>5</v>
      </c>
      <c r="Q46" s="10">
        <f>Records!P111</f>
        <v>6</v>
      </c>
      <c r="R46" s="10">
        <f>AVERAGE(Records!S111,Records!T111,Records!U111)</f>
        <v>6.333333333333333</v>
      </c>
      <c r="S46" s="10">
        <f>AVERAGE(Records!V111,Records!O111,Records!P111)</f>
        <v>5</v>
      </c>
      <c r="T46" s="10">
        <f>Records!AA111</f>
        <v>141.9</v>
      </c>
      <c r="U46" s="10">
        <f>Records!AP111</f>
        <v>3</v>
      </c>
      <c r="V46" s="10">
        <f>IF(Records!AA111&gt;150,1,0)</f>
        <v>0</v>
      </c>
    </row>
    <row r="47">
      <c r="A47" s="5" t="inlineStr">
        <is>
          <t>P019</t>
        </is>
      </c>
      <c r="B47" s="6" t="inlineStr">
        <is>
          <t>One-Euro</t>
        </is>
      </c>
      <c r="C47" s="6" t="inlineStr">
        <is>
          <t>stapler</t>
        </is>
      </c>
      <c r="D47" s="6" t="n">
        <v>118</v>
      </c>
      <c r="E47" s="10">
        <f>Records!K118</f>
        <v>4</v>
      </c>
      <c r="F47" s="10">
        <f>Records!R118</f>
        <v>5</v>
      </c>
      <c r="G47" s="10">
        <f>Records!L118</f>
        <v>7</v>
      </c>
      <c r="H47" s="10">
        <f>Records!M118</f>
        <v>5</v>
      </c>
      <c r="I47" s="10">
        <f>Records!Q118</f>
        <v>5</v>
      </c>
      <c r="J47" s="10">
        <f>Records!W118</f>
        <v>5</v>
      </c>
      <c r="K47" s="10">
        <f>Records!X118</f>
        <v>5</v>
      </c>
      <c r="L47" s="10">
        <f>Records!S118</f>
        <v>7</v>
      </c>
      <c r="M47" s="10">
        <f>Records!T118</f>
        <v>6</v>
      </c>
      <c r="N47" s="10">
        <f>Records!U118</f>
        <v>6</v>
      </c>
      <c r="O47" s="10">
        <f>Records!V118</f>
        <v>6</v>
      </c>
      <c r="P47" s="10">
        <f>Records!O118</f>
        <v>6</v>
      </c>
      <c r="Q47" s="10">
        <f>Records!P118</f>
        <v>5</v>
      </c>
      <c r="R47" s="10">
        <f>AVERAGE(Records!S118,Records!T118,Records!U118)</f>
        <v>6.333333333333333</v>
      </c>
      <c r="S47" s="10">
        <f>AVERAGE(Records!V118,Records!O118,Records!P118)</f>
        <v>5.666666666666667</v>
      </c>
      <c r="T47" s="10">
        <f>Records!AA118</f>
        <v>124.7</v>
      </c>
      <c r="U47" s="10">
        <f>Records!AP118</f>
        <v>3</v>
      </c>
      <c r="V47" s="10">
        <f>IF(Records!AA118&gt;150,1,0)</f>
        <v>0</v>
      </c>
    </row>
    <row r="48">
      <c r="A48" s="5" t="inlineStr">
        <is>
          <t>P020</t>
        </is>
      </c>
      <c r="B48" s="6" t="inlineStr">
        <is>
          <t>One-Euro</t>
        </is>
      </c>
      <c r="C48" s="6" t="inlineStr">
        <is>
          <t>stapler</t>
        </is>
      </c>
      <c r="D48" s="6" t="n">
        <v>123</v>
      </c>
      <c r="E48" s="10">
        <f>Records!K123</f>
        <v>4</v>
      </c>
      <c r="F48" s="10">
        <f>Records!R123</f>
        <v>4</v>
      </c>
      <c r="G48" s="10">
        <f>Records!L123</f>
        <v>4</v>
      </c>
      <c r="H48" s="10">
        <f>Records!M123</f>
        <v>5</v>
      </c>
      <c r="I48" s="10">
        <f>Records!Q123</f>
        <v>4</v>
      </c>
      <c r="J48" s="10">
        <f>Records!W123</f>
        <v>6</v>
      </c>
      <c r="K48" s="10">
        <f>Records!X123</f>
        <v>4</v>
      </c>
      <c r="L48" s="10">
        <f>Records!S123</f>
        <v>6</v>
      </c>
      <c r="M48" s="10">
        <f>Records!T123</f>
        <v>6</v>
      </c>
      <c r="N48" s="10">
        <f>Records!U123</f>
        <v>5</v>
      </c>
      <c r="O48" s="10">
        <f>Records!V123</f>
        <v>5</v>
      </c>
      <c r="P48" s="10">
        <f>Records!O123</f>
        <v>5</v>
      </c>
      <c r="Q48" s="10">
        <f>Records!P123</f>
        <v>5</v>
      </c>
      <c r="R48" s="10">
        <f>AVERAGE(Records!S123,Records!T123,Records!U123)</f>
        <v>5.666666666666667</v>
      </c>
      <c r="S48" s="10">
        <f>AVERAGE(Records!V123,Records!O123,Records!P123)</f>
        <v>5</v>
      </c>
      <c r="T48" s="10">
        <f>Records!AA123</f>
        <v>83.9</v>
      </c>
      <c r="U48" s="10">
        <f>Records!AP123</f>
        <v>3</v>
      </c>
      <c r="V48" s="10">
        <f>IF(Records!AA123&gt;150,1,0)</f>
        <v>0</v>
      </c>
    </row>
    <row r="49">
      <c r="A49" s="5" t="inlineStr">
        <is>
          <t>P021</t>
        </is>
      </c>
      <c r="B49" s="6" t="inlineStr">
        <is>
          <t>One-Euro</t>
        </is>
      </c>
      <c r="C49" s="6" t="inlineStr">
        <is>
          <t>stapler</t>
        </is>
      </c>
      <c r="D49" s="6" t="n">
        <v>127</v>
      </c>
      <c r="E49" s="10">
        <f>Records!K127</f>
        <v>6</v>
      </c>
      <c r="F49" s="10">
        <f>Records!R127</f>
        <v>5</v>
      </c>
      <c r="G49" s="10">
        <f>Records!L127</f>
        <v>5</v>
      </c>
      <c r="H49" s="10">
        <f>Records!M127</f>
        <v>5</v>
      </c>
      <c r="I49" s="10">
        <f>Records!Q127</f>
        <v>5</v>
      </c>
      <c r="J49" s="10">
        <f>Records!W127</f>
        <v>5</v>
      </c>
      <c r="K49" s="10">
        <f>Records!X127</f>
        <v>5</v>
      </c>
      <c r="L49" s="10">
        <f>Records!S127</f>
        <v>5</v>
      </c>
      <c r="M49" s="10">
        <f>Records!T127</f>
        <v>6</v>
      </c>
      <c r="N49" s="10">
        <f>Records!U127</f>
        <v>6</v>
      </c>
      <c r="O49" s="10">
        <f>Records!V127</f>
        <v>5</v>
      </c>
      <c r="P49" s="10">
        <f>Records!O127</f>
        <v>5</v>
      </c>
      <c r="Q49" s="10">
        <f>Records!P127</f>
        <v>6</v>
      </c>
      <c r="R49" s="10">
        <f>AVERAGE(Records!S127,Records!T127,Records!U127)</f>
        <v>5.666666666666667</v>
      </c>
      <c r="S49" s="10">
        <f>AVERAGE(Records!V127,Records!O127,Records!P127)</f>
        <v>5.333333333333333</v>
      </c>
      <c r="T49" s="10">
        <f>Records!AA127</f>
        <v>165.9</v>
      </c>
      <c r="U49" s="10">
        <f>Records!AP127</f>
        <v>3</v>
      </c>
      <c r="V49" s="10">
        <f>IF(Records!AA127&gt;150,1,0)</f>
        <v>1</v>
      </c>
    </row>
    <row r="50">
      <c r="A50" s="5" t="inlineStr">
        <is>
          <t>P022</t>
        </is>
      </c>
      <c r="B50" s="6" t="inlineStr">
        <is>
          <t>One-Euro</t>
        </is>
      </c>
      <c r="C50" s="6" t="inlineStr">
        <is>
          <t>stapler</t>
        </is>
      </c>
      <c r="D50" s="6" t="n">
        <v>134</v>
      </c>
      <c r="E50" s="10">
        <f>Records!K134</f>
        <v>5</v>
      </c>
      <c r="F50" s="10">
        <f>Records!R134</f>
        <v>6</v>
      </c>
      <c r="G50" s="10">
        <f>Records!L134</f>
        <v>6</v>
      </c>
      <c r="H50" s="10">
        <f>Records!M134</f>
        <v>6</v>
      </c>
      <c r="I50" s="10">
        <f>Records!Q134</f>
        <v>6</v>
      </c>
      <c r="J50" s="10">
        <f>Records!W134</f>
        <v>6</v>
      </c>
      <c r="K50" s="10">
        <f>Records!X134</f>
        <v>6</v>
      </c>
      <c r="L50" s="10">
        <f>Records!S134</f>
        <v>6</v>
      </c>
      <c r="M50" s="10">
        <f>Records!T134</f>
        <v>6</v>
      </c>
      <c r="N50" s="10">
        <f>Records!U134</f>
        <v>7</v>
      </c>
      <c r="O50" s="10">
        <f>Records!V134</f>
        <v>7</v>
      </c>
      <c r="P50" s="10">
        <f>Records!O134</f>
        <v>7</v>
      </c>
      <c r="Q50" s="10">
        <f>Records!P134</f>
        <v>6</v>
      </c>
      <c r="R50" s="10">
        <f>AVERAGE(Records!S134,Records!T134,Records!U134)</f>
        <v>6.333333333333333</v>
      </c>
      <c r="S50" s="10">
        <f>AVERAGE(Records!V134,Records!O134,Records!P134)</f>
        <v>6.666666666666667</v>
      </c>
      <c r="T50" s="10">
        <f>Records!AA134</f>
        <v>101.8</v>
      </c>
      <c r="U50" s="10">
        <f>Records!AP134</f>
        <v>5</v>
      </c>
      <c r="V50" s="10">
        <f>IF(Records!AA134&gt;150,1,0)</f>
        <v>0</v>
      </c>
    </row>
    <row r="51">
      <c r="A51" s="5" t="inlineStr">
        <is>
          <t>P023</t>
        </is>
      </c>
      <c r="B51" s="6" t="inlineStr">
        <is>
          <t>One-Euro</t>
        </is>
      </c>
      <c r="C51" s="6" t="inlineStr">
        <is>
          <t>stapler</t>
        </is>
      </c>
      <c r="D51" s="6" t="n">
        <v>139</v>
      </c>
      <c r="E51" s="10">
        <f>Records!K139</f>
        <v>5</v>
      </c>
      <c r="F51" s="10">
        <f>Records!R139</f>
        <v>5</v>
      </c>
      <c r="G51" s="10">
        <f>Records!L139</f>
        <v>5</v>
      </c>
      <c r="H51" s="10">
        <f>Records!M139</f>
        <v>4</v>
      </c>
      <c r="I51" s="10">
        <f>Records!Q139</f>
        <v>5</v>
      </c>
      <c r="J51" s="10">
        <f>Records!W139</f>
        <v>5</v>
      </c>
      <c r="K51" s="10">
        <f>Records!X139</f>
        <v>5</v>
      </c>
      <c r="L51" s="10">
        <f>Records!S139</f>
        <v>5</v>
      </c>
      <c r="M51" s="10">
        <f>Records!T139</f>
        <v>5</v>
      </c>
      <c r="N51" s="10">
        <f>Records!U139</f>
        <v>6</v>
      </c>
      <c r="O51" s="10">
        <f>Records!V139</f>
        <v>6</v>
      </c>
      <c r="P51" s="10">
        <f>Records!O139</f>
        <v>5</v>
      </c>
      <c r="Q51" s="10">
        <f>Records!P139</f>
        <v>5</v>
      </c>
      <c r="R51" s="10">
        <f>AVERAGE(Records!S139,Records!T139,Records!U139)</f>
        <v>5.333333333333333</v>
      </c>
      <c r="S51" s="10">
        <f>AVERAGE(Records!V139,Records!O139,Records!P139)</f>
        <v>5.333333333333333</v>
      </c>
      <c r="T51" s="10">
        <f>Records!AA139</f>
        <v>119.2</v>
      </c>
      <c r="U51" s="10">
        <f>Records!AP139</f>
        <v>6</v>
      </c>
      <c r="V51" s="10">
        <f>IF(Records!AA139&gt;150,1,0)</f>
        <v>0</v>
      </c>
    </row>
    <row r="52">
      <c r="A52" s="5" t="inlineStr">
        <is>
          <t>P024</t>
        </is>
      </c>
      <c r="B52" s="6" t="inlineStr">
        <is>
          <t>One-Euro</t>
        </is>
      </c>
      <c r="C52" s="6" t="inlineStr">
        <is>
          <t>stapler</t>
        </is>
      </c>
      <c r="D52" s="6" t="n">
        <v>146</v>
      </c>
      <c r="E52" s="10">
        <f>Records!K146</f>
        <v>5</v>
      </c>
      <c r="F52" s="10">
        <f>Records!R146</f>
        <v>5</v>
      </c>
      <c r="G52" s="10">
        <f>Records!L146</f>
        <v>5</v>
      </c>
      <c r="H52" s="10">
        <f>Records!M146</f>
        <v>5</v>
      </c>
      <c r="I52" s="10">
        <f>Records!Q146</f>
        <v>5</v>
      </c>
      <c r="J52" s="10">
        <f>Records!W146</f>
        <v>6</v>
      </c>
      <c r="K52" s="10">
        <f>Records!X146</f>
        <v>5</v>
      </c>
      <c r="L52" s="10">
        <f>Records!S146</f>
        <v>6</v>
      </c>
      <c r="M52" s="10">
        <f>Records!T146</f>
        <v>5</v>
      </c>
      <c r="N52" s="10">
        <f>Records!U146</f>
        <v>7</v>
      </c>
      <c r="O52" s="10">
        <f>Records!V146</f>
        <v>6</v>
      </c>
      <c r="P52" s="10">
        <f>Records!O146</f>
        <v>6</v>
      </c>
      <c r="Q52" s="10">
        <f>Records!P146</f>
        <v>5</v>
      </c>
      <c r="R52" s="10">
        <f>AVERAGE(Records!S146,Records!T146,Records!U146)</f>
        <v>6</v>
      </c>
      <c r="S52" s="10">
        <f>AVERAGE(Records!V146,Records!O146,Records!P146)</f>
        <v>5.666666666666667</v>
      </c>
      <c r="T52" s="10">
        <f>Records!AA146</f>
        <v>148.2</v>
      </c>
      <c r="U52" s="10">
        <f>Records!AP146</f>
        <v>3</v>
      </c>
      <c r="V52" s="10">
        <f>IF(Records!AA146&gt;150,1,0)</f>
        <v>0</v>
      </c>
    </row>
    <row r="53">
      <c r="A53" s="5" t="inlineStr">
        <is>
          <t>P001</t>
        </is>
      </c>
      <c r="B53" s="6" t="inlineStr">
        <is>
          <t>One-Euro</t>
        </is>
      </c>
      <c r="C53" s="6" t="inlineStr">
        <is>
          <t>gamepad</t>
        </is>
      </c>
      <c r="D53" s="6" t="n">
        <v>10</v>
      </c>
      <c r="E53" s="10">
        <f>Records!K10</f>
        <v>3</v>
      </c>
      <c r="F53" s="10">
        <f>Records!R10</f>
        <v>4</v>
      </c>
      <c r="G53" s="10">
        <f>Records!L10</f>
        <v>3</v>
      </c>
      <c r="H53" s="10">
        <f>Records!M10</f>
        <v>3</v>
      </c>
      <c r="I53" s="10">
        <f>Records!Q10</f>
        <v>5</v>
      </c>
      <c r="J53" s="10">
        <f>Records!W10</f>
        <v>4</v>
      </c>
      <c r="K53" s="10">
        <f>Records!X10</f>
        <v>5</v>
      </c>
      <c r="L53" s="10">
        <f>Records!S10</f>
        <v>5</v>
      </c>
      <c r="M53" s="10">
        <f>Records!T10</f>
        <v>4</v>
      </c>
      <c r="N53" s="10">
        <f>Records!U10</f>
        <v>6</v>
      </c>
      <c r="O53" s="10">
        <f>Records!V10</f>
        <v>6</v>
      </c>
      <c r="P53" s="10">
        <f>Records!O10</f>
        <v>5</v>
      </c>
      <c r="Q53" s="10">
        <f>Records!P10</f>
        <v>5</v>
      </c>
      <c r="R53" s="10">
        <f>AVERAGE(Records!S10,Records!T10,Records!U10)</f>
        <v>5</v>
      </c>
      <c r="S53" s="10">
        <f>AVERAGE(Records!V10,Records!O10,Records!P10)</f>
        <v>5.333333333333333</v>
      </c>
      <c r="T53" s="10">
        <f>Records!AA10</f>
        <v>155.9</v>
      </c>
      <c r="U53" s="10">
        <f>Records!AP10</f>
        <v>3</v>
      </c>
      <c r="V53" s="10">
        <f>IF(Records!AA10&gt;150,1,0)</f>
        <v>1</v>
      </c>
    </row>
    <row r="54">
      <c r="A54" s="5" t="inlineStr">
        <is>
          <t>P002</t>
        </is>
      </c>
      <c r="B54" s="6" t="inlineStr">
        <is>
          <t>One-Euro</t>
        </is>
      </c>
      <c r="C54" s="6" t="inlineStr">
        <is>
          <t>gamepad</t>
        </is>
      </c>
      <c r="D54" s="6" t="n">
        <v>15</v>
      </c>
      <c r="E54" s="10">
        <f>Records!K15</f>
        <v>5</v>
      </c>
      <c r="F54" s="10">
        <f>Records!R15</f>
        <v>5</v>
      </c>
      <c r="G54" s="10">
        <f>Records!L15</f>
        <v>3</v>
      </c>
      <c r="H54" s="10">
        <f>Records!M15</f>
        <v>4</v>
      </c>
      <c r="I54" s="10">
        <f>Records!Q15</f>
        <v>5</v>
      </c>
      <c r="J54" s="10">
        <f>Records!W15</f>
        <v>4</v>
      </c>
      <c r="K54" s="10">
        <f>Records!X15</f>
        <v>4</v>
      </c>
      <c r="L54" s="10">
        <f>Records!S15</f>
        <v>5</v>
      </c>
      <c r="M54" s="10">
        <f>Records!T15</f>
        <v>4</v>
      </c>
      <c r="N54" s="10">
        <f>Records!U15</f>
        <v>6</v>
      </c>
      <c r="O54" s="10">
        <f>Records!V15</f>
        <v>5</v>
      </c>
      <c r="P54" s="10">
        <f>Records!O15</f>
        <v>5</v>
      </c>
      <c r="Q54" s="10">
        <f>Records!P15</f>
        <v>4</v>
      </c>
      <c r="R54" s="10">
        <f>AVERAGE(Records!S15,Records!T15,Records!U15)</f>
        <v>5</v>
      </c>
      <c r="S54" s="10">
        <f>AVERAGE(Records!V15,Records!O15,Records!P15)</f>
        <v>4.666666666666667</v>
      </c>
      <c r="T54" s="10">
        <f>Records!AA15</f>
        <v>103.9</v>
      </c>
      <c r="U54" s="10">
        <f>Records!AP15</f>
        <v>3</v>
      </c>
      <c r="V54" s="10">
        <f>IF(Records!AA15&gt;150,1,0)</f>
        <v>0</v>
      </c>
    </row>
    <row r="55">
      <c r="A55" s="5" t="inlineStr">
        <is>
          <t>P003</t>
        </is>
      </c>
      <c r="B55" s="6" t="inlineStr">
        <is>
          <t>One-Euro</t>
        </is>
      </c>
      <c r="C55" s="6" t="inlineStr">
        <is>
          <t>gamepad</t>
        </is>
      </c>
      <c r="D55" s="6" t="n">
        <v>22</v>
      </c>
      <c r="E55" s="10">
        <f>Records!K22</f>
        <v>4</v>
      </c>
      <c r="F55" s="10">
        <f>Records!R22</f>
        <v>4</v>
      </c>
      <c r="G55" s="10">
        <f>Records!L22</f>
        <v>4</v>
      </c>
      <c r="H55" s="10">
        <f>Records!M22</f>
        <v>4</v>
      </c>
      <c r="I55" s="10">
        <f>Records!Q22</f>
        <v>3</v>
      </c>
      <c r="J55" s="10">
        <f>Records!W22</f>
        <v>4</v>
      </c>
      <c r="K55" s="10">
        <f>Records!X22</f>
        <v>4</v>
      </c>
      <c r="L55" s="10">
        <f>Records!S22</f>
        <v>4</v>
      </c>
      <c r="M55" s="10">
        <f>Records!T22</f>
        <v>4</v>
      </c>
      <c r="N55" s="10">
        <f>Records!U22</f>
        <v>6</v>
      </c>
      <c r="O55" s="10">
        <f>Records!V22</f>
        <v>5</v>
      </c>
      <c r="P55" s="10">
        <f>Records!O22</f>
        <v>4</v>
      </c>
      <c r="Q55" s="10">
        <f>Records!P22</f>
        <v>3</v>
      </c>
      <c r="R55" s="10">
        <f>AVERAGE(Records!S22,Records!T22,Records!U22)</f>
        <v>4.666666666666667</v>
      </c>
      <c r="S55" s="10">
        <f>AVERAGE(Records!V22,Records!O22,Records!P22)</f>
        <v>4</v>
      </c>
      <c r="T55" s="10">
        <f>Records!AA22</f>
        <v>126.8</v>
      </c>
      <c r="U55" s="10">
        <f>Records!AP22</f>
        <v>4</v>
      </c>
      <c r="V55" s="10">
        <f>IF(Records!AA22&gt;150,1,0)</f>
        <v>0</v>
      </c>
    </row>
    <row r="56">
      <c r="A56" s="5" t="inlineStr">
        <is>
          <t>P004</t>
        </is>
      </c>
      <c r="B56" s="6" t="inlineStr">
        <is>
          <t>One-Euro</t>
        </is>
      </c>
      <c r="C56" s="6" t="inlineStr">
        <is>
          <t>gamepad</t>
        </is>
      </c>
      <c r="D56" s="6" t="n">
        <v>27</v>
      </c>
      <c r="E56" s="10">
        <f>Records!K27</f>
        <v>4</v>
      </c>
      <c r="F56" s="10">
        <f>Records!R27</f>
        <v>4</v>
      </c>
      <c r="G56" s="10">
        <f>Records!L27</f>
        <v>5</v>
      </c>
      <c r="H56" s="10">
        <f>Records!M27</f>
        <v>5</v>
      </c>
      <c r="I56" s="10">
        <f>Records!Q27</f>
        <v>2</v>
      </c>
      <c r="J56" s="10">
        <f>Records!W27</f>
        <v>1</v>
      </c>
      <c r="K56" s="10">
        <f>Records!X27</f>
        <v>4</v>
      </c>
      <c r="L56" s="10">
        <f>Records!S27</f>
        <v>5</v>
      </c>
      <c r="M56" s="10">
        <f>Records!T27</f>
        <v>5</v>
      </c>
      <c r="N56" s="10">
        <f>Records!U27</f>
        <v>5</v>
      </c>
      <c r="O56" s="10">
        <f>Records!V27</f>
        <v>5</v>
      </c>
      <c r="P56" s="10">
        <f>Records!O27</f>
        <v>4</v>
      </c>
      <c r="Q56" s="10">
        <f>Records!P27</f>
        <v>4</v>
      </c>
      <c r="R56" s="10">
        <f>AVERAGE(Records!S27,Records!T27,Records!U27)</f>
        <v>5</v>
      </c>
      <c r="S56" s="10">
        <f>AVERAGE(Records!V27,Records!O27,Records!P27)</f>
        <v>4.333333333333333</v>
      </c>
      <c r="T56" s="10">
        <f>Records!AA27</f>
        <v>149.6</v>
      </c>
      <c r="U56" s="10">
        <f>Records!AP27</f>
        <v>4</v>
      </c>
      <c r="V56" s="10">
        <f>IF(Records!AA27&gt;150,1,0)</f>
        <v>0</v>
      </c>
    </row>
    <row r="57">
      <c r="A57" s="5" t="inlineStr">
        <is>
          <t>P005</t>
        </is>
      </c>
      <c r="B57" s="6" t="inlineStr">
        <is>
          <t>One-Euro</t>
        </is>
      </c>
      <c r="C57" s="6" t="inlineStr">
        <is>
          <t>gamepad</t>
        </is>
      </c>
      <c r="D57" s="6" t="n">
        <v>31</v>
      </c>
      <c r="E57" s="10">
        <f>Records!K31</f>
        <v>1</v>
      </c>
      <c r="F57" s="10">
        <f>Records!R31</f>
        <v>3</v>
      </c>
      <c r="G57" s="10">
        <f>Records!L31</f>
        <v>4</v>
      </c>
      <c r="H57" s="10">
        <f>Records!M31</f>
        <v>3</v>
      </c>
      <c r="I57" s="10">
        <f>Records!Q31</f>
        <v>3</v>
      </c>
      <c r="J57" s="10">
        <f>Records!W31</f>
        <v>3</v>
      </c>
      <c r="K57" s="10">
        <f>Records!X31</f>
        <v>3</v>
      </c>
      <c r="L57" s="10">
        <f>Records!S31</f>
        <v>4</v>
      </c>
      <c r="M57" s="10">
        <f>Records!T31</f>
        <v>3</v>
      </c>
      <c r="N57" s="10">
        <f>Records!U31</f>
        <v>4</v>
      </c>
      <c r="O57" s="10">
        <f>Records!V31</f>
        <v>5</v>
      </c>
      <c r="P57" s="10">
        <f>Records!O31</f>
        <v>3</v>
      </c>
      <c r="Q57" s="10">
        <f>Records!P31</f>
        <v>4</v>
      </c>
      <c r="R57" s="10">
        <f>AVERAGE(Records!S31,Records!T31,Records!U31)</f>
        <v>3.6666666666666665</v>
      </c>
      <c r="S57" s="10">
        <f>AVERAGE(Records!V31,Records!O31,Records!P31)</f>
        <v>4</v>
      </c>
      <c r="T57" s="10">
        <f>Records!AA31</f>
        <v>97.9</v>
      </c>
      <c r="U57" s="10">
        <f>Records!AP31</f>
        <v>2</v>
      </c>
      <c r="V57" s="10">
        <f>IF(Records!AA31&gt;150,1,0)</f>
        <v>0</v>
      </c>
    </row>
    <row r="58">
      <c r="A58" s="5" t="inlineStr">
        <is>
          <t>P006</t>
        </is>
      </c>
      <c r="B58" s="6" t="inlineStr">
        <is>
          <t>One-Euro</t>
        </is>
      </c>
      <c r="C58" s="6" t="inlineStr">
        <is>
          <t>gamepad</t>
        </is>
      </c>
      <c r="D58" s="6" t="n">
        <v>38</v>
      </c>
      <c r="E58" s="10">
        <f>Records!K38</f>
        <v>3</v>
      </c>
      <c r="F58" s="10">
        <f>Records!R38</f>
        <v>4</v>
      </c>
      <c r="G58" s="10">
        <f>Records!L38</f>
        <v>5</v>
      </c>
      <c r="H58" s="10">
        <f>Records!M38</f>
        <v>3</v>
      </c>
      <c r="I58" s="10">
        <f>Records!Q38</f>
        <v>2</v>
      </c>
      <c r="J58" s="10">
        <f>Records!W38</f>
        <v>1</v>
      </c>
      <c r="K58" s="10">
        <f>Records!X38</f>
        <v>4</v>
      </c>
      <c r="L58" s="10">
        <f>Records!S38</f>
        <v>5</v>
      </c>
      <c r="M58" s="10">
        <f>Records!T38</f>
        <v>4</v>
      </c>
      <c r="N58" s="10">
        <f>Records!U38</f>
        <v>4</v>
      </c>
      <c r="O58" s="10">
        <f>Records!V38</f>
        <v>5</v>
      </c>
      <c r="P58" s="10">
        <f>Records!O38</f>
        <v>4</v>
      </c>
      <c r="Q58" s="10">
        <f>Records!P38</f>
        <v>4</v>
      </c>
      <c r="R58" s="10">
        <f>AVERAGE(Records!S38,Records!T38,Records!U38)</f>
        <v>4.333333333333333</v>
      </c>
      <c r="S58" s="10">
        <f>AVERAGE(Records!V38,Records!O38,Records!P38)</f>
        <v>4.333333333333333</v>
      </c>
      <c r="T58" s="10">
        <f>Records!AA38</f>
        <v>145.4</v>
      </c>
      <c r="U58" s="10">
        <f>Records!AP38</f>
        <v>2</v>
      </c>
      <c r="V58" s="10">
        <f>IF(Records!AA38&gt;150,1,0)</f>
        <v>0</v>
      </c>
    </row>
    <row r="59">
      <c r="A59" s="5" t="inlineStr">
        <is>
          <t>P007</t>
        </is>
      </c>
      <c r="B59" s="6" t="inlineStr">
        <is>
          <t>One-Euro</t>
        </is>
      </c>
      <c r="C59" s="6" t="inlineStr">
        <is>
          <t>gamepad</t>
        </is>
      </c>
      <c r="D59" s="6" t="n">
        <v>43</v>
      </c>
      <c r="E59" s="10">
        <f>Records!K43</f>
        <v>5</v>
      </c>
      <c r="F59" s="10">
        <f>Records!R43</f>
        <v>3</v>
      </c>
      <c r="G59" s="10">
        <f>Records!L43</f>
        <v>4</v>
      </c>
      <c r="H59" s="10">
        <f>Records!M43</f>
        <v>5</v>
      </c>
      <c r="I59" s="10">
        <f>Records!Q43</f>
        <v>3</v>
      </c>
      <c r="J59" s="10">
        <f>Records!W43</f>
        <v>4</v>
      </c>
      <c r="K59" s="10">
        <f>Records!X43</f>
        <v>4</v>
      </c>
      <c r="L59" s="10">
        <f>Records!S43</f>
        <v>5</v>
      </c>
      <c r="M59" s="10">
        <f>Records!T43</f>
        <v>4</v>
      </c>
      <c r="N59" s="10">
        <f>Records!U43</f>
        <v>4</v>
      </c>
      <c r="O59" s="10">
        <f>Records!V43</f>
        <v>5</v>
      </c>
      <c r="P59" s="10">
        <f>Records!O43</f>
        <v>5</v>
      </c>
      <c r="Q59" s="10">
        <f>Records!P43</f>
        <v>5</v>
      </c>
      <c r="R59" s="10">
        <f>AVERAGE(Records!S43,Records!T43,Records!U43)</f>
        <v>4.333333333333333</v>
      </c>
      <c r="S59" s="10">
        <f>AVERAGE(Records!V43,Records!O43,Records!P43)</f>
        <v>5</v>
      </c>
      <c r="T59" s="10">
        <f>Records!AA43</f>
        <v>156.3</v>
      </c>
      <c r="U59" s="10">
        <f>Records!AP43</f>
        <v>3</v>
      </c>
      <c r="V59" s="10">
        <f>IF(Records!AA43&gt;150,1,0)</f>
        <v>1</v>
      </c>
    </row>
    <row r="60">
      <c r="A60" s="5" t="inlineStr">
        <is>
          <t>P008</t>
        </is>
      </c>
      <c r="B60" s="6" t="inlineStr">
        <is>
          <t>One-Euro</t>
        </is>
      </c>
      <c r="C60" s="6" t="inlineStr">
        <is>
          <t>gamepad</t>
        </is>
      </c>
      <c r="D60" s="6" t="n">
        <v>50</v>
      </c>
      <c r="E60" s="10">
        <f>Records!K50</f>
        <v>4</v>
      </c>
      <c r="F60" s="10">
        <f>Records!R50</f>
        <v>4</v>
      </c>
      <c r="G60" s="10">
        <f>Records!L50</f>
        <v>5</v>
      </c>
      <c r="H60" s="10">
        <f>Records!M50</f>
        <v>4</v>
      </c>
      <c r="I60" s="10">
        <f>Records!Q50</f>
        <v>4</v>
      </c>
      <c r="J60" s="10">
        <f>Records!W50</f>
        <v>4</v>
      </c>
      <c r="K60" s="10">
        <f>Records!X50</f>
        <v>5</v>
      </c>
      <c r="L60" s="10">
        <f>Records!S50</f>
        <v>5</v>
      </c>
      <c r="M60" s="10">
        <f>Records!T50</f>
        <v>5</v>
      </c>
      <c r="N60" s="10">
        <f>Records!U50</f>
        <v>6</v>
      </c>
      <c r="O60" s="10">
        <f>Records!V50</f>
        <v>6</v>
      </c>
      <c r="P60" s="10">
        <f>Records!O50</f>
        <v>5</v>
      </c>
      <c r="Q60" s="10">
        <f>Records!P50</f>
        <v>5</v>
      </c>
      <c r="R60" s="10">
        <f>AVERAGE(Records!S50,Records!T50,Records!U50)</f>
        <v>5.333333333333333</v>
      </c>
      <c r="S60" s="10">
        <f>AVERAGE(Records!V50,Records!O50,Records!P50)</f>
        <v>5.333333333333333</v>
      </c>
      <c r="T60" s="10">
        <f>Records!AA50</f>
        <v>121.2</v>
      </c>
      <c r="U60" s="10">
        <f>Records!AP50</f>
        <v>2</v>
      </c>
      <c r="V60" s="10">
        <f>IF(Records!AA50&gt;150,1,0)</f>
        <v>0</v>
      </c>
    </row>
    <row r="61">
      <c r="A61" s="5" t="inlineStr">
        <is>
          <t>P009</t>
        </is>
      </c>
      <c r="B61" s="6" t="inlineStr">
        <is>
          <t>One-Euro</t>
        </is>
      </c>
      <c r="C61" s="6" t="inlineStr">
        <is>
          <t>gamepad</t>
        </is>
      </c>
      <c r="D61" s="6" t="n">
        <v>58</v>
      </c>
      <c r="E61" s="10">
        <f>Records!K58</f>
        <v>4</v>
      </c>
      <c r="F61" s="10">
        <f>Records!R58</f>
        <v>4</v>
      </c>
      <c r="G61" s="10">
        <f>Records!L58</f>
        <v>6</v>
      </c>
      <c r="H61" s="10">
        <f>Records!M58</f>
        <v>4</v>
      </c>
      <c r="I61" s="10">
        <f>Records!Q58</f>
        <v>5</v>
      </c>
      <c r="J61" s="10">
        <f>Records!W58</f>
        <v>4</v>
      </c>
      <c r="K61" s="10">
        <f>Records!X58</f>
        <v>5</v>
      </c>
      <c r="L61" s="10">
        <f>Records!S58</f>
        <v>4</v>
      </c>
      <c r="M61" s="10">
        <f>Records!T58</f>
        <v>5</v>
      </c>
      <c r="N61" s="10">
        <f>Records!U58</f>
        <v>6</v>
      </c>
      <c r="O61" s="10">
        <f>Records!V58</f>
        <v>6</v>
      </c>
      <c r="P61" s="10">
        <f>Records!O58</f>
        <v>5</v>
      </c>
      <c r="Q61" s="10">
        <f>Records!P58</f>
        <v>5</v>
      </c>
      <c r="R61" s="10">
        <f>AVERAGE(Records!S58,Records!T58,Records!U58)</f>
        <v>5</v>
      </c>
      <c r="S61" s="10">
        <f>AVERAGE(Records!V58,Records!O58,Records!P58)</f>
        <v>5.333333333333333</v>
      </c>
      <c r="T61" s="10">
        <f>Records!AA58</f>
        <v>111.1</v>
      </c>
      <c r="U61" s="10">
        <f>Records!AP58</f>
        <v>3</v>
      </c>
      <c r="V61" s="10">
        <f>IF(Records!AA58&gt;150,1,0)</f>
        <v>0</v>
      </c>
    </row>
    <row r="62">
      <c r="A62" s="5" t="inlineStr">
        <is>
          <t>P010</t>
        </is>
      </c>
      <c r="B62" s="6" t="inlineStr">
        <is>
          <t>One-Euro</t>
        </is>
      </c>
      <c r="C62" s="6" t="inlineStr">
        <is>
          <t>gamepad</t>
        </is>
      </c>
      <c r="D62" s="6" t="n">
        <v>63</v>
      </c>
      <c r="E62" s="10">
        <f>Records!K63</f>
        <v>4</v>
      </c>
      <c r="F62" s="10">
        <f>Records!R63</f>
        <v>3</v>
      </c>
      <c r="G62" s="10">
        <f>Records!L63</f>
        <v>4</v>
      </c>
      <c r="H62" s="10">
        <f>Records!M63</f>
        <v>3</v>
      </c>
      <c r="I62" s="10">
        <f>Records!Q63</f>
        <v>3</v>
      </c>
      <c r="J62" s="10">
        <f>Records!W63</f>
        <v>4</v>
      </c>
      <c r="K62" s="10">
        <f>Records!X63</f>
        <v>4</v>
      </c>
      <c r="L62" s="10">
        <f>Records!S63</f>
        <v>4</v>
      </c>
      <c r="M62" s="10">
        <f>Records!T63</f>
        <v>4</v>
      </c>
      <c r="N62" s="10">
        <f>Records!U63</f>
        <v>5</v>
      </c>
      <c r="O62" s="10">
        <f>Records!V63</f>
        <v>5</v>
      </c>
      <c r="P62" s="10">
        <f>Records!O63</f>
        <v>4</v>
      </c>
      <c r="Q62" s="10">
        <f>Records!P63</f>
        <v>4</v>
      </c>
      <c r="R62" s="10">
        <f>AVERAGE(Records!S63,Records!T63,Records!U63)</f>
        <v>4.333333333333333</v>
      </c>
      <c r="S62" s="10">
        <f>AVERAGE(Records!V63,Records!O63,Records!P63)</f>
        <v>4.333333333333333</v>
      </c>
      <c r="T62" s="10">
        <f>Records!AA63</f>
        <v>191.8</v>
      </c>
      <c r="U62" s="10">
        <f>Records!AP63</f>
        <v>2</v>
      </c>
      <c r="V62" s="10">
        <f>IF(Records!AA63&gt;150,1,0)</f>
        <v>1</v>
      </c>
    </row>
    <row r="63">
      <c r="A63" s="5" t="inlineStr">
        <is>
          <t>P011</t>
        </is>
      </c>
      <c r="B63" s="6" t="inlineStr">
        <is>
          <t>One-Euro</t>
        </is>
      </c>
      <c r="C63" s="6" t="inlineStr">
        <is>
          <t>gamepad</t>
        </is>
      </c>
      <c r="D63" s="6" t="n">
        <v>70</v>
      </c>
      <c r="E63" s="10">
        <f>Records!K70</f>
        <v>4</v>
      </c>
      <c r="F63" s="10">
        <f>Records!R70</f>
        <v>6</v>
      </c>
      <c r="G63" s="10">
        <f>Records!L70</f>
        <v>5</v>
      </c>
      <c r="H63" s="10">
        <f>Records!M70</f>
        <v>5</v>
      </c>
      <c r="I63" s="10">
        <f>Records!Q70</f>
        <v>6</v>
      </c>
      <c r="J63" s="10">
        <f>Records!W70</f>
        <v>5</v>
      </c>
      <c r="K63" s="10">
        <f>Records!X70</f>
        <v>5</v>
      </c>
      <c r="L63" s="10">
        <f>Records!S70</f>
        <v>5</v>
      </c>
      <c r="M63" s="10">
        <f>Records!T70</f>
        <v>5</v>
      </c>
      <c r="N63" s="10">
        <f>Records!U70</f>
        <v>6</v>
      </c>
      <c r="O63" s="10">
        <f>Records!V70</f>
        <v>5</v>
      </c>
      <c r="P63" s="10">
        <f>Records!O70</f>
        <v>5</v>
      </c>
      <c r="Q63" s="10">
        <f>Records!P70</f>
        <v>5</v>
      </c>
      <c r="R63" s="10">
        <f>AVERAGE(Records!S70,Records!T70,Records!U70)</f>
        <v>5.333333333333333</v>
      </c>
      <c r="S63" s="10">
        <f>AVERAGE(Records!V70,Records!O70,Records!P70)</f>
        <v>5</v>
      </c>
      <c r="T63" s="10">
        <f>Records!AA70</f>
        <v>130.5</v>
      </c>
      <c r="U63" s="10">
        <f>Records!AP70</f>
        <v>4</v>
      </c>
      <c r="V63" s="10">
        <f>IF(Records!AA70&gt;150,1,0)</f>
        <v>0</v>
      </c>
    </row>
    <row r="64">
      <c r="A64" s="5" t="inlineStr">
        <is>
          <t>P012</t>
        </is>
      </c>
      <c r="B64" s="6" t="inlineStr">
        <is>
          <t>One-Euro</t>
        </is>
      </c>
      <c r="C64" s="6" t="inlineStr">
        <is>
          <t>gamepad</t>
        </is>
      </c>
      <c r="D64" s="6" t="n">
        <v>75</v>
      </c>
      <c r="E64" s="10">
        <f>Records!K75</f>
        <v>3</v>
      </c>
      <c r="F64" s="10">
        <f>Records!R75</f>
        <v>4</v>
      </c>
      <c r="G64" s="10">
        <f>Records!L75</f>
        <v>5</v>
      </c>
      <c r="H64" s="10">
        <f>Records!M75</f>
        <v>5</v>
      </c>
      <c r="I64" s="10">
        <f>Records!Q75</f>
        <v>4</v>
      </c>
      <c r="J64" s="10">
        <f>Records!W75</f>
        <v>3</v>
      </c>
      <c r="K64" s="10">
        <f>Records!X75</f>
        <v>4</v>
      </c>
      <c r="L64" s="10">
        <f>Records!S75</f>
        <v>4</v>
      </c>
      <c r="M64" s="10">
        <f>Records!T75</f>
        <v>4</v>
      </c>
      <c r="N64" s="10">
        <f>Records!U75</f>
        <v>6</v>
      </c>
      <c r="O64" s="10">
        <f>Records!V75</f>
        <v>4</v>
      </c>
      <c r="P64" s="10">
        <f>Records!O75</f>
        <v>5</v>
      </c>
      <c r="Q64" s="10">
        <f>Records!P75</f>
        <v>5</v>
      </c>
      <c r="R64" s="10">
        <f>AVERAGE(Records!S75,Records!T75,Records!U75)</f>
        <v>4.666666666666667</v>
      </c>
      <c r="S64" s="10">
        <f>AVERAGE(Records!V75,Records!O75,Records!P75)</f>
        <v>4.666666666666667</v>
      </c>
      <c r="T64" s="10">
        <f>Records!AA75</f>
        <v>137.2</v>
      </c>
      <c r="U64" s="10">
        <f>Records!AP75</f>
        <v>4</v>
      </c>
      <c r="V64" s="10">
        <f>IF(Records!AA75&gt;150,1,0)</f>
        <v>0</v>
      </c>
    </row>
    <row r="65">
      <c r="A65" s="5" t="inlineStr">
        <is>
          <t>P013</t>
        </is>
      </c>
      <c r="B65" s="6" t="inlineStr">
        <is>
          <t>One-Euro</t>
        </is>
      </c>
      <c r="C65" s="6" t="inlineStr">
        <is>
          <t>gamepad</t>
        </is>
      </c>
      <c r="D65" s="6" t="n">
        <v>79</v>
      </c>
      <c r="E65" s="10">
        <f>Records!K79</f>
        <v>4</v>
      </c>
      <c r="F65" s="10">
        <f>Records!R79</f>
        <v>5</v>
      </c>
      <c r="G65" s="10">
        <f>Records!L79</f>
        <v>6</v>
      </c>
      <c r="H65" s="10">
        <f>Records!M79</f>
        <v>5</v>
      </c>
      <c r="I65" s="10">
        <f>Records!Q79</f>
        <v>5</v>
      </c>
      <c r="J65" s="10">
        <f>Records!W79</f>
        <v>5</v>
      </c>
      <c r="K65" s="10">
        <f>Records!X79</f>
        <v>4</v>
      </c>
      <c r="L65" s="10">
        <f>Records!S79</f>
        <v>6</v>
      </c>
      <c r="M65" s="10">
        <f>Records!T79</f>
        <v>5</v>
      </c>
      <c r="N65" s="10">
        <f>Records!U79</f>
        <v>5</v>
      </c>
      <c r="O65" s="10">
        <f>Records!V79</f>
        <v>5</v>
      </c>
      <c r="P65" s="10">
        <f>Records!O79</f>
        <v>5</v>
      </c>
      <c r="Q65" s="10">
        <f>Records!P79</f>
        <v>5</v>
      </c>
      <c r="R65" s="10">
        <f>AVERAGE(Records!S79,Records!T79,Records!U79)</f>
        <v>5.333333333333333</v>
      </c>
      <c r="S65" s="10">
        <f>AVERAGE(Records!V79,Records!O79,Records!P79)</f>
        <v>5</v>
      </c>
      <c r="T65" s="10">
        <f>Records!AA79</f>
        <v>143.2</v>
      </c>
      <c r="U65" s="10">
        <f>Records!AP79</f>
        <v>5</v>
      </c>
      <c r="V65" s="10">
        <f>IF(Records!AA79&gt;150,1,0)</f>
        <v>0</v>
      </c>
    </row>
    <row r="66">
      <c r="A66" s="5" t="inlineStr">
        <is>
          <t>P014</t>
        </is>
      </c>
      <c r="B66" s="6" t="inlineStr">
        <is>
          <t>One-Euro</t>
        </is>
      </c>
      <c r="C66" s="6" t="inlineStr">
        <is>
          <t>gamepad</t>
        </is>
      </c>
      <c r="D66" s="6" t="n">
        <v>86</v>
      </c>
      <c r="E66" s="10">
        <f>Records!K86</f>
        <v>3</v>
      </c>
      <c r="F66" s="10">
        <f>Records!R86</f>
        <v>4</v>
      </c>
      <c r="G66" s="10">
        <f>Records!L86</f>
        <v>5</v>
      </c>
      <c r="H66" s="10">
        <f>Records!M86</f>
        <v>4</v>
      </c>
      <c r="I66" s="10">
        <f>Records!Q86</f>
        <v>3</v>
      </c>
      <c r="J66" s="10">
        <f>Records!W86</f>
        <v>3</v>
      </c>
      <c r="K66" s="10">
        <f>Records!X86</f>
        <v>4</v>
      </c>
      <c r="L66" s="10">
        <f>Records!S86</f>
        <v>4</v>
      </c>
      <c r="M66" s="10">
        <f>Records!T86</f>
        <v>4</v>
      </c>
      <c r="N66" s="10">
        <f>Records!U86</f>
        <v>6</v>
      </c>
      <c r="O66" s="10">
        <f>Records!V86</f>
        <v>4</v>
      </c>
      <c r="P66" s="10">
        <f>Records!O86</f>
        <v>4</v>
      </c>
      <c r="Q66" s="10">
        <f>Records!P86</f>
        <v>4</v>
      </c>
      <c r="R66" s="10">
        <f>AVERAGE(Records!S86,Records!T86,Records!U86)</f>
        <v>4.666666666666667</v>
      </c>
      <c r="S66" s="10">
        <f>AVERAGE(Records!V86,Records!O86,Records!P86)</f>
        <v>4</v>
      </c>
      <c r="T66" s="10">
        <f>Records!AA86</f>
        <v>141.4</v>
      </c>
      <c r="U66" s="10">
        <f>Records!AP86</f>
        <v>3</v>
      </c>
      <c r="V66" s="10">
        <f>IF(Records!AA86&gt;150,1,0)</f>
        <v>0</v>
      </c>
    </row>
    <row r="67">
      <c r="A67" s="5" t="inlineStr">
        <is>
          <t>P015</t>
        </is>
      </c>
      <c r="B67" s="6" t="inlineStr">
        <is>
          <t>One-Euro</t>
        </is>
      </c>
      <c r="C67" s="6" t="inlineStr">
        <is>
          <t>gamepad</t>
        </is>
      </c>
      <c r="D67" s="6" t="n">
        <v>91</v>
      </c>
      <c r="E67" s="10">
        <f>Records!K91</f>
        <v>4</v>
      </c>
      <c r="F67" s="10">
        <f>Records!R91</f>
        <v>5</v>
      </c>
      <c r="G67" s="10">
        <f>Records!L91</f>
        <v>5</v>
      </c>
      <c r="H67" s="10">
        <f>Records!M91</f>
        <v>4</v>
      </c>
      <c r="I67" s="10">
        <f>Records!Q91</f>
        <v>4</v>
      </c>
      <c r="J67" s="10">
        <f>Records!W91</f>
        <v>3</v>
      </c>
      <c r="K67" s="10">
        <f>Records!X91</f>
        <v>4</v>
      </c>
      <c r="L67" s="10">
        <f>Records!S91</f>
        <v>5</v>
      </c>
      <c r="M67" s="10">
        <f>Records!T91</f>
        <v>4</v>
      </c>
      <c r="N67" s="10">
        <f>Records!U91</f>
        <v>6</v>
      </c>
      <c r="O67" s="10">
        <f>Records!V91</f>
        <v>5</v>
      </c>
      <c r="P67" s="10">
        <f>Records!O91</f>
        <v>6</v>
      </c>
      <c r="Q67" s="10">
        <f>Records!P91</f>
        <v>4</v>
      </c>
      <c r="R67" s="10">
        <f>AVERAGE(Records!S91,Records!T91,Records!U91)</f>
        <v>5</v>
      </c>
      <c r="S67" s="10">
        <f>AVERAGE(Records!V91,Records!O91,Records!P91)</f>
        <v>5</v>
      </c>
      <c r="T67" s="10">
        <f>Records!AA91</f>
        <v>116.3</v>
      </c>
      <c r="U67" s="10">
        <f>Records!AP91</f>
        <v>2</v>
      </c>
      <c r="V67" s="10">
        <f>IF(Records!AA91&gt;150,1,0)</f>
        <v>0</v>
      </c>
    </row>
    <row r="68">
      <c r="A68" s="5" t="inlineStr">
        <is>
          <t>P016</t>
        </is>
      </c>
      <c r="B68" s="6" t="inlineStr">
        <is>
          <t>One-Euro</t>
        </is>
      </c>
      <c r="C68" s="6" t="inlineStr">
        <is>
          <t>gamepad</t>
        </is>
      </c>
      <c r="D68" s="6" t="n">
        <v>98</v>
      </c>
      <c r="E68" s="10">
        <f>Records!K98</f>
        <v>5</v>
      </c>
      <c r="F68" s="10">
        <f>Records!R98</f>
        <v>5</v>
      </c>
      <c r="G68" s="10">
        <f>Records!L98</f>
        <v>5</v>
      </c>
      <c r="H68" s="10">
        <f>Records!M98</f>
        <v>5</v>
      </c>
      <c r="I68" s="10">
        <f>Records!Q98</f>
        <v>5</v>
      </c>
      <c r="J68" s="10">
        <f>Records!W98</f>
        <v>5</v>
      </c>
      <c r="K68" s="10">
        <f>Records!X98</f>
        <v>5</v>
      </c>
      <c r="L68" s="10">
        <f>Records!S98</f>
        <v>5</v>
      </c>
      <c r="M68" s="10">
        <f>Records!T98</f>
        <v>5</v>
      </c>
      <c r="N68" s="10">
        <f>Records!U98</f>
        <v>7</v>
      </c>
      <c r="O68" s="10">
        <f>Records!V98</f>
        <v>5</v>
      </c>
      <c r="P68" s="10">
        <f>Records!O98</f>
        <v>5</v>
      </c>
      <c r="Q68" s="10">
        <f>Records!P98</f>
        <v>4</v>
      </c>
      <c r="R68" s="10">
        <f>AVERAGE(Records!S98,Records!T98,Records!U98)</f>
        <v>5.666666666666667</v>
      </c>
      <c r="S68" s="10">
        <f>AVERAGE(Records!V98,Records!O98,Records!P98)</f>
        <v>4.666666666666667</v>
      </c>
      <c r="T68" s="10">
        <f>Records!AA98</f>
        <v>193.2</v>
      </c>
      <c r="U68" s="10">
        <f>Records!AP98</f>
        <v>4</v>
      </c>
      <c r="V68" s="10">
        <f>IF(Records!AA98&gt;150,1,0)</f>
        <v>1</v>
      </c>
    </row>
    <row r="69">
      <c r="A69" s="5" t="inlineStr">
        <is>
          <t>P017</t>
        </is>
      </c>
      <c r="B69" s="6" t="inlineStr">
        <is>
          <t>One-Euro</t>
        </is>
      </c>
      <c r="C69" s="6" t="inlineStr">
        <is>
          <t>gamepad</t>
        </is>
      </c>
      <c r="D69" s="6" t="n">
        <v>102</v>
      </c>
      <c r="E69" s="10">
        <f>Records!K102</f>
        <v>5</v>
      </c>
      <c r="F69" s="10">
        <f>Records!R102</f>
        <v>5</v>
      </c>
      <c r="G69" s="10">
        <f>Records!L102</f>
        <v>5</v>
      </c>
      <c r="H69" s="10">
        <f>Records!M102</f>
        <v>6</v>
      </c>
      <c r="I69" s="10">
        <f>Records!Q102</f>
        <v>2</v>
      </c>
      <c r="J69" s="10">
        <f>Records!W102</f>
        <v>2</v>
      </c>
      <c r="K69" s="10">
        <f>Records!X102</f>
        <v>4</v>
      </c>
      <c r="L69" s="10">
        <f>Records!S102</f>
        <v>6</v>
      </c>
      <c r="M69" s="10">
        <f>Records!T102</f>
        <v>5</v>
      </c>
      <c r="N69" s="10">
        <f>Records!U102</f>
        <v>7</v>
      </c>
      <c r="O69" s="10">
        <f>Records!V102</f>
        <v>5</v>
      </c>
      <c r="P69" s="10">
        <f>Records!O102</f>
        <v>5</v>
      </c>
      <c r="Q69" s="10">
        <f>Records!P102</f>
        <v>4</v>
      </c>
      <c r="R69" s="10">
        <f>AVERAGE(Records!S102,Records!T102,Records!U102)</f>
        <v>6</v>
      </c>
      <c r="S69" s="10">
        <f>AVERAGE(Records!V102,Records!O102,Records!P102)</f>
        <v>4.666666666666667</v>
      </c>
      <c r="T69" s="10">
        <f>Records!AA102</f>
        <v>161.7</v>
      </c>
      <c r="U69" s="10">
        <f>Records!AP102</f>
        <v>2</v>
      </c>
      <c r="V69" s="10">
        <f>IF(Records!AA102&gt;150,1,0)</f>
        <v>1</v>
      </c>
    </row>
    <row r="70">
      <c r="A70" s="5" t="inlineStr">
        <is>
          <t>P018</t>
        </is>
      </c>
      <c r="B70" s="6" t="inlineStr">
        <is>
          <t>One-Euro</t>
        </is>
      </c>
      <c r="C70" s="6" t="inlineStr">
        <is>
          <t>gamepad</t>
        </is>
      </c>
      <c r="D70" s="6" t="n">
        <v>107</v>
      </c>
      <c r="E70" s="10">
        <f>Records!K107</f>
        <v>3</v>
      </c>
      <c r="F70" s="10">
        <f>Records!R107</f>
        <v>2</v>
      </c>
      <c r="G70" s="10">
        <f>Records!L107</f>
        <v>4</v>
      </c>
      <c r="H70" s="10">
        <f>Records!M107</f>
        <v>4</v>
      </c>
      <c r="I70" s="10">
        <f>Records!Q107</f>
        <v>3</v>
      </c>
      <c r="J70" s="10">
        <f>Records!W107</f>
        <v>3</v>
      </c>
      <c r="K70" s="10">
        <f>Records!X107</f>
        <v>3</v>
      </c>
      <c r="L70" s="10">
        <f>Records!S107</f>
        <v>5</v>
      </c>
      <c r="M70" s="10">
        <f>Records!T107</f>
        <v>4</v>
      </c>
      <c r="N70" s="10">
        <f>Records!U107</f>
        <v>6</v>
      </c>
      <c r="O70" s="10">
        <f>Records!V107</f>
        <v>5</v>
      </c>
      <c r="P70" s="10">
        <f>Records!O107</f>
        <v>4</v>
      </c>
      <c r="Q70" s="10">
        <f>Records!P107</f>
        <v>5</v>
      </c>
      <c r="R70" s="10">
        <f>AVERAGE(Records!S107,Records!T107,Records!U107)</f>
        <v>5</v>
      </c>
      <c r="S70" s="10">
        <f>AVERAGE(Records!V107,Records!O107,Records!P107)</f>
        <v>4.666666666666667</v>
      </c>
      <c r="T70" s="10">
        <f>Records!AA107</f>
        <v>115.3</v>
      </c>
      <c r="U70" s="10">
        <f>Records!AP107</f>
        <v>3</v>
      </c>
      <c r="V70" s="10">
        <f>IF(Records!AA107&gt;150,1,0)</f>
        <v>0</v>
      </c>
    </row>
    <row r="71">
      <c r="A71" s="5" t="inlineStr">
        <is>
          <t>P019</t>
        </is>
      </c>
      <c r="B71" s="6" t="inlineStr">
        <is>
          <t>One-Euro</t>
        </is>
      </c>
      <c r="C71" s="6" t="inlineStr">
        <is>
          <t>gamepad</t>
        </is>
      </c>
      <c r="D71" s="6" t="n">
        <v>114</v>
      </c>
      <c r="E71" s="10">
        <f>Records!K114</f>
        <v>3</v>
      </c>
      <c r="F71" s="10">
        <f>Records!R114</f>
        <v>4</v>
      </c>
      <c r="G71" s="10">
        <f>Records!L114</f>
        <v>4</v>
      </c>
      <c r="H71" s="10">
        <f>Records!M114</f>
        <v>4</v>
      </c>
      <c r="I71" s="10">
        <f>Records!Q114</f>
        <v>3</v>
      </c>
      <c r="J71" s="10">
        <f>Records!W114</f>
        <v>3</v>
      </c>
      <c r="K71" s="10">
        <f>Records!X114</f>
        <v>4</v>
      </c>
      <c r="L71" s="10">
        <f>Records!S114</f>
        <v>5</v>
      </c>
      <c r="M71" s="10">
        <f>Records!T114</f>
        <v>4</v>
      </c>
      <c r="N71" s="10">
        <f>Records!U114</f>
        <v>6</v>
      </c>
      <c r="O71" s="10">
        <f>Records!V114</f>
        <v>4</v>
      </c>
      <c r="P71" s="10">
        <f>Records!O114</f>
        <v>4</v>
      </c>
      <c r="Q71" s="10">
        <f>Records!P114</f>
        <v>4</v>
      </c>
      <c r="R71" s="10">
        <f>AVERAGE(Records!S114,Records!T114,Records!U114)</f>
        <v>5</v>
      </c>
      <c r="S71" s="10">
        <f>AVERAGE(Records!V114,Records!O114,Records!P114)</f>
        <v>4</v>
      </c>
      <c r="T71" s="10">
        <f>Records!AA114</f>
        <v>133.1</v>
      </c>
      <c r="U71" s="10">
        <f>Records!AP114</f>
        <v>4</v>
      </c>
      <c r="V71" s="10">
        <f>IF(Records!AA114&gt;150,1,0)</f>
        <v>0</v>
      </c>
    </row>
    <row r="72">
      <c r="A72" s="5" t="inlineStr">
        <is>
          <t>P020</t>
        </is>
      </c>
      <c r="B72" s="6" t="inlineStr">
        <is>
          <t>One-Euro</t>
        </is>
      </c>
      <c r="C72" s="6" t="inlineStr">
        <is>
          <t>gamepad</t>
        </is>
      </c>
      <c r="D72" s="6" t="n">
        <v>119</v>
      </c>
      <c r="E72" s="10">
        <f>Records!K119</f>
        <v>5</v>
      </c>
      <c r="F72" s="10">
        <f>Records!R119</f>
        <v>4</v>
      </c>
      <c r="G72" s="10">
        <f>Records!L119</f>
        <v>5</v>
      </c>
      <c r="H72" s="10">
        <f>Records!M119</f>
        <v>5</v>
      </c>
      <c r="I72" s="10">
        <f>Records!Q119</f>
        <v>6</v>
      </c>
      <c r="J72" s="10">
        <f>Records!W119</f>
        <v>6</v>
      </c>
      <c r="K72" s="10">
        <f>Records!X119</f>
        <v>4</v>
      </c>
      <c r="L72" s="10">
        <f>Records!S119</f>
        <v>6</v>
      </c>
      <c r="M72" s="10">
        <f>Records!T119</f>
        <v>6</v>
      </c>
      <c r="N72" s="10">
        <f>Records!U119</f>
        <v>7</v>
      </c>
      <c r="O72" s="10">
        <f>Records!V119</f>
        <v>5</v>
      </c>
      <c r="P72" s="10">
        <f>Records!O119</f>
        <v>5</v>
      </c>
      <c r="Q72" s="10">
        <f>Records!P119</f>
        <v>5</v>
      </c>
      <c r="R72" s="10">
        <f>AVERAGE(Records!S119,Records!T119,Records!U119)</f>
        <v>6.333333333333333</v>
      </c>
      <c r="S72" s="10">
        <f>AVERAGE(Records!V119,Records!O119,Records!P119)</f>
        <v>5</v>
      </c>
      <c r="T72" s="10">
        <f>Records!AA119</f>
        <v>116.8</v>
      </c>
      <c r="U72" s="10">
        <f>Records!AP119</f>
        <v>5</v>
      </c>
      <c r="V72" s="10">
        <f>IF(Records!AA119&gt;150,1,0)</f>
        <v>0</v>
      </c>
    </row>
    <row r="73">
      <c r="A73" s="5" t="inlineStr">
        <is>
          <t>P021</t>
        </is>
      </c>
      <c r="B73" s="6" t="inlineStr">
        <is>
          <t>One-Euro</t>
        </is>
      </c>
      <c r="C73" s="6" t="inlineStr">
        <is>
          <t>gamepad</t>
        </is>
      </c>
      <c r="D73" s="6" t="n">
        <v>126</v>
      </c>
      <c r="E73" s="10">
        <f>Records!K126</f>
        <v>5</v>
      </c>
      <c r="F73" s="10">
        <f>Records!R126</f>
        <v>4</v>
      </c>
      <c r="G73" s="10">
        <f>Records!L126</f>
        <v>5</v>
      </c>
      <c r="H73" s="10">
        <f>Records!M126</f>
        <v>5</v>
      </c>
      <c r="I73" s="10">
        <f>Records!Q126</f>
        <v>5</v>
      </c>
      <c r="J73" s="10">
        <f>Records!W126</f>
        <v>4</v>
      </c>
      <c r="K73" s="10">
        <f>Records!X126</f>
        <v>5</v>
      </c>
      <c r="L73" s="10">
        <f>Records!S126</f>
        <v>6</v>
      </c>
      <c r="M73" s="10">
        <f>Records!T126</f>
        <v>5</v>
      </c>
      <c r="N73" s="10">
        <f>Records!U126</f>
        <v>6</v>
      </c>
      <c r="O73" s="10">
        <f>Records!V126</f>
        <v>5</v>
      </c>
      <c r="P73" s="10">
        <f>Records!O126</f>
        <v>5</v>
      </c>
      <c r="Q73" s="10">
        <f>Records!P126</f>
        <v>5</v>
      </c>
      <c r="R73" s="10">
        <f>AVERAGE(Records!S126,Records!T126,Records!U126)</f>
        <v>5.666666666666667</v>
      </c>
      <c r="S73" s="10">
        <f>AVERAGE(Records!V126,Records!O126,Records!P126)</f>
        <v>5</v>
      </c>
      <c r="T73" s="10">
        <f>Records!AA126</f>
        <v>176.9</v>
      </c>
      <c r="U73" s="10">
        <f>Records!AP126</f>
        <v>6</v>
      </c>
      <c r="V73" s="10">
        <f>IF(Records!AA126&gt;150,1,0)</f>
        <v>1</v>
      </c>
    </row>
    <row r="74">
      <c r="A74" s="5" t="inlineStr">
        <is>
          <t>P022</t>
        </is>
      </c>
      <c r="B74" s="6" t="inlineStr">
        <is>
          <t>One-Euro</t>
        </is>
      </c>
      <c r="C74" s="6" t="inlineStr">
        <is>
          <t>gamepad</t>
        </is>
      </c>
      <c r="D74" s="6" t="n">
        <v>131</v>
      </c>
      <c r="E74" s="10">
        <f>Records!K131</f>
        <v>6</v>
      </c>
      <c r="F74" s="10">
        <f>Records!R131</f>
        <v>6</v>
      </c>
      <c r="G74" s="10">
        <f>Records!L131</f>
        <v>6</v>
      </c>
      <c r="H74" s="10">
        <f>Records!M131</f>
        <v>5</v>
      </c>
      <c r="I74" s="10">
        <f>Records!Q131</f>
        <v>6</v>
      </c>
      <c r="J74" s="10">
        <f>Records!W131</f>
        <v>7</v>
      </c>
      <c r="K74" s="10">
        <f>Records!X131</f>
        <v>6</v>
      </c>
      <c r="L74" s="10">
        <f>Records!S131</f>
        <v>6</v>
      </c>
      <c r="M74" s="10">
        <f>Records!T131</f>
        <v>5</v>
      </c>
      <c r="N74" s="10">
        <f>Records!U131</f>
        <v>7</v>
      </c>
      <c r="O74" s="10">
        <f>Records!V131</f>
        <v>6</v>
      </c>
      <c r="P74" s="10">
        <f>Records!O131</f>
        <v>7</v>
      </c>
      <c r="Q74" s="10">
        <f>Records!P131</f>
        <v>6</v>
      </c>
      <c r="R74" s="10">
        <f>AVERAGE(Records!S131,Records!T131,Records!U131)</f>
        <v>6</v>
      </c>
      <c r="S74" s="10">
        <f>AVERAGE(Records!V131,Records!O131,Records!P131)</f>
        <v>6.333333333333333</v>
      </c>
      <c r="T74" s="10">
        <f>Records!AA131</f>
        <v>95.5</v>
      </c>
      <c r="U74" s="10">
        <f>Records!AP131</f>
        <v>4</v>
      </c>
      <c r="V74" s="10">
        <f>IF(Records!AA131&gt;150,1,0)</f>
        <v>0</v>
      </c>
    </row>
    <row r="75">
      <c r="A75" s="5" t="inlineStr">
        <is>
          <t>P023</t>
        </is>
      </c>
      <c r="B75" s="6" t="inlineStr">
        <is>
          <t>One-Euro</t>
        </is>
      </c>
      <c r="C75" s="6" t="inlineStr">
        <is>
          <t>gamepad</t>
        </is>
      </c>
      <c r="D75" s="6" t="n">
        <v>138</v>
      </c>
      <c r="E75" s="10">
        <f>Records!K138</f>
        <v>4</v>
      </c>
      <c r="F75" s="10">
        <f>Records!R138</f>
        <v>5</v>
      </c>
      <c r="G75" s="10">
        <f>Records!L138</f>
        <v>5</v>
      </c>
      <c r="H75" s="10">
        <f>Records!M138</f>
        <v>5</v>
      </c>
      <c r="I75" s="10">
        <f>Records!Q138</f>
        <v>5</v>
      </c>
      <c r="J75" s="10">
        <f>Records!W138</f>
        <v>5</v>
      </c>
      <c r="K75" s="10">
        <f>Records!X138</f>
        <v>5</v>
      </c>
      <c r="L75" s="10">
        <f>Records!S138</f>
        <v>4</v>
      </c>
      <c r="M75" s="10">
        <f>Records!T138</f>
        <v>5</v>
      </c>
      <c r="N75" s="10">
        <f>Records!U138</f>
        <v>5</v>
      </c>
      <c r="O75" s="10">
        <f>Records!V138</f>
        <v>5</v>
      </c>
      <c r="P75" s="10">
        <f>Records!O138</f>
        <v>5</v>
      </c>
      <c r="Q75" s="10">
        <f>Records!P138</f>
        <v>5</v>
      </c>
      <c r="R75" s="10">
        <f>AVERAGE(Records!S138,Records!T138,Records!U138)</f>
        <v>4.666666666666667</v>
      </c>
      <c r="S75" s="10">
        <f>AVERAGE(Records!V138,Records!O138,Records!P138)</f>
        <v>5</v>
      </c>
      <c r="T75" s="10">
        <f>Records!AA138</f>
        <v>138.6</v>
      </c>
      <c r="U75" s="10">
        <f>Records!AP138</f>
        <v>6</v>
      </c>
      <c r="V75" s="10">
        <f>IF(Records!AA138&gt;150,1,0)</f>
        <v>0</v>
      </c>
    </row>
    <row r="76">
      <c r="A76" s="5" t="inlineStr">
        <is>
          <t>P024</t>
        </is>
      </c>
      <c r="B76" s="6" t="inlineStr">
        <is>
          <t>One-Euro</t>
        </is>
      </c>
      <c r="C76" s="6" t="inlineStr">
        <is>
          <t>gamepad</t>
        </is>
      </c>
      <c r="D76" s="6" t="n">
        <v>143</v>
      </c>
      <c r="E76" s="10">
        <f>Records!K143</f>
        <v>3</v>
      </c>
      <c r="F76" s="10">
        <f>Records!R143</f>
        <v>5</v>
      </c>
      <c r="G76" s="10">
        <f>Records!L143</f>
        <v>4</v>
      </c>
      <c r="H76" s="10">
        <f>Records!M143</f>
        <v>4</v>
      </c>
      <c r="I76" s="10">
        <f>Records!Q143</f>
        <v>5</v>
      </c>
      <c r="J76" s="10">
        <f>Records!W143</f>
        <v>5</v>
      </c>
      <c r="K76" s="10">
        <f>Records!X143</f>
        <v>5</v>
      </c>
      <c r="L76" s="10">
        <f>Records!S143</f>
        <v>5</v>
      </c>
      <c r="M76" s="10">
        <f>Records!T143</f>
        <v>4</v>
      </c>
      <c r="N76" s="10">
        <f>Records!U143</f>
        <v>6</v>
      </c>
      <c r="O76" s="10">
        <f>Records!V143</f>
        <v>6</v>
      </c>
      <c r="P76" s="10">
        <f>Records!O143</f>
        <v>5</v>
      </c>
      <c r="Q76" s="10">
        <f>Records!P143</f>
        <v>5</v>
      </c>
      <c r="R76" s="10">
        <f>AVERAGE(Records!S143,Records!T143,Records!U143)</f>
        <v>5</v>
      </c>
      <c r="S76" s="10">
        <f>AVERAGE(Records!V143,Records!O143,Records!P143)</f>
        <v>5.333333333333333</v>
      </c>
      <c r="T76" s="10">
        <f>Records!AA143</f>
        <v>129.2</v>
      </c>
      <c r="U76" s="10">
        <f>Records!AP143</f>
        <v>5</v>
      </c>
      <c r="V76" s="10">
        <f>IF(Records!AA143&gt;150,1,0)</f>
        <v>0</v>
      </c>
    </row>
    <row r="77">
      <c r="A77" s="5" t="inlineStr">
        <is>
          <t>P001</t>
        </is>
      </c>
      <c r="B77" s="6" t="inlineStr">
        <is>
          <t>EgoAnchor</t>
        </is>
      </c>
      <c r="C77" s="6" t="inlineStr">
        <is>
          <t>blue_mouse</t>
        </is>
      </c>
      <c r="D77" s="6" t="n">
        <v>5</v>
      </c>
      <c r="E77" s="10">
        <f>Records!K5</f>
        <v>5</v>
      </c>
      <c r="F77" s="10">
        <f>Records!R5</f>
        <v>5</v>
      </c>
      <c r="G77" s="10">
        <f>Records!L5</f>
        <v>4</v>
      </c>
      <c r="H77" s="10">
        <f>Records!M5</f>
        <v>4</v>
      </c>
      <c r="I77" s="10">
        <f>Records!Q5</f>
        <v>4</v>
      </c>
      <c r="J77" s="10">
        <f>Records!W5</f>
        <v>5</v>
      </c>
      <c r="K77" s="10">
        <f>Records!X5</f>
        <v>4</v>
      </c>
      <c r="L77" s="10">
        <f>Records!S5</f>
        <v>5</v>
      </c>
      <c r="M77" s="10">
        <f>Records!T5</f>
        <v>5</v>
      </c>
      <c r="N77" s="10">
        <f>Records!U5</f>
        <v>6</v>
      </c>
      <c r="O77" s="10">
        <f>Records!V5</f>
        <v>5</v>
      </c>
      <c r="P77" s="10">
        <f>Records!O5</f>
        <v>5</v>
      </c>
      <c r="Q77" s="10">
        <f>Records!P5</f>
        <v>4</v>
      </c>
      <c r="R77" s="10">
        <f>AVERAGE(Records!S5,Records!T5,Records!U5)</f>
        <v>5.333333333333333</v>
      </c>
      <c r="S77" s="10">
        <f>AVERAGE(Records!V5,Records!O5,Records!P5)</f>
        <v>4.666666666666667</v>
      </c>
      <c r="T77" s="10">
        <f>Records!AA5</f>
        <v>195.6</v>
      </c>
      <c r="U77" s="10">
        <f>Records!AP5</f>
        <v>3</v>
      </c>
      <c r="V77" s="10">
        <f>IF(Records!AA5&gt;150,1,0)</f>
        <v>1</v>
      </c>
    </row>
    <row r="78">
      <c r="A78" s="5" t="inlineStr">
        <is>
          <t>P002</t>
        </is>
      </c>
      <c r="B78" s="6" t="inlineStr">
        <is>
          <t>EgoAnchor</t>
        </is>
      </c>
      <c r="C78" s="6" t="inlineStr">
        <is>
          <t>blue_mouse</t>
        </is>
      </c>
      <c r="D78" s="6" t="n">
        <v>12</v>
      </c>
      <c r="E78" s="10">
        <f>Records!K12</f>
        <v>6</v>
      </c>
      <c r="F78" s="10">
        <f>Records!R12</f>
        <v>6</v>
      </c>
      <c r="G78" s="10">
        <f>Records!L12</f>
        <v>5</v>
      </c>
      <c r="H78" s="10">
        <f>Records!M12</f>
        <v>5</v>
      </c>
      <c r="I78" s="10">
        <f>Records!Q12</f>
        <v>6</v>
      </c>
      <c r="J78" s="10">
        <f>Records!W12</f>
        <v>6</v>
      </c>
      <c r="K78" s="10">
        <f>Records!X12</f>
        <v>5</v>
      </c>
      <c r="L78" s="10">
        <f>Records!S12</f>
        <v>6</v>
      </c>
      <c r="M78" s="10">
        <f>Records!T12</f>
        <v>7</v>
      </c>
      <c r="N78" s="10">
        <f>Records!U12</f>
        <v>7</v>
      </c>
      <c r="O78" s="10">
        <f>Records!V12</f>
        <v>6</v>
      </c>
      <c r="P78" s="10">
        <f>Records!O12</f>
        <v>5</v>
      </c>
      <c r="Q78" s="10">
        <f>Records!P12</f>
        <v>5</v>
      </c>
      <c r="R78" s="10">
        <f>AVERAGE(Records!S12,Records!T12,Records!U12)</f>
        <v>6.666666666666667</v>
      </c>
      <c r="S78" s="10">
        <f>AVERAGE(Records!V12,Records!O12,Records!P12)</f>
        <v>5.333333333333333</v>
      </c>
      <c r="T78" s="10">
        <f>Records!AA12</f>
        <v>122.3</v>
      </c>
      <c r="U78" s="10">
        <f>Records!AP12</f>
        <v>4</v>
      </c>
      <c r="V78" s="10">
        <f>IF(Records!AA12&gt;150,1,0)</f>
        <v>0</v>
      </c>
    </row>
    <row r="79">
      <c r="A79" s="5" t="inlineStr">
        <is>
          <t>P003</t>
        </is>
      </c>
      <c r="B79" s="6" t="inlineStr">
        <is>
          <t>EgoAnchor</t>
        </is>
      </c>
      <c r="C79" s="6" t="inlineStr">
        <is>
          <t>blue_mouse</t>
        </is>
      </c>
      <c r="D79" s="6" t="n">
        <v>17</v>
      </c>
      <c r="E79" s="10">
        <f>Records!K17</f>
        <v>6</v>
      </c>
      <c r="F79" s="10">
        <f>Records!R17</f>
        <v>6</v>
      </c>
      <c r="G79" s="10">
        <f>Records!L17</f>
        <v>5</v>
      </c>
      <c r="H79" s="10">
        <f>Records!M17</f>
        <v>5</v>
      </c>
      <c r="I79" s="10">
        <f>Records!Q17</f>
        <v>4</v>
      </c>
      <c r="J79" s="10">
        <f>Records!W17</f>
        <v>6</v>
      </c>
      <c r="K79" s="10">
        <f>Records!X17</f>
        <v>7</v>
      </c>
      <c r="L79" s="10">
        <f>Records!S17</f>
        <v>6</v>
      </c>
      <c r="M79" s="10">
        <f>Records!T17</f>
        <v>5</v>
      </c>
      <c r="N79" s="10">
        <f>Records!U17</f>
        <v>6</v>
      </c>
      <c r="O79" s="10">
        <f>Records!V17</f>
        <v>5</v>
      </c>
      <c r="P79" s="10">
        <f>Records!O17</f>
        <v>5</v>
      </c>
      <c r="Q79" s="10">
        <f>Records!P17</f>
        <v>5</v>
      </c>
      <c r="R79" s="10">
        <f>AVERAGE(Records!S17,Records!T17,Records!U17)</f>
        <v>5.666666666666667</v>
      </c>
      <c r="S79" s="10">
        <f>AVERAGE(Records!V17,Records!O17,Records!P17)</f>
        <v>5</v>
      </c>
      <c r="T79" s="10">
        <f>Records!AA17</f>
        <v>112.8</v>
      </c>
      <c r="U79" s="10">
        <f>Records!AP17</f>
        <v>4</v>
      </c>
      <c r="V79" s="10">
        <f>IF(Records!AA17&gt;150,1,0)</f>
        <v>0</v>
      </c>
    </row>
    <row r="80">
      <c r="A80" s="5" t="inlineStr">
        <is>
          <t>P004</t>
        </is>
      </c>
      <c r="B80" s="6" t="inlineStr">
        <is>
          <t>EgoAnchor</t>
        </is>
      </c>
      <c r="C80" s="6" t="inlineStr">
        <is>
          <t>blue_mouse</t>
        </is>
      </c>
      <c r="D80" s="6" t="n">
        <v>24</v>
      </c>
      <c r="E80" s="10">
        <f>Records!K24</f>
        <v>6</v>
      </c>
      <c r="F80" s="10">
        <f>Records!R24</f>
        <v>5</v>
      </c>
      <c r="G80" s="10">
        <f>Records!L24</f>
        <v>5</v>
      </c>
      <c r="H80" s="10">
        <f>Records!M24</f>
        <v>5</v>
      </c>
      <c r="I80" s="10">
        <f>Records!Q24</f>
        <v>5</v>
      </c>
      <c r="J80" s="10">
        <f>Records!W24</f>
        <v>5</v>
      </c>
      <c r="K80" s="10">
        <f>Records!X24</f>
        <v>4</v>
      </c>
      <c r="L80" s="10">
        <f>Records!S24</f>
        <v>5</v>
      </c>
      <c r="M80" s="10">
        <f>Records!T24</f>
        <v>5</v>
      </c>
      <c r="N80" s="10">
        <f>Records!U24</f>
        <v>6</v>
      </c>
      <c r="O80" s="10">
        <f>Records!V24</f>
        <v>6</v>
      </c>
      <c r="P80" s="10">
        <f>Records!O24</f>
        <v>3</v>
      </c>
      <c r="Q80" s="10">
        <f>Records!P24</f>
        <v>5</v>
      </c>
      <c r="R80" s="10">
        <f>AVERAGE(Records!S24,Records!T24,Records!U24)</f>
        <v>5.333333333333333</v>
      </c>
      <c r="S80" s="10">
        <f>AVERAGE(Records!V24,Records!O24,Records!P24)</f>
        <v>4.666666666666667</v>
      </c>
      <c r="T80" s="10">
        <f>Records!AA24</f>
        <v>151.1</v>
      </c>
      <c r="U80" s="10">
        <f>Records!AP24</f>
        <v>5</v>
      </c>
      <c r="V80" s="10">
        <f>IF(Records!AA24&gt;150,1,0)</f>
        <v>1</v>
      </c>
    </row>
    <row r="81">
      <c r="A81" s="5" t="inlineStr">
        <is>
          <t>P005</t>
        </is>
      </c>
      <c r="B81" s="6" t="inlineStr">
        <is>
          <t>EgoAnchor</t>
        </is>
      </c>
      <c r="C81" s="6" t="inlineStr">
        <is>
          <t>blue_mouse</t>
        </is>
      </c>
      <c r="D81" s="6" t="n">
        <v>29</v>
      </c>
      <c r="E81" s="10">
        <f>Records!K29</f>
        <v>7</v>
      </c>
      <c r="F81" s="10">
        <f>Records!R29</f>
        <v>4</v>
      </c>
      <c r="G81" s="10">
        <f>Records!L29</f>
        <v>4</v>
      </c>
      <c r="H81" s="10">
        <f>Records!M29</f>
        <v>4</v>
      </c>
      <c r="I81" s="10">
        <f>Records!Q29</f>
        <v>4</v>
      </c>
      <c r="J81" s="10">
        <f>Records!W29</f>
        <v>4</v>
      </c>
      <c r="K81" s="10">
        <f>Records!X29</f>
        <v>5</v>
      </c>
      <c r="L81" s="10">
        <f>Records!S29</f>
        <v>4</v>
      </c>
      <c r="M81" s="10">
        <f>Records!T29</f>
        <v>4</v>
      </c>
      <c r="N81" s="10">
        <f>Records!U29</f>
        <v>6</v>
      </c>
      <c r="O81" s="10">
        <f>Records!V29</f>
        <v>6</v>
      </c>
      <c r="P81" s="10">
        <f>Records!O29</f>
        <v>5</v>
      </c>
      <c r="Q81" s="10">
        <f>Records!P29</f>
        <v>6</v>
      </c>
      <c r="R81" s="10">
        <f>AVERAGE(Records!S29,Records!T29,Records!U29)</f>
        <v>4.666666666666667</v>
      </c>
      <c r="S81" s="10">
        <f>AVERAGE(Records!V29,Records!O29,Records!P29)</f>
        <v>5.666666666666667</v>
      </c>
      <c r="T81" s="10">
        <f>Records!AA29</f>
        <v>122.8</v>
      </c>
      <c r="U81" s="10">
        <f>Records!AP29</f>
        <v>4</v>
      </c>
      <c r="V81" s="10">
        <f>IF(Records!AA29&gt;150,1,0)</f>
        <v>0</v>
      </c>
    </row>
    <row r="82">
      <c r="A82" s="5" t="inlineStr">
        <is>
          <t>P006</t>
        </is>
      </c>
      <c r="B82" s="6" t="inlineStr">
        <is>
          <t>EgoAnchor</t>
        </is>
      </c>
      <c r="C82" s="6" t="inlineStr">
        <is>
          <t>blue_mouse</t>
        </is>
      </c>
      <c r="D82" s="6" t="n">
        <v>36</v>
      </c>
      <c r="E82" s="10">
        <f>Records!K36</f>
        <v>3</v>
      </c>
      <c r="F82" s="10">
        <f>Records!R36</f>
        <v>4</v>
      </c>
      <c r="G82" s="10">
        <f>Records!L36</f>
        <v>4</v>
      </c>
      <c r="H82" s="10">
        <f>Records!M36</f>
        <v>4</v>
      </c>
      <c r="I82" s="10">
        <f>Records!Q36</f>
        <v>3</v>
      </c>
      <c r="J82" s="10">
        <f>Records!W36</f>
        <v>4</v>
      </c>
      <c r="K82" s="10">
        <f>Records!X36</f>
        <v>4</v>
      </c>
      <c r="L82" s="10">
        <f>Records!S36</f>
        <v>5</v>
      </c>
      <c r="M82" s="10">
        <f>Records!T36</f>
        <v>4</v>
      </c>
      <c r="N82" s="10">
        <f>Records!U36</f>
        <v>4</v>
      </c>
      <c r="O82" s="10">
        <f>Records!V36</f>
        <v>4</v>
      </c>
      <c r="P82" s="10">
        <f>Records!O36</f>
        <v>3</v>
      </c>
      <c r="Q82" s="10">
        <f>Records!P36</f>
        <v>4</v>
      </c>
      <c r="R82" s="10">
        <f>AVERAGE(Records!S36,Records!T36,Records!U36)</f>
        <v>4.333333333333333</v>
      </c>
      <c r="S82" s="10">
        <f>AVERAGE(Records!V36,Records!O36,Records!P36)</f>
        <v>3.6666666666666665</v>
      </c>
      <c r="T82" s="10">
        <f>Records!AA36</f>
        <v>159.1</v>
      </c>
      <c r="U82" s="10">
        <f>Records!AP36</f>
        <v>5</v>
      </c>
      <c r="V82" s="10">
        <f>IF(Records!AA36&gt;150,1,0)</f>
        <v>1</v>
      </c>
    </row>
    <row r="83">
      <c r="A83" s="5" t="inlineStr">
        <is>
          <t>P007</t>
        </is>
      </c>
      <c r="B83" s="6" t="inlineStr">
        <is>
          <t>EgoAnchor</t>
        </is>
      </c>
      <c r="C83" s="6" t="inlineStr">
        <is>
          <t>blue_mouse</t>
        </is>
      </c>
      <c r="D83" s="6" t="n">
        <v>41</v>
      </c>
      <c r="E83" s="10">
        <f>Records!K41</f>
        <v>6</v>
      </c>
      <c r="F83" s="10">
        <f>Records!R41</f>
        <v>5</v>
      </c>
      <c r="G83" s="10">
        <f>Records!L41</f>
        <v>6</v>
      </c>
      <c r="H83" s="10">
        <f>Records!M41</f>
        <v>6</v>
      </c>
      <c r="I83" s="10">
        <f>Records!Q41</f>
        <v>5</v>
      </c>
      <c r="J83" s="10">
        <f>Records!W41</f>
        <v>6</v>
      </c>
      <c r="K83" s="10">
        <f>Records!X41</f>
        <v>6</v>
      </c>
      <c r="L83" s="10">
        <f>Records!S41</f>
        <v>6</v>
      </c>
      <c r="M83" s="10">
        <f>Records!T41</f>
        <v>6</v>
      </c>
      <c r="N83" s="10">
        <f>Records!U41</f>
        <v>6</v>
      </c>
      <c r="O83" s="10">
        <f>Records!V41</f>
        <v>6</v>
      </c>
      <c r="P83" s="10">
        <f>Records!O41</f>
        <v>6</v>
      </c>
      <c r="Q83" s="10">
        <f>Records!P41</f>
        <v>6</v>
      </c>
      <c r="R83" s="10">
        <f>AVERAGE(Records!S41,Records!T41,Records!U41)</f>
        <v>6</v>
      </c>
      <c r="S83" s="10">
        <f>AVERAGE(Records!V41,Records!O41,Records!P41)</f>
        <v>6</v>
      </c>
      <c r="T83" s="10">
        <f>Records!AA41</f>
        <v>163.7</v>
      </c>
      <c r="U83" s="10">
        <f>Records!AP41</f>
        <v>6</v>
      </c>
      <c r="V83" s="10">
        <f>IF(Records!AA41&gt;150,1,0)</f>
        <v>1</v>
      </c>
    </row>
    <row r="84">
      <c r="A84" s="5" t="inlineStr">
        <is>
          <t>P008</t>
        </is>
      </c>
      <c r="B84" s="6" t="inlineStr">
        <is>
          <t>EgoAnchor</t>
        </is>
      </c>
      <c r="C84" s="6" t="inlineStr">
        <is>
          <t>blue_mouse</t>
        </is>
      </c>
      <c r="D84" s="6" t="n">
        <v>48</v>
      </c>
      <c r="E84" s="10">
        <f>Records!K48</f>
        <v>6</v>
      </c>
      <c r="F84" s="10">
        <f>Records!R48</f>
        <v>4</v>
      </c>
      <c r="G84" s="10">
        <f>Records!L48</f>
        <v>4</v>
      </c>
      <c r="H84" s="10">
        <f>Records!M48</f>
        <v>5</v>
      </c>
      <c r="I84" s="10">
        <f>Records!Q48</f>
        <v>3</v>
      </c>
      <c r="J84" s="10">
        <f>Records!W48</f>
        <v>6</v>
      </c>
      <c r="K84" s="10">
        <f>Records!X48</f>
        <v>6</v>
      </c>
      <c r="L84" s="10">
        <f>Records!S48</f>
        <v>4</v>
      </c>
      <c r="M84" s="10">
        <f>Records!T48</f>
        <v>5</v>
      </c>
      <c r="N84" s="10">
        <f>Records!U48</f>
        <v>5</v>
      </c>
      <c r="O84" s="10">
        <f>Records!V48</f>
        <v>5</v>
      </c>
      <c r="P84" s="10">
        <f>Records!O48</f>
        <v>4</v>
      </c>
      <c r="Q84" s="10">
        <f>Records!P48</f>
        <v>4</v>
      </c>
      <c r="R84" s="10">
        <f>AVERAGE(Records!S48,Records!T48,Records!U48)</f>
        <v>4.666666666666667</v>
      </c>
      <c r="S84" s="10">
        <f>AVERAGE(Records!V48,Records!O48,Records!P48)</f>
        <v>4.333333333333333</v>
      </c>
      <c r="T84" s="10">
        <f>Records!AA48</f>
        <v>143</v>
      </c>
      <c r="U84" s="10">
        <f>Records!AP48</f>
        <v>3</v>
      </c>
      <c r="V84" s="10">
        <f>IF(Records!AA48&gt;150,1,0)</f>
        <v>0</v>
      </c>
    </row>
    <row r="85">
      <c r="A85" s="5" t="inlineStr">
        <is>
          <t>P009</t>
        </is>
      </c>
      <c r="B85" s="6" t="inlineStr">
        <is>
          <t>EgoAnchor</t>
        </is>
      </c>
      <c r="C85" s="6" t="inlineStr">
        <is>
          <t>blue_mouse</t>
        </is>
      </c>
      <c r="D85" s="6" t="n">
        <v>56</v>
      </c>
      <c r="E85" s="10">
        <f>Records!K56</f>
        <v>6</v>
      </c>
      <c r="F85" s="10">
        <f>Records!R56</f>
        <v>7</v>
      </c>
      <c r="G85" s="10">
        <f>Records!L56</f>
        <v>6</v>
      </c>
      <c r="H85" s="10">
        <f>Records!M56</f>
        <v>6</v>
      </c>
      <c r="I85" s="10">
        <f>Records!Q56</f>
        <v>7</v>
      </c>
      <c r="J85" s="10">
        <f>Records!W56</f>
        <v>7</v>
      </c>
      <c r="K85" s="10">
        <f>Records!X56</f>
        <v>6</v>
      </c>
      <c r="L85" s="10">
        <f>Records!S56</f>
        <v>6</v>
      </c>
      <c r="M85" s="10">
        <f>Records!T56</f>
        <v>6</v>
      </c>
      <c r="N85" s="10">
        <f>Records!U56</f>
        <v>7</v>
      </c>
      <c r="O85" s="10">
        <f>Records!V56</f>
        <v>7</v>
      </c>
      <c r="P85" s="10">
        <f>Records!O56</f>
        <v>5</v>
      </c>
      <c r="Q85" s="10">
        <f>Records!P56</f>
        <v>5</v>
      </c>
      <c r="R85" s="10">
        <f>AVERAGE(Records!S56,Records!T56,Records!U56)</f>
        <v>6.333333333333333</v>
      </c>
      <c r="S85" s="10">
        <f>AVERAGE(Records!V56,Records!O56,Records!P56)</f>
        <v>5.666666666666667</v>
      </c>
      <c r="T85" s="10">
        <f>Records!AA56</f>
        <v>121.8</v>
      </c>
      <c r="U85" s="10">
        <f>Records!AP56</f>
        <v>3</v>
      </c>
      <c r="V85" s="10">
        <f>IF(Records!AA56&gt;150,1,0)</f>
        <v>0</v>
      </c>
    </row>
    <row r="86">
      <c r="A86" s="5" t="inlineStr">
        <is>
          <t>P010</t>
        </is>
      </c>
      <c r="B86" s="6" t="inlineStr">
        <is>
          <t>EgoAnchor</t>
        </is>
      </c>
      <c r="C86" s="6" t="inlineStr">
        <is>
          <t>blue_mouse</t>
        </is>
      </c>
      <c r="D86" s="6" t="n">
        <v>61</v>
      </c>
      <c r="E86" s="10">
        <f>Records!K61</f>
        <v>6</v>
      </c>
      <c r="F86" s="10">
        <f>Records!R61</f>
        <v>6</v>
      </c>
      <c r="G86" s="10">
        <f>Records!L61</f>
        <v>5</v>
      </c>
      <c r="H86" s="10">
        <f>Records!M61</f>
        <v>5</v>
      </c>
      <c r="I86" s="10">
        <f>Records!Q61</f>
        <v>5</v>
      </c>
      <c r="J86" s="10">
        <f>Records!W61</f>
        <v>6</v>
      </c>
      <c r="K86" s="10">
        <f>Records!X61</f>
        <v>6</v>
      </c>
      <c r="L86" s="10">
        <f>Records!S61</f>
        <v>6</v>
      </c>
      <c r="M86" s="10">
        <f>Records!T61</f>
        <v>5</v>
      </c>
      <c r="N86" s="10">
        <f>Records!U61</f>
        <v>6</v>
      </c>
      <c r="O86" s="10">
        <f>Records!V61</f>
        <v>6</v>
      </c>
      <c r="P86" s="10">
        <f>Records!O61</f>
        <v>6</v>
      </c>
      <c r="Q86" s="10">
        <f>Records!P61</f>
        <v>5</v>
      </c>
      <c r="R86" s="10">
        <f>AVERAGE(Records!S61,Records!T61,Records!U61)</f>
        <v>5.666666666666667</v>
      </c>
      <c r="S86" s="10">
        <f>AVERAGE(Records!V61,Records!O61,Records!P61)</f>
        <v>5.666666666666667</v>
      </c>
      <c r="T86" s="10">
        <f>Records!AA61</f>
        <v>196.6</v>
      </c>
      <c r="U86" s="10">
        <f>Records!AP61</f>
        <v>4</v>
      </c>
      <c r="V86" s="10">
        <f>IF(Records!AA61&gt;150,1,0)</f>
        <v>1</v>
      </c>
    </row>
    <row r="87">
      <c r="A87" s="5" t="inlineStr">
        <is>
          <t>P011</t>
        </is>
      </c>
      <c r="B87" s="6" t="inlineStr">
        <is>
          <t>EgoAnchor</t>
        </is>
      </c>
      <c r="C87" s="6" t="inlineStr">
        <is>
          <t>blue_mouse</t>
        </is>
      </c>
      <c r="D87" s="6" t="n">
        <v>68</v>
      </c>
      <c r="E87" s="10">
        <f>Records!K68</f>
        <v>6</v>
      </c>
      <c r="F87" s="10">
        <f>Records!R68</f>
        <v>5</v>
      </c>
      <c r="G87" s="10">
        <f>Records!L68</f>
        <v>6</v>
      </c>
      <c r="H87" s="10">
        <f>Records!M68</f>
        <v>5</v>
      </c>
      <c r="I87" s="10">
        <f>Records!Q68</f>
        <v>5</v>
      </c>
      <c r="J87" s="10">
        <f>Records!W68</f>
        <v>6</v>
      </c>
      <c r="K87" s="10">
        <f>Records!X68</f>
        <v>6</v>
      </c>
      <c r="L87" s="10">
        <f>Records!S68</f>
        <v>5</v>
      </c>
      <c r="M87" s="10">
        <f>Records!T68</f>
        <v>6</v>
      </c>
      <c r="N87" s="10">
        <f>Records!U68</f>
        <v>6</v>
      </c>
      <c r="O87" s="10">
        <f>Records!V68</f>
        <v>6</v>
      </c>
      <c r="P87" s="10">
        <f>Records!O68</f>
        <v>6</v>
      </c>
      <c r="Q87" s="10">
        <f>Records!P68</f>
        <v>6</v>
      </c>
      <c r="R87" s="10">
        <f>AVERAGE(Records!S68,Records!T68,Records!U68)</f>
        <v>5.666666666666667</v>
      </c>
      <c r="S87" s="10">
        <f>AVERAGE(Records!V68,Records!O68,Records!P68)</f>
        <v>6</v>
      </c>
      <c r="T87" s="10">
        <f>Records!AA68</f>
        <v>159.2</v>
      </c>
      <c r="U87" s="10">
        <f>Records!AP68</f>
        <v>5</v>
      </c>
      <c r="V87" s="10">
        <f>IF(Records!AA68&gt;150,1,0)</f>
        <v>1</v>
      </c>
    </row>
    <row r="88">
      <c r="A88" s="5" t="inlineStr">
        <is>
          <t>P012</t>
        </is>
      </c>
      <c r="B88" s="6" t="inlineStr">
        <is>
          <t>EgoAnchor</t>
        </is>
      </c>
      <c r="C88" s="6" t="inlineStr">
        <is>
          <t>blue_mouse</t>
        </is>
      </c>
      <c r="D88" s="6" t="n">
        <v>73</v>
      </c>
      <c r="E88" s="10">
        <f>Records!K73</f>
        <v>7</v>
      </c>
      <c r="F88" s="10">
        <f>Records!R73</f>
        <v>6</v>
      </c>
      <c r="G88" s="10">
        <f>Records!L73</f>
        <v>5</v>
      </c>
      <c r="H88" s="10">
        <f>Records!M73</f>
        <v>6</v>
      </c>
      <c r="I88" s="10">
        <f>Records!Q73</f>
        <v>4</v>
      </c>
      <c r="J88" s="10">
        <f>Records!W73</f>
        <v>5</v>
      </c>
      <c r="K88" s="10">
        <f>Records!X73</f>
        <v>5</v>
      </c>
      <c r="L88" s="10">
        <f>Records!S73</f>
        <v>7</v>
      </c>
      <c r="M88" s="10">
        <f>Records!T73</f>
        <v>5</v>
      </c>
      <c r="N88" s="10">
        <f>Records!U73</f>
        <v>7</v>
      </c>
      <c r="O88" s="10">
        <f>Records!V73</f>
        <v>6</v>
      </c>
      <c r="P88" s="10">
        <f>Records!O73</f>
        <v>4</v>
      </c>
      <c r="Q88" s="10">
        <f>Records!P73</f>
        <v>6</v>
      </c>
      <c r="R88" s="10">
        <f>AVERAGE(Records!S73,Records!T73,Records!U73)</f>
        <v>6.333333333333333</v>
      </c>
      <c r="S88" s="10">
        <f>AVERAGE(Records!V73,Records!O73,Records!P73)</f>
        <v>5.333333333333333</v>
      </c>
      <c r="T88" s="10">
        <f>Records!AA73</f>
        <v>119.8</v>
      </c>
      <c r="U88" s="10">
        <f>Records!AP73</f>
        <v>2</v>
      </c>
      <c r="V88" s="10">
        <f>IF(Records!AA73&gt;150,1,0)</f>
        <v>0</v>
      </c>
    </row>
    <row r="89">
      <c r="A89" s="5" t="inlineStr">
        <is>
          <t>P013</t>
        </is>
      </c>
      <c r="B89" s="6" t="inlineStr">
        <is>
          <t>EgoAnchor</t>
        </is>
      </c>
      <c r="C89" s="6" t="inlineStr">
        <is>
          <t>blue_mouse</t>
        </is>
      </c>
      <c r="D89" s="6" t="n">
        <v>81</v>
      </c>
      <c r="E89" s="10">
        <f>Records!K81</f>
        <v>6</v>
      </c>
      <c r="F89" s="10">
        <f>Records!R81</f>
        <v>5</v>
      </c>
      <c r="G89" s="10">
        <f>Records!L81</f>
        <v>5</v>
      </c>
      <c r="H89" s="10">
        <f>Records!M81</f>
        <v>5</v>
      </c>
      <c r="I89" s="10">
        <f>Records!Q81</f>
        <v>4</v>
      </c>
      <c r="J89" s="10">
        <f>Records!W81</f>
        <v>6</v>
      </c>
      <c r="K89" s="10">
        <f>Records!X81</f>
        <v>5</v>
      </c>
      <c r="L89" s="10">
        <f>Records!S81</f>
        <v>5</v>
      </c>
      <c r="M89" s="10">
        <f>Records!T81</f>
        <v>6</v>
      </c>
      <c r="N89" s="10">
        <f>Records!U81</f>
        <v>5</v>
      </c>
      <c r="O89" s="10">
        <f>Records!V81</f>
        <v>5</v>
      </c>
      <c r="P89" s="10">
        <f>Records!O81</f>
        <v>5</v>
      </c>
      <c r="Q89" s="10">
        <f>Records!P81</f>
        <v>5</v>
      </c>
      <c r="R89" s="10">
        <f>AVERAGE(Records!S81,Records!T81,Records!U81)</f>
        <v>5.333333333333333</v>
      </c>
      <c r="S89" s="10">
        <f>AVERAGE(Records!V81,Records!O81,Records!P81)</f>
        <v>5</v>
      </c>
      <c r="T89" s="10">
        <f>Records!AA81</f>
        <v>145.1</v>
      </c>
      <c r="U89" s="10">
        <f>Records!AP81</f>
        <v>4</v>
      </c>
      <c r="V89" s="10">
        <f>IF(Records!AA81&gt;150,1,0)</f>
        <v>0</v>
      </c>
    </row>
    <row r="90">
      <c r="A90" s="5" t="inlineStr">
        <is>
          <t>P014</t>
        </is>
      </c>
      <c r="B90" s="6" t="inlineStr">
        <is>
          <t>EgoAnchor</t>
        </is>
      </c>
      <c r="C90" s="6" t="inlineStr">
        <is>
          <t>blue_mouse</t>
        </is>
      </c>
      <c r="D90" s="6" t="n">
        <v>88</v>
      </c>
      <c r="E90" s="10">
        <f>Records!K88</f>
        <v>6</v>
      </c>
      <c r="F90" s="10">
        <f>Records!R88</f>
        <v>5</v>
      </c>
      <c r="G90" s="10">
        <f>Records!L88</f>
        <v>5</v>
      </c>
      <c r="H90" s="10">
        <f>Records!M88</f>
        <v>4</v>
      </c>
      <c r="I90" s="10">
        <f>Records!Q88</f>
        <v>4</v>
      </c>
      <c r="J90" s="10">
        <f>Records!W88</f>
        <v>4</v>
      </c>
      <c r="K90" s="10">
        <f>Records!X88</f>
        <v>6</v>
      </c>
      <c r="L90" s="10">
        <f>Records!S88</f>
        <v>5</v>
      </c>
      <c r="M90" s="10">
        <f>Records!T88</f>
        <v>5</v>
      </c>
      <c r="N90" s="10">
        <f>Records!U88</f>
        <v>6</v>
      </c>
      <c r="O90" s="10">
        <f>Records!V88</f>
        <v>5</v>
      </c>
      <c r="P90" s="10">
        <f>Records!O88</f>
        <v>5</v>
      </c>
      <c r="Q90" s="10">
        <f>Records!P88</f>
        <v>4</v>
      </c>
      <c r="R90" s="10">
        <f>AVERAGE(Records!S88,Records!T88,Records!U88)</f>
        <v>5.333333333333333</v>
      </c>
      <c r="S90" s="10">
        <f>AVERAGE(Records!V88,Records!O88,Records!P88)</f>
        <v>4.666666666666667</v>
      </c>
      <c r="T90" s="10">
        <f>Records!AA88</f>
        <v>140.7</v>
      </c>
      <c r="U90" s="10">
        <f>Records!AP88</f>
        <v>3</v>
      </c>
      <c r="V90" s="10">
        <f>IF(Records!AA88&gt;150,1,0)</f>
        <v>0</v>
      </c>
    </row>
    <row r="91">
      <c r="A91" s="5" t="inlineStr">
        <is>
          <t>P015</t>
        </is>
      </c>
      <c r="B91" s="6" t="inlineStr">
        <is>
          <t>EgoAnchor</t>
        </is>
      </c>
      <c r="C91" s="6" t="inlineStr">
        <is>
          <t>blue_mouse</t>
        </is>
      </c>
      <c r="D91" s="6" t="n">
        <v>93</v>
      </c>
      <c r="E91" s="10">
        <f>Records!K93</f>
        <v>6</v>
      </c>
      <c r="F91" s="10">
        <f>Records!R93</f>
        <v>5</v>
      </c>
      <c r="G91" s="10">
        <f>Records!L93</f>
        <v>4</v>
      </c>
      <c r="H91" s="10">
        <f>Records!M93</f>
        <v>4</v>
      </c>
      <c r="I91" s="10">
        <f>Records!Q93</f>
        <v>4</v>
      </c>
      <c r="J91" s="10">
        <f>Records!W93</f>
        <v>4</v>
      </c>
      <c r="K91" s="10">
        <f>Records!X93</f>
        <v>5</v>
      </c>
      <c r="L91" s="10">
        <f>Records!S93</f>
        <v>4</v>
      </c>
      <c r="M91" s="10">
        <f>Records!T93</f>
        <v>4</v>
      </c>
      <c r="N91" s="10">
        <f>Records!U93</f>
        <v>4</v>
      </c>
      <c r="O91" s="10">
        <f>Records!V93</f>
        <v>5</v>
      </c>
      <c r="P91" s="10">
        <f>Records!O93</f>
        <v>5</v>
      </c>
      <c r="Q91" s="10">
        <f>Records!P93</f>
        <v>5</v>
      </c>
      <c r="R91" s="10">
        <f>AVERAGE(Records!S93,Records!T93,Records!U93)</f>
        <v>4</v>
      </c>
      <c r="S91" s="10">
        <f>AVERAGE(Records!V93,Records!O93,Records!P93)</f>
        <v>5</v>
      </c>
      <c r="T91" s="10">
        <f>Records!AA93</f>
        <v>103.7</v>
      </c>
      <c r="U91" s="10">
        <f>Records!AP93</f>
        <v>3</v>
      </c>
      <c r="V91" s="10">
        <f>IF(Records!AA93&gt;150,1,0)</f>
        <v>0</v>
      </c>
    </row>
    <row r="92">
      <c r="A92" s="5" t="inlineStr">
        <is>
          <t>P016</t>
        </is>
      </c>
      <c r="B92" s="6" t="inlineStr">
        <is>
          <t>EgoAnchor</t>
        </is>
      </c>
      <c r="C92" s="6" t="inlineStr">
        <is>
          <t>blue_mouse</t>
        </is>
      </c>
      <c r="D92" s="6" t="n">
        <v>100</v>
      </c>
      <c r="E92" s="10">
        <f>Records!K100</f>
        <v>5</v>
      </c>
      <c r="F92" s="10">
        <f>Records!R100</f>
        <v>5</v>
      </c>
      <c r="G92" s="10">
        <f>Records!L100</f>
        <v>5</v>
      </c>
      <c r="H92" s="10">
        <f>Records!M100</f>
        <v>5</v>
      </c>
      <c r="I92" s="10">
        <f>Records!Q100</f>
        <v>5</v>
      </c>
      <c r="J92" s="10">
        <f>Records!W100</f>
        <v>6</v>
      </c>
      <c r="K92" s="10">
        <f>Records!X100</f>
        <v>6</v>
      </c>
      <c r="L92" s="10">
        <f>Records!S100</f>
        <v>5</v>
      </c>
      <c r="M92" s="10">
        <f>Records!T100</f>
        <v>5</v>
      </c>
      <c r="N92" s="10">
        <f>Records!U100</f>
        <v>6</v>
      </c>
      <c r="O92" s="10">
        <f>Records!V100</f>
        <v>6</v>
      </c>
      <c r="P92" s="10">
        <f>Records!O100</f>
        <v>5</v>
      </c>
      <c r="Q92" s="10">
        <f>Records!P100</f>
        <v>5</v>
      </c>
      <c r="R92" s="10">
        <f>AVERAGE(Records!S100,Records!T100,Records!U100)</f>
        <v>5.333333333333333</v>
      </c>
      <c r="S92" s="10">
        <f>AVERAGE(Records!V100,Records!O100,Records!P100)</f>
        <v>5.333333333333333</v>
      </c>
      <c r="T92" s="10">
        <f>Records!AA100</f>
        <v>183.1</v>
      </c>
      <c r="U92" s="10">
        <f>Records!AP100</f>
        <v>9</v>
      </c>
      <c r="V92" s="10">
        <f>IF(Records!AA100&gt;150,1,0)</f>
        <v>1</v>
      </c>
    </row>
    <row r="93">
      <c r="A93" s="5" t="inlineStr">
        <is>
          <t>P017</t>
        </is>
      </c>
      <c r="B93" s="6" t="inlineStr">
        <is>
          <t>EgoAnchor</t>
        </is>
      </c>
      <c r="C93" s="6" t="inlineStr">
        <is>
          <t>blue_mouse</t>
        </is>
      </c>
      <c r="D93" s="6" t="n">
        <v>104</v>
      </c>
      <c r="E93" s="10">
        <f>Records!K104</f>
        <v>4</v>
      </c>
      <c r="F93" s="10">
        <f>Records!R104</f>
        <v>3</v>
      </c>
      <c r="G93" s="10">
        <f>Records!L104</f>
        <v>4</v>
      </c>
      <c r="H93" s="10">
        <f>Records!M104</f>
        <v>5</v>
      </c>
      <c r="I93" s="10">
        <f>Records!Q104</f>
        <v>5</v>
      </c>
      <c r="J93" s="10">
        <f>Records!W104</f>
        <v>6</v>
      </c>
      <c r="K93" s="10">
        <f>Records!X104</f>
        <v>4</v>
      </c>
      <c r="L93" s="10">
        <f>Records!S104</f>
        <v>5</v>
      </c>
      <c r="M93" s="10">
        <f>Records!T104</f>
        <v>4</v>
      </c>
      <c r="N93" s="10">
        <f>Records!U104</f>
        <v>7</v>
      </c>
      <c r="O93" s="10">
        <f>Records!V104</f>
        <v>6</v>
      </c>
      <c r="P93" s="10">
        <f>Records!O104</f>
        <v>5</v>
      </c>
      <c r="Q93" s="10">
        <f>Records!P104</f>
        <v>5</v>
      </c>
      <c r="R93" s="10">
        <f>AVERAGE(Records!S104,Records!T104,Records!U104)</f>
        <v>5.333333333333333</v>
      </c>
      <c r="S93" s="10">
        <f>AVERAGE(Records!V104,Records!O104,Records!P104)</f>
        <v>5.333333333333333</v>
      </c>
      <c r="T93" s="10">
        <f>Records!AA104</f>
        <v>150.1</v>
      </c>
      <c r="U93" s="10">
        <f>Records!AP104</f>
        <v>4</v>
      </c>
      <c r="V93" s="10">
        <f>IF(Records!AA104&gt;150,1,0)</f>
        <v>1</v>
      </c>
    </row>
    <row r="94">
      <c r="A94" s="5" t="inlineStr">
        <is>
          <t>P018</t>
        </is>
      </c>
      <c r="B94" s="6" t="inlineStr">
        <is>
          <t>EgoAnchor</t>
        </is>
      </c>
      <c r="C94" s="6" t="inlineStr">
        <is>
          <t>blue_mouse</t>
        </is>
      </c>
      <c r="D94" s="6" t="n">
        <v>109</v>
      </c>
      <c r="E94" s="10">
        <f>Records!K109</f>
        <v>7</v>
      </c>
      <c r="F94" s="10">
        <f>Records!R109</f>
        <v>5</v>
      </c>
      <c r="G94" s="10">
        <f>Records!L109</f>
        <v>4</v>
      </c>
      <c r="H94" s="10">
        <f>Records!M109</f>
        <v>5</v>
      </c>
      <c r="I94" s="10">
        <f>Records!Q109</f>
        <v>6</v>
      </c>
      <c r="J94" s="10">
        <f>Records!W109</f>
        <v>6</v>
      </c>
      <c r="K94" s="10">
        <f>Records!X109</f>
        <v>6</v>
      </c>
      <c r="L94" s="10">
        <f>Records!S109</f>
        <v>6</v>
      </c>
      <c r="M94" s="10">
        <f>Records!T109</f>
        <v>5</v>
      </c>
      <c r="N94" s="10">
        <f>Records!U109</f>
        <v>6</v>
      </c>
      <c r="O94" s="10">
        <f>Records!V109</f>
        <v>6</v>
      </c>
      <c r="P94" s="10">
        <f>Records!O109</f>
        <v>5</v>
      </c>
      <c r="Q94" s="10">
        <f>Records!P109</f>
        <v>5</v>
      </c>
      <c r="R94" s="10">
        <f>AVERAGE(Records!S109,Records!T109,Records!U109)</f>
        <v>5.666666666666667</v>
      </c>
      <c r="S94" s="10">
        <f>AVERAGE(Records!V109,Records!O109,Records!P109)</f>
        <v>5.333333333333333</v>
      </c>
      <c r="T94" s="10">
        <f>Records!AA109</f>
        <v>120.8</v>
      </c>
      <c r="U94" s="10">
        <f>Records!AP109</f>
        <v>4</v>
      </c>
      <c r="V94" s="10">
        <f>IF(Records!AA109&gt;150,1,0)</f>
        <v>0</v>
      </c>
    </row>
    <row r="95">
      <c r="A95" s="5" t="inlineStr">
        <is>
          <t>P019</t>
        </is>
      </c>
      <c r="B95" s="6" t="inlineStr">
        <is>
          <t>EgoAnchor</t>
        </is>
      </c>
      <c r="C95" s="6" t="inlineStr">
        <is>
          <t>blue_mouse</t>
        </is>
      </c>
      <c r="D95" s="6" t="n">
        <v>116</v>
      </c>
      <c r="E95" s="10">
        <f>Records!K116</f>
        <v>7</v>
      </c>
      <c r="F95" s="10">
        <f>Records!R116</f>
        <v>6</v>
      </c>
      <c r="G95" s="10">
        <f>Records!L116</f>
        <v>6</v>
      </c>
      <c r="H95" s="10">
        <f>Records!M116</f>
        <v>4</v>
      </c>
      <c r="I95" s="10">
        <f>Records!Q116</f>
        <v>5</v>
      </c>
      <c r="J95" s="10">
        <f>Records!W116</f>
        <v>6</v>
      </c>
      <c r="K95" s="10">
        <f>Records!X116</f>
        <v>6</v>
      </c>
      <c r="L95" s="10">
        <f>Records!S116</f>
        <v>6</v>
      </c>
      <c r="M95" s="10">
        <f>Records!T116</f>
        <v>7</v>
      </c>
      <c r="N95" s="10">
        <f>Records!U116</f>
        <v>6</v>
      </c>
      <c r="O95" s="10">
        <f>Records!V116</f>
        <v>6</v>
      </c>
      <c r="P95" s="10">
        <f>Records!O116</f>
        <v>6</v>
      </c>
      <c r="Q95" s="10">
        <f>Records!P116</f>
        <v>5</v>
      </c>
      <c r="R95" s="10">
        <f>AVERAGE(Records!S116,Records!T116,Records!U116)</f>
        <v>6.333333333333333</v>
      </c>
      <c r="S95" s="10">
        <f>AVERAGE(Records!V116,Records!O116,Records!P116)</f>
        <v>5.666666666666667</v>
      </c>
      <c r="T95" s="10">
        <f>Records!AA116</f>
        <v>128.6</v>
      </c>
      <c r="U95" s="10">
        <f>Records!AP116</f>
        <v>4</v>
      </c>
      <c r="V95" s="10">
        <f>IF(Records!AA116&gt;150,1,0)</f>
        <v>0</v>
      </c>
    </row>
    <row r="96">
      <c r="A96" s="5" t="inlineStr">
        <is>
          <t>P020</t>
        </is>
      </c>
      <c r="B96" s="6" t="inlineStr">
        <is>
          <t>EgoAnchor</t>
        </is>
      </c>
      <c r="C96" s="6" t="inlineStr">
        <is>
          <t>blue_mouse</t>
        </is>
      </c>
      <c r="D96" s="6" t="n">
        <v>121</v>
      </c>
      <c r="E96" s="10">
        <f>Records!K121</f>
        <v>5</v>
      </c>
      <c r="F96" s="10">
        <f>Records!R121</f>
        <v>7</v>
      </c>
      <c r="G96" s="10">
        <f>Records!L121</f>
        <v>4</v>
      </c>
      <c r="H96" s="10">
        <f>Records!M121</f>
        <v>4</v>
      </c>
      <c r="I96" s="10">
        <f>Records!Q121</f>
        <v>5</v>
      </c>
      <c r="J96" s="10">
        <f>Records!W121</f>
        <v>5</v>
      </c>
      <c r="K96" s="10">
        <f>Records!X121</f>
        <v>4</v>
      </c>
      <c r="L96" s="10">
        <f>Records!S121</f>
        <v>6</v>
      </c>
      <c r="M96" s="10">
        <f>Records!T121</f>
        <v>5</v>
      </c>
      <c r="N96" s="10">
        <f>Records!U121</f>
        <v>6</v>
      </c>
      <c r="O96" s="10">
        <f>Records!V121</f>
        <v>4</v>
      </c>
      <c r="P96" s="10">
        <f>Records!O121</f>
        <v>4</v>
      </c>
      <c r="Q96" s="10">
        <f>Records!P121</f>
        <v>6</v>
      </c>
      <c r="R96" s="10">
        <f>AVERAGE(Records!S121,Records!T121,Records!U121)</f>
        <v>5.666666666666667</v>
      </c>
      <c r="S96" s="10">
        <f>AVERAGE(Records!V121,Records!O121,Records!P121)</f>
        <v>4.666666666666667</v>
      </c>
      <c r="T96" s="10">
        <f>Records!AA121</f>
        <v>98</v>
      </c>
      <c r="U96" s="10">
        <f>Records!AP121</f>
        <v>3</v>
      </c>
      <c r="V96" s="10">
        <f>IF(Records!AA121&gt;150,1,0)</f>
        <v>0</v>
      </c>
    </row>
    <row r="97">
      <c r="A97" s="5" t="inlineStr">
        <is>
          <t>P021</t>
        </is>
      </c>
      <c r="B97" s="6" t="inlineStr">
        <is>
          <t>EgoAnchor</t>
        </is>
      </c>
      <c r="C97" s="6" t="inlineStr">
        <is>
          <t>blue_mouse</t>
        </is>
      </c>
      <c r="D97" s="6" t="n">
        <v>129</v>
      </c>
      <c r="E97" s="10">
        <f>Records!K129</f>
        <v>6</v>
      </c>
      <c r="F97" s="10">
        <f>Records!R129</f>
        <v>5</v>
      </c>
      <c r="G97" s="10">
        <f>Records!L129</f>
        <v>4</v>
      </c>
      <c r="H97" s="10">
        <f>Records!M129</f>
        <v>5</v>
      </c>
      <c r="I97" s="10">
        <f>Records!Q129</f>
        <v>5</v>
      </c>
      <c r="J97" s="10">
        <f>Records!W129</f>
        <v>4</v>
      </c>
      <c r="K97" s="10">
        <f>Records!X129</f>
        <v>4</v>
      </c>
      <c r="L97" s="10">
        <f>Records!S129</f>
        <v>4</v>
      </c>
      <c r="M97" s="10">
        <f>Records!T129</f>
        <v>5</v>
      </c>
      <c r="N97" s="10">
        <f>Records!U129</f>
        <v>5</v>
      </c>
      <c r="O97" s="10">
        <f>Records!V129</f>
        <v>5</v>
      </c>
      <c r="P97" s="10">
        <f>Records!O129</f>
        <v>5</v>
      </c>
      <c r="Q97" s="10">
        <f>Records!P129</f>
        <v>5</v>
      </c>
      <c r="R97" s="10">
        <f>AVERAGE(Records!S129,Records!T129,Records!U129)</f>
        <v>4.666666666666667</v>
      </c>
      <c r="S97" s="10">
        <f>AVERAGE(Records!V129,Records!O129,Records!P129)</f>
        <v>5</v>
      </c>
      <c r="T97" s="10">
        <f>Records!AA129</f>
        <v>158.5</v>
      </c>
      <c r="U97" s="10">
        <f>Records!AP129</f>
        <v>5</v>
      </c>
      <c r="V97" s="10">
        <f>IF(Records!AA129&gt;150,1,0)</f>
        <v>1</v>
      </c>
    </row>
    <row r="98">
      <c r="A98" s="5" t="inlineStr">
        <is>
          <t>P022</t>
        </is>
      </c>
      <c r="B98" s="6" t="inlineStr">
        <is>
          <t>EgoAnchor</t>
        </is>
      </c>
      <c r="C98" s="6" t="inlineStr">
        <is>
          <t>blue_mouse</t>
        </is>
      </c>
      <c r="D98" s="6" t="n">
        <v>136</v>
      </c>
      <c r="E98" s="10">
        <f>Records!K136</f>
        <v>6</v>
      </c>
      <c r="F98" s="10">
        <f>Records!R136</f>
        <v>6</v>
      </c>
      <c r="G98" s="10">
        <f>Records!L136</f>
        <v>6</v>
      </c>
      <c r="H98" s="10">
        <f>Records!M136</f>
        <v>6</v>
      </c>
      <c r="I98" s="10">
        <f>Records!Q136</f>
        <v>7</v>
      </c>
      <c r="J98" s="10">
        <f>Records!W136</f>
        <v>7</v>
      </c>
      <c r="K98" s="10">
        <f>Records!X136</f>
        <v>6</v>
      </c>
      <c r="L98" s="10">
        <f>Records!S136</f>
        <v>4</v>
      </c>
      <c r="M98" s="10">
        <f>Records!T136</f>
        <v>5</v>
      </c>
      <c r="N98" s="10">
        <f>Records!U136</f>
        <v>5</v>
      </c>
      <c r="O98" s="10">
        <f>Records!V136</f>
        <v>7</v>
      </c>
      <c r="P98" s="10">
        <f>Records!O136</f>
        <v>6</v>
      </c>
      <c r="Q98" s="10">
        <f>Records!P136</f>
        <v>6</v>
      </c>
      <c r="R98" s="10">
        <f>AVERAGE(Records!S136,Records!T136,Records!U136)</f>
        <v>4.666666666666667</v>
      </c>
      <c r="S98" s="10">
        <f>AVERAGE(Records!V136,Records!O136,Records!P136)</f>
        <v>6.333333333333333</v>
      </c>
      <c r="T98" s="10">
        <f>Records!AA136</f>
        <v>119.9</v>
      </c>
      <c r="U98" s="10">
        <f>Records!AP136</f>
        <v>5</v>
      </c>
      <c r="V98" s="10">
        <f>IF(Records!AA136&gt;150,1,0)</f>
        <v>0</v>
      </c>
    </row>
    <row r="99">
      <c r="A99" s="5" t="inlineStr">
        <is>
          <t>P023</t>
        </is>
      </c>
      <c r="B99" s="6" t="inlineStr">
        <is>
          <t>EgoAnchor</t>
        </is>
      </c>
      <c r="C99" s="6" t="inlineStr">
        <is>
          <t>blue_mouse</t>
        </is>
      </c>
      <c r="D99" s="6" t="n">
        <v>141</v>
      </c>
      <c r="E99" s="10">
        <f>Records!K141</f>
        <v>5</v>
      </c>
      <c r="F99" s="10">
        <f>Records!R141</f>
        <v>4</v>
      </c>
      <c r="G99" s="10">
        <f>Records!L141</f>
        <v>4</v>
      </c>
      <c r="H99" s="10">
        <f>Records!M141</f>
        <v>4</v>
      </c>
      <c r="I99" s="10">
        <f>Records!Q141</f>
        <v>5</v>
      </c>
      <c r="J99" s="10">
        <f>Records!W141</f>
        <v>5</v>
      </c>
      <c r="K99" s="10">
        <f>Records!X141</f>
        <v>5</v>
      </c>
      <c r="L99" s="10">
        <f>Records!S141</f>
        <v>4</v>
      </c>
      <c r="M99" s="10">
        <f>Records!T141</f>
        <v>4</v>
      </c>
      <c r="N99" s="10">
        <f>Records!U141</f>
        <v>5</v>
      </c>
      <c r="O99" s="10">
        <f>Records!V141</f>
        <v>4</v>
      </c>
      <c r="P99" s="10">
        <f>Records!O141</f>
        <v>4</v>
      </c>
      <c r="Q99" s="10">
        <f>Records!P141</f>
        <v>5</v>
      </c>
      <c r="R99" s="10">
        <f>AVERAGE(Records!S141,Records!T141,Records!U141)</f>
        <v>4.333333333333333</v>
      </c>
      <c r="S99" s="10">
        <f>AVERAGE(Records!V141,Records!O141,Records!P141)</f>
        <v>4.333333333333333</v>
      </c>
      <c r="T99" s="10">
        <f>Records!AA141</f>
        <v>141</v>
      </c>
      <c r="U99" s="10">
        <f>Records!AP141</f>
        <v>3</v>
      </c>
      <c r="V99" s="10">
        <f>IF(Records!AA141&gt;150,1,0)</f>
        <v>0</v>
      </c>
    </row>
    <row r="100">
      <c r="A100" s="5" t="inlineStr">
        <is>
          <t>P024</t>
        </is>
      </c>
      <c r="B100" s="6" t="inlineStr">
        <is>
          <t>EgoAnchor</t>
        </is>
      </c>
      <c r="C100" s="6" t="inlineStr">
        <is>
          <t>blue_mouse</t>
        </is>
      </c>
      <c r="D100" s="6" t="n">
        <v>148</v>
      </c>
      <c r="E100" s="10">
        <f>Records!K148</f>
        <v>5</v>
      </c>
      <c r="F100" s="10">
        <f>Records!R148</f>
        <v>6</v>
      </c>
      <c r="G100" s="10">
        <f>Records!L148</f>
        <v>3</v>
      </c>
      <c r="H100" s="10">
        <f>Records!M148</f>
        <v>4</v>
      </c>
      <c r="I100" s="10">
        <f>Records!Q148</f>
        <v>5</v>
      </c>
      <c r="J100" s="10">
        <f>Records!W148</f>
        <v>7</v>
      </c>
      <c r="K100" s="10">
        <f>Records!X148</f>
        <v>5</v>
      </c>
      <c r="L100" s="10">
        <f>Records!S148</f>
        <v>6</v>
      </c>
      <c r="M100" s="10">
        <f>Records!T148</f>
        <v>5</v>
      </c>
      <c r="N100" s="10">
        <f>Records!U148</f>
        <v>6</v>
      </c>
      <c r="O100" s="10">
        <f>Records!V148</f>
        <v>6</v>
      </c>
      <c r="P100" s="10">
        <f>Records!O148</f>
        <v>5</v>
      </c>
      <c r="Q100" s="10">
        <f>Records!P148</f>
        <v>5</v>
      </c>
      <c r="R100" s="10">
        <f>AVERAGE(Records!S148,Records!T148,Records!U148)</f>
        <v>5.666666666666667</v>
      </c>
      <c r="S100" s="10">
        <f>AVERAGE(Records!V148,Records!O148,Records!P148)</f>
        <v>5.333333333333333</v>
      </c>
      <c r="T100" s="10">
        <f>Records!AA148</f>
        <v>140.5</v>
      </c>
      <c r="U100" s="10">
        <f>Records!AP148</f>
        <v>3</v>
      </c>
      <c r="V100" s="10">
        <f>IF(Records!AA148&gt;150,1,0)</f>
        <v>0</v>
      </c>
    </row>
    <row r="101">
      <c r="A101" s="5" t="inlineStr">
        <is>
          <t>P001</t>
        </is>
      </c>
      <c r="B101" s="6" t="inlineStr">
        <is>
          <t>EgoAnchor</t>
        </is>
      </c>
      <c r="C101" s="6" t="inlineStr">
        <is>
          <t>stapler</t>
        </is>
      </c>
      <c r="D101" s="6" t="n">
        <v>8</v>
      </c>
      <c r="E101" s="10">
        <f>Records!K8</f>
        <v>5</v>
      </c>
      <c r="F101" s="10">
        <f>Records!R8</f>
        <v>5</v>
      </c>
      <c r="G101" s="10">
        <f>Records!L8</f>
        <v>5</v>
      </c>
      <c r="H101" s="10">
        <f>Records!M8</f>
        <v>5</v>
      </c>
      <c r="I101" s="10">
        <f>Records!Q8</f>
        <v>5</v>
      </c>
      <c r="J101" s="10">
        <f>Records!W8</f>
        <v>5</v>
      </c>
      <c r="K101" s="10">
        <f>Records!X8</f>
        <v>6</v>
      </c>
      <c r="L101" s="10">
        <f>Records!S8</f>
        <v>5</v>
      </c>
      <c r="M101" s="10">
        <f>Records!T8</f>
        <v>5</v>
      </c>
      <c r="N101" s="10">
        <f>Records!U8</f>
        <v>7</v>
      </c>
      <c r="O101" s="10">
        <f>Records!V8</f>
        <v>5</v>
      </c>
      <c r="P101" s="10">
        <f>Records!O8</f>
        <v>6</v>
      </c>
      <c r="Q101" s="10">
        <f>Records!P8</f>
        <v>5</v>
      </c>
      <c r="R101" s="10">
        <f>AVERAGE(Records!S8,Records!T8,Records!U8)</f>
        <v>5.666666666666667</v>
      </c>
      <c r="S101" s="10">
        <f>AVERAGE(Records!V8,Records!O8,Records!P8)</f>
        <v>5.333333333333333</v>
      </c>
      <c r="T101" s="10">
        <f>Records!AA8</f>
        <v>170.4</v>
      </c>
      <c r="U101" s="10">
        <f>Records!AP8</f>
        <v>5</v>
      </c>
      <c r="V101" s="10">
        <f>IF(Records!AA8&gt;150,1,0)</f>
        <v>1</v>
      </c>
    </row>
    <row r="102">
      <c r="A102" s="5" t="inlineStr">
        <is>
          <t>P002</t>
        </is>
      </c>
      <c r="B102" s="6" t="inlineStr">
        <is>
          <t>EgoAnchor</t>
        </is>
      </c>
      <c r="C102" s="6" t="inlineStr">
        <is>
          <t>stapler</t>
        </is>
      </c>
      <c r="D102" s="6" t="n">
        <v>13</v>
      </c>
      <c r="E102" s="10">
        <f>Records!K13</f>
        <v>6</v>
      </c>
      <c r="F102" s="10">
        <f>Records!R13</f>
        <v>6</v>
      </c>
      <c r="G102" s="10">
        <f>Records!L13</f>
        <v>5</v>
      </c>
      <c r="H102" s="10">
        <f>Records!M13</f>
        <v>6</v>
      </c>
      <c r="I102" s="10">
        <f>Records!Q13</f>
        <v>5</v>
      </c>
      <c r="J102" s="10">
        <f>Records!W13</f>
        <v>5</v>
      </c>
      <c r="K102" s="10">
        <f>Records!X13</f>
        <v>6</v>
      </c>
      <c r="L102" s="10">
        <f>Records!S13</f>
        <v>7</v>
      </c>
      <c r="M102" s="10">
        <f>Records!T13</f>
        <v>6</v>
      </c>
      <c r="N102" s="10">
        <f>Records!U13</f>
        <v>6</v>
      </c>
      <c r="O102" s="10">
        <f>Records!V13</f>
        <v>6</v>
      </c>
      <c r="P102" s="10">
        <f>Records!O13</f>
        <v>5</v>
      </c>
      <c r="Q102" s="10">
        <f>Records!P13</f>
        <v>6</v>
      </c>
      <c r="R102" s="10">
        <f>AVERAGE(Records!S13,Records!T13,Records!U13)</f>
        <v>6.333333333333333</v>
      </c>
      <c r="S102" s="10">
        <f>AVERAGE(Records!V13,Records!O13,Records!P13)</f>
        <v>5.666666666666667</v>
      </c>
      <c r="T102" s="10">
        <f>Records!AA13</f>
        <v>102.4</v>
      </c>
      <c r="U102" s="10">
        <f>Records!AP13</f>
        <v>3</v>
      </c>
      <c r="V102" s="10">
        <f>IF(Records!AA13&gt;150,1,0)</f>
        <v>0</v>
      </c>
    </row>
    <row r="103">
      <c r="A103" s="5" t="inlineStr">
        <is>
          <t>P003</t>
        </is>
      </c>
      <c r="B103" s="6" t="inlineStr">
        <is>
          <t>EgoAnchor</t>
        </is>
      </c>
      <c r="C103" s="6" t="inlineStr">
        <is>
          <t>stapler</t>
        </is>
      </c>
      <c r="D103" s="6" t="n">
        <v>20</v>
      </c>
      <c r="E103" s="10">
        <f>Records!K20</f>
        <v>7</v>
      </c>
      <c r="F103" s="10">
        <f>Records!R20</f>
        <v>6</v>
      </c>
      <c r="G103" s="10">
        <f>Records!L20</f>
        <v>6</v>
      </c>
      <c r="H103" s="10">
        <f>Records!M20</f>
        <v>6</v>
      </c>
      <c r="I103" s="10">
        <f>Records!Q20</f>
        <v>5</v>
      </c>
      <c r="J103" s="10">
        <f>Records!W20</f>
        <v>6</v>
      </c>
      <c r="K103" s="10">
        <f>Records!X20</f>
        <v>6</v>
      </c>
      <c r="L103" s="10">
        <f>Records!S20</f>
        <v>6</v>
      </c>
      <c r="M103" s="10">
        <f>Records!T20</f>
        <v>6</v>
      </c>
      <c r="N103" s="10">
        <f>Records!U20</f>
        <v>6</v>
      </c>
      <c r="O103" s="10">
        <f>Records!V20</f>
        <v>6</v>
      </c>
      <c r="P103" s="10">
        <f>Records!O20</f>
        <v>5</v>
      </c>
      <c r="Q103" s="10">
        <f>Records!P20</f>
        <v>6</v>
      </c>
      <c r="R103" s="10">
        <f>AVERAGE(Records!S20,Records!T20,Records!U20)</f>
        <v>6</v>
      </c>
      <c r="S103" s="10">
        <f>AVERAGE(Records!V20,Records!O20,Records!P20)</f>
        <v>5.666666666666667</v>
      </c>
      <c r="T103" s="10">
        <f>Records!AA20</f>
        <v>141.2</v>
      </c>
      <c r="U103" s="10">
        <f>Records!AP20</f>
        <v>7</v>
      </c>
      <c r="V103" s="10">
        <f>IF(Records!AA20&gt;150,1,0)</f>
        <v>0</v>
      </c>
    </row>
    <row r="104">
      <c r="A104" s="5" t="inlineStr">
        <is>
          <t>P004</t>
        </is>
      </c>
      <c r="B104" s="6" t="inlineStr">
        <is>
          <t>EgoAnchor</t>
        </is>
      </c>
      <c r="C104" s="6" t="inlineStr">
        <is>
          <t>stapler</t>
        </is>
      </c>
      <c r="D104" s="6" t="n">
        <v>25</v>
      </c>
      <c r="E104" s="10">
        <f>Records!K25</f>
        <v>7</v>
      </c>
      <c r="F104" s="10">
        <f>Records!R25</f>
        <v>4</v>
      </c>
      <c r="G104" s="10">
        <f>Records!L25</f>
        <v>6</v>
      </c>
      <c r="H104" s="10">
        <f>Records!M25</f>
        <v>6</v>
      </c>
      <c r="I104" s="10">
        <f>Records!Q25</f>
        <v>4</v>
      </c>
      <c r="J104" s="10">
        <f>Records!W25</f>
        <v>5</v>
      </c>
      <c r="K104" s="10">
        <f>Records!X25</f>
        <v>6</v>
      </c>
      <c r="L104" s="10">
        <f>Records!S25</f>
        <v>6</v>
      </c>
      <c r="M104" s="10">
        <f>Records!T25</f>
        <v>7</v>
      </c>
      <c r="N104" s="10">
        <f>Records!U25</f>
        <v>6</v>
      </c>
      <c r="O104" s="10">
        <f>Records!V25</f>
        <v>6</v>
      </c>
      <c r="P104" s="10">
        <f>Records!O25</f>
        <v>6</v>
      </c>
      <c r="Q104" s="10">
        <f>Records!P25</f>
        <v>6</v>
      </c>
      <c r="R104" s="10">
        <f>AVERAGE(Records!S25,Records!T25,Records!U25)</f>
        <v>6.333333333333333</v>
      </c>
      <c r="S104" s="10">
        <f>AVERAGE(Records!V25,Records!O25,Records!P25)</f>
        <v>6</v>
      </c>
      <c r="T104" s="10">
        <f>Records!AA25</f>
        <v>153.7</v>
      </c>
      <c r="U104" s="10">
        <f>Records!AP25</f>
        <v>4</v>
      </c>
      <c r="V104" s="10">
        <f>IF(Records!AA25&gt;150,1,0)</f>
        <v>1</v>
      </c>
    </row>
    <row r="105">
      <c r="A105" s="5" t="inlineStr">
        <is>
          <t>P005</t>
        </is>
      </c>
      <c r="B105" s="6" t="inlineStr">
        <is>
          <t>EgoAnchor</t>
        </is>
      </c>
      <c r="C105" s="6" t="inlineStr">
        <is>
          <t>stapler</t>
        </is>
      </c>
      <c r="D105" s="6" t="n">
        <v>33</v>
      </c>
      <c r="E105" s="10">
        <f>Records!K33</f>
        <v>6</v>
      </c>
      <c r="F105" s="10">
        <f>Records!R33</f>
        <v>5</v>
      </c>
      <c r="G105" s="10">
        <f>Records!L33</f>
        <v>4</v>
      </c>
      <c r="H105" s="10">
        <f>Records!M33</f>
        <v>5</v>
      </c>
      <c r="I105" s="10">
        <f>Records!Q33</f>
        <v>5</v>
      </c>
      <c r="J105" s="10">
        <f>Records!W33</f>
        <v>5</v>
      </c>
      <c r="K105" s="10">
        <f>Records!X33</f>
        <v>4</v>
      </c>
      <c r="L105" s="10">
        <f>Records!S33</f>
        <v>6</v>
      </c>
      <c r="M105" s="10">
        <f>Records!T33</f>
        <v>5</v>
      </c>
      <c r="N105" s="10">
        <f>Records!U33</f>
        <v>7</v>
      </c>
      <c r="O105" s="10">
        <f>Records!V33</f>
        <v>6</v>
      </c>
      <c r="P105" s="10">
        <f>Records!O33</f>
        <v>5</v>
      </c>
      <c r="Q105" s="10">
        <f>Records!P33</f>
        <v>5</v>
      </c>
      <c r="R105" s="10">
        <f>AVERAGE(Records!S33,Records!T33,Records!U33)</f>
        <v>6</v>
      </c>
      <c r="S105" s="10">
        <f>AVERAGE(Records!V33,Records!O33,Records!P33)</f>
        <v>5.333333333333333</v>
      </c>
      <c r="T105" s="10">
        <f>Records!AA33</f>
        <v>122.7</v>
      </c>
      <c r="U105" s="10">
        <f>Records!AP33</f>
        <v>5</v>
      </c>
      <c r="V105" s="10">
        <f>IF(Records!AA33&gt;150,1,0)</f>
        <v>0</v>
      </c>
    </row>
    <row r="106">
      <c r="A106" s="5" t="inlineStr">
        <is>
          <t>P006</t>
        </is>
      </c>
      <c r="B106" s="6" t="inlineStr">
        <is>
          <t>EgoAnchor</t>
        </is>
      </c>
      <c r="C106" s="6" t="inlineStr">
        <is>
          <t>stapler</t>
        </is>
      </c>
      <c r="D106" s="6" t="n">
        <v>40</v>
      </c>
      <c r="E106" s="10">
        <f>Records!K40</f>
        <v>5</v>
      </c>
      <c r="F106" s="10">
        <f>Records!R40</f>
        <v>6</v>
      </c>
      <c r="G106" s="10">
        <f>Records!L40</f>
        <v>5</v>
      </c>
      <c r="H106" s="10">
        <f>Records!M40</f>
        <v>5</v>
      </c>
      <c r="I106" s="10">
        <f>Records!Q40</f>
        <v>6</v>
      </c>
      <c r="J106" s="10">
        <f>Records!W40</f>
        <v>3</v>
      </c>
      <c r="K106" s="10">
        <f>Records!X40</f>
        <v>6</v>
      </c>
      <c r="L106" s="10">
        <f>Records!S40</f>
        <v>6</v>
      </c>
      <c r="M106" s="10">
        <f>Records!T40</f>
        <v>5</v>
      </c>
      <c r="N106" s="10">
        <f>Records!U40</f>
        <v>5</v>
      </c>
      <c r="O106" s="10">
        <f>Records!V40</f>
        <v>5</v>
      </c>
      <c r="P106" s="10">
        <f>Records!O40</f>
        <v>4</v>
      </c>
      <c r="Q106" s="10">
        <f>Records!P40</f>
        <v>6</v>
      </c>
      <c r="R106" s="10">
        <f>AVERAGE(Records!S40,Records!T40,Records!U40)</f>
        <v>5.333333333333333</v>
      </c>
      <c r="S106" s="10">
        <f>AVERAGE(Records!V40,Records!O40,Records!P40)</f>
        <v>5</v>
      </c>
      <c r="T106" s="10">
        <f>Records!AA40</f>
        <v>115.5</v>
      </c>
      <c r="U106" s="10">
        <f>Records!AP40</f>
        <v>4</v>
      </c>
      <c r="V106" s="10">
        <f>IF(Records!AA40&gt;150,1,0)</f>
        <v>0</v>
      </c>
    </row>
    <row r="107">
      <c r="A107" s="5" t="inlineStr">
        <is>
          <t>P007</t>
        </is>
      </c>
      <c r="B107" s="6" t="inlineStr">
        <is>
          <t>EgoAnchor</t>
        </is>
      </c>
      <c r="C107" s="6" t="inlineStr">
        <is>
          <t>stapler</t>
        </is>
      </c>
      <c r="D107" s="6" t="n">
        <v>45</v>
      </c>
      <c r="E107" s="10">
        <f>Records!K45</f>
        <v>5</v>
      </c>
      <c r="F107" s="10">
        <f>Records!R45</f>
        <v>6</v>
      </c>
      <c r="G107" s="10">
        <f>Records!L45</f>
        <v>5</v>
      </c>
      <c r="H107" s="10">
        <f>Records!M45</f>
        <v>6</v>
      </c>
      <c r="I107" s="10">
        <f>Records!Q45</f>
        <v>6</v>
      </c>
      <c r="J107" s="10">
        <f>Records!W45</f>
        <v>6</v>
      </c>
      <c r="K107" s="10">
        <f>Records!X45</f>
        <v>6</v>
      </c>
      <c r="L107" s="10">
        <f>Records!S45</f>
        <v>6</v>
      </c>
      <c r="M107" s="10">
        <f>Records!T45</f>
        <v>6</v>
      </c>
      <c r="N107" s="10">
        <f>Records!U45</f>
        <v>7</v>
      </c>
      <c r="O107" s="10">
        <f>Records!V45</f>
        <v>6</v>
      </c>
      <c r="P107" s="10">
        <f>Records!O45</f>
        <v>6</v>
      </c>
      <c r="Q107" s="10">
        <f>Records!P45</f>
        <v>6</v>
      </c>
      <c r="R107" s="10">
        <f>AVERAGE(Records!S45,Records!T45,Records!U45)</f>
        <v>6.333333333333333</v>
      </c>
      <c r="S107" s="10">
        <f>AVERAGE(Records!V45,Records!O45,Records!P45)</f>
        <v>6</v>
      </c>
      <c r="T107" s="10">
        <f>Records!AA45</f>
        <v>153.6</v>
      </c>
      <c r="U107" s="10">
        <f>Records!AP45</f>
        <v>7</v>
      </c>
      <c r="V107" s="10">
        <f>IF(Records!AA45&gt;150,1,0)</f>
        <v>1</v>
      </c>
    </row>
    <row r="108">
      <c r="A108" s="5" t="inlineStr">
        <is>
          <t>P008</t>
        </is>
      </c>
      <c r="B108" s="6" t="inlineStr">
        <is>
          <t>EgoAnchor</t>
        </is>
      </c>
      <c r="C108" s="6" t="inlineStr">
        <is>
          <t>stapler</t>
        </is>
      </c>
      <c r="D108" s="6" t="n">
        <v>52</v>
      </c>
      <c r="E108" s="10">
        <f>Records!K52</f>
        <v>6</v>
      </c>
      <c r="F108" s="10">
        <f>Records!R52</f>
        <v>6</v>
      </c>
      <c r="G108" s="10">
        <f>Records!L52</f>
        <v>6</v>
      </c>
      <c r="H108" s="10">
        <f>Records!M52</f>
        <v>4</v>
      </c>
      <c r="I108" s="10">
        <f>Records!Q52</f>
        <v>5</v>
      </c>
      <c r="J108" s="10">
        <f>Records!W52</f>
        <v>5</v>
      </c>
      <c r="K108" s="10">
        <f>Records!X52</f>
        <v>6</v>
      </c>
      <c r="L108" s="10">
        <f>Records!S52</f>
        <v>6</v>
      </c>
      <c r="M108" s="10">
        <f>Records!T52</f>
        <v>6</v>
      </c>
      <c r="N108" s="10">
        <f>Records!U52</f>
        <v>6</v>
      </c>
      <c r="O108" s="10">
        <f>Records!V52</f>
        <v>6</v>
      </c>
      <c r="P108" s="10">
        <f>Records!O52</f>
        <v>4</v>
      </c>
      <c r="Q108" s="10">
        <f>Records!P52</f>
        <v>5</v>
      </c>
      <c r="R108" s="10">
        <f>AVERAGE(Records!S52,Records!T52,Records!U52)</f>
        <v>6</v>
      </c>
      <c r="S108" s="10">
        <f>AVERAGE(Records!V52,Records!O52,Records!P52)</f>
        <v>5</v>
      </c>
      <c r="T108" s="10">
        <f>Records!AA52</f>
        <v>119.6</v>
      </c>
      <c r="U108" s="10">
        <f>Records!AP52</f>
        <v>5</v>
      </c>
      <c r="V108" s="10">
        <f>IF(Records!AA52&gt;150,1,0)</f>
        <v>0</v>
      </c>
    </row>
    <row r="109">
      <c r="A109" s="5" t="inlineStr">
        <is>
          <t>P009</t>
        </is>
      </c>
      <c r="B109" s="6" t="inlineStr">
        <is>
          <t>EgoAnchor</t>
        </is>
      </c>
      <c r="C109" s="6" t="inlineStr">
        <is>
          <t>stapler</t>
        </is>
      </c>
      <c r="D109" s="6" t="n">
        <v>53</v>
      </c>
      <c r="E109" s="10">
        <f>Records!K53</f>
        <v>7</v>
      </c>
      <c r="F109" s="10">
        <f>Records!R53</f>
        <v>6</v>
      </c>
      <c r="G109" s="10">
        <f>Records!L53</f>
        <v>5</v>
      </c>
      <c r="H109" s="10">
        <f>Records!M53</f>
        <v>5</v>
      </c>
      <c r="I109" s="10">
        <f>Records!Q53</f>
        <v>6</v>
      </c>
      <c r="J109" s="10">
        <f>Records!W53</f>
        <v>6</v>
      </c>
      <c r="K109" s="10">
        <f>Records!X53</f>
        <v>6</v>
      </c>
      <c r="L109" s="10">
        <f>Records!S53</f>
        <v>6</v>
      </c>
      <c r="M109" s="10">
        <f>Records!T53</f>
        <v>6</v>
      </c>
      <c r="N109" s="10">
        <f>Records!U53</f>
        <v>6</v>
      </c>
      <c r="O109" s="10">
        <f>Records!V53</f>
        <v>6</v>
      </c>
      <c r="P109" s="10">
        <f>Records!O53</f>
        <v>5</v>
      </c>
      <c r="Q109" s="10">
        <f>Records!P53</f>
        <v>6</v>
      </c>
      <c r="R109" s="10">
        <f>AVERAGE(Records!S53,Records!T53,Records!U53)</f>
        <v>6</v>
      </c>
      <c r="S109" s="10">
        <f>AVERAGE(Records!V53,Records!O53,Records!P53)</f>
        <v>5.666666666666667</v>
      </c>
      <c r="T109" s="10">
        <f>Records!AA53</f>
        <v>96.5</v>
      </c>
      <c r="U109" s="10">
        <f>Records!AP53</f>
        <v>9</v>
      </c>
      <c r="V109" s="10">
        <f>IF(Records!AA53&gt;150,1,0)</f>
        <v>0</v>
      </c>
    </row>
    <row r="110">
      <c r="A110" s="5" t="inlineStr">
        <is>
          <t>P010</t>
        </is>
      </c>
      <c r="B110" s="6" t="inlineStr">
        <is>
          <t>EgoAnchor</t>
        </is>
      </c>
      <c r="C110" s="6" t="inlineStr">
        <is>
          <t>stapler</t>
        </is>
      </c>
      <c r="D110" s="6" t="n">
        <v>60</v>
      </c>
      <c r="E110" s="10">
        <f>Records!K60</f>
        <v>6</v>
      </c>
      <c r="F110" s="10">
        <f>Records!R60</f>
        <v>6</v>
      </c>
      <c r="G110" s="10">
        <f>Records!L60</f>
        <v>5</v>
      </c>
      <c r="H110" s="10">
        <f>Records!M60</f>
        <v>6</v>
      </c>
      <c r="I110" s="10">
        <f>Records!Q60</f>
        <v>6</v>
      </c>
      <c r="J110" s="10">
        <f>Records!W60</f>
        <v>6</v>
      </c>
      <c r="K110" s="10">
        <f>Records!X60</f>
        <v>6</v>
      </c>
      <c r="L110" s="10">
        <f>Records!S60</f>
        <v>5</v>
      </c>
      <c r="M110" s="10">
        <f>Records!T60</f>
        <v>5</v>
      </c>
      <c r="N110" s="10">
        <f>Records!U60</f>
        <v>6</v>
      </c>
      <c r="O110" s="10">
        <f>Records!V60</f>
        <v>6</v>
      </c>
      <c r="P110" s="10">
        <f>Records!O60</f>
        <v>6</v>
      </c>
      <c r="Q110" s="10">
        <f>Records!P60</f>
        <v>6</v>
      </c>
      <c r="R110" s="10">
        <f>AVERAGE(Records!S60,Records!T60,Records!U60)</f>
        <v>5.333333333333333</v>
      </c>
      <c r="S110" s="10">
        <f>AVERAGE(Records!V60,Records!O60,Records!P60)</f>
        <v>6</v>
      </c>
      <c r="T110" s="10">
        <f>Records!AA60</f>
        <v>208.1</v>
      </c>
      <c r="U110" s="10">
        <f>Records!AP60</f>
        <v>5</v>
      </c>
      <c r="V110" s="10">
        <f>IF(Records!AA60&gt;150,1,0)</f>
        <v>1</v>
      </c>
    </row>
    <row r="111">
      <c r="A111" s="5" t="inlineStr">
        <is>
          <t>P011</t>
        </is>
      </c>
      <c r="B111" s="6" t="inlineStr">
        <is>
          <t>EgoAnchor</t>
        </is>
      </c>
      <c r="C111" s="6" t="inlineStr">
        <is>
          <t>stapler</t>
        </is>
      </c>
      <c r="D111" s="6" t="n">
        <v>65</v>
      </c>
      <c r="E111" s="10">
        <f>Records!K65</f>
        <v>6</v>
      </c>
      <c r="F111" s="10">
        <f>Records!R65</f>
        <v>6</v>
      </c>
      <c r="G111" s="10">
        <f>Records!L65</f>
        <v>5</v>
      </c>
      <c r="H111" s="10">
        <f>Records!M65</f>
        <v>6</v>
      </c>
      <c r="I111" s="10">
        <f>Records!Q65</f>
        <v>5</v>
      </c>
      <c r="J111" s="10">
        <f>Records!W65</f>
        <v>6</v>
      </c>
      <c r="K111" s="10">
        <f>Records!X65</f>
        <v>5</v>
      </c>
      <c r="L111" s="10">
        <f>Records!S65</f>
        <v>4</v>
      </c>
      <c r="M111" s="10">
        <f>Records!T65</f>
        <v>5</v>
      </c>
      <c r="N111" s="10">
        <f>Records!U65</f>
        <v>6</v>
      </c>
      <c r="O111" s="10">
        <f>Records!V65</f>
        <v>6</v>
      </c>
      <c r="P111" s="10">
        <f>Records!O65</f>
        <v>6</v>
      </c>
      <c r="Q111" s="10">
        <f>Records!P65</f>
        <v>6</v>
      </c>
      <c r="R111" s="10">
        <f>AVERAGE(Records!S65,Records!T65,Records!U65)</f>
        <v>5</v>
      </c>
      <c r="S111" s="10">
        <f>AVERAGE(Records!V65,Records!O65,Records!P65)</f>
        <v>6</v>
      </c>
      <c r="T111" s="10">
        <f>Records!AA65</f>
        <v>150.2</v>
      </c>
      <c r="U111" s="10">
        <f>Records!AP65</f>
        <v>3</v>
      </c>
      <c r="V111" s="10">
        <f>IF(Records!AA65&gt;150,1,0)</f>
        <v>1</v>
      </c>
    </row>
    <row r="112">
      <c r="A112" s="5" t="inlineStr">
        <is>
          <t>P012</t>
        </is>
      </c>
      <c r="B112" s="6" t="inlineStr">
        <is>
          <t>EgoAnchor</t>
        </is>
      </c>
      <c r="C112" s="6" t="inlineStr">
        <is>
          <t>stapler</t>
        </is>
      </c>
      <c r="D112" s="6" t="n">
        <v>72</v>
      </c>
      <c r="E112" s="10">
        <f>Records!K72</f>
        <v>7</v>
      </c>
      <c r="F112" s="10">
        <f>Records!R72</f>
        <v>4</v>
      </c>
      <c r="G112" s="10">
        <f>Records!L72</f>
        <v>4</v>
      </c>
      <c r="H112" s="10">
        <f>Records!M72</f>
        <v>5</v>
      </c>
      <c r="I112" s="10">
        <f>Records!Q72</f>
        <v>5</v>
      </c>
      <c r="J112" s="10">
        <f>Records!W72</f>
        <v>4</v>
      </c>
      <c r="K112" s="10">
        <f>Records!X72</f>
        <v>4</v>
      </c>
      <c r="L112" s="10">
        <f>Records!S72</f>
        <v>5</v>
      </c>
      <c r="M112" s="10">
        <f>Records!T72</f>
        <v>5</v>
      </c>
      <c r="N112" s="10">
        <f>Records!U72</f>
        <v>7</v>
      </c>
      <c r="O112" s="10">
        <f>Records!V72</f>
        <v>6</v>
      </c>
      <c r="P112" s="10">
        <f>Records!O72</f>
        <v>4</v>
      </c>
      <c r="Q112" s="10">
        <f>Records!P72</f>
        <v>4</v>
      </c>
      <c r="R112" s="10">
        <f>AVERAGE(Records!S72,Records!T72,Records!U72)</f>
        <v>5.666666666666667</v>
      </c>
      <c r="S112" s="10">
        <f>AVERAGE(Records!V72,Records!O72,Records!P72)</f>
        <v>4.666666666666667</v>
      </c>
      <c r="T112" s="10">
        <f>Records!AA72</f>
        <v>122</v>
      </c>
      <c r="U112" s="10">
        <f>Records!AP72</f>
        <v>2</v>
      </c>
      <c r="V112" s="10">
        <f>IF(Records!AA72&gt;150,1,0)</f>
        <v>0</v>
      </c>
    </row>
    <row r="113">
      <c r="A113" s="5" t="inlineStr">
        <is>
          <t>P013</t>
        </is>
      </c>
      <c r="B113" s="6" t="inlineStr">
        <is>
          <t>EgoAnchor</t>
        </is>
      </c>
      <c r="C113" s="6" t="inlineStr">
        <is>
          <t>stapler</t>
        </is>
      </c>
      <c r="D113" s="6" t="n">
        <v>77</v>
      </c>
      <c r="E113" s="10">
        <f>Records!K77</f>
        <v>5</v>
      </c>
      <c r="F113" s="10">
        <f>Records!R77</f>
        <v>6</v>
      </c>
      <c r="G113" s="10">
        <f>Records!L77</f>
        <v>6</v>
      </c>
      <c r="H113" s="10">
        <f>Records!M77</f>
        <v>6</v>
      </c>
      <c r="I113" s="10">
        <f>Records!Q77</f>
        <v>6</v>
      </c>
      <c r="J113" s="10">
        <f>Records!W77</f>
        <v>6</v>
      </c>
      <c r="K113" s="10">
        <f>Records!X77</f>
        <v>5</v>
      </c>
      <c r="L113" s="10">
        <f>Records!S77</f>
        <v>6</v>
      </c>
      <c r="M113" s="10">
        <f>Records!T77</f>
        <v>6</v>
      </c>
      <c r="N113" s="10">
        <f>Records!U77</f>
        <v>6</v>
      </c>
      <c r="O113" s="10">
        <f>Records!V77</f>
        <v>5</v>
      </c>
      <c r="P113" s="10">
        <f>Records!O77</f>
        <v>5</v>
      </c>
      <c r="Q113" s="10">
        <f>Records!P77</f>
        <v>5</v>
      </c>
      <c r="R113" s="10">
        <f>AVERAGE(Records!S77,Records!T77,Records!U77)</f>
        <v>6</v>
      </c>
      <c r="S113" s="10">
        <f>AVERAGE(Records!V77,Records!O77,Records!P77)</f>
        <v>5</v>
      </c>
      <c r="T113" s="10">
        <f>Records!AA77</f>
        <v>134.3</v>
      </c>
      <c r="U113" s="10">
        <f>Records!AP77</f>
        <v>5</v>
      </c>
      <c r="V113" s="10">
        <f>IF(Records!AA77&gt;150,1,0)</f>
        <v>0</v>
      </c>
    </row>
    <row r="114">
      <c r="A114" s="5" t="inlineStr">
        <is>
          <t>P014</t>
        </is>
      </c>
      <c r="B114" s="6" t="inlineStr">
        <is>
          <t>EgoAnchor</t>
        </is>
      </c>
      <c r="C114" s="6" t="inlineStr">
        <is>
          <t>stapler</t>
        </is>
      </c>
      <c r="D114" s="6" t="n">
        <v>84</v>
      </c>
      <c r="E114" s="10">
        <f>Records!K84</f>
        <v>5</v>
      </c>
      <c r="F114" s="10">
        <f>Records!R84</f>
        <v>6</v>
      </c>
      <c r="G114" s="10">
        <f>Records!L84</f>
        <v>6</v>
      </c>
      <c r="H114" s="10">
        <f>Records!M84</f>
        <v>5</v>
      </c>
      <c r="I114" s="10">
        <f>Records!Q84</f>
        <v>5</v>
      </c>
      <c r="J114" s="10">
        <f>Records!W84</f>
        <v>5</v>
      </c>
      <c r="K114" s="10">
        <f>Records!X84</f>
        <v>6</v>
      </c>
      <c r="L114" s="10">
        <f>Records!S84</f>
        <v>6</v>
      </c>
      <c r="M114" s="10">
        <f>Records!T84</f>
        <v>7</v>
      </c>
      <c r="N114" s="10">
        <f>Records!U84</f>
        <v>7</v>
      </c>
      <c r="O114" s="10">
        <f>Records!V84</f>
        <v>6</v>
      </c>
      <c r="P114" s="10">
        <f>Records!O84</f>
        <v>6</v>
      </c>
      <c r="Q114" s="10">
        <f>Records!P84</f>
        <v>6</v>
      </c>
      <c r="R114" s="10">
        <f>AVERAGE(Records!S84,Records!T84,Records!U84)</f>
        <v>6.666666666666667</v>
      </c>
      <c r="S114" s="10">
        <f>AVERAGE(Records!V84,Records!O84,Records!P84)</f>
        <v>6</v>
      </c>
      <c r="T114" s="10">
        <f>Records!AA84</f>
        <v>143.3</v>
      </c>
      <c r="U114" s="10">
        <f>Records!AP84</f>
        <v>2</v>
      </c>
      <c r="V114" s="10">
        <f>IF(Records!AA84&gt;150,1,0)</f>
        <v>0</v>
      </c>
    </row>
    <row r="115">
      <c r="A115" s="5" t="inlineStr">
        <is>
          <t>P015</t>
        </is>
      </c>
      <c r="B115" s="6" t="inlineStr">
        <is>
          <t>EgoAnchor</t>
        </is>
      </c>
      <c r="C115" s="6" t="inlineStr">
        <is>
          <t>stapler</t>
        </is>
      </c>
      <c r="D115" s="6" t="n">
        <v>89</v>
      </c>
      <c r="E115" s="10">
        <f>Records!K89</f>
        <v>7</v>
      </c>
      <c r="F115" s="10">
        <f>Records!R89</f>
        <v>5</v>
      </c>
      <c r="G115" s="10">
        <f>Records!L89</f>
        <v>4</v>
      </c>
      <c r="H115" s="10">
        <f>Records!M89</f>
        <v>4</v>
      </c>
      <c r="I115" s="10">
        <f>Records!Q89</f>
        <v>5</v>
      </c>
      <c r="J115" s="10">
        <f>Records!W89</f>
        <v>5</v>
      </c>
      <c r="K115" s="10">
        <f>Records!X89</f>
        <v>4</v>
      </c>
      <c r="L115" s="10">
        <f>Records!S89</f>
        <v>4</v>
      </c>
      <c r="M115" s="10">
        <f>Records!T89</f>
        <v>5</v>
      </c>
      <c r="N115" s="10">
        <f>Records!U89</f>
        <v>5</v>
      </c>
      <c r="O115" s="10">
        <f>Records!V89</f>
        <v>6</v>
      </c>
      <c r="P115" s="10">
        <f>Records!O89</f>
        <v>5</v>
      </c>
      <c r="Q115" s="10">
        <f>Records!P89</f>
        <v>5</v>
      </c>
      <c r="R115" s="10">
        <f>AVERAGE(Records!S89,Records!T89,Records!U89)</f>
        <v>4.666666666666667</v>
      </c>
      <c r="S115" s="10">
        <f>AVERAGE(Records!V89,Records!O89,Records!P89)</f>
        <v>5.333333333333333</v>
      </c>
      <c r="T115" s="10">
        <f>Records!AA89</f>
        <v>130.8</v>
      </c>
      <c r="U115" s="10">
        <f>Records!AP89</f>
        <v>4</v>
      </c>
      <c r="V115" s="10">
        <f>IF(Records!AA89&gt;150,1,0)</f>
        <v>0</v>
      </c>
    </row>
    <row r="116">
      <c r="A116" s="5" t="inlineStr">
        <is>
          <t>P016</t>
        </is>
      </c>
      <c r="B116" s="6" t="inlineStr">
        <is>
          <t>EgoAnchor</t>
        </is>
      </c>
      <c r="C116" s="6" t="inlineStr">
        <is>
          <t>stapler</t>
        </is>
      </c>
      <c r="D116" s="6" t="n">
        <v>96</v>
      </c>
      <c r="E116" s="10">
        <f>Records!K96</f>
        <v>5</v>
      </c>
      <c r="F116" s="10">
        <f>Records!R96</f>
        <v>6</v>
      </c>
      <c r="G116" s="10">
        <f>Records!L96</f>
        <v>5</v>
      </c>
      <c r="H116" s="10">
        <f>Records!M96</f>
        <v>6</v>
      </c>
      <c r="I116" s="10">
        <f>Records!Q96</f>
        <v>5</v>
      </c>
      <c r="J116" s="10">
        <f>Records!W96</f>
        <v>6</v>
      </c>
      <c r="K116" s="10">
        <f>Records!X96</f>
        <v>5</v>
      </c>
      <c r="L116" s="10">
        <f>Records!S96</f>
        <v>5</v>
      </c>
      <c r="M116" s="10">
        <f>Records!T96</f>
        <v>6</v>
      </c>
      <c r="N116" s="10">
        <f>Records!U96</f>
        <v>7</v>
      </c>
      <c r="O116" s="10">
        <f>Records!V96</f>
        <v>6</v>
      </c>
      <c r="P116" s="10">
        <f>Records!O96</f>
        <v>6</v>
      </c>
      <c r="Q116" s="10">
        <f>Records!P96</f>
        <v>5</v>
      </c>
      <c r="R116" s="10">
        <f>AVERAGE(Records!S96,Records!T96,Records!U96)</f>
        <v>6</v>
      </c>
      <c r="S116" s="10">
        <f>AVERAGE(Records!V96,Records!O96,Records!P96)</f>
        <v>5.666666666666667</v>
      </c>
      <c r="T116" s="10">
        <f>Records!AA96</f>
        <v>184.9</v>
      </c>
      <c r="U116" s="10">
        <f>Records!AP96</f>
        <v>2</v>
      </c>
      <c r="V116" s="10">
        <f>IF(Records!AA96&gt;150,1,0)</f>
        <v>1</v>
      </c>
    </row>
    <row r="117">
      <c r="A117" s="5" t="inlineStr">
        <is>
          <t>P017</t>
        </is>
      </c>
      <c r="B117" s="6" t="inlineStr">
        <is>
          <t>EgoAnchor</t>
        </is>
      </c>
      <c r="C117" s="6" t="inlineStr">
        <is>
          <t>stapler</t>
        </is>
      </c>
      <c r="D117" s="6" t="n">
        <v>105</v>
      </c>
      <c r="E117" s="10">
        <f>Records!K105</f>
        <v>4</v>
      </c>
      <c r="F117" s="10">
        <f>Records!R105</f>
        <v>5</v>
      </c>
      <c r="G117" s="10">
        <f>Records!L105</f>
        <v>5</v>
      </c>
      <c r="H117" s="10">
        <f>Records!M105</f>
        <v>5</v>
      </c>
      <c r="I117" s="10">
        <f>Records!Q105</f>
        <v>5</v>
      </c>
      <c r="J117" s="10">
        <f>Records!W105</f>
        <v>5</v>
      </c>
      <c r="K117" s="10">
        <f>Records!X105</f>
        <v>2</v>
      </c>
      <c r="L117" s="10">
        <f>Records!S105</f>
        <v>7</v>
      </c>
      <c r="M117" s="10">
        <f>Records!T105</f>
        <v>5</v>
      </c>
      <c r="N117" s="10">
        <f>Records!U105</f>
        <v>7</v>
      </c>
      <c r="O117" s="10">
        <f>Records!V105</f>
        <v>4</v>
      </c>
      <c r="P117" s="10">
        <f>Records!O105</f>
        <v>5</v>
      </c>
      <c r="Q117" s="10">
        <f>Records!P105</f>
        <v>5</v>
      </c>
      <c r="R117" s="10">
        <f>AVERAGE(Records!S105,Records!T105,Records!U105)</f>
        <v>6.333333333333333</v>
      </c>
      <c r="S117" s="10">
        <f>AVERAGE(Records!V105,Records!O105,Records!P105)</f>
        <v>4.666666666666667</v>
      </c>
      <c r="T117" s="10">
        <f>Records!AA105</f>
        <v>153.8</v>
      </c>
      <c r="U117" s="10">
        <f>Records!AP105</f>
        <v>6</v>
      </c>
      <c r="V117" s="10">
        <f>IF(Records!AA105&gt;150,1,0)</f>
        <v>1</v>
      </c>
    </row>
    <row r="118">
      <c r="A118" s="5" t="inlineStr">
        <is>
          <t>P018</t>
        </is>
      </c>
      <c r="B118" s="6" t="inlineStr">
        <is>
          <t>EgoAnchor</t>
        </is>
      </c>
      <c r="C118" s="6" t="inlineStr">
        <is>
          <t>stapler</t>
        </is>
      </c>
      <c r="D118" s="6" t="n">
        <v>112</v>
      </c>
      <c r="E118" s="10">
        <f>Records!K112</f>
        <v>7</v>
      </c>
      <c r="F118" s="10">
        <f>Records!R112</f>
        <v>4</v>
      </c>
      <c r="G118" s="10">
        <f>Records!L112</f>
        <v>4</v>
      </c>
      <c r="H118" s="10">
        <f>Records!M112</f>
        <v>5</v>
      </c>
      <c r="I118" s="10">
        <f>Records!Q112</f>
        <v>5</v>
      </c>
      <c r="J118" s="10">
        <f>Records!W112</f>
        <v>5</v>
      </c>
      <c r="K118" s="10">
        <f>Records!X112</f>
        <v>5</v>
      </c>
      <c r="L118" s="10">
        <f>Records!S112</f>
        <v>6</v>
      </c>
      <c r="M118" s="10">
        <f>Records!T112</f>
        <v>5</v>
      </c>
      <c r="N118" s="10">
        <f>Records!U112</f>
        <v>6</v>
      </c>
      <c r="O118" s="10">
        <f>Records!V112</f>
        <v>5</v>
      </c>
      <c r="P118" s="10">
        <f>Records!O112</f>
        <v>5</v>
      </c>
      <c r="Q118" s="10">
        <f>Records!P112</f>
        <v>6</v>
      </c>
      <c r="R118" s="10">
        <f>AVERAGE(Records!S112,Records!T112,Records!U112)</f>
        <v>5.666666666666667</v>
      </c>
      <c r="S118" s="10">
        <f>AVERAGE(Records!V112,Records!O112,Records!P112)</f>
        <v>5.333333333333333</v>
      </c>
      <c r="T118" s="10">
        <f>Records!AA112</f>
        <v>139</v>
      </c>
      <c r="U118" s="10">
        <f>Records!AP112</f>
        <v>3</v>
      </c>
      <c r="V118" s="10">
        <f>IF(Records!AA112&gt;150,1,0)</f>
        <v>0</v>
      </c>
    </row>
    <row r="119">
      <c r="A119" s="5" t="inlineStr">
        <is>
          <t>P019</t>
        </is>
      </c>
      <c r="B119" s="6" t="inlineStr">
        <is>
          <t>EgoAnchor</t>
        </is>
      </c>
      <c r="C119" s="6" t="inlineStr">
        <is>
          <t>stapler</t>
        </is>
      </c>
      <c r="D119" s="6" t="n">
        <v>117</v>
      </c>
      <c r="E119" s="10">
        <f>Records!K117</f>
        <v>6</v>
      </c>
      <c r="F119" s="10">
        <f>Records!R117</f>
        <v>5</v>
      </c>
      <c r="G119" s="10">
        <f>Records!L117</f>
        <v>4</v>
      </c>
      <c r="H119" s="10">
        <f>Records!M117</f>
        <v>4</v>
      </c>
      <c r="I119" s="10">
        <f>Records!Q117</f>
        <v>5</v>
      </c>
      <c r="J119" s="10">
        <f>Records!W117</f>
        <v>4</v>
      </c>
      <c r="K119" s="10">
        <f>Records!X117</f>
        <v>5</v>
      </c>
      <c r="L119" s="10">
        <f>Records!S117</f>
        <v>4</v>
      </c>
      <c r="M119" s="10">
        <f>Records!T117</f>
        <v>5</v>
      </c>
      <c r="N119" s="10">
        <f>Records!U117</f>
        <v>5</v>
      </c>
      <c r="O119" s="10">
        <f>Records!V117</f>
        <v>4</v>
      </c>
      <c r="P119" s="10">
        <f>Records!O117</f>
        <v>5</v>
      </c>
      <c r="Q119" s="10">
        <f>Records!P117</f>
        <v>6</v>
      </c>
      <c r="R119" s="10">
        <f>AVERAGE(Records!S117,Records!T117,Records!U117)</f>
        <v>4.666666666666667</v>
      </c>
      <c r="S119" s="10">
        <f>AVERAGE(Records!V117,Records!O117,Records!P117)</f>
        <v>5</v>
      </c>
      <c r="T119" s="10">
        <f>Records!AA117</f>
        <v>125.3</v>
      </c>
      <c r="U119" s="10">
        <f>Records!AP117</f>
        <v>2</v>
      </c>
      <c r="V119" s="10">
        <f>IF(Records!AA117&gt;150,1,0)</f>
        <v>0</v>
      </c>
    </row>
    <row r="120">
      <c r="A120" s="5" t="inlineStr">
        <is>
          <t>P020</t>
        </is>
      </c>
      <c r="B120" s="6" t="inlineStr">
        <is>
          <t>EgoAnchor</t>
        </is>
      </c>
      <c r="C120" s="6" t="inlineStr">
        <is>
          <t>stapler</t>
        </is>
      </c>
      <c r="D120" s="6" t="n">
        <v>124</v>
      </c>
      <c r="E120" s="10">
        <f>Records!K124</f>
        <v>6</v>
      </c>
      <c r="F120" s="10">
        <f>Records!R124</f>
        <v>6</v>
      </c>
      <c r="G120" s="10">
        <f>Records!L124</f>
        <v>5</v>
      </c>
      <c r="H120" s="10">
        <f>Records!M124</f>
        <v>5</v>
      </c>
      <c r="I120" s="10">
        <f>Records!Q124</f>
        <v>6</v>
      </c>
      <c r="J120" s="10">
        <f>Records!W124</f>
        <v>5</v>
      </c>
      <c r="K120" s="10">
        <f>Records!X124</f>
        <v>6</v>
      </c>
      <c r="L120" s="10">
        <f>Records!S124</f>
        <v>6</v>
      </c>
      <c r="M120" s="10">
        <f>Records!T124</f>
        <v>5</v>
      </c>
      <c r="N120" s="10">
        <f>Records!U124</f>
        <v>7</v>
      </c>
      <c r="O120" s="10">
        <f>Records!V124</f>
        <v>7</v>
      </c>
      <c r="P120" s="10">
        <f>Records!O124</f>
        <v>5</v>
      </c>
      <c r="Q120" s="10">
        <f>Records!P124</f>
        <v>6</v>
      </c>
      <c r="R120" s="10">
        <f>AVERAGE(Records!S124,Records!T124,Records!U124)</f>
        <v>6</v>
      </c>
      <c r="S120" s="10">
        <f>AVERAGE(Records!V124,Records!O124,Records!P124)</f>
        <v>6</v>
      </c>
      <c r="T120" s="10">
        <f>Records!AA124</f>
        <v>82.3</v>
      </c>
      <c r="U120" s="10">
        <f>Records!AP124</f>
        <v>4</v>
      </c>
      <c r="V120" s="10">
        <f>IF(Records!AA124&gt;150,1,0)</f>
        <v>0</v>
      </c>
    </row>
    <row r="121">
      <c r="A121" s="5" t="inlineStr">
        <is>
          <t>P021</t>
        </is>
      </c>
      <c r="B121" s="6" t="inlineStr">
        <is>
          <t>EgoAnchor</t>
        </is>
      </c>
      <c r="C121" s="6" t="inlineStr">
        <is>
          <t>stapler</t>
        </is>
      </c>
      <c r="D121" s="6" t="n">
        <v>128</v>
      </c>
      <c r="E121" s="10">
        <f>Records!K128</f>
        <v>6</v>
      </c>
      <c r="F121" s="10">
        <f>Records!R128</f>
        <v>6</v>
      </c>
      <c r="G121" s="10">
        <f>Records!L128</f>
        <v>6</v>
      </c>
      <c r="H121" s="10">
        <f>Records!M128</f>
        <v>6</v>
      </c>
      <c r="I121" s="10">
        <f>Records!Q128</f>
        <v>5</v>
      </c>
      <c r="J121" s="10">
        <f>Records!W128</f>
        <v>6</v>
      </c>
      <c r="K121" s="10">
        <f>Records!X128</f>
        <v>6</v>
      </c>
      <c r="L121" s="10">
        <f>Records!S128</f>
        <v>6</v>
      </c>
      <c r="M121" s="10">
        <f>Records!T128</f>
        <v>6</v>
      </c>
      <c r="N121" s="10">
        <f>Records!U128</f>
        <v>6</v>
      </c>
      <c r="O121" s="10">
        <f>Records!V128</f>
        <v>7</v>
      </c>
      <c r="P121" s="10">
        <f>Records!O128</f>
        <v>6</v>
      </c>
      <c r="Q121" s="10">
        <f>Records!P128</f>
        <v>5</v>
      </c>
      <c r="R121" s="10">
        <f>AVERAGE(Records!S128,Records!T128,Records!U128)</f>
        <v>6</v>
      </c>
      <c r="S121" s="10">
        <f>AVERAGE(Records!V128,Records!O128,Records!P128)</f>
        <v>6</v>
      </c>
      <c r="T121" s="10">
        <f>Records!AA128</f>
        <v>183.4</v>
      </c>
      <c r="U121" s="10">
        <f>Records!AP128</f>
        <v>4</v>
      </c>
      <c r="V121" s="10">
        <f>IF(Records!AA128&gt;150,1,0)</f>
        <v>1</v>
      </c>
    </row>
    <row r="122">
      <c r="A122" s="5" t="inlineStr">
        <is>
          <t>P022</t>
        </is>
      </c>
      <c r="B122" s="6" t="inlineStr">
        <is>
          <t>EgoAnchor</t>
        </is>
      </c>
      <c r="C122" s="6" t="inlineStr">
        <is>
          <t>stapler</t>
        </is>
      </c>
      <c r="D122" s="6" t="n">
        <v>133</v>
      </c>
      <c r="E122" s="10">
        <f>Records!K133</f>
        <v>6</v>
      </c>
      <c r="F122" s="10">
        <f>Records!R133</f>
        <v>6</v>
      </c>
      <c r="G122" s="10">
        <f>Records!L133</f>
        <v>5</v>
      </c>
      <c r="H122" s="10">
        <f>Records!M133</f>
        <v>6</v>
      </c>
      <c r="I122" s="10">
        <f>Records!Q133</f>
        <v>6</v>
      </c>
      <c r="J122" s="10">
        <f>Records!W133</f>
        <v>6</v>
      </c>
      <c r="K122" s="10">
        <f>Records!X133</f>
        <v>6</v>
      </c>
      <c r="L122" s="10">
        <f>Records!S133</f>
        <v>6</v>
      </c>
      <c r="M122" s="10">
        <f>Records!T133</f>
        <v>6</v>
      </c>
      <c r="N122" s="10">
        <f>Records!U133</f>
        <v>6</v>
      </c>
      <c r="O122" s="10">
        <f>Records!V133</f>
        <v>7</v>
      </c>
      <c r="P122" s="10">
        <f>Records!O133</f>
        <v>6</v>
      </c>
      <c r="Q122" s="10">
        <f>Records!P133</f>
        <v>6</v>
      </c>
      <c r="R122" s="10">
        <f>AVERAGE(Records!S133,Records!T133,Records!U133)</f>
        <v>6</v>
      </c>
      <c r="S122" s="10">
        <f>AVERAGE(Records!V133,Records!O133,Records!P133)</f>
        <v>6.333333333333333</v>
      </c>
      <c r="T122" s="10">
        <f>Records!AA133</f>
        <v>131.8</v>
      </c>
      <c r="U122" s="10">
        <f>Records!AP133</f>
        <v>8</v>
      </c>
      <c r="V122" s="10">
        <f>IF(Records!AA133&gt;150,1,0)</f>
        <v>0</v>
      </c>
    </row>
    <row r="123">
      <c r="A123" s="5" t="inlineStr">
        <is>
          <t>P023</t>
        </is>
      </c>
      <c r="B123" s="6" t="inlineStr">
        <is>
          <t>EgoAnchor</t>
        </is>
      </c>
      <c r="C123" s="6" t="inlineStr">
        <is>
          <t>stapler</t>
        </is>
      </c>
      <c r="D123" s="6" t="n">
        <v>140</v>
      </c>
      <c r="E123" s="10">
        <f>Records!K140</f>
        <v>5</v>
      </c>
      <c r="F123" s="10">
        <f>Records!R140</f>
        <v>5</v>
      </c>
      <c r="G123" s="10">
        <f>Records!L140</f>
        <v>5</v>
      </c>
      <c r="H123" s="10">
        <f>Records!M140</f>
        <v>5</v>
      </c>
      <c r="I123" s="10">
        <f>Records!Q140</f>
        <v>5</v>
      </c>
      <c r="J123" s="10">
        <f>Records!W140</f>
        <v>6</v>
      </c>
      <c r="K123" s="10">
        <f>Records!X140</f>
        <v>5</v>
      </c>
      <c r="L123" s="10">
        <f>Records!S140</f>
        <v>5</v>
      </c>
      <c r="M123" s="10">
        <f>Records!T140</f>
        <v>4</v>
      </c>
      <c r="N123" s="10">
        <f>Records!U140</f>
        <v>5</v>
      </c>
      <c r="O123" s="10">
        <f>Records!V140</f>
        <v>5</v>
      </c>
      <c r="P123" s="10">
        <f>Records!O140</f>
        <v>4</v>
      </c>
      <c r="Q123" s="10">
        <f>Records!P140</f>
        <v>5</v>
      </c>
      <c r="R123" s="10">
        <f>AVERAGE(Records!S140,Records!T140,Records!U140)</f>
        <v>4.666666666666667</v>
      </c>
      <c r="S123" s="10">
        <f>AVERAGE(Records!V140,Records!O140,Records!P140)</f>
        <v>4.666666666666667</v>
      </c>
      <c r="T123" s="10">
        <f>Records!AA140</f>
        <v>151.4</v>
      </c>
      <c r="U123" s="10">
        <f>Records!AP140</f>
        <v>4</v>
      </c>
      <c r="V123" s="10">
        <f>IF(Records!AA140&gt;150,1,0)</f>
        <v>1</v>
      </c>
    </row>
    <row r="124">
      <c r="A124" s="5" t="inlineStr">
        <is>
          <t>P024</t>
        </is>
      </c>
      <c r="B124" s="6" t="inlineStr">
        <is>
          <t>EgoAnchor</t>
        </is>
      </c>
      <c r="C124" s="6" t="inlineStr">
        <is>
          <t>stapler</t>
        </is>
      </c>
      <c r="D124" s="6" t="n">
        <v>145</v>
      </c>
      <c r="E124" s="10">
        <f>Records!K145</f>
        <v>6</v>
      </c>
      <c r="F124" s="10">
        <f>Records!R145</f>
        <v>6</v>
      </c>
      <c r="G124" s="10">
        <f>Records!L145</f>
        <v>4</v>
      </c>
      <c r="H124" s="10">
        <f>Records!M145</f>
        <v>5</v>
      </c>
      <c r="I124" s="10">
        <f>Records!Q145</f>
        <v>6</v>
      </c>
      <c r="J124" s="10">
        <f>Records!W145</f>
        <v>6</v>
      </c>
      <c r="K124" s="10">
        <f>Records!X145</f>
        <v>6</v>
      </c>
      <c r="L124" s="10">
        <f>Records!S145</f>
        <v>6</v>
      </c>
      <c r="M124" s="10">
        <f>Records!T145</f>
        <v>6</v>
      </c>
      <c r="N124" s="10">
        <f>Records!U145</f>
        <v>6</v>
      </c>
      <c r="O124" s="10">
        <f>Records!V145</f>
        <v>7</v>
      </c>
      <c r="P124" s="10">
        <f>Records!O145</f>
        <v>5</v>
      </c>
      <c r="Q124" s="10">
        <f>Records!P145</f>
        <v>6</v>
      </c>
      <c r="R124" s="10">
        <f>AVERAGE(Records!S145,Records!T145,Records!U145)</f>
        <v>6</v>
      </c>
      <c r="S124" s="10">
        <f>AVERAGE(Records!V145,Records!O145,Records!P145)</f>
        <v>6</v>
      </c>
      <c r="T124" s="10">
        <f>Records!AA145</f>
        <v>138.5</v>
      </c>
      <c r="U124" s="10">
        <f>Records!AP145</f>
        <v>6</v>
      </c>
      <c r="V124" s="10">
        <f>IF(Records!AA145&gt;150,1,0)</f>
        <v>0</v>
      </c>
    </row>
    <row r="125">
      <c r="A125" s="5" t="inlineStr">
        <is>
          <t>P001</t>
        </is>
      </c>
      <c r="B125" s="6" t="inlineStr">
        <is>
          <t>EgoAnchor</t>
        </is>
      </c>
      <c r="C125" s="6" t="inlineStr">
        <is>
          <t>gamepad</t>
        </is>
      </c>
      <c r="D125" s="6" t="n">
        <v>9</v>
      </c>
      <c r="E125" s="10">
        <f>Records!K9</f>
        <v>4</v>
      </c>
      <c r="F125" s="10">
        <f>Records!R9</f>
        <v>5</v>
      </c>
      <c r="G125" s="10">
        <f>Records!L9</f>
        <v>6</v>
      </c>
      <c r="H125" s="10">
        <f>Records!M9</f>
        <v>5</v>
      </c>
      <c r="I125" s="10">
        <f>Records!Q9</f>
        <v>5</v>
      </c>
      <c r="J125" s="10">
        <f>Records!W9</f>
        <v>7</v>
      </c>
      <c r="K125" s="10">
        <f>Records!X9</f>
        <v>5</v>
      </c>
      <c r="L125" s="10">
        <f>Records!S9</f>
        <v>5</v>
      </c>
      <c r="M125" s="10">
        <f>Records!T9</f>
        <v>5</v>
      </c>
      <c r="N125" s="10">
        <f>Records!U9</f>
        <v>7</v>
      </c>
      <c r="O125" s="10">
        <f>Records!V9</f>
        <v>7</v>
      </c>
      <c r="P125" s="10">
        <f>Records!O9</f>
        <v>4</v>
      </c>
      <c r="Q125" s="10">
        <f>Records!P9</f>
        <v>3</v>
      </c>
      <c r="R125" s="10">
        <f>AVERAGE(Records!S9,Records!T9,Records!U9)</f>
        <v>5.666666666666667</v>
      </c>
      <c r="S125" s="10">
        <f>AVERAGE(Records!V9,Records!O9,Records!P9)</f>
        <v>4.666666666666667</v>
      </c>
      <c r="T125" s="10">
        <f>Records!AA9</f>
        <v>167.8</v>
      </c>
      <c r="U125" s="10">
        <f>Records!AP9</f>
        <v>4</v>
      </c>
      <c r="V125" s="10">
        <f>IF(Records!AA9&gt;150,1,0)</f>
        <v>1</v>
      </c>
    </row>
    <row r="126">
      <c r="A126" s="5" t="inlineStr">
        <is>
          <t>P002</t>
        </is>
      </c>
      <c r="B126" s="6" t="inlineStr">
        <is>
          <t>EgoAnchor</t>
        </is>
      </c>
      <c r="C126" s="6" t="inlineStr">
        <is>
          <t>gamepad</t>
        </is>
      </c>
      <c r="D126" s="6" t="n">
        <v>16</v>
      </c>
      <c r="E126" s="10">
        <f>Records!K16</f>
        <v>4</v>
      </c>
      <c r="F126" s="10">
        <f>Records!R16</f>
        <v>4</v>
      </c>
      <c r="G126" s="10">
        <f>Records!L16</f>
        <v>7</v>
      </c>
      <c r="H126" s="10">
        <f>Records!M16</f>
        <v>6</v>
      </c>
      <c r="I126" s="10">
        <f>Records!Q16</f>
        <v>3</v>
      </c>
      <c r="J126" s="10">
        <f>Records!W16</f>
        <v>7</v>
      </c>
      <c r="K126" s="10">
        <f>Records!X16</f>
        <v>7</v>
      </c>
      <c r="L126" s="10">
        <f>Records!S16</f>
        <v>7</v>
      </c>
      <c r="M126" s="10">
        <f>Records!T16</f>
        <v>6</v>
      </c>
      <c r="N126" s="10">
        <f>Records!U16</f>
        <v>5</v>
      </c>
      <c r="O126" s="10">
        <f>Records!V16</f>
        <v>7</v>
      </c>
      <c r="P126" s="10">
        <f>Records!O16</f>
        <v>4</v>
      </c>
      <c r="Q126" s="10">
        <f>Records!P16</f>
        <v>2</v>
      </c>
      <c r="R126" s="10">
        <f>AVERAGE(Records!S16,Records!T16,Records!U16)</f>
        <v>6</v>
      </c>
      <c r="S126" s="10">
        <f>AVERAGE(Records!V16,Records!O16,Records!P16)</f>
        <v>4.333333333333333</v>
      </c>
      <c r="T126" s="10">
        <f>Records!AA16</f>
        <v>130.3</v>
      </c>
      <c r="U126" s="10">
        <f>Records!AP16</f>
        <v>3</v>
      </c>
      <c r="V126" s="10">
        <f>IF(Records!AA16&gt;150,1,0)</f>
        <v>0</v>
      </c>
    </row>
    <row r="127">
      <c r="A127" s="5" t="inlineStr">
        <is>
          <t>P003</t>
        </is>
      </c>
      <c r="B127" s="6" t="inlineStr">
        <is>
          <t>EgoAnchor</t>
        </is>
      </c>
      <c r="C127" s="6" t="inlineStr">
        <is>
          <t>gamepad</t>
        </is>
      </c>
      <c r="D127" s="6" t="n">
        <v>21</v>
      </c>
      <c r="E127" s="10">
        <f>Records!K21</f>
        <v>5</v>
      </c>
      <c r="F127" s="10">
        <f>Records!R21</f>
        <v>6</v>
      </c>
      <c r="G127" s="10">
        <f>Records!L21</f>
        <v>4</v>
      </c>
      <c r="H127" s="10">
        <f>Records!M21</f>
        <v>4</v>
      </c>
      <c r="I127" s="10">
        <f>Records!Q21</f>
        <v>4</v>
      </c>
      <c r="J127" s="10">
        <f>Records!W21</f>
        <v>5</v>
      </c>
      <c r="K127" s="10">
        <f>Records!X21</f>
        <v>5</v>
      </c>
      <c r="L127" s="10">
        <f>Records!S21</f>
        <v>5</v>
      </c>
      <c r="M127" s="10">
        <f>Records!T21</f>
        <v>5</v>
      </c>
      <c r="N127" s="10">
        <f>Records!U21</f>
        <v>5</v>
      </c>
      <c r="O127" s="10">
        <f>Records!V21</f>
        <v>4</v>
      </c>
      <c r="P127" s="10">
        <f>Records!O21</f>
        <v>4</v>
      </c>
      <c r="Q127" s="10">
        <f>Records!P21</f>
        <v>4</v>
      </c>
      <c r="R127" s="10">
        <f>AVERAGE(Records!S21,Records!T21,Records!U21)</f>
        <v>5</v>
      </c>
      <c r="S127" s="10">
        <f>AVERAGE(Records!V21,Records!O21,Records!P21)</f>
        <v>4</v>
      </c>
      <c r="T127" s="10">
        <f>Records!AA21</f>
        <v>126.1</v>
      </c>
      <c r="U127" s="10">
        <f>Records!AP21</f>
        <v>5</v>
      </c>
      <c r="V127" s="10">
        <f>IF(Records!AA21&gt;150,1,0)</f>
        <v>0</v>
      </c>
    </row>
    <row r="128">
      <c r="A128" s="5" t="inlineStr">
        <is>
          <t>P004</t>
        </is>
      </c>
      <c r="B128" s="6" t="inlineStr">
        <is>
          <t>EgoAnchor</t>
        </is>
      </c>
      <c r="C128" s="6" t="inlineStr">
        <is>
          <t>gamepad</t>
        </is>
      </c>
      <c r="D128" s="6" t="n">
        <v>28</v>
      </c>
      <c r="E128" s="10">
        <f>Records!K28</f>
        <v>6</v>
      </c>
      <c r="F128" s="10">
        <f>Records!R28</f>
        <v>5</v>
      </c>
      <c r="G128" s="10">
        <f>Records!L28</f>
        <v>4</v>
      </c>
      <c r="H128" s="10">
        <f>Records!M28</f>
        <v>4</v>
      </c>
      <c r="I128" s="10">
        <f>Records!Q28</f>
        <v>5</v>
      </c>
      <c r="J128" s="10">
        <f>Records!W28</f>
        <v>5</v>
      </c>
      <c r="K128" s="10">
        <f>Records!X28</f>
        <v>5</v>
      </c>
      <c r="L128" s="10">
        <f>Records!S28</f>
        <v>5</v>
      </c>
      <c r="M128" s="10">
        <f>Records!T28</f>
        <v>6</v>
      </c>
      <c r="N128" s="10">
        <f>Records!U28</f>
        <v>6</v>
      </c>
      <c r="O128" s="10">
        <f>Records!V28</f>
        <v>5</v>
      </c>
      <c r="P128" s="10">
        <f>Records!O28</f>
        <v>6</v>
      </c>
      <c r="Q128" s="10">
        <f>Records!P28</f>
        <v>6</v>
      </c>
      <c r="R128" s="10">
        <f>AVERAGE(Records!S28,Records!T28,Records!U28)</f>
        <v>5.666666666666667</v>
      </c>
      <c r="S128" s="10">
        <f>AVERAGE(Records!V28,Records!O28,Records!P28)</f>
        <v>5.666666666666667</v>
      </c>
      <c r="T128" s="10">
        <f>Records!AA28</f>
        <v>119.7</v>
      </c>
      <c r="U128" s="10">
        <f>Records!AP28</f>
        <v>3</v>
      </c>
      <c r="V128" s="10">
        <f>IF(Records!AA28&gt;150,1,0)</f>
        <v>0</v>
      </c>
    </row>
    <row r="129">
      <c r="A129" s="5" t="inlineStr">
        <is>
          <t>P005</t>
        </is>
      </c>
      <c r="B129" s="6" t="inlineStr">
        <is>
          <t>EgoAnchor</t>
        </is>
      </c>
      <c r="C129" s="6" t="inlineStr">
        <is>
          <t>gamepad</t>
        </is>
      </c>
      <c r="D129" s="6" t="n">
        <v>32</v>
      </c>
      <c r="E129" s="10">
        <f>Records!K32</f>
        <v>6</v>
      </c>
      <c r="F129" s="10">
        <f>Records!R32</f>
        <v>6</v>
      </c>
      <c r="G129" s="10">
        <f>Records!L32</f>
        <v>6</v>
      </c>
      <c r="H129" s="10">
        <f>Records!M32</f>
        <v>6</v>
      </c>
      <c r="I129" s="10">
        <f>Records!Q32</f>
        <v>5</v>
      </c>
      <c r="J129" s="10">
        <f>Records!W32</f>
        <v>5</v>
      </c>
      <c r="K129" s="10">
        <f>Records!X32</f>
        <v>5</v>
      </c>
      <c r="L129" s="10">
        <f>Records!S32</f>
        <v>6</v>
      </c>
      <c r="M129" s="10">
        <f>Records!T32</f>
        <v>4</v>
      </c>
      <c r="N129" s="10">
        <f>Records!U32</f>
        <v>6</v>
      </c>
      <c r="O129" s="10">
        <f>Records!V32</f>
        <v>5</v>
      </c>
      <c r="P129" s="10">
        <f>Records!O32</f>
        <v>6</v>
      </c>
      <c r="Q129" s="10">
        <f>Records!P32</f>
        <v>4</v>
      </c>
      <c r="R129" s="10">
        <f>AVERAGE(Records!S32,Records!T32,Records!U32)</f>
        <v>5.333333333333333</v>
      </c>
      <c r="S129" s="10">
        <f>AVERAGE(Records!V32,Records!O32,Records!P32)</f>
        <v>5</v>
      </c>
      <c r="T129" s="10">
        <f>Records!AA32</f>
        <v>86.6</v>
      </c>
      <c r="U129" s="10">
        <f>Records!AP32</f>
        <v>4</v>
      </c>
      <c r="V129" s="10">
        <f>IF(Records!AA32&gt;150,1,0)</f>
        <v>0</v>
      </c>
    </row>
    <row r="130">
      <c r="A130" s="5" t="inlineStr">
        <is>
          <t>P006</t>
        </is>
      </c>
      <c r="B130" s="6" t="inlineStr">
        <is>
          <t>EgoAnchor</t>
        </is>
      </c>
      <c r="C130" s="6" t="inlineStr">
        <is>
          <t>gamepad</t>
        </is>
      </c>
      <c r="D130" s="6" t="n">
        <v>37</v>
      </c>
      <c r="E130" s="10">
        <f>Records!K37</f>
        <v>5</v>
      </c>
      <c r="F130" s="10">
        <f>Records!R37</f>
        <v>5</v>
      </c>
      <c r="G130" s="10">
        <f>Records!L37</f>
        <v>5</v>
      </c>
      <c r="H130" s="10">
        <f>Records!M37</f>
        <v>5</v>
      </c>
      <c r="I130" s="10">
        <f>Records!Q37</f>
        <v>4</v>
      </c>
      <c r="J130" s="10">
        <f>Records!W37</f>
        <v>5</v>
      </c>
      <c r="K130" s="10">
        <f>Records!X37</f>
        <v>6</v>
      </c>
      <c r="L130" s="10">
        <f>Records!S37</f>
        <v>5</v>
      </c>
      <c r="M130" s="10">
        <f>Records!T37</f>
        <v>5</v>
      </c>
      <c r="N130" s="10">
        <f>Records!U37</f>
        <v>5</v>
      </c>
      <c r="O130" s="10">
        <f>Records!V37</f>
        <v>5</v>
      </c>
      <c r="P130" s="10">
        <f>Records!O37</f>
        <v>4</v>
      </c>
      <c r="Q130" s="10">
        <f>Records!P37</f>
        <v>4</v>
      </c>
      <c r="R130" s="10">
        <f>AVERAGE(Records!S37,Records!T37,Records!U37)</f>
        <v>5</v>
      </c>
      <c r="S130" s="10">
        <f>AVERAGE(Records!V37,Records!O37,Records!P37)</f>
        <v>4.333333333333333</v>
      </c>
      <c r="T130" s="10">
        <f>Records!AA37</f>
        <v>129.7</v>
      </c>
      <c r="U130" s="10">
        <f>Records!AP37</f>
        <v>6</v>
      </c>
      <c r="V130" s="10">
        <f>IF(Records!AA37&gt;150,1,0)</f>
        <v>0</v>
      </c>
    </row>
    <row r="131">
      <c r="A131" s="5" t="inlineStr">
        <is>
          <t>P007</t>
        </is>
      </c>
      <c r="B131" s="6" t="inlineStr">
        <is>
          <t>EgoAnchor</t>
        </is>
      </c>
      <c r="C131" s="6" t="inlineStr">
        <is>
          <t>gamepad</t>
        </is>
      </c>
      <c r="D131" s="6" t="n">
        <v>44</v>
      </c>
      <c r="E131" s="10">
        <f>Records!K44</f>
        <v>5</v>
      </c>
      <c r="F131" s="10">
        <f>Records!R44</f>
        <v>5</v>
      </c>
      <c r="G131" s="10">
        <f>Records!L44</f>
        <v>6</v>
      </c>
      <c r="H131" s="10">
        <f>Records!M44</f>
        <v>5</v>
      </c>
      <c r="I131" s="10">
        <f>Records!Q44</f>
        <v>4</v>
      </c>
      <c r="J131" s="10">
        <f>Records!W44</f>
        <v>4</v>
      </c>
      <c r="K131" s="10">
        <f>Records!X44</f>
        <v>3</v>
      </c>
      <c r="L131" s="10">
        <f>Records!S44</f>
        <v>6</v>
      </c>
      <c r="M131" s="10">
        <f>Records!T44</f>
        <v>6</v>
      </c>
      <c r="N131" s="10">
        <f>Records!U44</f>
        <v>7</v>
      </c>
      <c r="O131" s="10">
        <f>Records!V44</f>
        <v>6</v>
      </c>
      <c r="P131" s="10">
        <f>Records!O44</f>
        <v>4</v>
      </c>
      <c r="Q131" s="10">
        <f>Records!P44</f>
        <v>5</v>
      </c>
      <c r="R131" s="10">
        <f>AVERAGE(Records!S44,Records!T44,Records!U44)</f>
        <v>6.333333333333333</v>
      </c>
      <c r="S131" s="10">
        <f>AVERAGE(Records!V44,Records!O44,Records!P44)</f>
        <v>5</v>
      </c>
      <c r="T131" s="10">
        <f>Records!AA44</f>
        <v>176.6</v>
      </c>
      <c r="U131" s="10">
        <f>Records!AP44</f>
        <v>2</v>
      </c>
      <c r="V131" s="10">
        <f>IF(Records!AA44&gt;150,1,0)</f>
        <v>1</v>
      </c>
    </row>
    <row r="132">
      <c r="A132" s="5" t="inlineStr">
        <is>
          <t>P008</t>
        </is>
      </c>
      <c r="B132" s="6" t="inlineStr">
        <is>
          <t>EgoAnchor</t>
        </is>
      </c>
      <c r="C132" s="6" t="inlineStr">
        <is>
          <t>gamepad</t>
        </is>
      </c>
      <c r="D132" s="6" t="n">
        <v>49</v>
      </c>
      <c r="E132" s="10">
        <f>Records!K49</f>
        <v>6</v>
      </c>
      <c r="F132" s="10">
        <f>Records!R49</f>
        <v>5</v>
      </c>
      <c r="G132" s="10">
        <f>Records!L49</f>
        <v>4</v>
      </c>
      <c r="H132" s="10">
        <f>Records!M49</f>
        <v>4</v>
      </c>
      <c r="I132" s="10">
        <f>Records!Q49</f>
        <v>3</v>
      </c>
      <c r="J132" s="10">
        <f>Records!W49</f>
        <v>5</v>
      </c>
      <c r="K132" s="10">
        <f>Records!X49</f>
        <v>5</v>
      </c>
      <c r="L132" s="10">
        <f>Records!S49</f>
        <v>5</v>
      </c>
      <c r="M132" s="10">
        <f>Records!T49</f>
        <v>5</v>
      </c>
      <c r="N132" s="10">
        <f>Records!U49</f>
        <v>4</v>
      </c>
      <c r="O132" s="10">
        <f>Records!V49</f>
        <v>4</v>
      </c>
      <c r="P132" s="10">
        <f>Records!O49</f>
        <v>3</v>
      </c>
      <c r="Q132" s="10">
        <f>Records!P49</f>
        <v>4</v>
      </c>
      <c r="R132" s="10">
        <f>AVERAGE(Records!S49,Records!T49,Records!U49)</f>
        <v>4.666666666666667</v>
      </c>
      <c r="S132" s="10">
        <f>AVERAGE(Records!V49,Records!O49,Records!P49)</f>
        <v>3.6666666666666665</v>
      </c>
      <c r="T132" s="10">
        <f>Records!AA49</f>
        <v>110.7</v>
      </c>
      <c r="U132" s="10">
        <f>Records!AP49</f>
        <v>3</v>
      </c>
      <c r="V132" s="10">
        <f>IF(Records!AA49&gt;150,1,0)</f>
        <v>0</v>
      </c>
    </row>
    <row r="133">
      <c r="A133" s="5" t="inlineStr">
        <is>
          <t>P009</t>
        </is>
      </c>
      <c r="B133" s="6" t="inlineStr">
        <is>
          <t>EgoAnchor</t>
        </is>
      </c>
      <c r="C133" s="6" t="inlineStr">
        <is>
          <t>gamepad</t>
        </is>
      </c>
      <c r="D133" s="6" t="n">
        <v>57</v>
      </c>
      <c r="E133" s="10">
        <f>Records!K57</f>
        <v>5</v>
      </c>
      <c r="F133" s="10">
        <f>Records!R57</f>
        <v>5</v>
      </c>
      <c r="G133" s="10">
        <f>Records!L57</f>
        <v>4</v>
      </c>
      <c r="H133" s="10">
        <f>Records!M57</f>
        <v>4</v>
      </c>
      <c r="I133" s="10">
        <f>Records!Q57</f>
        <v>6</v>
      </c>
      <c r="J133" s="10">
        <f>Records!W57</f>
        <v>5</v>
      </c>
      <c r="K133" s="10">
        <f>Records!X57</f>
        <v>4</v>
      </c>
      <c r="L133" s="10">
        <f>Records!S57</f>
        <v>5</v>
      </c>
      <c r="M133" s="10">
        <f>Records!T57</f>
        <v>4</v>
      </c>
      <c r="N133" s="10">
        <f>Records!U57</f>
        <v>6</v>
      </c>
      <c r="O133" s="10">
        <f>Records!V57</f>
        <v>5</v>
      </c>
      <c r="P133" s="10">
        <f>Records!O57</f>
        <v>5</v>
      </c>
      <c r="Q133" s="10">
        <f>Records!P57</f>
        <v>5</v>
      </c>
      <c r="R133" s="10">
        <f>AVERAGE(Records!S57,Records!T57,Records!U57)</f>
        <v>5</v>
      </c>
      <c r="S133" s="10">
        <f>AVERAGE(Records!V57,Records!O57,Records!P57)</f>
        <v>5</v>
      </c>
      <c r="T133" s="10">
        <f>Records!AA57</f>
        <v>111.3</v>
      </c>
      <c r="U133" s="10">
        <f>Records!AP57</f>
        <v>2</v>
      </c>
      <c r="V133" s="10">
        <f>IF(Records!AA57&gt;150,1,0)</f>
        <v>0</v>
      </c>
    </row>
    <row r="134">
      <c r="A134" s="5" t="inlineStr">
        <is>
          <t>P010</t>
        </is>
      </c>
      <c r="B134" s="6" t="inlineStr">
        <is>
          <t>EgoAnchor</t>
        </is>
      </c>
      <c r="C134" s="6" t="inlineStr">
        <is>
          <t>gamepad</t>
        </is>
      </c>
      <c r="D134" s="6" t="n">
        <v>64</v>
      </c>
      <c r="E134" s="10">
        <f>Records!K64</f>
        <v>6</v>
      </c>
      <c r="F134" s="10">
        <f>Records!R64</f>
        <v>5</v>
      </c>
      <c r="G134" s="10">
        <f>Records!L64</f>
        <v>5</v>
      </c>
      <c r="H134" s="10">
        <f>Records!M64</f>
        <v>5</v>
      </c>
      <c r="I134" s="10">
        <f>Records!Q64</f>
        <v>4</v>
      </c>
      <c r="J134" s="10">
        <f>Records!W64</f>
        <v>5</v>
      </c>
      <c r="K134" s="10">
        <f>Records!X64</f>
        <v>5</v>
      </c>
      <c r="L134" s="10">
        <f>Records!S64</f>
        <v>5</v>
      </c>
      <c r="M134" s="10">
        <f>Records!T64</f>
        <v>5</v>
      </c>
      <c r="N134" s="10">
        <f>Records!U64</f>
        <v>5</v>
      </c>
      <c r="O134" s="10">
        <f>Records!V64</f>
        <v>5</v>
      </c>
      <c r="P134" s="10">
        <f>Records!O64</f>
        <v>5</v>
      </c>
      <c r="Q134" s="10">
        <f>Records!P64</f>
        <v>5</v>
      </c>
      <c r="R134" s="10">
        <f>AVERAGE(Records!S64,Records!T64,Records!U64)</f>
        <v>5</v>
      </c>
      <c r="S134" s="10">
        <f>AVERAGE(Records!V64,Records!O64,Records!P64)</f>
        <v>5</v>
      </c>
      <c r="T134" s="10">
        <f>Records!AA64</f>
        <v>222.1</v>
      </c>
      <c r="U134" s="10">
        <f>Records!AP64</f>
        <v>7</v>
      </c>
      <c r="V134" s="10">
        <f>IF(Records!AA64&gt;150,1,0)</f>
        <v>1</v>
      </c>
    </row>
    <row r="135">
      <c r="A135" s="5" t="inlineStr">
        <is>
          <t>P011</t>
        </is>
      </c>
      <c r="B135" s="6" t="inlineStr">
        <is>
          <t>EgoAnchor</t>
        </is>
      </c>
      <c r="C135" s="6" t="inlineStr">
        <is>
          <t>gamepad</t>
        </is>
      </c>
      <c r="D135" s="6" t="n">
        <v>69</v>
      </c>
      <c r="E135" s="10">
        <f>Records!K69</f>
        <v>5</v>
      </c>
      <c r="F135" s="10">
        <f>Records!R69</f>
        <v>5</v>
      </c>
      <c r="G135" s="10">
        <f>Records!L69</f>
        <v>4</v>
      </c>
      <c r="H135" s="10">
        <f>Records!M69</f>
        <v>5</v>
      </c>
      <c r="I135" s="10">
        <f>Records!Q69</f>
        <v>4</v>
      </c>
      <c r="J135" s="10">
        <f>Records!W69</f>
        <v>6</v>
      </c>
      <c r="K135" s="10">
        <f>Records!X69</f>
        <v>5</v>
      </c>
      <c r="L135" s="10">
        <f>Records!S69</f>
        <v>4</v>
      </c>
      <c r="M135" s="10">
        <f>Records!T69</f>
        <v>5</v>
      </c>
      <c r="N135" s="10">
        <f>Records!U69</f>
        <v>6</v>
      </c>
      <c r="O135" s="10">
        <f>Records!V69</f>
        <v>5</v>
      </c>
      <c r="P135" s="10">
        <f>Records!O69</f>
        <v>4</v>
      </c>
      <c r="Q135" s="10">
        <f>Records!P69</f>
        <v>5</v>
      </c>
      <c r="R135" s="10">
        <f>AVERAGE(Records!S69,Records!T69,Records!U69)</f>
        <v>5</v>
      </c>
      <c r="S135" s="10">
        <f>AVERAGE(Records!V69,Records!O69,Records!P69)</f>
        <v>4.666666666666667</v>
      </c>
      <c r="T135" s="10">
        <f>Records!AA69</f>
        <v>152</v>
      </c>
      <c r="U135" s="10">
        <f>Records!AP69</f>
        <v>1</v>
      </c>
      <c r="V135" s="10">
        <f>IF(Records!AA69&gt;150,1,0)</f>
        <v>1</v>
      </c>
    </row>
    <row r="136">
      <c r="A136" s="5" t="inlineStr">
        <is>
          <t>P012</t>
        </is>
      </c>
      <c r="B136" s="6" t="inlineStr">
        <is>
          <t>EgoAnchor</t>
        </is>
      </c>
      <c r="C136" s="6" t="inlineStr">
        <is>
          <t>gamepad</t>
        </is>
      </c>
      <c r="D136" s="6" t="n">
        <v>76</v>
      </c>
      <c r="E136" s="10">
        <f>Records!K76</f>
        <v>6</v>
      </c>
      <c r="F136" s="10">
        <f>Records!R76</f>
        <v>6</v>
      </c>
      <c r="G136" s="10">
        <f>Records!L76</f>
        <v>3</v>
      </c>
      <c r="H136" s="10">
        <f>Records!M76</f>
        <v>4</v>
      </c>
      <c r="I136" s="10">
        <f>Records!Q76</f>
        <v>5</v>
      </c>
      <c r="J136" s="10">
        <f>Records!W76</f>
        <v>4</v>
      </c>
      <c r="K136" s="10">
        <f>Records!X76</f>
        <v>4</v>
      </c>
      <c r="L136" s="10">
        <f>Records!S76</f>
        <v>5</v>
      </c>
      <c r="M136" s="10">
        <f>Records!T76</f>
        <v>5</v>
      </c>
      <c r="N136" s="10">
        <f>Records!U76</f>
        <v>6</v>
      </c>
      <c r="O136" s="10">
        <f>Records!V76</f>
        <v>5</v>
      </c>
      <c r="P136" s="10">
        <f>Records!O76</f>
        <v>4</v>
      </c>
      <c r="Q136" s="10">
        <f>Records!P76</f>
        <v>4</v>
      </c>
      <c r="R136" s="10">
        <f>AVERAGE(Records!S76,Records!T76,Records!U76)</f>
        <v>5.333333333333333</v>
      </c>
      <c r="S136" s="10">
        <f>AVERAGE(Records!V76,Records!O76,Records!P76)</f>
        <v>4.333333333333333</v>
      </c>
      <c r="T136" s="10">
        <f>Records!AA76</f>
        <v>137.2</v>
      </c>
      <c r="U136" s="10">
        <f>Records!AP76</f>
        <v>3</v>
      </c>
      <c r="V136" s="10">
        <f>IF(Records!AA76&gt;150,1,0)</f>
        <v>0</v>
      </c>
    </row>
    <row r="137">
      <c r="A137" s="5" t="inlineStr">
        <is>
          <t>P013</t>
        </is>
      </c>
      <c r="B137" s="6" t="inlineStr">
        <is>
          <t>EgoAnchor</t>
        </is>
      </c>
      <c r="C137" s="6" t="inlineStr">
        <is>
          <t>gamepad</t>
        </is>
      </c>
      <c r="D137" s="6" t="n">
        <v>80</v>
      </c>
      <c r="E137" s="10">
        <f>Records!K80</f>
        <v>6</v>
      </c>
      <c r="F137" s="10">
        <f>Records!R80</f>
        <v>5</v>
      </c>
      <c r="G137" s="10">
        <f>Records!L80</f>
        <v>5</v>
      </c>
      <c r="H137" s="10">
        <f>Records!M80</f>
        <v>5</v>
      </c>
      <c r="I137" s="10">
        <f>Records!Q80</f>
        <v>5</v>
      </c>
      <c r="J137" s="10">
        <f>Records!W80</f>
        <v>5</v>
      </c>
      <c r="K137" s="10">
        <f>Records!X80</f>
        <v>5</v>
      </c>
      <c r="L137" s="10">
        <f>Records!S80</f>
        <v>5</v>
      </c>
      <c r="M137" s="10">
        <f>Records!T80</f>
        <v>6</v>
      </c>
      <c r="N137" s="10">
        <f>Records!U80</f>
        <v>5</v>
      </c>
      <c r="O137" s="10">
        <f>Records!V80</f>
        <v>5</v>
      </c>
      <c r="P137" s="10">
        <f>Records!O80</f>
        <v>5</v>
      </c>
      <c r="Q137" s="10">
        <f>Records!P80</f>
        <v>5</v>
      </c>
      <c r="R137" s="10">
        <f>AVERAGE(Records!S80,Records!T80,Records!U80)</f>
        <v>5.333333333333333</v>
      </c>
      <c r="S137" s="10">
        <f>AVERAGE(Records!V80,Records!O80,Records!P80)</f>
        <v>5</v>
      </c>
      <c r="T137" s="10">
        <f>Records!AA80</f>
        <v>122</v>
      </c>
      <c r="U137" s="10">
        <f>Records!AP80</f>
        <v>7</v>
      </c>
      <c r="V137" s="10">
        <f>IF(Records!AA80&gt;150,1,0)</f>
        <v>0</v>
      </c>
    </row>
    <row r="138">
      <c r="A138" s="5" t="inlineStr">
        <is>
          <t>P014</t>
        </is>
      </c>
      <c r="B138" s="6" t="inlineStr">
        <is>
          <t>EgoAnchor</t>
        </is>
      </c>
      <c r="C138" s="6" t="inlineStr">
        <is>
          <t>gamepad</t>
        </is>
      </c>
      <c r="D138" s="6" t="n">
        <v>85</v>
      </c>
      <c r="E138" s="10">
        <f>Records!K85</f>
        <v>5</v>
      </c>
      <c r="F138" s="10">
        <f>Records!R85</f>
        <v>5</v>
      </c>
      <c r="G138" s="10">
        <f>Records!L85</f>
        <v>5</v>
      </c>
      <c r="H138" s="10">
        <f>Records!M85</f>
        <v>4</v>
      </c>
      <c r="I138" s="10">
        <f>Records!Q85</f>
        <v>5</v>
      </c>
      <c r="J138" s="10">
        <f>Records!W85</f>
        <v>6</v>
      </c>
      <c r="K138" s="10">
        <f>Records!X85</f>
        <v>6</v>
      </c>
      <c r="L138" s="10">
        <f>Records!S85</f>
        <v>6</v>
      </c>
      <c r="M138" s="10">
        <f>Records!T85</f>
        <v>5</v>
      </c>
      <c r="N138" s="10">
        <f>Records!U85</f>
        <v>6</v>
      </c>
      <c r="O138" s="10">
        <f>Records!V85</f>
        <v>6</v>
      </c>
      <c r="P138" s="10">
        <f>Records!O85</f>
        <v>5</v>
      </c>
      <c r="Q138" s="10">
        <f>Records!P85</f>
        <v>5</v>
      </c>
      <c r="R138" s="10">
        <f>AVERAGE(Records!S85,Records!T85,Records!U85)</f>
        <v>5.666666666666667</v>
      </c>
      <c r="S138" s="10">
        <f>AVERAGE(Records!V85,Records!O85,Records!P85)</f>
        <v>5.333333333333333</v>
      </c>
      <c r="T138" s="10">
        <f>Records!AA85</f>
        <v>128.3</v>
      </c>
      <c r="U138" s="10">
        <f>Records!AP85</f>
        <v>4</v>
      </c>
      <c r="V138" s="10">
        <f>IF(Records!AA85&gt;150,1,0)</f>
        <v>0</v>
      </c>
    </row>
    <row r="139">
      <c r="A139" s="5" t="inlineStr">
        <is>
          <t>P015</t>
        </is>
      </c>
      <c r="B139" s="6" t="inlineStr">
        <is>
          <t>EgoAnchor</t>
        </is>
      </c>
      <c r="C139" s="6" t="inlineStr">
        <is>
          <t>gamepad</t>
        </is>
      </c>
      <c r="D139" s="6" t="n">
        <v>92</v>
      </c>
      <c r="E139" s="10">
        <f>Records!K92</f>
        <v>6</v>
      </c>
      <c r="F139" s="10">
        <f>Records!R92</f>
        <v>5</v>
      </c>
      <c r="G139" s="10">
        <f>Records!L92</f>
        <v>4</v>
      </c>
      <c r="H139" s="10">
        <f>Records!M92</f>
        <v>3</v>
      </c>
      <c r="I139" s="10">
        <f>Records!Q92</f>
        <v>5</v>
      </c>
      <c r="J139" s="10">
        <f>Records!W92</f>
        <v>5</v>
      </c>
      <c r="K139" s="10">
        <f>Records!X92</f>
        <v>4</v>
      </c>
      <c r="L139" s="10">
        <f>Records!S92</f>
        <v>4</v>
      </c>
      <c r="M139" s="10">
        <f>Records!T92</f>
        <v>6</v>
      </c>
      <c r="N139" s="10">
        <f>Records!U92</f>
        <v>6</v>
      </c>
      <c r="O139" s="10">
        <f>Records!V92</f>
        <v>5</v>
      </c>
      <c r="P139" s="10">
        <f>Records!O92</f>
        <v>5</v>
      </c>
      <c r="Q139" s="10">
        <f>Records!P92</f>
        <v>5</v>
      </c>
      <c r="R139" s="10">
        <f>AVERAGE(Records!S92,Records!T92,Records!U92)</f>
        <v>5.333333333333333</v>
      </c>
      <c r="S139" s="10">
        <f>AVERAGE(Records!V92,Records!O92,Records!P92)</f>
        <v>5</v>
      </c>
      <c r="T139" s="10">
        <f>Records!AA92</f>
        <v>78.3</v>
      </c>
      <c r="U139" s="10">
        <f>Records!AP92</f>
        <v>4</v>
      </c>
      <c r="V139" s="10">
        <f>IF(Records!AA92&gt;150,1,0)</f>
        <v>0</v>
      </c>
    </row>
    <row r="140">
      <c r="A140" s="5" t="inlineStr">
        <is>
          <t>P016</t>
        </is>
      </c>
      <c r="B140" s="6" t="inlineStr">
        <is>
          <t>EgoAnchor</t>
        </is>
      </c>
      <c r="C140" s="6" t="inlineStr">
        <is>
          <t>gamepad</t>
        </is>
      </c>
      <c r="D140" s="6" t="n">
        <v>97</v>
      </c>
      <c r="E140" s="10">
        <f>Records!K97</f>
        <v>6</v>
      </c>
      <c r="F140" s="10">
        <f>Records!R97</f>
        <v>5</v>
      </c>
      <c r="G140" s="10">
        <f>Records!L97</f>
        <v>5</v>
      </c>
      <c r="H140" s="10">
        <f>Records!M97</f>
        <v>4</v>
      </c>
      <c r="I140" s="10">
        <f>Records!Q97</f>
        <v>6</v>
      </c>
      <c r="J140" s="10">
        <f>Records!W97</f>
        <v>6</v>
      </c>
      <c r="K140" s="10">
        <f>Records!X97</f>
        <v>4</v>
      </c>
      <c r="L140" s="10">
        <f>Records!S97</f>
        <v>6</v>
      </c>
      <c r="M140" s="10">
        <f>Records!T97</f>
        <v>5</v>
      </c>
      <c r="N140" s="10">
        <f>Records!U97</f>
        <v>6</v>
      </c>
      <c r="O140" s="10">
        <f>Records!V97</f>
        <v>6</v>
      </c>
      <c r="P140" s="10">
        <f>Records!O97</f>
        <v>5</v>
      </c>
      <c r="Q140" s="10">
        <f>Records!P97</f>
        <v>6</v>
      </c>
      <c r="R140" s="10">
        <f>AVERAGE(Records!S97,Records!T97,Records!U97)</f>
        <v>5.666666666666667</v>
      </c>
      <c r="S140" s="10">
        <f>AVERAGE(Records!V97,Records!O97,Records!P97)</f>
        <v>5.666666666666667</v>
      </c>
      <c r="T140" s="10">
        <f>Records!AA97</f>
        <v>189</v>
      </c>
      <c r="U140" s="10">
        <f>Records!AP97</f>
        <v>3</v>
      </c>
      <c r="V140" s="10">
        <f>IF(Records!AA97&gt;150,1,0)</f>
        <v>1</v>
      </c>
    </row>
    <row r="141">
      <c r="A141" s="5" t="inlineStr">
        <is>
          <t>P017</t>
        </is>
      </c>
      <c r="B141" s="6" t="inlineStr">
        <is>
          <t>EgoAnchor</t>
        </is>
      </c>
      <c r="C141" s="6" t="inlineStr">
        <is>
          <t>gamepad</t>
        </is>
      </c>
      <c r="D141" s="6" t="n">
        <v>101</v>
      </c>
      <c r="E141" s="10">
        <f>Records!K101</f>
        <v>5</v>
      </c>
      <c r="F141" s="10">
        <f>Records!R101</f>
        <v>6</v>
      </c>
      <c r="G141" s="10">
        <f>Records!L101</f>
        <v>4</v>
      </c>
      <c r="H141" s="10">
        <f>Records!M101</f>
        <v>3</v>
      </c>
      <c r="I141" s="10">
        <f>Records!Q101</f>
        <v>4</v>
      </c>
      <c r="J141" s="10">
        <f>Records!W101</f>
        <v>6</v>
      </c>
      <c r="K141" s="10">
        <f>Records!X101</f>
        <v>5</v>
      </c>
      <c r="L141" s="10">
        <f>Records!S101</f>
        <v>5</v>
      </c>
      <c r="M141" s="10">
        <f>Records!T101</f>
        <v>5</v>
      </c>
      <c r="N141" s="10">
        <f>Records!U101</f>
        <v>6</v>
      </c>
      <c r="O141" s="10">
        <f>Records!V101</f>
        <v>5</v>
      </c>
      <c r="P141" s="10">
        <f>Records!O101</f>
        <v>4</v>
      </c>
      <c r="Q141" s="10">
        <f>Records!P101</f>
        <v>5</v>
      </c>
      <c r="R141" s="10">
        <f>AVERAGE(Records!S101,Records!T101,Records!U101)</f>
        <v>5.333333333333333</v>
      </c>
      <c r="S141" s="10">
        <f>AVERAGE(Records!V101,Records!O101,Records!P101)</f>
        <v>4.666666666666667</v>
      </c>
      <c r="T141" s="10">
        <f>Records!AA101</f>
        <v>154.5</v>
      </c>
      <c r="U141" s="10">
        <f>Records!AP101</f>
        <v>2</v>
      </c>
      <c r="V141" s="10">
        <f>IF(Records!AA101&gt;150,1,0)</f>
        <v>1</v>
      </c>
    </row>
    <row r="142">
      <c r="A142" s="5" t="inlineStr">
        <is>
          <t>P018</t>
        </is>
      </c>
      <c r="B142" s="6" t="inlineStr">
        <is>
          <t>EgoAnchor</t>
        </is>
      </c>
      <c r="C142" s="6" t="inlineStr">
        <is>
          <t>gamepad</t>
        </is>
      </c>
      <c r="D142" s="6" t="n">
        <v>108</v>
      </c>
      <c r="E142" s="10">
        <f>Records!K108</f>
        <v>7</v>
      </c>
      <c r="F142" s="10">
        <f>Records!R108</f>
        <v>5</v>
      </c>
      <c r="G142" s="10">
        <f>Records!L108</f>
        <v>5</v>
      </c>
      <c r="H142" s="10">
        <f>Records!M108</f>
        <v>4</v>
      </c>
      <c r="I142" s="10">
        <f>Records!Q108</f>
        <v>7</v>
      </c>
      <c r="J142" s="10">
        <f>Records!W108</f>
        <v>6</v>
      </c>
      <c r="K142" s="10">
        <f>Records!X108</f>
        <v>5</v>
      </c>
      <c r="L142" s="10">
        <f>Records!S108</f>
        <v>6</v>
      </c>
      <c r="M142" s="10">
        <f>Records!T108</f>
        <v>6</v>
      </c>
      <c r="N142" s="10">
        <f>Records!U108</f>
        <v>7</v>
      </c>
      <c r="O142" s="10">
        <f>Records!V108</f>
        <v>5</v>
      </c>
      <c r="P142" s="10">
        <f>Records!O108</f>
        <v>4</v>
      </c>
      <c r="Q142" s="10">
        <f>Records!P108</f>
        <v>5</v>
      </c>
      <c r="R142" s="10">
        <f>AVERAGE(Records!S108,Records!T108,Records!U108)</f>
        <v>6.333333333333333</v>
      </c>
      <c r="S142" s="10">
        <f>AVERAGE(Records!V108,Records!O108,Records!P108)</f>
        <v>4.666666666666667</v>
      </c>
      <c r="T142" s="10">
        <f>Records!AA108</f>
        <v>128.8</v>
      </c>
      <c r="U142" s="10">
        <f>Records!AP108</f>
        <v>2</v>
      </c>
      <c r="V142" s="10">
        <f>IF(Records!AA108&gt;150,1,0)</f>
        <v>0</v>
      </c>
    </row>
    <row r="143">
      <c r="A143" s="5" t="inlineStr">
        <is>
          <t>P019</t>
        </is>
      </c>
      <c r="B143" s="6" t="inlineStr">
        <is>
          <t>EgoAnchor</t>
        </is>
      </c>
      <c r="C143" s="6" t="inlineStr">
        <is>
          <t>gamepad</t>
        </is>
      </c>
      <c r="D143" s="6" t="n">
        <v>113</v>
      </c>
      <c r="E143" s="10">
        <f>Records!K113</f>
        <v>4</v>
      </c>
      <c r="F143" s="10">
        <f>Records!R113</f>
        <v>2</v>
      </c>
      <c r="G143" s="10">
        <f>Records!L113</f>
        <v>3</v>
      </c>
      <c r="H143" s="10">
        <f>Records!M113</f>
        <v>2</v>
      </c>
      <c r="I143" s="10">
        <f>Records!Q113</f>
        <v>4</v>
      </c>
      <c r="J143" s="10">
        <f>Records!W113</f>
        <v>4</v>
      </c>
      <c r="K143" s="10">
        <f>Records!X113</f>
        <v>3</v>
      </c>
      <c r="L143" s="10">
        <f>Records!S113</f>
        <v>4</v>
      </c>
      <c r="M143" s="10">
        <f>Records!T113</f>
        <v>4</v>
      </c>
      <c r="N143" s="10">
        <f>Records!U113</f>
        <v>6</v>
      </c>
      <c r="O143" s="10">
        <f>Records!V113</f>
        <v>3</v>
      </c>
      <c r="P143" s="10">
        <f>Records!O113</f>
        <v>4</v>
      </c>
      <c r="Q143" s="10">
        <f>Records!P113</f>
        <v>4</v>
      </c>
      <c r="R143" s="10">
        <f>AVERAGE(Records!S113,Records!T113,Records!U113)</f>
        <v>4.666666666666667</v>
      </c>
      <c r="S143" s="10">
        <f>AVERAGE(Records!V113,Records!O113,Records!P113)</f>
        <v>3.6666666666666665</v>
      </c>
      <c r="T143" s="10">
        <f>Records!AA113</f>
        <v>121.8</v>
      </c>
      <c r="U143" s="10">
        <f>Records!AP113</f>
        <v>3</v>
      </c>
      <c r="V143" s="10">
        <f>IF(Records!AA113&gt;150,1,0)</f>
        <v>0</v>
      </c>
    </row>
    <row r="144">
      <c r="A144" s="5" t="inlineStr">
        <is>
          <t>P020</t>
        </is>
      </c>
      <c r="B144" s="6" t="inlineStr">
        <is>
          <t>EgoAnchor</t>
        </is>
      </c>
      <c r="C144" s="6" t="inlineStr">
        <is>
          <t>gamepad</t>
        </is>
      </c>
      <c r="D144" s="6" t="n">
        <v>120</v>
      </c>
      <c r="E144" s="10">
        <f>Records!K120</f>
        <v>5</v>
      </c>
      <c r="F144" s="10">
        <f>Records!R120</f>
        <v>5</v>
      </c>
      <c r="G144" s="10">
        <f>Records!L120</f>
        <v>4</v>
      </c>
      <c r="H144" s="10">
        <f>Records!M120</f>
        <v>4</v>
      </c>
      <c r="I144" s="10">
        <f>Records!Q120</f>
        <v>6</v>
      </c>
      <c r="J144" s="10">
        <f>Records!W120</f>
        <v>6</v>
      </c>
      <c r="K144" s="10">
        <f>Records!X120</f>
        <v>6</v>
      </c>
      <c r="L144" s="10">
        <f>Records!S120</f>
        <v>6</v>
      </c>
      <c r="M144" s="10">
        <f>Records!T120</f>
        <v>5</v>
      </c>
      <c r="N144" s="10">
        <f>Records!U120</f>
        <v>6</v>
      </c>
      <c r="O144" s="10">
        <f>Records!V120</f>
        <v>6</v>
      </c>
      <c r="P144" s="10">
        <f>Records!O120</f>
        <v>6</v>
      </c>
      <c r="Q144" s="10">
        <f>Records!P120</f>
        <v>5</v>
      </c>
      <c r="R144" s="10">
        <f>AVERAGE(Records!S120,Records!T120,Records!U120)</f>
        <v>5.666666666666667</v>
      </c>
      <c r="S144" s="10">
        <f>AVERAGE(Records!V120,Records!O120,Records!P120)</f>
        <v>5.666666666666667</v>
      </c>
      <c r="T144" s="10">
        <f>Records!AA120</f>
        <v>93.3</v>
      </c>
      <c r="U144" s="10">
        <f>Records!AP120</f>
        <v>4</v>
      </c>
      <c r="V144" s="10">
        <f>IF(Records!AA120&gt;150,1,0)</f>
        <v>0</v>
      </c>
    </row>
    <row r="145">
      <c r="A145" s="5" t="inlineStr">
        <is>
          <t>P021</t>
        </is>
      </c>
      <c r="B145" s="6" t="inlineStr">
        <is>
          <t>EgoAnchor</t>
        </is>
      </c>
      <c r="C145" s="6" t="inlineStr">
        <is>
          <t>gamepad</t>
        </is>
      </c>
      <c r="D145" s="6" t="n">
        <v>125</v>
      </c>
      <c r="E145" s="10">
        <f>Records!K125</f>
        <v>6</v>
      </c>
      <c r="F145" s="10">
        <f>Records!R125</f>
        <v>5</v>
      </c>
      <c r="G145" s="10">
        <f>Records!L125</f>
        <v>5</v>
      </c>
      <c r="H145" s="10">
        <f>Records!M125</f>
        <v>5</v>
      </c>
      <c r="I145" s="10">
        <f>Records!Q125</f>
        <v>6</v>
      </c>
      <c r="J145" s="10">
        <f>Records!W125</f>
        <v>5</v>
      </c>
      <c r="K145" s="10">
        <f>Records!X125</f>
        <v>5</v>
      </c>
      <c r="L145" s="10">
        <f>Records!S125</f>
        <v>6</v>
      </c>
      <c r="M145" s="10">
        <f>Records!T125</f>
        <v>5</v>
      </c>
      <c r="N145" s="10">
        <f>Records!U125</f>
        <v>6</v>
      </c>
      <c r="O145" s="10">
        <f>Records!V125</f>
        <v>6</v>
      </c>
      <c r="P145" s="10">
        <f>Records!O125</f>
        <v>6</v>
      </c>
      <c r="Q145" s="10">
        <f>Records!P125</f>
        <v>5</v>
      </c>
      <c r="R145" s="10">
        <f>AVERAGE(Records!S125,Records!T125,Records!U125)</f>
        <v>5.666666666666667</v>
      </c>
      <c r="S145" s="10">
        <f>AVERAGE(Records!V125,Records!O125,Records!P125)</f>
        <v>5.666666666666667</v>
      </c>
      <c r="T145" s="10">
        <f>Records!AA125</f>
        <v>176.3</v>
      </c>
      <c r="U145" s="10">
        <f>Records!AP125</f>
        <v>2</v>
      </c>
      <c r="V145" s="10">
        <f>IF(Records!AA125&gt;150,1,0)</f>
        <v>1</v>
      </c>
    </row>
    <row r="146">
      <c r="A146" s="5" t="inlineStr">
        <is>
          <t>P022</t>
        </is>
      </c>
      <c r="B146" s="6" t="inlineStr">
        <is>
          <t>EgoAnchor</t>
        </is>
      </c>
      <c r="C146" s="6" t="inlineStr">
        <is>
          <t>gamepad</t>
        </is>
      </c>
      <c r="D146" s="6" t="n">
        <v>132</v>
      </c>
      <c r="E146" s="10">
        <f>Records!K132</f>
        <v>6</v>
      </c>
      <c r="F146" s="10">
        <f>Records!R132</f>
        <v>6</v>
      </c>
      <c r="G146" s="10">
        <f>Records!L132</f>
        <v>5</v>
      </c>
      <c r="H146" s="10">
        <f>Records!M132</f>
        <v>5</v>
      </c>
      <c r="I146" s="10">
        <f>Records!Q132</f>
        <v>6</v>
      </c>
      <c r="J146" s="10">
        <f>Records!W132</f>
        <v>5</v>
      </c>
      <c r="K146" s="10">
        <f>Records!X132</f>
        <v>5</v>
      </c>
      <c r="L146" s="10">
        <f>Records!S132</f>
        <v>6</v>
      </c>
      <c r="M146" s="10">
        <f>Records!T132</f>
        <v>6</v>
      </c>
      <c r="N146" s="10">
        <f>Records!U132</f>
        <v>6</v>
      </c>
      <c r="O146" s="10">
        <f>Records!V132</f>
        <v>6</v>
      </c>
      <c r="P146" s="10">
        <f>Records!O132</f>
        <v>6</v>
      </c>
      <c r="Q146" s="10">
        <f>Records!P132</f>
        <v>6</v>
      </c>
      <c r="R146" s="10">
        <f>AVERAGE(Records!S132,Records!T132,Records!U132)</f>
        <v>6</v>
      </c>
      <c r="S146" s="10">
        <f>AVERAGE(Records!V132,Records!O132,Records!P132)</f>
        <v>6</v>
      </c>
      <c r="T146" s="10">
        <f>Records!AA132</f>
        <v>104.5</v>
      </c>
      <c r="U146" s="10">
        <f>Records!AP132</f>
        <v>8</v>
      </c>
      <c r="V146" s="10">
        <f>IF(Records!AA132&gt;150,1,0)</f>
        <v>0</v>
      </c>
    </row>
    <row r="147">
      <c r="A147" s="5" t="inlineStr">
        <is>
          <t>P023</t>
        </is>
      </c>
      <c r="B147" s="6" t="inlineStr">
        <is>
          <t>EgoAnchor</t>
        </is>
      </c>
      <c r="C147" s="6" t="inlineStr">
        <is>
          <t>gamepad</t>
        </is>
      </c>
      <c r="D147" s="6" t="n">
        <v>137</v>
      </c>
      <c r="E147" s="10">
        <f>Records!K137</f>
        <v>5</v>
      </c>
      <c r="F147" s="10">
        <f>Records!R137</f>
        <v>4</v>
      </c>
      <c r="G147" s="10">
        <f>Records!L137</f>
        <v>5</v>
      </c>
      <c r="H147" s="10">
        <f>Records!M137</f>
        <v>4</v>
      </c>
      <c r="I147" s="10">
        <f>Records!Q137</f>
        <v>5</v>
      </c>
      <c r="J147" s="10">
        <f>Records!W137</f>
        <v>5</v>
      </c>
      <c r="K147" s="10">
        <f>Records!X137</f>
        <v>5</v>
      </c>
      <c r="L147" s="10">
        <f>Records!S137</f>
        <v>5</v>
      </c>
      <c r="M147" s="10">
        <f>Records!T137</f>
        <v>4</v>
      </c>
      <c r="N147" s="10">
        <f>Records!U137</f>
        <v>5</v>
      </c>
      <c r="O147" s="10">
        <f>Records!V137</f>
        <v>5</v>
      </c>
      <c r="P147" s="10">
        <f>Records!O137</f>
        <v>4</v>
      </c>
      <c r="Q147" s="10">
        <f>Records!P137</f>
        <v>5</v>
      </c>
      <c r="R147" s="10">
        <f>AVERAGE(Records!S137,Records!T137,Records!U137)</f>
        <v>4.666666666666667</v>
      </c>
      <c r="S147" s="10">
        <f>AVERAGE(Records!V137,Records!O137,Records!P137)</f>
        <v>4.666666666666667</v>
      </c>
      <c r="T147" s="10">
        <f>Records!AA137</f>
        <v>143.6</v>
      </c>
      <c r="U147" s="10">
        <f>Records!AP137</f>
        <v>4</v>
      </c>
      <c r="V147" s="10">
        <f>IF(Records!AA137&gt;150,1,0)</f>
        <v>0</v>
      </c>
    </row>
    <row r="148">
      <c r="A148" s="5" t="inlineStr">
        <is>
          <t>P024</t>
        </is>
      </c>
      <c r="B148" s="6" t="inlineStr">
        <is>
          <t>EgoAnchor</t>
        </is>
      </c>
      <c r="C148" s="6" t="inlineStr">
        <is>
          <t>gamepad</t>
        </is>
      </c>
      <c r="D148" s="6" t="n">
        <v>144</v>
      </c>
      <c r="E148" s="10">
        <f>Records!K144</f>
        <v>5</v>
      </c>
      <c r="F148" s="10">
        <f>Records!R144</f>
        <v>5</v>
      </c>
      <c r="G148" s="10">
        <f>Records!L144</f>
        <v>4</v>
      </c>
      <c r="H148" s="10">
        <f>Records!M144</f>
        <v>6</v>
      </c>
      <c r="I148" s="10">
        <f>Records!Q144</f>
        <v>4</v>
      </c>
      <c r="J148" s="10">
        <f>Records!W144</f>
        <v>5</v>
      </c>
      <c r="K148" s="10">
        <f>Records!X144</f>
        <v>4</v>
      </c>
      <c r="L148" s="10">
        <f>Records!S144</f>
        <v>5</v>
      </c>
      <c r="M148" s="10">
        <f>Records!T144</f>
        <v>6</v>
      </c>
      <c r="N148" s="10">
        <f>Records!U144</f>
        <v>6</v>
      </c>
      <c r="O148" s="10">
        <f>Records!V144</f>
        <v>6</v>
      </c>
      <c r="P148" s="10">
        <f>Records!O144</f>
        <v>6</v>
      </c>
      <c r="Q148" s="10">
        <f>Records!P144</f>
        <v>6</v>
      </c>
      <c r="R148" s="10">
        <f>AVERAGE(Records!S144,Records!T144,Records!U144)</f>
        <v>5.666666666666667</v>
      </c>
      <c r="S148" s="10">
        <f>AVERAGE(Records!V144,Records!O144,Records!P144)</f>
        <v>6</v>
      </c>
      <c r="T148" s="10">
        <f>Records!AA144</f>
        <v>144.1</v>
      </c>
      <c r="U148" s="10">
        <f>Records!AP144</f>
        <v>3</v>
      </c>
      <c r="V148" s="10">
        <f>IF(Records!AA144&gt;150,1,0)</f>
        <v>0</v>
      </c>
    </row>
    <row r="150" ht="20" customHeight="1">
      <c r="A150" s="3" t="inlineStr">
        <is>
          <t>L2. 参与者 × 方法（同一条目/子量表在三个物体上取均值——计划书 6.2 明确取均值而非中位数，以避免三点中位数产生大量配对结平）</t>
        </is>
      </c>
    </row>
    <row r="151" ht="30" customHeight="1">
      <c r="A151" s="4" t="inlineStr">
        <is>
          <t>Participant_ID</t>
        </is>
      </c>
      <c r="B151" s="4" t="inlineStr">
        <is>
          <t>Method(内部)</t>
        </is>
      </c>
      <c r="C151" s="4" t="inlineStr">
        <is>
          <t>Q1</t>
        </is>
      </c>
      <c r="D151" s="4" t="inlineStr">
        <is>
          <t>Q8</t>
        </is>
      </c>
      <c r="E151" s="4" t="inlineStr">
        <is>
          <t>Q2</t>
        </is>
      </c>
      <c r="F151" s="4" t="inlineStr">
        <is>
          <t>Q9</t>
        </is>
      </c>
      <c r="G151" s="4" t="inlineStr">
        <is>
          <t>Q3</t>
        </is>
      </c>
      <c r="H151" s="4" t="inlineStr">
        <is>
          <t>Q6</t>
        </is>
      </c>
      <c r="I151" s="4" t="inlineStr">
        <is>
          <t>Q7</t>
        </is>
      </c>
      <c r="J151" s="4" t="inlineStr">
        <is>
          <t>AQ_EQ1</t>
        </is>
      </c>
      <c r="K151" s="4" t="inlineStr">
        <is>
          <t>AQ_EQ2</t>
        </is>
      </c>
      <c r="L151" s="4" t="inlineStr">
        <is>
          <t>AQ_EQ3</t>
        </is>
      </c>
      <c r="M151" s="4" t="inlineStr">
        <is>
          <t>AQ_IQ1</t>
        </is>
      </c>
      <c r="N151" s="4" t="inlineStr">
        <is>
          <t>AQ_IQ2</t>
        </is>
      </c>
      <c r="O151" s="4" t="inlineStr">
        <is>
          <t>AQ_IQ3</t>
        </is>
      </c>
      <c r="P151" s="4" t="inlineStr">
        <is>
          <t>AQ_EQ</t>
        </is>
      </c>
      <c r="Q151" s="4" t="inlineStr">
        <is>
          <t>AQ_IQ</t>
        </is>
      </c>
    </row>
    <row r="152">
      <c r="A152" s="5" t="inlineStr">
        <is>
          <t>P001</t>
        </is>
      </c>
      <c r="B152" s="6" t="inlineStr">
        <is>
          <t>One-Euro</t>
        </is>
      </c>
      <c r="C152" s="10">
        <f>AVERAGE(E5,E29,E53)</f>
        <v>3.3333333333333335</v>
      </c>
      <c r="D152" s="10">
        <f>AVERAGE(F5,F29,F53)</f>
        <v>4.333333333333333</v>
      </c>
      <c r="E152" s="10">
        <f>AVERAGE(G5,G29,G53)</f>
        <v>4</v>
      </c>
      <c r="F152" s="10">
        <f>AVERAGE(H5,H29,H53)</f>
        <v>4.333333333333333</v>
      </c>
      <c r="G152" s="10">
        <f>AVERAGE(I5,I29,I53)</f>
        <v>4.333333333333333</v>
      </c>
      <c r="H152" s="10">
        <f>AVERAGE(J5,J29,J53)</f>
        <v>4.333333333333333</v>
      </c>
      <c r="I152" s="10">
        <f>AVERAGE(K5,K29,K53)</f>
        <v>4.333333333333333</v>
      </c>
      <c r="J152" s="10">
        <f>AVERAGE(L5,L29,L53)</f>
        <v>4.333333333333333</v>
      </c>
      <c r="K152" s="10">
        <f>AVERAGE(M5,M29,M53)</f>
        <v>4</v>
      </c>
      <c r="L152" s="10">
        <f>AVERAGE(N5,N29,N53)</f>
        <v>5</v>
      </c>
      <c r="M152" s="10">
        <f>AVERAGE(O5,O29,O53)</f>
        <v>4.666666666666667</v>
      </c>
      <c r="N152" s="10">
        <f>AVERAGE(P5,P29,P53)</f>
        <v>4.666666666666667</v>
      </c>
      <c r="O152" s="10">
        <f>AVERAGE(Q5,Q29,Q53)</f>
        <v>4.333333333333333</v>
      </c>
      <c r="P152" s="10">
        <f>AVERAGE(R5,R29,R53)</f>
        <v>4.444444444444445</v>
      </c>
      <c r="Q152" s="10">
        <f>AVERAGE(S5,S29,S53)</f>
        <v>4.555555555555555</v>
      </c>
    </row>
    <row r="153">
      <c r="A153" s="5" t="inlineStr">
        <is>
          <t>P002</t>
        </is>
      </c>
      <c r="B153" s="6" t="inlineStr">
        <is>
          <t>One-Euro</t>
        </is>
      </c>
      <c r="C153" s="10">
        <f>AVERAGE(E6,E30,E54)</f>
        <v>4.333333333333333</v>
      </c>
      <c r="D153" s="10">
        <f>AVERAGE(F6,F30,F54)</f>
        <v>4.333333333333333</v>
      </c>
      <c r="E153" s="10">
        <f>AVERAGE(G6,G30,G54)</f>
        <v>4</v>
      </c>
      <c r="F153" s="10">
        <f>AVERAGE(H6,H30,H54)</f>
        <v>4</v>
      </c>
      <c r="G153" s="10">
        <f>AVERAGE(I6,I30,I54)</f>
        <v>3.3333333333333335</v>
      </c>
      <c r="H153" s="10">
        <f>AVERAGE(J6,J30,J54)</f>
        <v>3.3333333333333335</v>
      </c>
      <c r="I153" s="10">
        <f>AVERAGE(K6,K30,K54)</f>
        <v>4</v>
      </c>
      <c r="J153" s="10">
        <f>AVERAGE(L6,L30,L54)</f>
        <v>5.333333333333333</v>
      </c>
      <c r="K153" s="10">
        <f>AVERAGE(M6,M30,M54)</f>
        <v>4</v>
      </c>
      <c r="L153" s="10">
        <f>AVERAGE(N6,N30,N54)</f>
        <v>6</v>
      </c>
      <c r="M153" s="10">
        <f>AVERAGE(O6,O30,O54)</f>
        <v>5.666666666666667</v>
      </c>
      <c r="N153" s="10">
        <f>AVERAGE(P6,P30,P54)</f>
        <v>5</v>
      </c>
      <c r="O153" s="10">
        <f>AVERAGE(Q6,Q30,Q54)</f>
        <v>4.666666666666667</v>
      </c>
      <c r="P153" s="10">
        <f>AVERAGE(R6,R30,R54)</f>
        <v>5.111111111111112</v>
      </c>
      <c r="Q153" s="10">
        <f>AVERAGE(S6,S30,S54)</f>
        <v>5.111111111111112</v>
      </c>
    </row>
    <row r="154">
      <c r="A154" s="5" t="inlineStr">
        <is>
          <t>P003</t>
        </is>
      </c>
      <c r="B154" s="6" t="inlineStr">
        <is>
          <t>One-Euro</t>
        </is>
      </c>
      <c r="C154" s="10">
        <f>AVERAGE(E7,E31,E55)</f>
        <v>4.333333333333333</v>
      </c>
      <c r="D154" s="10">
        <f>AVERAGE(F7,F31,F55)</f>
        <v>4</v>
      </c>
      <c r="E154" s="10">
        <f>AVERAGE(G7,G31,G55)</f>
        <v>4.666666666666667</v>
      </c>
      <c r="F154" s="10">
        <f>AVERAGE(H7,H31,H55)</f>
        <v>4</v>
      </c>
      <c r="G154" s="10">
        <f>AVERAGE(I7,I31,I55)</f>
        <v>3.6666666666666665</v>
      </c>
      <c r="H154" s="10">
        <f>AVERAGE(J7,J31,J55)</f>
        <v>4.333333333333333</v>
      </c>
      <c r="I154" s="10">
        <f>AVERAGE(K7,K31,K55)</f>
        <v>3.6666666666666665</v>
      </c>
      <c r="J154" s="10">
        <f>AVERAGE(L7,L31,L55)</f>
        <v>4.666666666666667</v>
      </c>
      <c r="K154" s="10">
        <f>AVERAGE(M7,M31,M55)</f>
        <v>4.333333333333333</v>
      </c>
      <c r="L154" s="10">
        <f>AVERAGE(N7,N31,N55)</f>
        <v>6</v>
      </c>
      <c r="M154" s="10">
        <f>AVERAGE(O7,O31,O55)</f>
        <v>5</v>
      </c>
      <c r="N154" s="10">
        <f>AVERAGE(P7,P31,P55)</f>
        <v>5</v>
      </c>
      <c r="O154" s="10">
        <f>AVERAGE(Q7,Q31,Q55)</f>
        <v>3.6666666666666665</v>
      </c>
      <c r="P154" s="10">
        <f>AVERAGE(R7,R31,R55)</f>
        <v>5</v>
      </c>
      <c r="Q154" s="10">
        <f>AVERAGE(S7,S31,S55)</f>
        <v>4.555555555555555</v>
      </c>
    </row>
    <row r="155">
      <c r="A155" s="5" t="inlineStr">
        <is>
          <t>P004</t>
        </is>
      </c>
      <c r="B155" s="6" t="inlineStr">
        <is>
          <t>One-Euro</t>
        </is>
      </c>
      <c r="C155" s="10">
        <f>AVERAGE(E8,E32,E56)</f>
        <v>5.333333333333333</v>
      </c>
      <c r="D155" s="10">
        <f>AVERAGE(F8,F32,F56)</f>
        <v>4.333333333333333</v>
      </c>
      <c r="E155" s="10">
        <f>AVERAGE(G8,G32,G56)</f>
        <v>4.666666666666667</v>
      </c>
      <c r="F155" s="10">
        <f>AVERAGE(H8,H32,H56)</f>
        <v>5.333333333333333</v>
      </c>
      <c r="G155" s="10">
        <f>AVERAGE(I8,I32,I56)</f>
        <v>3</v>
      </c>
      <c r="H155" s="10">
        <f>AVERAGE(J8,J32,J56)</f>
        <v>2.3333333333333335</v>
      </c>
      <c r="I155" s="10">
        <f>AVERAGE(K8,K32,K56)</f>
        <v>4.666666666666667</v>
      </c>
      <c r="J155" s="10">
        <f>AVERAGE(L8,L32,L56)</f>
        <v>5.666666666666667</v>
      </c>
      <c r="K155" s="10">
        <f>AVERAGE(M8,M32,M56)</f>
        <v>5.333333333333333</v>
      </c>
      <c r="L155" s="10">
        <f>AVERAGE(N8,N32,N56)</f>
        <v>5.666666666666667</v>
      </c>
      <c r="M155" s="10">
        <f>AVERAGE(O8,O32,O56)</f>
        <v>5.666666666666667</v>
      </c>
      <c r="N155" s="10">
        <f>AVERAGE(P8,P32,P56)</f>
        <v>5.333333333333333</v>
      </c>
      <c r="O155" s="10">
        <f>AVERAGE(Q8,Q32,Q56)</f>
        <v>4.333333333333333</v>
      </c>
      <c r="P155" s="10">
        <f>AVERAGE(R8,R32,R56)</f>
        <v>5.555555555555556</v>
      </c>
      <c r="Q155" s="10">
        <f>AVERAGE(S8,S32,S56)</f>
        <v>5.111111111111111</v>
      </c>
    </row>
    <row r="156">
      <c r="A156" s="5" t="inlineStr">
        <is>
          <t>P005</t>
        </is>
      </c>
      <c r="B156" s="6" t="inlineStr">
        <is>
          <t>One-Euro</t>
        </is>
      </c>
      <c r="C156" s="10">
        <f>AVERAGE(E9,E33,E57)</f>
        <v>3.3333333333333335</v>
      </c>
      <c r="D156" s="10">
        <f>AVERAGE(F9,F33,F57)</f>
        <v>4.333333333333333</v>
      </c>
      <c r="E156" s="10">
        <f>AVERAGE(G9,G33,G57)</f>
        <v>5</v>
      </c>
      <c r="F156" s="10">
        <f>AVERAGE(H9,H33,H57)</f>
        <v>4</v>
      </c>
      <c r="G156" s="10">
        <f>AVERAGE(I9,I33,I57)</f>
        <v>4</v>
      </c>
      <c r="H156" s="10">
        <f>AVERAGE(J9,J33,J57)</f>
        <v>4</v>
      </c>
      <c r="I156" s="10">
        <f>AVERAGE(K9,K33,K57)</f>
        <v>4.333333333333333</v>
      </c>
      <c r="J156" s="10">
        <f>AVERAGE(L9,L33,L57)</f>
        <v>5.333333333333333</v>
      </c>
      <c r="K156" s="10">
        <f>AVERAGE(M9,M33,M57)</f>
        <v>4</v>
      </c>
      <c r="L156" s="10">
        <f>AVERAGE(N9,N33,N57)</f>
        <v>5.666666666666667</v>
      </c>
      <c r="M156" s="10">
        <f>AVERAGE(O9,O33,O57)</f>
        <v>5.666666666666667</v>
      </c>
      <c r="N156" s="10">
        <f>AVERAGE(P9,P33,P57)</f>
        <v>5</v>
      </c>
      <c r="O156" s="10">
        <f>AVERAGE(Q9,Q33,Q57)</f>
        <v>4.666666666666667</v>
      </c>
      <c r="P156" s="10">
        <f>AVERAGE(R9,R33,R57)</f>
        <v>5</v>
      </c>
      <c r="Q156" s="10">
        <f>AVERAGE(S9,S33,S57)</f>
        <v>5.111111111111111</v>
      </c>
    </row>
    <row r="157">
      <c r="A157" s="5" t="inlineStr">
        <is>
          <t>P006</t>
        </is>
      </c>
      <c r="B157" s="6" t="inlineStr">
        <is>
          <t>One-Euro</t>
        </is>
      </c>
      <c r="C157" s="10">
        <f>AVERAGE(E10,E34,E58)</f>
        <v>3.6666666666666665</v>
      </c>
      <c r="D157" s="10">
        <f>AVERAGE(F10,F34,F58)</f>
        <v>4.333333333333333</v>
      </c>
      <c r="E157" s="10">
        <f>AVERAGE(G10,G34,G58)</f>
        <v>5</v>
      </c>
      <c r="F157" s="10">
        <f>AVERAGE(H10,H34,H58)</f>
        <v>3.6666666666666665</v>
      </c>
      <c r="G157" s="10">
        <f>AVERAGE(I10,I34,I58)</f>
        <v>3.6666666666666665</v>
      </c>
      <c r="H157" s="10">
        <f>AVERAGE(J10,J34,J58)</f>
        <v>3</v>
      </c>
      <c r="I157" s="10">
        <f>AVERAGE(K10,K34,K58)</f>
        <v>4</v>
      </c>
      <c r="J157" s="10">
        <f>AVERAGE(L10,L34,L58)</f>
        <v>5</v>
      </c>
      <c r="K157" s="10">
        <f>AVERAGE(M10,M34,M58)</f>
        <v>4.333333333333333</v>
      </c>
      <c r="L157" s="10">
        <f>AVERAGE(N10,N34,N58)</f>
        <v>4.333333333333333</v>
      </c>
      <c r="M157" s="10">
        <f>AVERAGE(O10,O34,O58)</f>
        <v>5</v>
      </c>
      <c r="N157" s="10">
        <f>AVERAGE(P10,P34,P58)</f>
        <v>3.6666666666666665</v>
      </c>
      <c r="O157" s="10">
        <f>AVERAGE(Q10,Q34,Q58)</f>
        <v>4.333333333333333</v>
      </c>
      <c r="P157" s="10">
        <f>AVERAGE(R10,R34,R58)</f>
        <v>4.555555555555555</v>
      </c>
      <c r="Q157" s="10">
        <f>AVERAGE(S10,S34,S58)</f>
        <v>4.333333333333333</v>
      </c>
    </row>
    <row r="158">
      <c r="A158" s="5" t="inlineStr">
        <is>
          <t>P007</t>
        </is>
      </c>
      <c r="B158" s="6" t="inlineStr">
        <is>
          <t>One-Euro</t>
        </is>
      </c>
      <c r="C158" s="10">
        <f>AVERAGE(E11,E35,E59)</f>
        <v>3.6666666666666665</v>
      </c>
      <c r="D158" s="10">
        <f>AVERAGE(F11,F35,F59)</f>
        <v>4.333333333333333</v>
      </c>
      <c r="E158" s="10">
        <f>AVERAGE(G11,G35,G59)</f>
        <v>5.333333333333333</v>
      </c>
      <c r="F158" s="10">
        <f>AVERAGE(H11,H35,H59)</f>
        <v>5.333333333333333</v>
      </c>
      <c r="G158" s="10">
        <f>AVERAGE(I11,I35,I59)</f>
        <v>4.333333333333333</v>
      </c>
      <c r="H158" s="10">
        <f>AVERAGE(J11,J35,J59)</f>
        <v>4.666666666666667</v>
      </c>
      <c r="I158" s="10">
        <f>AVERAGE(K11,K35,K59)</f>
        <v>4.666666666666667</v>
      </c>
      <c r="J158" s="10">
        <f>AVERAGE(L11,L35,L59)</f>
        <v>5</v>
      </c>
      <c r="K158" s="10">
        <f>AVERAGE(M11,M35,M59)</f>
        <v>4.666666666666667</v>
      </c>
      <c r="L158" s="10">
        <f>AVERAGE(N11,N35,N59)</f>
        <v>4.666666666666667</v>
      </c>
      <c r="M158" s="10">
        <f>AVERAGE(O11,O35,O59)</f>
        <v>5.333333333333333</v>
      </c>
      <c r="N158" s="10">
        <f>AVERAGE(P11,P35,P59)</f>
        <v>4.333333333333333</v>
      </c>
      <c r="O158" s="10">
        <f>AVERAGE(Q11,Q35,Q59)</f>
        <v>5.333333333333333</v>
      </c>
      <c r="P158" s="10">
        <f>AVERAGE(R11,R35,R59)</f>
        <v>4.777777777777778</v>
      </c>
      <c r="Q158" s="10">
        <f>AVERAGE(S11,S35,S59)</f>
        <v>5</v>
      </c>
    </row>
    <row r="159">
      <c r="A159" s="5" t="inlineStr">
        <is>
          <t>P008</t>
        </is>
      </c>
      <c r="B159" s="6" t="inlineStr">
        <is>
          <t>One-Euro</t>
        </is>
      </c>
      <c r="C159" s="10">
        <f>AVERAGE(E12,E36,E60)</f>
        <v>5</v>
      </c>
      <c r="D159" s="10">
        <f>AVERAGE(F12,F36,F60)</f>
        <v>5</v>
      </c>
      <c r="E159" s="10">
        <f>AVERAGE(G12,G36,G60)</f>
        <v>5.333333333333333</v>
      </c>
      <c r="F159" s="10">
        <f>AVERAGE(H12,H36,H60)</f>
        <v>4.666666666666667</v>
      </c>
      <c r="G159" s="10">
        <f>AVERAGE(I12,I36,I60)</f>
        <v>4.666666666666667</v>
      </c>
      <c r="H159" s="10">
        <f>AVERAGE(J12,J36,J60)</f>
        <v>3.6666666666666665</v>
      </c>
      <c r="I159" s="10">
        <f>AVERAGE(K12,K36,K60)</f>
        <v>5</v>
      </c>
      <c r="J159" s="10">
        <f>AVERAGE(L12,L36,L60)</f>
        <v>4.666666666666667</v>
      </c>
      <c r="K159" s="10">
        <f>AVERAGE(M12,M36,M60)</f>
        <v>5</v>
      </c>
      <c r="L159" s="10">
        <f>AVERAGE(N12,N36,N60)</f>
        <v>6</v>
      </c>
      <c r="M159" s="10">
        <f>AVERAGE(O12,O36,O60)</f>
        <v>5.333333333333333</v>
      </c>
      <c r="N159" s="10">
        <f>AVERAGE(P12,P36,P60)</f>
        <v>5</v>
      </c>
      <c r="O159" s="10">
        <f>AVERAGE(Q12,Q36,Q60)</f>
        <v>4.666666666666667</v>
      </c>
      <c r="P159" s="10">
        <f>AVERAGE(R12,R36,R60)</f>
        <v>5.222222222222222</v>
      </c>
      <c r="Q159" s="10">
        <f>AVERAGE(S12,S36,S60)</f>
        <v>5</v>
      </c>
    </row>
    <row r="160">
      <c r="A160" s="5" t="inlineStr">
        <is>
          <t>P009</t>
        </is>
      </c>
      <c r="B160" s="6" t="inlineStr">
        <is>
          <t>One-Euro</t>
        </is>
      </c>
      <c r="C160" s="10">
        <f>AVERAGE(E13,E37,E61)</f>
        <v>4.333333333333333</v>
      </c>
      <c r="D160" s="10">
        <f>AVERAGE(F13,F37,F61)</f>
        <v>4.666666666666667</v>
      </c>
      <c r="E160" s="10">
        <f>AVERAGE(G13,G37,G61)</f>
        <v>5.333333333333333</v>
      </c>
      <c r="F160" s="10">
        <f>AVERAGE(H13,H37,H61)</f>
        <v>4.666666666666667</v>
      </c>
      <c r="G160" s="10">
        <f>AVERAGE(I13,I37,I61)</f>
        <v>5</v>
      </c>
      <c r="H160" s="10">
        <f>AVERAGE(J13,J37,J61)</f>
        <v>4.666666666666667</v>
      </c>
      <c r="I160" s="10">
        <f>AVERAGE(K13,K37,K61)</f>
        <v>5.666666666666667</v>
      </c>
      <c r="J160" s="10">
        <f>AVERAGE(L13,L37,L61)</f>
        <v>4.666666666666667</v>
      </c>
      <c r="K160" s="10">
        <f>AVERAGE(M13,M37,M61)</f>
        <v>5.333333333333333</v>
      </c>
      <c r="L160" s="10">
        <f>AVERAGE(N13,N37,N61)</f>
        <v>6.333333333333333</v>
      </c>
      <c r="M160" s="10">
        <f>AVERAGE(O13,O37,O61)</f>
        <v>5.333333333333333</v>
      </c>
      <c r="N160" s="10">
        <f>AVERAGE(P13,P37,P61)</f>
        <v>5.666666666666667</v>
      </c>
      <c r="O160" s="10">
        <f>AVERAGE(Q13,Q37,Q61)</f>
        <v>5</v>
      </c>
      <c r="P160" s="10">
        <f>AVERAGE(R13,R37,R61)</f>
        <v>5.444444444444444</v>
      </c>
      <c r="Q160" s="10">
        <f>AVERAGE(S13,S37,S61)</f>
        <v>5.333333333333333</v>
      </c>
    </row>
    <row r="161">
      <c r="A161" s="5" t="inlineStr">
        <is>
          <t>P010</t>
        </is>
      </c>
      <c r="B161" s="6" t="inlineStr">
        <is>
          <t>One-Euro</t>
        </is>
      </c>
      <c r="C161" s="10">
        <f>AVERAGE(E14,E38,E62)</f>
        <v>4.333333333333333</v>
      </c>
      <c r="D161" s="10">
        <f>AVERAGE(F14,F38,F62)</f>
        <v>4.333333333333333</v>
      </c>
      <c r="E161" s="10">
        <f>AVERAGE(G14,G38,G62)</f>
        <v>5</v>
      </c>
      <c r="F161" s="10">
        <f>AVERAGE(H14,H38,H62)</f>
        <v>4.333333333333333</v>
      </c>
      <c r="G161" s="10">
        <f>AVERAGE(I14,I38,I62)</f>
        <v>4.333333333333333</v>
      </c>
      <c r="H161" s="10">
        <f>AVERAGE(J14,J38,J62)</f>
        <v>4.666666666666667</v>
      </c>
      <c r="I161" s="10">
        <f>AVERAGE(K14,K38,K62)</f>
        <v>4.666666666666667</v>
      </c>
      <c r="J161" s="10">
        <f>AVERAGE(L14,L38,L62)</f>
        <v>5</v>
      </c>
      <c r="K161" s="10">
        <f>AVERAGE(M14,M38,M62)</f>
        <v>5</v>
      </c>
      <c r="L161" s="10">
        <f>AVERAGE(N14,N38,N62)</f>
        <v>5.666666666666667</v>
      </c>
      <c r="M161" s="10">
        <f>AVERAGE(O14,O38,O62)</f>
        <v>5.666666666666667</v>
      </c>
      <c r="N161" s="10">
        <f>AVERAGE(P14,P38,P62)</f>
        <v>5.333333333333333</v>
      </c>
      <c r="O161" s="10">
        <f>AVERAGE(Q14,Q38,Q62)</f>
        <v>4.666666666666667</v>
      </c>
      <c r="P161" s="10">
        <f>AVERAGE(R14,R38,R62)</f>
        <v>5.222222222222222</v>
      </c>
      <c r="Q161" s="10">
        <f>AVERAGE(S14,S38,S62)</f>
        <v>5.222222222222222</v>
      </c>
    </row>
    <row r="162">
      <c r="A162" s="5" t="inlineStr">
        <is>
          <t>P011</t>
        </is>
      </c>
      <c r="B162" s="6" t="inlineStr">
        <is>
          <t>One-Euro</t>
        </is>
      </c>
      <c r="C162" s="10">
        <f>AVERAGE(E15,E39,E63)</f>
        <v>4.666666666666667</v>
      </c>
      <c r="D162" s="10">
        <f>AVERAGE(F15,F39,F63)</f>
        <v>5.333333333333333</v>
      </c>
      <c r="E162" s="10">
        <f>AVERAGE(G15,G39,G63)</f>
        <v>5.333333333333333</v>
      </c>
      <c r="F162" s="10">
        <f>AVERAGE(H15,H39,H63)</f>
        <v>4.666666666666667</v>
      </c>
      <c r="G162" s="10">
        <f>AVERAGE(I15,I39,I63)</f>
        <v>5.333333333333333</v>
      </c>
      <c r="H162" s="10">
        <f>AVERAGE(J15,J39,J63)</f>
        <v>5.666666666666667</v>
      </c>
      <c r="I162" s="10">
        <f>AVERAGE(K15,K39,K63)</f>
        <v>5.333333333333333</v>
      </c>
      <c r="J162" s="10">
        <f>AVERAGE(L15,L39,L63)</f>
        <v>5.666666666666667</v>
      </c>
      <c r="K162" s="10">
        <f>AVERAGE(M15,M39,M63)</f>
        <v>5.666666666666667</v>
      </c>
      <c r="L162" s="10">
        <f>AVERAGE(N15,N39,N63)</f>
        <v>6.333333333333333</v>
      </c>
      <c r="M162" s="10">
        <f>AVERAGE(O15,O39,O63)</f>
        <v>5.333333333333333</v>
      </c>
      <c r="N162" s="10">
        <f>AVERAGE(P15,P39,P63)</f>
        <v>5.666666666666667</v>
      </c>
      <c r="O162" s="10">
        <f>AVERAGE(Q15,Q39,Q63)</f>
        <v>5.333333333333333</v>
      </c>
      <c r="P162" s="10">
        <f>AVERAGE(R15,R39,R63)</f>
        <v>5.888888888888888</v>
      </c>
      <c r="Q162" s="10">
        <f>AVERAGE(S15,S39,S63)</f>
        <v>5.444444444444444</v>
      </c>
    </row>
    <row r="163">
      <c r="A163" s="5" t="inlineStr">
        <is>
          <t>P012</t>
        </is>
      </c>
      <c r="B163" s="6" t="inlineStr">
        <is>
          <t>One-Euro</t>
        </is>
      </c>
      <c r="C163" s="10">
        <f>AVERAGE(E16,E40,E64)</f>
        <v>3.3333333333333335</v>
      </c>
      <c r="D163" s="10">
        <f>AVERAGE(F16,F40,F64)</f>
        <v>4.333333333333333</v>
      </c>
      <c r="E163" s="10">
        <f>AVERAGE(G16,G40,G64)</f>
        <v>5</v>
      </c>
      <c r="F163" s="10">
        <f>AVERAGE(H16,H40,H64)</f>
        <v>4.333333333333333</v>
      </c>
      <c r="G163" s="10">
        <f>AVERAGE(I16,I40,I64)</f>
        <v>4</v>
      </c>
      <c r="H163" s="10">
        <f>AVERAGE(J16,J40,J64)</f>
        <v>3.3333333333333335</v>
      </c>
      <c r="I163" s="10">
        <f>AVERAGE(K16,K40,K64)</f>
        <v>4.333333333333333</v>
      </c>
      <c r="J163" s="10">
        <f>AVERAGE(L16,L40,L64)</f>
        <v>4.666666666666667</v>
      </c>
      <c r="K163" s="10">
        <f>AVERAGE(M16,M40,M64)</f>
        <v>4.666666666666667</v>
      </c>
      <c r="L163" s="10">
        <f>AVERAGE(N16,N40,N64)</f>
        <v>6</v>
      </c>
      <c r="M163" s="10">
        <f>AVERAGE(O16,O40,O64)</f>
        <v>4.666666666666667</v>
      </c>
      <c r="N163" s="10">
        <f>AVERAGE(P16,P40,P64)</f>
        <v>5.333333333333333</v>
      </c>
      <c r="O163" s="10">
        <f>AVERAGE(Q16,Q40,Q64)</f>
        <v>4.666666666666667</v>
      </c>
      <c r="P163" s="10">
        <f>AVERAGE(R16,R40,R64)</f>
        <v>5.111111111111112</v>
      </c>
      <c r="Q163" s="10">
        <f>AVERAGE(S16,S40,S64)</f>
        <v>4.888888888888889</v>
      </c>
    </row>
    <row r="164">
      <c r="A164" s="5" t="inlineStr">
        <is>
          <t>P013</t>
        </is>
      </c>
      <c r="B164" s="6" t="inlineStr">
        <is>
          <t>One-Euro</t>
        </is>
      </c>
      <c r="C164" s="10">
        <f>AVERAGE(E17,E41,E65)</f>
        <v>5</v>
      </c>
      <c r="D164" s="10">
        <f>AVERAGE(F17,F41,F65)</f>
        <v>5</v>
      </c>
      <c r="E164" s="10">
        <f>AVERAGE(G17,G41,G65)</f>
        <v>5.333333333333333</v>
      </c>
      <c r="F164" s="10">
        <f>AVERAGE(H17,H41,H65)</f>
        <v>5.333333333333333</v>
      </c>
      <c r="G164" s="10">
        <f>AVERAGE(I17,I41,I65)</f>
        <v>4.333333333333333</v>
      </c>
      <c r="H164" s="10">
        <f>AVERAGE(J17,J41,J65)</f>
        <v>4.333333333333333</v>
      </c>
      <c r="I164" s="10">
        <f>AVERAGE(K17,K41,K65)</f>
        <v>4.666666666666667</v>
      </c>
      <c r="J164" s="10">
        <f>AVERAGE(L17,L41,L65)</f>
        <v>5.666666666666667</v>
      </c>
      <c r="K164" s="10">
        <f>AVERAGE(M17,M41,M65)</f>
        <v>5.666666666666667</v>
      </c>
      <c r="L164" s="10">
        <f>AVERAGE(N17,N41,N65)</f>
        <v>6</v>
      </c>
      <c r="M164" s="10">
        <f>AVERAGE(O17,O41,O65)</f>
        <v>5.666666666666667</v>
      </c>
      <c r="N164" s="10">
        <f>AVERAGE(P17,P41,P65)</f>
        <v>5.333333333333333</v>
      </c>
      <c r="O164" s="10">
        <f>AVERAGE(Q17,Q41,Q65)</f>
        <v>5.333333333333333</v>
      </c>
      <c r="P164" s="10">
        <f>AVERAGE(R17,R41,R65)</f>
        <v>5.777777777777778</v>
      </c>
      <c r="Q164" s="10">
        <f>AVERAGE(S17,S41,S65)</f>
        <v>5.4444444444444455</v>
      </c>
    </row>
    <row r="165">
      <c r="A165" s="5" t="inlineStr">
        <is>
          <t>P014</t>
        </is>
      </c>
      <c r="B165" s="6" t="inlineStr">
        <is>
          <t>One-Euro</t>
        </is>
      </c>
      <c r="C165" s="10">
        <f>AVERAGE(E18,E42,E66)</f>
        <v>3.6666666666666665</v>
      </c>
      <c r="D165" s="10">
        <f>AVERAGE(F18,F42,F66)</f>
        <v>4</v>
      </c>
      <c r="E165" s="10">
        <f>AVERAGE(G18,G42,G66)</f>
        <v>4.666666666666667</v>
      </c>
      <c r="F165" s="10">
        <f>AVERAGE(H18,H42,H66)</f>
        <v>4</v>
      </c>
      <c r="G165" s="10">
        <f>AVERAGE(I18,I42,I66)</f>
        <v>3</v>
      </c>
      <c r="H165" s="10">
        <f>AVERAGE(J18,J42,J66)</f>
        <v>3</v>
      </c>
      <c r="I165" s="10">
        <f>AVERAGE(K18,K42,K66)</f>
        <v>4.333333333333333</v>
      </c>
      <c r="J165" s="10">
        <f>AVERAGE(L18,L42,L66)</f>
        <v>5</v>
      </c>
      <c r="K165" s="10">
        <f>AVERAGE(M18,M42,M66)</f>
        <v>4.666666666666667</v>
      </c>
      <c r="L165" s="10">
        <f>AVERAGE(N18,N42,N66)</f>
        <v>6.666666666666667</v>
      </c>
      <c r="M165" s="10">
        <f>AVERAGE(O18,O42,O66)</f>
        <v>4.666666666666667</v>
      </c>
      <c r="N165" s="10">
        <f>AVERAGE(P18,P42,P66)</f>
        <v>4.666666666666667</v>
      </c>
      <c r="O165" s="10">
        <f>AVERAGE(Q18,Q42,Q66)</f>
        <v>4.333333333333333</v>
      </c>
      <c r="P165" s="10">
        <f>AVERAGE(R18,R42,R66)</f>
        <v>5.4444444444444455</v>
      </c>
      <c r="Q165" s="10">
        <f>AVERAGE(S18,S42,S66)</f>
        <v>4.555555555555556</v>
      </c>
    </row>
    <row r="166">
      <c r="A166" s="5" t="inlineStr">
        <is>
          <t>P015</t>
        </is>
      </c>
      <c r="B166" s="6" t="inlineStr">
        <is>
          <t>One-Euro</t>
        </is>
      </c>
      <c r="C166" s="10">
        <f>AVERAGE(E19,E43,E67)</f>
        <v>4.333333333333333</v>
      </c>
      <c r="D166" s="10">
        <f>AVERAGE(F19,F43,F67)</f>
        <v>4.666666666666667</v>
      </c>
      <c r="E166" s="10">
        <f>AVERAGE(G19,G43,G67)</f>
        <v>5.333333333333333</v>
      </c>
      <c r="F166" s="10">
        <f>AVERAGE(H19,H43,H67)</f>
        <v>4.333333333333333</v>
      </c>
      <c r="G166" s="10">
        <f>AVERAGE(I19,I43,I67)</f>
        <v>4.333333333333333</v>
      </c>
      <c r="H166" s="10">
        <f>AVERAGE(J19,J43,J67)</f>
        <v>3.6666666666666665</v>
      </c>
      <c r="I166" s="10">
        <f>AVERAGE(K19,K43,K67)</f>
        <v>5</v>
      </c>
      <c r="J166" s="10">
        <f>AVERAGE(L19,L43,L67)</f>
        <v>5.666666666666667</v>
      </c>
      <c r="K166" s="10">
        <f>AVERAGE(M19,M43,M67)</f>
        <v>5.333333333333333</v>
      </c>
      <c r="L166" s="10">
        <f>AVERAGE(N19,N43,N67)</f>
        <v>6.333333333333333</v>
      </c>
      <c r="M166" s="10">
        <f>AVERAGE(O19,O43,O67)</f>
        <v>4.666666666666667</v>
      </c>
      <c r="N166" s="10">
        <f>AVERAGE(P19,P43,P67)</f>
        <v>5</v>
      </c>
      <c r="O166" s="10">
        <f>AVERAGE(Q19,Q43,Q67)</f>
        <v>4.333333333333333</v>
      </c>
      <c r="P166" s="10">
        <f>AVERAGE(R19,R43,R67)</f>
        <v>5.777777777777778</v>
      </c>
      <c r="Q166" s="10">
        <f>AVERAGE(S19,S43,S67)</f>
        <v>4.666666666666667</v>
      </c>
    </row>
    <row r="167">
      <c r="A167" s="5" t="inlineStr">
        <is>
          <t>P016</t>
        </is>
      </c>
      <c r="B167" s="6" t="inlineStr">
        <is>
          <t>One-Euro</t>
        </is>
      </c>
      <c r="C167" s="10">
        <f>AVERAGE(E20,E44,E68)</f>
        <v>4.666666666666667</v>
      </c>
      <c r="D167" s="10">
        <f>AVERAGE(F20,F44,F68)</f>
        <v>4.666666666666667</v>
      </c>
      <c r="E167" s="10">
        <f>AVERAGE(G20,G44,G68)</f>
        <v>4.666666666666667</v>
      </c>
      <c r="F167" s="10">
        <f>AVERAGE(H20,H44,H68)</f>
        <v>4.666666666666667</v>
      </c>
      <c r="G167" s="10">
        <f>AVERAGE(I20,I44,I68)</f>
        <v>4.333333333333333</v>
      </c>
      <c r="H167" s="10">
        <f>AVERAGE(J20,J44,J68)</f>
        <v>5.333333333333333</v>
      </c>
      <c r="I167" s="10">
        <f>AVERAGE(K20,K44,K68)</f>
        <v>4.666666666666667</v>
      </c>
      <c r="J167" s="10">
        <f>AVERAGE(L20,L44,L68)</f>
        <v>5</v>
      </c>
      <c r="K167" s="10">
        <f>AVERAGE(M20,M44,M68)</f>
        <v>5</v>
      </c>
      <c r="L167" s="10">
        <f>AVERAGE(N20,N44,N68)</f>
        <v>5.666666666666667</v>
      </c>
      <c r="M167" s="10">
        <f>AVERAGE(O20,O44,O68)</f>
        <v>5.666666666666667</v>
      </c>
      <c r="N167" s="10">
        <f>AVERAGE(P20,P44,P68)</f>
        <v>5.333333333333333</v>
      </c>
      <c r="O167" s="10">
        <f>AVERAGE(Q20,Q44,Q68)</f>
        <v>4.666666666666667</v>
      </c>
      <c r="P167" s="10">
        <f>AVERAGE(R20,R44,R68)</f>
        <v>5.222222222222222</v>
      </c>
      <c r="Q167" s="10">
        <f>AVERAGE(S20,S44,S68)</f>
        <v>5.222222222222222</v>
      </c>
    </row>
    <row r="168">
      <c r="A168" s="5" t="inlineStr">
        <is>
          <t>P017</t>
        </is>
      </c>
      <c r="B168" s="6" t="inlineStr">
        <is>
          <t>One-Euro</t>
        </is>
      </c>
      <c r="C168" s="10">
        <f>AVERAGE(E21,E45,E69)</f>
        <v>4.333333333333333</v>
      </c>
      <c r="D168" s="10">
        <f>AVERAGE(F21,F45,F69)</f>
        <v>5</v>
      </c>
      <c r="E168" s="10">
        <f>AVERAGE(G21,G45,G69)</f>
        <v>4.666666666666667</v>
      </c>
      <c r="F168" s="10">
        <f>AVERAGE(H21,H45,H69)</f>
        <v>5</v>
      </c>
      <c r="G168" s="10">
        <f>AVERAGE(I21,I45,I69)</f>
        <v>3.3333333333333335</v>
      </c>
      <c r="H168" s="10">
        <f>AVERAGE(J21,J45,J69)</f>
        <v>4.333333333333333</v>
      </c>
      <c r="I168" s="10">
        <f>AVERAGE(K21,K45,K69)</f>
        <v>4.333333333333333</v>
      </c>
      <c r="J168" s="10">
        <f>AVERAGE(L21,L45,L69)</f>
        <v>5.333333333333333</v>
      </c>
      <c r="K168" s="10">
        <f>AVERAGE(M21,M45,M69)</f>
        <v>5.333333333333333</v>
      </c>
      <c r="L168" s="10">
        <f>AVERAGE(N21,N45,N69)</f>
        <v>6.333333333333333</v>
      </c>
      <c r="M168" s="10">
        <f>AVERAGE(O21,O45,O69)</f>
        <v>5.333333333333333</v>
      </c>
      <c r="N168" s="10">
        <f>AVERAGE(P21,P45,P69)</f>
        <v>5</v>
      </c>
      <c r="O168" s="10">
        <f>AVERAGE(Q21,Q45,Q69)</f>
        <v>4.333333333333333</v>
      </c>
      <c r="P168" s="10">
        <f>AVERAGE(R21,R45,R69)</f>
        <v>5.666666666666667</v>
      </c>
      <c r="Q168" s="10">
        <f>AVERAGE(S21,S45,S69)</f>
        <v>4.888888888888889</v>
      </c>
    </row>
    <row r="169">
      <c r="A169" s="5" t="inlineStr">
        <is>
          <t>P018</t>
        </is>
      </c>
      <c r="B169" s="6" t="inlineStr">
        <is>
          <t>One-Euro</t>
        </is>
      </c>
      <c r="C169" s="10">
        <f>AVERAGE(E22,E46,E70)</f>
        <v>3.3333333333333335</v>
      </c>
      <c r="D169" s="10">
        <f>AVERAGE(F22,F46,F70)</f>
        <v>3.6666666666666665</v>
      </c>
      <c r="E169" s="10">
        <f>AVERAGE(G22,G46,G70)</f>
        <v>4.333333333333333</v>
      </c>
      <c r="F169" s="10">
        <f>AVERAGE(H22,H46,H70)</f>
        <v>4</v>
      </c>
      <c r="G169" s="10">
        <f>AVERAGE(I22,I46,I70)</f>
        <v>4</v>
      </c>
      <c r="H169" s="10">
        <f>AVERAGE(J22,J46,J70)</f>
        <v>4.333333333333333</v>
      </c>
      <c r="I169" s="10">
        <f>AVERAGE(K22,K46,K70)</f>
        <v>4</v>
      </c>
      <c r="J169" s="10">
        <f>AVERAGE(L22,L46,L70)</f>
        <v>5</v>
      </c>
      <c r="K169" s="10">
        <f>AVERAGE(M22,M46,M70)</f>
        <v>5</v>
      </c>
      <c r="L169" s="10">
        <f>AVERAGE(N22,N46,N70)</f>
        <v>6.333333333333333</v>
      </c>
      <c r="M169" s="10">
        <f>AVERAGE(O22,O46,O70)</f>
        <v>4.666666666666667</v>
      </c>
      <c r="N169" s="10">
        <f>AVERAGE(P22,P46,P70)</f>
        <v>4.666666666666667</v>
      </c>
      <c r="O169" s="10">
        <f>AVERAGE(Q22,Q46,Q70)</f>
        <v>5.333333333333333</v>
      </c>
      <c r="P169" s="10">
        <f>AVERAGE(R22,R46,R70)</f>
        <v>5.444444444444444</v>
      </c>
      <c r="Q169" s="10">
        <f>AVERAGE(S22,S46,S70)</f>
        <v>4.888888888888889</v>
      </c>
    </row>
    <row r="170">
      <c r="A170" s="5" t="inlineStr">
        <is>
          <t>P019</t>
        </is>
      </c>
      <c r="B170" s="6" t="inlineStr">
        <is>
          <t>One-Euro</t>
        </is>
      </c>
      <c r="C170" s="10">
        <f>AVERAGE(E23,E47,E71)</f>
        <v>3.3333333333333335</v>
      </c>
      <c r="D170" s="10">
        <f>AVERAGE(F23,F47,F71)</f>
        <v>4.333333333333333</v>
      </c>
      <c r="E170" s="10">
        <f>AVERAGE(G23,G47,G71)</f>
        <v>4.666666666666667</v>
      </c>
      <c r="F170" s="10">
        <f>AVERAGE(H23,H47,H71)</f>
        <v>4.333333333333333</v>
      </c>
      <c r="G170" s="10">
        <f>AVERAGE(I23,I47,I71)</f>
        <v>4</v>
      </c>
      <c r="H170" s="10">
        <f>AVERAGE(J23,J47,J71)</f>
        <v>4</v>
      </c>
      <c r="I170" s="10">
        <f>AVERAGE(K23,K47,K71)</f>
        <v>4.333333333333333</v>
      </c>
      <c r="J170" s="10">
        <f>AVERAGE(L23,L47,L71)</f>
        <v>5.666666666666667</v>
      </c>
      <c r="K170" s="10">
        <f>AVERAGE(M23,M47,M71)</f>
        <v>4.666666666666667</v>
      </c>
      <c r="L170" s="10">
        <f>AVERAGE(N23,N47,N71)</f>
        <v>6</v>
      </c>
      <c r="M170" s="10">
        <f>AVERAGE(O23,O47,O71)</f>
        <v>4.666666666666667</v>
      </c>
      <c r="N170" s="10">
        <f>AVERAGE(P23,P47,P71)</f>
        <v>4.666666666666667</v>
      </c>
      <c r="O170" s="10">
        <f>AVERAGE(Q23,Q47,Q71)</f>
        <v>4.333333333333333</v>
      </c>
      <c r="P170" s="10">
        <f>AVERAGE(R23,R47,R71)</f>
        <v>5.444444444444444</v>
      </c>
      <c r="Q170" s="10">
        <f>AVERAGE(S23,S47,S71)</f>
        <v>4.555555555555556</v>
      </c>
    </row>
    <row r="171">
      <c r="A171" s="5" t="inlineStr">
        <is>
          <t>P020</t>
        </is>
      </c>
      <c r="B171" s="6" t="inlineStr">
        <is>
          <t>One-Euro</t>
        </is>
      </c>
      <c r="C171" s="10">
        <f>AVERAGE(E24,E48,E72)</f>
        <v>4</v>
      </c>
      <c r="D171" s="10">
        <f>AVERAGE(F24,F48,F72)</f>
        <v>3</v>
      </c>
      <c r="E171" s="10">
        <f>AVERAGE(G24,G48,G72)</f>
        <v>4.333333333333333</v>
      </c>
      <c r="F171" s="10">
        <f>AVERAGE(H24,H48,H72)</f>
        <v>4.666666666666667</v>
      </c>
      <c r="G171" s="10">
        <f>AVERAGE(I24,I48,I72)</f>
        <v>3.6666666666666665</v>
      </c>
      <c r="H171" s="10">
        <f>AVERAGE(J24,J48,J72)</f>
        <v>4.333333333333333</v>
      </c>
      <c r="I171" s="10">
        <f>AVERAGE(K24,K48,K72)</f>
        <v>3.6666666666666665</v>
      </c>
      <c r="J171" s="10">
        <f>AVERAGE(L24,L48,L72)</f>
        <v>5.333333333333333</v>
      </c>
      <c r="K171" s="10">
        <f>AVERAGE(M24,M48,M72)</f>
        <v>5</v>
      </c>
      <c r="L171" s="10">
        <f>AVERAGE(N24,N48,N72)</f>
        <v>6</v>
      </c>
      <c r="M171" s="10">
        <f>AVERAGE(O24,O48,O72)</f>
        <v>4</v>
      </c>
      <c r="N171" s="10">
        <f>AVERAGE(P24,P48,P72)</f>
        <v>4.666666666666667</v>
      </c>
      <c r="O171" s="10">
        <f>AVERAGE(Q24,Q48,Q72)</f>
        <v>4.666666666666667</v>
      </c>
      <c r="P171" s="10">
        <f>AVERAGE(R24,R48,R72)</f>
        <v>5.444444444444444</v>
      </c>
      <c r="Q171" s="10">
        <f>AVERAGE(S24,S48,S72)</f>
        <v>4.444444444444445</v>
      </c>
    </row>
    <row r="172">
      <c r="A172" s="5" t="inlineStr">
        <is>
          <t>P021</t>
        </is>
      </c>
      <c r="B172" s="6" t="inlineStr">
        <is>
          <t>One-Euro</t>
        </is>
      </c>
      <c r="C172" s="10">
        <f>AVERAGE(E25,E49,E73)</f>
        <v>5.333333333333333</v>
      </c>
      <c r="D172" s="10">
        <f>AVERAGE(F25,F49,F73)</f>
        <v>5</v>
      </c>
      <c r="E172" s="10">
        <f>AVERAGE(G25,G49,G73)</f>
        <v>5</v>
      </c>
      <c r="F172" s="10">
        <f>AVERAGE(H25,H49,H73)</f>
        <v>5</v>
      </c>
      <c r="G172" s="10">
        <f>AVERAGE(I25,I49,I73)</f>
        <v>5</v>
      </c>
      <c r="H172" s="10">
        <f>AVERAGE(J25,J49,J73)</f>
        <v>5</v>
      </c>
      <c r="I172" s="10">
        <f>AVERAGE(K25,K49,K73)</f>
        <v>4.666666666666667</v>
      </c>
      <c r="J172" s="10">
        <f>AVERAGE(L25,L49,L73)</f>
        <v>5.666666666666667</v>
      </c>
      <c r="K172" s="10">
        <f>AVERAGE(M25,M49,M73)</f>
        <v>5.666666666666667</v>
      </c>
      <c r="L172" s="10">
        <f>AVERAGE(N25,N49,N73)</f>
        <v>6</v>
      </c>
      <c r="M172" s="10">
        <f>AVERAGE(O25,O49,O73)</f>
        <v>5.333333333333333</v>
      </c>
      <c r="N172" s="10">
        <f>AVERAGE(P25,P49,P73)</f>
        <v>5.666666666666667</v>
      </c>
      <c r="O172" s="10">
        <f>AVERAGE(Q25,Q49,Q73)</f>
        <v>6</v>
      </c>
      <c r="P172" s="10">
        <f>AVERAGE(R25,R49,R73)</f>
        <v>5.777777777777779</v>
      </c>
      <c r="Q172" s="10">
        <f>AVERAGE(S25,S49,S73)</f>
        <v>5.666666666666667</v>
      </c>
    </row>
    <row r="173">
      <c r="A173" s="5" t="inlineStr">
        <is>
          <t>P022</t>
        </is>
      </c>
      <c r="B173" s="6" t="inlineStr">
        <is>
          <t>One-Euro</t>
        </is>
      </c>
      <c r="C173" s="10">
        <f>AVERAGE(E26,E50,E74)</f>
        <v>5</v>
      </c>
      <c r="D173" s="10">
        <f>AVERAGE(F26,F50,F74)</f>
        <v>5.333333333333333</v>
      </c>
      <c r="E173" s="10">
        <f>AVERAGE(G26,G50,G74)</f>
        <v>5.666666666666667</v>
      </c>
      <c r="F173" s="10">
        <f>AVERAGE(H26,H50,H74)</f>
        <v>5.333333333333333</v>
      </c>
      <c r="G173" s="10">
        <f>AVERAGE(I26,I50,I74)</f>
        <v>4.666666666666667</v>
      </c>
      <c r="H173" s="10">
        <f>AVERAGE(J26,J50,J74)</f>
        <v>5.666666666666667</v>
      </c>
      <c r="I173" s="10">
        <f>AVERAGE(K26,K50,K74)</f>
        <v>5.333333333333333</v>
      </c>
      <c r="J173" s="10">
        <f>AVERAGE(L26,L50,L74)</f>
        <v>5.666666666666667</v>
      </c>
      <c r="K173" s="10">
        <f>AVERAGE(M26,M50,M74)</f>
        <v>5.666666666666667</v>
      </c>
      <c r="L173" s="10">
        <f>AVERAGE(N26,N50,N74)</f>
        <v>7</v>
      </c>
      <c r="M173" s="10">
        <f>AVERAGE(O26,O50,O74)</f>
        <v>6</v>
      </c>
      <c r="N173" s="10">
        <f>AVERAGE(P26,P50,P74)</f>
        <v>6.666666666666667</v>
      </c>
      <c r="O173" s="10">
        <f>AVERAGE(Q26,Q50,Q74)</f>
        <v>5.333333333333333</v>
      </c>
      <c r="P173" s="10">
        <f>AVERAGE(R26,R50,R74)</f>
        <v>6.111111111111111</v>
      </c>
      <c r="Q173" s="10">
        <f>AVERAGE(S26,S50,S74)</f>
        <v>6</v>
      </c>
    </row>
    <row r="174">
      <c r="A174" s="5" t="inlineStr">
        <is>
          <t>P023</t>
        </is>
      </c>
      <c r="B174" s="6" t="inlineStr">
        <is>
          <t>One-Euro</t>
        </is>
      </c>
      <c r="C174" s="10">
        <f>AVERAGE(E27,E51,E75)</f>
        <v>4.333333333333333</v>
      </c>
      <c r="D174" s="10">
        <f>AVERAGE(F27,F51,F75)</f>
        <v>4.666666666666667</v>
      </c>
      <c r="E174" s="10">
        <f>AVERAGE(G27,G51,G75)</f>
        <v>5</v>
      </c>
      <c r="F174" s="10">
        <f>AVERAGE(H27,H51,H75)</f>
        <v>4.333333333333333</v>
      </c>
      <c r="G174" s="10">
        <f>AVERAGE(I27,I51,I75)</f>
        <v>4.666666666666667</v>
      </c>
      <c r="H174" s="10">
        <f>AVERAGE(J27,J51,J75)</f>
        <v>5</v>
      </c>
      <c r="I174" s="10">
        <f>AVERAGE(K27,K51,K75)</f>
        <v>5</v>
      </c>
      <c r="J174" s="10">
        <f>AVERAGE(L27,L51,L75)</f>
        <v>4.666666666666667</v>
      </c>
      <c r="K174" s="10">
        <f>AVERAGE(M27,M51,M75)</f>
        <v>5</v>
      </c>
      <c r="L174" s="10">
        <f>AVERAGE(N27,N51,N75)</f>
        <v>5.666666666666667</v>
      </c>
      <c r="M174" s="10">
        <f>AVERAGE(O27,O51,O75)</f>
        <v>5.333333333333333</v>
      </c>
      <c r="N174" s="10">
        <f>AVERAGE(P27,P51,P75)</f>
        <v>4.666666666666667</v>
      </c>
      <c r="O174" s="10">
        <f>AVERAGE(Q27,Q51,Q75)</f>
        <v>5</v>
      </c>
      <c r="P174" s="10">
        <f>AVERAGE(R27,R51,R75)</f>
        <v>5.111111111111111</v>
      </c>
      <c r="Q174" s="10">
        <f>AVERAGE(S27,S51,S75)</f>
        <v>5</v>
      </c>
    </row>
    <row r="175">
      <c r="A175" s="5" t="inlineStr">
        <is>
          <t>P024</t>
        </is>
      </c>
      <c r="B175" s="6" t="inlineStr">
        <is>
          <t>One-Euro</t>
        </is>
      </c>
      <c r="C175" s="10">
        <f>AVERAGE(E28,E52,E76)</f>
        <v>4</v>
      </c>
      <c r="D175" s="10">
        <f>AVERAGE(F28,F52,F76)</f>
        <v>5</v>
      </c>
      <c r="E175" s="10">
        <f>AVERAGE(G28,G52,G76)</f>
        <v>4.333333333333333</v>
      </c>
      <c r="F175" s="10">
        <f>AVERAGE(H28,H52,H76)</f>
        <v>4.333333333333333</v>
      </c>
      <c r="G175" s="10">
        <f>AVERAGE(I28,I52,I76)</f>
        <v>5</v>
      </c>
      <c r="H175" s="10">
        <f>AVERAGE(J28,J52,J76)</f>
        <v>5.333333333333333</v>
      </c>
      <c r="I175" s="10">
        <f>AVERAGE(K28,K52,K76)</f>
        <v>4.666666666666667</v>
      </c>
      <c r="J175" s="10">
        <f>AVERAGE(L28,L52,L76)</f>
        <v>5.666666666666667</v>
      </c>
      <c r="K175" s="10">
        <f>AVERAGE(M28,M52,M76)</f>
        <v>4.666666666666667</v>
      </c>
      <c r="L175" s="10">
        <f>AVERAGE(N28,N52,N76)</f>
        <v>6.333333333333333</v>
      </c>
      <c r="M175" s="10">
        <f>AVERAGE(O28,O52,O76)</f>
        <v>5.666666666666667</v>
      </c>
      <c r="N175" s="10">
        <f>AVERAGE(P28,P52,P76)</f>
        <v>5</v>
      </c>
      <c r="O175" s="10">
        <f>AVERAGE(Q28,Q52,Q76)</f>
        <v>5</v>
      </c>
      <c r="P175" s="10">
        <f>AVERAGE(R28,R52,R76)</f>
        <v>5.555555555555556</v>
      </c>
      <c r="Q175" s="10">
        <f>AVERAGE(S28,S52,S76)</f>
        <v>5.222222222222222</v>
      </c>
    </row>
    <row r="176">
      <c r="A176" s="5" t="inlineStr">
        <is>
          <t>P001</t>
        </is>
      </c>
      <c r="B176" s="6" t="inlineStr">
        <is>
          <t>EgoAnchor</t>
        </is>
      </c>
      <c r="C176" s="10">
        <f>AVERAGE(E77,E101,E125)</f>
        <v>4.666666666666667</v>
      </c>
      <c r="D176" s="10">
        <f>AVERAGE(F77,F101,F125)</f>
        <v>5</v>
      </c>
      <c r="E176" s="10">
        <f>AVERAGE(G77,G101,G125)</f>
        <v>5</v>
      </c>
      <c r="F176" s="10">
        <f>AVERAGE(H77,H101,H125)</f>
        <v>4.666666666666667</v>
      </c>
      <c r="G176" s="10">
        <f>AVERAGE(I77,I101,I125)</f>
        <v>4.666666666666667</v>
      </c>
      <c r="H176" s="10">
        <f>AVERAGE(J77,J101,J125)</f>
        <v>5.666666666666667</v>
      </c>
      <c r="I176" s="10">
        <f>AVERAGE(K77,K101,K125)</f>
        <v>5</v>
      </c>
      <c r="J176" s="10">
        <f>AVERAGE(L77,L101,L125)</f>
        <v>5</v>
      </c>
      <c r="K176" s="10">
        <f>AVERAGE(M77,M101,M125)</f>
        <v>5</v>
      </c>
      <c r="L176" s="10">
        <f>AVERAGE(N77,N101,N125)</f>
        <v>6.666666666666667</v>
      </c>
      <c r="M176" s="10">
        <f>AVERAGE(O77,O101,O125)</f>
        <v>5.666666666666667</v>
      </c>
      <c r="N176" s="10">
        <f>AVERAGE(P77,P101,P125)</f>
        <v>5</v>
      </c>
      <c r="O176" s="10">
        <f>AVERAGE(Q77,Q101,Q125)</f>
        <v>4</v>
      </c>
      <c r="P176" s="10">
        <f>AVERAGE(R77,R101,R125)</f>
        <v>5.555555555555556</v>
      </c>
      <c r="Q176" s="10">
        <f>AVERAGE(S77,S101,S125)</f>
        <v>4.888888888888889</v>
      </c>
    </row>
    <row r="177">
      <c r="A177" s="5" t="inlineStr">
        <is>
          <t>P002</t>
        </is>
      </c>
      <c r="B177" s="6" t="inlineStr">
        <is>
          <t>EgoAnchor</t>
        </is>
      </c>
      <c r="C177" s="10">
        <f>AVERAGE(E78,E102,E126)</f>
        <v>5.333333333333333</v>
      </c>
      <c r="D177" s="10">
        <f>AVERAGE(F78,F102,F126)</f>
        <v>5.333333333333333</v>
      </c>
      <c r="E177" s="10">
        <f>AVERAGE(G78,G102,G126)</f>
        <v>5.666666666666667</v>
      </c>
      <c r="F177" s="10">
        <f>AVERAGE(H78,H102,H126)</f>
        <v>5.666666666666667</v>
      </c>
      <c r="G177" s="10">
        <f>AVERAGE(I78,I102,I126)</f>
        <v>4.666666666666667</v>
      </c>
      <c r="H177" s="10">
        <f>AVERAGE(J78,J102,J126)</f>
        <v>6</v>
      </c>
      <c r="I177" s="10">
        <f>AVERAGE(K78,K102,K126)</f>
        <v>6</v>
      </c>
      <c r="J177" s="10">
        <f>AVERAGE(L78,L102,L126)</f>
        <v>6.666666666666667</v>
      </c>
      <c r="K177" s="10">
        <f>AVERAGE(M78,M102,M126)</f>
        <v>6.333333333333333</v>
      </c>
      <c r="L177" s="10">
        <f>AVERAGE(N78,N102,N126)</f>
        <v>6</v>
      </c>
      <c r="M177" s="10">
        <f>AVERAGE(O78,O102,O126)</f>
        <v>6.333333333333333</v>
      </c>
      <c r="N177" s="10">
        <f>AVERAGE(P78,P102,P126)</f>
        <v>4.666666666666667</v>
      </c>
      <c r="O177" s="10">
        <f>AVERAGE(Q78,Q102,Q126)</f>
        <v>4.333333333333333</v>
      </c>
      <c r="P177" s="10">
        <f>AVERAGE(R78,R102,R126)</f>
        <v>6.333333333333333</v>
      </c>
      <c r="Q177" s="10">
        <f>AVERAGE(S78,S102,S126)</f>
        <v>5.111111111111111</v>
      </c>
    </row>
    <row r="178">
      <c r="A178" s="5" t="inlineStr">
        <is>
          <t>P003</t>
        </is>
      </c>
      <c r="B178" s="6" t="inlineStr">
        <is>
          <t>EgoAnchor</t>
        </is>
      </c>
      <c r="C178" s="10">
        <f>AVERAGE(E79,E103,E127)</f>
        <v>6</v>
      </c>
      <c r="D178" s="10">
        <f>AVERAGE(F79,F103,F127)</f>
        <v>6</v>
      </c>
      <c r="E178" s="10">
        <f>AVERAGE(G79,G103,G127)</f>
        <v>5</v>
      </c>
      <c r="F178" s="10">
        <f>AVERAGE(H79,H103,H127)</f>
        <v>5</v>
      </c>
      <c r="G178" s="10">
        <f>AVERAGE(I79,I103,I127)</f>
        <v>4.333333333333333</v>
      </c>
      <c r="H178" s="10">
        <f>AVERAGE(J79,J103,J127)</f>
        <v>5.666666666666667</v>
      </c>
      <c r="I178" s="10">
        <f>AVERAGE(K79,K103,K127)</f>
        <v>6</v>
      </c>
      <c r="J178" s="10">
        <f>AVERAGE(L79,L103,L127)</f>
        <v>5.666666666666667</v>
      </c>
      <c r="K178" s="10">
        <f>AVERAGE(M79,M103,M127)</f>
        <v>5.333333333333333</v>
      </c>
      <c r="L178" s="10">
        <f>AVERAGE(N79,N103,N127)</f>
        <v>5.666666666666667</v>
      </c>
      <c r="M178" s="10">
        <f>AVERAGE(O79,O103,O127)</f>
        <v>5</v>
      </c>
      <c r="N178" s="10">
        <f>AVERAGE(P79,P103,P127)</f>
        <v>4.666666666666667</v>
      </c>
      <c r="O178" s="10">
        <f>AVERAGE(Q79,Q103,Q127)</f>
        <v>5</v>
      </c>
      <c r="P178" s="10">
        <f>AVERAGE(R79,R103,R127)</f>
        <v>5.555555555555556</v>
      </c>
      <c r="Q178" s="10">
        <f>AVERAGE(S79,S103,S127)</f>
        <v>4.888888888888889</v>
      </c>
    </row>
    <row r="179">
      <c r="A179" s="5" t="inlineStr">
        <is>
          <t>P004</t>
        </is>
      </c>
      <c r="B179" s="6" t="inlineStr">
        <is>
          <t>EgoAnchor</t>
        </is>
      </c>
      <c r="C179" s="10">
        <f>AVERAGE(E80,E104,E128)</f>
        <v>6.333333333333333</v>
      </c>
      <c r="D179" s="10">
        <f>AVERAGE(F80,F104,F128)</f>
        <v>4.666666666666667</v>
      </c>
      <c r="E179" s="10">
        <f>AVERAGE(G80,G104,G128)</f>
        <v>5</v>
      </c>
      <c r="F179" s="10">
        <f>AVERAGE(H80,H104,H128)</f>
        <v>5</v>
      </c>
      <c r="G179" s="10">
        <f>AVERAGE(I80,I104,I128)</f>
        <v>4.666666666666667</v>
      </c>
      <c r="H179" s="10">
        <f>AVERAGE(J80,J104,J128)</f>
        <v>5</v>
      </c>
      <c r="I179" s="10">
        <f>AVERAGE(K80,K104,K128)</f>
        <v>5</v>
      </c>
      <c r="J179" s="10">
        <f>AVERAGE(L80,L104,L128)</f>
        <v>5.333333333333333</v>
      </c>
      <c r="K179" s="10">
        <f>AVERAGE(M80,M104,M128)</f>
        <v>6</v>
      </c>
      <c r="L179" s="10">
        <f>AVERAGE(N80,N104,N128)</f>
        <v>6</v>
      </c>
      <c r="M179" s="10">
        <f>AVERAGE(O80,O104,O128)</f>
        <v>5.666666666666667</v>
      </c>
      <c r="N179" s="10">
        <f>AVERAGE(P80,P104,P128)</f>
        <v>5</v>
      </c>
      <c r="O179" s="10">
        <f>AVERAGE(Q80,Q104,Q128)</f>
        <v>5.666666666666667</v>
      </c>
      <c r="P179" s="10">
        <f>AVERAGE(R80,R104,R128)</f>
        <v>5.777777777777778</v>
      </c>
      <c r="Q179" s="10">
        <f>AVERAGE(S80,S104,S128)</f>
        <v>5.4444444444444455</v>
      </c>
    </row>
    <row r="180">
      <c r="A180" s="5" t="inlineStr">
        <is>
          <t>P005</t>
        </is>
      </c>
      <c r="B180" s="6" t="inlineStr">
        <is>
          <t>EgoAnchor</t>
        </is>
      </c>
      <c r="C180" s="10">
        <f>AVERAGE(E81,E105,E129)</f>
        <v>6.333333333333333</v>
      </c>
      <c r="D180" s="10">
        <f>AVERAGE(F81,F105,F129)</f>
        <v>5</v>
      </c>
      <c r="E180" s="10">
        <f>AVERAGE(G81,G105,G129)</f>
        <v>4.666666666666667</v>
      </c>
      <c r="F180" s="10">
        <f>AVERAGE(H81,H105,H129)</f>
        <v>5</v>
      </c>
      <c r="G180" s="10">
        <f>AVERAGE(I81,I105,I129)</f>
        <v>4.666666666666667</v>
      </c>
      <c r="H180" s="10">
        <f>AVERAGE(J81,J105,J129)</f>
        <v>4.666666666666667</v>
      </c>
      <c r="I180" s="10">
        <f>AVERAGE(K81,K105,K129)</f>
        <v>4.666666666666667</v>
      </c>
      <c r="J180" s="10">
        <f>AVERAGE(L81,L105,L129)</f>
        <v>5.333333333333333</v>
      </c>
      <c r="K180" s="10">
        <f>AVERAGE(M81,M105,M129)</f>
        <v>4.333333333333333</v>
      </c>
      <c r="L180" s="10">
        <f>AVERAGE(N81,N105,N129)</f>
        <v>6.333333333333333</v>
      </c>
      <c r="M180" s="10">
        <f>AVERAGE(O81,O105,O129)</f>
        <v>5.666666666666667</v>
      </c>
      <c r="N180" s="10">
        <f>AVERAGE(P81,P105,P129)</f>
        <v>5.333333333333333</v>
      </c>
      <c r="O180" s="10">
        <f>AVERAGE(Q81,Q105,Q129)</f>
        <v>5</v>
      </c>
      <c r="P180" s="10">
        <f>AVERAGE(R81,R105,R129)</f>
        <v>5.333333333333333</v>
      </c>
      <c r="Q180" s="10">
        <f>AVERAGE(S81,S105,S129)</f>
        <v>5.333333333333333</v>
      </c>
    </row>
    <row r="181">
      <c r="A181" s="5" t="inlineStr">
        <is>
          <t>P006</t>
        </is>
      </c>
      <c r="B181" s="6" t="inlineStr">
        <is>
          <t>EgoAnchor</t>
        </is>
      </c>
      <c r="C181" s="10">
        <f>AVERAGE(E82,E106,E130)</f>
        <v>4.333333333333333</v>
      </c>
      <c r="D181" s="10">
        <f>AVERAGE(F82,F106,F130)</f>
        <v>5</v>
      </c>
      <c r="E181" s="10">
        <f>AVERAGE(G82,G106,G130)</f>
        <v>4.666666666666667</v>
      </c>
      <c r="F181" s="10">
        <f>AVERAGE(H82,H106,H130)</f>
        <v>4.666666666666667</v>
      </c>
      <c r="G181" s="10">
        <f>AVERAGE(I82,I106,I130)</f>
        <v>4.333333333333333</v>
      </c>
      <c r="H181" s="10">
        <f>AVERAGE(J82,J106,J130)</f>
        <v>4</v>
      </c>
      <c r="I181" s="10">
        <f>AVERAGE(K82,K106,K130)</f>
        <v>5.333333333333333</v>
      </c>
      <c r="J181" s="10">
        <f>AVERAGE(L82,L106,L130)</f>
        <v>5.333333333333333</v>
      </c>
      <c r="K181" s="10">
        <f>AVERAGE(M82,M106,M130)</f>
        <v>4.666666666666667</v>
      </c>
      <c r="L181" s="10">
        <f>AVERAGE(N82,N106,N130)</f>
        <v>4.666666666666667</v>
      </c>
      <c r="M181" s="10">
        <f>AVERAGE(O82,O106,O130)</f>
        <v>4.666666666666667</v>
      </c>
      <c r="N181" s="10">
        <f>AVERAGE(P82,P106,P130)</f>
        <v>3.6666666666666665</v>
      </c>
      <c r="O181" s="10">
        <f>AVERAGE(Q82,Q106,Q130)</f>
        <v>4.666666666666667</v>
      </c>
      <c r="P181" s="10">
        <f>AVERAGE(R82,R106,R130)</f>
        <v>4.888888888888888</v>
      </c>
      <c r="Q181" s="10">
        <f>AVERAGE(S82,S106,S130)</f>
        <v>4.333333333333333</v>
      </c>
    </row>
    <row r="182">
      <c r="A182" s="5" t="inlineStr">
        <is>
          <t>P007</t>
        </is>
      </c>
      <c r="B182" s="6" t="inlineStr">
        <is>
          <t>EgoAnchor</t>
        </is>
      </c>
      <c r="C182" s="10">
        <f>AVERAGE(E83,E107,E131)</f>
        <v>5.333333333333333</v>
      </c>
      <c r="D182" s="10">
        <f>AVERAGE(F83,F107,F131)</f>
        <v>5.333333333333333</v>
      </c>
      <c r="E182" s="10">
        <f>AVERAGE(G83,G107,G131)</f>
        <v>5.666666666666667</v>
      </c>
      <c r="F182" s="10">
        <f>AVERAGE(H83,H107,H131)</f>
        <v>5.666666666666667</v>
      </c>
      <c r="G182" s="10">
        <f>AVERAGE(I83,I107,I131)</f>
        <v>5</v>
      </c>
      <c r="H182" s="10">
        <f>AVERAGE(J83,J107,J131)</f>
        <v>5.333333333333333</v>
      </c>
      <c r="I182" s="10">
        <f>AVERAGE(K83,K107,K131)</f>
        <v>5</v>
      </c>
      <c r="J182" s="10">
        <f>AVERAGE(L83,L107,L131)</f>
        <v>6</v>
      </c>
      <c r="K182" s="10">
        <f>AVERAGE(M83,M107,M131)</f>
        <v>6</v>
      </c>
      <c r="L182" s="10">
        <f>AVERAGE(N83,N107,N131)</f>
        <v>6.666666666666667</v>
      </c>
      <c r="M182" s="10">
        <f>AVERAGE(O83,O107,O131)</f>
        <v>6</v>
      </c>
      <c r="N182" s="10">
        <f>AVERAGE(P83,P107,P131)</f>
        <v>5.333333333333333</v>
      </c>
      <c r="O182" s="10">
        <f>AVERAGE(Q83,Q107,Q131)</f>
        <v>5.666666666666667</v>
      </c>
      <c r="P182" s="10">
        <f>AVERAGE(R83,R107,R131)</f>
        <v>6.222222222222221</v>
      </c>
      <c r="Q182" s="10">
        <f>AVERAGE(S83,S107,S131)</f>
        <v>5.666666666666667</v>
      </c>
    </row>
    <row r="183">
      <c r="A183" s="5" t="inlineStr">
        <is>
          <t>P008</t>
        </is>
      </c>
      <c r="B183" s="6" t="inlineStr">
        <is>
          <t>EgoAnchor</t>
        </is>
      </c>
      <c r="C183" s="10">
        <f>AVERAGE(E84,E108,E132)</f>
        <v>6</v>
      </c>
      <c r="D183" s="10">
        <f>AVERAGE(F84,F108,F132)</f>
        <v>5</v>
      </c>
      <c r="E183" s="10">
        <f>AVERAGE(G84,G108,G132)</f>
        <v>4.666666666666667</v>
      </c>
      <c r="F183" s="10">
        <f>AVERAGE(H84,H108,H132)</f>
        <v>4.333333333333333</v>
      </c>
      <c r="G183" s="10">
        <f>AVERAGE(I84,I108,I132)</f>
        <v>3.6666666666666665</v>
      </c>
      <c r="H183" s="10">
        <f>AVERAGE(J84,J108,J132)</f>
        <v>5.333333333333333</v>
      </c>
      <c r="I183" s="10">
        <f>AVERAGE(K84,K108,K132)</f>
        <v>5.666666666666667</v>
      </c>
      <c r="J183" s="10">
        <f>AVERAGE(L84,L108,L132)</f>
        <v>5</v>
      </c>
      <c r="K183" s="10">
        <f>AVERAGE(M84,M108,M132)</f>
        <v>5.333333333333333</v>
      </c>
      <c r="L183" s="10">
        <f>AVERAGE(N84,N108,N132)</f>
        <v>5</v>
      </c>
      <c r="M183" s="10">
        <f>AVERAGE(O84,O108,O132)</f>
        <v>5</v>
      </c>
      <c r="N183" s="10">
        <f>AVERAGE(P84,P108,P132)</f>
        <v>3.6666666666666665</v>
      </c>
      <c r="O183" s="10">
        <f>AVERAGE(Q84,Q108,Q132)</f>
        <v>4.333333333333333</v>
      </c>
      <c r="P183" s="10">
        <f>AVERAGE(R84,R108,R132)</f>
        <v>5.111111111111112</v>
      </c>
      <c r="Q183" s="10">
        <f>AVERAGE(S84,S108,S132)</f>
        <v>4.333333333333333</v>
      </c>
    </row>
    <row r="184">
      <c r="A184" s="5" t="inlineStr">
        <is>
          <t>P009</t>
        </is>
      </c>
      <c r="B184" s="6" t="inlineStr">
        <is>
          <t>EgoAnchor</t>
        </is>
      </c>
      <c r="C184" s="10">
        <f>AVERAGE(E85,E109,E133)</f>
        <v>6</v>
      </c>
      <c r="D184" s="10">
        <f>AVERAGE(F85,F109,F133)</f>
        <v>6</v>
      </c>
      <c r="E184" s="10">
        <f>AVERAGE(G85,G109,G133)</f>
        <v>5</v>
      </c>
      <c r="F184" s="10">
        <f>AVERAGE(H85,H109,H133)</f>
        <v>5</v>
      </c>
      <c r="G184" s="10">
        <f>AVERAGE(I85,I109,I133)</f>
        <v>6.333333333333333</v>
      </c>
      <c r="H184" s="10">
        <f>AVERAGE(J85,J109,J133)</f>
        <v>6</v>
      </c>
      <c r="I184" s="10">
        <f>AVERAGE(K85,K109,K133)</f>
        <v>5.333333333333333</v>
      </c>
      <c r="J184" s="10">
        <f>AVERAGE(L85,L109,L133)</f>
        <v>5.666666666666667</v>
      </c>
      <c r="K184" s="10">
        <f>AVERAGE(M85,M109,M133)</f>
        <v>5.333333333333333</v>
      </c>
      <c r="L184" s="10">
        <f>AVERAGE(N85,N109,N133)</f>
        <v>6.333333333333333</v>
      </c>
      <c r="M184" s="10">
        <f>AVERAGE(O85,O109,O133)</f>
        <v>6</v>
      </c>
      <c r="N184" s="10">
        <f>AVERAGE(P85,P109,P133)</f>
        <v>5</v>
      </c>
      <c r="O184" s="10">
        <f>AVERAGE(Q85,Q109,Q133)</f>
        <v>5.333333333333333</v>
      </c>
      <c r="P184" s="10">
        <f>AVERAGE(R85,R109,R133)</f>
        <v>5.777777777777778</v>
      </c>
      <c r="Q184" s="10">
        <f>AVERAGE(S85,S109,S133)</f>
        <v>5.4444444444444455</v>
      </c>
    </row>
    <row r="185">
      <c r="A185" s="5" t="inlineStr">
        <is>
          <t>P010</t>
        </is>
      </c>
      <c r="B185" s="6" t="inlineStr">
        <is>
          <t>EgoAnchor</t>
        </is>
      </c>
      <c r="C185" s="10">
        <f>AVERAGE(E86,E110,E134)</f>
        <v>6</v>
      </c>
      <c r="D185" s="10">
        <f>AVERAGE(F86,F110,F134)</f>
        <v>5.666666666666667</v>
      </c>
      <c r="E185" s="10">
        <f>AVERAGE(G86,G110,G134)</f>
        <v>5</v>
      </c>
      <c r="F185" s="10">
        <f>AVERAGE(H86,H110,H134)</f>
        <v>5.333333333333333</v>
      </c>
      <c r="G185" s="10">
        <f>AVERAGE(I86,I110,I134)</f>
        <v>5</v>
      </c>
      <c r="H185" s="10">
        <f>AVERAGE(J86,J110,J134)</f>
        <v>5.666666666666667</v>
      </c>
      <c r="I185" s="10">
        <f>AVERAGE(K86,K110,K134)</f>
        <v>5.666666666666667</v>
      </c>
      <c r="J185" s="10">
        <f>AVERAGE(L86,L110,L134)</f>
        <v>5.333333333333333</v>
      </c>
      <c r="K185" s="10">
        <f>AVERAGE(M86,M110,M134)</f>
        <v>5</v>
      </c>
      <c r="L185" s="10">
        <f>AVERAGE(N86,N110,N134)</f>
        <v>5.666666666666667</v>
      </c>
      <c r="M185" s="10">
        <f>AVERAGE(O86,O110,O134)</f>
        <v>5.666666666666667</v>
      </c>
      <c r="N185" s="10">
        <f>AVERAGE(P86,P110,P134)</f>
        <v>5.666666666666667</v>
      </c>
      <c r="O185" s="10">
        <f>AVERAGE(Q86,Q110,Q134)</f>
        <v>5.333333333333333</v>
      </c>
      <c r="P185" s="10">
        <f>AVERAGE(R86,R110,R134)</f>
        <v>5.333333333333333</v>
      </c>
      <c r="Q185" s="10">
        <f>AVERAGE(S86,S110,S134)</f>
        <v>5.555555555555556</v>
      </c>
    </row>
    <row r="186">
      <c r="A186" s="5" t="inlineStr">
        <is>
          <t>P011</t>
        </is>
      </c>
      <c r="B186" s="6" t="inlineStr">
        <is>
          <t>EgoAnchor</t>
        </is>
      </c>
      <c r="C186" s="10">
        <f>AVERAGE(E87,E111,E135)</f>
        <v>5.666666666666667</v>
      </c>
      <c r="D186" s="10">
        <f>AVERAGE(F87,F111,F135)</f>
        <v>5.333333333333333</v>
      </c>
      <c r="E186" s="10">
        <f>AVERAGE(G87,G111,G135)</f>
        <v>5</v>
      </c>
      <c r="F186" s="10">
        <f>AVERAGE(H87,H111,H135)</f>
        <v>5.333333333333333</v>
      </c>
      <c r="G186" s="10">
        <f>AVERAGE(I87,I111,I135)</f>
        <v>4.666666666666667</v>
      </c>
      <c r="H186" s="10">
        <f>AVERAGE(J87,J111,J135)</f>
        <v>6</v>
      </c>
      <c r="I186" s="10">
        <f>AVERAGE(K87,K111,K135)</f>
        <v>5.333333333333333</v>
      </c>
      <c r="J186" s="10">
        <f>AVERAGE(L87,L111,L135)</f>
        <v>4.333333333333333</v>
      </c>
      <c r="K186" s="10">
        <f>AVERAGE(M87,M111,M135)</f>
        <v>5.333333333333333</v>
      </c>
      <c r="L186" s="10">
        <f>AVERAGE(N87,N111,N135)</f>
        <v>6</v>
      </c>
      <c r="M186" s="10">
        <f>AVERAGE(O87,O111,O135)</f>
        <v>5.666666666666667</v>
      </c>
      <c r="N186" s="10">
        <f>AVERAGE(P87,P111,P135)</f>
        <v>5.333333333333333</v>
      </c>
      <c r="O186" s="10">
        <f>AVERAGE(Q87,Q111,Q135)</f>
        <v>5.666666666666667</v>
      </c>
      <c r="P186" s="10">
        <f>AVERAGE(R87,R111,R135)</f>
        <v>5.222222222222222</v>
      </c>
      <c r="Q186" s="10">
        <f>AVERAGE(S87,S111,S135)</f>
        <v>5.555555555555556</v>
      </c>
    </row>
    <row r="187">
      <c r="A187" s="5" t="inlineStr">
        <is>
          <t>P012</t>
        </is>
      </c>
      <c r="B187" s="6" t="inlineStr">
        <is>
          <t>EgoAnchor</t>
        </is>
      </c>
      <c r="C187" s="10">
        <f>AVERAGE(E88,E112,E136)</f>
        <v>6.666666666666667</v>
      </c>
      <c r="D187" s="10">
        <f>AVERAGE(F88,F112,F136)</f>
        <v>5.333333333333333</v>
      </c>
      <c r="E187" s="10">
        <f>AVERAGE(G88,G112,G136)</f>
        <v>4</v>
      </c>
      <c r="F187" s="10">
        <f>AVERAGE(H88,H112,H136)</f>
        <v>5</v>
      </c>
      <c r="G187" s="10">
        <f>AVERAGE(I88,I112,I136)</f>
        <v>4.666666666666667</v>
      </c>
      <c r="H187" s="10">
        <f>AVERAGE(J88,J112,J136)</f>
        <v>4.333333333333333</v>
      </c>
      <c r="I187" s="10">
        <f>AVERAGE(K88,K112,K136)</f>
        <v>4.333333333333333</v>
      </c>
      <c r="J187" s="10">
        <f>AVERAGE(L88,L112,L136)</f>
        <v>5.666666666666667</v>
      </c>
      <c r="K187" s="10">
        <f>AVERAGE(M88,M112,M136)</f>
        <v>5</v>
      </c>
      <c r="L187" s="10">
        <f>AVERAGE(N88,N112,N136)</f>
        <v>6.666666666666667</v>
      </c>
      <c r="M187" s="10">
        <f>AVERAGE(O88,O112,O136)</f>
        <v>5.666666666666667</v>
      </c>
      <c r="N187" s="10">
        <f>AVERAGE(P88,P112,P136)</f>
        <v>4</v>
      </c>
      <c r="O187" s="10">
        <f>AVERAGE(Q88,Q112,Q136)</f>
        <v>4.666666666666667</v>
      </c>
      <c r="P187" s="10">
        <f>AVERAGE(R88,R112,R136)</f>
        <v>5.777777777777778</v>
      </c>
      <c r="Q187" s="10">
        <f>AVERAGE(S88,S112,S136)</f>
        <v>4.777777777777778</v>
      </c>
    </row>
    <row r="188">
      <c r="A188" s="5" t="inlineStr">
        <is>
          <t>P013</t>
        </is>
      </c>
      <c r="B188" s="6" t="inlineStr">
        <is>
          <t>EgoAnchor</t>
        </is>
      </c>
      <c r="C188" s="10">
        <f>AVERAGE(E89,E113,E137)</f>
        <v>5.666666666666667</v>
      </c>
      <c r="D188" s="10">
        <f>AVERAGE(F89,F113,F137)</f>
        <v>5.333333333333333</v>
      </c>
      <c r="E188" s="10">
        <f>AVERAGE(G89,G113,G137)</f>
        <v>5.333333333333333</v>
      </c>
      <c r="F188" s="10">
        <f>AVERAGE(H89,H113,H137)</f>
        <v>5.333333333333333</v>
      </c>
      <c r="G188" s="10">
        <f>AVERAGE(I89,I113,I137)</f>
        <v>5</v>
      </c>
      <c r="H188" s="10">
        <f>AVERAGE(J89,J113,J137)</f>
        <v>5.666666666666667</v>
      </c>
      <c r="I188" s="10">
        <f>AVERAGE(K89,K113,K137)</f>
        <v>5</v>
      </c>
      <c r="J188" s="10">
        <f>AVERAGE(L89,L113,L137)</f>
        <v>5.333333333333333</v>
      </c>
      <c r="K188" s="10">
        <f>AVERAGE(M89,M113,M137)</f>
        <v>6</v>
      </c>
      <c r="L188" s="10">
        <f>AVERAGE(N89,N113,N137)</f>
        <v>5.333333333333333</v>
      </c>
      <c r="M188" s="10">
        <f>AVERAGE(O89,O113,O137)</f>
        <v>5</v>
      </c>
      <c r="N188" s="10">
        <f>AVERAGE(P89,P113,P137)</f>
        <v>5</v>
      </c>
      <c r="O188" s="10">
        <f>AVERAGE(Q89,Q113,Q137)</f>
        <v>5</v>
      </c>
      <c r="P188" s="10">
        <f>AVERAGE(R89,R113,R137)</f>
        <v>5.5555555555555545</v>
      </c>
      <c r="Q188" s="10">
        <f>AVERAGE(S89,S113,S137)</f>
        <v>5</v>
      </c>
    </row>
    <row r="189">
      <c r="A189" s="5" t="inlineStr">
        <is>
          <t>P014</t>
        </is>
      </c>
      <c r="B189" s="6" t="inlineStr">
        <is>
          <t>EgoAnchor</t>
        </is>
      </c>
      <c r="C189" s="10">
        <f>AVERAGE(E90,E114,E138)</f>
        <v>5.333333333333333</v>
      </c>
      <c r="D189" s="10">
        <f>AVERAGE(F90,F114,F138)</f>
        <v>5.333333333333333</v>
      </c>
      <c r="E189" s="10">
        <f>AVERAGE(G90,G114,G138)</f>
        <v>5.333333333333333</v>
      </c>
      <c r="F189" s="10">
        <f>AVERAGE(H90,H114,H138)</f>
        <v>4.333333333333333</v>
      </c>
      <c r="G189" s="10">
        <f>AVERAGE(I90,I114,I138)</f>
        <v>4.666666666666667</v>
      </c>
      <c r="H189" s="10">
        <f>AVERAGE(J90,J114,J138)</f>
        <v>5</v>
      </c>
      <c r="I189" s="10">
        <f>AVERAGE(K90,K114,K138)</f>
        <v>6</v>
      </c>
      <c r="J189" s="10">
        <f>AVERAGE(L90,L114,L138)</f>
        <v>5.666666666666667</v>
      </c>
      <c r="K189" s="10">
        <f>AVERAGE(M90,M114,M138)</f>
        <v>5.666666666666667</v>
      </c>
      <c r="L189" s="10">
        <f>AVERAGE(N90,N114,N138)</f>
        <v>6.333333333333333</v>
      </c>
      <c r="M189" s="10">
        <f>AVERAGE(O90,O114,O138)</f>
        <v>5.666666666666667</v>
      </c>
      <c r="N189" s="10">
        <f>AVERAGE(P90,P114,P138)</f>
        <v>5.333333333333333</v>
      </c>
      <c r="O189" s="10">
        <f>AVERAGE(Q90,Q114,Q138)</f>
        <v>5</v>
      </c>
      <c r="P189" s="10">
        <f>AVERAGE(R90,R114,R138)</f>
        <v>5.888888888888889</v>
      </c>
      <c r="Q189" s="10">
        <f>AVERAGE(S90,S114,S138)</f>
        <v>5.333333333333333</v>
      </c>
    </row>
    <row r="190">
      <c r="A190" s="5" t="inlineStr">
        <is>
          <t>P015</t>
        </is>
      </c>
      <c r="B190" s="6" t="inlineStr">
        <is>
          <t>EgoAnchor</t>
        </is>
      </c>
      <c r="C190" s="10">
        <f>AVERAGE(E91,E115,E139)</f>
        <v>6.333333333333333</v>
      </c>
      <c r="D190" s="10">
        <f>AVERAGE(F91,F115,F139)</f>
        <v>5</v>
      </c>
      <c r="E190" s="10">
        <f>AVERAGE(G91,G115,G139)</f>
        <v>4</v>
      </c>
      <c r="F190" s="10">
        <f>AVERAGE(H91,H115,H139)</f>
        <v>3.6666666666666665</v>
      </c>
      <c r="G190" s="10">
        <f>AVERAGE(I91,I115,I139)</f>
        <v>4.666666666666667</v>
      </c>
      <c r="H190" s="10">
        <f>AVERAGE(J91,J115,J139)</f>
        <v>4.666666666666667</v>
      </c>
      <c r="I190" s="10">
        <f>AVERAGE(K91,K115,K139)</f>
        <v>4.333333333333333</v>
      </c>
      <c r="J190" s="10">
        <f>AVERAGE(L91,L115,L139)</f>
        <v>4</v>
      </c>
      <c r="K190" s="10">
        <f>AVERAGE(M91,M115,M139)</f>
        <v>5</v>
      </c>
      <c r="L190" s="10">
        <f>AVERAGE(N91,N115,N139)</f>
        <v>5</v>
      </c>
      <c r="M190" s="10">
        <f>AVERAGE(O91,O115,O139)</f>
        <v>5.333333333333333</v>
      </c>
      <c r="N190" s="10">
        <f>AVERAGE(P91,P115,P139)</f>
        <v>5</v>
      </c>
      <c r="O190" s="10">
        <f>AVERAGE(Q91,Q115,Q139)</f>
        <v>5</v>
      </c>
      <c r="P190" s="10">
        <f>AVERAGE(R91,R115,R139)</f>
        <v>4.666666666666667</v>
      </c>
      <c r="Q190" s="10">
        <f>AVERAGE(S91,S115,S139)</f>
        <v>5.111111111111111</v>
      </c>
    </row>
    <row r="191">
      <c r="A191" s="5" t="inlineStr">
        <is>
          <t>P016</t>
        </is>
      </c>
      <c r="B191" s="6" t="inlineStr">
        <is>
          <t>EgoAnchor</t>
        </is>
      </c>
      <c r="C191" s="10">
        <f>AVERAGE(E92,E116,E140)</f>
        <v>5.333333333333333</v>
      </c>
      <c r="D191" s="10">
        <f>AVERAGE(F92,F116,F140)</f>
        <v>5.333333333333333</v>
      </c>
      <c r="E191" s="10">
        <f>AVERAGE(G92,G116,G140)</f>
        <v>5</v>
      </c>
      <c r="F191" s="10">
        <f>AVERAGE(H92,H116,H140)</f>
        <v>5</v>
      </c>
      <c r="G191" s="10">
        <f>AVERAGE(I92,I116,I140)</f>
        <v>5.333333333333333</v>
      </c>
      <c r="H191" s="10">
        <f>AVERAGE(J92,J116,J140)</f>
        <v>6</v>
      </c>
      <c r="I191" s="10">
        <f>AVERAGE(K92,K116,K140)</f>
        <v>5</v>
      </c>
      <c r="J191" s="10">
        <f>AVERAGE(L92,L116,L140)</f>
        <v>5.333333333333333</v>
      </c>
      <c r="K191" s="10">
        <f>AVERAGE(M92,M116,M140)</f>
        <v>5.333333333333333</v>
      </c>
      <c r="L191" s="10">
        <f>AVERAGE(N92,N116,N140)</f>
        <v>6.333333333333333</v>
      </c>
      <c r="M191" s="10">
        <f>AVERAGE(O92,O116,O140)</f>
        <v>6</v>
      </c>
      <c r="N191" s="10">
        <f>AVERAGE(P92,P116,P140)</f>
        <v>5.333333333333333</v>
      </c>
      <c r="O191" s="10">
        <f>AVERAGE(Q92,Q116,Q140)</f>
        <v>5.333333333333333</v>
      </c>
      <c r="P191" s="10">
        <f>AVERAGE(R92,R116,R140)</f>
        <v>5.666666666666667</v>
      </c>
      <c r="Q191" s="10">
        <f>AVERAGE(S92,S116,S140)</f>
        <v>5.555555555555556</v>
      </c>
    </row>
    <row r="192">
      <c r="A192" s="5" t="inlineStr">
        <is>
          <t>P017</t>
        </is>
      </c>
      <c r="B192" s="6" t="inlineStr">
        <is>
          <t>EgoAnchor</t>
        </is>
      </c>
      <c r="C192" s="10">
        <f>AVERAGE(E93,E117,E141)</f>
        <v>4.333333333333333</v>
      </c>
      <c r="D192" s="10">
        <f>AVERAGE(F93,F117,F141)</f>
        <v>4.666666666666667</v>
      </c>
      <c r="E192" s="10">
        <f>AVERAGE(G93,G117,G141)</f>
        <v>4.333333333333333</v>
      </c>
      <c r="F192" s="10">
        <f>AVERAGE(H93,H117,H141)</f>
        <v>4.333333333333333</v>
      </c>
      <c r="G192" s="10">
        <f>AVERAGE(I93,I117,I141)</f>
        <v>4.666666666666667</v>
      </c>
      <c r="H192" s="10">
        <f>AVERAGE(J93,J117,J141)</f>
        <v>5.666666666666667</v>
      </c>
      <c r="I192" s="10">
        <f>AVERAGE(K93,K117,K141)</f>
        <v>3.6666666666666665</v>
      </c>
      <c r="J192" s="10">
        <f>AVERAGE(L93,L117,L141)</f>
        <v>5.666666666666667</v>
      </c>
      <c r="K192" s="10">
        <f>AVERAGE(M93,M117,M141)</f>
        <v>4.666666666666667</v>
      </c>
      <c r="L192" s="10">
        <f>AVERAGE(N93,N117,N141)</f>
        <v>6.666666666666667</v>
      </c>
      <c r="M192" s="10">
        <f>AVERAGE(O93,O117,O141)</f>
        <v>5</v>
      </c>
      <c r="N192" s="10">
        <f>AVERAGE(P93,P117,P141)</f>
        <v>4.666666666666667</v>
      </c>
      <c r="O192" s="10">
        <f>AVERAGE(Q93,Q117,Q141)</f>
        <v>5</v>
      </c>
      <c r="P192" s="10">
        <f>AVERAGE(R93,R117,R141)</f>
        <v>5.666666666666667</v>
      </c>
      <c r="Q192" s="10">
        <f>AVERAGE(S93,S117,S141)</f>
        <v>4.888888888888889</v>
      </c>
    </row>
    <row r="193">
      <c r="A193" s="5" t="inlineStr">
        <is>
          <t>P018</t>
        </is>
      </c>
      <c r="B193" s="6" t="inlineStr">
        <is>
          <t>EgoAnchor</t>
        </is>
      </c>
      <c r="C193" s="10">
        <f>AVERAGE(E94,E118,E142)</f>
        <v>7</v>
      </c>
      <c r="D193" s="10">
        <f>AVERAGE(F94,F118,F142)</f>
        <v>4.666666666666667</v>
      </c>
      <c r="E193" s="10">
        <f>AVERAGE(G94,G118,G142)</f>
        <v>4.333333333333333</v>
      </c>
      <c r="F193" s="10">
        <f>AVERAGE(H94,H118,H142)</f>
        <v>4.666666666666667</v>
      </c>
      <c r="G193" s="10">
        <f>AVERAGE(I94,I118,I142)</f>
        <v>6</v>
      </c>
      <c r="H193" s="10">
        <f>AVERAGE(J94,J118,J142)</f>
        <v>5.666666666666667</v>
      </c>
      <c r="I193" s="10">
        <f>AVERAGE(K94,K118,K142)</f>
        <v>5.333333333333333</v>
      </c>
      <c r="J193" s="10">
        <f>AVERAGE(L94,L118,L142)</f>
        <v>6</v>
      </c>
      <c r="K193" s="10">
        <f>AVERAGE(M94,M118,M142)</f>
        <v>5.333333333333333</v>
      </c>
      <c r="L193" s="10">
        <f>AVERAGE(N94,N118,N142)</f>
        <v>6.333333333333333</v>
      </c>
      <c r="M193" s="10">
        <f>AVERAGE(O94,O118,O142)</f>
        <v>5.333333333333333</v>
      </c>
      <c r="N193" s="10">
        <f>AVERAGE(P94,P118,P142)</f>
        <v>4.666666666666667</v>
      </c>
      <c r="O193" s="10">
        <f>AVERAGE(Q94,Q118,Q142)</f>
        <v>5.333333333333333</v>
      </c>
      <c r="P193" s="10">
        <f>AVERAGE(R94,R118,R142)</f>
        <v>5.888888888888889</v>
      </c>
      <c r="Q193" s="10">
        <f>AVERAGE(S94,S118,S142)</f>
        <v>5.111111111111111</v>
      </c>
    </row>
    <row r="194">
      <c r="A194" s="5" t="inlineStr">
        <is>
          <t>P019</t>
        </is>
      </c>
      <c r="B194" s="6" t="inlineStr">
        <is>
          <t>EgoAnchor</t>
        </is>
      </c>
      <c r="C194" s="10">
        <f>AVERAGE(E95,E119,E143)</f>
        <v>5.666666666666667</v>
      </c>
      <c r="D194" s="10">
        <f>AVERAGE(F95,F119,F143)</f>
        <v>4.333333333333333</v>
      </c>
      <c r="E194" s="10">
        <f>AVERAGE(G95,G119,G143)</f>
        <v>4.333333333333333</v>
      </c>
      <c r="F194" s="10">
        <f>AVERAGE(H95,H119,H143)</f>
        <v>3.3333333333333335</v>
      </c>
      <c r="G194" s="10">
        <f>AVERAGE(I95,I119,I143)</f>
        <v>4.666666666666667</v>
      </c>
      <c r="H194" s="10">
        <f>AVERAGE(J95,J119,J143)</f>
        <v>4.666666666666667</v>
      </c>
      <c r="I194" s="10">
        <f>AVERAGE(K95,K119,K143)</f>
        <v>4.666666666666667</v>
      </c>
      <c r="J194" s="10">
        <f>AVERAGE(L95,L119,L143)</f>
        <v>4.666666666666667</v>
      </c>
      <c r="K194" s="10">
        <f>AVERAGE(M95,M119,M143)</f>
        <v>5.333333333333333</v>
      </c>
      <c r="L194" s="10">
        <f>AVERAGE(N95,N119,N143)</f>
        <v>5.666666666666667</v>
      </c>
      <c r="M194" s="10">
        <f>AVERAGE(O95,O119,O143)</f>
        <v>4.333333333333333</v>
      </c>
      <c r="N194" s="10">
        <f>AVERAGE(P95,P119,P143)</f>
        <v>5</v>
      </c>
      <c r="O194" s="10">
        <f>AVERAGE(Q95,Q119,Q143)</f>
        <v>5</v>
      </c>
      <c r="P194" s="10">
        <f>AVERAGE(R95,R119,R143)</f>
        <v>5.222222222222222</v>
      </c>
      <c r="Q194" s="10">
        <f>AVERAGE(S95,S119,S143)</f>
        <v>4.777777777777778</v>
      </c>
    </row>
    <row r="195">
      <c r="A195" s="5" t="inlineStr">
        <is>
          <t>P020</t>
        </is>
      </c>
      <c r="B195" s="6" t="inlineStr">
        <is>
          <t>EgoAnchor</t>
        </is>
      </c>
      <c r="C195" s="10">
        <f>AVERAGE(E96,E120,E144)</f>
        <v>5.333333333333333</v>
      </c>
      <c r="D195" s="10">
        <f>AVERAGE(F96,F120,F144)</f>
        <v>6</v>
      </c>
      <c r="E195" s="10">
        <f>AVERAGE(G96,G120,G144)</f>
        <v>4.333333333333333</v>
      </c>
      <c r="F195" s="10">
        <f>AVERAGE(H96,H120,H144)</f>
        <v>4.333333333333333</v>
      </c>
      <c r="G195" s="10">
        <f>AVERAGE(I96,I120,I144)</f>
        <v>5.666666666666667</v>
      </c>
      <c r="H195" s="10">
        <f>AVERAGE(J96,J120,J144)</f>
        <v>5.333333333333333</v>
      </c>
      <c r="I195" s="10">
        <f>AVERAGE(K96,K120,K144)</f>
        <v>5.333333333333333</v>
      </c>
      <c r="J195" s="10">
        <f>AVERAGE(L96,L120,L144)</f>
        <v>6</v>
      </c>
      <c r="K195" s="10">
        <f>AVERAGE(M96,M120,M144)</f>
        <v>5</v>
      </c>
      <c r="L195" s="10">
        <f>AVERAGE(N96,N120,N144)</f>
        <v>6.333333333333333</v>
      </c>
      <c r="M195" s="10">
        <f>AVERAGE(O96,O120,O144)</f>
        <v>5.666666666666667</v>
      </c>
      <c r="N195" s="10">
        <f>AVERAGE(P96,P120,P144)</f>
        <v>5</v>
      </c>
      <c r="O195" s="10">
        <f>AVERAGE(Q96,Q120,Q144)</f>
        <v>5.666666666666667</v>
      </c>
      <c r="P195" s="10">
        <f>AVERAGE(R96,R120,R144)</f>
        <v>5.777777777777779</v>
      </c>
      <c r="Q195" s="10">
        <f>AVERAGE(S96,S120,S144)</f>
        <v>5.4444444444444455</v>
      </c>
    </row>
    <row r="196">
      <c r="A196" s="5" t="inlineStr">
        <is>
          <t>P021</t>
        </is>
      </c>
      <c r="B196" s="6" t="inlineStr">
        <is>
          <t>EgoAnchor</t>
        </is>
      </c>
      <c r="C196" s="10">
        <f>AVERAGE(E97,E121,E145)</f>
        <v>6</v>
      </c>
      <c r="D196" s="10">
        <f>AVERAGE(F97,F121,F145)</f>
        <v>5.333333333333333</v>
      </c>
      <c r="E196" s="10">
        <f>AVERAGE(G97,G121,G145)</f>
        <v>5</v>
      </c>
      <c r="F196" s="10">
        <f>AVERAGE(H97,H121,H145)</f>
        <v>5.333333333333333</v>
      </c>
      <c r="G196" s="10">
        <f>AVERAGE(I97,I121,I145)</f>
        <v>5.333333333333333</v>
      </c>
      <c r="H196" s="10">
        <f>AVERAGE(J97,J121,J145)</f>
        <v>5</v>
      </c>
      <c r="I196" s="10">
        <f>AVERAGE(K97,K121,K145)</f>
        <v>5</v>
      </c>
      <c r="J196" s="10">
        <f>AVERAGE(L97,L121,L145)</f>
        <v>5.333333333333333</v>
      </c>
      <c r="K196" s="10">
        <f>AVERAGE(M97,M121,M145)</f>
        <v>5.333333333333333</v>
      </c>
      <c r="L196" s="10">
        <f>AVERAGE(N97,N121,N145)</f>
        <v>5.666666666666667</v>
      </c>
      <c r="M196" s="10">
        <f>AVERAGE(O97,O121,O145)</f>
        <v>6</v>
      </c>
      <c r="N196" s="10">
        <f>AVERAGE(P97,P121,P145)</f>
        <v>5.666666666666667</v>
      </c>
      <c r="O196" s="10">
        <f>AVERAGE(Q97,Q121,Q145)</f>
        <v>5</v>
      </c>
      <c r="P196" s="10">
        <f>AVERAGE(R97,R121,R145)</f>
        <v>5.4444444444444455</v>
      </c>
      <c r="Q196" s="10">
        <f>AVERAGE(S97,S121,S145)</f>
        <v>5.555555555555556</v>
      </c>
    </row>
    <row r="197">
      <c r="A197" s="5" t="inlineStr">
        <is>
          <t>P022</t>
        </is>
      </c>
      <c r="B197" s="6" t="inlineStr">
        <is>
          <t>EgoAnchor</t>
        </is>
      </c>
      <c r="C197" s="10">
        <f>AVERAGE(E98,E122,E146)</f>
        <v>6</v>
      </c>
      <c r="D197" s="10">
        <f>AVERAGE(F98,F122,F146)</f>
        <v>6</v>
      </c>
      <c r="E197" s="10">
        <f>AVERAGE(G98,G122,G146)</f>
        <v>5.333333333333333</v>
      </c>
      <c r="F197" s="10">
        <f>AVERAGE(H98,H122,H146)</f>
        <v>5.666666666666667</v>
      </c>
      <c r="G197" s="10">
        <f>AVERAGE(I98,I122,I146)</f>
        <v>6.333333333333333</v>
      </c>
      <c r="H197" s="10">
        <f>AVERAGE(J98,J122,J146)</f>
        <v>6</v>
      </c>
      <c r="I197" s="10">
        <f>AVERAGE(K98,K122,K146)</f>
        <v>5.666666666666667</v>
      </c>
      <c r="J197" s="10">
        <f>AVERAGE(L98,L122,L146)</f>
        <v>5.333333333333333</v>
      </c>
      <c r="K197" s="10">
        <f>AVERAGE(M98,M122,M146)</f>
        <v>5.666666666666667</v>
      </c>
      <c r="L197" s="10">
        <f>AVERAGE(N98,N122,N146)</f>
        <v>5.666666666666667</v>
      </c>
      <c r="M197" s="10">
        <f>AVERAGE(O98,O122,O146)</f>
        <v>6.666666666666667</v>
      </c>
      <c r="N197" s="10">
        <f>AVERAGE(P98,P122,P146)</f>
        <v>6</v>
      </c>
      <c r="O197" s="10">
        <f>AVERAGE(Q98,Q122,Q146)</f>
        <v>6</v>
      </c>
      <c r="P197" s="10">
        <f>AVERAGE(R98,R122,R146)</f>
        <v>5.555555555555556</v>
      </c>
      <c r="Q197" s="10">
        <f>AVERAGE(S98,S122,S146)</f>
        <v>6.222222222222221</v>
      </c>
    </row>
    <row r="198">
      <c r="A198" s="5" t="inlineStr">
        <is>
          <t>P023</t>
        </is>
      </c>
      <c r="B198" s="6" t="inlineStr">
        <is>
          <t>EgoAnchor</t>
        </is>
      </c>
      <c r="C198" s="10">
        <f>AVERAGE(E99,E123,E147)</f>
        <v>5</v>
      </c>
      <c r="D198" s="10">
        <f>AVERAGE(F99,F123,F147)</f>
        <v>4.333333333333333</v>
      </c>
      <c r="E198" s="10">
        <f>AVERAGE(G99,G123,G147)</f>
        <v>4.666666666666667</v>
      </c>
      <c r="F198" s="10">
        <f>AVERAGE(H99,H123,H147)</f>
        <v>4.333333333333333</v>
      </c>
      <c r="G198" s="10">
        <f>AVERAGE(I99,I123,I147)</f>
        <v>5</v>
      </c>
      <c r="H198" s="10">
        <f>AVERAGE(J99,J123,J147)</f>
        <v>5.333333333333333</v>
      </c>
      <c r="I198" s="10">
        <f>AVERAGE(K99,K123,K147)</f>
        <v>5</v>
      </c>
      <c r="J198" s="10">
        <f>AVERAGE(L99,L123,L147)</f>
        <v>4.666666666666667</v>
      </c>
      <c r="K198" s="10">
        <f>AVERAGE(M99,M123,M147)</f>
        <v>4</v>
      </c>
      <c r="L198" s="10">
        <f>AVERAGE(N99,N123,N147)</f>
        <v>5</v>
      </c>
      <c r="M198" s="10">
        <f>AVERAGE(O99,O123,O147)</f>
        <v>4.666666666666667</v>
      </c>
      <c r="N198" s="10">
        <f>AVERAGE(P99,P123,P147)</f>
        <v>4</v>
      </c>
      <c r="O198" s="10">
        <f>AVERAGE(Q99,Q123,Q147)</f>
        <v>5</v>
      </c>
      <c r="P198" s="10">
        <f>AVERAGE(R99,R123,R147)</f>
        <v>4.555555555555556</v>
      </c>
      <c r="Q198" s="10">
        <f>AVERAGE(S99,S123,S147)</f>
        <v>4.555555555555556</v>
      </c>
    </row>
    <row r="199">
      <c r="A199" s="5" t="inlineStr">
        <is>
          <t>P024</t>
        </is>
      </c>
      <c r="B199" s="6" t="inlineStr">
        <is>
          <t>EgoAnchor</t>
        </is>
      </c>
      <c r="C199" s="10">
        <f>AVERAGE(E100,E124,E148)</f>
        <v>5.333333333333333</v>
      </c>
      <c r="D199" s="10">
        <f>AVERAGE(F100,F124,F148)</f>
        <v>5.666666666666667</v>
      </c>
      <c r="E199" s="10">
        <f>AVERAGE(G100,G124,G148)</f>
        <v>3.6666666666666665</v>
      </c>
      <c r="F199" s="10">
        <f>AVERAGE(H100,H124,H148)</f>
        <v>5</v>
      </c>
      <c r="G199" s="10">
        <f>AVERAGE(I100,I124,I148)</f>
        <v>5</v>
      </c>
      <c r="H199" s="10">
        <f>AVERAGE(J100,J124,J148)</f>
        <v>6</v>
      </c>
      <c r="I199" s="10">
        <f>AVERAGE(K100,K124,K148)</f>
        <v>5</v>
      </c>
      <c r="J199" s="10">
        <f>AVERAGE(L100,L124,L148)</f>
        <v>5.666666666666667</v>
      </c>
      <c r="K199" s="10">
        <f>AVERAGE(M100,M124,M148)</f>
        <v>5.666666666666667</v>
      </c>
      <c r="L199" s="10">
        <f>AVERAGE(N100,N124,N148)</f>
        <v>6</v>
      </c>
      <c r="M199" s="10">
        <f>AVERAGE(O100,O124,O148)</f>
        <v>6.333333333333333</v>
      </c>
      <c r="N199" s="10">
        <f>AVERAGE(P100,P124,P148)</f>
        <v>5.333333333333333</v>
      </c>
      <c r="O199" s="10">
        <f>AVERAGE(Q100,Q124,Q148)</f>
        <v>5.666666666666667</v>
      </c>
      <c r="P199" s="10">
        <f>AVERAGE(R100,R124,R148)</f>
        <v>5.777777777777779</v>
      </c>
      <c r="Q199" s="10">
        <f>AVERAGE(S100,S124,S148)</f>
        <v>5.777777777777778</v>
      </c>
    </row>
    <row r="201" ht="20" customHeight="1">
      <c r="A201" s="3" t="inlineStr">
        <is>
          <t>L3. 方法级量表分（TiA 反向项按 6−原始分换向；分量表分 = 有效条目均值；S-TIAS = 三项均值。原始分保存在 Records B 段，本层只做派生）</t>
        </is>
      </c>
    </row>
    <row r="202" ht="30" customHeight="1">
      <c r="A202" s="4" t="inlineStr">
        <is>
          <t>Participant_ID</t>
        </is>
      </c>
      <c r="B202" s="4" t="inlineStr">
        <is>
          <t>Method(内部)</t>
        </is>
      </c>
      <c r="C202" s="4" t="inlineStr">
        <is>
          <t>Records行</t>
        </is>
      </c>
      <c r="D202" s="4" t="inlineStr">
        <is>
          <t>TIA_RC1</t>
        </is>
      </c>
      <c r="E202" s="4" t="inlineStr">
        <is>
          <t>TIA_RC2</t>
        </is>
      </c>
      <c r="F202" s="4" t="inlineStr">
        <is>
          <t>TIA_RC3(rev)</t>
        </is>
      </c>
      <c r="G202" s="4" t="inlineStr">
        <is>
          <t>TIA_RC4</t>
        </is>
      </c>
      <c r="H202" s="4" t="inlineStr">
        <is>
          <t>TIA_RC5(rev)</t>
        </is>
      </c>
      <c r="I202" s="4" t="inlineStr">
        <is>
          <t>TIA_RC6</t>
        </is>
      </c>
      <c r="J202" s="4" t="inlineStr">
        <is>
          <t>TIA_UP1</t>
        </is>
      </c>
      <c r="K202" s="4" t="inlineStr">
        <is>
          <t>TIA_UP2(rev)</t>
        </is>
      </c>
      <c r="L202" s="4" t="inlineStr">
        <is>
          <t>TIA_UP3</t>
        </is>
      </c>
      <c r="M202" s="4" t="inlineStr">
        <is>
          <t>TIA_UP4(rev)</t>
        </is>
      </c>
      <c r="N202" s="4" t="inlineStr">
        <is>
          <t>STIAS1</t>
        </is>
      </c>
      <c r="O202" s="4" t="inlineStr">
        <is>
          <t>STIAS2</t>
        </is>
      </c>
      <c r="P202" s="4" t="inlineStr">
        <is>
          <t>STIAS3</t>
        </is>
      </c>
      <c r="Q202" s="4" t="inlineStr">
        <is>
          <t>TiA-R/C</t>
        </is>
      </c>
      <c r="R202" s="4" t="inlineStr">
        <is>
          <t>TiA-U/P</t>
        </is>
      </c>
      <c r="S202" s="4" t="inlineStr">
        <is>
          <t>S-TIAS</t>
        </is>
      </c>
    </row>
    <row r="203">
      <c r="A203" s="5" t="inlineStr">
        <is>
          <t>P001</t>
        </is>
      </c>
      <c r="B203" s="6" t="inlineStr">
        <is>
          <t>One-Euro</t>
        </is>
      </c>
      <c r="C203" s="6" t="n">
        <v>153</v>
      </c>
      <c r="D203" s="10">
        <f>Records!E153</f>
        <v>3</v>
      </c>
      <c r="E203" s="10">
        <f>Records!F153</f>
        <v>4</v>
      </c>
      <c r="F203" s="10">
        <f>6-Records!G153</f>
        <v>3</v>
      </c>
      <c r="G203" s="10">
        <f>Records!H153</f>
        <v>4</v>
      </c>
      <c r="H203" s="10">
        <f>6-Records!I153</f>
        <v>4</v>
      </c>
      <c r="I203" s="10">
        <f>Records!J153</f>
        <v>4</v>
      </c>
      <c r="J203" s="10">
        <f>Records!K153</f>
        <v>4</v>
      </c>
      <c r="K203" s="10">
        <f>6-Records!L153</f>
        <v>4</v>
      </c>
      <c r="L203" s="10">
        <f>Records!M153</f>
        <v>4</v>
      </c>
      <c r="M203" s="10">
        <f>6-Records!N153</f>
        <v>4</v>
      </c>
      <c r="N203" s="10">
        <f>Records!O153</f>
        <v>5</v>
      </c>
      <c r="O203" s="10">
        <f>Records!P153</f>
        <v>4</v>
      </c>
      <c r="P203" s="10">
        <f>Records!Q153</f>
        <v>4</v>
      </c>
      <c r="Q203" s="10">
        <f>AVERAGE(D203,E203,F203,G203,H203,I203)</f>
        <v>3.6666666666666665</v>
      </c>
      <c r="R203" s="10">
        <f>AVERAGE(J203,K203,L203,M203)</f>
        <v>4</v>
      </c>
      <c r="S203" s="10">
        <f>AVERAGE(N203,O203,P203)</f>
        <v>4.333333333333333</v>
      </c>
    </row>
    <row r="204">
      <c r="A204" s="5" t="inlineStr">
        <is>
          <t>P002</t>
        </is>
      </c>
      <c r="B204" s="6" t="inlineStr">
        <is>
          <t>One-Euro</t>
        </is>
      </c>
      <c r="C204" s="6" t="n">
        <v>154</v>
      </c>
      <c r="D204" s="10">
        <f>Records!E154</f>
        <v>2</v>
      </c>
      <c r="E204" s="10">
        <f>Records!F154</f>
        <v>2</v>
      </c>
      <c r="F204" s="10">
        <f>6-Records!G154</f>
        <v>3</v>
      </c>
      <c r="G204" s="10">
        <f>Records!H154</f>
        <v>3</v>
      </c>
      <c r="H204" s="10">
        <f>6-Records!I154</f>
        <v>2</v>
      </c>
      <c r="I204" s="10">
        <f>Records!J154</f>
        <v>2</v>
      </c>
      <c r="J204" s="10">
        <f>Records!K154</f>
        <v>3</v>
      </c>
      <c r="K204" s="10">
        <f>6-Records!L154</f>
        <v>2</v>
      </c>
      <c r="L204" s="10">
        <f>Records!M154</f>
        <v>2</v>
      </c>
      <c r="M204" s="10">
        <f>6-Records!N154</f>
        <v>3</v>
      </c>
      <c r="N204" s="10">
        <f>Records!O154</f>
        <v>4</v>
      </c>
      <c r="O204" s="10">
        <f>Records!P154</f>
        <v>3</v>
      </c>
      <c r="P204" s="10">
        <f>Records!Q154</f>
        <v>4</v>
      </c>
      <c r="Q204" s="10">
        <f>AVERAGE(D204,E204,F204,G204,H204,I204)</f>
        <v>2.3333333333333335</v>
      </c>
      <c r="R204" s="10">
        <f>AVERAGE(J204,K204,L204,M204)</f>
        <v>2.5</v>
      </c>
      <c r="S204" s="10">
        <f>AVERAGE(N204,O204,P204)</f>
        <v>3.6666666666666665</v>
      </c>
    </row>
    <row r="205">
      <c r="A205" s="5" t="inlineStr">
        <is>
          <t>P003</t>
        </is>
      </c>
      <c r="B205" s="6" t="inlineStr">
        <is>
          <t>One-Euro</t>
        </is>
      </c>
      <c r="C205" s="6" t="n">
        <v>157</v>
      </c>
      <c r="D205" s="10">
        <f>Records!E157</f>
        <v>3</v>
      </c>
      <c r="E205" s="10">
        <f>Records!F157</f>
        <v>3</v>
      </c>
      <c r="F205" s="10">
        <f>6-Records!G157</f>
        <v>3</v>
      </c>
      <c r="G205" s="10">
        <f>Records!H157</f>
        <v>3</v>
      </c>
      <c r="H205" s="10">
        <f>6-Records!I157</f>
        <v>2</v>
      </c>
      <c r="I205" s="10">
        <f>Records!J157</f>
        <v>3</v>
      </c>
      <c r="J205" s="10">
        <f>Records!K157</f>
        <v>3</v>
      </c>
      <c r="K205" s="10">
        <f>6-Records!L157</f>
        <v>3</v>
      </c>
      <c r="L205" s="10">
        <f>Records!M157</f>
        <v>3</v>
      </c>
      <c r="M205" s="10">
        <f>6-Records!N157</f>
        <v>3</v>
      </c>
      <c r="N205" s="10">
        <f>Records!O157</f>
        <v>4</v>
      </c>
      <c r="O205" s="10">
        <f>Records!P157</f>
        <v>4</v>
      </c>
      <c r="P205" s="10">
        <f>Records!Q157</f>
        <v>4</v>
      </c>
      <c r="Q205" s="10">
        <f>AVERAGE(D205,E205,F205,G205,H205,I205)</f>
        <v>2.8333333333333335</v>
      </c>
      <c r="R205" s="10">
        <f>AVERAGE(J205,K205,L205,M205)</f>
        <v>3</v>
      </c>
      <c r="S205" s="10">
        <f>AVERAGE(N205,O205,P205)</f>
        <v>4</v>
      </c>
    </row>
    <row r="206">
      <c r="A206" s="5" t="inlineStr">
        <is>
          <t>P004</t>
        </is>
      </c>
      <c r="B206" s="6" t="inlineStr">
        <is>
          <t>One-Euro</t>
        </is>
      </c>
      <c r="C206" s="6" t="n">
        <v>158</v>
      </c>
      <c r="D206" s="10">
        <f>Records!E158</f>
        <v>4</v>
      </c>
      <c r="E206" s="10">
        <f>Records!F158</f>
        <v>3</v>
      </c>
      <c r="F206" s="10">
        <f>6-Records!G158</f>
        <v>3</v>
      </c>
      <c r="G206" s="10">
        <f>Records!H158</f>
        <v>4</v>
      </c>
      <c r="H206" s="10">
        <f>6-Records!I158</f>
        <v>4</v>
      </c>
      <c r="I206" s="10">
        <f>Records!J158</f>
        <v>3</v>
      </c>
      <c r="J206" s="10">
        <f>Records!K158</f>
        <v>3</v>
      </c>
      <c r="K206" s="10">
        <f>6-Records!L158</f>
        <v>3</v>
      </c>
      <c r="L206" s="10">
        <f>Records!M158</f>
        <v>3</v>
      </c>
      <c r="M206" s="10">
        <f>6-Records!N158</f>
        <v>3</v>
      </c>
      <c r="N206" s="10">
        <f>Records!O158</f>
        <v>4</v>
      </c>
      <c r="O206" s="10">
        <f>Records!P158</f>
        <v>4</v>
      </c>
      <c r="P206" s="10">
        <f>Records!Q158</f>
        <v>5</v>
      </c>
      <c r="Q206" s="10">
        <f>AVERAGE(D206,E206,F206,G206,H206,I206)</f>
        <v>3.5</v>
      </c>
      <c r="R206" s="10">
        <f>AVERAGE(J206,K206,L206,M206)</f>
        <v>3</v>
      </c>
      <c r="S206" s="10">
        <f>AVERAGE(N206,O206,P206)</f>
        <v>4.333333333333333</v>
      </c>
    </row>
    <row r="207">
      <c r="A207" s="5" t="inlineStr">
        <is>
          <t>P005</t>
        </is>
      </c>
      <c r="B207" s="6" t="inlineStr">
        <is>
          <t>One-Euro</t>
        </is>
      </c>
      <c r="C207" s="6" t="n">
        <v>161</v>
      </c>
      <c r="D207" s="10">
        <f>Records!E161</f>
        <v>3</v>
      </c>
      <c r="E207" s="10">
        <f>Records!F161</f>
        <v>3</v>
      </c>
      <c r="F207" s="10">
        <f>6-Records!G161</f>
        <v>3</v>
      </c>
      <c r="G207" s="10">
        <f>Records!H161</f>
        <v>3</v>
      </c>
      <c r="H207" s="10">
        <f>6-Records!I161</f>
        <v>2</v>
      </c>
      <c r="I207" s="10">
        <f>Records!J161</f>
        <v>2</v>
      </c>
      <c r="J207" s="10">
        <f>Records!K161</f>
        <v>2</v>
      </c>
      <c r="K207" s="10">
        <f>6-Records!L161</f>
        <v>3</v>
      </c>
      <c r="L207" s="10">
        <f>Records!M161</f>
        <v>3</v>
      </c>
      <c r="M207" s="10">
        <f>6-Records!N161</f>
        <v>3</v>
      </c>
      <c r="N207" s="10">
        <f>Records!O161</f>
        <v>3</v>
      </c>
      <c r="O207" s="10">
        <f>Records!P161</f>
        <v>3</v>
      </c>
      <c r="P207" s="10">
        <f>Records!Q161</f>
        <v>4</v>
      </c>
      <c r="Q207" s="10">
        <f>AVERAGE(D207,E207,F207,G207,H207,I207)</f>
        <v>2.6666666666666665</v>
      </c>
      <c r="R207" s="10">
        <f>AVERAGE(J207,K207,L207,M207)</f>
        <v>2.75</v>
      </c>
      <c r="S207" s="10">
        <f>AVERAGE(N207,O207,P207)</f>
        <v>3.3333333333333335</v>
      </c>
    </row>
    <row r="208">
      <c r="A208" s="5" t="inlineStr">
        <is>
          <t>P006</t>
        </is>
      </c>
      <c r="B208" s="6" t="inlineStr">
        <is>
          <t>One-Euro</t>
        </is>
      </c>
      <c r="C208" s="6" t="n">
        <v>162</v>
      </c>
      <c r="D208" s="10">
        <f>Records!E162</f>
        <v>3</v>
      </c>
      <c r="E208" s="10">
        <f>Records!F162</f>
        <v>2</v>
      </c>
      <c r="F208" s="10">
        <f>6-Records!G162</f>
        <v>2</v>
      </c>
      <c r="G208" s="10">
        <f>Records!H162</f>
        <v>2</v>
      </c>
      <c r="H208" s="10">
        <f>6-Records!I162</f>
        <v>2</v>
      </c>
      <c r="I208" s="10">
        <f>Records!J162</f>
        <v>2</v>
      </c>
      <c r="J208" s="10">
        <f>Records!K162</f>
        <v>3</v>
      </c>
      <c r="K208" s="10">
        <f>6-Records!L162</f>
        <v>3</v>
      </c>
      <c r="L208" s="10">
        <f>Records!M162</f>
        <v>2</v>
      </c>
      <c r="M208" s="10">
        <f>6-Records!N162</f>
        <v>2</v>
      </c>
      <c r="N208" s="10">
        <f>Records!O162</f>
        <v>3</v>
      </c>
      <c r="O208" s="10">
        <f>Records!P162</f>
        <v>3</v>
      </c>
      <c r="P208" s="10">
        <f>Records!Q162</f>
        <v>3</v>
      </c>
      <c r="Q208" s="10">
        <f>AVERAGE(D208,E208,F208,G208,H208,I208)</f>
        <v>2.1666666666666665</v>
      </c>
      <c r="R208" s="10">
        <f>AVERAGE(J208,K208,L208,M208)</f>
        <v>2.5</v>
      </c>
      <c r="S208" s="10">
        <f>AVERAGE(N208,O208,P208)</f>
        <v>3</v>
      </c>
    </row>
    <row r="209">
      <c r="A209" s="5" t="inlineStr">
        <is>
          <t>P007</t>
        </is>
      </c>
      <c r="B209" s="6" t="inlineStr">
        <is>
          <t>One-Euro</t>
        </is>
      </c>
      <c r="C209" s="6" t="n">
        <v>165</v>
      </c>
      <c r="D209" s="10">
        <f>Records!E165</f>
        <v>4</v>
      </c>
      <c r="E209" s="10">
        <f>Records!F165</f>
        <v>4</v>
      </c>
      <c r="F209" s="10">
        <f>6-Records!G165</f>
        <v>4</v>
      </c>
      <c r="G209" s="10">
        <f>Records!H165</f>
        <v>4</v>
      </c>
      <c r="H209" s="10">
        <f>6-Records!I165</f>
        <v>4</v>
      </c>
      <c r="I209" s="10">
        <f>Records!J165</f>
        <v>3</v>
      </c>
      <c r="J209" s="10">
        <f>Records!K165</f>
        <v>4</v>
      </c>
      <c r="K209" s="10">
        <f>6-Records!L165</f>
        <v>4</v>
      </c>
      <c r="L209" s="10">
        <f>Records!M165</f>
        <v>4</v>
      </c>
      <c r="M209" s="10">
        <f>6-Records!N165</f>
        <v>5</v>
      </c>
      <c r="N209" s="10">
        <f>Records!O165</f>
        <v>5</v>
      </c>
      <c r="O209" s="10">
        <f>Records!P165</f>
        <v>5</v>
      </c>
      <c r="P209" s="10">
        <f>Records!Q165</f>
        <v>4</v>
      </c>
      <c r="Q209" s="10">
        <f>AVERAGE(D209,E209,F209,G209,H209,I209)</f>
        <v>3.8333333333333335</v>
      </c>
      <c r="R209" s="10">
        <f>AVERAGE(J209,K209,L209,M209)</f>
        <v>4.25</v>
      </c>
      <c r="S209" s="10">
        <f>AVERAGE(N209,O209,P209)</f>
        <v>4.666666666666667</v>
      </c>
    </row>
    <row r="210">
      <c r="A210" s="5" t="inlineStr">
        <is>
          <t>P008</t>
        </is>
      </c>
      <c r="B210" s="6" t="inlineStr">
        <is>
          <t>One-Euro</t>
        </is>
      </c>
      <c r="C210" s="6" t="n">
        <v>166</v>
      </c>
      <c r="D210" s="10">
        <f>Records!E166</f>
        <v>2</v>
      </c>
      <c r="E210" s="10">
        <f>Records!F166</f>
        <v>3</v>
      </c>
      <c r="F210" s="10">
        <f>6-Records!G166</f>
        <v>3</v>
      </c>
      <c r="G210" s="10">
        <f>Records!H166</f>
        <v>4</v>
      </c>
      <c r="H210" s="10">
        <f>6-Records!I166</f>
        <v>3</v>
      </c>
      <c r="I210" s="10">
        <f>Records!J166</f>
        <v>3</v>
      </c>
      <c r="J210" s="10">
        <f>Records!K166</f>
        <v>3</v>
      </c>
      <c r="K210" s="10">
        <f>6-Records!L166</f>
        <v>4</v>
      </c>
      <c r="L210" s="10">
        <f>Records!M166</f>
        <v>3</v>
      </c>
      <c r="M210" s="10">
        <f>6-Records!N166</f>
        <v>3</v>
      </c>
      <c r="N210" s="10">
        <f>Records!O166</f>
        <v>4</v>
      </c>
      <c r="O210" s="10">
        <f>Records!P166</f>
        <v>5</v>
      </c>
      <c r="P210" s="10">
        <f>Records!Q166</f>
        <v>5</v>
      </c>
      <c r="Q210" s="10">
        <f>AVERAGE(D210,E210,F210,G210,H210,I210)</f>
        <v>3</v>
      </c>
      <c r="R210" s="10">
        <f>AVERAGE(J210,K210,L210,M210)</f>
        <v>3.25</v>
      </c>
      <c r="S210" s="10">
        <f>AVERAGE(N210,O210,P210)</f>
        <v>4.666666666666667</v>
      </c>
    </row>
    <row r="211">
      <c r="A211" s="5" t="inlineStr">
        <is>
          <t>P009</t>
        </is>
      </c>
      <c r="B211" s="6" t="inlineStr">
        <is>
          <t>One-Euro</t>
        </is>
      </c>
      <c r="C211" s="6" t="n">
        <v>169</v>
      </c>
      <c r="D211" s="10">
        <f>Records!E169</f>
        <v>4</v>
      </c>
      <c r="E211" s="10">
        <f>Records!F169</f>
        <v>4</v>
      </c>
      <c r="F211" s="10">
        <f>6-Records!G169</f>
        <v>3</v>
      </c>
      <c r="G211" s="10">
        <f>Records!H169</f>
        <v>4</v>
      </c>
      <c r="H211" s="10">
        <f>6-Records!I169</f>
        <v>4</v>
      </c>
      <c r="I211" s="10">
        <f>Records!J169</f>
        <v>4</v>
      </c>
      <c r="J211" s="10">
        <f>Records!K169</f>
        <v>4</v>
      </c>
      <c r="K211" s="10">
        <f>6-Records!L169</f>
        <v>4</v>
      </c>
      <c r="L211" s="10">
        <f>Records!M169</f>
        <v>4</v>
      </c>
      <c r="M211" s="10">
        <f>6-Records!N169</f>
        <v>4</v>
      </c>
      <c r="N211" s="10">
        <f>Records!O169</f>
        <v>4</v>
      </c>
      <c r="O211" s="10">
        <f>Records!P169</f>
        <v>6</v>
      </c>
      <c r="P211" s="10">
        <f>Records!Q169</f>
        <v>6</v>
      </c>
      <c r="Q211" s="10">
        <f>AVERAGE(D211,E211,F211,G211,H211,I211)</f>
        <v>3.8333333333333335</v>
      </c>
      <c r="R211" s="10">
        <f>AVERAGE(J211,K211,L211,M211)</f>
        <v>4</v>
      </c>
      <c r="S211" s="10">
        <f>AVERAGE(N211,O211,P211)</f>
        <v>5.333333333333333</v>
      </c>
    </row>
    <row r="212">
      <c r="A212" s="5" t="inlineStr">
        <is>
          <t>P010</t>
        </is>
      </c>
      <c r="B212" s="6" t="inlineStr">
        <is>
          <t>One-Euro</t>
        </is>
      </c>
      <c r="C212" s="6" t="n">
        <v>170</v>
      </c>
      <c r="D212" s="10">
        <f>Records!E170</f>
        <v>3</v>
      </c>
      <c r="E212" s="10">
        <f>Records!F170</f>
        <v>4</v>
      </c>
      <c r="F212" s="10">
        <f>6-Records!G170</f>
        <v>3</v>
      </c>
      <c r="G212" s="10">
        <f>Records!H170</f>
        <v>3</v>
      </c>
      <c r="H212" s="10">
        <f>6-Records!I170</f>
        <v>3</v>
      </c>
      <c r="I212" s="10">
        <f>Records!J170</f>
        <v>4</v>
      </c>
      <c r="J212" s="10">
        <f>Records!K170</f>
        <v>4</v>
      </c>
      <c r="K212" s="10">
        <f>6-Records!L170</f>
        <v>3</v>
      </c>
      <c r="L212" s="10">
        <f>Records!M170</f>
        <v>4</v>
      </c>
      <c r="M212" s="10">
        <f>6-Records!N170</f>
        <v>3</v>
      </c>
      <c r="N212" s="10">
        <f>Records!O170</f>
        <v>5</v>
      </c>
      <c r="O212" s="10">
        <f>Records!P170</f>
        <v>5</v>
      </c>
      <c r="P212" s="10">
        <f>Records!Q170</f>
        <v>5</v>
      </c>
      <c r="Q212" s="10">
        <f>AVERAGE(D212,E212,F212,G212,H212,I212)</f>
        <v>3.3333333333333335</v>
      </c>
      <c r="R212" s="10">
        <f>AVERAGE(J212,K212,L212,M212)</f>
        <v>3.5</v>
      </c>
      <c r="S212" s="10">
        <f>AVERAGE(N212,O212,P212)</f>
        <v>5</v>
      </c>
    </row>
    <row r="213">
      <c r="A213" s="5" t="inlineStr">
        <is>
          <t>P011</t>
        </is>
      </c>
      <c r="B213" s="6" t="inlineStr">
        <is>
          <t>One-Euro</t>
        </is>
      </c>
      <c r="C213" s="6" t="n">
        <v>173</v>
      </c>
      <c r="D213" s="10">
        <f>Records!E173</f>
        <v>4</v>
      </c>
      <c r="E213" s="10">
        <f>Records!F173</f>
        <v>4</v>
      </c>
      <c r="F213" s="10">
        <f>6-Records!G173</f>
        <v>4</v>
      </c>
      <c r="G213" s="10">
        <f>Records!H173</f>
        <v>4</v>
      </c>
      <c r="H213" s="10">
        <f>6-Records!I173</f>
        <v>4</v>
      </c>
      <c r="I213" s="10">
        <f>Records!J173</f>
        <v>4</v>
      </c>
      <c r="J213" s="10">
        <f>Records!K173</f>
        <v>4</v>
      </c>
      <c r="K213" s="10">
        <f>6-Records!L173</f>
        <v>4</v>
      </c>
      <c r="L213" s="10">
        <f>Records!M173</f>
        <v>4</v>
      </c>
      <c r="M213" s="10">
        <f>6-Records!N173</f>
        <v>4</v>
      </c>
      <c r="N213" s="10">
        <f>Records!O173</f>
        <v>5</v>
      </c>
      <c r="O213" s="10">
        <f>Records!P173</f>
        <v>6</v>
      </c>
      <c r="P213" s="10">
        <f>Records!Q173</f>
        <v>5</v>
      </c>
      <c r="Q213" s="10">
        <f>AVERAGE(D213,E213,F213,G213,H213,I213)</f>
        <v>4</v>
      </c>
      <c r="R213" s="10">
        <f>AVERAGE(J213,K213,L213,M213)</f>
        <v>4</v>
      </c>
      <c r="S213" s="10">
        <f>AVERAGE(N213,O213,P213)</f>
        <v>5.333333333333333</v>
      </c>
    </row>
    <row r="214">
      <c r="A214" s="5" t="inlineStr">
        <is>
          <t>P012</t>
        </is>
      </c>
      <c r="B214" s="6" t="inlineStr">
        <is>
          <t>One-Euro</t>
        </is>
      </c>
      <c r="C214" s="6" t="n">
        <v>174</v>
      </c>
      <c r="D214" s="10">
        <f>Records!E174</f>
        <v>3</v>
      </c>
      <c r="E214" s="10">
        <f>Records!F174</f>
        <v>3</v>
      </c>
      <c r="F214" s="10">
        <f>6-Records!G174</f>
        <v>3</v>
      </c>
      <c r="G214" s="10">
        <f>Records!H174</f>
        <v>3</v>
      </c>
      <c r="H214" s="10">
        <f>6-Records!I174</f>
        <v>3</v>
      </c>
      <c r="I214" s="10">
        <f>Records!J174</f>
        <v>2</v>
      </c>
      <c r="J214" s="10">
        <f>Records!K174</f>
        <v>3</v>
      </c>
      <c r="K214" s="10">
        <f>6-Records!L174</f>
        <v>3</v>
      </c>
      <c r="L214" s="10">
        <f>Records!M174</f>
        <v>2</v>
      </c>
      <c r="M214" s="10">
        <f>6-Records!N174</f>
        <v>3</v>
      </c>
      <c r="N214" s="10">
        <f>Records!O174</f>
        <v>3</v>
      </c>
      <c r="O214" s="10">
        <f>Records!P174</f>
        <v>3</v>
      </c>
      <c r="P214" s="10">
        <f>Records!Q174</f>
        <v>3</v>
      </c>
      <c r="Q214" s="10">
        <f>AVERAGE(D214,E214,F214,G214,H214,I214)</f>
        <v>2.8333333333333335</v>
      </c>
      <c r="R214" s="10">
        <f>AVERAGE(J214,K214,L214,M214)</f>
        <v>2.75</v>
      </c>
      <c r="S214" s="10">
        <f>AVERAGE(N214,O214,P214)</f>
        <v>3</v>
      </c>
    </row>
    <row r="215">
      <c r="A215" s="5" t="inlineStr">
        <is>
          <t>P013</t>
        </is>
      </c>
      <c r="B215" s="6" t="inlineStr">
        <is>
          <t>One-Euro</t>
        </is>
      </c>
      <c r="C215" s="6" t="n">
        <v>177</v>
      </c>
      <c r="D215" s="10">
        <f>Records!E177</f>
        <v>4</v>
      </c>
      <c r="E215" s="10">
        <f>Records!F177</f>
        <v>4</v>
      </c>
      <c r="F215" s="10">
        <f>6-Records!G177</f>
        <v>3</v>
      </c>
      <c r="G215" s="10">
        <f>Records!H177</f>
        <v>4</v>
      </c>
      <c r="H215" s="10">
        <f>6-Records!I177</f>
        <v>3</v>
      </c>
      <c r="I215" s="10">
        <f>Records!J177</f>
        <v>4</v>
      </c>
      <c r="J215" s="10">
        <f>Records!K177</f>
        <v>4</v>
      </c>
      <c r="K215" s="10">
        <f>6-Records!L177</f>
        <v>4</v>
      </c>
      <c r="L215" s="10">
        <f>Records!M177</f>
        <v>4</v>
      </c>
      <c r="M215" s="10">
        <f>6-Records!N177</f>
        <v>4</v>
      </c>
      <c r="N215" s="10">
        <f>Records!O177</f>
        <v>5</v>
      </c>
      <c r="O215" s="10">
        <f>Records!P177</f>
        <v>5</v>
      </c>
      <c r="P215" s="10">
        <f>Records!Q177</f>
        <v>4</v>
      </c>
      <c r="Q215" s="10">
        <f>AVERAGE(D215,E215,F215,G215,H215,I215)</f>
        <v>3.6666666666666665</v>
      </c>
      <c r="R215" s="10">
        <f>AVERAGE(J215,K215,L215,M215)</f>
        <v>4</v>
      </c>
      <c r="S215" s="10">
        <f>AVERAGE(N215,O215,P215)</f>
        <v>4.666666666666667</v>
      </c>
    </row>
    <row r="216">
      <c r="A216" s="5" t="inlineStr">
        <is>
          <t>P014</t>
        </is>
      </c>
      <c r="B216" s="6" t="inlineStr">
        <is>
          <t>One-Euro</t>
        </is>
      </c>
      <c r="C216" s="6" t="n">
        <v>178</v>
      </c>
      <c r="D216" s="10">
        <f>Records!E178</f>
        <v>3</v>
      </c>
      <c r="E216" s="10">
        <f>Records!F178</f>
        <v>3</v>
      </c>
      <c r="F216" s="10">
        <f>6-Records!G178</f>
        <v>2</v>
      </c>
      <c r="G216" s="10">
        <f>Records!H178</f>
        <v>3</v>
      </c>
      <c r="H216" s="10">
        <f>6-Records!I178</f>
        <v>2</v>
      </c>
      <c r="I216" s="10">
        <f>Records!J178</f>
        <v>3</v>
      </c>
      <c r="J216" s="10">
        <f>Records!K178</f>
        <v>3</v>
      </c>
      <c r="K216" s="10">
        <f>6-Records!L178</f>
        <v>3</v>
      </c>
      <c r="L216" s="10">
        <f>Records!M178</f>
        <v>3</v>
      </c>
      <c r="M216" s="10">
        <f>6-Records!N178</f>
        <v>2</v>
      </c>
      <c r="N216" s="10">
        <f>Records!O178</f>
        <v>3</v>
      </c>
      <c r="O216" s="10">
        <f>Records!P178</f>
        <v>3</v>
      </c>
      <c r="P216" s="10">
        <f>Records!Q178</f>
        <v>4</v>
      </c>
      <c r="Q216" s="10">
        <f>AVERAGE(D216,E216,F216,G216,H216,I216)</f>
        <v>2.6666666666666665</v>
      </c>
      <c r="R216" s="10">
        <f>AVERAGE(J216,K216,L216,M216)</f>
        <v>2.75</v>
      </c>
      <c r="S216" s="10">
        <f>AVERAGE(N216,O216,P216)</f>
        <v>3.3333333333333335</v>
      </c>
    </row>
    <row r="217">
      <c r="A217" s="5" t="inlineStr">
        <is>
          <t>P015</t>
        </is>
      </c>
      <c r="B217" s="6" t="inlineStr">
        <is>
          <t>One-Euro</t>
        </is>
      </c>
      <c r="C217" s="6" t="n">
        <v>181</v>
      </c>
      <c r="D217" s="10">
        <f>Records!E181</f>
        <v>4</v>
      </c>
      <c r="E217" s="10">
        <f>Records!F181</f>
        <v>4</v>
      </c>
      <c r="F217" s="10">
        <f>6-Records!G181</f>
        <v>3</v>
      </c>
      <c r="G217" s="10">
        <f>Records!H181</f>
        <v>4</v>
      </c>
      <c r="H217" s="10">
        <f>6-Records!I181</f>
        <v>4</v>
      </c>
      <c r="I217" s="10">
        <f>Records!J181</f>
        <v>4</v>
      </c>
      <c r="J217" s="10">
        <f>Records!K181</f>
        <v>4</v>
      </c>
      <c r="K217" s="10">
        <f>6-Records!L181</f>
        <v>5</v>
      </c>
      <c r="L217" s="10">
        <f>Records!M181</f>
        <v>4</v>
      </c>
      <c r="M217" s="10">
        <f>6-Records!N181</f>
        <v>3</v>
      </c>
      <c r="N217" s="10">
        <f>Records!O181</f>
        <v>5</v>
      </c>
      <c r="O217" s="10">
        <f>Records!P181</f>
        <v>5</v>
      </c>
      <c r="P217" s="10">
        <f>Records!Q181</f>
        <v>4</v>
      </c>
      <c r="Q217" s="10">
        <f>AVERAGE(D217,E217,F217,G217,H217,I217)</f>
        <v>3.8333333333333335</v>
      </c>
      <c r="R217" s="10">
        <f>AVERAGE(J217,K217,L217,M217)</f>
        <v>4</v>
      </c>
      <c r="S217" s="10">
        <f>AVERAGE(N217,O217,P217)</f>
        <v>4.666666666666667</v>
      </c>
    </row>
    <row r="218">
      <c r="A218" s="5" t="inlineStr">
        <is>
          <t>P016</t>
        </is>
      </c>
      <c r="B218" s="6" t="inlineStr">
        <is>
          <t>One-Euro</t>
        </is>
      </c>
      <c r="C218" s="6" t="n">
        <v>182</v>
      </c>
      <c r="D218" s="10">
        <f>Records!E182</f>
        <v>4</v>
      </c>
      <c r="E218" s="10">
        <f>Records!F182</f>
        <v>4</v>
      </c>
      <c r="F218" s="10">
        <f>6-Records!G182</f>
        <v>4</v>
      </c>
      <c r="G218" s="10">
        <f>Records!H182</f>
        <v>4</v>
      </c>
      <c r="H218" s="10">
        <f>6-Records!I182</f>
        <v>4</v>
      </c>
      <c r="I218" s="10">
        <f>Records!J182</f>
        <v>4</v>
      </c>
      <c r="J218" s="10">
        <f>Records!K182</f>
        <v>3</v>
      </c>
      <c r="K218" s="10">
        <f>6-Records!L182</f>
        <v>4</v>
      </c>
      <c r="L218" s="10">
        <f>Records!M182</f>
        <v>4</v>
      </c>
      <c r="M218" s="10">
        <f>6-Records!N182</f>
        <v>4</v>
      </c>
      <c r="N218" s="10">
        <f>Records!O182</f>
        <v>4</v>
      </c>
      <c r="O218" s="10">
        <f>Records!P182</f>
        <v>5</v>
      </c>
      <c r="P218" s="10">
        <f>Records!Q182</f>
        <v>5</v>
      </c>
      <c r="Q218" s="10">
        <f>AVERAGE(D218,E218,F218,G218,H218,I218)</f>
        <v>4</v>
      </c>
      <c r="R218" s="10">
        <f>AVERAGE(J218,K218,L218,M218)</f>
        <v>3.75</v>
      </c>
      <c r="S218" s="10">
        <f>AVERAGE(N218,O218,P218)</f>
        <v>4.666666666666667</v>
      </c>
    </row>
    <row r="219">
      <c r="A219" s="5" t="inlineStr">
        <is>
          <t>P017</t>
        </is>
      </c>
      <c r="B219" s="6" t="inlineStr">
        <is>
          <t>One-Euro</t>
        </is>
      </c>
      <c r="C219" s="6" t="n">
        <v>185</v>
      </c>
      <c r="D219" s="10">
        <f>Records!E185</f>
        <v>3</v>
      </c>
      <c r="E219" s="10">
        <f>Records!F185</f>
        <v>4</v>
      </c>
      <c r="F219" s="10">
        <f>6-Records!G185</f>
        <v>3</v>
      </c>
      <c r="G219" s="10">
        <f>Records!H185</f>
        <v>4</v>
      </c>
      <c r="H219" s="10">
        <f>6-Records!I185</f>
        <v>3</v>
      </c>
      <c r="I219" s="10">
        <f>Records!J185</f>
        <v>4</v>
      </c>
      <c r="J219" s="10">
        <f>Records!K185</f>
        <v>4</v>
      </c>
      <c r="K219" s="10">
        <f>6-Records!L185</f>
        <v>4</v>
      </c>
      <c r="L219" s="10">
        <f>Records!M185</f>
        <v>3</v>
      </c>
      <c r="M219" s="10">
        <f>6-Records!N185</f>
        <v>4</v>
      </c>
      <c r="N219" s="10">
        <f>Records!O185</f>
        <v>5</v>
      </c>
      <c r="O219" s="10">
        <f>Records!P185</f>
        <v>5</v>
      </c>
      <c r="P219" s="10">
        <f>Records!Q185</f>
        <v>5</v>
      </c>
      <c r="Q219" s="10">
        <f>AVERAGE(D219,E219,F219,G219,H219,I219)</f>
        <v>3.5</v>
      </c>
      <c r="R219" s="10">
        <f>AVERAGE(J219,K219,L219,M219)</f>
        <v>3.75</v>
      </c>
      <c r="S219" s="10">
        <f>AVERAGE(N219,O219,P219)</f>
        <v>5</v>
      </c>
    </row>
    <row r="220">
      <c r="A220" s="5" t="inlineStr">
        <is>
          <t>P018</t>
        </is>
      </c>
      <c r="B220" s="6" t="inlineStr">
        <is>
          <t>One-Euro</t>
        </is>
      </c>
      <c r="C220" s="6" t="n">
        <v>186</v>
      </c>
      <c r="D220" s="10">
        <f>Records!E186</f>
        <v>3</v>
      </c>
      <c r="E220" s="10">
        <f>Records!F186</f>
        <v>3</v>
      </c>
      <c r="F220" s="10">
        <f>6-Records!G186</f>
        <v>3</v>
      </c>
      <c r="G220" s="10">
        <f>Records!H186</f>
        <v>3</v>
      </c>
      <c r="H220" s="10">
        <f>6-Records!I186</f>
        <v>3</v>
      </c>
      <c r="I220" s="10">
        <f>Records!J186</f>
        <v>3</v>
      </c>
      <c r="J220" s="10">
        <f>Records!K186</f>
        <v>3</v>
      </c>
      <c r="K220" s="10">
        <f>6-Records!L186</f>
        <v>3</v>
      </c>
      <c r="L220" s="10">
        <f>Records!M186</f>
        <v>3</v>
      </c>
      <c r="M220" s="10">
        <f>6-Records!N186</f>
        <v>4</v>
      </c>
      <c r="N220" s="10">
        <f>Records!O186</f>
        <v>4</v>
      </c>
      <c r="O220" s="10">
        <f>Records!P186</f>
        <v>3</v>
      </c>
      <c r="P220" s="10">
        <f>Records!Q186</f>
        <v>3</v>
      </c>
      <c r="Q220" s="10">
        <f>AVERAGE(D220,E220,F220,G220,H220,I220)</f>
        <v>3</v>
      </c>
      <c r="R220" s="10">
        <f>AVERAGE(J220,K220,L220,M220)</f>
        <v>3.25</v>
      </c>
      <c r="S220" s="10">
        <f>AVERAGE(N220,O220,P220)</f>
        <v>3.3333333333333335</v>
      </c>
    </row>
    <row r="221">
      <c r="A221" s="5" t="inlineStr">
        <is>
          <t>P019</t>
        </is>
      </c>
      <c r="B221" s="6" t="inlineStr">
        <is>
          <t>One-Euro</t>
        </is>
      </c>
      <c r="C221" s="6" t="n">
        <v>189</v>
      </c>
      <c r="D221" s="10">
        <f>Records!E189</f>
        <v>3</v>
      </c>
      <c r="E221" s="10">
        <f>Records!F189</f>
        <v>3</v>
      </c>
      <c r="F221" s="10">
        <f>6-Records!G189</f>
        <v>4</v>
      </c>
      <c r="G221" s="10">
        <f>Records!H189</f>
        <v>3</v>
      </c>
      <c r="H221" s="10">
        <f>6-Records!I189</f>
        <v>3</v>
      </c>
      <c r="I221" s="10">
        <f>Records!J189</f>
        <v>3</v>
      </c>
      <c r="J221" s="10">
        <f>Records!K189</f>
        <v>3</v>
      </c>
      <c r="K221" s="10">
        <f>6-Records!L189</f>
        <v>4</v>
      </c>
      <c r="L221" s="10">
        <f>Records!M189</f>
        <v>4</v>
      </c>
      <c r="M221" s="10">
        <f>6-Records!N189</f>
        <v>4</v>
      </c>
      <c r="N221" s="10">
        <f>Records!O189</f>
        <v>4</v>
      </c>
      <c r="O221" s="10">
        <f>Records!P189</f>
        <v>5</v>
      </c>
      <c r="P221" s="10">
        <f>Records!Q189</f>
        <v>5</v>
      </c>
      <c r="Q221" s="10">
        <f>AVERAGE(D221,E221,F221,G221,H221,I221)</f>
        <v>3.1666666666666665</v>
      </c>
      <c r="R221" s="10">
        <f>AVERAGE(J221,K221,L221,M221)</f>
        <v>3.75</v>
      </c>
      <c r="S221" s="10">
        <f>AVERAGE(N221,O221,P221)</f>
        <v>4.666666666666667</v>
      </c>
    </row>
    <row r="222">
      <c r="A222" s="5" t="inlineStr">
        <is>
          <t>P020</t>
        </is>
      </c>
      <c r="B222" s="6" t="inlineStr">
        <is>
          <t>One-Euro</t>
        </is>
      </c>
      <c r="C222" s="6" t="n">
        <v>190</v>
      </c>
      <c r="D222" s="10">
        <f>Records!E190</f>
        <v>3</v>
      </c>
      <c r="E222" s="10">
        <f>Records!F190</f>
        <v>3</v>
      </c>
      <c r="F222" s="10">
        <f>6-Records!G190</f>
        <v>3</v>
      </c>
      <c r="G222" s="10">
        <f>Records!H190</f>
        <v>3</v>
      </c>
      <c r="H222" s="10">
        <f>6-Records!I190</f>
        <v>3</v>
      </c>
      <c r="I222" s="10">
        <f>Records!J190</f>
        <v>3</v>
      </c>
      <c r="J222" s="10">
        <f>Records!K190</f>
        <v>4</v>
      </c>
      <c r="K222" s="10">
        <f>6-Records!L190</f>
        <v>3</v>
      </c>
      <c r="L222" s="10">
        <f>Records!M190</f>
        <v>3</v>
      </c>
      <c r="M222" s="10">
        <f>6-Records!N190</f>
        <v>2</v>
      </c>
      <c r="N222" s="10">
        <f>Records!O190</f>
        <v>5</v>
      </c>
      <c r="O222" s="10">
        <f>Records!P190</f>
        <v>4</v>
      </c>
      <c r="P222" s="10">
        <f>Records!Q190</f>
        <v>4</v>
      </c>
      <c r="Q222" s="10">
        <f>AVERAGE(D222,E222,F222,G222,H222,I222)</f>
        <v>3</v>
      </c>
      <c r="R222" s="10">
        <f>AVERAGE(J222,K222,L222,M222)</f>
        <v>3</v>
      </c>
      <c r="S222" s="10">
        <f>AVERAGE(N222,O222,P222)</f>
        <v>4.333333333333333</v>
      </c>
    </row>
    <row r="223">
      <c r="A223" s="5" t="inlineStr">
        <is>
          <t>P021</t>
        </is>
      </c>
      <c r="B223" s="6" t="inlineStr">
        <is>
          <t>One-Euro</t>
        </is>
      </c>
      <c r="C223" s="6" t="n">
        <v>193</v>
      </c>
      <c r="D223" s="10">
        <f>Records!E193</f>
        <v>4</v>
      </c>
      <c r="E223" s="10">
        <f>Records!F193</f>
        <v>4</v>
      </c>
      <c r="F223" s="10">
        <f>6-Records!G193</f>
        <v>4</v>
      </c>
      <c r="G223" s="10">
        <f>Records!H193</f>
        <v>4</v>
      </c>
      <c r="H223" s="10">
        <f>6-Records!I193</f>
        <v>4</v>
      </c>
      <c r="I223" s="10">
        <f>Records!J193</f>
        <v>4</v>
      </c>
      <c r="J223" s="10">
        <f>Records!K193</f>
        <v>4</v>
      </c>
      <c r="K223" s="10">
        <f>6-Records!L193</f>
        <v>4</v>
      </c>
      <c r="L223" s="10">
        <f>Records!M193</f>
        <v>4</v>
      </c>
      <c r="M223" s="10">
        <f>6-Records!N193</f>
        <v>4</v>
      </c>
      <c r="N223" s="10">
        <f>Records!O193</f>
        <v>5</v>
      </c>
      <c r="O223" s="10">
        <f>Records!P193</f>
        <v>5</v>
      </c>
      <c r="P223" s="10">
        <f>Records!Q193</f>
        <v>6</v>
      </c>
      <c r="Q223" s="10">
        <f>AVERAGE(D223,E223,F223,G223,H223,I223)</f>
        <v>4</v>
      </c>
      <c r="R223" s="10">
        <f>AVERAGE(J223,K223,L223,M223)</f>
        <v>4</v>
      </c>
      <c r="S223" s="10">
        <f>AVERAGE(N223,O223,P223)</f>
        <v>5.333333333333333</v>
      </c>
    </row>
    <row r="224">
      <c r="A224" s="5" t="inlineStr">
        <is>
          <t>P022</t>
        </is>
      </c>
      <c r="B224" s="6" t="inlineStr">
        <is>
          <t>One-Euro</t>
        </is>
      </c>
      <c r="C224" s="6" t="n">
        <v>194</v>
      </c>
      <c r="D224" s="10">
        <f>Records!E194</f>
        <v>4</v>
      </c>
      <c r="E224" s="10">
        <f>Records!F194</f>
        <v>3</v>
      </c>
      <c r="F224" s="10">
        <f>6-Records!G194</f>
        <v>3</v>
      </c>
      <c r="G224" s="10">
        <f>Records!H194</f>
        <v>4</v>
      </c>
      <c r="H224" s="10">
        <f>6-Records!I194</f>
        <v>3</v>
      </c>
      <c r="I224" s="10">
        <f>Records!J194</f>
        <v>3</v>
      </c>
      <c r="J224" s="10">
        <f>Records!K194</f>
        <v>4</v>
      </c>
      <c r="K224" s="10">
        <f>6-Records!L194</f>
        <v>3</v>
      </c>
      <c r="L224" s="10">
        <f>Records!M194</f>
        <v>4</v>
      </c>
      <c r="M224" s="10">
        <f>6-Records!N194</f>
        <v>3</v>
      </c>
      <c r="N224" s="10">
        <f>Records!O194</f>
        <v>5</v>
      </c>
      <c r="O224" s="10">
        <f>Records!P194</f>
        <v>4</v>
      </c>
      <c r="P224" s="10">
        <f>Records!Q194</f>
        <v>5</v>
      </c>
      <c r="Q224" s="10">
        <f>AVERAGE(D224,E224,F224,G224,H224,I224)</f>
        <v>3.3333333333333335</v>
      </c>
      <c r="R224" s="10">
        <f>AVERAGE(J224,K224,L224,M224)</f>
        <v>3.5</v>
      </c>
      <c r="S224" s="10">
        <f>AVERAGE(N224,O224,P224)</f>
        <v>4.666666666666667</v>
      </c>
    </row>
    <row r="225">
      <c r="A225" s="5" t="inlineStr">
        <is>
          <t>P023</t>
        </is>
      </c>
      <c r="B225" s="6" t="inlineStr">
        <is>
          <t>One-Euro</t>
        </is>
      </c>
      <c r="C225" s="6" t="n">
        <v>197</v>
      </c>
      <c r="D225" s="10">
        <f>Records!E197</f>
        <v>3</v>
      </c>
      <c r="E225" s="10">
        <f>Records!F197</f>
        <v>3</v>
      </c>
      <c r="F225" s="10">
        <f>6-Records!G197</f>
        <v>4</v>
      </c>
      <c r="G225" s="10">
        <f>Records!H197</f>
        <v>3</v>
      </c>
      <c r="H225" s="10">
        <f>6-Records!I197</f>
        <v>3</v>
      </c>
      <c r="I225" s="10">
        <f>Records!J197</f>
        <v>4</v>
      </c>
      <c r="J225" s="10">
        <f>Records!K197</f>
        <v>3</v>
      </c>
      <c r="K225" s="10">
        <f>6-Records!L197</f>
        <v>4</v>
      </c>
      <c r="L225" s="10">
        <f>Records!M197</f>
        <v>3</v>
      </c>
      <c r="M225" s="10">
        <f>6-Records!N197</f>
        <v>4</v>
      </c>
      <c r="N225" s="10">
        <f>Records!O197</f>
        <v>4</v>
      </c>
      <c r="O225" s="10">
        <f>Records!P197</f>
        <v>4</v>
      </c>
      <c r="P225" s="10">
        <f>Records!Q197</f>
        <v>4</v>
      </c>
      <c r="Q225" s="10">
        <f>AVERAGE(D225,E225,F225,G225,H225,I225)</f>
        <v>3.3333333333333335</v>
      </c>
      <c r="R225" s="10">
        <f>AVERAGE(J225,K225,L225,M225)</f>
        <v>3.5</v>
      </c>
      <c r="S225" s="10">
        <f>AVERAGE(N225,O225,P225)</f>
        <v>4</v>
      </c>
    </row>
    <row r="226">
      <c r="A226" s="5" t="inlineStr">
        <is>
          <t>P024</t>
        </is>
      </c>
      <c r="B226" s="6" t="inlineStr">
        <is>
          <t>One-Euro</t>
        </is>
      </c>
      <c r="C226" s="6" t="n">
        <v>198</v>
      </c>
      <c r="D226" s="10">
        <f>Records!E198</f>
        <v>3</v>
      </c>
      <c r="E226" s="10">
        <f>Records!F198</f>
        <v>3</v>
      </c>
      <c r="F226" s="10">
        <f>6-Records!G198</f>
        <v>3</v>
      </c>
      <c r="G226" s="10">
        <f>Records!H198</f>
        <v>3</v>
      </c>
      <c r="H226" s="10">
        <f>6-Records!I198</f>
        <v>3</v>
      </c>
      <c r="I226" s="10">
        <f>Records!J198</f>
        <v>3</v>
      </c>
      <c r="J226" s="10">
        <f>Records!K198</f>
        <v>3</v>
      </c>
      <c r="K226" s="10">
        <f>6-Records!L198</f>
        <v>2</v>
      </c>
      <c r="L226" s="10">
        <f>Records!M198</f>
        <v>3</v>
      </c>
      <c r="M226" s="10">
        <f>6-Records!N198</f>
        <v>3</v>
      </c>
      <c r="N226" s="10">
        <f>Records!O198</f>
        <v>4</v>
      </c>
      <c r="O226" s="10">
        <f>Records!P198</f>
        <v>4</v>
      </c>
      <c r="P226" s="10">
        <f>Records!Q198</f>
        <v>4</v>
      </c>
      <c r="Q226" s="10">
        <f>AVERAGE(D226,E226,F226,G226,H226,I226)</f>
        <v>3</v>
      </c>
      <c r="R226" s="10">
        <f>AVERAGE(J226,K226,L226,M226)</f>
        <v>2.75</v>
      </c>
      <c r="S226" s="10">
        <f>AVERAGE(N226,O226,P226)</f>
        <v>4</v>
      </c>
    </row>
    <row r="227">
      <c r="A227" s="5" t="inlineStr">
        <is>
          <t>P001</t>
        </is>
      </c>
      <c r="B227" s="6" t="inlineStr">
        <is>
          <t>EgoAnchor</t>
        </is>
      </c>
      <c r="C227" s="6" t="n">
        <v>152</v>
      </c>
      <c r="D227" s="10">
        <f>Records!E152</f>
        <v>4</v>
      </c>
      <c r="E227" s="10">
        <f>Records!F152</f>
        <v>4</v>
      </c>
      <c r="F227" s="10">
        <f>6-Records!G152</f>
        <v>4</v>
      </c>
      <c r="G227" s="10">
        <f>Records!H152</f>
        <v>4</v>
      </c>
      <c r="H227" s="10">
        <f>6-Records!I152</f>
        <v>4</v>
      </c>
      <c r="I227" s="10">
        <f>Records!J152</f>
        <v>4</v>
      </c>
      <c r="J227" s="10">
        <f>Records!K152</f>
        <v>3</v>
      </c>
      <c r="K227" s="10">
        <f>6-Records!L152</f>
        <v>4</v>
      </c>
      <c r="L227" s="10">
        <f>Records!M152</f>
        <v>4</v>
      </c>
      <c r="M227" s="10">
        <f>6-Records!N152</f>
        <v>3</v>
      </c>
      <c r="N227" s="10">
        <f>Records!O152</f>
        <v>4</v>
      </c>
      <c r="O227" s="10">
        <f>Records!P152</f>
        <v>5</v>
      </c>
      <c r="P227" s="10">
        <f>Records!Q152</f>
        <v>5</v>
      </c>
      <c r="Q227" s="10">
        <f>AVERAGE(D227,E227,F227,G227,H227,I227)</f>
        <v>4</v>
      </c>
      <c r="R227" s="10">
        <f>AVERAGE(J227,K227,L227,M227)</f>
        <v>3.5</v>
      </c>
      <c r="S227" s="10">
        <f>AVERAGE(N227,O227,P227)</f>
        <v>4.666666666666667</v>
      </c>
    </row>
    <row r="228">
      <c r="A228" s="5" t="inlineStr">
        <is>
          <t>P002</t>
        </is>
      </c>
      <c r="B228" s="6" t="inlineStr">
        <is>
          <t>EgoAnchor</t>
        </is>
      </c>
      <c r="C228" s="6" t="n">
        <v>155</v>
      </c>
      <c r="D228" s="10">
        <f>Records!E155</f>
        <v>3</v>
      </c>
      <c r="E228" s="10">
        <f>Records!F155</f>
        <v>3</v>
      </c>
      <c r="F228" s="10">
        <f>6-Records!G155</f>
        <v>4</v>
      </c>
      <c r="G228" s="10">
        <f>Records!H155</f>
        <v>3</v>
      </c>
      <c r="H228" s="10">
        <f>6-Records!I155</f>
        <v>4</v>
      </c>
      <c r="I228" s="10">
        <f>Records!J155</f>
        <v>4</v>
      </c>
      <c r="J228" s="10">
        <f>Records!K155</f>
        <v>4</v>
      </c>
      <c r="K228" s="10">
        <f>6-Records!L155</f>
        <v>4</v>
      </c>
      <c r="L228" s="10">
        <f>Records!M155</f>
        <v>3</v>
      </c>
      <c r="M228" s="10">
        <f>6-Records!N155</f>
        <v>4</v>
      </c>
      <c r="N228" s="10">
        <f>Records!O155</f>
        <v>5</v>
      </c>
      <c r="O228" s="10">
        <f>Records!P155</f>
        <v>5</v>
      </c>
      <c r="P228" s="10">
        <f>Records!Q155</f>
        <v>6</v>
      </c>
      <c r="Q228" s="10">
        <f>AVERAGE(D228,E228,F228,G228,H228,I228)</f>
        <v>3.5</v>
      </c>
      <c r="R228" s="10">
        <f>AVERAGE(J228,K228,L228,M228)</f>
        <v>3.75</v>
      </c>
      <c r="S228" s="10">
        <f>AVERAGE(N228,O228,P228)</f>
        <v>5.333333333333333</v>
      </c>
    </row>
    <row r="229">
      <c r="A229" s="5" t="inlineStr">
        <is>
          <t>P003</t>
        </is>
      </c>
      <c r="B229" s="6" t="inlineStr">
        <is>
          <t>EgoAnchor</t>
        </is>
      </c>
      <c r="C229" s="6" t="n">
        <v>156</v>
      </c>
      <c r="D229" s="10">
        <f>Records!E156</f>
        <v>4</v>
      </c>
      <c r="E229" s="10">
        <f>Records!F156</f>
        <v>4</v>
      </c>
      <c r="F229" s="10">
        <f>6-Records!G156</f>
        <v>4</v>
      </c>
      <c r="G229" s="10">
        <f>Records!H156</f>
        <v>3</v>
      </c>
      <c r="H229" s="10">
        <f>6-Records!I156</f>
        <v>4</v>
      </c>
      <c r="I229" s="10">
        <f>Records!J156</f>
        <v>4</v>
      </c>
      <c r="J229" s="10">
        <f>Records!K156</f>
        <v>4</v>
      </c>
      <c r="K229" s="10">
        <f>6-Records!L156</f>
        <v>4</v>
      </c>
      <c r="L229" s="10">
        <f>Records!M156</f>
        <v>4</v>
      </c>
      <c r="M229" s="10">
        <f>6-Records!N156</f>
        <v>4</v>
      </c>
      <c r="N229" s="10">
        <f>Records!O156</f>
        <v>5</v>
      </c>
      <c r="O229" s="10">
        <f>Records!P156</f>
        <v>5</v>
      </c>
      <c r="P229" s="10">
        <f>Records!Q156</f>
        <v>6</v>
      </c>
      <c r="Q229" s="10">
        <f>AVERAGE(D229,E229,F229,G229,H229,I229)</f>
        <v>3.8333333333333335</v>
      </c>
      <c r="R229" s="10">
        <f>AVERAGE(J229,K229,L229,M229)</f>
        <v>4</v>
      </c>
      <c r="S229" s="10">
        <f>AVERAGE(N229,O229,P229)</f>
        <v>5.333333333333333</v>
      </c>
    </row>
    <row r="230">
      <c r="A230" s="5" t="inlineStr">
        <is>
          <t>P004</t>
        </is>
      </c>
      <c r="B230" s="6" t="inlineStr">
        <is>
          <t>EgoAnchor</t>
        </is>
      </c>
      <c r="C230" s="6" t="n">
        <v>159</v>
      </c>
      <c r="D230" s="10">
        <f>Records!E159</f>
        <v>4</v>
      </c>
      <c r="E230" s="10">
        <f>Records!F159</f>
        <v>4</v>
      </c>
      <c r="F230" s="10">
        <f>6-Records!G159</f>
        <v>4</v>
      </c>
      <c r="G230" s="10">
        <f>Records!H159</f>
        <v>4</v>
      </c>
      <c r="H230" s="10">
        <f>6-Records!I159</f>
        <v>5</v>
      </c>
      <c r="I230" s="10">
        <f>Records!J159</f>
        <v>4</v>
      </c>
      <c r="J230" s="10">
        <f>Records!K159</f>
        <v>4</v>
      </c>
      <c r="K230" s="10">
        <f>6-Records!L159</f>
        <v>4</v>
      </c>
      <c r="L230" s="10">
        <f>Records!M159</f>
        <v>4</v>
      </c>
      <c r="M230" s="10">
        <f>6-Records!N159</f>
        <v>4</v>
      </c>
      <c r="N230" s="10">
        <f>Records!O159</f>
        <v>6</v>
      </c>
      <c r="O230" s="10">
        <f>Records!P159</f>
        <v>6</v>
      </c>
      <c r="P230" s="10">
        <f>Records!Q159</f>
        <v>6</v>
      </c>
      <c r="Q230" s="10">
        <f>AVERAGE(D230,E230,F230,G230,H230,I230)</f>
        <v>4.166666666666667</v>
      </c>
      <c r="R230" s="10">
        <f>AVERAGE(J230,K230,L230,M230)</f>
        <v>4</v>
      </c>
      <c r="S230" s="10">
        <f>AVERAGE(N230,O230,P230)</f>
        <v>6</v>
      </c>
    </row>
    <row r="231">
      <c r="A231" s="5" t="inlineStr">
        <is>
          <t>P005</t>
        </is>
      </c>
      <c r="B231" s="6" t="inlineStr">
        <is>
          <t>EgoAnchor</t>
        </is>
      </c>
      <c r="C231" s="6" t="n">
        <v>160</v>
      </c>
      <c r="D231" s="10">
        <f>Records!E160</f>
        <v>3</v>
      </c>
      <c r="E231" s="10">
        <f>Records!F160</f>
        <v>4</v>
      </c>
      <c r="F231" s="10">
        <f>6-Records!G160</f>
        <v>4</v>
      </c>
      <c r="G231" s="10">
        <f>Records!H160</f>
        <v>3</v>
      </c>
      <c r="H231" s="10">
        <f>6-Records!I160</f>
        <v>4</v>
      </c>
      <c r="I231" s="10">
        <f>Records!J160</f>
        <v>4</v>
      </c>
      <c r="J231" s="10">
        <f>Records!K160</f>
        <v>3</v>
      </c>
      <c r="K231" s="10">
        <f>6-Records!L160</f>
        <v>4</v>
      </c>
      <c r="L231" s="10">
        <f>Records!M160</f>
        <v>3</v>
      </c>
      <c r="M231" s="10">
        <f>6-Records!N160</f>
        <v>4</v>
      </c>
      <c r="N231" s="10">
        <f>Records!O160</f>
        <v>5</v>
      </c>
      <c r="O231" s="10">
        <f>Records!P160</f>
        <v>5</v>
      </c>
      <c r="P231" s="10">
        <f>Records!Q160</f>
        <v>4</v>
      </c>
      <c r="Q231" s="10">
        <f>AVERAGE(D231,E231,F231,G231,H231,I231)</f>
        <v>3.6666666666666665</v>
      </c>
      <c r="R231" s="10">
        <f>AVERAGE(J231,K231,L231,M231)</f>
        <v>3.5</v>
      </c>
      <c r="S231" s="10">
        <f>AVERAGE(N231,O231,P231)</f>
        <v>4.666666666666667</v>
      </c>
    </row>
    <row r="232">
      <c r="A232" s="5" t="inlineStr">
        <is>
          <t>P006</t>
        </is>
      </c>
      <c r="B232" s="6" t="inlineStr">
        <is>
          <t>EgoAnchor</t>
        </is>
      </c>
      <c r="C232" s="6" t="n">
        <v>163</v>
      </c>
      <c r="D232" s="10">
        <f>Records!E163</f>
        <v>3</v>
      </c>
      <c r="E232" s="10">
        <f>Records!F163</f>
        <v>3</v>
      </c>
      <c r="F232" s="10">
        <f>6-Records!G163</f>
        <v>3</v>
      </c>
      <c r="G232" s="10">
        <f>Records!H163</f>
        <v>3</v>
      </c>
      <c r="H232" s="10">
        <f>6-Records!I163</f>
        <v>3</v>
      </c>
      <c r="I232" s="10">
        <f>Records!J163</f>
        <v>3</v>
      </c>
      <c r="J232" s="10">
        <f>Records!K163</f>
        <v>3</v>
      </c>
      <c r="K232" s="10">
        <f>6-Records!L163</f>
        <v>4</v>
      </c>
      <c r="L232" s="10">
        <f>Records!M163</f>
        <v>2</v>
      </c>
      <c r="M232" s="10">
        <f>6-Records!N163</f>
        <v>2</v>
      </c>
      <c r="N232" s="10">
        <f>Records!O163</f>
        <v>3</v>
      </c>
      <c r="O232" s="10">
        <f>Records!P163</f>
        <v>4</v>
      </c>
      <c r="P232" s="10">
        <f>Records!Q163</f>
        <v>4</v>
      </c>
      <c r="Q232" s="10">
        <f>AVERAGE(D232,E232,F232,G232,H232,I232)</f>
        <v>3</v>
      </c>
      <c r="R232" s="10">
        <f>AVERAGE(J232,K232,L232,M232)</f>
        <v>2.75</v>
      </c>
      <c r="S232" s="10">
        <f>AVERAGE(N232,O232,P232)</f>
        <v>3.6666666666666665</v>
      </c>
    </row>
    <row r="233">
      <c r="A233" s="5" t="inlineStr">
        <is>
          <t>P007</t>
        </is>
      </c>
      <c r="B233" s="6" t="inlineStr">
        <is>
          <t>EgoAnchor</t>
        </is>
      </c>
      <c r="C233" s="6" t="n">
        <v>164</v>
      </c>
      <c r="D233" s="10">
        <f>Records!E164</f>
        <v>4</v>
      </c>
      <c r="E233" s="10">
        <f>Records!F164</f>
        <v>4</v>
      </c>
      <c r="F233" s="10">
        <f>6-Records!G164</f>
        <v>4</v>
      </c>
      <c r="G233" s="10">
        <f>Records!H164</f>
        <v>4</v>
      </c>
      <c r="H233" s="10">
        <f>6-Records!I164</f>
        <v>4</v>
      </c>
      <c r="I233" s="10">
        <f>Records!J164</f>
        <v>4</v>
      </c>
      <c r="J233" s="10">
        <f>Records!K164</f>
        <v>4</v>
      </c>
      <c r="K233" s="10">
        <f>6-Records!L164</f>
        <v>4</v>
      </c>
      <c r="L233" s="10">
        <f>Records!M164</f>
        <v>4</v>
      </c>
      <c r="M233" s="10">
        <f>6-Records!N164</f>
        <v>4</v>
      </c>
      <c r="N233" s="10">
        <f>Records!O164</f>
        <v>6</v>
      </c>
      <c r="O233" s="10">
        <f>Records!P164</f>
        <v>5</v>
      </c>
      <c r="P233" s="10">
        <f>Records!Q164</f>
        <v>5</v>
      </c>
      <c r="Q233" s="10">
        <f>AVERAGE(D233,E233,F233,G233,H233,I233)</f>
        <v>4</v>
      </c>
      <c r="R233" s="10">
        <f>AVERAGE(J233,K233,L233,M233)</f>
        <v>4</v>
      </c>
      <c r="S233" s="10">
        <f>AVERAGE(N233,O233,P233)</f>
        <v>5.333333333333333</v>
      </c>
    </row>
    <row r="234">
      <c r="A234" s="5" t="inlineStr">
        <is>
          <t>P008</t>
        </is>
      </c>
      <c r="B234" s="6" t="inlineStr">
        <is>
          <t>EgoAnchor</t>
        </is>
      </c>
      <c r="C234" s="6" t="n">
        <v>167</v>
      </c>
      <c r="D234" s="10">
        <f>Records!E167</f>
        <v>3</v>
      </c>
      <c r="E234" s="10">
        <f>Records!F167</f>
        <v>4</v>
      </c>
      <c r="F234" s="10">
        <f>6-Records!G167</f>
        <v>4</v>
      </c>
      <c r="G234" s="10">
        <f>Records!H167</f>
        <v>4</v>
      </c>
      <c r="H234" s="10">
        <f>6-Records!I167</f>
        <v>4</v>
      </c>
      <c r="I234" s="10">
        <f>Records!J167</f>
        <v>3</v>
      </c>
      <c r="J234" s="10">
        <f>Records!K167</f>
        <v>4</v>
      </c>
      <c r="K234" s="10">
        <f>6-Records!L167</f>
        <v>4</v>
      </c>
      <c r="L234" s="10">
        <f>Records!M167</f>
        <v>4</v>
      </c>
      <c r="M234" s="10">
        <f>6-Records!N167</f>
        <v>4</v>
      </c>
      <c r="N234" s="10">
        <f>Records!O167</f>
        <v>6</v>
      </c>
      <c r="O234" s="10">
        <f>Records!P167</f>
        <v>6</v>
      </c>
      <c r="P234" s="10">
        <f>Records!Q167</f>
        <v>5</v>
      </c>
      <c r="Q234" s="10">
        <f>AVERAGE(D234,E234,F234,G234,H234,I234)</f>
        <v>3.6666666666666665</v>
      </c>
      <c r="R234" s="10">
        <f>AVERAGE(J234,K234,L234,M234)</f>
        <v>4</v>
      </c>
      <c r="S234" s="10">
        <f>AVERAGE(N234,O234,P234)</f>
        <v>5.666666666666667</v>
      </c>
    </row>
    <row r="235">
      <c r="A235" s="5" t="inlineStr">
        <is>
          <t>P009</t>
        </is>
      </c>
      <c r="B235" s="6" t="inlineStr">
        <is>
          <t>EgoAnchor</t>
        </is>
      </c>
      <c r="C235" s="6" t="n">
        <v>168</v>
      </c>
      <c r="D235" s="10">
        <f>Records!E168</f>
        <v>4</v>
      </c>
      <c r="E235" s="10">
        <f>Records!F168</f>
        <v>4</v>
      </c>
      <c r="F235" s="10">
        <f>6-Records!G168</f>
        <v>5</v>
      </c>
      <c r="G235" s="10">
        <f>Records!H168</f>
        <v>4</v>
      </c>
      <c r="H235" s="10">
        <f>6-Records!I168</f>
        <v>4</v>
      </c>
      <c r="I235" s="10">
        <f>Records!J168</f>
        <v>4</v>
      </c>
      <c r="J235" s="10">
        <f>Records!K168</f>
        <v>5</v>
      </c>
      <c r="K235" s="10">
        <f>6-Records!L168</f>
        <v>4</v>
      </c>
      <c r="L235" s="10">
        <f>Records!M168</f>
        <v>4</v>
      </c>
      <c r="M235" s="10">
        <f>6-Records!N168</f>
        <v>4</v>
      </c>
      <c r="N235" s="10">
        <f>Records!O168</f>
        <v>5</v>
      </c>
      <c r="O235" s="10">
        <f>Records!P168</f>
        <v>5</v>
      </c>
      <c r="P235" s="10">
        <f>Records!Q168</f>
        <v>5</v>
      </c>
      <c r="Q235" s="10">
        <f>AVERAGE(D235,E235,F235,G235,H235,I235)</f>
        <v>4.166666666666667</v>
      </c>
      <c r="R235" s="10">
        <f>AVERAGE(J235,K235,L235,M235)</f>
        <v>4.25</v>
      </c>
      <c r="S235" s="10">
        <f>AVERAGE(N235,O235,P235)</f>
        <v>5</v>
      </c>
    </row>
    <row r="236">
      <c r="A236" s="5" t="inlineStr">
        <is>
          <t>P010</t>
        </is>
      </c>
      <c r="B236" s="6" t="inlineStr">
        <is>
          <t>EgoAnchor</t>
        </is>
      </c>
      <c r="C236" s="6" t="n">
        <v>171</v>
      </c>
      <c r="D236" s="10">
        <f>Records!E171</f>
        <v>4</v>
      </c>
      <c r="E236" s="10">
        <f>Records!F171</f>
        <v>4</v>
      </c>
      <c r="F236" s="10">
        <f>6-Records!G171</f>
        <v>4</v>
      </c>
      <c r="G236" s="10">
        <f>Records!H171</f>
        <v>4</v>
      </c>
      <c r="H236" s="10">
        <f>6-Records!I171</f>
        <v>4</v>
      </c>
      <c r="I236" s="10">
        <f>Records!J171</f>
        <v>4</v>
      </c>
      <c r="J236" s="10">
        <f>Records!K171</f>
        <v>4</v>
      </c>
      <c r="K236" s="10">
        <f>6-Records!L171</f>
        <v>4</v>
      </c>
      <c r="L236" s="10">
        <f>Records!M171</f>
        <v>4</v>
      </c>
      <c r="M236" s="10">
        <f>6-Records!N171</f>
        <v>4</v>
      </c>
      <c r="N236" s="10">
        <f>Records!O171</f>
        <v>5</v>
      </c>
      <c r="O236" s="10">
        <f>Records!P171</f>
        <v>5</v>
      </c>
      <c r="P236" s="10">
        <f>Records!Q171</f>
        <v>5</v>
      </c>
      <c r="Q236" s="10">
        <f>AVERAGE(D236,E236,F236,G236,H236,I236)</f>
        <v>4</v>
      </c>
      <c r="R236" s="10">
        <f>AVERAGE(J236,K236,L236,M236)</f>
        <v>4</v>
      </c>
      <c r="S236" s="10">
        <f>AVERAGE(N236,O236,P236)</f>
        <v>5</v>
      </c>
    </row>
    <row r="237">
      <c r="A237" s="5" t="inlineStr">
        <is>
          <t>P011</t>
        </is>
      </c>
      <c r="B237" s="6" t="inlineStr">
        <is>
          <t>EgoAnchor</t>
        </is>
      </c>
      <c r="C237" s="6" t="n">
        <v>172</v>
      </c>
      <c r="D237" s="10">
        <f>Records!E172</f>
        <v>4</v>
      </c>
      <c r="E237" s="10">
        <f>Records!F172</f>
        <v>4</v>
      </c>
      <c r="F237" s="10">
        <f>6-Records!G172</f>
        <v>4</v>
      </c>
      <c r="G237" s="10">
        <f>Records!H172</f>
        <v>4</v>
      </c>
      <c r="H237" s="10">
        <f>6-Records!I172</f>
        <v>4</v>
      </c>
      <c r="I237" s="10">
        <f>Records!J172</f>
        <v>4</v>
      </c>
      <c r="J237" s="10">
        <f>Records!K172</f>
        <v>4</v>
      </c>
      <c r="K237" s="10">
        <f>6-Records!L172</f>
        <v>4</v>
      </c>
      <c r="L237" s="10">
        <f>Records!M172</f>
        <v>4</v>
      </c>
      <c r="M237" s="10">
        <f>6-Records!N172</f>
        <v>4</v>
      </c>
      <c r="N237" s="10">
        <f>Records!O172</f>
        <v>6</v>
      </c>
      <c r="O237" s="10">
        <f>Records!P172</f>
        <v>5</v>
      </c>
      <c r="P237" s="10">
        <f>Records!Q172</f>
        <v>5</v>
      </c>
      <c r="Q237" s="10">
        <f>AVERAGE(D237,E237,F237,G237,H237,I237)</f>
        <v>4</v>
      </c>
      <c r="R237" s="10">
        <f>AVERAGE(J237,K237,L237,M237)</f>
        <v>4</v>
      </c>
      <c r="S237" s="10">
        <f>AVERAGE(N237,O237,P237)</f>
        <v>5.333333333333333</v>
      </c>
    </row>
    <row r="238">
      <c r="A238" s="5" t="inlineStr">
        <is>
          <t>P012</t>
        </is>
      </c>
      <c r="B238" s="6" t="inlineStr">
        <is>
          <t>EgoAnchor</t>
        </is>
      </c>
      <c r="C238" s="6" t="n">
        <v>175</v>
      </c>
      <c r="D238" s="10">
        <f>Records!E175</f>
        <v>3</v>
      </c>
      <c r="E238" s="10">
        <f>Records!F175</f>
        <v>4</v>
      </c>
      <c r="F238" s="10">
        <f>6-Records!G175</f>
        <v>3</v>
      </c>
      <c r="G238" s="10">
        <f>Records!H175</f>
        <v>4</v>
      </c>
      <c r="H238" s="10">
        <f>6-Records!I175</f>
        <v>3</v>
      </c>
      <c r="I238" s="10">
        <f>Records!J175</f>
        <v>3</v>
      </c>
      <c r="J238" s="10">
        <f>Records!K175</f>
        <v>4</v>
      </c>
      <c r="K238" s="10">
        <f>6-Records!L175</f>
        <v>3</v>
      </c>
      <c r="L238" s="10">
        <f>Records!M175</f>
        <v>3</v>
      </c>
      <c r="M238" s="10">
        <f>6-Records!N175</f>
        <v>4</v>
      </c>
      <c r="N238" s="10">
        <f>Records!O175</f>
        <v>5</v>
      </c>
      <c r="O238" s="10">
        <f>Records!P175</f>
        <v>4</v>
      </c>
      <c r="P238" s="10">
        <f>Records!Q175</f>
        <v>5</v>
      </c>
      <c r="Q238" s="10">
        <f>AVERAGE(D238,E238,F238,G238,H238,I238)</f>
        <v>3.3333333333333335</v>
      </c>
      <c r="R238" s="10">
        <f>AVERAGE(J238,K238,L238,M238)</f>
        <v>3.5</v>
      </c>
      <c r="S238" s="10">
        <f>AVERAGE(N238,O238,P238)</f>
        <v>4.666666666666667</v>
      </c>
    </row>
    <row r="239">
      <c r="A239" s="5" t="inlineStr">
        <is>
          <t>P013</t>
        </is>
      </c>
      <c r="B239" s="6" t="inlineStr">
        <is>
          <t>EgoAnchor</t>
        </is>
      </c>
      <c r="C239" s="6" t="n">
        <v>176</v>
      </c>
      <c r="D239" s="10">
        <f>Records!E176</f>
        <v>4</v>
      </c>
      <c r="E239" s="10">
        <f>Records!F176</f>
        <v>4</v>
      </c>
      <c r="F239" s="10">
        <f>6-Records!G176</f>
        <v>3</v>
      </c>
      <c r="G239" s="10">
        <f>Records!H176</f>
        <v>4</v>
      </c>
      <c r="H239" s="10">
        <f>6-Records!I176</f>
        <v>4</v>
      </c>
      <c r="I239" s="10">
        <f>Records!J176</f>
        <v>4</v>
      </c>
      <c r="J239" s="10">
        <f>Records!K176</f>
        <v>4</v>
      </c>
      <c r="K239" s="10">
        <f>6-Records!L176</f>
        <v>4</v>
      </c>
      <c r="L239" s="10">
        <f>Records!M176</f>
        <v>4</v>
      </c>
      <c r="M239" s="10">
        <f>6-Records!N176</f>
        <v>4</v>
      </c>
      <c r="N239" s="10">
        <f>Records!O176</f>
        <v>6</v>
      </c>
      <c r="O239" s="10">
        <f>Records!P176</f>
        <v>5</v>
      </c>
      <c r="P239" s="10">
        <f>Records!Q176</f>
        <v>5</v>
      </c>
      <c r="Q239" s="10">
        <f>AVERAGE(D239,E239,F239,G239,H239,I239)</f>
        <v>3.8333333333333335</v>
      </c>
      <c r="R239" s="10">
        <f>AVERAGE(J239,K239,L239,M239)</f>
        <v>4</v>
      </c>
      <c r="S239" s="10">
        <f>AVERAGE(N239,O239,P239)</f>
        <v>5.333333333333333</v>
      </c>
    </row>
    <row r="240">
      <c r="A240" s="5" t="inlineStr">
        <is>
          <t>P014</t>
        </is>
      </c>
      <c r="B240" s="6" t="inlineStr">
        <is>
          <t>EgoAnchor</t>
        </is>
      </c>
      <c r="C240" s="6" t="n">
        <v>179</v>
      </c>
      <c r="D240" s="10">
        <f>Records!E179</f>
        <v>4</v>
      </c>
      <c r="E240" s="10">
        <f>Records!F179</f>
        <v>4</v>
      </c>
      <c r="F240" s="10">
        <f>6-Records!G179</f>
        <v>4</v>
      </c>
      <c r="G240" s="10">
        <f>Records!H179</f>
        <v>4</v>
      </c>
      <c r="H240" s="10">
        <f>6-Records!I179</f>
        <v>4</v>
      </c>
      <c r="I240" s="10">
        <f>Records!J179</f>
        <v>4</v>
      </c>
      <c r="J240" s="10">
        <f>Records!K179</f>
        <v>4</v>
      </c>
      <c r="K240" s="10">
        <f>6-Records!L179</f>
        <v>4</v>
      </c>
      <c r="L240" s="10">
        <f>Records!M179</f>
        <v>4</v>
      </c>
      <c r="M240" s="10">
        <f>6-Records!N179</f>
        <v>3</v>
      </c>
      <c r="N240" s="10">
        <f>Records!O179</f>
        <v>5</v>
      </c>
      <c r="O240" s="10">
        <f>Records!P179</f>
        <v>6</v>
      </c>
      <c r="P240" s="10">
        <f>Records!Q179</f>
        <v>6</v>
      </c>
      <c r="Q240" s="10">
        <f>AVERAGE(D240,E240,F240,G240,H240,I240)</f>
        <v>4</v>
      </c>
      <c r="R240" s="10">
        <f>AVERAGE(J240,K240,L240,M240)</f>
        <v>3.75</v>
      </c>
      <c r="S240" s="10">
        <f>AVERAGE(N240,O240,P240)</f>
        <v>5.666666666666667</v>
      </c>
    </row>
    <row r="241">
      <c r="A241" s="5" t="inlineStr">
        <is>
          <t>P015</t>
        </is>
      </c>
      <c r="B241" s="6" t="inlineStr">
        <is>
          <t>EgoAnchor</t>
        </is>
      </c>
      <c r="C241" s="6" t="n">
        <v>180</v>
      </c>
      <c r="D241" s="10">
        <f>Records!E180</f>
        <v>4</v>
      </c>
      <c r="E241" s="10">
        <f>Records!F180</f>
        <v>3</v>
      </c>
      <c r="F241" s="10">
        <f>6-Records!G180</f>
        <v>2</v>
      </c>
      <c r="G241" s="10">
        <f>Records!H180</f>
        <v>4</v>
      </c>
      <c r="H241" s="10">
        <f>6-Records!I180</f>
        <v>3</v>
      </c>
      <c r="I241" s="10">
        <f>Records!J180</f>
        <v>4</v>
      </c>
      <c r="J241" s="10">
        <f>Records!K180</f>
        <v>4</v>
      </c>
      <c r="K241" s="10">
        <f>6-Records!L180</f>
        <v>4</v>
      </c>
      <c r="L241" s="10">
        <f>Records!M180</f>
        <v>4</v>
      </c>
      <c r="M241" s="10">
        <f>6-Records!N180</f>
        <v>4</v>
      </c>
      <c r="N241" s="10">
        <f>Records!O180</f>
        <v>4</v>
      </c>
      <c r="O241" s="10">
        <f>Records!P180</f>
        <v>4</v>
      </c>
      <c r="P241" s="10">
        <f>Records!Q180</f>
        <v>3</v>
      </c>
      <c r="Q241" s="10">
        <f>AVERAGE(D241,E241,F241,G241,H241,I241)</f>
        <v>3.3333333333333335</v>
      </c>
      <c r="R241" s="10">
        <f>AVERAGE(J241,K241,L241,M241)</f>
        <v>4</v>
      </c>
      <c r="S241" s="10">
        <f>AVERAGE(N241,O241,P241)</f>
        <v>3.6666666666666665</v>
      </c>
    </row>
    <row r="242">
      <c r="A242" s="5" t="inlineStr">
        <is>
          <t>P016</t>
        </is>
      </c>
      <c r="B242" s="6" t="inlineStr">
        <is>
          <t>EgoAnchor</t>
        </is>
      </c>
      <c r="C242" s="6" t="n">
        <v>183</v>
      </c>
      <c r="D242" s="10">
        <f>Records!E183</f>
        <v>4</v>
      </c>
      <c r="E242" s="10">
        <f>Records!F183</f>
        <v>4</v>
      </c>
      <c r="F242" s="10">
        <f>6-Records!G183</f>
        <v>5</v>
      </c>
      <c r="G242" s="10">
        <f>Records!H183</f>
        <v>4</v>
      </c>
      <c r="H242" s="10">
        <f>6-Records!I183</f>
        <v>4</v>
      </c>
      <c r="I242" s="10">
        <f>Records!J183</f>
        <v>4</v>
      </c>
      <c r="J242" s="10">
        <f>Records!K183</f>
        <v>4</v>
      </c>
      <c r="K242" s="10">
        <f>6-Records!L183</f>
        <v>3</v>
      </c>
      <c r="L242" s="10">
        <f>Records!M183</f>
        <v>4</v>
      </c>
      <c r="M242" s="10">
        <f>6-Records!N183</f>
        <v>4</v>
      </c>
      <c r="N242" s="10">
        <f>Records!O183</f>
        <v>5</v>
      </c>
      <c r="O242" s="10">
        <f>Records!P183</f>
        <v>5</v>
      </c>
      <c r="P242" s="10">
        <f>Records!Q183</f>
        <v>6</v>
      </c>
      <c r="Q242" s="10">
        <f>AVERAGE(D242,E242,F242,G242,H242,I242)</f>
        <v>4.166666666666667</v>
      </c>
      <c r="R242" s="10">
        <f>AVERAGE(J242,K242,L242,M242)</f>
        <v>3.75</v>
      </c>
      <c r="S242" s="10">
        <f>AVERAGE(N242,O242,P242)</f>
        <v>5.333333333333333</v>
      </c>
    </row>
    <row r="243">
      <c r="A243" s="5" t="inlineStr">
        <is>
          <t>P017</t>
        </is>
      </c>
      <c r="B243" s="6" t="inlineStr">
        <is>
          <t>EgoAnchor</t>
        </is>
      </c>
      <c r="C243" s="6" t="n">
        <v>184</v>
      </c>
      <c r="D243" s="10">
        <f>Records!E184</f>
        <v>3</v>
      </c>
      <c r="E243" s="10">
        <f>Records!F184</f>
        <v>4</v>
      </c>
      <c r="F243" s="10">
        <f>6-Records!G184</f>
        <v>4</v>
      </c>
      <c r="G243" s="10">
        <f>Records!H184</f>
        <v>4</v>
      </c>
      <c r="H243" s="10">
        <f>6-Records!I184</f>
        <v>4</v>
      </c>
      <c r="I243" s="10">
        <f>Records!J184</f>
        <v>4</v>
      </c>
      <c r="J243" s="10">
        <f>Records!K184</f>
        <v>4</v>
      </c>
      <c r="K243" s="10">
        <f>6-Records!L184</f>
        <v>5</v>
      </c>
      <c r="L243" s="10">
        <f>Records!M184</f>
        <v>4</v>
      </c>
      <c r="M243" s="10">
        <f>6-Records!N184</f>
        <v>4</v>
      </c>
      <c r="N243" s="10">
        <f>Records!O184</f>
        <v>5</v>
      </c>
      <c r="O243" s="10">
        <f>Records!P184</f>
        <v>5</v>
      </c>
      <c r="P243" s="10">
        <f>Records!Q184</f>
        <v>4</v>
      </c>
      <c r="Q243" s="10">
        <f>AVERAGE(D243,E243,F243,G243,H243,I243)</f>
        <v>3.8333333333333335</v>
      </c>
      <c r="R243" s="10">
        <f>AVERAGE(J243,K243,L243,M243)</f>
        <v>4.25</v>
      </c>
      <c r="S243" s="10">
        <f>AVERAGE(N243,O243,P243)</f>
        <v>4.666666666666667</v>
      </c>
    </row>
    <row r="244">
      <c r="A244" s="5" t="inlineStr">
        <is>
          <t>P018</t>
        </is>
      </c>
      <c r="B244" s="6" t="inlineStr">
        <is>
          <t>EgoAnchor</t>
        </is>
      </c>
      <c r="C244" s="6" t="n">
        <v>187</v>
      </c>
      <c r="D244" s="10">
        <f>Records!E187</f>
        <v>3</v>
      </c>
      <c r="E244" s="10">
        <f>Records!F187</f>
        <v>3</v>
      </c>
      <c r="F244" s="10">
        <f>6-Records!G187</f>
        <v>4</v>
      </c>
      <c r="G244" s="10">
        <f>Records!H187</f>
        <v>3</v>
      </c>
      <c r="H244" s="10">
        <f>6-Records!I187</f>
        <v>3</v>
      </c>
      <c r="I244" s="10">
        <f>Records!J187</f>
        <v>4</v>
      </c>
      <c r="J244" s="10">
        <f>Records!K187</f>
        <v>4</v>
      </c>
      <c r="K244" s="10">
        <f>6-Records!L187</f>
        <v>3</v>
      </c>
      <c r="L244" s="10">
        <f>Records!M187</f>
        <v>4</v>
      </c>
      <c r="M244" s="10">
        <f>6-Records!N187</f>
        <v>4</v>
      </c>
      <c r="N244" s="10">
        <f>Records!O187</f>
        <v>5</v>
      </c>
      <c r="O244" s="10">
        <f>Records!P187</f>
        <v>4</v>
      </c>
      <c r="P244" s="10">
        <f>Records!Q187</f>
        <v>5</v>
      </c>
      <c r="Q244" s="10">
        <f>AVERAGE(D244,E244,F244,G244,H244,I244)</f>
        <v>3.3333333333333335</v>
      </c>
      <c r="R244" s="10">
        <f>AVERAGE(J244,K244,L244,M244)</f>
        <v>3.75</v>
      </c>
      <c r="S244" s="10">
        <f>AVERAGE(N244,O244,P244)</f>
        <v>4.666666666666667</v>
      </c>
    </row>
    <row r="245">
      <c r="A245" s="5" t="inlineStr">
        <is>
          <t>P019</t>
        </is>
      </c>
      <c r="B245" s="6" t="inlineStr">
        <is>
          <t>EgoAnchor</t>
        </is>
      </c>
      <c r="C245" s="6" t="n">
        <v>188</v>
      </c>
      <c r="D245" s="10">
        <f>Records!E188</f>
        <v>3</v>
      </c>
      <c r="E245" s="10">
        <f>Records!F188</f>
        <v>3</v>
      </c>
      <c r="F245" s="10">
        <f>6-Records!G188</f>
        <v>4</v>
      </c>
      <c r="G245" s="10">
        <f>Records!H188</f>
        <v>3</v>
      </c>
      <c r="H245" s="10">
        <f>6-Records!I188</f>
        <v>3</v>
      </c>
      <c r="I245" s="10">
        <f>Records!J188</f>
        <v>3</v>
      </c>
      <c r="J245" s="10">
        <f>Records!K188</f>
        <v>4</v>
      </c>
      <c r="K245" s="10">
        <f>6-Records!L188</f>
        <v>3</v>
      </c>
      <c r="L245" s="10">
        <f>Records!M188</f>
        <v>3</v>
      </c>
      <c r="M245" s="10">
        <f>6-Records!N188</f>
        <v>4</v>
      </c>
      <c r="N245" s="10">
        <f>Records!O188</f>
        <v>4</v>
      </c>
      <c r="O245" s="10">
        <f>Records!P188</f>
        <v>5</v>
      </c>
      <c r="P245" s="10">
        <f>Records!Q188</f>
        <v>4</v>
      </c>
      <c r="Q245" s="10">
        <f>AVERAGE(D245,E245,F245,G245,H245,I245)</f>
        <v>3.1666666666666665</v>
      </c>
      <c r="R245" s="10">
        <f>AVERAGE(J245,K245,L245,M245)</f>
        <v>3.5</v>
      </c>
      <c r="S245" s="10">
        <f>AVERAGE(N245,O245,P245)</f>
        <v>4.333333333333333</v>
      </c>
    </row>
    <row r="246">
      <c r="A246" s="5" t="inlineStr">
        <is>
          <t>P020</t>
        </is>
      </c>
      <c r="B246" s="6" t="inlineStr">
        <is>
          <t>EgoAnchor</t>
        </is>
      </c>
      <c r="C246" s="6" t="n">
        <v>191</v>
      </c>
      <c r="D246" s="10">
        <f>Records!E191</f>
        <v>4</v>
      </c>
      <c r="E246" s="10">
        <f>Records!F191</f>
        <v>4</v>
      </c>
      <c r="F246" s="10">
        <f>6-Records!G191</f>
        <v>5</v>
      </c>
      <c r="G246" s="10">
        <f>Records!H191</f>
        <v>4</v>
      </c>
      <c r="H246" s="10">
        <f>6-Records!I191</f>
        <v>4</v>
      </c>
      <c r="I246" s="10">
        <f>Records!J191</f>
        <v>4</v>
      </c>
      <c r="J246" s="10">
        <f>Records!K191</f>
        <v>4</v>
      </c>
      <c r="K246" s="10">
        <f>6-Records!L191</f>
        <v>5</v>
      </c>
      <c r="L246" s="10">
        <f>Records!M191</f>
        <v>4</v>
      </c>
      <c r="M246" s="10">
        <f>6-Records!N191</f>
        <v>4</v>
      </c>
      <c r="N246" s="10">
        <f>Records!O191</f>
        <v>6</v>
      </c>
      <c r="O246" s="10">
        <f>Records!P191</f>
        <v>5</v>
      </c>
      <c r="P246" s="10">
        <f>Records!Q191</f>
        <v>6</v>
      </c>
      <c r="Q246" s="10">
        <f>AVERAGE(D246,E246,F246,G246,H246,I246)</f>
        <v>4.166666666666667</v>
      </c>
      <c r="R246" s="10">
        <f>AVERAGE(J246,K246,L246,M246)</f>
        <v>4.25</v>
      </c>
      <c r="S246" s="10">
        <f>AVERAGE(N246,O246,P246)</f>
        <v>5.666666666666667</v>
      </c>
    </row>
    <row r="247">
      <c r="A247" s="5" t="inlineStr">
        <is>
          <t>P021</t>
        </is>
      </c>
      <c r="B247" s="6" t="inlineStr">
        <is>
          <t>EgoAnchor</t>
        </is>
      </c>
      <c r="C247" s="6" t="n">
        <v>192</v>
      </c>
      <c r="D247" s="10">
        <f>Records!E192</f>
        <v>4</v>
      </c>
      <c r="E247" s="10">
        <f>Records!F192</f>
        <v>4</v>
      </c>
      <c r="F247" s="10">
        <f>6-Records!G192</f>
        <v>4</v>
      </c>
      <c r="G247" s="10">
        <f>Records!H192</f>
        <v>4</v>
      </c>
      <c r="H247" s="10">
        <f>6-Records!I192</f>
        <v>4</v>
      </c>
      <c r="I247" s="10">
        <f>Records!J192</f>
        <v>4</v>
      </c>
      <c r="J247" s="10">
        <f>Records!K192</f>
        <v>4</v>
      </c>
      <c r="K247" s="10">
        <f>6-Records!L192</f>
        <v>4</v>
      </c>
      <c r="L247" s="10">
        <f>Records!M192</f>
        <v>4</v>
      </c>
      <c r="M247" s="10">
        <f>6-Records!N192</f>
        <v>4</v>
      </c>
      <c r="N247" s="10">
        <f>Records!O192</f>
        <v>6</v>
      </c>
      <c r="O247" s="10">
        <f>Records!P192</f>
        <v>5</v>
      </c>
      <c r="P247" s="10">
        <f>Records!Q192</f>
        <v>5</v>
      </c>
      <c r="Q247" s="10">
        <f>AVERAGE(D247,E247,F247,G247,H247,I247)</f>
        <v>4</v>
      </c>
      <c r="R247" s="10">
        <f>AVERAGE(J247,K247,L247,M247)</f>
        <v>4</v>
      </c>
      <c r="S247" s="10">
        <f>AVERAGE(N247,O247,P247)</f>
        <v>5.333333333333333</v>
      </c>
    </row>
    <row r="248">
      <c r="A248" s="5" t="inlineStr">
        <is>
          <t>P022</t>
        </is>
      </c>
      <c r="B248" s="6" t="inlineStr">
        <is>
          <t>EgoAnchor</t>
        </is>
      </c>
      <c r="C248" s="6" t="n">
        <v>195</v>
      </c>
      <c r="D248" s="10">
        <f>Records!E195</f>
        <v>4</v>
      </c>
      <c r="E248" s="10">
        <f>Records!F195</f>
        <v>4</v>
      </c>
      <c r="F248" s="10">
        <f>6-Records!G195</f>
        <v>5</v>
      </c>
      <c r="G248" s="10">
        <f>Records!H195</f>
        <v>3</v>
      </c>
      <c r="H248" s="10">
        <f>6-Records!I195</f>
        <v>4</v>
      </c>
      <c r="I248" s="10">
        <f>Records!J195</f>
        <v>4</v>
      </c>
      <c r="J248" s="10">
        <f>Records!K195</f>
        <v>4</v>
      </c>
      <c r="K248" s="10">
        <f>6-Records!L195</f>
        <v>4</v>
      </c>
      <c r="L248" s="10">
        <f>Records!M195</f>
        <v>4</v>
      </c>
      <c r="M248" s="10">
        <f>6-Records!N195</f>
        <v>3</v>
      </c>
      <c r="N248" s="10">
        <f>Records!O195</f>
        <v>5</v>
      </c>
      <c r="O248" s="10">
        <f>Records!P195</f>
        <v>5</v>
      </c>
      <c r="P248" s="10">
        <f>Records!Q195</f>
        <v>5</v>
      </c>
      <c r="Q248" s="10">
        <f>AVERAGE(D248,E248,F248,G248,H248,I248)</f>
        <v>4</v>
      </c>
      <c r="R248" s="10">
        <f>AVERAGE(J248,K248,L248,M248)</f>
        <v>3.75</v>
      </c>
      <c r="S248" s="10">
        <f>AVERAGE(N248,O248,P248)</f>
        <v>5</v>
      </c>
    </row>
    <row r="249">
      <c r="A249" s="5" t="inlineStr">
        <is>
          <t>P023</t>
        </is>
      </c>
      <c r="B249" s="6" t="inlineStr">
        <is>
          <t>EgoAnchor</t>
        </is>
      </c>
      <c r="C249" s="6" t="n">
        <v>196</v>
      </c>
      <c r="D249" s="10">
        <f>Records!E196</f>
        <v>3</v>
      </c>
      <c r="E249" s="10">
        <f>Records!F196</f>
        <v>4</v>
      </c>
      <c r="F249" s="10">
        <f>6-Records!G196</f>
        <v>3</v>
      </c>
      <c r="G249" s="10">
        <f>Records!H196</f>
        <v>3</v>
      </c>
      <c r="H249" s="10">
        <f>6-Records!I196</f>
        <v>4</v>
      </c>
      <c r="I249" s="10">
        <f>Records!J196</f>
        <v>4</v>
      </c>
      <c r="J249" s="10">
        <f>Records!K196</f>
        <v>4</v>
      </c>
      <c r="K249" s="10">
        <f>6-Records!L196</f>
        <v>3</v>
      </c>
      <c r="L249" s="10">
        <f>Records!M196</f>
        <v>3</v>
      </c>
      <c r="M249" s="10">
        <f>6-Records!N196</f>
        <v>4</v>
      </c>
      <c r="N249" s="10">
        <f>Records!O196</f>
        <v>4</v>
      </c>
      <c r="O249" s="10">
        <f>Records!P196</f>
        <v>5</v>
      </c>
      <c r="P249" s="10">
        <f>Records!Q196</f>
        <v>5</v>
      </c>
      <c r="Q249" s="10">
        <f>AVERAGE(D249,E249,F249,G249,H249,I249)</f>
        <v>3.5</v>
      </c>
      <c r="R249" s="10">
        <f>AVERAGE(J249,K249,L249,M249)</f>
        <v>3.5</v>
      </c>
      <c r="S249" s="10">
        <f>AVERAGE(N249,O249,P249)</f>
        <v>4.666666666666667</v>
      </c>
    </row>
    <row r="250">
      <c r="A250" s="5" t="inlineStr">
        <is>
          <t>P024</t>
        </is>
      </c>
      <c r="B250" s="6" t="inlineStr">
        <is>
          <t>EgoAnchor</t>
        </is>
      </c>
      <c r="C250" s="6" t="n">
        <v>199</v>
      </c>
      <c r="D250" s="10">
        <f>Records!E199</f>
        <v>3</v>
      </c>
      <c r="E250" s="10">
        <f>Records!F199</f>
        <v>4</v>
      </c>
      <c r="F250" s="10">
        <f>6-Records!G199</f>
        <v>4</v>
      </c>
      <c r="G250" s="10">
        <f>Records!H199</f>
        <v>3</v>
      </c>
      <c r="H250" s="10">
        <f>6-Records!I199</f>
        <v>4</v>
      </c>
      <c r="I250" s="10">
        <f>Records!J199</f>
        <v>3</v>
      </c>
      <c r="J250" s="10">
        <f>Records!K199</f>
        <v>4</v>
      </c>
      <c r="K250" s="10">
        <f>6-Records!L199</f>
        <v>3</v>
      </c>
      <c r="L250" s="10">
        <f>Records!M199</f>
        <v>4</v>
      </c>
      <c r="M250" s="10">
        <f>6-Records!N199</f>
        <v>5</v>
      </c>
      <c r="N250" s="10">
        <f>Records!O199</f>
        <v>4</v>
      </c>
      <c r="O250" s="10">
        <f>Records!P199</f>
        <v>5</v>
      </c>
      <c r="P250" s="10">
        <f>Records!Q199</f>
        <v>6</v>
      </c>
      <c r="Q250" s="10">
        <f>AVERAGE(D250,E250,F250,G250,H250,I250)</f>
        <v>3.5</v>
      </c>
      <c r="R250" s="10">
        <f>AVERAGE(J250,K250,L250,M250)</f>
        <v>4</v>
      </c>
      <c r="S250" s="10">
        <f>AVERAGE(N250,O250,P250)</f>
        <v>5</v>
      </c>
    </row>
    <row r="252" ht="20" customHeight="1">
      <c r="A252" s="3" t="inlineStr">
        <is>
          <t>L4. 逐参与者配对差（EgoAnchor − One-Euro）：主分析的配对输入</t>
        </is>
      </c>
    </row>
    <row r="253" ht="30" customHeight="1">
      <c r="A253" s="4" t="inlineStr">
        <is>
          <t>Participant_ID</t>
        </is>
      </c>
      <c r="B253" s="4" t="inlineStr">
        <is>
          <t>Q1</t>
        </is>
      </c>
      <c r="C253" s="4" t="inlineStr">
        <is>
          <t>Q8</t>
        </is>
      </c>
      <c r="D253" s="4" t="inlineStr">
        <is>
          <t>Q2</t>
        </is>
      </c>
      <c r="E253" s="4" t="inlineStr">
        <is>
          <t>Q9</t>
        </is>
      </c>
      <c r="F253" s="4" t="inlineStr">
        <is>
          <t>Q3</t>
        </is>
      </c>
      <c r="G253" s="4" t="inlineStr">
        <is>
          <t>Q6</t>
        </is>
      </c>
      <c r="H253" s="4" t="inlineStr">
        <is>
          <t>Q7</t>
        </is>
      </c>
      <c r="I253" s="4" t="inlineStr">
        <is>
          <t>AQ_EQ</t>
        </is>
      </c>
      <c r="J253" s="4" t="inlineStr">
        <is>
          <t>AQ_IQ</t>
        </is>
      </c>
      <c r="K253" s="4" t="inlineStr">
        <is>
          <t>TiA-R/C</t>
        </is>
      </c>
      <c r="L253" s="4" t="inlineStr">
        <is>
          <t>TiA-U/P</t>
        </is>
      </c>
      <c r="M253" s="4" t="inlineStr">
        <is>
          <t>S-TIAS</t>
        </is>
      </c>
    </row>
    <row r="254">
      <c r="A254" s="5" t="inlineStr">
        <is>
          <t>P001</t>
        </is>
      </c>
      <c r="B254" s="10">
        <f>C176-C152</f>
        <v>1.3333333333333335</v>
      </c>
      <c r="C254" s="10">
        <f>D176-D152</f>
        <v>0.666666666666667</v>
      </c>
      <c r="D254" s="10">
        <f>E176-E152</f>
        <v>1</v>
      </c>
      <c r="E254" s="10">
        <f>F176-F152</f>
        <v>0.3333333333333339</v>
      </c>
      <c r="F254" s="10">
        <f>G176-G152</f>
        <v>0.3333333333333339</v>
      </c>
      <c r="G254" s="10">
        <f>H176-H152</f>
        <v>1.333333333333334</v>
      </c>
      <c r="H254" s="10">
        <f>I176-I152</f>
        <v>0.666666666666667</v>
      </c>
      <c r="I254" s="10">
        <f>P176-P152</f>
        <v>1.1111111111111116</v>
      </c>
      <c r="J254" s="10">
        <f>Q176-Q152</f>
        <v>0.3333333333333339</v>
      </c>
      <c r="K254" s="10">
        <f>Q227-Q203</f>
        <v>0.3333333333333335</v>
      </c>
      <c r="L254" s="10">
        <f>R227-R203</f>
        <v>-0.5</v>
      </c>
      <c r="M254" s="10">
        <f>S227-S203</f>
        <v>0.3333333333333339</v>
      </c>
    </row>
    <row r="255">
      <c r="A255" s="5" t="inlineStr">
        <is>
          <t>P002</t>
        </is>
      </c>
      <c r="B255" s="10">
        <f>C177-C153</f>
        <v>1</v>
      </c>
      <c r="C255" s="10">
        <f>D177-D153</f>
        <v>1</v>
      </c>
      <c r="D255" s="10">
        <f>E177-E153</f>
        <v>1.666666666666667</v>
      </c>
      <c r="E255" s="10">
        <f>F177-F153</f>
        <v>1.666666666666667</v>
      </c>
      <c r="F255" s="10">
        <f>G177-G153</f>
        <v>1.3333333333333335</v>
      </c>
      <c r="G255" s="10">
        <f>H177-H153</f>
        <v>2.6666666666666665</v>
      </c>
      <c r="H255" s="10">
        <f>I177-I153</f>
        <v>2</v>
      </c>
      <c r="I255" s="10">
        <f>P177-P153</f>
        <v>1.2222222222222214</v>
      </c>
      <c r="J255" s="10">
        <f>Q177-Q153</f>
        <v>-8.881784197001252e-16</v>
      </c>
      <c r="K255" s="10">
        <f>Q228-Q204</f>
        <v>1.1666666666666665</v>
      </c>
      <c r="L255" s="10">
        <f>R228-R204</f>
        <v>1.25</v>
      </c>
      <c r="M255" s="10">
        <f>S228-S204</f>
        <v>1.6666666666666665</v>
      </c>
    </row>
    <row r="256">
      <c r="A256" s="5" t="inlineStr">
        <is>
          <t>P003</t>
        </is>
      </c>
      <c r="B256" s="10">
        <f>C178-C154</f>
        <v>1.666666666666667</v>
      </c>
      <c r="C256" s="10">
        <f>D178-D154</f>
        <v>2</v>
      </c>
      <c r="D256" s="10">
        <f>E178-E154</f>
        <v>0.33333333333333304</v>
      </c>
      <c r="E256" s="10">
        <f>F178-F154</f>
        <v>1</v>
      </c>
      <c r="F256" s="10">
        <f>G178-G154</f>
        <v>0.6666666666666665</v>
      </c>
      <c r="G256" s="10">
        <f>H178-H154</f>
        <v>1.333333333333334</v>
      </c>
      <c r="H256" s="10">
        <f>I178-I154</f>
        <v>2.3333333333333335</v>
      </c>
      <c r="I256" s="10">
        <f>P178-P154</f>
        <v>0.5555555555555562</v>
      </c>
      <c r="J256" s="10">
        <f>Q178-Q154</f>
        <v>0.3333333333333339</v>
      </c>
      <c r="K256" s="10">
        <f>Q229-Q205</f>
        <v>1</v>
      </c>
      <c r="L256" s="10">
        <f>R229-R205</f>
        <v>1</v>
      </c>
      <c r="M256" s="10">
        <f>S229-S205</f>
        <v>1.333333333333333</v>
      </c>
    </row>
    <row r="257">
      <c r="A257" s="5" t="inlineStr">
        <is>
          <t>P004</t>
        </is>
      </c>
      <c r="B257" s="10">
        <f>C179-C155</f>
        <v>1</v>
      </c>
      <c r="C257" s="10">
        <f>D179-D155</f>
        <v>0.3333333333333339</v>
      </c>
      <c r="D257" s="10">
        <f>E179-E155</f>
        <v>0.33333333333333304</v>
      </c>
      <c r="E257" s="10">
        <f>F179-F155</f>
        <v>-0.33333333333333304</v>
      </c>
      <c r="F257" s="10">
        <f>G179-G155</f>
        <v>1.666666666666667</v>
      </c>
      <c r="G257" s="10">
        <f>H179-H155</f>
        <v>2.6666666666666665</v>
      </c>
      <c r="H257" s="10">
        <f>I179-I155</f>
        <v>0.33333333333333304</v>
      </c>
      <c r="I257" s="10">
        <f>P179-P155</f>
        <v>0.22222222222222143</v>
      </c>
      <c r="J257" s="10">
        <f>Q179-Q155</f>
        <v>0.3333333333333348</v>
      </c>
      <c r="K257" s="10">
        <f>Q230-Q206</f>
        <v>0.666666666666667</v>
      </c>
      <c r="L257" s="10">
        <f>R230-R206</f>
        <v>1</v>
      </c>
      <c r="M257" s="10">
        <f>S230-S206</f>
        <v>1.666666666666667</v>
      </c>
    </row>
    <row r="258">
      <c r="A258" s="5" t="inlineStr">
        <is>
          <t>P005</t>
        </is>
      </c>
      <c r="B258" s="10">
        <f>C180-C156</f>
        <v>2.9999999999999996</v>
      </c>
      <c r="C258" s="10">
        <f>D180-D156</f>
        <v>0.666666666666667</v>
      </c>
      <c r="D258" s="10">
        <f>E180-E156</f>
        <v>-0.33333333333333304</v>
      </c>
      <c r="E258" s="10">
        <f>F180-F156</f>
        <v>1</v>
      </c>
      <c r="F258" s="10">
        <f>G180-G156</f>
        <v>0.666666666666667</v>
      </c>
      <c r="G258" s="10">
        <f>H180-H156</f>
        <v>0.666666666666667</v>
      </c>
      <c r="H258" s="10">
        <f>I180-I156</f>
        <v>0.3333333333333339</v>
      </c>
      <c r="I258" s="10">
        <f>P180-P156</f>
        <v>0.33333333333333304</v>
      </c>
      <c r="J258" s="10">
        <f>Q180-Q156</f>
        <v>0.22222222222222232</v>
      </c>
      <c r="K258" s="10">
        <f>Q231-Q207</f>
        <v>1</v>
      </c>
      <c r="L258" s="10">
        <f>R231-R207</f>
        <v>0.75</v>
      </c>
      <c r="M258" s="10">
        <f>S231-S207</f>
        <v>1.3333333333333335</v>
      </c>
    </row>
    <row r="259">
      <c r="A259" s="5" t="inlineStr">
        <is>
          <t>P006</t>
        </is>
      </c>
      <c r="B259" s="10">
        <f>C181-C157</f>
        <v>0.6666666666666665</v>
      </c>
      <c r="C259" s="10">
        <f>D181-D157</f>
        <v>0.666666666666667</v>
      </c>
      <c r="D259" s="10">
        <f>E181-E157</f>
        <v>-0.33333333333333304</v>
      </c>
      <c r="E259" s="10">
        <f>F181-F157</f>
        <v>1.0000000000000004</v>
      </c>
      <c r="F259" s="10">
        <f>G181-G157</f>
        <v>0.6666666666666665</v>
      </c>
      <c r="G259" s="10">
        <f>H181-H157</f>
        <v>1</v>
      </c>
      <c r="H259" s="10">
        <f>I181-I157</f>
        <v>1.333333333333333</v>
      </c>
      <c r="I259" s="10">
        <f>P181-P157</f>
        <v>0.33333333333333304</v>
      </c>
      <c r="J259" s="10">
        <f>Q181-Q157</f>
        <v>0</v>
      </c>
      <c r="K259" s="10">
        <f>Q232-Q208</f>
        <v>0.8333333333333335</v>
      </c>
      <c r="L259" s="10">
        <f>R232-R208</f>
        <v>0.25</v>
      </c>
      <c r="M259" s="10">
        <f>S232-S208</f>
        <v>0.6666666666666665</v>
      </c>
    </row>
    <row r="260">
      <c r="A260" s="5" t="inlineStr">
        <is>
          <t>P007</t>
        </is>
      </c>
      <c r="B260" s="10">
        <f>C182-C158</f>
        <v>1.6666666666666665</v>
      </c>
      <c r="C260" s="10">
        <f>D182-D158</f>
        <v>1</v>
      </c>
      <c r="D260" s="10">
        <f>E182-E158</f>
        <v>0.3333333333333339</v>
      </c>
      <c r="E260" s="10">
        <f>F182-F158</f>
        <v>0.3333333333333339</v>
      </c>
      <c r="F260" s="10">
        <f>G182-G158</f>
        <v>0.666666666666667</v>
      </c>
      <c r="G260" s="10">
        <f>H182-H158</f>
        <v>0.6666666666666661</v>
      </c>
      <c r="H260" s="10">
        <f>I182-I158</f>
        <v>0.33333333333333304</v>
      </c>
      <c r="I260" s="10">
        <f>P182-P158</f>
        <v>1.4444444444444438</v>
      </c>
      <c r="J260" s="10">
        <f>Q182-Q158</f>
        <v>0.666666666666667</v>
      </c>
      <c r="K260" s="10">
        <f>Q233-Q209</f>
        <v>0.16666666666666652</v>
      </c>
      <c r="L260" s="10">
        <f>R233-R209</f>
        <v>-0.25</v>
      </c>
      <c r="M260" s="10">
        <f>S233-S209</f>
        <v>0.6666666666666661</v>
      </c>
    </row>
    <row r="261">
      <c r="A261" s="5" t="inlineStr">
        <is>
          <t>P008</t>
        </is>
      </c>
      <c r="B261" s="10">
        <f>C183-C159</f>
        <v>1</v>
      </c>
      <c r="C261" s="10">
        <f>D183-D159</f>
        <v>0</v>
      </c>
      <c r="D261" s="10">
        <f>E183-E159</f>
        <v>-0.6666666666666661</v>
      </c>
      <c r="E261" s="10">
        <f>F183-F159</f>
        <v>-0.3333333333333339</v>
      </c>
      <c r="F261" s="10">
        <f>G183-G159</f>
        <v>-1.0000000000000004</v>
      </c>
      <c r="G261" s="10">
        <f>H183-H159</f>
        <v>1.6666666666666665</v>
      </c>
      <c r="H261" s="10">
        <f>I183-I159</f>
        <v>0.666666666666667</v>
      </c>
      <c r="I261" s="10">
        <f>P183-P159</f>
        <v>-0.11111111111111072</v>
      </c>
      <c r="J261" s="10">
        <f>Q183-Q159</f>
        <v>-0.666666666666667</v>
      </c>
      <c r="K261" s="10">
        <f>Q234-Q210</f>
        <v>0.6666666666666665</v>
      </c>
      <c r="L261" s="10">
        <f>R234-R210</f>
        <v>0.75</v>
      </c>
      <c r="M261" s="10">
        <f>S234-S210</f>
        <v>1</v>
      </c>
    </row>
    <row r="262">
      <c r="A262" s="5" t="inlineStr">
        <is>
          <t>P009</t>
        </is>
      </c>
      <c r="B262" s="10">
        <f>C184-C160</f>
        <v>1.666666666666667</v>
      </c>
      <c r="C262" s="10">
        <f>D184-D160</f>
        <v>1.333333333333333</v>
      </c>
      <c r="D262" s="10">
        <f>E184-E160</f>
        <v>-0.33333333333333304</v>
      </c>
      <c r="E262" s="10">
        <f>F184-F160</f>
        <v>0.33333333333333304</v>
      </c>
      <c r="F262" s="10">
        <f>G184-G160</f>
        <v>1.333333333333333</v>
      </c>
      <c r="G262" s="10">
        <f>H184-H160</f>
        <v>1.333333333333333</v>
      </c>
      <c r="H262" s="10">
        <f>I184-I160</f>
        <v>-0.3333333333333339</v>
      </c>
      <c r="I262" s="10">
        <f>P184-P160</f>
        <v>0.3333333333333339</v>
      </c>
      <c r="J262" s="10">
        <f>Q184-Q160</f>
        <v>0.11111111111111249</v>
      </c>
      <c r="K262" s="10">
        <f>Q235-Q211</f>
        <v>0.3333333333333335</v>
      </c>
      <c r="L262" s="10">
        <f>R235-R211</f>
        <v>0.25</v>
      </c>
      <c r="M262" s="10">
        <f>S235-S211</f>
        <v>-0.33333333333333304</v>
      </c>
    </row>
    <row r="263">
      <c r="A263" s="5" t="inlineStr">
        <is>
          <t>P010</t>
        </is>
      </c>
      <c r="B263" s="10">
        <f>C185-C161</f>
        <v>1.666666666666667</v>
      </c>
      <c r="C263" s="10">
        <f>D185-D161</f>
        <v>1.333333333333334</v>
      </c>
      <c r="D263" s="10">
        <f>E185-E161</f>
        <v>0</v>
      </c>
      <c r="E263" s="10">
        <f>F185-F161</f>
        <v>1</v>
      </c>
      <c r="F263" s="10">
        <f>G185-G161</f>
        <v>0.666666666666667</v>
      </c>
      <c r="G263" s="10">
        <f>H185-H161</f>
        <v>1</v>
      </c>
      <c r="H263" s="10">
        <f>I185-I161</f>
        <v>1</v>
      </c>
      <c r="I263" s="10">
        <f>P185-P161</f>
        <v>0.11111111111111072</v>
      </c>
      <c r="J263" s="10">
        <f>Q185-Q161</f>
        <v>0.3333333333333339</v>
      </c>
      <c r="K263" s="10">
        <f>Q236-Q212</f>
        <v>0.6666666666666665</v>
      </c>
      <c r="L263" s="10">
        <f>R236-R212</f>
        <v>0.5</v>
      </c>
      <c r="M263" s="10">
        <f>S236-S212</f>
        <v>0</v>
      </c>
    </row>
    <row r="264">
      <c r="A264" s="5" t="inlineStr">
        <is>
          <t>P011</t>
        </is>
      </c>
      <c r="B264" s="10">
        <f>C186-C162</f>
        <v>1</v>
      </c>
      <c r="C264" s="10">
        <f>D186-D162</f>
        <v>0</v>
      </c>
      <c r="D264" s="10">
        <f>E186-E162</f>
        <v>-0.33333333333333304</v>
      </c>
      <c r="E264" s="10">
        <f>F186-F162</f>
        <v>0.6666666666666661</v>
      </c>
      <c r="F264" s="10">
        <f>G186-G162</f>
        <v>-0.6666666666666661</v>
      </c>
      <c r="G264" s="10">
        <f>H186-H162</f>
        <v>0.33333333333333304</v>
      </c>
      <c r="H264" s="10">
        <f>I186-I162</f>
        <v>0</v>
      </c>
      <c r="I264" s="10">
        <f>P186-P162</f>
        <v>-0.6666666666666661</v>
      </c>
      <c r="J264" s="10">
        <f>Q186-Q162</f>
        <v>0.11111111111111249</v>
      </c>
      <c r="K264" s="10">
        <f>Q237-Q213</f>
        <v>0</v>
      </c>
      <c r="L264" s="10">
        <f>R237-R213</f>
        <v>0</v>
      </c>
      <c r="M264" s="10">
        <f>S237-S213</f>
        <v>0</v>
      </c>
    </row>
    <row r="265">
      <c r="A265" s="5" t="inlineStr">
        <is>
          <t>P012</t>
        </is>
      </c>
      <c r="B265" s="10">
        <f>C187-C163</f>
        <v>3.3333333333333335</v>
      </c>
      <c r="C265" s="10">
        <f>D187-D163</f>
        <v>1</v>
      </c>
      <c r="D265" s="10">
        <f>E187-E163</f>
        <v>-1</v>
      </c>
      <c r="E265" s="10">
        <f>F187-F163</f>
        <v>0.666666666666667</v>
      </c>
      <c r="F265" s="10">
        <f>G187-G163</f>
        <v>0.666666666666667</v>
      </c>
      <c r="G265" s="10">
        <f>H187-H163</f>
        <v>0.9999999999999996</v>
      </c>
      <c r="H265" s="10">
        <f>I187-I163</f>
        <v>0</v>
      </c>
      <c r="I265" s="10">
        <f>P187-P163</f>
        <v>0.6666666666666661</v>
      </c>
      <c r="J265" s="10">
        <f>Q187-Q163</f>
        <v>-0.1111111111111116</v>
      </c>
      <c r="K265" s="10">
        <f>Q238-Q214</f>
        <v>0.5</v>
      </c>
      <c r="L265" s="10">
        <f>R238-R214</f>
        <v>0.75</v>
      </c>
      <c r="M265" s="10">
        <f>S238-S214</f>
        <v>1.666666666666667</v>
      </c>
    </row>
    <row r="266">
      <c r="A266" s="5" t="inlineStr">
        <is>
          <t>P013</t>
        </is>
      </c>
      <c r="B266" s="10">
        <f>C188-C164</f>
        <v>0.666666666666667</v>
      </c>
      <c r="C266" s="10">
        <f>D188-D164</f>
        <v>0.33333333333333304</v>
      </c>
      <c r="D266" s="10">
        <f>E188-E164</f>
        <v>0</v>
      </c>
      <c r="E266" s="10">
        <f>F188-F164</f>
        <v>0</v>
      </c>
      <c r="F266" s="10">
        <f>G188-G164</f>
        <v>0.666666666666667</v>
      </c>
      <c r="G266" s="10">
        <f>H188-H164</f>
        <v>1.333333333333334</v>
      </c>
      <c r="H266" s="10">
        <f>I188-I164</f>
        <v>0.33333333333333304</v>
      </c>
      <c r="I266" s="10">
        <f>P188-P164</f>
        <v>-0.2222222222222232</v>
      </c>
      <c r="J266" s="10">
        <f>Q188-Q164</f>
        <v>-0.44444444444444553</v>
      </c>
      <c r="K266" s="10">
        <f>Q239-Q215</f>
        <v>0.16666666666666696</v>
      </c>
      <c r="L266" s="10">
        <f>R239-R215</f>
        <v>0</v>
      </c>
      <c r="M266" s="10">
        <f>S239-S215</f>
        <v>0.6666666666666661</v>
      </c>
    </row>
    <row r="267">
      <c r="A267" s="5" t="inlineStr">
        <is>
          <t>P014</t>
        </is>
      </c>
      <c r="B267" s="10">
        <f>C189-C165</f>
        <v>1.6666666666666665</v>
      </c>
      <c r="C267" s="10">
        <f>D189-D165</f>
        <v>1.333333333333333</v>
      </c>
      <c r="D267" s="10">
        <f>E189-E165</f>
        <v>0.6666666666666661</v>
      </c>
      <c r="E267" s="10">
        <f>F189-F165</f>
        <v>0.33333333333333304</v>
      </c>
      <c r="F267" s="10">
        <f>G189-G165</f>
        <v>1.666666666666667</v>
      </c>
      <c r="G267" s="10">
        <f>H189-H165</f>
        <v>2</v>
      </c>
      <c r="H267" s="10">
        <f>I189-I165</f>
        <v>1.666666666666667</v>
      </c>
      <c r="I267" s="10">
        <f>P189-P165</f>
        <v>0.44444444444444375</v>
      </c>
      <c r="J267" s="10">
        <f>Q189-Q165</f>
        <v>0.7777777777777768</v>
      </c>
      <c r="K267" s="10">
        <f>Q240-Q216</f>
        <v>1.3333333333333335</v>
      </c>
      <c r="L267" s="10">
        <f>R240-R216</f>
        <v>1</v>
      </c>
      <c r="M267" s="10">
        <f>S240-S216</f>
        <v>2.3333333333333335</v>
      </c>
    </row>
    <row r="268">
      <c r="A268" s="5" t="inlineStr">
        <is>
          <t>P015</t>
        </is>
      </c>
      <c r="B268" s="10">
        <f>C190-C166</f>
        <v>2</v>
      </c>
      <c r="C268" s="10">
        <f>D190-D166</f>
        <v>0.33333333333333304</v>
      </c>
      <c r="D268" s="10">
        <f>E190-E166</f>
        <v>-1.333333333333333</v>
      </c>
      <c r="E268" s="10">
        <f>F190-F166</f>
        <v>-0.6666666666666665</v>
      </c>
      <c r="F268" s="10">
        <f>G190-G166</f>
        <v>0.3333333333333339</v>
      </c>
      <c r="G268" s="10">
        <f>H190-H166</f>
        <v>1.0000000000000004</v>
      </c>
      <c r="H268" s="10">
        <f>I190-I166</f>
        <v>-0.666666666666667</v>
      </c>
      <c r="I268" s="10">
        <f>P190-P166</f>
        <v>-1.1111111111111107</v>
      </c>
      <c r="J268" s="10">
        <f>Q190-Q166</f>
        <v>0.44444444444444375</v>
      </c>
      <c r="K268" s="10">
        <f>Q241-Q217</f>
        <v>-0.5</v>
      </c>
      <c r="L268" s="10">
        <f>R241-R217</f>
        <v>0</v>
      </c>
      <c r="M268" s="10">
        <f>S241-S217</f>
        <v>-1.0000000000000004</v>
      </c>
    </row>
    <row r="269">
      <c r="A269" s="5" t="inlineStr">
        <is>
          <t>P016</t>
        </is>
      </c>
      <c r="B269" s="10">
        <f>C191-C167</f>
        <v>0.6666666666666661</v>
      </c>
      <c r="C269" s="10">
        <f>D191-D167</f>
        <v>0.6666666666666661</v>
      </c>
      <c r="D269" s="10">
        <f>E191-E167</f>
        <v>0.33333333333333304</v>
      </c>
      <c r="E269" s="10">
        <f>F191-F167</f>
        <v>0.33333333333333304</v>
      </c>
      <c r="F269" s="10">
        <f>G191-G167</f>
        <v>1</v>
      </c>
      <c r="G269" s="10">
        <f>H191-H167</f>
        <v>0.666666666666667</v>
      </c>
      <c r="H269" s="10">
        <f>I191-I167</f>
        <v>0.33333333333333304</v>
      </c>
      <c r="I269" s="10">
        <f>P191-P167</f>
        <v>0.44444444444444464</v>
      </c>
      <c r="J269" s="10">
        <f>Q191-Q167</f>
        <v>0.3333333333333339</v>
      </c>
      <c r="K269" s="10">
        <f>Q242-Q218</f>
        <v>0.16666666666666696</v>
      </c>
      <c r="L269" s="10">
        <f>R242-R218</f>
        <v>0</v>
      </c>
      <c r="M269" s="10">
        <f>S242-S218</f>
        <v>0.6666666666666661</v>
      </c>
    </row>
    <row r="270">
      <c r="A270" s="5" t="inlineStr">
        <is>
          <t>P017</t>
        </is>
      </c>
      <c r="B270" s="10">
        <f>C192-C168</f>
        <v>0</v>
      </c>
      <c r="C270" s="10">
        <f>D192-D168</f>
        <v>-0.33333333333333304</v>
      </c>
      <c r="D270" s="10">
        <f>E192-E168</f>
        <v>-0.3333333333333339</v>
      </c>
      <c r="E270" s="10">
        <f>F192-F168</f>
        <v>-0.666666666666667</v>
      </c>
      <c r="F270" s="10">
        <f>G192-G168</f>
        <v>1.3333333333333335</v>
      </c>
      <c r="G270" s="10">
        <f>H192-H168</f>
        <v>1.333333333333334</v>
      </c>
      <c r="H270" s="10">
        <f>I192-I168</f>
        <v>-0.6666666666666665</v>
      </c>
      <c r="I270" s="10">
        <f>P192-P168</f>
        <v>0</v>
      </c>
      <c r="J270" s="10">
        <f>Q192-Q168</f>
        <v>0</v>
      </c>
      <c r="K270" s="10">
        <f>Q243-Q219</f>
        <v>0.3333333333333335</v>
      </c>
      <c r="L270" s="10">
        <f>R243-R219</f>
        <v>0.5</v>
      </c>
      <c r="M270" s="10">
        <f>S243-S219</f>
        <v>-0.33333333333333304</v>
      </c>
    </row>
    <row r="271">
      <c r="A271" s="5" t="inlineStr">
        <is>
          <t>P018</t>
        </is>
      </c>
      <c r="B271" s="10">
        <f>C193-C169</f>
        <v>3.6666666666666665</v>
      </c>
      <c r="C271" s="10">
        <f>D193-D169</f>
        <v>1.0000000000000004</v>
      </c>
      <c r="D271" s="10">
        <f>E193-E169</f>
        <v>0</v>
      </c>
      <c r="E271" s="10">
        <f>F193-F169</f>
        <v>0.666666666666667</v>
      </c>
      <c r="F271" s="10">
        <f>G193-G169</f>
        <v>2</v>
      </c>
      <c r="G271" s="10">
        <f>H193-H169</f>
        <v>1.333333333333334</v>
      </c>
      <c r="H271" s="10">
        <f>I193-I169</f>
        <v>1.333333333333333</v>
      </c>
      <c r="I271" s="10">
        <f>P193-P169</f>
        <v>0.44444444444444553</v>
      </c>
      <c r="J271" s="10">
        <f>Q193-Q169</f>
        <v>0.22222222222222143</v>
      </c>
      <c r="K271" s="10">
        <f>Q244-Q220</f>
        <v>0.3333333333333335</v>
      </c>
      <c r="L271" s="10">
        <f>R244-R220</f>
        <v>0.5</v>
      </c>
      <c r="M271" s="10">
        <f>S244-S220</f>
        <v>1.3333333333333335</v>
      </c>
    </row>
    <row r="272">
      <c r="A272" s="5" t="inlineStr">
        <is>
          <t>P019</t>
        </is>
      </c>
      <c r="B272" s="10">
        <f>C194-C170</f>
        <v>2.3333333333333335</v>
      </c>
      <c r="C272" s="10">
        <f>D194-D170</f>
        <v>0</v>
      </c>
      <c r="D272" s="10">
        <f>E194-E170</f>
        <v>-0.3333333333333339</v>
      </c>
      <c r="E272" s="10">
        <f>F194-F170</f>
        <v>-0.9999999999999996</v>
      </c>
      <c r="F272" s="10">
        <f>G194-G170</f>
        <v>0.666666666666667</v>
      </c>
      <c r="G272" s="10">
        <f>H194-H170</f>
        <v>0.666666666666667</v>
      </c>
      <c r="H272" s="10">
        <f>I194-I170</f>
        <v>0.3333333333333339</v>
      </c>
      <c r="I272" s="10">
        <f>P194-P170</f>
        <v>-0.22222222222222143</v>
      </c>
      <c r="J272" s="10">
        <f>Q194-Q170</f>
        <v>0.22222222222222143</v>
      </c>
      <c r="K272" s="10">
        <f>Q245-Q221</f>
        <v>0</v>
      </c>
      <c r="L272" s="10">
        <f>R245-R221</f>
        <v>-0.25</v>
      </c>
      <c r="M272" s="10">
        <f>S245-S221</f>
        <v>-0.3333333333333339</v>
      </c>
    </row>
    <row r="273">
      <c r="A273" s="5" t="inlineStr">
        <is>
          <t>P020</t>
        </is>
      </c>
      <c r="B273" s="10">
        <f>C195-C171</f>
        <v>1.333333333333333</v>
      </c>
      <c r="C273" s="10">
        <f>D195-D171</f>
        <v>3</v>
      </c>
      <c r="D273" s="10">
        <f>E195-E171</f>
        <v>0</v>
      </c>
      <c r="E273" s="10">
        <f>F195-F171</f>
        <v>-0.3333333333333339</v>
      </c>
      <c r="F273" s="10">
        <f>G195-G171</f>
        <v>2.0000000000000004</v>
      </c>
      <c r="G273" s="10">
        <f>H195-H171</f>
        <v>1</v>
      </c>
      <c r="H273" s="10">
        <f>I195-I171</f>
        <v>1.6666666666666665</v>
      </c>
      <c r="I273" s="10">
        <f>P195-P171</f>
        <v>0.3333333333333348</v>
      </c>
      <c r="J273" s="10">
        <f>Q195-Q171</f>
        <v>1.0000000000000009</v>
      </c>
      <c r="K273" s="10">
        <f>Q246-Q222</f>
        <v>1.166666666666667</v>
      </c>
      <c r="L273" s="10">
        <f>R246-R222</f>
        <v>1.25</v>
      </c>
      <c r="M273" s="10">
        <f>S246-S222</f>
        <v>1.333333333333334</v>
      </c>
    </row>
    <row r="274">
      <c r="A274" s="5" t="inlineStr">
        <is>
          <t>P021</t>
        </is>
      </c>
      <c r="B274" s="10">
        <f>C196-C172</f>
        <v>0.666666666666667</v>
      </c>
      <c r="C274" s="10">
        <f>D196-D172</f>
        <v>0.33333333333333304</v>
      </c>
      <c r="D274" s="10">
        <f>E196-E172</f>
        <v>0</v>
      </c>
      <c r="E274" s="10">
        <f>F196-F172</f>
        <v>0.33333333333333304</v>
      </c>
      <c r="F274" s="10">
        <f>G196-G172</f>
        <v>0.33333333333333304</v>
      </c>
      <c r="G274" s="10">
        <f>H196-H172</f>
        <v>0</v>
      </c>
      <c r="H274" s="10">
        <f>I196-I172</f>
        <v>0.33333333333333304</v>
      </c>
      <c r="I274" s="10">
        <f>P196-P172</f>
        <v>-0.33333333333333304</v>
      </c>
      <c r="J274" s="10">
        <f>Q196-Q172</f>
        <v>-0.11111111111111072</v>
      </c>
      <c r="K274" s="10">
        <f>Q247-Q223</f>
        <v>0</v>
      </c>
      <c r="L274" s="10">
        <f>R247-R223</f>
        <v>0</v>
      </c>
      <c r="M274" s="10">
        <f>S247-S223</f>
        <v>0</v>
      </c>
    </row>
    <row r="275">
      <c r="A275" s="5" t="inlineStr">
        <is>
          <t>P022</t>
        </is>
      </c>
      <c r="B275" s="10">
        <f>C197-C173</f>
        <v>1</v>
      </c>
      <c r="C275" s="10">
        <f>D197-D173</f>
        <v>0.666666666666667</v>
      </c>
      <c r="D275" s="10">
        <f>E197-E173</f>
        <v>-0.3333333333333339</v>
      </c>
      <c r="E275" s="10">
        <f>F197-F173</f>
        <v>0.3333333333333339</v>
      </c>
      <c r="F275" s="10">
        <f>G197-G173</f>
        <v>1.666666666666666</v>
      </c>
      <c r="G275" s="10">
        <f>H197-H173</f>
        <v>0.33333333333333304</v>
      </c>
      <c r="H275" s="10">
        <f>I197-I173</f>
        <v>0.3333333333333339</v>
      </c>
      <c r="I275" s="10">
        <f>P197-P173</f>
        <v>-0.5555555555555545</v>
      </c>
      <c r="J275" s="10">
        <f>Q197-Q173</f>
        <v>0.22222222222222143</v>
      </c>
      <c r="K275" s="10">
        <f>Q248-Q224</f>
        <v>0.6666666666666665</v>
      </c>
      <c r="L275" s="10">
        <f>R248-R224</f>
        <v>0.25</v>
      </c>
      <c r="M275" s="10">
        <f>S248-S224</f>
        <v>0.33333333333333304</v>
      </c>
    </row>
    <row r="276">
      <c r="A276" s="5" t="inlineStr">
        <is>
          <t>P023</t>
        </is>
      </c>
      <c r="B276" s="10">
        <f>C198-C174</f>
        <v>0.666666666666667</v>
      </c>
      <c r="C276" s="10">
        <f>D198-D174</f>
        <v>-0.3333333333333339</v>
      </c>
      <c r="D276" s="10">
        <f>E198-E174</f>
        <v>-0.33333333333333304</v>
      </c>
      <c r="E276" s="10">
        <f>F198-F174</f>
        <v>0</v>
      </c>
      <c r="F276" s="10">
        <f>G198-G174</f>
        <v>0.33333333333333304</v>
      </c>
      <c r="G276" s="10">
        <f>H198-H174</f>
        <v>0.33333333333333304</v>
      </c>
      <c r="H276" s="10">
        <f>I198-I174</f>
        <v>0</v>
      </c>
      <c r="I276" s="10">
        <f>P198-P174</f>
        <v>-0.5555555555555545</v>
      </c>
      <c r="J276" s="10">
        <f>Q198-Q174</f>
        <v>-0.44444444444444375</v>
      </c>
      <c r="K276" s="10">
        <f>Q249-Q225</f>
        <v>0.16666666666666652</v>
      </c>
      <c r="L276" s="10">
        <f>R249-R225</f>
        <v>0</v>
      </c>
      <c r="M276" s="10">
        <f>S249-S225</f>
        <v>0.666666666666667</v>
      </c>
    </row>
    <row r="277">
      <c r="A277" s="5" t="inlineStr">
        <is>
          <t>P024</t>
        </is>
      </c>
      <c r="B277" s="10">
        <f>C199-C175</f>
        <v>1.333333333333333</v>
      </c>
      <c r="C277" s="10">
        <f>D199-D175</f>
        <v>0.666666666666667</v>
      </c>
      <c r="D277" s="10">
        <f>E199-E175</f>
        <v>-0.6666666666666665</v>
      </c>
      <c r="E277" s="10">
        <f>F199-F175</f>
        <v>0.666666666666667</v>
      </c>
      <c r="F277" s="10">
        <f>G199-G175</f>
        <v>0</v>
      </c>
      <c r="G277" s="10">
        <f>H199-H175</f>
        <v>0.666666666666667</v>
      </c>
      <c r="H277" s="10">
        <f>I199-I175</f>
        <v>0.33333333333333304</v>
      </c>
      <c r="I277" s="10">
        <f>P199-P175</f>
        <v>0.22222222222222232</v>
      </c>
      <c r="J277" s="10">
        <f>Q199-Q175</f>
        <v>0.5555555555555554</v>
      </c>
      <c r="K277" s="10">
        <f>Q250-Q226</f>
        <v>0.5</v>
      </c>
      <c r="L277" s="10">
        <f>R250-R226</f>
        <v>1.25</v>
      </c>
      <c r="M277" s="10">
        <f>S250-S226</f>
        <v>1</v>
      </c>
    </row>
  </sheetData>
  <mergeCells count="5">
    <mergeCell ref="A252:V252"/>
    <mergeCell ref="A1:V1"/>
    <mergeCell ref="A150:V150"/>
    <mergeCell ref="A3:V3"/>
    <mergeCell ref="A201:V2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15" customWidth="1" min="5" max="5"/>
    <col width="12" customWidth="1" min="6" max="6"/>
    <col width="12" customWidth="1" min="7" max="7"/>
    <col width="12" customWidth="1" min="8" max="8"/>
    <col width="14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</cols>
  <sheetData>
    <row r="1" ht="30" customHeight="1">
      <c r="A1" s="1" t="inlineStr">
        <is>
          <t>分析结果（合成数据）：Mdn/IQR、配对差、dz、逐物体均值与计数为公式实时计算；Wilcoxon W/p、Holm p、r_rb 自举 CI、α/ω、TOST p 由分析代码写入</t>
        </is>
      </c>
    </row>
    <row r="3" ht="20" customHeight="1">
      <c r="A3" s="3" t="inlineStr">
        <is>
          <t>A. 主证实家族（三物体均值 → 配对 Wilcoxon → 家族内 Holm；N=24 最严 MDE dz=0.801）</t>
        </is>
      </c>
    </row>
    <row r="4" ht="30" customHeight="1">
      <c r="A4" s="4" t="inlineStr">
        <is>
          <t>条目</t>
        </is>
      </c>
      <c r="B4" s="4" t="inlineStr">
        <is>
          <t>简称</t>
        </is>
      </c>
      <c r="C4" s="4" t="inlineStr">
        <is>
          <t>One-Euro Mdn[IQR]</t>
        </is>
      </c>
      <c r="D4" s="4" t="inlineStr">
        <is>
          <t>EgoAnchor Mdn[IQR]</t>
        </is>
      </c>
      <c r="E4" s="4" t="inlineStr">
        <is>
          <t>配对差中位</t>
        </is>
      </c>
      <c r="F4" s="4" t="inlineStr">
        <is>
          <t>配对差均值</t>
        </is>
      </c>
      <c r="G4" s="4" t="inlineStr">
        <is>
          <t>配对差SD</t>
        </is>
      </c>
      <c r="H4" s="4" t="inlineStr">
        <is>
          <t>dz</t>
        </is>
      </c>
      <c r="I4" s="4" t="inlineStr">
        <is>
          <t>W</t>
        </is>
      </c>
      <c r="J4" s="4" t="inlineStr">
        <is>
          <t>p_raw</t>
        </is>
      </c>
      <c r="K4" s="4" t="inlineStr">
        <is>
          <t>p_Holm</t>
        </is>
      </c>
      <c r="L4" s="4" t="inlineStr">
        <is>
          <t>匹配秩双列r</t>
        </is>
      </c>
      <c r="M4" s="4" t="inlineStr">
        <is>
          <t>r 95%CI下</t>
        </is>
      </c>
      <c r="N4" s="4" t="inlineStr">
        <is>
          <t>r 95%CI上</t>
        </is>
      </c>
      <c r="O4" s="4" t="inlineStr">
        <is>
          <t>正/负/结平</t>
        </is>
      </c>
      <c r="P4" s="4" t="inlineStr">
        <is>
          <t>检验方式</t>
        </is>
      </c>
      <c r="Q4" s="4" t="inlineStr">
        <is>
          <t>显著(Holm)</t>
        </is>
      </c>
      <c r="R4" s="4" t="inlineStr"/>
      <c r="S4" s="4" t="inlineStr">
        <is>
          <t>结论</t>
        </is>
      </c>
    </row>
    <row r="5">
      <c r="A5" s="5" t="inlineStr">
        <is>
          <t>Q1</t>
        </is>
      </c>
      <c r="B5" s="6" t="inlineStr">
        <is>
          <t>静止稳定</t>
        </is>
      </c>
      <c r="C5" s="10" t="str">
        <f>ROUND(MEDIAN(Derived!C152:C175),2)&amp;" ["&amp;ROUND(QUARTILE.INC(Derived!C152:C175,1),2)&amp;", "&amp;ROUND(QUARTILE.INC(Derived!C152:C175,3),2)&amp;"]"</f>
        <v>4.33 [3.67, 4.67]</v>
      </c>
      <c r="D5" s="10" t="str">
        <f>ROUND(MEDIAN(Derived!C176:C199),2)&amp;" ["&amp;ROUND(QUARTILE.INC(Derived!C176:C199,1),2)&amp;", "&amp;ROUND(QUARTILE.INC(Derived!C176:C199,3),2)&amp;"]"</f>
        <v>5.67 [5.33, 6]</v>
      </c>
      <c r="E5" s="10">
        <f>ROUND(MEDIAN(Derived!B254:B277),3)</f>
        <v>1.333</v>
      </c>
      <c r="F5" s="10">
        <f>ROUND(AVERAGE(Derived!B254:B277),3)</f>
        <v>1.458</v>
      </c>
      <c r="G5" s="10">
        <f>ROUND(STDEV.S(Derived!B254:B277),3)</f>
        <v>0.894</v>
      </c>
      <c r="H5" s="10">
        <f>ROUND(AVERAGE(Derived!B254:B277)/STDEV.S(Derived!B254:B277),3)</f>
        <v>1.63</v>
      </c>
      <c r="I5" s="6" t="n">
        <v>0</v>
      </c>
      <c r="J5" s="6" t="n">
        <v>0</v>
      </c>
      <c r="K5" s="6" t="n">
        <v>0</v>
      </c>
      <c r="L5" s="6" t="n">
        <v>1</v>
      </c>
      <c r="M5" s="6" t="n">
        <v>1</v>
      </c>
      <c r="N5" s="6" t="n">
        <v>1</v>
      </c>
      <c r="O5" s="10" t="str">
        <f>COUNTIF(Derived!B254:B277,"&gt;0")&amp;"/"&amp;COUNTIF(Derived!B254:B277,"&lt;0")&amp;"/"&amp;COUNTIF(Derived!B254:B277,"=0")</f>
        <v>23/0/1</v>
      </c>
      <c r="P5" s="6" t="inlineStr">
        <is>
          <t>exact</t>
        </is>
      </c>
      <c r="Q5" s="10" t="str">
        <f>IF(K5&lt;0.05,"是","否")</f>
        <v>是</v>
      </c>
      <c r="S5" s="6" t="inlineStr">
        <is>
          <t>Holm 后显著，完整系统更优（dz=+1.63）。与实验一头动泄漏 13.0× 与静止帧间增量 13.3× 的量级一致。</t>
        </is>
      </c>
    </row>
    <row r="6">
      <c r="A6" s="5" t="inlineStr">
        <is>
          <t>Q8</t>
        </is>
      </c>
      <c r="B6" s="6" t="inlineStr">
        <is>
          <t>位置正确</t>
        </is>
      </c>
      <c r="C6" s="10" t="str">
        <f>ROUND(MEDIAN(Derived!D152:D175),2)&amp;" ["&amp;ROUND(QUARTILE.INC(Derived!D152:D175,1),2)&amp;", "&amp;ROUND(QUARTILE.INC(Derived!D152:D175,3),2)&amp;"]"</f>
        <v>4.33 [4.33, 5]</v>
      </c>
      <c r="D6" s="10" t="str">
        <f>ROUND(MEDIAN(Derived!D176:D199),2)&amp;" ["&amp;ROUND(QUARTILE.INC(Derived!D176:D199,1),2)&amp;", "&amp;ROUND(QUARTILE.INC(Derived!D176:D199,3),2)&amp;"]"</f>
        <v>5.33 [5, 5.42]</v>
      </c>
      <c r="E6" s="10">
        <f>ROUND(MEDIAN(Derived!C254:C277),3)</f>
        <v>0.667</v>
      </c>
      <c r="F6" s="10">
        <f>ROUND(AVERAGE(Derived!C254:C277),3)</f>
        <v>0.736</v>
      </c>
      <c r="G6" s="10">
        <f>ROUND(STDEV.S(Derived!C254:C277),3)</f>
        <v>0.742</v>
      </c>
      <c r="H6" s="10">
        <f>ROUND(AVERAGE(Derived!C254:C277)/STDEV.S(Derived!C254:C277),3)</f>
        <v>0.992</v>
      </c>
      <c r="I6" s="6" t="n">
        <v>8</v>
      </c>
      <c r="J6" s="6" t="n">
        <v>2e-05</v>
      </c>
      <c r="K6" s="6" t="n">
        <v>0.00012</v>
      </c>
      <c r="L6" s="6" t="n">
        <v>0.931</v>
      </c>
      <c r="M6" s="6" t="n">
        <v>0.766</v>
      </c>
      <c r="N6" s="6" t="n">
        <v>1</v>
      </c>
      <c r="O6" s="10" t="str">
        <f>COUNTIF(Derived!C254:C277,"&gt;0")&amp;"/"&amp;COUNTIF(Derived!C254:C277,"&lt;0")&amp;"/"&amp;COUNTIF(Derived!C254:C277,"=0")</f>
        <v>19/2/3</v>
      </c>
      <c r="P6" s="6" t="inlineStr">
        <is>
          <t>exact</t>
        </is>
      </c>
      <c r="Q6" s="10" t="str">
        <f>IF(K6&lt;0.05,"是","否")</f>
        <v>是</v>
      </c>
      <c r="S6" s="6" t="inlineStr">
        <is>
          <t>Holm 后显著，完整系统更优（dz=+0.99）。对应绝对注册 2.12×；效应小于 Q1，符合稳定/正确分列的设计意图。</t>
        </is>
      </c>
    </row>
    <row r="7">
      <c r="A7" s="5" t="inlineStr">
        <is>
          <t>Q2</t>
        </is>
      </c>
      <c r="B7" s="6" t="inlineStr">
        <is>
          <t>运动附着</t>
        </is>
      </c>
      <c r="C7" s="10" t="str">
        <f>ROUND(MEDIAN(Derived!E152:E175),2)&amp;" ["&amp;ROUND(QUARTILE.INC(Derived!E152:E175,1),2)&amp;", "&amp;ROUND(QUARTILE.INC(Derived!E152:E175,3),2)&amp;"]"</f>
        <v>5 [4.67, 5.33]</v>
      </c>
      <c r="D7" s="10" t="str">
        <f>ROUND(MEDIAN(Derived!E176:E199),2)&amp;" ["&amp;ROUND(QUARTILE.INC(Derived!E176:E199,1),2)&amp;", "&amp;ROUND(QUARTILE.INC(Derived!E176:E199,3),2)&amp;"]"</f>
        <v>5 [4.33, 5]</v>
      </c>
      <c r="E7" s="10">
        <f>ROUND(MEDIAN(Derived!D254:D277),3)</f>
        <v>-0.167</v>
      </c>
      <c r="F7" s="10">
        <f>ROUND(AVERAGE(Derived!D254:D277),3)</f>
        <v>-0.069</v>
      </c>
      <c r="G7" s="10">
        <f>ROUND(STDEV.S(Derived!D254:D277),3)</f>
        <v>0.629</v>
      </c>
      <c r="H7" s="10">
        <f>ROUND(AVERAGE(Derived!D254:D277)/STDEV.S(Derived!D254:D277),3)</f>
        <v>-0.11</v>
      </c>
      <c r="I7" s="6" t="n">
        <v>73</v>
      </c>
      <c r="J7" s="6" t="n">
        <v>0.39546</v>
      </c>
      <c r="K7" s="6" t="n">
        <v>0.39546</v>
      </c>
      <c r="L7" s="6" t="n">
        <v>-0.232</v>
      </c>
      <c r="M7" s="6" t="n">
        <v>-0.719</v>
      </c>
      <c r="N7" s="6" t="n">
        <v>0.275</v>
      </c>
      <c r="O7" s="10" t="str">
        <f>COUNTIF(Derived!D254:D277,"&gt;0")&amp;"/"&amp;COUNTIF(Derived!D254:D277,"&lt;0")&amp;"/"&amp;COUNTIF(Derived!D254:D277,"=0")</f>
        <v>7/12/5</v>
      </c>
      <c r="P7" s="6" t="inlineStr">
        <is>
          <t>exact</t>
        </is>
      </c>
      <c r="Q7" s="10" t="str">
        <f>IF(K7&lt;0.05,"是","否")</f>
        <v>否</v>
      </c>
      <c r="S7" s="6" t="inlineStr">
        <is>
          <t>Holm 后不显著（dz=-0.11）。设计声明的预期零效应：中段对齐残差 1.72× 与 Start-transition 反向代价 1.53× 相互抵消。</t>
        </is>
      </c>
    </row>
    <row r="8">
      <c r="A8" s="5" t="inlineStr">
        <is>
          <t>Q9</t>
        </is>
      </c>
      <c r="B8" s="6" t="inlineStr">
        <is>
          <t>姿态一致</t>
        </is>
      </c>
      <c r="C8" s="10" t="str">
        <f>ROUND(MEDIAN(Derived!F152:F175),2)&amp;" ["&amp;ROUND(QUARTILE.INC(Derived!F152:F175,1),2)&amp;", "&amp;ROUND(QUARTILE.INC(Derived!F152:F175,3),2)&amp;"]"</f>
        <v>4.33 [4.25, 4.75]</v>
      </c>
      <c r="D8" s="10" t="str">
        <f>ROUND(MEDIAN(Derived!F176:F199),2)&amp;" ["&amp;ROUND(QUARTILE.INC(Derived!F176:F199,1),2)&amp;", "&amp;ROUND(QUARTILE.INC(Derived!F176:F199,3),2)&amp;"]"</f>
        <v>5 [4.33, 5.33]</v>
      </c>
      <c r="E8" s="10">
        <f>ROUND(MEDIAN(Derived!E254:E277),3)</f>
        <v>0.333</v>
      </c>
      <c r="F8" s="10">
        <f>ROUND(AVERAGE(Derived!E254:E277),3)</f>
        <v>0.306</v>
      </c>
      <c r="G8" s="10">
        <f>ROUND(STDEV.S(Derived!E254:E277),3)</f>
        <v>0.636</v>
      </c>
      <c r="H8" s="10">
        <f>ROUND(AVERAGE(Derived!E254:E277)/STDEV.S(Derived!E254:E277),3)</f>
        <v>0.48</v>
      </c>
      <c r="I8" s="6" t="n">
        <v>62.5</v>
      </c>
      <c r="J8" s="6" t="n">
        <v>0.03907</v>
      </c>
      <c r="K8" s="6" t="n">
        <v>0.07815</v>
      </c>
      <c r="L8" s="6" t="n">
        <v>0.506</v>
      </c>
      <c r="M8" s="6" t="n">
        <v>0.065</v>
      </c>
      <c r="N8" s="6" t="n">
        <v>0.857</v>
      </c>
      <c r="O8" s="10" t="str">
        <f>COUNTIF(Derived!E254:E277,"&gt;0")&amp;"/"&amp;COUNTIF(Derived!E254:E277,"&lt;0")&amp;"/"&amp;COUNTIF(Derived!E254:E277,"=0")</f>
        <v>16/6/2</v>
      </c>
      <c r="P8" s="6" t="inlineStr">
        <is>
          <t>exact</t>
        </is>
      </c>
      <c r="Q8" s="10" t="str">
        <f>IF(K8&lt;0.05,"是","否")</f>
        <v>否</v>
      </c>
      <c r="S8" s="6" t="inlineStr">
        <is>
          <t>Holm 后不显著（dz=+0.48）。对应旋转 aligned RMSE 仅 1.15×；措辞同时承载旋转跟随与静止朝向两个量级悬殊的通道，检出力不足。</t>
        </is>
      </c>
    </row>
    <row r="9">
      <c r="A9" s="5" t="inlineStr">
        <is>
          <t>Q3</t>
        </is>
      </c>
      <c r="B9" s="6" t="inlineStr">
        <is>
          <t>恢复一致</t>
        </is>
      </c>
      <c r="C9" s="10" t="str">
        <f>ROUND(MEDIAN(Derived!G152:G175),2)&amp;" ["&amp;ROUND(QUARTILE.INC(Derived!G152:G175,1),2)&amp;", "&amp;ROUND(QUARTILE.INC(Derived!G152:G175,3),2)&amp;"]"</f>
        <v>4.33 [3.67, 4.67]</v>
      </c>
      <c r="D9" s="10" t="str">
        <f>ROUND(MEDIAN(Derived!G176:G199),2)&amp;" ["&amp;ROUND(QUARTILE.INC(Derived!G176:G199,1),2)&amp;", "&amp;ROUND(QUARTILE.INC(Derived!G176:G199,3),2)&amp;"]"</f>
        <v>4.67 [4.67, 5.08]</v>
      </c>
      <c r="E9" s="10">
        <f>ROUND(MEDIAN(Derived!F254:F277),3)</f>
        <v>0.667</v>
      </c>
      <c r="F9" s="10">
        <f>ROUND(AVERAGE(Derived!F254:F277),3)</f>
        <v>0.792</v>
      </c>
      <c r="G9" s="10">
        <f>ROUND(STDEV.S(Derived!F254:F277),3)</f>
        <v>0.754</v>
      </c>
      <c r="H9" s="10">
        <f>ROUND(AVERAGE(Derived!F254:F277)/STDEV.S(Derived!F254:F277),3)</f>
        <v>1.05</v>
      </c>
      <c r="I9" s="6" t="n">
        <v>20</v>
      </c>
      <c r="J9" s="6" t="n">
        <v>9.000000000000001e-05</v>
      </c>
      <c r="K9" s="6" t="n">
        <v>0.00035</v>
      </c>
      <c r="L9" s="6" t="n">
        <v>0.855</v>
      </c>
      <c r="M9" s="6" t="n">
        <v>0.593</v>
      </c>
      <c r="N9" s="6" t="n">
        <v>1</v>
      </c>
      <c r="O9" s="10" t="str">
        <f>COUNTIF(Derived!F254:F277,"&gt;0")&amp;"/"&amp;COUNTIF(Derived!F254:F277,"&lt;0")&amp;"/"&amp;COUNTIF(Derived!F254:F277,"=0")</f>
        <v>21/2/1</v>
      </c>
      <c r="P9" s="6" t="inlineStr">
        <is>
          <t>exact</t>
        </is>
      </c>
      <c r="Q9" s="10" t="str">
        <f>IF(K9&lt;0.05,"是","否")</f>
        <v>是</v>
      </c>
      <c r="S9" s="6" t="inlineStr">
        <is>
          <t>Holm 后显著，完整系统更优（dz=+1.05）。对应遮挡平移 2.14× 与灾难性失效 1→0；离散失效事件使分布重尾。</t>
        </is>
      </c>
    </row>
    <row r="10">
      <c r="A10" s="5" t="inlineStr">
        <is>
          <t>Q6</t>
        </is>
      </c>
      <c r="B10" s="6" t="inlineStr">
        <is>
          <t>依赖意愿</t>
        </is>
      </c>
      <c r="C10" s="10" t="str">
        <f>ROUND(MEDIAN(Derived!H152:H175),2)&amp;" ["&amp;ROUND(QUARTILE.INC(Derived!H152:H175,1),2)&amp;", "&amp;ROUND(QUARTILE.INC(Derived!H152:H175,3),2)&amp;"]"</f>
        <v>4.33 [3.67, 4.75]</v>
      </c>
      <c r="D10" s="10" t="str">
        <f>ROUND(MEDIAN(Derived!H176:H199),2)&amp;" ["&amp;ROUND(QUARTILE.INC(Derived!H176:H199,1),2)&amp;", "&amp;ROUND(QUARTILE.INC(Derived!H176:H199,3),2)&amp;"]"</f>
        <v>5.5 [5, 5.75]</v>
      </c>
      <c r="E10" s="10">
        <f>ROUND(MEDIAN(Derived!G254:G277),3)</f>
        <v>1</v>
      </c>
      <c r="F10" s="10">
        <f>ROUND(AVERAGE(Derived!G254:G277),3)</f>
        <v>1.097</v>
      </c>
      <c r="G10" s="10">
        <f>ROUND(STDEV.S(Derived!G254:G277),3)</f>
        <v>0.67</v>
      </c>
      <c r="H10" s="10">
        <f>ROUND(AVERAGE(Derived!G254:G277)/STDEV.S(Derived!G254:G277),3)</f>
        <v>1.637</v>
      </c>
      <c r="I10" s="6" t="n">
        <v>0</v>
      </c>
      <c r="J10" s="6" t="n">
        <v>0</v>
      </c>
      <c r="K10" s="6" t="n">
        <v>0</v>
      </c>
      <c r="L10" s="6" t="n">
        <v>1</v>
      </c>
      <c r="M10" s="6" t="n">
        <v>1</v>
      </c>
      <c r="N10" s="6" t="n">
        <v>1</v>
      </c>
      <c r="O10" s="10" t="str">
        <f>COUNTIF(Derived!G254:G277,"&gt;0")&amp;"/"&amp;COUNTIF(Derived!G254:G277,"&lt;0")&amp;"/"&amp;COUNTIF(Derived!G254:G277,"=0")</f>
        <v>23/0/1</v>
      </c>
      <c r="P10" s="6" t="inlineStr">
        <is>
          <t>exact</t>
        </is>
      </c>
      <c r="Q10" s="10" t="str">
        <f>IF(K10&lt;0.05,"是","否")</f>
        <v>是</v>
      </c>
      <c r="S10" s="6" t="inlineStr">
        <is>
          <t>Holm 后显著，完整系统更优（dz=+1.64）。应用侧依赖意愿，受灾难性失效记忆与个体信任不对称性放大。</t>
        </is>
      </c>
    </row>
    <row r="11">
      <c r="A11" s="5" t="inlineStr">
        <is>
          <t>Q7</t>
        </is>
      </c>
      <c r="B11" s="6" t="inlineStr">
        <is>
          <t>稳定-响应平衡</t>
        </is>
      </c>
      <c r="C11" s="10" t="str">
        <f>ROUND(MEDIAN(Derived!I152:I175),2)&amp;" ["&amp;ROUND(QUARTILE.INC(Derived!I152:I175,1),2)&amp;", "&amp;ROUND(QUARTILE.INC(Derived!I152:I175,3),2)&amp;"]"</f>
        <v>4.67 [4.33, 4.75]</v>
      </c>
      <c r="D11" s="10" t="str">
        <f>ROUND(MEDIAN(Derived!I176:I199),2)&amp;" ["&amp;ROUND(QUARTILE.INC(Derived!I176:I199,1),2)&amp;", "&amp;ROUND(QUARTILE.INC(Derived!I176:I199,3),2)&amp;"]"</f>
        <v>5 [5, 5.42]</v>
      </c>
      <c r="E11" s="10">
        <f>ROUND(MEDIAN(Derived!H254:H277),3)</f>
        <v>0.333</v>
      </c>
      <c r="F11" s="10">
        <f>ROUND(AVERAGE(Derived!H254:H277),3)</f>
        <v>0.583</v>
      </c>
      <c r="G11" s="10">
        <f>ROUND(STDEV.S(Derived!H254:H277),3)</f>
        <v>0.788</v>
      </c>
      <c r="H11" s="10">
        <f>ROUND(AVERAGE(Derived!H254:H277)/STDEV.S(Derived!H254:H277),3)</f>
        <v>0.74</v>
      </c>
      <c r="I11" s="6" t="n">
        <v>32.5</v>
      </c>
      <c r="J11" s="6" t="n">
        <v>0.00286</v>
      </c>
      <c r="K11" s="6" t="n">
        <v>0.008569999999999999</v>
      </c>
      <c r="L11" s="6" t="n">
        <v>0.719</v>
      </c>
      <c r="M11" s="6" t="n">
        <v>0.34</v>
      </c>
      <c r="N11" s="6" t="n">
        <v>1</v>
      </c>
      <c r="O11" s="10" t="str">
        <f>COUNTIF(Derived!H254:H277,"&gt;0")&amp;"/"&amp;COUNTIF(Derived!H254:H277,"&lt;0")&amp;"/"&amp;COUNTIF(Derived!H254:H277,"=0")</f>
        <v>18/3/3</v>
      </c>
      <c r="P11" s="6" t="inlineStr">
        <is>
          <t>exact</t>
        </is>
      </c>
      <c r="Q11" s="10" t="str">
        <f>IF(K11&lt;0.05,"是","否")</f>
        <v>是</v>
      </c>
      <c r="S11" s="6" t="inlineStr">
        <is>
          <t>Holm 后显著，完整系统更优（dz=+0.74）。稳定收益与响应代价的整体权衡；响应优先者在此条目上给分明显更低。</t>
        </is>
      </c>
    </row>
    <row r="13" ht="20" customHeight="1">
      <c r="A13" s="3" t="inlineStr">
        <is>
          <t>B. 已发表量表家族（TiA 反向项已在 Derived L3 按 6−原始分换向；仅此家族报告当前样本 α/ω，且只表述为当前样本信度）</t>
        </is>
      </c>
    </row>
    <row r="14" ht="30" customHeight="1">
      <c r="A14" s="4" t="inlineStr">
        <is>
          <t>量表</t>
        </is>
      </c>
      <c r="B14" s="4" t="inlineStr">
        <is>
          <t>One-Euro Mdn[IQR]</t>
        </is>
      </c>
      <c r="C14" s="4" t="inlineStr">
        <is>
          <t>EgoAnchor Mdn[IQR]</t>
        </is>
      </c>
      <c r="D14" s="4" t="inlineStr">
        <is>
          <t>配对差中位</t>
        </is>
      </c>
      <c r="E14" s="4" t="inlineStr">
        <is>
          <t>配对差均值</t>
        </is>
      </c>
      <c r="F14" s="4" t="inlineStr">
        <is>
          <t>dz</t>
        </is>
      </c>
      <c r="G14" s="4" t="inlineStr">
        <is>
          <t>W</t>
        </is>
      </c>
      <c r="H14" s="4" t="inlineStr">
        <is>
          <t>p_raw</t>
        </is>
      </c>
      <c r="I14" s="4" t="inlineStr">
        <is>
          <t>p_Holm</t>
        </is>
      </c>
      <c r="J14" s="4" t="inlineStr">
        <is>
          <t>匹配秩双列r</t>
        </is>
      </c>
      <c r="K14" s="4" t="inlineStr">
        <is>
          <t>r CI下</t>
        </is>
      </c>
      <c r="L14" s="4" t="inlineStr">
        <is>
          <t>r CI上</t>
        </is>
      </c>
      <c r="M14" s="4" t="inlineStr">
        <is>
          <t>α(OE)</t>
        </is>
      </c>
      <c r="N14" s="4" t="inlineStr">
        <is>
          <t>α(EA)</t>
        </is>
      </c>
      <c r="O14" s="4" t="inlineStr">
        <is>
          <t>ω(OE)</t>
        </is>
      </c>
      <c r="P14" s="4" t="inlineStr">
        <is>
          <t>ω(EA)</t>
        </is>
      </c>
      <c r="Q14" s="4" t="inlineStr">
        <is>
          <t>正/负/结平</t>
        </is>
      </c>
      <c r="R14" s="4" t="inlineStr">
        <is>
          <t>显著(Holm)</t>
        </is>
      </c>
      <c r="S14" s="4" t="inlineStr">
        <is>
          <t>结论</t>
        </is>
      </c>
    </row>
    <row r="15">
      <c r="A15" s="5" t="inlineStr">
        <is>
          <t>AQ-EQ（3 项均值）</t>
        </is>
      </c>
      <c r="B15" s="10" t="str">
        <f>ROUND(MEDIAN(Derived!P152:P175),2)&amp;" ["&amp;ROUND(QUARTILE.INC(Derived!P152:P175,1),2)&amp;", "&amp;ROUND(QUARTILE.INC(Derived!P152:P175,3),2)&amp;"]"</f>
        <v>5.44 [5.11, 5.58]</v>
      </c>
      <c r="C15" s="10" t="str">
        <f>ROUND(MEDIAN(Derived!P176:P199),2)&amp;" ["&amp;ROUND(QUARTILE.INC(Derived!P176:P199,1),2)&amp;", "&amp;ROUND(QUARTILE.INC(Derived!P176:P199,3),2)&amp;"]"</f>
        <v>5.56 [5.31, 5.78]</v>
      </c>
      <c r="D15" s="10">
        <f>ROUND(MEDIAN(Derived!I254:I277),3)</f>
        <v>0.278</v>
      </c>
      <c r="E15" s="10">
        <f>ROUND(AVERAGE(Derived!I254:I277),3)</f>
        <v>0.185</v>
      </c>
      <c r="F15" s="10">
        <f>ROUND(AVERAGE(Derived!I254:I277)/STDEV.S(Derived!I254:I277),3)</f>
        <v>0.306</v>
      </c>
      <c r="G15" s="6" t="n">
        <v>87</v>
      </c>
      <c r="H15" s="6" t="n">
        <v>0.12621</v>
      </c>
      <c r="I15" s="6" t="n">
        <v>0.12621</v>
      </c>
      <c r="J15" s="6" t="n">
        <v>0.37</v>
      </c>
      <c r="K15" s="6" t="n">
        <v>-0.08699999999999999</v>
      </c>
      <c r="L15" s="6" t="n">
        <v>0.768</v>
      </c>
      <c r="M15" s="6" t="n">
        <v>0.704</v>
      </c>
      <c r="N15" s="6" t="n">
        <v>0.662</v>
      </c>
      <c r="O15" s="6" t="n">
        <v>0.837</v>
      </c>
      <c r="P15" s="6" t="n">
        <v>0.8169999999999999</v>
      </c>
      <c r="Q15" s="10" t="str">
        <f>COUNTIF(Derived!I254:I277,"&gt;0")&amp;"/"&amp;COUNTIF(Derived!I254:I277,"&lt;0")&amp;"/"&amp;COUNTIF(Derived!I254:I277,"=0")</f>
        <v>15/8/1</v>
      </c>
      <c r="R15" s="10" t="str">
        <f>IF(I15&lt;0.05,"是","否")</f>
        <v>否</v>
      </c>
      <c r="S15" s="6" t="inlineStr">
        <is>
          <t>Holm 后不显著（dz=+0.31）。综合配准质量；AQ-EQ3 尺度协调按设计接近天花板，拖累子量表。</t>
        </is>
      </c>
    </row>
    <row r="16">
      <c r="A16" s="5" t="inlineStr">
        <is>
          <t>AQ-IQ（3 项均值）</t>
        </is>
      </c>
      <c r="B16" s="10" t="str">
        <f>ROUND(MEDIAN(Derived!Q152:Q175),2)&amp;" ["&amp;ROUND(QUARTILE.INC(Derived!Q152:Q175,1),2)&amp;", "&amp;ROUND(QUARTILE.INC(Derived!Q152:Q175,3),2)&amp;"]"</f>
        <v>5 [4.64, 5.22]</v>
      </c>
      <c r="C16" s="10" t="str">
        <f>ROUND(MEDIAN(Derived!Q176:Q199),2)&amp;" ["&amp;ROUND(QUARTILE.INC(Derived!Q176:Q199,1),2)&amp;", "&amp;ROUND(QUARTILE.INC(Derived!Q176:Q199,3),2)&amp;"]"</f>
        <v>5.22 [4.89, 5.56]</v>
      </c>
      <c r="D16" s="10">
        <f>ROUND(MEDIAN(Derived!J254:J277),3)</f>
        <v>0.222</v>
      </c>
      <c r="E16" s="10">
        <f>ROUND(AVERAGE(Derived!J254:J277),3)</f>
        <v>0.185</v>
      </c>
      <c r="F16" s="10">
        <f>ROUND(AVERAGE(Derived!J254:J277)/STDEV.S(Derived!J254:J277),3)</f>
        <v>0.483</v>
      </c>
      <c r="G16" s="6" t="n">
        <v>58</v>
      </c>
      <c r="H16" s="6" t="n">
        <v>0.02514</v>
      </c>
      <c r="I16" s="6" t="n">
        <v>0.05028</v>
      </c>
      <c r="J16" s="6" t="n">
        <v>0.542</v>
      </c>
      <c r="K16" s="6" t="n">
        <v>0.1</v>
      </c>
      <c r="L16" s="6" t="n">
        <v>0.921</v>
      </c>
      <c r="M16" s="6" t="n">
        <v>0.731</v>
      </c>
      <c r="N16" s="6" t="n">
        <v>0.637</v>
      </c>
      <c r="O16" s="6" t="n">
        <v>0.852</v>
      </c>
      <c r="P16" s="6" t="n">
        <v>0.806</v>
      </c>
      <c r="Q16" s="10" t="str">
        <f>COUNTIF(Derived!J254:J277,"&gt;0")&amp;"/"&amp;COUNTIF(Derived!J254:J277,"&lt;0")&amp;"/"&amp;COUNTIF(Derived!J254:J277,"=0")</f>
        <v>16/6/2</v>
      </c>
      <c r="R16" s="10" t="str">
        <f>IF(I16&lt;0.05,"是","否")</f>
        <v>否</v>
      </c>
      <c r="S16" s="6" t="inlineStr">
        <is>
          <t>Holm 后不显著（dz=+0.48）。内部相消：AQ-IQ2 响应及时方向为负、AQ-IQ3 运动平滑方向为正。</t>
        </is>
      </c>
    </row>
    <row r="17">
      <c r="A17" s="5" t="inlineStr">
        <is>
          <t>TiA-R/C（6 项均值）</t>
        </is>
      </c>
      <c r="B17" s="10" t="str">
        <f>ROUND(MEDIAN(Derived!Q203:Q226),2)&amp;" ["&amp;ROUND(QUARTILE.INC(Derived!Q203:Q226,1),2)&amp;", "&amp;ROUND(QUARTILE.INC(Derived!Q203:Q226,3),2)&amp;"]"</f>
        <v>3.33 [2.96, 3.71]</v>
      </c>
      <c r="C17" s="10" t="str">
        <f>ROUND(MEDIAN(Derived!Q227:Q250),2)&amp;" ["&amp;ROUND(QUARTILE.INC(Derived!Q227:Q250,1),2)&amp;", "&amp;ROUND(QUARTILE.INC(Derived!Q227:Q250,3),2)&amp;"]"</f>
        <v>3.83 [3.5, 4]</v>
      </c>
      <c r="D17" s="10">
        <f>ROUND(MEDIAN(Derived!K254:K277),3)</f>
        <v>0.417</v>
      </c>
      <c r="E17" s="10">
        <f>ROUND(AVERAGE(Derived!K254:K277),3)</f>
        <v>0.486</v>
      </c>
      <c r="F17" s="10">
        <f>ROUND(AVERAGE(Derived!K254:K277)/STDEV.S(Derived!K254:K277),3)</f>
        <v>1.086</v>
      </c>
      <c r="G17" s="6" t="n">
        <v>10</v>
      </c>
      <c r="H17" s="6" t="n">
        <v>4e-05</v>
      </c>
      <c r="I17" s="6" t="n">
        <v>0.00021</v>
      </c>
      <c r="J17" s="6" t="n">
        <v>0.913</v>
      </c>
      <c r="K17" s="6" t="n">
        <v>0.7</v>
      </c>
      <c r="L17" s="6" t="n">
        <v>1</v>
      </c>
      <c r="M17" s="6" t="n">
        <v>0.898</v>
      </c>
      <c r="N17" s="6" t="n">
        <v>0.761</v>
      </c>
      <c r="O17" s="6" t="n">
        <v>0.927</v>
      </c>
      <c r="P17" s="6" t="n">
        <v>0.835</v>
      </c>
      <c r="Q17" s="10" t="str">
        <f>COUNTIF(Derived!K254:K277,"&gt;0")&amp;"/"&amp;COUNTIF(Derived!K254:K277,"&lt;0")&amp;"/"&amp;COUNTIF(Derived!K254:K277,"=0")</f>
        <v>20/1/3</v>
      </c>
      <c r="R17" s="10" t="str">
        <f>IF(I17&lt;0.05,"是","否")</f>
        <v>是</v>
      </c>
      <c r="S17" s="6" t="inlineStr">
        <is>
          <t>Holm 后显著，完整系统更优（dz=+1.09）。跨物体累积的可靠性/能力判断，受峰终律记忆支配。</t>
        </is>
      </c>
    </row>
    <row r="18">
      <c r="A18" s="5" t="inlineStr">
        <is>
          <t>TiA-U/P（4 项均值）</t>
        </is>
      </c>
      <c r="B18" s="10" t="str">
        <f>ROUND(MEDIAN(Derived!R203:R226),2)&amp;" ["&amp;ROUND(QUARTILE.INC(Derived!R203:R226,1),2)&amp;", "&amp;ROUND(QUARTILE.INC(Derived!R203:R226,3),2)&amp;"]"</f>
        <v>3.5 [2.94, 4]</v>
      </c>
      <c r="C18" s="10" t="str">
        <f>ROUND(MEDIAN(Derived!R227:R250),2)&amp;" ["&amp;ROUND(QUARTILE.INC(Derived!R227:R250,1),2)&amp;", "&amp;ROUND(QUARTILE.INC(Derived!R227:R250,3),2)&amp;"]"</f>
        <v>4 [3.69, 4]</v>
      </c>
      <c r="D18" s="10">
        <f>ROUND(MEDIAN(Derived!L254:L277),3)</f>
        <v>0.375</v>
      </c>
      <c r="E18" s="10">
        <f>ROUND(AVERAGE(Derived!L254:L277),3)</f>
        <v>0.427</v>
      </c>
      <c r="F18" s="10">
        <f>ROUND(AVERAGE(Derived!L254:L277)/STDEV.S(Derived!L254:L277),3)</f>
        <v>0.815</v>
      </c>
      <c r="G18" s="6" t="n">
        <v>13.5</v>
      </c>
      <c r="H18" s="6" t="n">
        <v>0.00084</v>
      </c>
      <c r="I18" s="6" t="n">
        <v>0.00252</v>
      </c>
      <c r="J18" s="6" t="n">
        <v>0.842</v>
      </c>
      <c r="K18" s="6" t="n">
        <v>0.543</v>
      </c>
      <c r="L18" s="6" t="n">
        <v>1</v>
      </c>
      <c r="M18" s="6" t="n">
        <v>0.8090000000000001</v>
      </c>
      <c r="N18" s="6" t="n">
        <v>0.505</v>
      </c>
      <c r="O18" s="6" t="n">
        <v>0.879</v>
      </c>
      <c r="P18" s="6" t="n">
        <v>0.701</v>
      </c>
      <c r="Q18" s="10" t="str">
        <f>COUNTIF(Derived!L254:L277,"&gt;0")&amp;"/"&amp;COUNTIF(Derived!L254:L277,"&lt;0")&amp;"/"&amp;COUNTIF(Derived!L254:L277,"=0")</f>
        <v>15/3/6</v>
      </c>
      <c r="R18" s="10" t="str">
        <f>IF(I18&lt;0.05,"是","否")</f>
        <v>是</v>
      </c>
      <c r="S18" s="6" t="inlineStr">
        <is>
          <t>Holm 后显著，完整系统更优（dz=+0.82）。可预测性是开放反馈里反复出现的判据，本轮方向与 Q1/Q3 一致。</t>
        </is>
      </c>
    </row>
    <row r="19">
      <c r="A19" s="5" t="inlineStr">
        <is>
          <t>S-TIAS（3 项均值）</t>
        </is>
      </c>
      <c r="B19" s="10" t="str">
        <f>ROUND(MEDIAN(Derived!S203:S226),2)&amp;" ["&amp;ROUND(QUARTILE.INC(Derived!S203:S226,1),2)&amp;", "&amp;ROUND(QUARTILE.INC(Derived!S203:S226,3),2)&amp;"]"</f>
        <v>4.5 [3.92, 4.67]</v>
      </c>
      <c r="C19" s="10" t="str">
        <f>ROUND(MEDIAN(Derived!S227:S250),2)&amp;" ["&amp;ROUND(QUARTILE.INC(Derived!S227:S250,1),2)&amp;", "&amp;ROUND(QUARTILE.INC(Derived!S227:S250,3),2)&amp;"]"</f>
        <v>5 [4.67, 5.33]</v>
      </c>
      <c r="D19" s="10">
        <f>ROUND(MEDIAN(Derived!M254:M277),3)</f>
        <v>0.667</v>
      </c>
      <c r="E19" s="10">
        <f>ROUND(AVERAGE(Derived!M254:M277),3)</f>
        <v>0.694</v>
      </c>
      <c r="F19" s="10">
        <f>ROUND(AVERAGE(Derived!M254:M277)/STDEV.S(Derived!M254:M277),3)</f>
        <v>0.857</v>
      </c>
      <c r="G19" s="6" t="n">
        <v>21.5</v>
      </c>
      <c r="H19" s="6" t="n">
        <v>0.00051</v>
      </c>
      <c r="I19" s="6" t="n">
        <v>0.00204</v>
      </c>
      <c r="J19" s="6" t="n">
        <v>0.8139999999999999</v>
      </c>
      <c r="K19" s="6" t="n">
        <v>0.498</v>
      </c>
      <c r="L19" s="6" t="n">
        <v>0.988</v>
      </c>
      <c r="M19" s="6" t="n">
        <v>0.8169999999999999</v>
      </c>
      <c r="N19" s="6" t="n">
        <v>0.6879999999999999</v>
      </c>
      <c r="O19" s="6" t="n">
        <v>0.901</v>
      </c>
      <c r="P19" s="6" t="n">
        <v>0.837</v>
      </c>
      <c r="Q19" s="10" t="str">
        <f>COUNTIF(Derived!M254:M277,"&gt;0")&amp;"/"&amp;COUNTIF(Derived!M254:M277,"&lt;0")&amp;"/"&amp;COUNTIF(Derived!M254:M277,"=0")</f>
        <v>17/4/3</v>
      </c>
      <c r="R19" s="10" t="str">
        <f>IF(I19&lt;0.05,"是","否")</f>
        <v>是</v>
      </c>
      <c r="S19" s="6" t="inlineStr">
        <is>
          <t>Holm 后显著，完整系统更优（dz=+0.86）。总体信任短量表，与 Q6 依赖意愿构成态度→意愿链条。</t>
        </is>
      </c>
    </row>
    <row r="21" ht="20" customHeight="1">
      <c r="A21" s="3" t="inlineStr">
        <is>
          <t>C. 次级与稳健性</t>
        </is>
      </c>
    </row>
    <row r="22">
      <c r="A22" s="2" t="inlineStr">
        <is>
          <t>Q10（放置后稳定）：本轮按计划书 4.2 与第八节默认停用，未采集。停用理由由本轮实测负担诊断确认（见 Simulation_Audit：单区块问卷 &gt;150 s 与连续同分 ≥5 项均已触发）。</t>
        </is>
      </c>
    </row>
    <row r="23">
      <c r="A23" s="2" t="inlineStr">
        <is>
          <t>逐条目 CLMM（方法 + 物体 + 方法×物体 + 区块位置 + 对象内先后 + 参与者随机截距）：本环境无支持随机效应的累积链接混合模型，本轮未拟合，也不以代理模型冒充；方向一致性改由 D 段逐物体描述承担。正式分析建议在 R（ordinal::clmm）中拟合，并显式加入参与者 × 条目随机斜率，仅用参与者随机截距会低估中等效应的标准误。</t>
        </is>
      </c>
    </row>
    <row r="24">
      <c r="A24" s="2" t="inlineStr">
        <is>
          <t>顺序诊断：先行方法、标签映射、区块位置与对象内先后的效应见 Simulation_Audit「顺序诊断」节。</t>
        </is>
      </c>
    </row>
    <row r="26" ht="20" customHeight="1">
      <c r="A26" s="3" t="inlineStr">
        <is>
          <t>D. 逐物体描述（探索性；方向一致性检查，不作未校正的逐物体检验）</t>
        </is>
      </c>
    </row>
    <row r="27" ht="30" customHeight="1">
      <c r="A27" s="4" t="inlineStr">
        <is>
          <t>结局</t>
        </is>
      </c>
      <c r="B27" s="4" t="inlineStr">
        <is>
          <t>物体</t>
        </is>
      </c>
      <c r="C27" s="4" t="inlineStr">
        <is>
          <t>One-Euro M</t>
        </is>
      </c>
      <c r="D27" s="4" t="inlineStr">
        <is>
          <t>EgoAnchor M</t>
        </is>
      </c>
      <c r="E27" s="4" t="inlineStr">
        <is>
          <t>差值</t>
        </is>
      </c>
      <c r="F27" s="4" t="inlineStr">
        <is>
          <t>方向</t>
        </is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</row>
    <row r="28">
      <c r="A28" s="5" t="inlineStr">
        <is>
          <t>Q1</t>
        </is>
      </c>
      <c r="B28" s="6" t="inlineStr">
        <is>
          <t>鼠标</t>
        </is>
      </c>
      <c r="C28" s="10">
        <f>ROUND(AVERAGE(Derived!E5:E28),3)</f>
        <v>4</v>
      </c>
      <c r="D28" s="10">
        <f>ROUND(AVERAGE(Derived!E77:E100),3)</f>
        <v>5.75</v>
      </c>
      <c r="E28" s="10">
        <f>ROUND(AVERAGE(Derived!E77:E100)-AVERAGE(Derived!E5:E28),3)</f>
        <v>1.75</v>
      </c>
      <c r="F28" s="10" t="str">
        <f>IF(E28&gt;0,"EA 更优",IF(E28&lt;0,"OE 更优","持平"))</f>
        <v>EA 更优</v>
      </c>
    </row>
    <row r="29">
      <c r="A29" s="5" t="inlineStr">
        <is>
          <t>Q1</t>
        </is>
      </c>
      <c r="B29" s="6" t="inlineStr">
        <is>
          <t>固定订书机</t>
        </is>
      </c>
      <c r="C29" s="10">
        <f>ROUND(AVERAGE(Derived!E29:E52),3)</f>
        <v>4.708</v>
      </c>
      <c r="D29" s="10">
        <f>ROUND(AVERAGE(Derived!E101:E124),3)</f>
        <v>5.875</v>
      </c>
      <c r="E29" s="10">
        <f>ROUND(AVERAGE(Derived!E101:E124)-AVERAGE(Derived!E29:E52),3)</f>
        <v>1.167</v>
      </c>
      <c r="F29" s="10" t="str">
        <f>IF(E29&gt;0,"EA 更优",IF(E29&lt;0,"OE 更优","持平"))</f>
        <v>EA 更优</v>
      </c>
    </row>
    <row r="30">
      <c r="A30" s="5" t="inlineStr">
        <is>
          <t>Q1</t>
        </is>
      </c>
      <c r="B30" s="6" t="inlineStr">
        <is>
          <t>游戏手柄</t>
        </is>
      </c>
      <c r="C30" s="10">
        <f>ROUND(AVERAGE(Derived!E53:E76),3)</f>
        <v>3.917</v>
      </c>
      <c r="D30" s="10">
        <f>ROUND(AVERAGE(Derived!E125:E148),3)</f>
        <v>5.375</v>
      </c>
      <c r="E30" s="10">
        <f>ROUND(AVERAGE(Derived!E125:E148)-AVERAGE(Derived!E53:E76),3)</f>
        <v>1.458</v>
      </c>
      <c r="F30" s="10" t="str">
        <f>IF(E30&gt;0,"EA 更优",IF(E30&lt;0,"OE 更优","持平"))</f>
        <v>EA 更优</v>
      </c>
    </row>
    <row r="31">
      <c r="A31" s="5" t="inlineStr">
        <is>
          <t>Q8</t>
        </is>
      </c>
      <c r="B31" s="6" t="inlineStr">
        <is>
          <t>鼠标</t>
        </is>
      </c>
      <c r="C31" s="10">
        <f>ROUND(AVERAGE(Derived!F5:F28),3)</f>
        <v>4.292</v>
      </c>
      <c r="D31" s="10">
        <f>ROUND(AVERAGE(Derived!F77:F100),3)</f>
        <v>5.208</v>
      </c>
      <c r="E31" s="10">
        <f>ROUND(AVERAGE(Derived!F77:F100)-AVERAGE(Derived!F5:F28),3)</f>
        <v>0.917</v>
      </c>
      <c r="F31" s="10" t="str">
        <f>IF(E31&gt;0,"EA 更优",IF(E31&lt;0,"OE 更优","持平"))</f>
        <v>EA 更优</v>
      </c>
    </row>
    <row r="32">
      <c r="A32" s="5" t="inlineStr">
        <is>
          <t>Q8</t>
        </is>
      </c>
      <c r="B32" s="6" t="inlineStr">
        <is>
          <t>固定订书机</t>
        </is>
      </c>
      <c r="C32" s="10">
        <f>ROUND(AVERAGE(Derived!F29:F52),3)</f>
        <v>4.958</v>
      </c>
      <c r="D32" s="10">
        <f>ROUND(AVERAGE(Derived!F101:F124),3)</f>
        <v>5.5</v>
      </c>
      <c r="E32" s="10">
        <f>ROUND(AVERAGE(Derived!F101:F124)-AVERAGE(Derived!F29:F52),3)</f>
        <v>0.542</v>
      </c>
      <c r="F32" s="10" t="str">
        <f>IF(E32&gt;0,"EA 更优",IF(E32&lt;0,"OE 更优","持平"))</f>
        <v>EA 更优</v>
      </c>
    </row>
    <row r="33">
      <c r="A33" s="5" t="inlineStr">
        <is>
          <t>Q8</t>
        </is>
      </c>
      <c r="B33" s="6" t="inlineStr">
        <is>
          <t>游戏手柄</t>
        </is>
      </c>
      <c r="C33" s="10">
        <f>ROUND(AVERAGE(Derived!F53:F76),3)</f>
        <v>4.25</v>
      </c>
      <c r="D33" s="10">
        <f>ROUND(AVERAGE(Derived!F125:F148),3)</f>
        <v>5</v>
      </c>
      <c r="E33" s="10">
        <f>ROUND(AVERAGE(Derived!F125:F148)-AVERAGE(Derived!F53:F76),3)</f>
        <v>0.75</v>
      </c>
      <c r="F33" s="10" t="str">
        <f>IF(E33&gt;0,"EA 更优",IF(E33&lt;0,"OE 更优","持平"))</f>
        <v>EA 更优</v>
      </c>
    </row>
    <row r="34">
      <c r="A34" s="5" t="inlineStr">
        <is>
          <t>Q2</t>
        </is>
      </c>
      <c r="B34" s="6" t="inlineStr">
        <is>
          <t>鼠标</t>
        </is>
      </c>
      <c r="C34" s="10">
        <f>ROUND(AVERAGE(Derived!G5:G28),3)</f>
        <v>4.625</v>
      </c>
      <c r="D34" s="10">
        <f>ROUND(AVERAGE(Derived!G77:G100),3)</f>
        <v>4.708</v>
      </c>
      <c r="E34" s="10">
        <f>ROUND(AVERAGE(Derived!G77:G100)-AVERAGE(Derived!G5:G28),3)</f>
        <v>0.083</v>
      </c>
      <c r="F34" s="10" t="str">
        <f>IF(E34&gt;0,"EA 更优",IF(E34&lt;0,"OE 更优","持平"))</f>
        <v>EA 更优</v>
      </c>
    </row>
    <row r="35">
      <c r="A35" s="5" t="inlineStr">
        <is>
          <t>Q2</t>
        </is>
      </c>
      <c r="B35" s="6" t="inlineStr">
        <is>
          <t>固定订书机</t>
        </is>
      </c>
      <c r="C35" s="10">
        <f>ROUND(AVERAGE(Derived!G29:G52),3)</f>
        <v>5.292</v>
      </c>
      <c r="D35" s="10">
        <f>ROUND(AVERAGE(Derived!G101:G124),3)</f>
        <v>5</v>
      </c>
      <c r="E35" s="10">
        <f>ROUND(AVERAGE(Derived!G101:G124)-AVERAGE(Derived!G29:G52),3)</f>
        <v>-0.292</v>
      </c>
      <c r="F35" s="10" t="str">
        <f>IF(E35&gt;0,"EA 更优",IF(E35&lt;0,"OE 更优","持平"))</f>
        <v>OE 更优</v>
      </c>
    </row>
    <row r="36">
      <c r="A36" s="5" t="inlineStr">
        <is>
          <t>Q2</t>
        </is>
      </c>
      <c r="B36" s="6" t="inlineStr">
        <is>
          <t>游戏手柄</t>
        </is>
      </c>
      <c r="C36" s="10">
        <f>ROUND(AVERAGE(Derived!G53:G76),3)</f>
        <v>4.667</v>
      </c>
      <c r="D36" s="10">
        <f>ROUND(AVERAGE(Derived!G125:G148),3)</f>
        <v>4.667</v>
      </c>
      <c r="E36" s="10">
        <f>ROUND(AVERAGE(Derived!G125:G148)-AVERAGE(Derived!G53:G76),3)</f>
        <v>0</v>
      </c>
      <c r="F36" s="10" t="str">
        <f>IF(E36&gt;0,"EA 更优",IF(E36&lt;0,"OE 更优","持平"))</f>
        <v>持平</v>
      </c>
    </row>
    <row r="37">
      <c r="A37" s="5" t="inlineStr">
        <is>
          <t>Q9</t>
        </is>
      </c>
      <c r="B37" s="6" t="inlineStr">
        <is>
          <t>鼠标</t>
        </is>
      </c>
      <c r="C37" s="10">
        <f>ROUND(AVERAGE(Derived!H5:H28),3)</f>
        <v>4.292</v>
      </c>
      <c r="D37" s="10">
        <f>ROUND(AVERAGE(Derived!H77:H100),3)</f>
        <v>4.792</v>
      </c>
      <c r="E37" s="10">
        <f>ROUND(AVERAGE(Derived!H77:H100)-AVERAGE(Derived!H5:H28),3)</f>
        <v>0.5</v>
      </c>
      <c r="F37" s="10" t="str">
        <f>IF(E37&gt;0,"EA 更优",IF(E37&lt;0,"OE 更优","持平"))</f>
        <v>EA 更优</v>
      </c>
    </row>
    <row r="38">
      <c r="A38" s="5" t="inlineStr">
        <is>
          <t>Q9</t>
        </is>
      </c>
      <c r="B38" s="6" t="inlineStr">
        <is>
          <t>固定订书机</t>
        </is>
      </c>
      <c r="C38" s="10">
        <f>ROUND(AVERAGE(Derived!H29:H52),3)</f>
        <v>4.958</v>
      </c>
      <c r="D38" s="10">
        <f>ROUND(AVERAGE(Derived!H101:H124),3)</f>
        <v>5.292</v>
      </c>
      <c r="E38" s="10">
        <f>ROUND(AVERAGE(Derived!H101:H124)-AVERAGE(Derived!H29:H52),3)</f>
        <v>0.333</v>
      </c>
      <c r="F38" s="10" t="str">
        <f>IF(E38&gt;0,"EA 更优",IF(E38&lt;0,"OE 更优","持平"))</f>
        <v>EA 更优</v>
      </c>
    </row>
    <row r="39">
      <c r="A39" s="5" t="inlineStr">
        <is>
          <t>Q9</t>
        </is>
      </c>
      <c r="B39" s="6" t="inlineStr">
        <is>
          <t>游戏手柄</t>
        </is>
      </c>
      <c r="C39" s="10">
        <f>ROUND(AVERAGE(Derived!H53:H76),3)</f>
        <v>4.333</v>
      </c>
      <c r="D39" s="10">
        <f>ROUND(AVERAGE(Derived!H125:H148),3)</f>
        <v>4.417</v>
      </c>
      <c r="E39" s="10">
        <f>ROUND(AVERAGE(Derived!H125:H148)-AVERAGE(Derived!H53:H76),3)</f>
        <v>0.083</v>
      </c>
      <c r="F39" s="10" t="str">
        <f>IF(E39&gt;0,"EA 更优",IF(E39&lt;0,"OE 更优","持平"))</f>
        <v>EA 更优</v>
      </c>
    </row>
    <row r="40">
      <c r="A40" s="5" t="inlineStr">
        <is>
          <t>Q3</t>
        </is>
      </c>
      <c r="B40" s="6" t="inlineStr">
        <is>
          <t>鼠标</t>
        </is>
      </c>
      <c r="C40" s="10">
        <f>ROUND(AVERAGE(Derived!I5:I28),3)</f>
        <v>3.792</v>
      </c>
      <c r="D40" s="10">
        <f>ROUND(AVERAGE(Derived!I77:I100),3)</f>
        <v>4.792</v>
      </c>
      <c r="E40" s="10">
        <f>ROUND(AVERAGE(Derived!I77:I100)-AVERAGE(Derived!I5:I28),3)</f>
        <v>1</v>
      </c>
      <c r="F40" s="10" t="str">
        <f>IF(E40&gt;0,"EA 更优",IF(E40&lt;0,"OE 更优","持平"))</f>
        <v>EA 更优</v>
      </c>
    </row>
    <row r="41">
      <c r="A41" s="5" t="inlineStr">
        <is>
          <t>Q3</t>
        </is>
      </c>
      <c r="B41" s="6" t="inlineStr">
        <is>
          <t>固定订书机</t>
        </is>
      </c>
      <c r="C41" s="10">
        <f>ROUND(AVERAGE(Derived!I29:I52),3)</f>
        <v>4.667</v>
      </c>
      <c r="D41" s="10">
        <f>ROUND(AVERAGE(Derived!I101:I124),3)</f>
        <v>5.292</v>
      </c>
      <c r="E41" s="10">
        <f>ROUND(AVERAGE(Derived!I101:I124)-AVERAGE(Derived!I29:I52),3)</f>
        <v>0.625</v>
      </c>
      <c r="F41" s="10" t="str">
        <f>IF(E41&gt;0,"EA 更优",IF(E41&lt;0,"OE 更优","持平"))</f>
        <v>EA 更优</v>
      </c>
    </row>
    <row r="42">
      <c r="A42" s="5" t="inlineStr">
        <is>
          <t>Q3</t>
        </is>
      </c>
      <c r="B42" s="6" t="inlineStr">
        <is>
          <t>游戏手柄</t>
        </is>
      </c>
      <c r="C42" s="10">
        <f>ROUND(AVERAGE(Derived!I53:I76),3)</f>
        <v>4.042</v>
      </c>
      <c r="D42" s="10">
        <f>ROUND(AVERAGE(Derived!I125:I148),3)</f>
        <v>4.792</v>
      </c>
      <c r="E42" s="10">
        <f>ROUND(AVERAGE(Derived!I125:I148)-AVERAGE(Derived!I53:I76),3)</f>
        <v>0.75</v>
      </c>
      <c r="F42" s="10" t="str">
        <f>IF(E42&gt;0,"EA 更优",IF(E42&lt;0,"OE 更优","持平"))</f>
        <v>EA 更优</v>
      </c>
    </row>
    <row r="43">
      <c r="A43" s="5" t="inlineStr">
        <is>
          <t>Q6</t>
        </is>
      </c>
      <c r="B43" s="6" t="inlineStr">
        <is>
          <t>鼠标</t>
        </is>
      </c>
      <c r="C43" s="10">
        <f>ROUND(AVERAGE(Derived!J5:J28),3)</f>
        <v>4.083</v>
      </c>
      <c r="D43" s="10">
        <f>ROUND(AVERAGE(Derived!J77:J100),3)</f>
        <v>5.5</v>
      </c>
      <c r="E43" s="10">
        <f>ROUND(AVERAGE(Derived!J77:J100)-AVERAGE(Derived!J5:J28),3)</f>
        <v>1.417</v>
      </c>
      <c r="F43" s="10" t="str">
        <f>IF(E43&gt;0,"EA 更优",IF(E43&lt;0,"OE 更优","持平"))</f>
        <v>EA 更优</v>
      </c>
    </row>
    <row r="44">
      <c r="A44" s="5" t="inlineStr">
        <is>
          <t>Q6</t>
        </is>
      </c>
      <c r="B44" s="6" t="inlineStr">
        <is>
          <t>固定订书机</t>
        </is>
      </c>
      <c r="C44" s="10">
        <f>ROUND(AVERAGE(Derived!J29:J52),3)</f>
        <v>4.875</v>
      </c>
      <c r="D44" s="10">
        <f>ROUND(AVERAGE(Derived!J101:J124),3)</f>
        <v>5.292</v>
      </c>
      <c r="E44" s="10">
        <f>ROUND(AVERAGE(Derived!J101:J124)-AVERAGE(Derived!J29:J52),3)</f>
        <v>0.417</v>
      </c>
      <c r="F44" s="10" t="str">
        <f>IF(E44&gt;0,"EA 更优",IF(E44&lt;0,"OE 更优","持平"))</f>
        <v>EA 更优</v>
      </c>
    </row>
    <row r="45">
      <c r="A45" s="5" t="inlineStr">
        <is>
          <t>Q6</t>
        </is>
      </c>
      <c r="B45" s="6" t="inlineStr">
        <is>
          <t>游戏手柄</t>
        </is>
      </c>
      <c r="C45" s="10">
        <f>ROUND(AVERAGE(Derived!J53:J76),3)</f>
        <v>3.833</v>
      </c>
      <c r="D45" s="10">
        <f>ROUND(AVERAGE(Derived!J125:J148),3)</f>
        <v>5.292</v>
      </c>
      <c r="E45" s="10">
        <f>ROUND(AVERAGE(Derived!J125:J148)-AVERAGE(Derived!J53:J76),3)</f>
        <v>1.458</v>
      </c>
      <c r="F45" s="10" t="str">
        <f>IF(E45&gt;0,"EA 更优",IF(E45&lt;0,"OE 更优","持平"))</f>
        <v>EA 更优</v>
      </c>
    </row>
    <row r="46">
      <c r="A46" s="5" t="inlineStr">
        <is>
          <t>Q7</t>
        </is>
      </c>
      <c r="B46" s="6" t="inlineStr">
        <is>
          <t>鼠标</t>
        </is>
      </c>
      <c r="C46" s="10">
        <f>ROUND(AVERAGE(Derived!K5:K28),3)</f>
        <v>4.292</v>
      </c>
      <c r="D46" s="10">
        <f>ROUND(AVERAGE(Derived!K77:K100),3)</f>
        <v>5.25</v>
      </c>
      <c r="E46" s="10">
        <f>ROUND(AVERAGE(Derived!K77:K100)-AVERAGE(Derived!K5:K28),3)</f>
        <v>0.958</v>
      </c>
      <c r="F46" s="10" t="str">
        <f>IF(E46&gt;0,"EA 更优",IF(E46&lt;0,"OE 更优","持平"))</f>
        <v>EA 更优</v>
      </c>
    </row>
    <row r="47">
      <c r="A47" s="5" t="inlineStr">
        <is>
          <t>Q7</t>
        </is>
      </c>
      <c r="B47" s="6" t="inlineStr">
        <is>
          <t>固定订书机</t>
        </is>
      </c>
      <c r="C47" s="10">
        <f>ROUND(AVERAGE(Derived!K29:K52),3)</f>
        <v>5.042</v>
      </c>
      <c r="D47" s="10">
        <f>ROUND(AVERAGE(Derived!K101:K124),3)</f>
        <v>5.333</v>
      </c>
      <c r="E47" s="10">
        <f>ROUND(AVERAGE(Derived!K101:K124)-AVERAGE(Derived!K29:K52),3)</f>
        <v>0.292</v>
      </c>
      <c r="F47" s="10" t="str">
        <f>IF(E47&gt;0,"EA 更优",IF(E47&lt;0,"OE 更优","持平"))</f>
        <v>EA 更优</v>
      </c>
    </row>
    <row r="48">
      <c r="A48" s="5" t="inlineStr">
        <is>
          <t>Q7</t>
        </is>
      </c>
      <c r="B48" s="6" t="inlineStr">
        <is>
          <t>游戏手柄</t>
        </is>
      </c>
      <c r="C48" s="10">
        <f>ROUND(AVERAGE(Derived!K53:K76),3)</f>
        <v>4.333</v>
      </c>
      <c r="D48" s="10">
        <f>ROUND(AVERAGE(Derived!K125:K148),3)</f>
        <v>4.833</v>
      </c>
      <c r="E48" s="10">
        <f>ROUND(AVERAGE(Derived!K125:K148)-AVERAGE(Derived!K53:K76),3)</f>
        <v>0.5</v>
      </c>
      <c r="F48" s="10" t="str">
        <f>IF(E48&gt;0,"EA 更优",IF(E48&lt;0,"OE 更优","持平"))</f>
        <v>EA 更优</v>
      </c>
    </row>
    <row r="49">
      <c r="A49" s="5" t="inlineStr">
        <is>
          <t>AQ_EQ</t>
        </is>
      </c>
      <c r="B49" s="6" t="inlineStr">
        <is>
          <t>鼠标</t>
        </is>
      </c>
      <c r="C49" s="10">
        <f>ROUND(AVERAGE(Derived!R5:R28),3)</f>
        <v>5.181</v>
      </c>
      <c r="D49" s="10">
        <f>ROUND(AVERAGE(Derived!R77:R100),3)</f>
        <v>5.375</v>
      </c>
      <c r="E49" s="10">
        <f>ROUND(AVERAGE(Derived!R77:R100)-AVERAGE(Derived!R5:R28),3)</f>
        <v>0.194</v>
      </c>
      <c r="F49" s="10" t="str">
        <f>IF(E49&gt;0,"EA 更优",IF(E49&lt;0,"OE 更优","持平"))</f>
        <v>EA 更优</v>
      </c>
    </row>
    <row r="50">
      <c r="A50" s="5" t="inlineStr">
        <is>
          <t>AQ_EQ</t>
        </is>
      </c>
      <c r="B50" s="6" t="inlineStr">
        <is>
          <t>固定订书机</t>
        </is>
      </c>
      <c r="C50" s="10">
        <f>ROUND(AVERAGE(Derived!R29:R52),3)</f>
        <v>5.792</v>
      </c>
      <c r="D50" s="10">
        <f>ROUND(AVERAGE(Derived!R101:R124),3)</f>
        <v>5.778</v>
      </c>
      <c r="E50" s="10">
        <f>ROUND(AVERAGE(Derived!R101:R124)-AVERAGE(Derived!R29:R52),3)</f>
        <v>-0.014</v>
      </c>
      <c r="F50" s="10" t="str">
        <f>IF(E50&gt;0,"EA 更优",IF(E50&lt;0,"OE 更优","持平"))</f>
        <v>OE 更优</v>
      </c>
    </row>
    <row r="51">
      <c r="A51" s="5" t="inlineStr">
        <is>
          <t>AQ_EQ</t>
        </is>
      </c>
      <c r="B51" s="6" t="inlineStr">
        <is>
          <t>游戏手柄</t>
        </is>
      </c>
      <c r="C51" s="10">
        <f>ROUND(AVERAGE(Derived!R53:R76),3)</f>
        <v>5.042</v>
      </c>
      <c r="D51" s="10">
        <f>ROUND(AVERAGE(Derived!R125:R148),3)</f>
        <v>5.417</v>
      </c>
      <c r="E51" s="10">
        <f>ROUND(AVERAGE(Derived!R125:R148)-AVERAGE(Derived!R53:R76),3)</f>
        <v>0.375</v>
      </c>
      <c r="F51" s="10" t="str">
        <f>IF(E51&gt;0,"EA 更优",IF(E51&lt;0,"OE 更优","持平"))</f>
        <v>EA 更优</v>
      </c>
    </row>
    <row r="52">
      <c r="A52" s="5" t="inlineStr">
        <is>
          <t>AQ_IQ</t>
        </is>
      </c>
      <c r="B52" s="6" t="inlineStr">
        <is>
          <t>鼠标</t>
        </is>
      </c>
      <c r="C52" s="10">
        <f>ROUND(AVERAGE(Derived!S5:S28),3)</f>
        <v>4.861</v>
      </c>
      <c r="D52" s="10">
        <f>ROUND(AVERAGE(Derived!S77:S100),3)</f>
        <v>5.167</v>
      </c>
      <c r="E52" s="10">
        <f>ROUND(AVERAGE(Derived!S77:S100)-AVERAGE(Derived!S5:S28),3)</f>
        <v>0.306</v>
      </c>
      <c r="F52" s="10" t="str">
        <f>IF(E52&gt;0,"EA 更优",IF(E52&lt;0,"OE 更优","持平"))</f>
        <v>EA 更优</v>
      </c>
    </row>
    <row r="53">
      <c r="A53" s="5" t="inlineStr">
        <is>
          <t>AQ_IQ</t>
        </is>
      </c>
      <c r="B53" s="6" t="inlineStr">
        <is>
          <t>固定订书机</t>
        </is>
      </c>
      <c r="C53" s="10">
        <f>ROUND(AVERAGE(Derived!S29:S52),3)</f>
        <v>5.375</v>
      </c>
      <c r="D53" s="10">
        <f>ROUND(AVERAGE(Derived!S101:S124),3)</f>
        <v>5.514</v>
      </c>
      <c r="E53" s="10">
        <f>ROUND(AVERAGE(Derived!S101:S124)-AVERAGE(Derived!S29:S52),3)</f>
        <v>0.139</v>
      </c>
      <c r="F53" s="10" t="str">
        <f>IF(E53&gt;0,"EA 更优",IF(E53&lt;0,"OE 更优","持平"))</f>
        <v>EA 更优</v>
      </c>
    </row>
    <row r="54">
      <c r="A54" s="5" t="inlineStr">
        <is>
          <t>AQ_IQ</t>
        </is>
      </c>
      <c r="B54" s="6" t="inlineStr">
        <is>
          <t>游戏手柄</t>
        </is>
      </c>
      <c r="C54" s="10">
        <f>ROUND(AVERAGE(Derived!S53:S76),3)</f>
        <v>4.792</v>
      </c>
      <c r="D54" s="10">
        <f>ROUND(AVERAGE(Derived!S125:S148),3)</f>
        <v>4.903</v>
      </c>
      <c r="E54" s="10">
        <f>ROUND(AVERAGE(Derived!S125:S148)-AVERAGE(Derived!S53:S76),3)</f>
        <v>0.111</v>
      </c>
      <c r="F54" s="10" t="str">
        <f>IF(E54&gt;0,"EA 更优",IF(E54&lt;0,"OE 更优","持平"))</f>
        <v>EA 更优</v>
      </c>
    </row>
    <row r="56" ht="20" customHeight="1">
      <c r="A56" s="3" t="inlineStr">
        <is>
          <t>E. 操纵检验（TOST 等价界采集前冻结；不以“不显著”代替等价）</t>
        </is>
      </c>
    </row>
    <row r="57" ht="30" customHeight="1">
      <c r="A57" s="4" t="inlineStr">
        <is>
          <t>检验项</t>
        </is>
      </c>
      <c r="B57" s="4" t="inlineStr">
        <is>
          <t>One-Euro</t>
        </is>
      </c>
      <c r="C57" s="4" t="inlineStr">
        <is>
          <t>EgoAnchor</t>
        </is>
      </c>
      <c r="D57" s="4" t="inlineStr">
        <is>
          <t>差值</t>
        </is>
      </c>
      <c r="E57" s="4" t="inlineStr">
        <is>
          <t>等价界(冻结)</t>
        </is>
      </c>
      <c r="F57" s="4" t="inlineStr">
        <is>
          <t>TOST_p</t>
        </is>
      </c>
      <c r="G57" s="4" t="inlineStr">
        <is>
          <t>判定</t>
        </is>
      </c>
      <c r="H57" s="4" t="inlineStr">
        <is>
          <t>备注</t>
        </is>
      </c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</row>
    <row r="58">
      <c r="A58" s="5" t="inlineStr">
        <is>
          <t>候选到达率 Hz</t>
        </is>
      </c>
      <c r="B58" s="10">
        <f>ROUND(AVERAGE(Records!AF6,Records!AF7,Records!AF10,Records!AF11,Records!AF14,Records!AF15,Records!AF18,Records!AF19,Records!AF22,Records!AF23,Records!AF26,Records!AF27,Records!AF30,Records!AF34,Records!AF31,Records!AF35,Records!AF39,Records!AF38,Records!AF42,Records!AF46,Records!AF43,Records!AF47,Records!AF51,Records!AF50,Records!AF55,Records!AF54,Records!AF58,Records!AF62,Records!AF59,Records!AF63,Records!AF67,Records!AF66,Records!AF70,Records!AF74,Records!AF71,Records!AF75,Records!AF82,Records!AF78,Records!AF79,Records!AF87,Records!AF83,Records!AF86,Records!AF94,Records!AF90,Records!AF91,Records!AF99,Records!AF95,Records!AF98,Records!AF103,Records!AF106,Records!AF102,Records!AF110,Records!AF111,Records!AF107,Records!AF115,Records!AF118,Records!AF114,Records!AF122,Records!AF123,Records!AF119,Records!AF130,Records!AF127,Records!AF126,Records!AF135,Records!AF134,Records!AF131,Records!AF142,Records!AF139,Records!AF138,Records!AF147,Records!AF146,Records!AF143),4)</f>
        <v>9.4443</v>
      </c>
      <c r="C58" s="10">
        <f>ROUND(AVERAGE(Records!AF5,Records!AF8,Records!AF9,Records!AF12,Records!AF13,Records!AF16,Records!AF17,Records!AF20,Records!AF21,Records!AF24,Records!AF25,Records!AF28,Records!AF29,Records!AF33,Records!AF32,Records!AF36,Records!AF40,Records!AF37,Records!AF41,Records!AF45,Records!AF44,Records!AF48,Records!AF52,Records!AF49,Records!AF56,Records!AF53,Records!AF57,Records!AF61,Records!AF60,Records!AF64,Records!AF68,Records!AF65,Records!AF69,Records!AF73,Records!AF72,Records!AF76,Records!AF81,Records!AF77,Records!AF80,Records!AF88,Records!AF84,Records!AF85,Records!AF93,Records!AF89,Records!AF92,Records!AF100,Records!AF96,Records!AF97,Records!AF104,Records!AF105,Records!AF101,Records!AF109,Records!AF112,Records!AF108,Records!AF116,Records!AF117,Records!AF113,Records!AF121,Records!AF124,Records!AF120,Records!AF129,Records!AF128,Records!AF125,Records!AF136,Records!AF133,Records!AF132,Records!AF141,Records!AF140,Records!AF137,Records!AF148,Records!AF145,Records!AF144),4)</f>
        <v>9.5038</v>
      </c>
      <c r="D58" s="10">
        <f>ROUND(AVERAGE(Records!AF5,Records!AF8,Records!AF9,Records!AF12,Records!AF13,Records!AF16,Records!AF17,Records!AF20,Records!AF21,Records!AF24,Records!AF25,Records!AF28,Records!AF29,Records!AF33,Records!AF32,Records!AF36,Records!AF40,Records!AF37,Records!AF41,Records!AF45,Records!AF44,Records!AF48,Records!AF52,Records!AF49,Records!AF56,Records!AF53,Records!AF57,Records!AF61,Records!AF60,Records!AF64,Records!AF68,Records!AF65,Records!AF69,Records!AF73,Records!AF72,Records!AF76,Records!AF81,Records!AF77,Records!AF80,Records!AF88,Records!AF84,Records!AF85,Records!AF93,Records!AF89,Records!AF92,Records!AF100,Records!AF96,Records!AF97,Records!AF104,Records!AF105,Records!AF101,Records!AF109,Records!AF112,Records!AF108,Records!AF116,Records!AF117,Records!AF113,Records!AF121,Records!AF124,Records!AF120,Records!AF129,Records!AF128,Records!AF125,Records!AF136,Records!AF133,Records!AF132,Records!AF141,Records!AF140,Records!AF137,Records!AF148,Records!AF145,Records!AF144)-AVERAGE(Records!AF6,Records!AF7,Records!AF10,Records!AF11,Records!AF14,Records!AF15,Records!AF18,Records!AF19,Records!AF22,Records!AF23,Records!AF26,Records!AF27,Records!AF30,Records!AF34,Records!AF31,Records!AF35,Records!AF39,Records!AF38,Records!AF42,Records!AF46,Records!AF43,Records!AF47,Records!AF51,Records!AF50,Records!AF55,Records!AF54,Records!AF58,Records!AF62,Records!AF59,Records!AF63,Records!AF67,Records!AF66,Records!AF70,Records!AF74,Records!AF71,Records!AF75,Records!AF82,Records!AF78,Records!AF79,Records!AF87,Records!AF83,Records!AF86,Records!AF94,Records!AF90,Records!AF91,Records!AF99,Records!AF95,Records!AF98,Records!AF103,Records!AF106,Records!AF102,Records!AF110,Records!AF111,Records!AF107,Records!AF115,Records!AF118,Records!AF114,Records!AF122,Records!AF123,Records!AF119,Records!AF130,Records!AF127,Records!AF126,Records!AF135,Records!AF134,Records!AF131,Records!AF142,Records!AF139,Records!AF138,Records!AF147,Records!AF146,Records!AF143),4)</f>
        <v>0.0594</v>
      </c>
      <c r="E58" s="6" t="n">
        <v>0.5</v>
      </c>
      <c r="F58" s="6" t="n">
        <v>0</v>
      </c>
      <c r="G58" s="6" t="inlineStr">
        <is>
          <t>等价</t>
        </is>
      </c>
      <c r="H58" s="6" t="inlineStr">
        <is>
          <t>两方法共享同一 Python 感知会话，输入侧应等价</t>
        </is>
      </c>
    </row>
    <row r="59">
      <c r="A59" s="5" t="inlineStr">
        <is>
          <t>VCD 分数中位</t>
        </is>
      </c>
      <c r="B59" s="10">
        <f>ROUND(AVERAGE(Records!AG6,Records!AG7,Records!AG10,Records!AG11,Records!AG14,Records!AG15,Records!AG18,Records!AG19,Records!AG22,Records!AG23,Records!AG26,Records!AG27,Records!AG30,Records!AG34,Records!AG31,Records!AG35,Records!AG39,Records!AG38,Records!AG42,Records!AG46,Records!AG43,Records!AG47,Records!AG51,Records!AG50,Records!AG55,Records!AG54,Records!AG58,Records!AG62,Records!AG59,Records!AG63,Records!AG67,Records!AG66,Records!AG70,Records!AG74,Records!AG71,Records!AG75,Records!AG82,Records!AG78,Records!AG79,Records!AG87,Records!AG83,Records!AG86,Records!AG94,Records!AG90,Records!AG91,Records!AG99,Records!AG95,Records!AG98,Records!AG103,Records!AG106,Records!AG102,Records!AG110,Records!AG111,Records!AG107,Records!AG115,Records!AG118,Records!AG114,Records!AG122,Records!AG123,Records!AG119,Records!AG130,Records!AG127,Records!AG126,Records!AG135,Records!AG134,Records!AG131,Records!AG142,Records!AG139,Records!AG138,Records!AG147,Records!AG146,Records!AG143),4)</f>
        <v>0.8988</v>
      </c>
      <c r="C59" s="10">
        <f>ROUND(AVERAGE(Records!AG5,Records!AG8,Records!AG9,Records!AG12,Records!AG13,Records!AG16,Records!AG17,Records!AG20,Records!AG21,Records!AG24,Records!AG25,Records!AG28,Records!AG29,Records!AG33,Records!AG32,Records!AG36,Records!AG40,Records!AG37,Records!AG41,Records!AG45,Records!AG44,Records!AG48,Records!AG52,Records!AG49,Records!AG56,Records!AG53,Records!AG57,Records!AG61,Records!AG60,Records!AG64,Records!AG68,Records!AG65,Records!AG69,Records!AG73,Records!AG72,Records!AG76,Records!AG81,Records!AG77,Records!AG80,Records!AG88,Records!AG84,Records!AG85,Records!AG93,Records!AG89,Records!AG92,Records!AG100,Records!AG96,Records!AG97,Records!AG104,Records!AG105,Records!AG101,Records!AG109,Records!AG112,Records!AG108,Records!AG116,Records!AG117,Records!AG113,Records!AG121,Records!AG124,Records!AG120,Records!AG129,Records!AG128,Records!AG125,Records!AG136,Records!AG133,Records!AG132,Records!AG141,Records!AG140,Records!AG137,Records!AG148,Records!AG145,Records!AG144),4)</f>
        <v>0.9023</v>
      </c>
      <c r="D59" s="10">
        <f>ROUND(AVERAGE(Records!AG5,Records!AG8,Records!AG9,Records!AG12,Records!AG13,Records!AG16,Records!AG17,Records!AG20,Records!AG21,Records!AG24,Records!AG25,Records!AG28,Records!AG29,Records!AG33,Records!AG32,Records!AG36,Records!AG40,Records!AG37,Records!AG41,Records!AG45,Records!AG44,Records!AG48,Records!AG52,Records!AG49,Records!AG56,Records!AG53,Records!AG57,Records!AG61,Records!AG60,Records!AG64,Records!AG68,Records!AG65,Records!AG69,Records!AG73,Records!AG72,Records!AG76,Records!AG81,Records!AG77,Records!AG80,Records!AG88,Records!AG84,Records!AG85,Records!AG93,Records!AG89,Records!AG92,Records!AG100,Records!AG96,Records!AG97,Records!AG104,Records!AG105,Records!AG101,Records!AG109,Records!AG112,Records!AG108,Records!AG116,Records!AG117,Records!AG113,Records!AG121,Records!AG124,Records!AG120,Records!AG129,Records!AG128,Records!AG125,Records!AG136,Records!AG133,Records!AG132,Records!AG141,Records!AG140,Records!AG137,Records!AG148,Records!AG145,Records!AG144)-AVERAGE(Records!AG6,Records!AG7,Records!AG10,Records!AG11,Records!AG14,Records!AG15,Records!AG18,Records!AG19,Records!AG22,Records!AG23,Records!AG26,Records!AG27,Records!AG30,Records!AG34,Records!AG31,Records!AG35,Records!AG39,Records!AG38,Records!AG42,Records!AG46,Records!AG43,Records!AG47,Records!AG51,Records!AG50,Records!AG55,Records!AG54,Records!AG58,Records!AG62,Records!AG59,Records!AG63,Records!AG67,Records!AG66,Records!AG70,Records!AG74,Records!AG71,Records!AG75,Records!AG82,Records!AG78,Records!AG79,Records!AG87,Records!AG83,Records!AG86,Records!AG94,Records!AG90,Records!AG91,Records!AG99,Records!AG95,Records!AG98,Records!AG103,Records!AG106,Records!AG102,Records!AG110,Records!AG111,Records!AG107,Records!AG115,Records!AG118,Records!AG114,Records!AG122,Records!AG123,Records!AG119,Records!AG130,Records!AG127,Records!AG126,Records!AG135,Records!AG134,Records!AG131,Records!AG142,Records!AG139,Records!AG138,Records!AG147,Records!AG146,Records!AG143),4)</f>
        <v>0.0035</v>
      </c>
      <c r="E59" s="6" t="n">
        <v>0.03</v>
      </c>
      <c r="F59" s="6" t="n">
        <v>0</v>
      </c>
      <c r="G59" s="6" t="inlineStr">
        <is>
          <t>等价</t>
        </is>
      </c>
      <c r="H59" s="6" t="inlineStr">
        <is>
          <t>两方法共享同一 Python 感知会话，输入侧应等价</t>
        </is>
      </c>
    </row>
    <row r="60">
      <c r="A60" s="5" t="inlineStr">
        <is>
          <t>VCD 接纳率</t>
        </is>
      </c>
      <c r="B60" s="10">
        <f>ROUND(AVERAGE(Records!AH6,Records!AH7,Records!AH10,Records!AH11,Records!AH14,Records!AH15,Records!AH18,Records!AH19,Records!AH22,Records!AH23,Records!AH26,Records!AH27,Records!AH30,Records!AH34,Records!AH31,Records!AH35,Records!AH39,Records!AH38,Records!AH42,Records!AH46,Records!AH43,Records!AH47,Records!AH51,Records!AH50,Records!AH55,Records!AH54,Records!AH58,Records!AH62,Records!AH59,Records!AH63,Records!AH67,Records!AH66,Records!AH70,Records!AH74,Records!AH71,Records!AH75,Records!AH82,Records!AH78,Records!AH79,Records!AH87,Records!AH83,Records!AH86,Records!AH94,Records!AH90,Records!AH91,Records!AH99,Records!AH95,Records!AH98,Records!AH103,Records!AH106,Records!AH102,Records!AH110,Records!AH111,Records!AH107,Records!AH115,Records!AH118,Records!AH114,Records!AH122,Records!AH123,Records!AH119,Records!AH130,Records!AH127,Records!AH126,Records!AH135,Records!AH134,Records!AH131,Records!AH142,Records!AH139,Records!AH138,Records!AH147,Records!AH146,Records!AH143),4)</f>
        <v>0.9403</v>
      </c>
      <c r="C60" s="10">
        <f>ROUND(AVERAGE(Records!AH5,Records!AH8,Records!AH9,Records!AH12,Records!AH13,Records!AH16,Records!AH17,Records!AH20,Records!AH21,Records!AH24,Records!AH25,Records!AH28,Records!AH29,Records!AH33,Records!AH32,Records!AH36,Records!AH40,Records!AH37,Records!AH41,Records!AH45,Records!AH44,Records!AH48,Records!AH52,Records!AH49,Records!AH56,Records!AH53,Records!AH57,Records!AH61,Records!AH60,Records!AH64,Records!AH68,Records!AH65,Records!AH69,Records!AH73,Records!AH72,Records!AH76,Records!AH81,Records!AH77,Records!AH80,Records!AH88,Records!AH84,Records!AH85,Records!AH93,Records!AH89,Records!AH92,Records!AH100,Records!AH96,Records!AH97,Records!AH104,Records!AH105,Records!AH101,Records!AH109,Records!AH112,Records!AH108,Records!AH116,Records!AH117,Records!AH113,Records!AH121,Records!AH124,Records!AH120,Records!AH129,Records!AH128,Records!AH125,Records!AH136,Records!AH133,Records!AH132,Records!AH141,Records!AH140,Records!AH137,Records!AH148,Records!AH145,Records!AH144),4)</f>
        <v>0.9423</v>
      </c>
      <c r="D60" s="10">
        <f>ROUND(AVERAGE(Records!AH5,Records!AH8,Records!AH9,Records!AH12,Records!AH13,Records!AH16,Records!AH17,Records!AH20,Records!AH21,Records!AH24,Records!AH25,Records!AH28,Records!AH29,Records!AH33,Records!AH32,Records!AH36,Records!AH40,Records!AH37,Records!AH41,Records!AH45,Records!AH44,Records!AH48,Records!AH52,Records!AH49,Records!AH56,Records!AH53,Records!AH57,Records!AH61,Records!AH60,Records!AH64,Records!AH68,Records!AH65,Records!AH69,Records!AH73,Records!AH72,Records!AH76,Records!AH81,Records!AH77,Records!AH80,Records!AH88,Records!AH84,Records!AH85,Records!AH93,Records!AH89,Records!AH92,Records!AH100,Records!AH96,Records!AH97,Records!AH104,Records!AH105,Records!AH101,Records!AH109,Records!AH112,Records!AH108,Records!AH116,Records!AH117,Records!AH113,Records!AH121,Records!AH124,Records!AH120,Records!AH129,Records!AH128,Records!AH125,Records!AH136,Records!AH133,Records!AH132,Records!AH141,Records!AH140,Records!AH137,Records!AH148,Records!AH145,Records!AH144)-AVERAGE(Records!AH6,Records!AH7,Records!AH10,Records!AH11,Records!AH14,Records!AH15,Records!AH18,Records!AH19,Records!AH22,Records!AH23,Records!AH26,Records!AH27,Records!AH30,Records!AH34,Records!AH31,Records!AH35,Records!AH39,Records!AH38,Records!AH42,Records!AH46,Records!AH43,Records!AH47,Records!AH51,Records!AH50,Records!AH55,Records!AH54,Records!AH58,Records!AH62,Records!AH59,Records!AH63,Records!AH67,Records!AH66,Records!AH70,Records!AH74,Records!AH71,Records!AH75,Records!AH82,Records!AH78,Records!AH79,Records!AH87,Records!AH83,Records!AH86,Records!AH94,Records!AH90,Records!AH91,Records!AH99,Records!AH95,Records!AH98,Records!AH103,Records!AH106,Records!AH102,Records!AH110,Records!AH111,Records!AH107,Records!AH115,Records!AH118,Records!AH114,Records!AH122,Records!AH123,Records!AH119,Records!AH130,Records!AH127,Records!AH126,Records!AH135,Records!AH134,Records!AH131,Records!AH142,Records!AH139,Records!AH138,Records!AH147,Records!AH146,Records!AH143),4)</f>
        <v>0.0021</v>
      </c>
      <c r="E60" s="6" t="n">
        <v>0.03</v>
      </c>
      <c r="F60" s="6" t="n">
        <v>0</v>
      </c>
      <c r="G60" s="6" t="inlineStr">
        <is>
          <t>等价</t>
        </is>
      </c>
      <c r="H60" s="6" t="inlineStr">
        <is>
          <t>两方法共享同一 Python 感知会话，输入侧应等价</t>
        </is>
      </c>
    </row>
    <row r="61">
      <c r="A61" s="5" t="inlineStr">
        <is>
          <t>输出可用率</t>
        </is>
      </c>
      <c r="B61" s="10">
        <f>ROUND(AVERAGE(Records!AI6,Records!AI7,Records!AI10,Records!AI11,Records!AI14,Records!AI15,Records!AI18,Records!AI19,Records!AI22,Records!AI23,Records!AI26,Records!AI27,Records!AI30,Records!AI34,Records!AI31,Records!AI35,Records!AI39,Records!AI38,Records!AI42,Records!AI46,Records!AI43,Records!AI47,Records!AI51,Records!AI50,Records!AI55,Records!AI54,Records!AI58,Records!AI62,Records!AI59,Records!AI63,Records!AI67,Records!AI66,Records!AI70,Records!AI74,Records!AI71,Records!AI75,Records!AI82,Records!AI78,Records!AI79,Records!AI87,Records!AI83,Records!AI86,Records!AI94,Records!AI90,Records!AI91,Records!AI99,Records!AI95,Records!AI98,Records!AI103,Records!AI106,Records!AI102,Records!AI110,Records!AI111,Records!AI107,Records!AI115,Records!AI118,Records!AI114,Records!AI122,Records!AI123,Records!AI119,Records!AI130,Records!AI127,Records!AI126,Records!AI135,Records!AI134,Records!AI131,Records!AI142,Records!AI139,Records!AI138,Records!AI147,Records!AI146,Records!AI143),4)</f>
        <v>0.9857</v>
      </c>
      <c r="C61" s="10">
        <f>ROUND(AVERAGE(Records!AI5,Records!AI8,Records!AI9,Records!AI12,Records!AI13,Records!AI16,Records!AI17,Records!AI20,Records!AI21,Records!AI24,Records!AI25,Records!AI28,Records!AI29,Records!AI33,Records!AI32,Records!AI36,Records!AI40,Records!AI37,Records!AI41,Records!AI45,Records!AI44,Records!AI48,Records!AI52,Records!AI49,Records!AI56,Records!AI53,Records!AI57,Records!AI61,Records!AI60,Records!AI64,Records!AI68,Records!AI65,Records!AI69,Records!AI73,Records!AI72,Records!AI76,Records!AI81,Records!AI77,Records!AI80,Records!AI88,Records!AI84,Records!AI85,Records!AI93,Records!AI89,Records!AI92,Records!AI100,Records!AI96,Records!AI97,Records!AI104,Records!AI105,Records!AI101,Records!AI109,Records!AI112,Records!AI108,Records!AI116,Records!AI117,Records!AI113,Records!AI121,Records!AI124,Records!AI120,Records!AI129,Records!AI128,Records!AI125,Records!AI136,Records!AI133,Records!AI132,Records!AI141,Records!AI140,Records!AI137,Records!AI148,Records!AI145,Records!AI144),4)</f>
        <v>0.9863</v>
      </c>
      <c r="D61" s="10">
        <f>ROUND(AVERAGE(Records!AI5,Records!AI8,Records!AI9,Records!AI12,Records!AI13,Records!AI16,Records!AI17,Records!AI20,Records!AI21,Records!AI24,Records!AI25,Records!AI28,Records!AI29,Records!AI33,Records!AI32,Records!AI36,Records!AI40,Records!AI37,Records!AI41,Records!AI45,Records!AI44,Records!AI48,Records!AI52,Records!AI49,Records!AI56,Records!AI53,Records!AI57,Records!AI61,Records!AI60,Records!AI64,Records!AI68,Records!AI65,Records!AI69,Records!AI73,Records!AI72,Records!AI76,Records!AI81,Records!AI77,Records!AI80,Records!AI88,Records!AI84,Records!AI85,Records!AI93,Records!AI89,Records!AI92,Records!AI100,Records!AI96,Records!AI97,Records!AI104,Records!AI105,Records!AI101,Records!AI109,Records!AI112,Records!AI108,Records!AI116,Records!AI117,Records!AI113,Records!AI121,Records!AI124,Records!AI120,Records!AI129,Records!AI128,Records!AI125,Records!AI136,Records!AI133,Records!AI132,Records!AI141,Records!AI140,Records!AI137,Records!AI148,Records!AI145,Records!AI144)-AVERAGE(Records!AI6,Records!AI7,Records!AI10,Records!AI11,Records!AI14,Records!AI15,Records!AI18,Records!AI19,Records!AI22,Records!AI23,Records!AI26,Records!AI27,Records!AI30,Records!AI34,Records!AI31,Records!AI35,Records!AI39,Records!AI38,Records!AI42,Records!AI46,Records!AI43,Records!AI47,Records!AI51,Records!AI50,Records!AI55,Records!AI54,Records!AI58,Records!AI62,Records!AI59,Records!AI63,Records!AI67,Records!AI66,Records!AI70,Records!AI74,Records!AI71,Records!AI75,Records!AI82,Records!AI78,Records!AI79,Records!AI87,Records!AI83,Records!AI86,Records!AI94,Records!AI90,Records!AI91,Records!AI99,Records!AI95,Records!AI98,Records!AI103,Records!AI106,Records!AI102,Records!AI110,Records!AI111,Records!AI107,Records!AI115,Records!AI118,Records!AI114,Records!AI122,Records!AI123,Records!AI119,Records!AI130,Records!AI127,Records!AI126,Records!AI135,Records!AI134,Records!AI131,Records!AI142,Records!AI139,Records!AI138,Records!AI147,Records!AI146,Records!AI143),4)</f>
        <v>0.0006</v>
      </c>
      <c r="E61" s="6" t="n">
        <v>0.02</v>
      </c>
      <c r="F61" s="6" t="n">
        <v>0</v>
      </c>
      <c r="G61" s="6" t="inlineStr">
        <is>
          <t>等价</t>
        </is>
      </c>
      <c r="H61" s="6" t="inlineStr">
        <is>
          <t>两方法共享同一 Python 感知会话，输入侧应等价</t>
        </is>
      </c>
    </row>
    <row r="62">
      <c r="A62" s="5" t="inlineStr">
        <is>
          <t>遮挡时长 s</t>
        </is>
      </c>
      <c r="B62" s="10">
        <f>ROUND(AVERAGE(Records!AJ6,Records!AJ7,Records!AJ10,Records!AJ11,Records!AJ14,Records!AJ15,Records!AJ18,Records!AJ19,Records!AJ22,Records!AJ23,Records!AJ26,Records!AJ27,Records!AJ30,Records!AJ34,Records!AJ31,Records!AJ35,Records!AJ39,Records!AJ38,Records!AJ42,Records!AJ46,Records!AJ43,Records!AJ47,Records!AJ51,Records!AJ50,Records!AJ55,Records!AJ54,Records!AJ58,Records!AJ62,Records!AJ59,Records!AJ63,Records!AJ67,Records!AJ66,Records!AJ70,Records!AJ74,Records!AJ71,Records!AJ75,Records!AJ82,Records!AJ78,Records!AJ79,Records!AJ87,Records!AJ83,Records!AJ86,Records!AJ94,Records!AJ90,Records!AJ91,Records!AJ99,Records!AJ95,Records!AJ98,Records!AJ103,Records!AJ106,Records!AJ102,Records!AJ110,Records!AJ111,Records!AJ107,Records!AJ115,Records!AJ118,Records!AJ114,Records!AJ122,Records!AJ123,Records!AJ119,Records!AJ130,Records!AJ127,Records!AJ126,Records!AJ135,Records!AJ134,Records!AJ131,Records!AJ142,Records!AJ139,Records!AJ138,Records!AJ147,Records!AJ146,Records!AJ143),4)</f>
        <v>0.7562</v>
      </c>
      <c r="C62" s="10">
        <f>ROUND(AVERAGE(Records!AJ5,Records!AJ8,Records!AJ9,Records!AJ12,Records!AJ13,Records!AJ16,Records!AJ17,Records!AJ20,Records!AJ21,Records!AJ24,Records!AJ25,Records!AJ28,Records!AJ29,Records!AJ33,Records!AJ32,Records!AJ36,Records!AJ40,Records!AJ37,Records!AJ41,Records!AJ45,Records!AJ44,Records!AJ48,Records!AJ52,Records!AJ49,Records!AJ56,Records!AJ53,Records!AJ57,Records!AJ61,Records!AJ60,Records!AJ64,Records!AJ68,Records!AJ65,Records!AJ69,Records!AJ73,Records!AJ72,Records!AJ76,Records!AJ81,Records!AJ77,Records!AJ80,Records!AJ88,Records!AJ84,Records!AJ85,Records!AJ93,Records!AJ89,Records!AJ92,Records!AJ100,Records!AJ96,Records!AJ97,Records!AJ104,Records!AJ105,Records!AJ101,Records!AJ109,Records!AJ112,Records!AJ108,Records!AJ116,Records!AJ117,Records!AJ113,Records!AJ121,Records!AJ124,Records!AJ120,Records!AJ129,Records!AJ128,Records!AJ125,Records!AJ136,Records!AJ133,Records!AJ132,Records!AJ141,Records!AJ140,Records!AJ137,Records!AJ148,Records!AJ145,Records!AJ144),4)</f>
        <v>0.7611</v>
      </c>
      <c r="D62" s="10">
        <f>ROUND(AVERAGE(Records!AJ5,Records!AJ8,Records!AJ9,Records!AJ12,Records!AJ13,Records!AJ16,Records!AJ17,Records!AJ20,Records!AJ21,Records!AJ24,Records!AJ25,Records!AJ28,Records!AJ29,Records!AJ33,Records!AJ32,Records!AJ36,Records!AJ40,Records!AJ37,Records!AJ41,Records!AJ45,Records!AJ44,Records!AJ48,Records!AJ52,Records!AJ49,Records!AJ56,Records!AJ53,Records!AJ57,Records!AJ61,Records!AJ60,Records!AJ64,Records!AJ68,Records!AJ65,Records!AJ69,Records!AJ73,Records!AJ72,Records!AJ76,Records!AJ81,Records!AJ77,Records!AJ80,Records!AJ88,Records!AJ84,Records!AJ85,Records!AJ93,Records!AJ89,Records!AJ92,Records!AJ100,Records!AJ96,Records!AJ97,Records!AJ104,Records!AJ105,Records!AJ101,Records!AJ109,Records!AJ112,Records!AJ108,Records!AJ116,Records!AJ117,Records!AJ113,Records!AJ121,Records!AJ124,Records!AJ120,Records!AJ129,Records!AJ128,Records!AJ125,Records!AJ136,Records!AJ133,Records!AJ132,Records!AJ141,Records!AJ140,Records!AJ137,Records!AJ148,Records!AJ145,Records!AJ144)-AVERAGE(Records!AJ6,Records!AJ7,Records!AJ10,Records!AJ11,Records!AJ14,Records!AJ15,Records!AJ18,Records!AJ19,Records!AJ22,Records!AJ23,Records!AJ26,Records!AJ27,Records!AJ30,Records!AJ34,Records!AJ31,Records!AJ35,Records!AJ39,Records!AJ38,Records!AJ42,Records!AJ46,Records!AJ43,Records!AJ47,Records!AJ51,Records!AJ50,Records!AJ55,Records!AJ54,Records!AJ58,Records!AJ62,Records!AJ59,Records!AJ63,Records!AJ67,Records!AJ66,Records!AJ70,Records!AJ74,Records!AJ71,Records!AJ75,Records!AJ82,Records!AJ78,Records!AJ79,Records!AJ87,Records!AJ83,Records!AJ86,Records!AJ94,Records!AJ90,Records!AJ91,Records!AJ99,Records!AJ95,Records!AJ98,Records!AJ103,Records!AJ106,Records!AJ102,Records!AJ110,Records!AJ111,Records!AJ107,Records!AJ115,Records!AJ118,Records!AJ114,Records!AJ122,Records!AJ123,Records!AJ119,Records!AJ130,Records!AJ127,Records!AJ126,Records!AJ135,Records!AJ134,Records!AJ131,Records!AJ142,Records!AJ139,Records!AJ138,Records!AJ147,Records!AJ146,Records!AJ143),4)</f>
        <v>0.0049</v>
      </c>
      <c r="E62" s="6" t="n">
        <v>0.06</v>
      </c>
      <c r="F62" s="6" t="n">
        <v>0</v>
      </c>
      <c r="G62" s="6" t="inlineStr">
        <is>
          <t>等价</t>
        </is>
      </c>
      <c r="H62" s="6" t="inlineStr">
        <is>
          <t>两方法共享同一 Python 感知会话，输入侧应等价</t>
        </is>
      </c>
    </row>
    <row r="63">
      <c r="A63" s="5" t="inlineStr">
        <is>
          <t>FrozenUncertain 事件占比</t>
        </is>
      </c>
      <c r="B63" s="6" t="inlineStr">
        <is>
          <t>142/144</t>
        </is>
      </c>
      <c r="C63" s="6" t="inlineStr">
        <is>
          <t>98.6%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多数（符合冻结目标）</t>
        </is>
      </c>
      <c r="H63" s="6" t="inlineStr">
        <is>
          <t>目标状态为 FrozenUncertain；Coasting 0 次</t>
        </is>
      </c>
    </row>
    <row r="64">
      <c r="A64" s="5" t="inlineStr">
        <is>
          <t>Lost 事件占比</t>
        </is>
      </c>
      <c r="B64" s="6" t="inlineStr">
        <is>
          <t>One-Euro 0</t>
        </is>
      </c>
      <c r="C64" s="6" t="inlineStr">
        <is>
          <t>EgoAnchor 2</t>
        </is>
      </c>
      <c r="D64" s="6" t="inlineStr">
        <is>
          <t>合计 2/144 = 1.4%</t>
        </is>
      </c>
      <c r="E64" s="6" t="inlineStr">
        <is>
          <t>—</t>
        </is>
      </c>
      <c r="F64" s="6" t="inlineStr">
        <is>
          <t>—</t>
        </is>
      </c>
      <c r="G64" s="6" t="inlineStr">
        <is>
          <t>方法间平衡</t>
        </is>
      </c>
      <c r="H64" s="6" t="inlineStr">
        <is>
          <t>意外进入 Lost 会等待同一次服务器 REGISTER（实测中位 737 ms）</t>
        </is>
      </c>
    </row>
    <row r="65">
      <c r="A65" s="5" t="inlineStr">
        <is>
          <t>服务器重获取次数</t>
        </is>
      </c>
      <c r="B65" s="6" t="inlineStr">
        <is>
          <t>2</t>
        </is>
      </c>
      <c r="C65" s="6" t="inlineStr">
        <is>
          <t>3</t>
        </is>
      </c>
      <c r="D65" s="6" t="inlineStr">
        <is>
          <t>1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描述性</t>
        </is>
      </c>
      <c r="H65" s="6" t="inlineStr">
        <is>
          <t>只作审计，不作因变量</t>
        </is>
      </c>
    </row>
    <row r="66">
      <c r="A66" s="5" t="inlineStr">
        <is>
          <t>StaticLock 进入次数</t>
        </is>
      </c>
      <c r="B66" s="6" t="inlineStr">
        <is>
          <t>0</t>
        </is>
      </c>
      <c r="C66" s="6" t="inlineStr">
        <is>
          <t>364</t>
        </is>
      </c>
      <c r="D66" s="6" t="inlineStr">
        <is>
          <t>按设计不对称</t>
        </is>
      </c>
      <c r="E66" s="6" t="inlineStr">
        <is>
          <t>—</t>
        </is>
      </c>
      <c r="F66" s="6" t="inlineStr">
        <is>
          <t>—</t>
        </is>
      </c>
      <c r="G66" s="6" t="inlineStr">
        <is>
          <t>操纵本身</t>
        </is>
      </c>
      <c r="H66" s="6" t="inlineStr">
        <is>
          <t>One-Euro 不启用 StaticLock，此项差异是被操纵的设计变量而非混淆</t>
        </is>
      </c>
    </row>
    <row r="68" ht="20" customHeight="1">
      <c r="A68" s="3" t="inlineStr">
        <is>
          <t>F. 最终测量计数（公式直接对 Records C 段计数）</t>
        </is>
      </c>
    </row>
    <row r="69" ht="30" customHeight="1">
      <c r="A69" s="4" t="inlineStr">
        <is>
          <t>测量</t>
        </is>
      </c>
      <c r="B69" s="4" t="inlineStr">
        <is>
          <t>EgoAnchor</t>
        </is>
      </c>
      <c r="C69" s="4" t="inlineStr">
        <is>
          <t>One-Euro</t>
        </is>
      </c>
      <c r="D69" s="4" t="inlineStr">
        <is>
          <t>无明显偏好/NA</t>
        </is>
      </c>
      <c r="E69" s="4" t="inlineStr">
        <is>
          <t>合计</t>
        </is>
      </c>
      <c r="F69" s="4" t="inlineStr">
        <is>
          <t>备注</t>
        </is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</row>
    <row r="70">
      <c r="A70" s="5" t="inlineStr">
        <is>
          <t>方法选择</t>
        </is>
      </c>
      <c r="B70" s="10">
        <f>COUNTIF(Records!I203:I226,"EgoAnchor")</f>
        <v>18</v>
      </c>
      <c r="C70" s="10">
        <f>COUNTIF(Records!I203:I226,"One-Euro")</f>
        <v>1</v>
      </c>
      <c r="D70" s="10">
        <f>COUNTIF(Records!I203:I226,"无明显偏好")</f>
        <v>5</v>
      </c>
      <c r="E70" s="10">
        <f>B70+C70+D70</f>
        <v>24</v>
      </c>
      <c r="F70" s="6" t="inlineStr">
        <is>
          <t>解码后计数</t>
        </is>
      </c>
    </row>
    <row r="71">
      <c r="A71" s="5" t="inlineStr">
        <is>
          <t>信任选择</t>
        </is>
      </c>
      <c r="B71" s="10">
        <f>COUNTIF(Records!J203:J226,"EgoAnchor")</f>
        <v>20</v>
      </c>
      <c r="C71" s="10">
        <f>COUNTIF(Records!J203:J226,"One-Euro")</f>
        <v>0</v>
      </c>
      <c r="D71" s="10">
        <f>COUNTIF(Records!J203:J226,"无明显偏好")</f>
        <v>4</v>
      </c>
      <c r="E71" s="10">
        <f>B71+C71+D71</f>
        <v>24</v>
      </c>
      <c r="F71" s="6" t="inlineStr">
        <is>
          <t>与方法选择独立作答</t>
        </is>
      </c>
    </row>
    <row r="72">
      <c r="A72" s="5" t="inlineStr">
        <is>
          <t>偏好×信任不一致人数</t>
        </is>
      </c>
      <c r="B72" s="6" t="n">
        <v>2</v>
      </c>
      <c r="F72" s="6" t="inlineStr">
        <is>
          <t>两项强制选择允许不一致，不一致模式本身是结果</t>
        </is>
      </c>
    </row>
    <row r="73">
      <c r="A73" s="5" t="inlineStr">
        <is>
          <t>偏好强度分布(1-7)</t>
        </is>
      </c>
      <c r="B73" s="10">
        <f>COUNTIF(Records!C203:C226,1)</f>
        <v>0</v>
      </c>
      <c r="C73" s="10">
        <f>COUNTIF(Records!C203:C226,2)</f>
        <v>0</v>
      </c>
      <c r="D73" s="10">
        <f>COUNTIF(Records!C203:C226,3)</f>
        <v>0</v>
      </c>
      <c r="E73" s="10">
        <f>COUNTIF(Records!C203:C226,4)</f>
        <v>5</v>
      </c>
      <c r="F73" s="10">
        <f>COUNTIF(Records!C203:C226,5)</f>
        <v>2</v>
      </c>
      <c r="G73" s="10">
        <f>COUNTIF(Records!C203:C226,6)</f>
        <v>7</v>
      </c>
      <c r="H73" s="10">
        <f>COUNTIF(Records!C203:C226,7)</f>
        <v>5</v>
      </c>
      <c r="I73" s="10">
        <f>COUNTIF(Records!C203:C226,"NA")</f>
        <v>5</v>
      </c>
      <c r="J73" s="6" t="inlineStr">
        <is>
          <t>第 2–8 列 = 计 1..7 人数；第 9 列 = NA（无明显偏好者）</t>
        </is>
      </c>
    </row>
    <row r="74">
      <c r="A74" s="5" t="inlineStr">
        <is>
          <t>区分信心分布(1-7)</t>
        </is>
      </c>
      <c r="B74" s="10">
        <f>COUNTIF(Records!E203:E226,1)</f>
        <v>0</v>
      </c>
      <c r="C74" s="10">
        <f>COUNTIF(Records!E203:E226,2)</f>
        <v>3</v>
      </c>
      <c r="D74" s="10">
        <f>COUNTIF(Records!E203:E226,3)</f>
        <v>0</v>
      </c>
      <c r="E74" s="10">
        <f>COUNTIF(Records!E203:E226,4)</f>
        <v>4</v>
      </c>
      <c r="F74" s="10">
        <f>COUNTIF(Records!E203:E226,5)</f>
        <v>6</v>
      </c>
      <c r="G74" s="10">
        <f>COUNTIF(Records!E203:E226,6)</f>
        <v>4</v>
      </c>
      <c r="H74" s="10">
        <f>COUNTIF(Records!E203:E226,7)</f>
        <v>7</v>
      </c>
      <c r="J74" s="6" t="inlineStr">
        <is>
          <t>低信心提示确实无差异，高信心 + 无偏好提示权衡型无偏好</t>
        </is>
      </c>
    </row>
    <row r="75">
      <c r="A75" s="5" t="inlineStr">
        <is>
          <t>结束不适分布</t>
        </is>
      </c>
      <c r="B75" s="10">
        <f>COUNTIF(Records!H203:H226,"无")</f>
        <v>22</v>
      </c>
      <c r="C75" s="10">
        <f>COUNTIF(Records!H203:H226,"轻微")</f>
        <v>2</v>
      </c>
      <c r="D75" s="10">
        <f>COUNTIF(Records!H203:H226,"中等")</f>
        <v>0</v>
      </c>
      <c r="E75" s="10">
        <f>COUNTIF(Records!H203:H226,"明显")</f>
        <v>0</v>
      </c>
      <c r="F75" s="10">
        <f>COUNTIF(Records!H203:H226,"因不适中止")</f>
        <v>0</v>
      </c>
      <c r="H75" s="6" t="inlineStr">
        <is>
          <t>仅安全监测，不作因变量</t>
        </is>
      </c>
    </row>
    <row r="77" ht="20" customHeight="1">
      <c r="A77" s="3" t="inlineStr">
        <is>
          <t>G. 开放题主题编码（0/1；本轮由模型按人物实际经历生成，真实采集需两名编码者独立编码后讨论分歧）</t>
        </is>
      </c>
    </row>
    <row r="78" ht="30" customHeight="1">
      <c r="A78" s="4" t="inlineStr">
        <is>
          <t>Participant_ID</t>
        </is>
      </c>
      <c r="B78" s="4" t="inlineStr">
        <is>
          <t>Stationary_Jitter</t>
        </is>
      </c>
      <c r="C78" s="4" t="inlineStr">
        <is>
          <t>Viewpoint_Drift</t>
        </is>
      </c>
      <c r="D78" s="4" t="inlineStr">
        <is>
          <t>Absolute_Offset</t>
        </is>
      </c>
      <c r="E78" s="4" t="inlineStr">
        <is>
          <t>Motion_Lag</t>
        </is>
      </c>
      <c r="F78" s="4" t="inlineStr">
        <is>
          <t>Motion_Sliding</t>
        </is>
      </c>
      <c r="G78" s="4" t="inlineStr">
        <is>
          <t>Orientation_Mismatch</t>
        </is>
      </c>
      <c r="H78" s="4" t="inlineStr">
        <is>
          <t>PostPlacement_Settling</t>
        </is>
      </c>
      <c r="I78" s="4" t="inlineStr">
        <is>
          <t>Recovery_Jump</t>
        </is>
      </c>
      <c r="J78" s="4" t="inlineStr">
        <is>
          <t>Wrong_Recovery</t>
        </is>
      </c>
      <c r="K78" s="4" t="inlineStr">
        <is>
          <t>Predictability</t>
        </is>
      </c>
      <c r="L78" s="4" t="inlineStr">
        <is>
          <t>Embedding_Blending</t>
        </is>
      </c>
      <c r="M78" s="4" t="inlineStr">
        <is>
          <t>No_Noticeable_Difference</t>
        </is>
      </c>
      <c r="N78" s="4" t="inlineStr">
        <is>
          <t>Other</t>
        </is>
      </c>
      <c r="O78" s="4" t="inlineStr">
        <is>
          <t>主题数</t>
        </is>
      </c>
      <c r="P78" s="4" t="inlineStr"/>
      <c r="Q78" s="4" t="inlineStr"/>
      <c r="R78" s="4" t="inlineStr"/>
      <c r="S78" s="4" t="inlineStr"/>
    </row>
    <row r="79">
      <c r="A79" s="5" t="inlineStr">
        <is>
          <t>P001</t>
        </is>
      </c>
      <c r="B79" s="9" t="n">
        <v>1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10">
        <f>SUM(B79:N79)</f>
        <v>1</v>
      </c>
    </row>
    <row r="80">
      <c r="A80" s="5" t="inlineStr">
        <is>
          <t>P002</t>
        </is>
      </c>
      <c r="B80" s="9" t="n">
        <v>0</v>
      </c>
      <c r="C80" s="9" t="n">
        <v>0</v>
      </c>
      <c r="D80" s="9" t="n">
        <v>0</v>
      </c>
      <c r="E80" s="9" t="n">
        <v>1</v>
      </c>
      <c r="F80" s="9" t="n">
        <v>0</v>
      </c>
      <c r="G80" s="9" t="n">
        <v>0</v>
      </c>
      <c r="H80" s="9" t="n">
        <v>0</v>
      </c>
      <c r="I80" s="9" t="n">
        <v>1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10">
        <f>SUM(B80:N80)</f>
        <v>2</v>
      </c>
    </row>
    <row r="81">
      <c r="A81" s="5" t="inlineStr">
        <is>
          <t>P003</t>
        </is>
      </c>
      <c r="B81" s="9" t="n">
        <v>1</v>
      </c>
      <c r="C81" s="9" t="n">
        <v>1</v>
      </c>
      <c r="D81" s="9" t="n">
        <v>1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1</v>
      </c>
      <c r="M81" s="9" t="n">
        <v>0</v>
      </c>
      <c r="N81" s="9" t="n">
        <v>0</v>
      </c>
      <c r="O81" s="10">
        <f>SUM(B81:N81)</f>
        <v>4</v>
      </c>
    </row>
    <row r="82">
      <c r="A82" s="5" t="inlineStr">
        <is>
          <t>P004</t>
        </is>
      </c>
      <c r="B82" s="9" t="n">
        <v>1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1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10">
        <f>SUM(B82:N82)</f>
        <v>2</v>
      </c>
    </row>
    <row r="83">
      <c r="A83" s="5" t="inlineStr">
        <is>
          <t>P005</t>
        </is>
      </c>
      <c r="B83" s="9" t="n">
        <v>1</v>
      </c>
      <c r="C83" s="9" t="n">
        <v>1</v>
      </c>
      <c r="D83" s="9" t="n">
        <v>1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1</v>
      </c>
      <c r="M83" s="9" t="n">
        <v>0</v>
      </c>
      <c r="N83" s="9" t="n">
        <v>0</v>
      </c>
      <c r="O83" s="10">
        <f>SUM(B83:N83)</f>
        <v>4</v>
      </c>
    </row>
    <row r="84">
      <c r="A84" s="5" t="inlineStr">
        <is>
          <t>P006</t>
        </is>
      </c>
      <c r="B84" s="9" t="n">
        <v>0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1</v>
      </c>
      <c r="J84" s="9" t="n">
        <v>1</v>
      </c>
      <c r="K84" s="9" t="n">
        <v>1</v>
      </c>
      <c r="L84" s="9" t="n">
        <v>0</v>
      </c>
      <c r="M84" s="9" t="n">
        <v>0</v>
      </c>
      <c r="N84" s="9" t="n">
        <v>0</v>
      </c>
      <c r="O84" s="10">
        <f>SUM(B84:N84)</f>
        <v>3</v>
      </c>
    </row>
    <row r="85">
      <c r="A85" s="5" t="inlineStr">
        <is>
          <t>P007</t>
        </is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1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10">
        <f>SUM(B85:N85)</f>
        <v>1</v>
      </c>
    </row>
    <row r="86">
      <c r="A86" s="5" t="inlineStr">
        <is>
          <t>P008</t>
        </is>
      </c>
      <c r="B86" s="9" t="n">
        <v>1</v>
      </c>
      <c r="C86" s="9" t="n">
        <v>0</v>
      </c>
      <c r="D86" s="9" t="n">
        <v>1</v>
      </c>
      <c r="E86" s="9" t="n">
        <v>0</v>
      </c>
      <c r="F86" s="9" t="n">
        <v>0</v>
      </c>
      <c r="G86" s="9" t="n">
        <v>1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1</v>
      </c>
      <c r="M86" s="9" t="n">
        <v>1</v>
      </c>
      <c r="N86" s="9" t="n">
        <v>0</v>
      </c>
      <c r="O86" s="10">
        <f>SUM(B86:N86)</f>
        <v>5</v>
      </c>
    </row>
    <row r="87">
      <c r="A87" s="5" t="inlineStr">
        <is>
          <t>P009</t>
        </is>
      </c>
      <c r="B87" s="9" t="n">
        <v>1</v>
      </c>
      <c r="C87" s="9" t="n">
        <v>0</v>
      </c>
      <c r="D87" s="9" t="n">
        <v>1</v>
      </c>
      <c r="E87" s="9" t="n">
        <v>1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1</v>
      </c>
      <c r="M87" s="9" t="n">
        <v>0</v>
      </c>
      <c r="N87" s="9" t="n">
        <v>0</v>
      </c>
      <c r="O87" s="10">
        <f>SUM(B87:N87)</f>
        <v>4</v>
      </c>
    </row>
    <row r="88">
      <c r="A88" s="5" t="inlineStr">
        <is>
          <t>P010</t>
        </is>
      </c>
      <c r="B88" s="9" t="n">
        <v>1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10">
        <f>SUM(B88:N88)</f>
        <v>1</v>
      </c>
    </row>
    <row r="89">
      <c r="A89" s="5" t="inlineStr">
        <is>
          <t>P011</t>
        </is>
      </c>
      <c r="B89" s="9" t="n">
        <v>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1</v>
      </c>
      <c r="N89" s="9" t="n">
        <v>0</v>
      </c>
      <c r="O89" s="10">
        <f>SUM(B89:N89)</f>
        <v>1</v>
      </c>
    </row>
    <row r="90">
      <c r="A90" s="5" t="inlineStr">
        <is>
          <t>P012</t>
        </is>
      </c>
      <c r="B90" s="9" t="n">
        <v>1</v>
      </c>
      <c r="C90" s="9" t="n">
        <v>1</v>
      </c>
      <c r="D90" s="9" t="n">
        <v>1</v>
      </c>
      <c r="E90" s="9" t="n">
        <v>0</v>
      </c>
      <c r="F90" s="9" t="n">
        <v>1</v>
      </c>
      <c r="G90" s="9" t="n">
        <v>1</v>
      </c>
      <c r="H90" s="9" t="n">
        <v>0</v>
      </c>
      <c r="I90" s="9" t="n">
        <v>0</v>
      </c>
      <c r="J90" s="9" t="n">
        <v>0</v>
      </c>
      <c r="K90" s="9" t="n">
        <v>1</v>
      </c>
      <c r="L90" s="9" t="n">
        <v>1</v>
      </c>
      <c r="M90" s="9" t="n">
        <v>0</v>
      </c>
      <c r="N90" s="9" t="n">
        <v>0</v>
      </c>
      <c r="O90" s="10">
        <f>SUM(B90:N90)</f>
        <v>7</v>
      </c>
    </row>
    <row r="91">
      <c r="A91" s="5" t="inlineStr">
        <is>
          <t>P013</t>
        </is>
      </c>
      <c r="B91" s="9" t="n">
        <v>1</v>
      </c>
      <c r="C91" s="9" t="n">
        <v>0</v>
      </c>
      <c r="D91" s="9" t="n">
        <v>1</v>
      </c>
      <c r="E91" s="9" t="n">
        <v>0</v>
      </c>
      <c r="F91" s="9" t="n">
        <v>1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1</v>
      </c>
      <c r="M91" s="9" t="n">
        <v>0</v>
      </c>
      <c r="N91" s="9" t="n">
        <v>0</v>
      </c>
      <c r="O91" s="10">
        <f>SUM(B91:N91)</f>
        <v>4</v>
      </c>
    </row>
    <row r="92">
      <c r="A92" s="5" t="inlineStr">
        <is>
          <t>P014</t>
        </is>
      </c>
      <c r="B92" s="9" t="n">
        <v>1</v>
      </c>
      <c r="C92" s="9" t="n">
        <v>0</v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1</v>
      </c>
      <c r="J92" s="9" t="n">
        <v>1</v>
      </c>
      <c r="K92" s="9" t="n">
        <v>1</v>
      </c>
      <c r="L92" s="9" t="n">
        <v>1</v>
      </c>
      <c r="M92" s="9" t="n">
        <v>0</v>
      </c>
      <c r="N92" s="9" t="n">
        <v>0</v>
      </c>
      <c r="O92" s="10">
        <f>SUM(B92:N92)</f>
        <v>5</v>
      </c>
    </row>
    <row r="93">
      <c r="A93" s="5" t="inlineStr">
        <is>
          <t>P015</t>
        </is>
      </c>
      <c r="B93" s="9" t="n">
        <v>0</v>
      </c>
      <c r="C93" s="9" t="n">
        <v>0</v>
      </c>
      <c r="D93" s="9" t="n">
        <v>0</v>
      </c>
      <c r="E93" s="9" t="n">
        <v>1</v>
      </c>
      <c r="F93" s="9" t="n">
        <v>1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1</v>
      </c>
      <c r="N93" s="9" t="n">
        <v>0</v>
      </c>
      <c r="O93" s="10">
        <f>SUM(B93:N93)</f>
        <v>3</v>
      </c>
    </row>
    <row r="94">
      <c r="A94" s="5" t="inlineStr">
        <is>
          <t>P016</t>
        </is>
      </c>
      <c r="B94" s="9" t="n">
        <v>0</v>
      </c>
      <c r="C94" s="9" t="n">
        <v>0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10">
        <f>SUM(B94:N94)</f>
        <v>0</v>
      </c>
    </row>
    <row r="95">
      <c r="A95" s="5" t="inlineStr">
        <is>
          <t>P017</t>
        </is>
      </c>
      <c r="B95" s="9" t="n">
        <v>1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1</v>
      </c>
      <c r="J95" s="9" t="n">
        <v>0</v>
      </c>
      <c r="K95" s="9" t="n">
        <v>0</v>
      </c>
      <c r="L95" s="9" t="n">
        <v>0</v>
      </c>
      <c r="M95" s="9" t="n">
        <v>1</v>
      </c>
      <c r="N95" s="9" t="n">
        <v>0</v>
      </c>
      <c r="O95" s="10">
        <f>SUM(B95:N95)</f>
        <v>3</v>
      </c>
    </row>
    <row r="96">
      <c r="A96" s="5" t="inlineStr">
        <is>
          <t>P018</t>
        </is>
      </c>
      <c r="B96" s="9" t="n">
        <v>1</v>
      </c>
      <c r="C96" s="9" t="n">
        <v>1</v>
      </c>
      <c r="D96" s="9" t="n">
        <v>1</v>
      </c>
      <c r="E96" s="9" t="n">
        <v>0</v>
      </c>
      <c r="F96" s="9" t="n">
        <v>1</v>
      </c>
      <c r="G96" s="9" t="n">
        <v>1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1</v>
      </c>
      <c r="M96" s="9" t="n">
        <v>0</v>
      </c>
      <c r="N96" s="9" t="n">
        <v>0</v>
      </c>
      <c r="O96" s="10">
        <f>SUM(B96:N96)</f>
        <v>6</v>
      </c>
    </row>
    <row r="97">
      <c r="A97" s="5" t="inlineStr">
        <is>
          <t>P019</t>
        </is>
      </c>
      <c r="B97" s="9" t="n">
        <v>1</v>
      </c>
      <c r="C97" s="9" t="n">
        <v>1</v>
      </c>
      <c r="D97" s="9" t="n">
        <v>1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</v>
      </c>
      <c r="L97" s="9" t="n">
        <v>1</v>
      </c>
      <c r="M97" s="9" t="n">
        <v>0</v>
      </c>
      <c r="N97" s="9" t="n">
        <v>0</v>
      </c>
      <c r="O97" s="10">
        <f>SUM(B97:N97)</f>
        <v>5</v>
      </c>
    </row>
    <row r="98">
      <c r="A98" s="5" t="inlineStr">
        <is>
          <t>P020</t>
        </is>
      </c>
      <c r="B98" s="9" t="n">
        <v>0</v>
      </c>
      <c r="C98" s="9" t="n">
        <v>0</v>
      </c>
      <c r="D98" s="9" t="n">
        <v>0</v>
      </c>
      <c r="E98" s="9" t="n">
        <v>1</v>
      </c>
      <c r="F98" s="9" t="n">
        <v>0</v>
      </c>
      <c r="G98" s="9" t="n">
        <v>0</v>
      </c>
      <c r="H98" s="9" t="n">
        <v>0</v>
      </c>
      <c r="I98" s="9" t="n">
        <v>1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10">
        <f>SUM(B98:N98)</f>
        <v>2</v>
      </c>
    </row>
    <row r="99">
      <c r="A99" s="5" t="inlineStr">
        <is>
          <t>P021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1</v>
      </c>
      <c r="N99" s="9" t="n">
        <v>0</v>
      </c>
      <c r="O99" s="10">
        <f>SUM(B99:N99)</f>
        <v>1</v>
      </c>
    </row>
    <row r="100">
      <c r="A100" s="5" t="inlineStr">
        <is>
          <t>P022</t>
        </is>
      </c>
      <c r="B100" s="9" t="n">
        <v>0</v>
      </c>
      <c r="C100" s="9" t="n">
        <v>0</v>
      </c>
      <c r="D100" s="9" t="n">
        <v>0</v>
      </c>
      <c r="E100" s="9" t="n">
        <v>1</v>
      </c>
      <c r="F100" s="9" t="n">
        <v>0</v>
      </c>
      <c r="G100" s="9" t="n">
        <v>0</v>
      </c>
      <c r="H100" s="9" t="n">
        <v>0</v>
      </c>
      <c r="I100" s="9" t="n">
        <v>1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10">
        <f>SUM(B100:N100)</f>
        <v>2</v>
      </c>
    </row>
    <row r="101">
      <c r="A101" s="5" t="inlineStr">
        <is>
          <t>P023</t>
        </is>
      </c>
      <c r="B101" s="9" t="n">
        <v>1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1</v>
      </c>
      <c r="N101" s="9" t="n">
        <v>0</v>
      </c>
      <c r="O101" s="10">
        <f>SUM(B101:N101)</f>
        <v>2</v>
      </c>
    </row>
    <row r="102">
      <c r="A102" s="5" t="inlineStr">
        <is>
          <t>P024</t>
        </is>
      </c>
      <c r="B102" s="9" t="n">
        <v>1</v>
      </c>
      <c r="C102" s="9" t="n">
        <v>0</v>
      </c>
      <c r="D102" s="9" t="n">
        <v>1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</v>
      </c>
      <c r="L102" s="9" t="n">
        <v>1</v>
      </c>
      <c r="M102" s="9" t="n">
        <v>0</v>
      </c>
      <c r="N102" s="9" t="n">
        <v>0</v>
      </c>
      <c r="O102" s="10">
        <f>SUM(B102:N102)</f>
        <v>4</v>
      </c>
    </row>
    <row r="103">
      <c r="A103" s="5" t="inlineStr">
        <is>
          <t>主题计数合计</t>
        </is>
      </c>
      <c r="B103" s="10">
        <f>SUM(B79:B102)</f>
        <v>15</v>
      </c>
      <c r="C103" s="10">
        <f>SUM(C79:C102)</f>
        <v>5</v>
      </c>
      <c r="D103" s="10">
        <f>SUM(D79:D102)</f>
        <v>9</v>
      </c>
      <c r="E103" s="10">
        <f>SUM(E79:E102)</f>
        <v>5</v>
      </c>
      <c r="F103" s="10">
        <f>SUM(F79:F102)</f>
        <v>4</v>
      </c>
      <c r="G103" s="10">
        <f>SUM(G79:G102)</f>
        <v>3</v>
      </c>
      <c r="H103" s="10">
        <f>SUM(H79:H102)</f>
        <v>0</v>
      </c>
      <c r="I103" s="10">
        <f>SUM(I79:I102)</f>
        <v>8</v>
      </c>
      <c r="J103" s="10">
        <f>SUM(J79:J102)</f>
        <v>2</v>
      </c>
      <c r="K103" s="10">
        <f>SUM(K79:K102)</f>
        <v>5</v>
      </c>
      <c r="L103" s="10">
        <f>SUM(L79:L102)</f>
        <v>10</v>
      </c>
      <c r="M103" s="10">
        <f>SUM(M79:M102)</f>
        <v>6</v>
      </c>
      <c r="N103" s="10">
        <f>SUM(N79:N102)</f>
        <v>0</v>
      </c>
    </row>
  </sheetData>
  <mergeCells count="11">
    <mergeCell ref="A68:S68"/>
    <mergeCell ref="A23:S23"/>
    <mergeCell ref="A13:S13"/>
    <mergeCell ref="A1:S1"/>
    <mergeCell ref="A22:S22"/>
    <mergeCell ref="A56:S56"/>
    <mergeCell ref="A3:S3"/>
    <mergeCell ref="A21:S21"/>
    <mergeCell ref="A77:S77"/>
    <mergeCell ref="A26:S26"/>
    <mergeCell ref="A24:S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2" customWidth="1" min="4" max="4"/>
    <col width="13" customWidth="1" min="5" max="5"/>
    <col width="3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 ht="30" customHeight="1">
      <c r="A1" s="1" t="inlineStr">
        <is>
          <t>模拟可审计层（合成数据）：刺激剖面来自实验一/二实测；本表使模拟过程可复核</t>
        </is>
      </c>
    </row>
    <row r="3" ht="20" customHeight="1">
      <c r="A3" s="3" t="inlineStr">
        <is>
          <t>一、知觉通道刺激剖面（全部取自 experiment1_summary.csv 实测值）</t>
        </is>
      </c>
    </row>
    <row r="4" ht="30" customHeight="1">
      <c r="A4" s="4" t="inlineStr">
        <is>
          <t>通道</t>
        </is>
      </c>
      <c r="B4" s="4" t="inlineStr">
        <is>
          <t>One-Euro 实测</t>
        </is>
      </c>
      <c r="C4" s="4" t="inlineStr">
        <is>
          <t>EgoAnchor 实测</t>
        </is>
      </c>
      <c r="D4" s="4" t="inlineStr">
        <is>
          <t>比值</t>
        </is>
      </c>
      <c r="E4" s="4" t="inlineStr">
        <is>
          <t>参考尺度 m_ref</t>
        </is>
      </c>
      <c r="F4" s="4" t="inlineStr">
        <is>
          <t>潜变量优势 Δ</t>
        </is>
      </c>
      <c r="G4" s="4" t="inlineStr">
        <is>
          <t>来源指标</t>
        </is>
      </c>
      <c r="H4" s="4" t="inlineStr"/>
      <c r="I4" s="4" t="inlineStr"/>
      <c r="J4" s="4" t="inlineStr"/>
      <c r="K4" s="4" t="inlineStr"/>
      <c r="L4" s="4" t="inlineStr"/>
    </row>
    <row r="5">
      <c r="A5" s="5" t="inlineStr">
        <is>
          <t>static_jitter</t>
        </is>
      </c>
      <c r="B5" s="6" t="n">
        <v>10.6501</v>
      </c>
      <c r="C5" s="6" t="n">
        <v>0.8179</v>
      </c>
      <c r="D5" s="10">
        <f>IF(C5=0,"inf",ROUND(B5/C5,3))</f>
        <v>13.021</v>
      </c>
      <c r="E5" s="6" t="n">
        <v>1.5</v>
      </c>
      <c r="F5" s="6" t="n">
        <v>1.6567</v>
      </c>
      <c r="G5" s="6" t="inlineStr">
        <is>
          <t>head_motion_leakage_p95_mm</t>
        </is>
      </c>
    </row>
    <row r="6">
      <c r="A6" s="5" t="inlineStr">
        <is>
          <t>static_increment</t>
        </is>
      </c>
      <c r="B6" s="6" t="n">
        <v>0.8471</v>
      </c>
      <c r="C6" s="6" t="n">
        <v>0.0636</v>
      </c>
      <c r="D6" s="10">
        <f>IF(C6=0,"inf",ROUND(B6/C6,3))</f>
        <v>13.319</v>
      </c>
      <c r="E6" s="6" t="n">
        <v>0.3</v>
      </c>
      <c r="F6" s="6" t="n">
        <v>1.1491</v>
      </c>
      <c r="G6" s="6" t="inlineStr">
        <is>
          <t>stationary_frame_increment_p95_mm</t>
        </is>
      </c>
    </row>
    <row r="7">
      <c r="A7" s="5" t="inlineStr">
        <is>
          <t>absolute_offset</t>
        </is>
      </c>
      <c r="B7" s="6" t="n">
        <v>13.9991</v>
      </c>
      <c r="C7" s="6" t="n">
        <v>6.5966</v>
      </c>
      <c r="D7" s="10">
        <f>IF(C7=0,"inf",ROUND(B7/C7,3))</f>
        <v>2.122</v>
      </c>
      <c r="E7" s="6" t="n">
        <v>4</v>
      </c>
      <c r="F7" s="6" t="n">
        <v>0.5298</v>
      </c>
      <c r="G7" s="6" t="inlineStr">
        <is>
          <t>absolute_registration_p95_mm</t>
        </is>
      </c>
    </row>
    <row r="8">
      <c r="A8" s="5" t="inlineStr">
        <is>
          <t>motion_sliding</t>
        </is>
      </c>
      <c r="B8" s="6" t="n">
        <v>15.6905</v>
      </c>
      <c r="C8" s="6" t="n">
        <v>9.118399999999999</v>
      </c>
      <c r="D8" s="10">
        <f>IF(C8=0,"inf",ROUND(B8/C8,3))</f>
        <v>1.721</v>
      </c>
      <c r="E8" s="6" t="n">
        <v>6</v>
      </c>
      <c r="F8" s="6" t="n">
        <v>0.361</v>
      </c>
      <c r="G8" s="6" t="inlineStr">
        <is>
          <t>translation_aligned_rmse_mm</t>
        </is>
      </c>
    </row>
    <row r="9">
      <c r="A9" s="5" t="inlineStr">
        <is>
          <t>motion_increment</t>
        </is>
      </c>
      <c r="B9" s="6" t="n">
        <v>5.2496</v>
      </c>
      <c r="C9" s="6" t="n">
        <v>4.5626</v>
      </c>
      <c r="D9" s="10">
        <f>IF(C9=0,"inf",ROUND(B9/C9,3))</f>
        <v>1.151</v>
      </c>
      <c r="E9" s="6" t="n">
        <v>2.5</v>
      </c>
      <c r="F9" s="6" t="n">
        <v>0.09279999999999999</v>
      </c>
      <c r="G9" s="6" t="inlineStr">
        <is>
          <t>translation_aligned_residual_increment_p95_mm</t>
        </is>
      </c>
    </row>
    <row r="10">
      <c r="A10" s="5" t="inlineStr">
        <is>
          <t>onset_lag</t>
        </is>
      </c>
      <c r="B10" s="6" t="n">
        <v>333.9812</v>
      </c>
      <c r="C10" s="6" t="n">
        <v>510.3635</v>
      </c>
      <c r="D10" s="10">
        <f>IF(C10=0,"inf",ROUND(B10/C10,3))</f>
        <v>0.654</v>
      </c>
      <c r="E10" s="6" t="n">
        <v>250</v>
      </c>
      <c r="F10" s="6" t="n">
        <v>-0.2639</v>
      </c>
      <c r="G10" s="6" t="inlineStr">
        <is>
          <t>start_transition_response_ms</t>
        </is>
      </c>
    </row>
    <row r="11">
      <c r="A11" s="5" t="inlineStr">
        <is>
          <t>steady_lag</t>
        </is>
      </c>
      <c r="B11" s="6" t="n">
        <v>380</v>
      </c>
      <c r="C11" s="6" t="n">
        <v>360</v>
      </c>
      <c r="D11" s="10">
        <f>IF(C11=0,"inf",ROUND(B11/C11,3))</f>
        <v>1.056</v>
      </c>
      <c r="E11" s="6" t="n">
        <v>200</v>
      </c>
      <c r="F11" s="6" t="n">
        <v>0.0351</v>
      </c>
      <c r="G11" s="6" t="inlineStr">
        <is>
          <t>translation_lag_ms</t>
        </is>
      </c>
    </row>
    <row r="12">
      <c r="A12" s="5" t="inlineStr">
        <is>
          <t>rotation_motion</t>
        </is>
      </c>
      <c r="B12" s="6" t="n">
        <v>5.5519</v>
      </c>
      <c r="C12" s="6" t="n">
        <v>4.8146</v>
      </c>
      <c r="D12" s="10">
        <f>IF(C12=0,"inf",ROUND(B12/C12,3))</f>
        <v>1.153</v>
      </c>
      <c r="E12" s="6" t="n">
        <v>2.5</v>
      </c>
      <c r="F12" s="6" t="n">
        <v>0.096</v>
      </c>
      <c r="G12" s="6" t="inlineStr">
        <is>
          <t>rotation_aligned_rmse_deg</t>
        </is>
      </c>
    </row>
    <row r="13">
      <c r="A13" s="5" t="inlineStr">
        <is>
          <t>rotation_absolute</t>
        </is>
      </c>
      <c r="B13" s="6" t="n">
        <v>6.9564</v>
      </c>
      <c r="C13" s="6" t="n">
        <v>4.3946</v>
      </c>
      <c r="D13" s="10">
        <f>IF(C13=0,"inf",ROUND(B13/C13,3))</f>
        <v>1.583</v>
      </c>
      <c r="E13" s="6" t="n">
        <v>2.5</v>
      </c>
      <c r="F13" s="6" t="n">
        <v>0.316</v>
      </c>
      <c r="G13" s="6" t="inlineStr">
        <is>
          <t>absolute_rotation_registration_p95_deg</t>
        </is>
      </c>
    </row>
    <row r="14">
      <c r="A14" s="5" t="inlineStr">
        <is>
          <t>rotation_static</t>
        </is>
      </c>
      <c r="B14" s="6" t="n">
        <v>3.2919</v>
      </c>
      <c r="C14" s="6" t="n">
        <v>0.3263</v>
      </c>
      <c r="D14" s="10">
        <f>IF(C14=0,"inf",ROUND(B14/C14,3))</f>
        <v>10.089</v>
      </c>
      <c r="E14" s="6" t="n">
        <v>2.5</v>
      </c>
      <c r="F14" s="6" t="n">
        <v>0.7175</v>
      </c>
      <c r="G14" s="6" t="inlineStr">
        <is>
          <t>stationary_rotation_leakage_p95_deg</t>
        </is>
      </c>
    </row>
    <row r="15">
      <c r="A15" s="5" t="inlineStr">
        <is>
          <t>recovery</t>
        </is>
      </c>
      <c r="B15" s="6" t="n">
        <v>10.4116</v>
      </c>
      <c r="C15" s="6" t="n">
        <v>4.8545</v>
      </c>
      <c r="D15" s="10">
        <f>IF(C15=0,"inf",ROUND(B15/C15,3))</f>
        <v>2.145</v>
      </c>
      <c r="E15" s="6" t="n">
        <v>4</v>
      </c>
      <c r="F15" s="6" t="n">
        <v>0.4871</v>
      </c>
      <c r="G15" s="6" t="inlineStr">
        <is>
          <t>occlusion_p95_mm</t>
        </is>
      </c>
    </row>
    <row r="16">
      <c r="A16" s="5" t="inlineStr">
        <is>
          <t>correction_pos</t>
        </is>
      </c>
      <c r="B16" s="6" t="n">
        <v>1.7996</v>
      </c>
      <c r="C16" s="6" t="n">
        <v>1.2733</v>
      </c>
      <c r="D16" s="10">
        <f>IF(C16=0,"inf",ROUND(B16/C16,3))</f>
        <v>1.413</v>
      </c>
      <c r="E16" s="6" t="n">
        <v>1</v>
      </c>
      <c r="F16" s="6" t="n">
        <v>0.2082</v>
      </c>
      <c r="G16" s="6" t="inlineStr">
        <is>
          <t>correction_position_step_p95_mm</t>
        </is>
      </c>
    </row>
    <row r="17">
      <c r="A17" s="5" t="inlineStr">
        <is>
          <t>correction_rot</t>
        </is>
      </c>
      <c r="B17" s="6" t="n">
        <v>0.9538</v>
      </c>
      <c r="C17" s="6" t="n">
        <v>1.1781</v>
      </c>
      <c r="D17" s="10">
        <f>IF(C17=0,"inf",ROUND(B17/C17,3))</f>
        <v>0.81</v>
      </c>
      <c r="E17" s="6" t="n">
        <v>0.6</v>
      </c>
      <c r="F17" s="6" t="n">
        <v>-0.1349</v>
      </c>
      <c r="G17" s="6" t="inlineStr">
        <is>
          <t>correction_rotation_step_p95_deg</t>
        </is>
      </c>
    </row>
    <row r="18">
      <c r="A18" s="5" t="inlineStr">
        <is>
          <t>settle_forward</t>
        </is>
      </c>
      <c r="B18" s="6" t="n">
        <v>0.4849</v>
      </c>
      <c r="C18" s="6" t="n">
        <v>0.2166</v>
      </c>
      <c r="D18" s="10">
        <f>IF(C18=0,"inf",ROUND(B18/C18,3))</f>
        <v>2.239</v>
      </c>
      <c r="E18" s="6" t="n">
        <v>0.35</v>
      </c>
      <c r="F18" s="6" t="n">
        <v>0.3877</v>
      </c>
      <c r="G18" s="6" t="inlineStr">
        <is>
          <t>stop_forward_overshoot_mm</t>
        </is>
      </c>
    </row>
    <row r="19">
      <c r="A19" s="5" t="inlineStr">
        <is>
          <t>settle_reverse</t>
        </is>
      </c>
      <c r="B19" s="6" t="n">
        <v>0.4975</v>
      </c>
      <c r="C19" s="6" t="n">
        <v>0.6945</v>
      </c>
      <c r="D19" s="10">
        <f>IF(C19=0,"inf",ROUND(B19/C19,3))</f>
        <v>0.716</v>
      </c>
      <c r="E19" s="6" t="n">
        <v>0.35</v>
      </c>
      <c r="F19" s="6" t="n">
        <v>-0.209</v>
      </c>
      <c r="G19" s="6" t="inlineStr">
        <is>
          <t>stop_reverse_return_mm</t>
        </is>
      </c>
    </row>
    <row r="20">
      <c r="A20" s="2" t="inlineStr">
        <is>
          <t>潜变量优势 Δ = ln(1+OE/m_ref) − ln(1+EA/m_ref)，即 Weber–Fechner 型知觉压缩。m_ref 是内部定标常数（约当可觉察量级），按计划书要求不写入论文。</t>
        </is>
      </c>
    </row>
    <row r="22" ht="20" customHeight="1">
      <c r="A22" s="3" t="inlineStr">
        <is>
          <t>二、条目 → 通道权重与预期方向（措辞驱动，采集前冻结）</t>
        </is>
      </c>
    </row>
    <row r="23" ht="30" customHeight="1">
      <c r="A23" s="4" t="inlineStr">
        <is>
          <t>条目</t>
        </is>
      </c>
      <c r="B23" s="4" t="inlineStr">
        <is>
          <t>简称</t>
        </is>
      </c>
      <c r="C23" s="4" t="inlineStr">
        <is>
          <t>家族</t>
        </is>
      </c>
      <c r="D23" s="4" t="inlineStr">
        <is>
          <t>方法敏感比例</t>
        </is>
      </c>
      <c r="E23" s="4" t="inlineStr">
        <is>
          <t>合成潜变量优势</t>
        </is>
      </c>
      <c r="F23" s="4" t="inlineStr">
        <is>
          <t>预期方向</t>
        </is>
      </c>
      <c r="G23" s="4" t="inlineStr">
        <is>
          <t>通道权重</t>
        </is>
      </c>
      <c r="H23" s="4" t="inlineStr"/>
      <c r="I23" s="4" t="inlineStr"/>
      <c r="J23" s="4" t="inlineStr"/>
      <c r="K23" s="4" t="inlineStr"/>
      <c r="L23" s="4" t="inlineStr"/>
    </row>
    <row r="24">
      <c r="A24" s="5" t="inlineStr">
        <is>
          <t>Q1</t>
        </is>
      </c>
      <c r="B24" s="6" t="inlineStr">
        <is>
          <t>静止稳定</t>
        </is>
      </c>
      <c r="C24" s="6" t="inlineStr">
        <is>
          <t>primary</t>
        </is>
      </c>
      <c r="D24" s="6" t="n">
        <v>1</v>
      </c>
      <c r="E24" s="6" t="n">
        <v>1.4536</v>
      </c>
      <c r="F24" s="6" t="inlineStr">
        <is>
          <t>EA 明显更优</t>
        </is>
      </c>
      <c r="G24" s="6" t="inlineStr">
        <is>
          <t>static_jitter:0.60 / static_increment:0.40</t>
        </is>
      </c>
    </row>
    <row r="25">
      <c r="A25" s="5" t="inlineStr">
        <is>
          <t>Q2</t>
        </is>
      </c>
      <c r="B25" s="6" t="inlineStr">
        <is>
          <t>运动附着</t>
        </is>
      </c>
      <c r="C25" s="6" t="inlineStr">
        <is>
          <t>primary</t>
        </is>
      </c>
      <c r="D25" s="6" t="n">
        <v>1</v>
      </c>
      <c r="E25" s="6" t="n">
        <v>0.0485</v>
      </c>
      <c r="F25" s="6" t="inlineStr">
        <is>
          <t>预期零效应</t>
        </is>
      </c>
      <c r="G25" s="6" t="inlineStr">
        <is>
          <t>motion_sliding:0.50 / onset_lag:0.50</t>
        </is>
      </c>
    </row>
    <row r="26">
      <c r="A26" s="5" t="inlineStr">
        <is>
          <t>Q9</t>
        </is>
      </c>
      <c r="B26" s="6" t="inlineStr">
        <is>
          <t>姿态一致</t>
        </is>
      </c>
      <c r="C26" s="6" t="inlineStr">
        <is>
          <t>primary</t>
        </is>
      </c>
      <c r="D26" s="6" t="n">
        <v>0.85</v>
      </c>
      <c r="E26" s="6" t="n">
        <v>0.2169</v>
      </c>
      <c r="F26" s="6" t="inlineStr">
        <is>
          <t>EA 略优</t>
        </is>
      </c>
      <c r="G26" s="6" t="inlineStr">
        <is>
          <t>rotation_motion:0.55 / rotation_absolute:0.30 / rotation_static:0.15</t>
        </is>
      </c>
    </row>
    <row r="27">
      <c r="A27" s="5" t="inlineStr">
        <is>
          <t>Q10_OPT</t>
        </is>
      </c>
      <c r="B27" s="6" t="inlineStr">
        <is>
          <t>放置后稳定</t>
        </is>
      </c>
      <c r="C27" s="6" t="inlineStr">
        <is>
          <t>secondary</t>
        </is>
      </c>
      <c r="D27" s="6" t="n">
        <v>0.7</v>
      </c>
      <c r="E27" s="6" t="n">
        <v>0.0625</v>
      </c>
      <c r="F27" s="6" t="inlineStr">
        <is>
          <t>预期零效应</t>
        </is>
      </c>
      <c r="G27" s="6" t="inlineStr">
        <is>
          <t>settle_forward:0.50 / settle_reverse:0.50</t>
        </is>
      </c>
    </row>
    <row r="28">
      <c r="A28" s="5" t="inlineStr">
        <is>
          <t>AQ_IQ2</t>
        </is>
      </c>
      <c r="B28" s="6" t="inlineStr">
        <is>
          <t>响应及时</t>
        </is>
      </c>
      <c r="C28" s="6" t="inlineStr">
        <is>
          <t>published</t>
        </is>
      </c>
      <c r="D28" s="6" t="n">
        <v>0.75</v>
      </c>
      <c r="E28" s="6" t="n">
        <v>-0.1195</v>
      </c>
      <c r="F28" s="6" t="inlineStr">
        <is>
          <t>预期零效应</t>
        </is>
      </c>
      <c r="G28" s="6" t="inlineStr">
        <is>
          <t>onset_lag:0.65 / steady_lag:0.35</t>
        </is>
      </c>
    </row>
    <row r="29">
      <c r="A29" s="5" t="inlineStr">
        <is>
          <t>AQ_IQ3</t>
        </is>
      </c>
      <c r="B29" s="6" t="inlineStr">
        <is>
          <t>运动平滑</t>
        </is>
      </c>
      <c r="C29" s="6" t="inlineStr">
        <is>
          <t>published</t>
        </is>
      </c>
      <c r="D29" s="6" t="n">
        <v>0.85</v>
      </c>
      <c r="E29" s="6" t="n">
        <v>0.2939</v>
      </c>
      <c r="F29" s="6" t="inlineStr">
        <is>
          <t>EA 略优</t>
        </is>
      </c>
      <c r="G29" s="6" t="inlineStr">
        <is>
          <t>motion_increment:0.40 / static_increment:0.25 / correction_pos:0.20 / correction_rot:0.15</t>
        </is>
      </c>
    </row>
    <row r="30">
      <c r="A30" s="5" t="inlineStr">
        <is>
          <t>Q3</t>
        </is>
      </c>
      <c r="B30" s="6" t="inlineStr">
        <is>
          <t>恢复一致</t>
        </is>
      </c>
      <c r="C30" s="6" t="inlineStr">
        <is>
          <t>primary</t>
        </is>
      </c>
      <c r="D30" s="6" t="n">
        <v>1</v>
      </c>
      <c r="E30" s="6" t="n">
        <v>0.4871</v>
      </c>
      <c r="F30" s="6" t="inlineStr">
        <is>
          <t>EA 明显更优</t>
        </is>
      </c>
      <c r="G30" s="6" t="inlineStr">
        <is>
          <t>recovery:1.00</t>
        </is>
      </c>
    </row>
    <row r="31">
      <c r="A31" s="5" t="inlineStr">
        <is>
          <t>Q8</t>
        </is>
      </c>
      <c r="B31" s="6" t="inlineStr">
        <is>
          <t>位置正确</t>
        </is>
      </c>
      <c r="C31" s="6" t="inlineStr">
        <is>
          <t>primary</t>
        </is>
      </c>
      <c r="D31" s="6" t="n">
        <v>1</v>
      </c>
      <c r="E31" s="6" t="n">
        <v>0.7552</v>
      </c>
      <c r="F31" s="6" t="inlineStr">
        <is>
          <t>EA 明显更优</t>
        </is>
      </c>
      <c r="G31" s="6" t="inlineStr">
        <is>
          <t>absolute_offset:0.80 / static_jitter:0.20</t>
        </is>
      </c>
    </row>
    <row r="32">
      <c r="A32" s="5" t="inlineStr">
        <is>
          <t>AQ_EQ1</t>
        </is>
      </c>
      <c r="B32" s="6" t="inlineStr">
        <is>
          <t>融合</t>
        </is>
      </c>
      <c r="C32" s="6" t="inlineStr">
        <is>
          <t>published</t>
        </is>
      </c>
      <c r="D32" s="6" t="n">
        <v>0.45</v>
      </c>
      <c r="E32" s="6" t="n">
        <v>0.3918</v>
      </c>
      <c r="F32" s="6" t="inlineStr">
        <is>
          <t>EA 略优</t>
        </is>
      </c>
      <c r="G32" s="6" t="inlineStr">
        <is>
          <t>absolute_offset:0.40 / static_jitter:0.35 / rotation_absolute:0.25</t>
        </is>
      </c>
    </row>
    <row r="33">
      <c r="A33" s="5" t="inlineStr">
        <is>
          <t>AQ_EQ2</t>
        </is>
      </c>
      <c r="B33" s="6" t="inlineStr">
        <is>
          <t>嵌入可信</t>
        </is>
      </c>
      <c r="C33" s="6" t="inlineStr">
        <is>
          <t>published</t>
        </is>
      </c>
      <c r="D33" s="6" t="n">
        <v>0.5</v>
      </c>
      <c r="E33" s="6" t="n">
        <v>0.4354</v>
      </c>
      <c r="F33" s="6" t="inlineStr">
        <is>
          <t>EA 略优</t>
        </is>
      </c>
      <c r="G33" s="6" t="inlineStr">
        <is>
          <t>absolute_offset:0.40 / static_jitter:0.35 / rotation_absolute:0.25</t>
        </is>
      </c>
    </row>
    <row r="34">
      <c r="A34" s="5" t="inlineStr">
        <is>
          <t>AQ_EQ3</t>
        </is>
      </c>
      <c r="B34" s="6" t="inlineStr">
        <is>
          <t>尺度协调</t>
        </is>
      </c>
      <c r="C34" s="6" t="inlineStr">
        <is>
          <t>published</t>
        </is>
      </c>
      <c r="D34" s="6" t="n">
        <v>0.05</v>
      </c>
      <c r="E34" s="6" t="n">
        <v>0.0265</v>
      </c>
      <c r="F34" s="6" t="inlineStr">
        <is>
          <t>预期零效应</t>
        </is>
      </c>
      <c r="G34" s="6" t="inlineStr">
        <is>
          <t>absolute_offset:1.00</t>
        </is>
      </c>
    </row>
    <row r="35">
      <c r="A35" s="5" t="inlineStr">
        <is>
          <t>AQ_IQ1</t>
        </is>
      </c>
      <c r="B35" s="6" t="inlineStr">
        <is>
          <t>交互直观</t>
        </is>
      </c>
      <c r="C35" s="6" t="inlineStr">
        <is>
          <t>published</t>
        </is>
      </c>
      <c r="D35" s="6" t="n">
        <v>0.35</v>
      </c>
      <c r="E35" s="6" t="n">
        <v>0.1131</v>
      </c>
      <c r="F35" s="6" t="inlineStr">
        <is>
          <t>预期零效应</t>
        </is>
      </c>
      <c r="G35" s="6" t="inlineStr">
        <is>
          <t>onset_lag:0.45 / motion_increment:0.30 / static_jitter:0.25</t>
        </is>
      </c>
    </row>
    <row r="36">
      <c r="A36" s="5" t="inlineStr">
        <is>
          <t>Q6</t>
        </is>
      </c>
      <c r="B36" s="6" t="inlineStr">
        <is>
          <t>依赖意愿</t>
        </is>
      </c>
      <c r="C36" s="6" t="inlineStr">
        <is>
          <t>primary</t>
        </is>
      </c>
      <c r="D36" s="6" t="n">
        <v>1</v>
      </c>
      <c r="E36" s="6" t="n">
        <v>0.823</v>
      </c>
      <c r="F36" s="6" t="inlineStr">
        <is>
          <t>EA 明显更优</t>
        </is>
      </c>
      <c r="G36" s="6" t="inlineStr">
        <is>
          <t>static_jitter:0.30 / absolute_offset:0.25 / recovery:0.30 / rotation_absolute:0.15</t>
        </is>
      </c>
    </row>
    <row r="37">
      <c r="A37" s="5" t="inlineStr">
        <is>
          <t>Q7</t>
        </is>
      </c>
      <c r="B37" s="6" t="inlineStr">
        <is>
          <t>稳定-响应平衡</t>
        </is>
      </c>
      <c r="C37" s="6" t="inlineStr">
        <is>
          <t>primary</t>
        </is>
      </c>
      <c r="D37" s="6" t="n">
        <v>1</v>
      </c>
      <c r="E37" s="6" t="n">
        <v>0.6301</v>
      </c>
      <c r="F37" s="6" t="inlineStr">
        <is>
          <t>EA 明显更优</t>
        </is>
      </c>
      <c r="G37" s="6" t="inlineStr">
        <is>
          <t>static_jitter:0.34 / absolute_offset:0.16 / recovery:0.12 / onset_lag:0.30 / steady_lag:0.08</t>
        </is>
      </c>
    </row>
    <row r="39" ht="20" customHeight="1">
      <c r="A39" s="3" t="inlineStr">
        <is>
          <t>三、逐物体刺激调制（依据计划书 2.2 的物体特征与感知后端行为）</t>
        </is>
      </c>
    </row>
    <row r="40" ht="30" customHeight="1">
      <c r="A40" s="4" t="inlineStr">
        <is>
          <t>物体</t>
        </is>
      </c>
      <c r="B40" s="4" t="inlineStr">
        <is>
          <t>绝对水平偏移</t>
        </is>
      </c>
      <c r="C40" s="4" t="inlineStr">
        <is>
          <t>候选到达率 Hz</t>
        </is>
      </c>
      <c r="D40" s="4" t="inlineStr">
        <is>
          <t>VCD 中位</t>
        </is>
      </c>
      <c r="E40" s="4" t="inlineStr">
        <is>
          <t>接纳率</t>
        </is>
      </c>
      <c r="F40" s="4" t="inlineStr">
        <is>
          <t>输出可用率</t>
        </is>
      </c>
      <c r="G40" s="4" t="inlineStr">
        <is>
          <t>OE 灾难失效率</t>
        </is>
      </c>
      <c r="H40" s="4" t="inlineStr">
        <is>
          <t>遮挡意外 Lost 率</t>
        </is>
      </c>
      <c r="I40" s="4" t="inlineStr">
        <is>
          <t>说明</t>
        </is>
      </c>
      <c r="J40" s="4" t="inlineStr"/>
      <c r="K40" s="4" t="inlineStr"/>
      <c r="L40" s="4" t="inlineStr"/>
    </row>
    <row r="41">
      <c r="A41" s="5" t="inlineStr">
        <is>
          <t>鼠标</t>
        </is>
      </c>
      <c r="B41" s="6" t="n">
        <v>-0.18</v>
      </c>
      <c r="C41" s="6" t="n">
        <v>9.48</v>
      </c>
      <c r="D41" s="6" t="n">
        <v>0.897</v>
      </c>
      <c r="E41" s="6" t="n">
        <v>0.9409999999999999</v>
      </c>
      <c r="F41" s="6" t="n">
        <v>0.986</v>
      </c>
      <c r="G41" s="6" t="n">
        <v>0.08500000000000001</v>
      </c>
      <c r="H41" s="6" t="n">
        <v>0.012</v>
      </c>
      <c r="I41" s="6" t="inlineStr">
        <is>
          <t>小、曲率连续、纹理弱 → 候选噪声大 → 稳定通道差异被放大，绝对精度较差</t>
        </is>
      </c>
    </row>
    <row r="42">
      <c r="A42" s="5" t="inlineStr">
        <is>
          <t>固定订书机</t>
        </is>
      </c>
      <c r="B42" s="6" t="n">
        <v>0.26</v>
      </c>
      <c r="C42" s="6" t="n">
        <v>9.609999999999999</v>
      </c>
      <c r="D42" s="6" t="n">
        <v>0.929</v>
      </c>
      <c r="E42" s="6" t="n">
        <v>0.958</v>
      </c>
      <c r="F42" s="6" t="n">
        <v>0.992</v>
      </c>
      <c r="G42" s="6" t="n">
        <v>0.045</v>
      </c>
      <c r="H42" s="6" t="n">
        <v>0.008</v>
      </c>
      <c r="I42" s="6" t="inlineStr">
        <is>
          <t>细长多平面、方向性强 → 候选最干净 → 差异被压缩，绝对水平最高</t>
        </is>
      </c>
    </row>
    <row r="43">
      <c r="A43" s="5" t="inlineStr">
        <is>
          <t>游戏手柄</t>
        </is>
      </c>
      <c r="B43" s="6" t="n">
        <v>-0.3</v>
      </c>
      <c r="C43" s="6" t="n">
        <v>9.31</v>
      </c>
      <c r="D43" s="6" t="n">
        <v>0.871</v>
      </c>
      <c r="E43" s="6" t="n">
        <v>0.925</v>
      </c>
      <c r="F43" s="6" t="n">
        <v>0.979</v>
      </c>
      <c r="G43" s="6" t="n">
        <v>0.115</v>
      </c>
      <c r="H43" s="6" t="n">
        <v>0.02</v>
      </c>
      <c r="I43" s="6" t="inlineStr">
        <is>
          <t>大、单手搬移、手部遮挡多 → 恢复/生命周期差异放大，旋转判断最难</t>
        </is>
      </c>
    </row>
    <row r="45" ht="20" customHeight="1">
      <c r="A45" s="3" t="inlineStr">
        <is>
          <t>四、问卷负担诊断（Q10 启用判据与 AQ 缩减规则的实测评估）</t>
        </is>
      </c>
    </row>
    <row r="46" ht="30" customHeight="1">
      <c r="A46" s="4" t="inlineStr">
        <is>
          <t>诊断项</t>
        </is>
      </c>
      <c r="B46" s="4" t="inlineStr">
        <is>
          <t>实测值</t>
        </is>
      </c>
      <c r="C46" s="4" t="inlineStr">
        <is>
          <t>判据</t>
        </is>
      </c>
      <c r="D46" s="4" t="inlineStr">
        <is>
          <t>是否触发</t>
        </is>
      </c>
      <c r="E46" s="4" t="inlineStr">
        <is>
          <t>结论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5" t="inlineStr">
        <is>
          <t>单区块问卷时长中位</t>
        </is>
      </c>
      <c r="B47" s="10">
        <f>ROUND(MEDIAN(Records!AA5:AA148),1)</f>
        <v>133.7</v>
      </c>
      <c r="C47" s="6" t="inlineStr">
        <is>
          <t>≤150 s 才可启用 Q10</t>
        </is>
      </c>
      <c r="D47" s="6" t="inlineStr"/>
      <c r="E47" s="6" t="inlineStr"/>
    </row>
    <row r="48">
      <c r="A48" s="5" t="inlineStr">
        <is>
          <t>问卷时长 &gt;150 s 区块占比</t>
        </is>
      </c>
      <c r="B48" s="10">
        <f>ROUND(COUNTIF(Records!AA5:AA148,"&gt;150")/144,4)</f>
        <v>0.2917</v>
      </c>
      <c r="C48" s="6" t="inlineStr">
        <is>
          <t>&gt;0 即触发 AQ 缩减规则</t>
        </is>
      </c>
      <c r="D48" s="6" t="inlineStr"/>
      <c r="E48" s="6" t="inlineStr"/>
    </row>
    <row r="49">
      <c r="A49" s="5" t="inlineStr">
        <is>
          <t>最长连续同分 ≥5 的区块占比</t>
        </is>
      </c>
      <c r="B49" s="10">
        <f>ROUND(COUNTIF(Records!AP5:AP148,"&gt;=5")/144,4)</f>
        <v>0.2708</v>
      </c>
      <c r="C49" s="6" t="inlineStr">
        <is>
          <t>&gt;0 即存在响应定式</t>
        </is>
      </c>
      <c r="D49" s="6" t="inlineStr"/>
      <c r="E49" s="6" t="inlineStr"/>
    </row>
    <row r="50">
      <c r="A50" s="5" t="inlineStr">
        <is>
          <t>单区块问卷时长最大值</t>
        </is>
      </c>
      <c r="B50" s="10">
        <f>ROUND(MAX(Records!AA5:AA148),1)</f>
        <v>222.1</v>
      </c>
      <c r="C50" s="6" t="inlineStr">
        <is>
          <t>描述性</t>
        </is>
      </c>
      <c r="D50" s="6" t="inlineStr"/>
      <c r="E50" s="6" t="inlineStr"/>
    </row>
    <row r="51">
      <c r="A51" s="2" t="inlineStr">
        <is>
          <t>结论：单区块问卷时长中位虽 ≤150 s，但存在 &gt;150 s 的区块且出现连续同分 ≥5 项，按计划书 4.2 与第八节，Q10 不启用、AQ 缩减规则（停用 AQ_EQ3 与 AQ_IQ1）已触发。本轮为保持完整子量表仍施测全部 6 项 AQ，并在报告中同时给出缩减版结果。</t>
        </is>
      </c>
    </row>
    <row r="53" ht="20" customHeight="1">
      <c r="A53" s="3" t="inlineStr">
        <is>
          <t>五、离散失效事件日志</t>
        </is>
      </c>
    </row>
    <row r="54" ht="30" customHeight="1">
      <c r="A54" s="4" t="inlineStr">
        <is>
          <t>事件类型</t>
        </is>
      </c>
      <c r="B54" s="4" t="inlineStr">
        <is>
          <t>次数</t>
        </is>
      </c>
      <c r="C54" s="4" t="inlineStr">
        <is>
          <t>分母</t>
        </is>
      </c>
      <c r="D54" s="4" t="inlineStr">
        <is>
          <t>占比</t>
        </is>
      </c>
      <c r="E54" s="4" t="inlineStr">
        <is>
          <t>说明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5" t="inlineStr">
        <is>
          <t>One-Euro 灾难性恢复失效（&gt;40 mm 级）</t>
        </is>
      </c>
      <c r="B55" s="6" t="n">
        <v>9</v>
      </c>
      <c r="C55" s="6" t="n">
        <v>72</v>
      </c>
      <c r="D55" s="10">
        <f>ROUND(B55/C55,4)</f>
        <v>0.125</v>
      </c>
      <c r="E55" s="6" t="inlineStr">
        <is>
          <t>对应实验一 12 次遮挡中 1 次 &gt;40 mm；逐区块伯努利注入，使 Q3/Q6 分布重尾而非均匀平移</t>
        </is>
      </c>
    </row>
    <row r="56">
      <c r="A56" s="5" t="inlineStr">
        <is>
          <t>受灾难性失效影响的参与者数</t>
        </is>
      </c>
      <c r="B56" s="6" t="n">
        <v>8</v>
      </c>
      <c r="C56" s="6" t="n">
        <v>24</v>
      </c>
      <c r="D56" s="10">
        <f>ROUND(B56/C56,4)</f>
        <v>0.3333</v>
      </c>
      <c r="E56" s="6" t="inlineStr">
        <is>
          <t>这些参与者在 Q3/Q6 与方法级信任上惩罚 One-Euro 最重，并在开放题点名恢复跳变</t>
        </is>
      </c>
    </row>
    <row r="57">
      <c r="A57" s="5" t="inlineStr">
        <is>
          <t>完整系统 StaticLock 锁在略偏位姿</t>
        </is>
      </c>
      <c r="B57" s="6" t="n">
        <v>7</v>
      </c>
      <c r="C57" s="6" t="n">
        <v>72</v>
      </c>
      <c r="D57" s="10">
        <f>ROUND(B57/C57,4)</f>
        <v>0.0972</v>
      </c>
      <c r="E57" s="6" t="inlineStr">
        <is>
          <t>显式静止锚定的失败模式：时间上纹丝不动但空间偏移；压低 Q8 与 AQ-EQ，是 Q8 效应显著小于 Q1 的原因之一</t>
        </is>
      </c>
    </row>
    <row r="58">
      <c r="A58" s="5" t="inlineStr">
        <is>
          <t>注意力失效区块</t>
        </is>
      </c>
      <c r="B58" s="6" t="n">
        <v>12</v>
      </c>
      <c r="C58" s="6" t="n">
        <v>144</v>
      </c>
      <c r="D58" s="10">
        <f>ROUND(B58/C58,4)</f>
        <v>0.0833</v>
      </c>
      <c r="E58" s="6" t="inlineStr">
        <is>
          <t>参与者未按提示完成头动或走神作答；使最响通道也出现结平与个别反向</t>
        </is>
      </c>
    </row>
    <row r="60" ht="20" customHeight="1">
      <c r="A60" s="3" t="inlineStr">
        <is>
          <t>六、顺序诊断（先行方法、标签映射、区块位置、对象内先后）</t>
        </is>
      </c>
    </row>
    <row r="61" ht="30" customHeight="1">
      <c r="A61" s="4" t="inlineStr">
        <is>
          <t>诊断项</t>
        </is>
      </c>
      <c r="B61" s="4" t="inlineStr">
        <is>
          <t>组1</t>
        </is>
      </c>
      <c r="C61" s="4" t="inlineStr">
        <is>
          <t>组1均值</t>
        </is>
      </c>
      <c r="D61" s="4" t="inlineStr">
        <is>
          <t>组2</t>
        </is>
      </c>
      <c r="E61" s="4" t="inlineStr">
        <is>
          <t>组2均值</t>
        </is>
      </c>
      <c r="F61" s="4" t="inlineStr">
        <is>
          <t>U</t>
        </is>
      </c>
      <c r="G61" s="4" t="inlineStr">
        <is>
          <t>p</t>
        </is>
      </c>
      <c r="H61" s="4" t="inlineStr">
        <is>
          <t>结论</t>
        </is>
      </c>
      <c r="I61" s="4" t="inlineStr"/>
      <c r="J61" s="4" t="inlineStr"/>
      <c r="K61" s="4" t="inlineStr"/>
      <c r="L61" s="4" t="inlineStr"/>
    </row>
    <row r="62">
      <c r="A62" s="5" t="inlineStr">
        <is>
          <t>先行方法</t>
        </is>
      </c>
      <c r="B62" s="6" t="inlineStr">
        <is>
          <t>先 EgoAnchor</t>
        </is>
      </c>
      <c r="C62" s="6" t="n">
        <v>0.5079</v>
      </c>
      <c r="D62" s="6" t="inlineStr">
        <is>
          <t>先 One-Euro</t>
        </is>
      </c>
      <c r="E62" s="6" t="n">
        <v>0.8929</v>
      </c>
      <c r="F62" s="6" t="n">
        <v>37</v>
      </c>
      <c r="G62" s="6" t="n">
        <v>0.0464</v>
      </c>
      <c r="H62" s="6" t="inlineStr">
        <is>
          <t>需检查</t>
        </is>
      </c>
    </row>
    <row r="63">
      <c r="A63" s="5" t="inlineStr">
        <is>
          <t>标签映射</t>
        </is>
      </c>
      <c r="B63" s="6" t="inlineStr">
        <is>
          <t>A=EgoAnchor</t>
        </is>
      </c>
      <c r="C63" s="6" t="n">
        <v>0.8254</v>
      </c>
      <c r="D63" s="6" t="inlineStr">
        <is>
          <t>B=EgoAnchor</t>
        </is>
      </c>
      <c r="E63" s="6" t="n">
        <v>0.5754</v>
      </c>
      <c r="F63" s="6" t="n">
        <v>97</v>
      </c>
      <c r="G63" s="6" t="n">
        <v>0.1572</v>
      </c>
      <c r="H63" s="6" t="inlineStr">
        <is>
          <t>无顺序效应</t>
        </is>
      </c>
    </row>
    <row r="64">
      <c r="A64" s="5" t="inlineStr">
        <is>
          <t>物体区块位置</t>
        </is>
      </c>
      <c r="B64" s="6" t="inlineStr">
        <is>
          <t>第1物体</t>
        </is>
      </c>
      <c r="C64" s="6" t="n">
        <v>4.756</v>
      </c>
      <c r="D64" s="6" t="inlineStr">
        <is>
          <t>第3物体</t>
        </is>
      </c>
      <c r="E64" s="6" t="n">
        <v>4.7768</v>
      </c>
      <c r="F64" s="6" t="n">
        <v>1.073</v>
      </c>
      <c r="G64" s="6" t="n">
        <v>0.5849</v>
      </c>
      <c r="H64" s="6" t="inlineStr">
        <is>
          <t>无位置漂移</t>
        </is>
      </c>
    </row>
    <row r="65">
      <c r="A65" s="5" t="inlineStr">
        <is>
          <t>对象内先后</t>
        </is>
      </c>
      <c r="B65" s="6" t="inlineStr">
        <is>
          <t>先体验</t>
        </is>
      </c>
      <c r="C65" s="6" t="n">
        <v>4.7103</v>
      </c>
      <c r="D65" s="6" t="inlineStr">
        <is>
          <t>后体验</t>
        </is>
      </c>
      <c r="E65" s="6" t="n">
        <v>4.871</v>
      </c>
      <c r="F65" s="6" t="n">
        <v>2240.5</v>
      </c>
      <c r="G65" s="6" t="n">
        <v>0.1598</v>
      </c>
      <c r="H65" s="6" t="inlineStr">
        <is>
          <t>无先后效应</t>
        </is>
      </c>
    </row>
    <row r="67" ht="20" customHeight="1">
      <c r="A67" s="3" t="inlineStr">
        <is>
          <t>七、换种子重抽（模型不变，只换随机流；报告 Holm 后显著占比）</t>
        </is>
      </c>
    </row>
    <row r="68" ht="30" customHeight="1">
      <c r="A68" s="4" t="inlineStr">
        <is>
          <t>结局</t>
        </is>
      </c>
      <c r="B68" s="4" t="inlineStr">
        <is>
          <t>家族</t>
        </is>
      </c>
      <c r="C68" s="4" t="inlineStr">
        <is>
          <t>Holm 后显著占比</t>
        </is>
      </c>
      <c r="D68" s="4" t="inlineStr">
        <is>
          <t>dz 中位</t>
        </is>
      </c>
      <c r="E68" s="4" t="inlineStr">
        <is>
          <t>dz 2.5%</t>
        </is>
      </c>
      <c r="F68" s="4" t="inlineStr">
        <is>
          <t>dz 97.5%</t>
        </is>
      </c>
      <c r="G68" s="4" t="inlineStr">
        <is>
          <t>主种子那次是否显著</t>
        </is>
      </c>
      <c r="H68" s="4" t="inlineStr">
        <is>
          <t>说明</t>
        </is>
      </c>
      <c r="I68" s="4" t="inlineStr"/>
      <c r="J68" s="4" t="inlineStr"/>
      <c r="K68" s="4" t="inlineStr"/>
      <c r="L68" s="4" t="inlineStr"/>
    </row>
    <row r="69">
      <c r="A69" s="5" t="inlineStr">
        <is>
          <t>Q1</t>
        </is>
      </c>
      <c r="B69" s="6" t="inlineStr">
        <is>
          <t>主证实</t>
        </is>
      </c>
      <c r="C69" s="6" t="n">
        <v>1</v>
      </c>
      <c r="D69" s="6" t="n">
        <v>1.521</v>
      </c>
      <c r="E69" s="6" t="n">
        <v>1.147</v>
      </c>
      <c r="F69" s="6" t="n">
        <v>2.037</v>
      </c>
      <c r="G69" s="6" t="inlineStr">
        <is>
          <t>是</t>
        </is>
      </c>
      <c r="H69" s="6" t="inlineStr">
        <is>
          <t>规划正式采集应以本列显著占比为基准，而非主种子那一次的结果</t>
        </is>
      </c>
    </row>
    <row r="70">
      <c r="A70" s="5" t="inlineStr">
        <is>
          <t>Q8</t>
        </is>
      </c>
      <c r="B70" s="6" t="inlineStr">
        <is>
          <t>主证实</t>
        </is>
      </c>
      <c r="C70" s="6" t="n">
        <v>0.975</v>
      </c>
      <c r="D70" s="6" t="n">
        <v>0.944</v>
      </c>
      <c r="E70" s="6" t="n">
        <v>0.576</v>
      </c>
      <c r="F70" s="6" t="n">
        <v>1.556</v>
      </c>
      <c r="G70" s="6" t="inlineStr">
        <is>
          <t>是</t>
        </is>
      </c>
      <c r="H70" s="6" t="inlineStr">
        <is>
          <t>规划正式采集应以本列显著占比为基准，而非主种子那一次的结果</t>
        </is>
      </c>
    </row>
    <row r="71">
      <c r="A71" s="5" t="inlineStr">
        <is>
          <t>Q2</t>
        </is>
      </c>
      <c r="B71" s="6" t="inlineStr">
        <is>
          <t>主证实</t>
        </is>
      </c>
      <c r="C71" s="6" t="n">
        <v>0.077</v>
      </c>
      <c r="D71" s="6" t="n">
        <v>0.195</v>
      </c>
      <c r="E71" s="6" t="n">
        <v>-0.201</v>
      </c>
      <c r="F71" s="6" t="n">
        <v>0.6</v>
      </c>
      <c r="G71" s="6" t="inlineStr">
        <is>
          <t>否</t>
        </is>
      </c>
      <c r="H71" s="6" t="inlineStr">
        <is>
          <t>规划正式采集应以本列显著占比为基准，而非主种子那一次的结果</t>
        </is>
      </c>
    </row>
    <row r="72">
      <c r="A72" s="5" t="inlineStr">
        <is>
          <t>Q9</t>
        </is>
      </c>
      <c r="B72" s="6" t="inlineStr">
        <is>
          <t>主证实</t>
        </is>
      </c>
      <c r="C72" s="6" t="n">
        <v>0.188</v>
      </c>
      <c r="D72" s="6" t="n">
        <v>0.337</v>
      </c>
      <c r="E72" s="6" t="n">
        <v>-0.064</v>
      </c>
      <c r="F72" s="6" t="n">
        <v>0.78</v>
      </c>
      <c r="G72" s="6" t="inlineStr">
        <is>
          <t>否</t>
        </is>
      </c>
      <c r="H72" s="6" t="inlineStr">
        <is>
          <t>规划正式采集应以本列显著占比为基准，而非主种子那一次的结果</t>
        </is>
      </c>
    </row>
    <row r="73">
      <c r="A73" s="5" t="inlineStr">
        <is>
          <t>Q3</t>
        </is>
      </c>
      <c r="B73" s="6" t="inlineStr">
        <is>
          <t>主证实</t>
        </is>
      </c>
      <c r="C73" s="6" t="n">
        <v>0.968</v>
      </c>
      <c r="D73" s="6" t="n">
        <v>0.918</v>
      </c>
      <c r="E73" s="6" t="n">
        <v>0.548</v>
      </c>
      <c r="F73" s="6" t="n">
        <v>1.452</v>
      </c>
      <c r="G73" s="6" t="inlineStr">
        <is>
          <t>是</t>
        </is>
      </c>
      <c r="H73" s="6" t="inlineStr">
        <is>
          <t>规划正式采集应以本列显著占比为基准，而非主种子那一次的结果</t>
        </is>
      </c>
    </row>
    <row r="74">
      <c r="A74" s="5" t="inlineStr">
        <is>
          <t>Q6</t>
        </is>
      </c>
      <c r="B74" s="6" t="inlineStr">
        <is>
          <t>主证实</t>
        </is>
      </c>
      <c r="C74" s="6" t="n">
        <v>0.998</v>
      </c>
      <c r="D74" s="6" t="n">
        <v>1.147</v>
      </c>
      <c r="E74" s="6" t="n">
        <v>0.786</v>
      </c>
      <c r="F74" s="6" t="n">
        <v>1.605</v>
      </c>
      <c r="G74" s="6" t="inlineStr">
        <is>
          <t>是</t>
        </is>
      </c>
      <c r="H74" s="6" t="inlineStr">
        <is>
          <t>规划正式采集应以本列显著占比为基准，而非主种子那一次的结果</t>
        </is>
      </c>
    </row>
    <row r="75">
      <c r="A75" s="5" t="inlineStr">
        <is>
          <t>Q7</t>
        </is>
      </c>
      <c r="B75" s="6" t="inlineStr">
        <is>
          <t>主证实</t>
        </is>
      </c>
      <c r="C75" s="6" t="n">
        <v>0.99</v>
      </c>
      <c r="D75" s="6" t="n">
        <v>1.009</v>
      </c>
      <c r="E75" s="6" t="n">
        <v>0.624</v>
      </c>
      <c r="F75" s="6" t="n">
        <v>1.483</v>
      </c>
      <c r="G75" s="6" t="inlineStr">
        <is>
          <t>是</t>
        </is>
      </c>
      <c r="H75" s="6" t="inlineStr">
        <is>
          <t>规划正式采集应以本列显著占比为基准，而非主种子那一次的结果</t>
        </is>
      </c>
    </row>
    <row r="76">
      <c r="A76" s="5" t="inlineStr">
        <is>
          <t>AQ-EQ</t>
        </is>
      </c>
      <c r="B76" s="6" t="inlineStr">
        <is>
          <t>已发表量表</t>
        </is>
      </c>
      <c r="C76" s="6" t="n">
        <v>0.615</v>
      </c>
      <c r="D76" s="6" t="n">
        <v>0.5629999999999999</v>
      </c>
      <c r="E76" s="6" t="n">
        <v>0.195</v>
      </c>
      <c r="F76" s="6" t="n">
        <v>0.973</v>
      </c>
      <c r="G76" s="6" t="inlineStr">
        <is>
          <t>否</t>
        </is>
      </c>
      <c r="H76" s="6" t="inlineStr">
        <is>
          <t>规划正式采集应以本列显著占比为基准，而非主种子那一次的结果</t>
        </is>
      </c>
    </row>
    <row r="77">
      <c r="A77" s="5" t="inlineStr">
        <is>
          <t>AQ-IQ</t>
        </is>
      </c>
      <c r="B77" s="6" t="inlineStr">
        <is>
          <t>已发表量表</t>
        </is>
      </c>
      <c r="C77" s="6" t="n">
        <v>0.155</v>
      </c>
      <c r="D77" s="6" t="n">
        <v>0.223</v>
      </c>
      <c r="E77" s="6" t="n">
        <v>-0.175</v>
      </c>
      <c r="F77" s="6" t="n">
        <v>0.671</v>
      </c>
      <c r="G77" s="6" t="inlineStr">
        <is>
          <t>否</t>
        </is>
      </c>
      <c r="H77" s="6" t="inlineStr">
        <is>
          <t>规划正式采集应以本列显著占比为基准，而非主种子那一次的结果</t>
        </is>
      </c>
    </row>
    <row r="78">
      <c r="A78" s="5" t="inlineStr">
        <is>
          <t>TiA-R/C</t>
        </is>
      </c>
      <c r="B78" s="6" t="inlineStr">
        <is>
          <t>已发表量表</t>
        </is>
      </c>
      <c r="C78" s="6" t="n">
        <v>1</v>
      </c>
      <c r="D78" s="6" t="n">
        <v>1.119</v>
      </c>
      <c r="E78" s="6" t="n">
        <v>0.751</v>
      </c>
      <c r="F78" s="6" t="n">
        <v>1.591</v>
      </c>
      <c r="G78" s="6" t="inlineStr">
        <is>
          <t>是</t>
        </is>
      </c>
      <c r="H78" s="6" t="inlineStr">
        <is>
          <t>规划正式采集应以本列显著占比为基准，而非主种子那一次的结果</t>
        </is>
      </c>
    </row>
    <row r="79">
      <c r="A79" s="5" t="inlineStr">
        <is>
          <t>TiA-U/P</t>
        </is>
      </c>
      <c r="B79" s="6" t="inlineStr">
        <is>
          <t>已发表量表</t>
        </is>
      </c>
      <c r="C79" s="6" t="n">
        <v>1</v>
      </c>
      <c r="D79" s="6" t="n">
        <v>1.05</v>
      </c>
      <c r="E79" s="6" t="n">
        <v>0.729</v>
      </c>
      <c r="F79" s="6" t="n">
        <v>1.559</v>
      </c>
      <c r="G79" s="6" t="inlineStr">
        <is>
          <t>是</t>
        </is>
      </c>
      <c r="H79" s="6" t="inlineStr">
        <is>
          <t>规划正式采集应以本列显著占比为基准，而非主种子那一次的结果</t>
        </is>
      </c>
    </row>
    <row r="80">
      <c r="A80" s="5" t="inlineStr">
        <is>
          <t>S-TIAS</t>
        </is>
      </c>
      <c r="B80" s="6" t="inlineStr">
        <is>
          <t>已发表量表</t>
        </is>
      </c>
      <c r="C80" s="6" t="n">
        <v>1</v>
      </c>
      <c r="D80" s="6" t="n">
        <v>1.101</v>
      </c>
      <c r="E80" s="6" t="n">
        <v>0.741</v>
      </c>
      <c r="F80" s="6" t="n">
        <v>1.633</v>
      </c>
      <c r="G80" s="6" t="inlineStr">
        <is>
          <t>是</t>
        </is>
      </c>
      <c r="H80" s="6" t="inlineStr">
        <is>
          <t>规划正式采集应以本列显著占比为基准，而非主种子那一次的结果</t>
        </is>
      </c>
    </row>
    <row r="81">
      <c r="A81" s="2" t="inlineStr">
        <is>
          <t>重抽 400 次，每次重新抽取 24 人的全部随机效应与离散事件，模型参数完全不变、无事后校准。显著占比是本轮对正式采集灵敏度的主要结论；主种子那一次只是该分布中的一个抽取，不应单独外推。</t>
        </is>
      </c>
    </row>
    <row r="83" ht="20" customHeight="1">
      <c r="A83" s="3" t="inlineStr">
        <is>
          <t>八、GAIN 敏感性扫描（潜变量→刻度点的唯一自由参数）</t>
        </is>
      </c>
    </row>
    <row r="84" ht="30" customHeight="1">
      <c r="A84" s="4" t="inlineStr">
        <is>
          <t>GAIN</t>
        </is>
      </c>
      <c r="B84" s="4" t="inlineStr">
        <is>
          <t>Q1 dz</t>
        </is>
      </c>
      <c r="C84" s="4" t="inlineStr">
        <is>
          <t>Q8 dz</t>
        </is>
      </c>
      <c r="D84" s="4" t="inlineStr">
        <is>
          <t>Q2 dz</t>
        </is>
      </c>
      <c r="E84" s="4" t="inlineStr">
        <is>
          <t>Q9 dz</t>
        </is>
      </c>
      <c r="F84" s="4" t="inlineStr">
        <is>
          <t>Q3 dz</t>
        </is>
      </c>
      <c r="G84" s="4" t="inlineStr">
        <is>
          <t>Q6 dz</t>
        </is>
      </c>
      <c r="H84" s="4" t="inlineStr">
        <is>
          <t>Q7 dz</t>
        </is>
      </c>
      <c r="I84" s="4" t="inlineStr">
        <is>
          <t>主家族 Holm 后显著数</t>
        </is>
      </c>
      <c r="J84" s="4" t="inlineStr"/>
      <c r="K84" s="4" t="inlineStr"/>
      <c r="L84" s="4" t="inlineStr"/>
    </row>
    <row r="85">
      <c r="A85" s="5" t="n">
        <v>0.7</v>
      </c>
      <c r="B85" s="6" t="n">
        <v>1.505</v>
      </c>
      <c r="C85" s="6" t="n">
        <v>0.915</v>
      </c>
      <c r="D85" s="6" t="n">
        <v>-0.11</v>
      </c>
      <c r="E85" s="6" t="n">
        <v>0.433</v>
      </c>
      <c r="F85" s="6" t="n">
        <v>1</v>
      </c>
      <c r="G85" s="6" t="n">
        <v>1.184</v>
      </c>
      <c r="H85" s="6" t="n">
        <v>0.66</v>
      </c>
      <c r="I85" s="6" t="n">
        <v>5</v>
      </c>
    </row>
    <row r="86">
      <c r="A86" s="5" t="n">
        <v>0.8</v>
      </c>
      <c r="B86" s="6" t="n">
        <v>1.656</v>
      </c>
      <c r="C86" s="6" t="n">
        <v>0.89</v>
      </c>
      <c r="D86" s="6" t="n">
        <v>-0.11</v>
      </c>
      <c r="E86" s="6" t="n">
        <v>0.451</v>
      </c>
      <c r="F86" s="6" t="n">
        <v>0.984</v>
      </c>
      <c r="G86" s="6" t="n">
        <v>1.438</v>
      </c>
      <c r="H86" s="6" t="n">
        <v>0.739</v>
      </c>
      <c r="I86" s="6" t="n">
        <v>5</v>
      </c>
    </row>
    <row r="87">
      <c r="A87" s="5" t="n">
        <v>0.9</v>
      </c>
      <c r="B87" s="6" t="n">
        <v>1.63</v>
      </c>
      <c r="C87" s="6" t="n">
        <v>0.992</v>
      </c>
      <c r="D87" s="6" t="n">
        <v>-0.11</v>
      </c>
      <c r="E87" s="6" t="n">
        <v>0.48</v>
      </c>
      <c r="F87" s="6" t="n">
        <v>1.05</v>
      </c>
      <c r="G87" s="6" t="n">
        <v>1.637</v>
      </c>
      <c r="H87" s="6" t="n">
        <v>0.74</v>
      </c>
      <c r="I87" s="6" t="n">
        <v>5</v>
      </c>
    </row>
    <row r="88">
      <c r="A88" s="5" t="n">
        <v>1</v>
      </c>
      <c r="B88" s="6" t="n">
        <v>1.601</v>
      </c>
      <c r="C88" s="6" t="n">
        <v>1.086</v>
      </c>
      <c r="D88" s="6" t="n">
        <v>-0.044</v>
      </c>
      <c r="E88" s="6" t="n">
        <v>0.513</v>
      </c>
      <c r="F88" s="6" t="n">
        <v>1.143</v>
      </c>
      <c r="G88" s="6" t="n">
        <v>1.596</v>
      </c>
      <c r="H88" s="6" t="n">
        <v>0.797</v>
      </c>
      <c r="I88" s="6" t="n">
        <v>5</v>
      </c>
    </row>
    <row r="89">
      <c r="A89" s="5" t="n">
        <v>1.1</v>
      </c>
      <c r="B89" s="6" t="n">
        <v>1.662</v>
      </c>
      <c r="C89" s="6" t="n">
        <v>1.233</v>
      </c>
      <c r="D89" s="6" t="n">
        <v>0</v>
      </c>
      <c r="E89" s="6" t="n">
        <v>0.542</v>
      </c>
      <c r="F89" s="6" t="n">
        <v>1.301</v>
      </c>
      <c r="G89" s="6" t="n">
        <v>1.766</v>
      </c>
      <c r="H89" s="6" t="n">
        <v>0.992</v>
      </c>
      <c r="I89" s="6" t="n">
        <v>6</v>
      </c>
    </row>
    <row r="90">
      <c r="A90" s="2" t="inlineStr">
        <is>
          <t>GAIN 是潜变量→七点刻度的唯一自由参数，本轮取 0.9。取值依据：静止通道 13× 的抖动下降（约 1.2° → 0.09° 视角）对认真观察者应使措辞恰当的单项移动约 1.2–1.5 个刻度点。扫描用于说明主要定性结论（哪些条目显著、哪些为零效应）在 0.70–1.10 区间是否稳定。</t>
        </is>
      </c>
    </row>
  </sheetData>
  <mergeCells count="34">
    <mergeCell ref="E56:L56"/>
    <mergeCell ref="E58:L58"/>
    <mergeCell ref="G37:L37"/>
    <mergeCell ref="A90:L90"/>
    <mergeCell ref="G28:L28"/>
    <mergeCell ref="E55:L55"/>
    <mergeCell ref="G34:L34"/>
    <mergeCell ref="A3:L3"/>
    <mergeCell ref="G30:L30"/>
    <mergeCell ref="G33:L33"/>
    <mergeCell ref="G24:L24"/>
    <mergeCell ref="A22:L22"/>
    <mergeCell ref="G35:L35"/>
    <mergeCell ref="G26:L26"/>
    <mergeCell ref="A53:L53"/>
    <mergeCell ref="G29:L29"/>
    <mergeCell ref="A20:L20"/>
    <mergeCell ref="A81:L81"/>
    <mergeCell ref="G25:L25"/>
    <mergeCell ref="G32:L32"/>
    <mergeCell ref="G31:L31"/>
    <mergeCell ref="A67:L67"/>
    <mergeCell ref="I41:L41"/>
    <mergeCell ref="A39:L39"/>
    <mergeCell ref="A83:L83"/>
    <mergeCell ref="E57:L57"/>
    <mergeCell ref="G27:L27"/>
    <mergeCell ref="A60:L60"/>
    <mergeCell ref="G36:L36"/>
    <mergeCell ref="A51:L51"/>
    <mergeCell ref="A1:L1"/>
    <mergeCell ref="I43:L43"/>
    <mergeCell ref="A45:L45"/>
    <mergeCell ref="I42:L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2026-07-27T10:57:06Z</dcterms:created>
  <dcterms:modified xsi:type="dcterms:W3CDTF">2026-07-27T10:57:06Z</dcterms:modified>
</cp:coreProperties>
</file>