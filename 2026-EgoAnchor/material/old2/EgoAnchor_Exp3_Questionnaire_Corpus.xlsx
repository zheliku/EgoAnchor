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226b69c1f0e4413" /></Relationships>
</file>

<file path=xl/workbook.xml><?xml version="1.0" encoding="utf-8"?>
<x:workbook xmlns:x="http://schemas.openxmlformats.org/spreadsheetml/2006/main">
  <x:sheets>
    <x:sheet xmlns:r="http://schemas.openxmlformats.org/officeDocument/2006/relationships" name="说明与范围" sheetId="1" r:id="R9aeafbcc7ee6405e"/>
    <x:sheet xmlns:r="http://schemas.openxmlformats.org/officeDocument/2006/relationships" name="量表索引" sheetId="2" r:id="R1c0bb926a86f421c"/>
    <x:sheet xmlns:r="http://schemas.openxmlformats.org/officeDocument/2006/relationships" name="逐项条目库" sheetId="3" r:id="Rbe053378fd294e86"/>
    <x:sheet xmlns:r="http://schemas.openxmlformats.org/officeDocument/2006/relationships" name="机制映射" sheetId="4" r:id="R14b0c799373f4d66"/>
    <x:sheet xmlns:r="http://schemas.openxmlformats.org/officeDocument/2006/relationships" name="关键研究_跟踪信任" sheetId="5" r:id="R887435d72e444f3a"/>
    <x:sheet xmlns:r="http://schemas.openxmlformats.org/officeDocument/2006/relationships" name="搜索日志与缺口" sheetId="6" r:id="Ra59a7d8147f34e09"/>
    <x:sheet xmlns:r="http://schemas.openxmlformats.org/officeDocument/2006/relationships" name="_Lists" sheetId="7" r:id="Rbe7dc1607c3042dc"/>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FFFFFF"/>
      <x:name val="Carlito"/>
    </x:font>
    <x:font>
      <x:b/>
      <x:sz val="11"/>
      <x:color rgb="FF1F2937"/>
      <x:name val="Carlito"/>
    </x:font>
    <x:font>
      <x:b/>
      <x:sz val="11"/>
      <x:color rgb="FFFFFFFF"/>
      <x:name val="Carlito"/>
    </x:font>
    <x:font>
      <x:b/>
      <x:sz val="14"/>
      <x:color rgb="FF17324D"/>
      <x:name val="Carlito"/>
    </x:font>
    <x:font>
      <x:b/>
      <x:sz val="11"/>
      <x:color rgb="FF2B7A78"/>
      <x:name val="Carlito"/>
    </x:font>
  </x:fonts>
  <x:fills count="6">
    <x:fill>
      <x:patternFill patternType="none"/>
    </x:fill>
    <x:fill>
      <x:patternFill patternType="gray125"/>
    </x:fill>
    <x:fill>
      <x:patternFill patternType="solid">
        <x:fgColor rgb="FF17324D"/>
      </x:patternFill>
    </x:fill>
    <x:fill>
      <x:patternFill patternType="solid">
        <x:fgColor rgb="FFE8F1F6"/>
      </x:patternFill>
    </x:fill>
    <x:fill>
      <x:patternFill patternType="solid">
        <x:fgColor rgb="FF2B5D7D"/>
      </x:patternFill>
    </x:fill>
    <x:fill>
      <x:patternFill patternType="solid">
        <x:fgColor rgb="FFDDEFEA"/>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2" fillId="3"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horizontal="center" wrapText="1"/>
    </x:xf>
    <x:xf numFmtId="0" fontId="3" fillId="4"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horizontal="center"/>
    </x:xf>
    <x:xf numFmtId="0" fontId="4" fillId="0" borderId="0" xfId="0" applyNumberFormat="1" applyFont="1" applyFill="1" applyBorder="1" applyAlignment="1">
      <x:alignment horizontal="center" vertical="center"/>
    </x:xf>
    <x:xf numFmtId="0" fontId="4" fillId="0" borderId="1" xfId="0" applyNumberFormat="1" applyFont="1" applyFill="1" applyBorder="1"/>
    <x:xf numFmtId="0" fontId="4" fillId="0" borderId="1" xfId="0" applyNumberFormat="1" applyFont="1" applyFill="1" applyBorder="1" applyAlignment="1">
      <x:alignment horizontal="center"/>
    </x:xf>
    <x:xf numFmtId="0" fontId="4" fillId="0" borderId="1" xfId="0" applyNumberFormat="1" applyFont="1" applyFill="1" applyBorder="1" applyAlignment="1">
      <x:alignment horizontal="center" vertical="center"/>
    </x:xf>
    <x:xf numFmtId="0" fontId="0" fillId="5" borderId="0" xfId="0" applyNumberFormat="1" applyFont="1" applyFill="1" applyBorder="1"/>
    <x:xf numFmtId="0" fontId="5" fillId="5" borderId="0" xfId="0" applyNumberFormat="1" applyFont="1" applyFill="1" applyBorder="1"/>
    <x:xf numFmtId="0" fontId="5" fillId="5" borderId="0" xfId="0" applyNumberFormat="1" applyFont="1" applyFill="1" applyBorder="1" applyAlignment="1">
      <x:alignment horizontal="center"/>
    </x:xf>
    <x:xf numFmtId="0" fontId="0" fillId="5" borderId="1" xfId="0" applyNumberFormat="1" applyFont="1" applyFill="1" applyBorder="1"/>
    <x:xf numFmtId="0" fontId="5" fillId="5" borderId="1" xfId="0" applyNumberFormat="1" applyFont="1" applyFill="1" applyBorder="1"/>
    <x:xf numFmtId="0" fontId="5" fillId="5" borderId="1" xfId="0" applyNumberFormat="1" applyFont="1" applyFill="1" applyBorder="1" applyAlignment="1">
      <x:alignment horizontal="center"/>
    </x:xf>
    <x:xf numFmtId="0" fontId="5" fillId="5" borderId="0" xfId="0" applyNumberFormat="1" applyFont="1" applyFill="1" applyBorder="1" applyAlignment="1">
      <x:alignment horizontal="center" wrapText="1"/>
    </x:xf>
    <x:xf numFmtId="0" fontId="5" fillId="5" borderId="1" xfId="0" applyNumberFormat="1" applyFont="1" applyFill="1" applyBorder="1" applyAlignment="1">
      <x:alignment horizontal="center"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cellXfs>
  <x:cellStyles count="1">
    <x:cellStyle name="Normal" xfId="0"/>
  </x:cellStyles>
  <x:dxfs count="3">
    <x:dxf>
      <x:font>
        <x:b/>
        <x:color rgb="FF166534"/>
      </x:font>
      <x:fill>
        <x:patternFill patternType="solid">
          <x:bgColor rgb="FFDCFCE7"/>
        </x:patternFill>
      </x:fill>
    </x:dxf>
    <x:dxf>
      <x:font>
        <x:color rgb="FF991B1B"/>
      </x:font>
      <x:fill>
        <x:patternFill patternType="solid">
          <x:bgColor rgb="FFFEE2E2"/>
        </x:patternFill>
      </x:fill>
    </x:dxf>
    <x:dxf>
      <x:font>
        <x:b/>
        <x:color rgb="FF92400E"/>
      </x:font>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37d00ac1f34e4a81" /><Relationship Type="http://schemas.openxmlformats.org/officeDocument/2006/relationships/theme" Target="/xl/theme/theme1.xml" Id="Rb836c72e6dca473a" /><Relationship Type="http://schemas.openxmlformats.org/officeDocument/2006/relationships/sharedStrings" Target="/xl/sharedStrings.xml" Id="Rbdd128e29f064a9b" /><Relationship Type="http://schemas.openxmlformats.org/officeDocument/2006/relationships/worksheet" Target="/xl/worksheets/sheet1.xml" Id="R9aeafbcc7ee6405e" /><Relationship Type="http://schemas.openxmlformats.org/officeDocument/2006/relationships/worksheet" Target="/xl/worksheets/sheet2.xml" Id="R1c0bb926a86f421c" /><Relationship Type="http://schemas.openxmlformats.org/officeDocument/2006/relationships/worksheet" Target="/xl/worksheets/sheet3.xml" Id="Rbe053378fd294e86" /><Relationship Type="http://schemas.openxmlformats.org/officeDocument/2006/relationships/worksheet" Target="/xl/worksheets/sheet4.xml" Id="R14b0c799373f4d66" /><Relationship Type="http://schemas.openxmlformats.org/officeDocument/2006/relationships/worksheet" Target="/xl/worksheets/sheet5.xml" Id="R887435d72e444f3a" /><Relationship Type="http://schemas.openxmlformats.org/officeDocument/2006/relationships/worksheet" Target="/xl/worksheets/sheet6.xml" Id="Ra59a7d8147f34e09" /><Relationship Type="http://schemas.openxmlformats.org/officeDocument/2006/relationships/worksheet" Target="/xl/worksheets/sheet7.xml" Id="Rbe7dc1607c3042dc" /></Relationships>
</file>

<file path=xl/tables/table1.xml><?xml version="1.0" encoding="utf-8"?>
<x:table xmlns:x="http://schemas.openxmlformats.org/spreadsheetml/2006/main" id="1" name="ScaleIndexTable" displayName="ScaleIndexTable" ref="A1:O47" headerRowCount="1">
  <x:tableColumns count="15">
    <x:tableColumn id="1" name="类别"/>
    <x:tableColumn id="2" name="层级"/>
    <x:tableColumn id="3" name="量表/工具"/>
    <x:tableColumn id="4" name="版本/年份"/>
    <x:tableColumn id="5" name="项目数"/>
    <x:tableColumn id="6" name="构念/子量表"/>
    <x:tableColumn id="7" name="评分尺度"/>
    <x:tableColumn id="8" name="验证状态"/>
    <x:tableColumn id="9" name="XR特异性"/>
    <x:tableColumn id="10" name="EgoAnchor相关性(0-3)"/>
    <x:tableColumn id="11" name="条目可得性/文本状态"/>
    <x:tableColumn id="12" name="建议用途/风险"/>
    <x:tableColumn id="13" name="来源URL"/>
    <x:tableColumn id="14" name="DOI/位置"/>
    <x:tableColumn id="15" name="备注"/>
  </x:tableColumns>
  <x:tableStyleInfo name="TableStyleMedium2" showRowStripes="1"/>
</x:table>
</file>

<file path=xl/tables/table2.xml><?xml version="1.0" encoding="utf-8"?>
<x:table xmlns:x="http://schemas.openxmlformats.org/spreadsheetml/2006/main" id="2" name="ItemCorpusTable" displayName="ItemCorpusTable" ref="A1:U340" headerRowCount="1">
  <x:tableColumns count="21">
    <x:tableColumn id="1" name="选择"/>
    <x:tableColumn id="2" name="层级"/>
    <x:tableColumn id="3" name="类别"/>
    <x:tableColumn id="4" name="量表/工具"/>
    <x:tableColumn id="5" name="版本/年份"/>
    <x:tableColumn id="6" name="子量表"/>
    <x:tableColumn id="7" name="Item ID"/>
    <x:tableColumn id="8" name="中文语义版本"/>
    <x:tableColumn id="9" name="公开英文原文（仅在许可/公开允许时）"/>
    <x:tableColumn id="10" name="极性/反向"/>
    <x:tableColumn id="11" name="评分尺度"/>
    <x:tableColumn id="12" name="验证状态"/>
    <x:tableColumn id="13" name="适用阶段"/>
    <x:tableColumn id="14" name="机制映射"/>
    <x:tableColumn id="15" name="相关性(0-3)"/>
    <x:tableColumn id="16" name="使用建议"/>
    <x:tableColumn id="17" name="文本/翻译状态"/>
    <x:tableColumn id="18" name="来源URL"/>
    <x:tableColumn id="19" name="DOI/页表位置"/>
    <x:tableColumn id="20" name="版本成员/用途"/>
    <x:tableColumn id="21" name="备注"/>
  </x:tableColumns>
  <x:tableStyleInfo name="TableStyleMedium2" showRowStripes="1"/>
</x:table>
</file>

<file path=xl/tables/table3.xml><?xml version="1.0" encoding="utf-8"?>
<x:table xmlns:x="http://schemas.openxmlformats.org/spreadsheetml/2006/main" id="3" name="MechanismMapTable" displayName="MechanismMapTable" ref="A1:D15" headerRowCount="1">
  <x:tableColumns count="4">
    <x:tableColumn id="1" name="机制/构念"/>
    <x:tableColumn id="2" name="操作性含义"/>
    <x:tableColumn id="3" name="匹配条目数"/>
    <x:tableColumn id="4" name="高相关条目示例（按相关性排序，最多18项）"/>
  </x:tableColumns>
  <x:tableStyleInfo name="TableStyleMedium2" showRowStripes="1"/>
</x:table>
</file>

<file path=xl/tables/table4.xml><?xml version="1.0" encoding="utf-8"?>
<x:table xmlns:x="http://schemas.openxmlformats.org/spreadsheetml/2006/main" id="4" name="KeyStudiesTable" displayName="KeyStudiesTable" ref="A1:I7" headerRowCount="1">
  <x:tableColumns count="9">
    <x:tableColumn id="1" name="作者"/>
    <x:tableColumn id="2" name="年份"/>
    <x:tableColumn id="3" name="研究焦点"/>
    <x:tableColumn id="4" name="操纵/场景"/>
    <x:tableColumn id="5" name="主观测量"/>
    <x:tableColumn id="6" name="关键发现"/>
    <x:tableColumn id="7" name="对EgoAnchor的意义"/>
    <x:tableColumn id="8" name="来源URL"/>
    <x:tableColumn id="9" name="DOI"/>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c909063667f4b7d" /></Relationships>
</file>

<file path=xl/worksheets/_rels/sheet3.xml.rels>&#65279;<?xml version="1.0" encoding="utf-8"?><Relationships xmlns="http://schemas.openxmlformats.org/package/2006/relationships"><Relationship Type="http://schemas.openxmlformats.org/officeDocument/2006/relationships/table" Target="/xl/tables/table2.xml" Id="Rf989750cf65143f4" /></Relationships>
</file>

<file path=xl/worksheets/_rels/sheet4.xml.rels>&#65279;<?xml version="1.0" encoding="utf-8"?><Relationships xmlns="http://schemas.openxmlformats.org/package/2006/relationships"><Relationship Type="http://schemas.openxmlformats.org/officeDocument/2006/relationships/table" Target="/xl/tables/table3.xml" Id="Rd04bfefd5b2347ad" /></Relationships>
</file>

<file path=xl/worksheets/_rels/sheet5.xml.rels>&#65279;<?xml version="1.0" encoding="utf-8"?><Relationships xmlns="http://schemas.openxmlformats.org/package/2006/relationships"><Relationship Type="http://schemas.openxmlformats.org/officeDocument/2006/relationships/table" Target="/xl/tables/table4.xml" Id="R7f3753d88f294a93" /></Relationships>
</file>

<file path=xl/worksheets/sheet1.xml><?xml version="1.0" encoding="utf-8"?>
<x:worksheet xmlns:x="http://schemas.openxmlformats.org/spreadsheetml/2006/main">
  <x:sheetFormatPr defaultRowHeight="15"/>
  <x:cols>
    <x:col min="1" max="1" width="18" hidden="0" customWidth="1"/>
    <x:col min="2" max="2" width="78" hidden="0" customWidth="1"/>
    <x:col min="4" max="4" width="6" hidden="0" customWidth="1"/>
    <x:col min="5" max="5" width="68" hidden="0" customWidth="1"/>
  </x:cols>
  <x:sheetData>
    <x:row r="1" ht="30" customHeight="1">
      <x:c r="A1" s="4" t="str">
        <x:v>EgoAnchor 实验三：相关问卷与逐项条目系统检索库</x:v>
      </x:c>
      <x:c r="B1" s="4"/>
      <x:c r="C1" s="4"/>
      <x:c r="D1" s="4"/>
      <x:c r="E1" s="4"/>
      <x:c r="F1" s="4"/>
      <x:c r="G1" s="4"/>
      <x:c r="H1" s="4"/>
    </x:row>
    <x:row r="3" ht="50" customHeight="1">
      <x:c r="A3" s="18" t="str">
        <x:v>检索日期</x:v>
      </x:c>
      <x:c r="B3" s="19" t="str">
        <x:v>2026-07-26</x:v>
      </x:c>
      <x:c r="D3" s="26" t="str">
        <x:v>语料库概览</x:v>
      </x:c>
      <x:c r="E3" s="26"/>
      <x:c r="F3" s="26"/>
      <x:c r="G3" s="26"/>
      <x:c r="H3" s="26"/>
    </x:row>
    <x:row r="4" ht="50" customHeight="1">
      <x:c r="A4" s="18" t="str">
        <x:v>检索目标</x:v>
      </x:c>
      <x:c r="B4" s="19" t="str">
        <x:v>围绕MR对象锚定的静止稳定、运动附着、响应、遮挡恢复、合理性/虚实融合、可靠性、信任与依赖，系统性搜集相关标准量表、研究自建问卷及控制量表。</x:v>
      </x:c>
      <x:c r="D4" s="11" t="str">
        <x:v>量表/工具总数</x:v>
      </x:c>
      <x:c r="E4" s="34" t="n">
        <x:f>COUNTA('量表索引'!C:C)-1</x:f>
        <x:v>46</x:v>
      </x:c>
    </x:row>
    <x:row r="5" ht="50" customHeight="1">
      <x:c r="A5" s="18" t="str">
        <x:v>覆盖范围</x:v>
      </x:c>
      <x:c r="B5" s="19" t="str">
        <x:v>公开网络、开放论文、作者项目页、官方量表页、系统综述及用户上传论文/手稿。网络持续变化、付费墙和未公开补充材料意味着无法证明字面意义上的“全网全部”。</x:v>
      </x:c>
      <x:c r="D5" s="11" t="str">
        <x:v>逐项条目总数</x:v>
      </x:c>
      <x:c r="E5" s="34" t="n">
        <x:f>COUNTA('逐项条目库'!G:G)-1</x:f>
        <x:v>339</x:v>
      </x:c>
    </x:row>
    <x:row r="6" ht="50" customHeight="1">
      <x:c r="A6" s="18" t="str">
        <x:v>逐项文本规则</x:v>
      </x:c>
      <x:c r="B6" s="19" t="str">
        <x:v>开放许可或官方公开的项目尽量保留公开英文原文；受版权保护或许可不明确的量表提供逐项中文语义转述、项目编号、构念、来源与页表位置，不将转述冒充官方译文。</x:v>
      </x:c>
      <x:c r="D6" s="11" t="str">
        <x:v>相关性=3条目</x:v>
      </x:c>
      <x:c r="E6" s="34" t="n">
        <x:f>COUNTIF('逐项条目库'!O:O,3)</x:f>
        <x:v>71</x:v>
      </x:c>
    </x:row>
    <x:row r="7" ht="50" customHeight="1">
      <x:c r="A7" s="18" t="str">
        <x:v>相关层级</x:v>
      </x:c>
      <x:c r="B7" s="19" t="str">
        <x:v>A=直接对应对象锚定/跟踪/信任；B=邻近构念；C=控制变量或总体UX；D=构念不匹配/不建议。</x:v>
      </x:c>
      <x:c r="D7" s="11" t="str">
        <x:v>A-直接量表数</x:v>
      </x:c>
      <x:c r="E7" s="34" t="n">
        <x:f>COUNTIF('量表索引'!B:B,"A-直接")</x:f>
        <x:v>12</x:v>
      </x:c>
    </x:row>
    <x:row r="8" ht="50" customHeight="1">
      <x:c r="A8" s="18" t="str">
        <x:v>相关性评分</x:v>
      </x:c>
      <x:c r="B8" s="19" t="str">
        <x:v>3=可直接进入候选池；2=可改编或用于理论支撑；1=低优先级/控制；0=不建议用于实验三主问卷。</x:v>
      </x:c>
      <x:c r="D8" s="11" t="str">
        <x:v>仅索引未逐项复现</x:v>
      </x:c>
      <x:c r="E8" s="34" t="n">
        <x:f>ROWS('量表索引'!K32:K47)</x:f>
        <x:v>16</x:v>
      </x:c>
    </x:row>
    <x:row r="9" ht="50" customHeight="1">
      <x:c r="A9" s="18" t="str">
        <x:v>使用提醒</x:v>
      </x:c>
      <x:c r="B9" s="19" t="str">
        <x:v>从已验证量表抽取单项会改变其心理计量意义。决定条目后，应重新检查构念覆盖、翻译、顺序、认知访谈和统计方案。</x:v>
      </x:c>
    </x:row>
    <x:row r="10">
      <x:c r="D10" s="26" t="str">
        <x:v>筛选工作流</x:v>
      </x:c>
      <x:c r="E10" s="26"/>
      <x:c r="F10" s="26"/>
      <x:c r="G10" s="26"/>
      <x:c r="H10" s="26"/>
    </x:row>
    <x:row r="11" ht="35" customHeight="1">
      <x:c r="D11" s="44" t="str">
        <x:v>1</x:v>
      </x:c>
      <x:c r="E11" s="16" t="str">
        <x:v>在“逐项条目库”筛选相关性=3。</x:v>
      </x:c>
    </x:row>
    <x:row r="12" ht="35" customHeight="1">
      <x:c r="D12" s="44" t="str">
        <x:v>2</x:v>
      </x:c>
      <x:c r="E12" s="16" t="str">
        <x:v>比较同构念不同措辞，例如 CRIQ-PSI2、CIQ3、FPS6、VEQ-AG4。</x:v>
      </x:c>
    </x:row>
    <x:row r="13" ht="35" customHeight="1">
      <x:c r="D13" s="44" t="str">
        <x:v>3</x:v>
      </x:c>
      <x:c r="E13" s="16" t="str">
        <x:v>信任部分分别比较 TIAS、S-TIAS、TiA、TOAST、C-HATS、STS。</x:v>
      </x:c>
    </x:row>
    <x:row r="14" ht="35" customHeight="1">
      <x:c r="D14" s="44" t="str">
        <x:v>4</x:v>
      </x:c>
      <x:c r="E14" s="16" t="str">
        <x:v>在“选择”列标记候选、排除或需要改写。</x:v>
      </x:c>
    </x:row>
    <x:row r="15" ht="35" customHeight="1">
      <x:c r="D15" s="44" t="str">
        <x:v>5</x:v>
      </x:c>
      <x:c r="E15" s="16" t="str">
        <x:v>若保留完整子量表，遵循原计分；若抽取单项，明确写为 adapted/custom item。</x:v>
      </x:c>
    </x:row>
    <x:row r="16" ht="35" customHeight="1">
      <x:c r="D16" s="44" t="str">
        <x:v>6</x:v>
      </x:c>
      <x:c r="E16" s="16" t="str">
        <x:v>冻结前完成中文认知访谈与小规模预实验。</x:v>
      </x:c>
    </x:row>
  </x:sheetData>
  <x:mergeCells>
    <x:mergeCell ref="A1:H1"/>
    <x:mergeCell ref="D3:H3"/>
    <x:mergeCell ref="D10:H10"/>
  </x:mergeCells>
  <x:pageMargins left="0.7" right="0.7" top="0.75" bottom="0.75" header="0.3" footer="0.3"/>
</x:worksheet>
</file>

<file path=xl/worksheets/sheet2.xml><?xml version="1.0" encoding="utf-8"?>
<x:worksheet xmlns:x="http://schemas.openxmlformats.org/spreadsheetml/2006/main">
  <x:sheetFormatPr defaultRowHeight="15"/>
  <x:cols>
    <x:col min="1" max="1" width="18" hidden="0" customWidth="1"/>
    <x:col min="2" max="2" width="10" hidden="0" customWidth="1"/>
    <x:col min="3" max="3" width="34" hidden="0" customWidth="1"/>
    <x:col min="4" max="4" width="16" hidden="0" customWidth="1"/>
    <x:col min="5" max="5" width="10" hidden="0" customWidth="1"/>
    <x:col min="6" max="6" width="40" hidden="0" customWidth="1"/>
    <x:col min="7" max="7" width="22" hidden="0" customWidth="1"/>
    <x:col min="8" max="8" width="28" hidden="0" customWidth="1"/>
    <x:col min="9" max="9" width="18" hidden="0" customWidth="1"/>
    <x:col min="10" max="10" width="15" hidden="0" customWidth="1"/>
    <x:col min="11" max="11" width="38" hidden="0" customWidth="1"/>
    <x:col min="12" max="12" width="46" hidden="0" customWidth="1"/>
    <x:col min="13" max="13" width="52" hidden="0" customWidth="1"/>
    <x:col min="14" max="14" width="28" hidden="0" customWidth="1"/>
    <x:col min="15" max="15" width="34" hidden="0" customWidth="1"/>
  </x:cols>
  <x:sheetData>
    <x:row r="1" ht="43" customHeight="1">
      <x:c r="A1" s="49" t="str">
        <x:v>类别</x:v>
      </x:c>
      <x:c r="B1" s="49" t="str">
        <x:v>层级</x:v>
      </x:c>
      <x:c r="C1" s="49" t="str">
        <x:v>量表/工具</x:v>
      </x:c>
      <x:c r="D1" s="49" t="str">
        <x:v>版本/年份</x:v>
      </x:c>
      <x:c r="E1" s="49" t="str">
        <x:v>项目数</x:v>
      </x:c>
      <x:c r="F1" s="49" t="str">
        <x:v>构念/子量表</x:v>
      </x:c>
      <x:c r="G1" s="49" t="str">
        <x:v>评分尺度</x:v>
      </x:c>
      <x:c r="H1" s="49" t="str">
        <x:v>验证状态</x:v>
      </x:c>
      <x:c r="I1" s="49" t="str">
        <x:v>XR特异性</x:v>
      </x:c>
      <x:c r="J1" s="49" t="str">
        <x:v>EgoAnchor相关性(0-3)</x:v>
      </x:c>
      <x:c r="K1" s="49" t="str">
        <x:v>条目可得性/文本状态</x:v>
      </x:c>
      <x:c r="L1" s="49" t="str">
        <x:v>建议用途/风险</x:v>
      </x:c>
      <x:c r="M1" s="49" t="str">
        <x:v>来源URL</x:v>
      </x:c>
      <x:c r="N1" s="49" t="str">
        <x:v>DOI/位置</x:v>
      </x:c>
      <x:c r="O1" s="49" t="str">
        <x:v>备注</x:v>
      </x:c>
    </x:row>
    <x:row r="2" ht="43" customHeight="1">
      <x:c r="A2" s="19" t="str">
        <x:v>项目现有条目</x:v>
      </x:c>
      <x:c r="B2" s="19" t="str">
        <x:v>A-直接</x:v>
      </x:c>
      <x:c r="C2" s="19" t="str">
        <x:v>EgoAnchor当前实验三条目</x:v>
      </x:c>
      <x:c r="D2" s="19" t="str">
        <x:v>v8/2026</x:v>
      </x:c>
      <x:c r="E2" s="19" t="n">
        <x:v>7</x:v>
      </x:c>
      <x:c r="F2" s="19" t="str">
        <x:v>静止稳定、运动附着、恢复、合理可信、同步、依赖、稳定-响应平衡</x:v>
      </x:c>
      <x:c r="G2" s="19" t="str">
        <x:v>7点同意/强度</x:v>
      </x:c>
      <x:c r="H2" s="19" t="str">
        <x:v>研究定制，未验证</x:v>
      </x:c>
      <x:c r="I2" s="19" t="str">
        <x:v>MR对象锚定</x:v>
      </x:c>
      <x:c r="J2" s="19" t="n">
        <x:v>3</x:v>
      </x:c>
      <x:c r="K2" s="19" t="str">
        <x:v>完整可用</x:v>
      </x:c>
      <x:c r="L2" s="19" t="str">
        <x:v>作为当前设计基线，逐项与既有量表比较</x:v>
      </x:c>
      <x:c r="M2" s="19" t="str">
        <x:v>conversation file: egoanchor_cn_ai_v8(1).tex</x:v>
      </x:c>
      <x:c r="N2" s="19" t="str"/>
      <x:c r="O2" s="19" t="str">
        <x:v>不宜合成总分。</x:v>
      </x:c>
    </x:row>
    <x:row r="3" ht="43" customHeight="1">
      <x:c r="A3" s="19" t="str">
        <x:v>跨现实交互</x:v>
      </x:c>
      <x:c r="B3" s="19" t="str">
        <x:v>A-直接</x:v>
      </x:c>
      <x:c r="C3" s="19" t="str">
        <x:v>Cross-Reality Interaction Questionnaire (CRIQ)</x:v>
      </x:c>
      <x:c r="D3" s="19" t="str">
        <x:v>2021</x:v>
      </x:c>
      <x:c r="E3" s="19" t="n">
        <x:v>18</x:v>
      </x:c>
      <x:c r="F3" s="19" t="str">
        <x:v>General、Awareness、Behavioral Influence、Plausibility Illusion、Place Illusion</x:v>
      </x:c>
      <x:c r="G3" s="19" t="str">
        <x:v>7点：1 not at all–7 very much</x:v>
      </x:c>
      <x:c r="H3" s="19" t="str">
        <x:v>研究自建；报告内部一致性与条件敏感性</x:v>
      </x:c>
      <x:c r="I3" s="19" t="str">
        <x:v>Cross-Reality VR/MR</x:v>
      </x:c>
      <x:c r="J3" s="19" t="n">
        <x:v>3</x:v>
      </x:c>
      <x:c r="K3" s="19" t="str">
        <x:v>论文Table 1公开；逐项中文语义转述</x:v>
      </x:c>
      <x:c r="L3" s="19" t="str">
        <x:v>优先检查PSI1–PSI3与G2；使用子量表时尽量完整保留</x:v>
      </x:c>
      <x:c r="M3" s="19" t="str">
        <x:v>https://sreal.ucf.edu/wp-content/uploads/2021/08/ISMAR_2021_Paper__Interruptions_.pdf</x:v>
      </x:c>
      <x:c r="N3" s="19" t="str">
        <x:v>IEEE ISMAR 2021, Table 1</x:v>
      </x:c>
      <x:c r="O3" s="19" t="str"/>
    </x:row>
    <x:row r="4" ht="43" customHeight="1">
      <x:c r="A4" s="19" t="str">
        <x:v>AR对象存在感</x:v>
      </x:c>
      <x:c r="B4" s="19" t="str">
        <x:v>A-直接</x:v>
      </x:c>
      <x:c r="C4" s="19" t="str">
        <x:v>AR Presence Questionnaire</x:v>
      </x:c>
      <x:c r="D4" s="19" t="str">
        <x:v>2002/2021公开稿</x:v>
      </x:c>
      <x:c r="E4" s="19" t="n">
        <x:v>7</x:v>
      </x:c>
      <x:c r="F4" s="19" t="str">
        <x:v>Realness、Spatial Presence、Perceptual Stress</x:v>
      </x:c>
      <x:c r="G4" s="19" t="str">
        <x:v>7点双极/同意度</x:v>
      </x:c>
      <x:c r="H4" s="19" t="str">
        <x:v>N=385探索性因子分析；早期AR专用量表</x:v>
      </x:c>
      <x:c r="I4" s="19" t="str">
        <x:v>AR对象注册与呈现</x:v>
      </x:c>
      <x:c r="J4" s="19" t="n">
        <x:v>3</x:v>
      </x:c>
      <x:c r="K4" s="19" t="str">
        <x:v>7个分析条目公开；中文语义转述</x:v>
      </x:c>
      <x:c r="L4" s="19" t="str">
        <x:v>P2、P3、P5、P7与对象锚定高度相关</x:v>
      </x:c>
      <x:c r="M4" s="19" t="str">
        <x:v>https://www.hci.otago.ac.nz/papers/RegenbrechtarXiv2021.pdf</x:v>
      </x:c>
      <x:c r="N4" s="19" t="str">
        <x:v>arXiv:2103.02831</x:v>
      </x:c>
      <x:c r="O4" s="19" t="str"/>
    </x:row>
    <x:row r="5" ht="43" customHeight="1">
      <x:c r="A5" s="19" t="str">
        <x:v>MR/AR存在感与合理性</x:v>
      </x:c>
      <x:c r="B5" s="19" t="str">
        <x:v>A-直接</x:v>
      </x:c>
      <x:c r="C5" s="19" t="str">
        <x:v>Holistic Presence Questionnaire (HPQ)</x:v>
      </x:c>
      <x:c r="D5" s="19" t="str">
        <x:v>2021</x:v>
      </x:c>
      <x:c r="E5" s="19" t="n">
        <x:v>5</x:v>
      </x:c>
      <x:c r="F5" s="19" t="str">
        <x:v>Sensory、Emotional、Cognitive、Behavioral、Reasoning</x:v>
      </x:c>
      <x:c r="G5" s="19" t="str">
        <x:v>建议7点同意度</x:v>
      </x:c>
      <x:c r="H5" s="19" t="str">
        <x:v>短量表；内容/表面效度，仍需更多心理计量验证</x:v>
      </x:c>
      <x:c r="I5" s="19" t="str">
        <x:v>VR/AR/MR通用</x:v>
      </x:c>
      <x:c r="J5" s="19" t="n">
        <x:v>3</x:v>
      </x:c>
      <x:c r="K5" s="19" t="str">
        <x:v>CC BY 4.0；5项完整公开</x:v>
      </x:c>
      <x:c r="L5" s="19" t="str">
        <x:v>HPQ1、HPQ4可捕捉抖动/延迟造成的保真损失</x:v>
      </x:c>
      <x:c r="M5" s="19" t="str">
        <x:v>https://research.utwente.nl/files/275269288/ToetMioch2021.pdf</x:v>
      </x:c>
      <x:c r="N5" s="19" t="str">
        <x:v>10.31234/osf.io/gvkwx, Table 1</x:v>
      </x:c>
      <x:c r="O5" s="19" t="str"/>
    </x:row>
    <x:row r="6" ht="43" customHeight="1">
      <x:c r="A6" s="19" t="str">
        <x:v>XR对象交互质量</x:v>
      </x:c>
      <x:c r="B6" s="19" t="str">
        <x:v>A-直接</x:v>
      </x:c>
      <x:c r="C6" s="19" t="str">
        <x:v>Customizable Interactions Questionnaire (CIQ)</x:v>
      </x:c>
      <x:c r="D6" s="19" t="str">
        <x:v>2023</x:v>
      </x:c>
      <x:c r="E6" s="19" t="n">
        <x:v>17</x:v>
      </x:c>
      <x:c r="F6" s="19" t="str">
        <x:v>Quality of Interactions、Comfort、Task Performance、Consistency with Expectations、Sensory Enhancement</x:v>
      </x:c>
      <x:c r="G6" s="19" t="str">
        <x:v>各题使用5点双极端点</x:v>
      </x:c>
      <x:c r="H6" s="19" t="str">
        <x:v>多研究开发；认知访谈、因子分析、可靠性与敏感性检验</x:v>
      </x:c>
      <x:c r="I6" s="19" t="str">
        <x:v>VR对象交互；初步AR适配</x:v>
      </x:c>
      <x:c r="J6" s="19" t="n">
        <x:v>3</x:v>
      </x:c>
      <x:c r="K6" s="19" t="str">
        <x:v>CC BY 4.0；Appendix C完整公开</x:v>
      </x:c>
      <x:c r="L6" s="19" t="str">
        <x:v>CIQ2、CIQ3、CIQ11、CIQ12、CIQ15高度相关；需对象化</x:v>
      </x:c>
      <x:c r="M6" s="19" t="str">
        <x:v>https://link.springer.com/article/10.1007/s10055-022-00678-8</x:v>
      </x:c>
      <x:c r="N6" s="19" t="str">
        <x:v>10.1007/s10055-022-00678-8, Appendix C Table 9</x:v>
      </x:c>
      <x:c r="O6" s="19" t="str"/>
    </x:row>
    <x:row r="7" ht="43" customHeight="1">
      <x:c r="A7" s="19" t="str">
        <x:v>AR可用性</x:v>
      </x:c>
      <x:c r="B7" s="19" t="str">
        <x:v>B-邻近</x:v>
      </x:c>
      <x:c r="C7" s="19" t="str">
        <x:v>Handheld Augmented Reality Usability Scale (HARUS)</x:v>
      </x:c>
      <x:c r="D7" s="19" t="str">
        <x:v>2015</x:v>
      </x:c>
      <x:c r="E7" s="19" t="n">
        <x:v>16</x:v>
      </x:c>
      <x:c r="F7" s="19" t="str">
        <x:v>Manipulability、Comprehensibility</x:v>
      </x:c>
      <x:c r="G7" s="19" t="str">
        <x:v>7点同意度</x:v>
      </x:c>
      <x:c r="H7" s="19" t="str">
        <x:v>已开发并验证；AR专用</x:v>
      </x:c>
      <x:c r="I7" s="19" t="str">
        <x:v>手持AR</x:v>
      </x:c>
      <x:c r="J7" s="19" t="n">
        <x:v>2</x:v>
      </x:c>
      <x:c r="K7" s="19" t="str">
        <x:v>CC BY-NC-SA 4.0；完整条目公开</x:v>
      </x:c>
      <x:c r="L7" s="19" t="str">
        <x:v>仅HARUS12/15/16与锚定稳定、响应间接相关</x:v>
      </x:c>
      <x:c r="M7" s="19" t="str">
        <x:v>https://www.researchgate.net/publication/329443276_Handheld_Augmented_Reality_Usability_Scale_HARUS</x:v>
      </x:c>
      <x:c r="N7" s="19" t="str">
        <x:v>10.13140/RG.2.2.17329.02408</x:v>
      </x:c>
      <x:c r="O7" s="19" t="str"/>
    </x:row>
    <x:row r="8" ht="43" customHeight="1">
      <x:c r="A8" s="19" t="str">
        <x:v>VR存在感/系统保真</x:v>
      </x:c>
      <x:c r="B8" s="19" t="str">
        <x:v>B-邻近</x:v>
      </x:c>
      <x:c r="C8" s="19" t="str">
        <x:v>Fidelity-based Presence Scale (FPS)</x:v>
      </x:c>
      <x:c r="D8" s="19" t="str">
        <x:v>2025</x:v>
      </x:c>
      <x:c r="E8" s="19" t="n">
        <x:v>10</x:v>
      </x:c>
      <x:c r="F8" s="19" t="str">
        <x:v>Interaction Fidelity、Scenario Fidelity、Display Fidelity</x:v>
      </x:c>
      <x:c r="G8" s="19" t="str">
        <x:v>7点同意度</x:v>
      </x:c>
      <x:c r="H8" s="19" t="str">
        <x:v>Delphi专家共识+EFA验证</x:v>
      </x:c>
      <x:c r="I8" s="19" t="str">
        <x:v>VR</x:v>
      </x:c>
      <x:c r="J8" s="19" t="n">
        <x:v>2</x:v>
      </x:c>
      <x:c r="K8" s="19" t="str">
        <x:v>arXiv CC BY 4.0；最终10项公开</x:v>
      </x:c>
      <x:c r="L8" s="19" t="str">
        <x:v>FPS6直接覆盖响应；其余存在感条目不直接测锚定</x:v>
      </x:c>
      <x:c r="M8" s="19" t="str">
        <x:v>https://arxiv.org/abs/2504.04355</x:v>
      </x:c>
      <x:c r="N8" s="19" t="str">
        <x:v>10.1145/3706598.3713566</x:v>
      </x:c>
      <x:c r="O8" s="19" t="str"/>
    </x:row>
    <x:row r="9" ht="43" customHeight="1">
      <x:c r="A9" s="19" t="str">
        <x:v>VR存在感</x:v>
      </x:c>
      <x:c r="B9" s="19" t="str">
        <x:v>C-控制</x:v>
      </x:c>
      <x:c r="C9" s="19" t="str">
        <x:v>Igroup Presence Questionnaire (IPQ)</x:v>
      </x:c>
      <x:c r="D9" s="19" t="str">
        <x:v>2001/官方14项</x:v>
      </x:c>
      <x:c r="E9" s="19" t="n">
        <x:v>14</x:v>
      </x:c>
      <x:c r="F9" s="19" t="str">
        <x:v>General Presence、Spatial Presence、Involvement、Experienced Realism</x:v>
      </x:c>
      <x:c r="G9" s="19" t="str">
        <x:v>7点；不同题不同端点</x:v>
      </x:c>
      <x:c r="H9" s="19" t="str">
        <x:v>经典量表；广泛验证和多语言版本</x:v>
      </x:c>
      <x:c r="I9" s="19" t="str">
        <x:v>VR</x:v>
      </x:c>
      <x:c r="J9" s="19" t="n">
        <x:v>1</x:v>
      </x:c>
      <x:c r="K9" s="19" t="str">
        <x:v>官方网页逐项公开；各条目版权来源不同</x:v>
      </x:c>
      <x:c r="L9" s="19" t="str">
        <x:v>实验三不以总体存在感为核心；若用应完整保留并遵循官方计分</x:v>
      </x:c>
      <x:c r="M9" s="19" t="str">
        <x:v>https://igroup.org/pq/ipq/download.php</x:v>
      </x:c>
      <x:c r="N9" s="19" t="str">
        <x:v>10.1162/105474601300343603</x:v>
      </x:c>
      <x:c r="O9" s="19" t="str"/>
    </x:row>
    <x:row r="10" ht="43" customHeight="1">
      <x:c r="A10" s="19" t="str">
        <x:v>空间存在感</x:v>
      </x:c>
      <x:c r="B10" s="19" t="str">
        <x:v>C-控制</x:v>
      </x:c>
      <x:c r="C10" s="19" t="str">
        <x:v>Spatial Presence Experience Scale (SPES)</x:v>
      </x:c>
      <x:c r="D10" s="19" t="str">
        <x:v>2016</x:v>
      </x:c>
      <x:c r="E10" s="19" t="n">
        <x:v>8</x:v>
      </x:c>
      <x:c r="F10" s="19" t="str">
        <x:v>Self-Location、Possible Actions</x:v>
      </x:c>
      <x:c r="G10" s="19" t="str">
        <x:v>5点同意度</x:v>
      </x:c>
      <x:c r="H10" s="19" t="str">
        <x:v>多媒体情境验证的短量表</x:v>
      </x:c>
      <x:c r="I10" s="19" t="str">
        <x:v>跨媒介/VR</x:v>
      </x:c>
      <x:c r="J10" s="19" t="n">
        <x:v>1</x:v>
      </x:c>
      <x:c r="K10" s="19" t="str">
        <x:v>原论文/附录可查；中文语义转述</x:v>
      </x:c>
      <x:c r="L10" s="19" t="str">
        <x:v>仅Possible Actions与对象交互邻近，不测锚定稳定或信任</x:v>
      </x:c>
      <x:c r="M10" s="19" t="str">
        <x:v>https://doi.org/10.1027/1864-1105/a000137</x:v>
      </x:c>
      <x:c r="N10" s="19" t="str">
        <x:v>10.1027/1864-1105/a000137</x:v>
      </x:c>
      <x:c r="O10" s="19" t="str"/>
    </x:row>
    <x:row r="11" ht="43" customHeight="1">
      <x:c r="A11" s="19" t="str">
        <x:v>多模态存在感</x:v>
      </x:c>
      <x:c r="B11" s="19" t="str">
        <x:v>C-控制</x:v>
      </x:c>
      <x:c r="C11" s="19" t="str">
        <x:v>Multimodal Presence Scale (MPS)</x:v>
      </x:c>
      <x:c r="D11" s="19" t="str">
        <x:v>2017</x:v>
      </x:c>
      <x:c r="E11" s="19" t="n">
        <x:v>15</x:v>
      </x:c>
      <x:c r="F11" s="19" t="str">
        <x:v>Physical Presence、Social Presence、Self Presence</x:v>
      </x:c>
      <x:c r="G11" s="19" t="str">
        <x:v>5点同意度</x:v>
      </x:c>
      <x:c r="H11" s="19" t="str">
        <x:v>CFA与IRT开发/验证</x:v>
      </x:c>
      <x:c r="I11" s="19" t="str">
        <x:v>VR</x:v>
      </x:c>
      <x:c r="J11" s="19" t="n">
        <x:v>1</x:v>
      </x:c>
      <x:c r="K11" s="19" t="str">
        <x:v>论文量表；中文语义转述</x:v>
      </x:c>
      <x:c r="L11" s="19" t="str">
        <x:v>PP2与SELF2有邻近性，但构念不是对象锚定质量</x:v>
      </x:c>
      <x:c r="M11" s="19" t="str">
        <x:v>https://doi.org/10.1016/j.chb.2017.02.066</x:v>
      </x:c>
      <x:c r="N11" s="19" t="str">
        <x:v>10.1016/j.chb.2017.02.066</x:v>
      </x:c>
      <x:c r="O11" s="19" t="str"/>
    </x:row>
    <x:row r="12" ht="43" customHeight="1">
      <x:c r="A12" s="19" t="str">
        <x:v>AR存在感</x:v>
      </x:c>
      <x:c r="B12" s="19" t="str">
        <x:v>B-邻近</x:v>
      </x:c>
      <x:c r="C12" s="19" t="str">
        <x:v>Augmented Reality Presence Scale (ARPS)</x:v>
      </x:c>
      <x:c r="D12" s="19" t="str">
        <x:v>原23项/修订21项</x:v>
      </x:c>
      <x:c r="E12" s="19" t="n">
        <x:v>23</x:v>
      </x:c>
      <x:c r="F12" s="19" t="str">
        <x:v>Realness、Interactivity、Non-mediation、Engagement等（历史学习语境）</x:v>
      </x:c>
      <x:c r="G12" s="19" t="str">
        <x:v>4点同意度</x:v>
      </x:c>
      <x:c r="H12" s="19" t="str">
        <x:v>开发研究；修订版删除2项</x:v>
      </x:c>
      <x:c r="I12" s="19" t="str">
        <x:v>AR学习/文化遗产</x:v>
      </x:c>
      <x:c r="J12" s="19" t="n">
        <x:v>2</x:v>
      </x:c>
      <x:c r="K12" s="19" t="str">
        <x:v>论文项目表公开；中文语义转述</x:v>
      </x:c>
      <x:c r="L12" s="19" t="str">
        <x:v>ARPS22最直接；其余高度依赖历史学习情境</x:v>
      </x:c>
      <x:c r="M12" s="19" t="str">
        <x:v>https://doi.org/10.1016/j.compedu.2013.12.006</x:v>
      </x:c>
      <x:c r="N12" s="19" t="str">
        <x:v>ARPS development study</x:v>
      </x:c>
      <x:c r="O12" s="19" t="str"/>
    </x:row>
    <x:row r="13" ht="43" customHeight="1">
      <x:c r="A13" s="19" t="str">
        <x:v>MR安全/隐私/社会担忧</x:v>
      </x:c>
      <x:c r="B13" s="19" t="str">
        <x:v>D-排除</x:v>
      </x:c>
      <x:c r="C13" s="19" t="str">
        <x:v>Mixed Reality Concerns Questionnaire (MRC)</x:v>
      </x:c>
      <x:c r="D13" s="19" t="str">
        <x:v>2024</x:v>
      </x:c>
      <x:c r="E13" s="19" t="n">
        <x:v>9</x:v>
      </x:c>
      <x:c r="F13" s="19" t="str">
        <x:v>Security &amp; Privacy、Social Implications、Trust</x:v>
      </x:c>
      <x:c r="G13" s="19" t="str">
        <x:v>5点同意度</x:v>
      </x:c>
      <x:c r="H13" s="19" t="str">
        <x:v>结构化开发、EFA/CFA验证</x:v>
      </x:c>
      <x:c r="I13" s="19" t="str">
        <x:v>MR</x:v>
      </x:c>
      <x:c r="J13" s="19" t="n">
        <x:v>0</x:v>
      </x:c>
      <x:c r="K13" s="19" t="str">
        <x:v>arXiv/CHI论文公开</x:v>
      </x:c>
      <x:c r="L13" s="19" t="str">
        <x:v>其Trust是安全与隐私可信度，不是锚定性能信任</x:v>
      </x:c>
      <x:c r="M13" s="19" t="str">
        <x:v>https://arxiv.org/abs/2403.05855</x:v>
      </x:c>
      <x:c r="N13" s="19" t="str">
        <x:v>CHI 2024</x:v>
      </x:c>
      <x:c r="O13" s="19" t="str"/>
    </x:row>
    <x:row r="14" ht="43" customHeight="1">
      <x:c r="A14" s="19" t="str">
        <x:v>自动化信任</x:v>
      </x:c>
      <x:c r="B14" s="19" t="str">
        <x:v>A-直接</x:v>
      </x:c>
      <x:c r="C14" s="19" t="str">
        <x:v>Trust in Automation Scale (TIAS/TPAS)</x:v>
      </x:c>
      <x:c r="D14" s="19" t="str">
        <x:v>2000；2025复核</x:v>
      </x:c>
      <x:c r="E14" s="19" t="n">
        <x:v>12</x:v>
      </x:c>
      <x:c r="F14" s="19" t="str">
        <x:v>Distrust/Trust单维度两极；含熟悉度</x:v>
      </x:c>
      <x:c r="G14" s="19" t="str">
        <x:v>7点：1 not at all–7 extremely</x:v>
      </x:c>
      <x:c r="H14" s="19" t="str">
        <x:v>经典量表；2025多研究重新验证并提出3项短版</x:v>
      </x:c>
      <x:c r="I14" s="19" t="str">
        <x:v>通用自动化/AI</x:v>
      </x:c>
      <x:c r="J14" s="19" t="n">
        <x:v>3</x:v>
      </x:c>
      <x:c r="K14" s="19" t="str">
        <x:v>2025开放论文Table 1完整公开；已有简体中文TPAS翻译验证</x:v>
      </x:c>
      <x:c r="L14" s="19" t="str">
        <x:v>完整量表可测信任/不信任；熟悉度与信任可能不同</x:v>
      </x:c>
      <x:c r="M14" s="19" t="str">
        <x:v>https://pmc.ncbi.nlm.nih.gov/articles/PMC12098057/</x:v>
      </x:c>
      <x:c r="N14" s="19" t="str">
        <x:v>10.1207/S15327566IJCE0401_04</x:v>
      </x:c>
      <x:c r="O14" s="19" t="str"/>
    </x:row>
    <x:row r="15" ht="43" customHeight="1">
      <x:c r="A15" s="19" t="str">
        <x:v>自动化信任</x:v>
      </x:c>
      <x:c r="B15" s="19" t="str">
        <x:v>A-直接</x:v>
      </x:c>
      <x:c r="C15" s="19" t="str">
        <x:v>Short Trust in Automation Scale (S-TIAS)</x:v>
      </x:c>
      <x:c r="D15" s="19" t="str">
        <x:v>2025</x:v>
      </x:c>
      <x:c r="E15" s="19" t="n">
        <x:v>3</x:v>
      </x:c>
      <x:c r="F15" s="19" t="str">
        <x:v>单一Trust因子</x:v>
      </x:c>
      <x:c r="G15" s="19" t="str">
        <x:v>7点：1 not at all–7 extremely</x:v>
      </x:c>
      <x:c r="H15" s="19" t="str">
        <x:v>三项研究验证；与TIAS高度相关且对性能操纵敏感</x:v>
      </x:c>
      <x:c r="I15" s="19" t="str">
        <x:v>AI/自动化，可对象化</x:v>
      </x:c>
      <x:c r="J15" s="19" t="n">
        <x:v>3</x:v>
      </x:c>
      <x:c r="K15" s="19" t="str">
        <x:v>CC BY开放论文完整公开</x:v>
      </x:c>
      <x:c r="L15" s="19" t="str">
        <x:v>问卷负担最低的标准化信任候选</x:v>
      </x:c>
      <x:c r="M15" s="19" t="str">
        <x:v>https://www.frontiersin.org/journals/artificial-intelligence/articles/10.3389/frai.2025.1582880/full</x:v>
      </x:c>
      <x:c r="N15" s="19" t="str">
        <x:v>10.3389/frai.2025.1582880</x:v>
      </x:c>
      <x:c r="O15" s="19" t="str"/>
    </x:row>
    <x:row r="16" ht="43" customHeight="1">
      <x:c r="A16" s="19" t="str">
        <x:v>自动化信任</x:v>
      </x:c>
      <x:c r="B16" s="19" t="str">
        <x:v>A-直接</x:v>
      </x:c>
      <x:c r="C16" s="19" t="str">
        <x:v>Trust in Automation Questionnaire (TiA)</x:v>
      </x:c>
      <x:c r="D16" s="19" t="str">
        <x:v>2019</x:v>
      </x:c>
      <x:c r="E16" s="19" t="n">
        <x:v>19</x:v>
      </x:c>
      <x:c r="F16" s="19" t="str">
        <x:v>Reliability/Competence、Understanding/Predictability、Familiarity、Trust、Developers' Intention、Propensity</x:v>
      </x:c>
      <x:c r="G16" s="19" t="str">
        <x:v>5点同意度</x:v>
      </x:c>
      <x:c r="H16" s="19" t="str">
        <x:v>开发研究；官方英德问卷；英文版验证证据较少</x:v>
      </x:c>
      <x:c r="I16" s="19" t="str">
        <x:v>通用自动化</x:v>
      </x:c>
      <x:c r="J16" s="19" t="n">
        <x:v>3</x:v>
      </x:c>
      <x:c r="K16" s="19" t="str">
        <x:v>官方GitHub CC BY-SA 4.0，完整问卷公开</x:v>
      </x:c>
      <x:c r="L16" s="19" t="str">
        <x:v>优先考虑Reliability/Competence与Trust子量表；不要默认总分</x:v>
      </x:c>
      <x:c r="M16" s="19" t="str">
        <x:v>https://github.com/moritzkoerber/TiA_Trust_in_Automation_Questionnaire</x:v>
      </x:c>
      <x:c r="N16" s="19" t="str">
        <x:v>Körber 2019</x:v>
      </x:c>
      <x:c r="O16" s="19" t="str"/>
    </x:row>
    <x:row r="17" ht="43" customHeight="1">
      <x:c r="A17" s="19" t="str">
        <x:v>自动化信任</x:v>
      </x:c>
      <x:c r="B17" s="19" t="str">
        <x:v>A-直接</x:v>
      </x:c>
      <x:c r="C17" s="19" t="str">
        <x:v>Trust of Automated Systems Test (TOAST)</x:v>
      </x:c>
      <x:c r="D17" s="19" t="str">
        <x:v>2020</x:v>
      </x:c>
      <x:c r="E17" s="19" t="n">
        <x:v>9</x:v>
      </x:c>
      <x:c r="F17" s="19" t="str">
        <x:v>System Understanding、System Performance</x:v>
      </x:c>
      <x:c r="G17" s="19" t="str">
        <x:v>7点同意度</x:v>
      </x:c>
      <x:c r="H17" s="19" t="str">
        <x:v>初步验证；模型拟合与既有信任量表收敛检验</x:v>
      </x:c>
      <x:c r="I17" s="19" t="str">
        <x:v>通用自动化</x:v>
      </x:c>
      <x:c r="J17" s="19" t="n">
        <x:v>3</x:v>
      </x:c>
      <x:c r="K17" s="19" t="str">
        <x:v>美国政府技术报告/公开PDF完整条目</x:v>
      </x:c>
      <x:c r="L17" s="19" t="str">
        <x:v>Performance 4项与EgoAnchor高度相关；Understanding对匿名算法可能不适用</x:v>
      </x:c>
      <x:c r="M17" s="19" t="str">
        <x:v>https://research.testscience.org/post/2019-initial-validation-of-the-trust-of-automated-systems-test-toast/paper.pdf</x:v>
      </x:c>
      <x:c r="N17" s="19" t="str">
        <x:v>Wojton et al. 2020</x:v>
      </x:c>
      <x:c r="O17" s="19" t="str"/>
    </x:row>
    <x:row r="18" ht="43" customHeight="1">
      <x:c r="A18" s="19" t="str">
        <x:v>中文自动化信任</x:v>
      </x:c>
      <x:c r="B18" s="19" t="str">
        <x:v>A-直接</x:v>
      </x:c>
      <x:c r="C18" s="19" t="str">
        <x:v>Chinese Human-Automation Trust Scale (C-HATS)</x:v>
      </x:c>
      <x:c r="D18" s="19" t="str">
        <x:v>2025</x:v>
      </x:c>
      <x:c r="E18" s="19" t="n">
        <x:v>21</x:v>
      </x:c>
      <x:c r="F18" s="19" t="str">
        <x:v>Performance、Process、Purpose；初始14项、后测11项</x:v>
      </x:c>
      <x:c r="G18" s="19" t="str">
        <x:v>7点同意度</x:v>
      </x:c>
      <x:c r="H18" s="19" t="str">
        <x:v>中国成人样本；多阶段EFA/CFA、可靠性与效度</x:v>
      </x:c>
      <x:c r="I18" s="19" t="str">
        <x:v>中文通用自动化</x:v>
      </x:c>
      <x:c r="J18" s="19" t="n">
        <x:v>3</x:v>
      </x:c>
      <x:c r="K18" s="19" t="str">
        <x:v>21项池及最终成员公开；逐项标注版本</x:v>
      </x:c>
      <x:c r="L18" s="19" t="str">
        <x:v>后测版尤其相关；Process/Purpose对匿名低层锚定算法可能不可观察</x:v>
      </x:c>
      <x:c r="M18" s="19" t="str">
        <x:v>https://arxiv.org/abs/2403.16406</x:v>
      </x:c>
      <x:c r="N18" s="19" t="str">
        <x:v>10.1016/j.apergo.2025.104477</x:v>
      </x:c>
      <x:c r="O18" s="19" t="str"/>
    </x:row>
    <x:row r="19" ht="43" customHeight="1">
      <x:c r="A19" s="19" t="str">
        <x:v>系统可信度</x:v>
      </x:c>
      <x:c r="B19" s="19" t="str">
        <x:v>B-邻近</x:v>
      </x:c>
      <x:c r="C19" s="19" t="str">
        <x:v>System Trustworthiness Scale (STS)</x:v>
      </x:c>
      <x:c r="D19" s="19" t="str">
        <x:v>2023</x:v>
      </x:c>
      <x:c r="E19" s="19" t="n">
        <x:v>15</x:v>
      </x:c>
      <x:c r="F19" s="19" t="str">
        <x:v>Performance、Purpose、Process</x:v>
      </x:c>
      <x:c r="G19" s="19" t="str">
        <x:v>5点同意度</x:v>
      </x:c>
      <x:c r="H19" s="19" t="str">
        <x:v>跨多种自动化系统开发与验证</x:v>
      </x:c>
      <x:c r="I19" s="19" t="str">
        <x:v>通用自动化</x:v>
      </x:c>
      <x:c r="J19" s="19" t="n">
        <x:v>3</x:v>
      </x:c>
      <x:c r="K19" s="19" t="str">
        <x:v>版权量表；逐项中文语义转述</x:v>
      </x:c>
      <x:c r="L19" s="19" t="str">
        <x:v>Performance子量表相关；STS测trustworthiness判断而非trust态度</x:v>
      </x:c>
      <x:c r="M19" s="19" t="str">
        <x:v>https://doi.org/10.1177/00187208231189000</x:v>
      </x:c>
      <x:c r="N19" s="19" t="str">
        <x:v>10.1177/00187208231189000</x:v>
      </x:c>
      <x:c r="O19" s="19" t="str"/>
    </x:row>
    <x:row r="20" ht="43" customHeight="1">
      <x:c r="A20" s="19" t="str">
        <x:v>人机信任</x:v>
      </x:c>
      <x:c r="B20" s="19" t="str">
        <x:v>B-邻近</x:v>
      </x:c>
      <x:c r="C20" s="19" t="str">
        <x:v>Human-Computer Trust (HCT)</x:v>
      </x:c>
      <x:c r="D20" s="19" t="str">
        <x:v>2000</x:v>
      </x:c>
      <x:c r="E20" s="19" t="n">
        <x:v>25</x:v>
      </x:c>
      <x:c r="F20" s="19" t="str">
        <x:v>Perceived Reliability、Technical Competence、Understandability、Faith、Personal Attachment</x:v>
      </x:c>
      <x:c r="G20" s="19" t="str">
        <x:v>5点同意度</x:v>
      </x:c>
      <x:c r="H20" s="19" t="str">
        <x:v>早期多维人机信任量表；后续广泛引用</x:v>
      </x:c>
      <x:c r="I20" s="19" t="str">
        <x:v>通用人机系统</x:v>
      </x:c>
      <x:c r="J20" s="19" t="n">
        <x:v>2</x:v>
      </x:c>
      <x:c r="K20" s="19" t="str">
        <x:v>公开来源分散；逐项语义重构，非授权译本</x:v>
      </x:c>
      <x:c r="L20" s="19" t="str">
        <x:v>Reliability与Faith相关；Personal Attachment不适合对象锚定</x:v>
      </x:c>
      <x:c r="M20" s="19" t="str">
        <x:v>https://www.researchgate.net/publication/243774961_Human-Computer_Trust</x:v>
      </x:c>
      <x:c r="N20" s="19" t="str">
        <x:v>Madsen &amp; Gregor, OZCHI 2000</x:v>
      </x:c>
      <x:c r="O20" s="19" t="str"/>
    </x:row>
    <x:row r="21" ht="43" customHeight="1">
      <x:c r="A21" s="19" t="str">
        <x:v>自动化信任</x:v>
      </x:c>
      <x:c r="B21" s="19" t="str">
        <x:v>A-直接</x:v>
      </x:c>
      <x:c r="C21" s="19" t="str">
        <x:v>Muir &amp; Moray Trust Ratings</x:v>
      </x:c>
      <x:c r="D21" s="19" t="str">
        <x:v>1996</x:v>
      </x:c>
      <x:c r="E21" s="19" t="n">
        <x:v>4</x:v>
      </x:c>
      <x:c r="F21" s="19" t="str">
        <x:v>Predictability、Dependability、Faith、Overall Trust</x:v>
      </x:c>
      <x:c r="G21" s="19" t="str">
        <x:v>连续/等级评分（研究间不同）</x:v>
      </x:c>
      <x:c r="H21" s="19" t="str">
        <x:v>理论驱动的动态信任重复评分；非统一标准化短量表</x:v>
      </x:c>
      <x:c r="I21" s="19" t="str">
        <x:v>自动化</x:v>
      </x:c>
      <x:c r="J21" s="19" t="n">
        <x:v>3</x:v>
      </x:c>
      <x:c r="K21" s="19" t="str">
        <x:v>概念与条目语义公开</x:v>
      </x:c>
      <x:c r="L21" s="19" t="str">
        <x:v>适合多时间点信任轨迹；单次终点评价应谨慎</x:v>
      </x:c>
      <x:c r="M21" s="19" t="str">
        <x:v>https://doi.org/10.1080/00140139608964474</x:v>
      </x:c>
      <x:c r="N21" s="19" t="str">
        <x:v>Muir &amp; Moray 1996</x:v>
      </x:c>
      <x:c r="O21" s="19" t="str"/>
    </x:row>
    <x:row r="22" ht="43" customHeight="1">
      <x:c r="A22" s="19" t="str">
        <x:v>AR跟踪与信任</x:v>
      </x:c>
      <x:c r="B22" s="19" t="str">
        <x:v>A-直接</x:v>
      </x:c>
      <x:c r="C22" s="19" t="str">
        <x:v>AR Tracking Trust Study – custom single items</x:v>
      </x:c>
      <x:c r="D22" s="19" t="str">
        <x:v>2024</x:v>
      </x:c>
      <x:c r="E22" s="19" t="n">
        <x:v>5</x:v>
      </x:c>
      <x:c r="F22" s="19" t="str">
        <x:v>Trust、Reliance、Confidence、Difficulty、Advantageousness</x:v>
      </x:c>
      <x:c r="G22" s="19" t="str">
        <x:v>7点语义差异/强度</x:v>
      </x:c>
      <x:c r="H22" s="19" t="str">
        <x:v>研究定制单项；与TOAST并用，非独立验证量表</x:v>
      </x:c>
      <x:c r="I22" s="19" t="str">
        <x:v>AR跟踪精度与抖动</x:v>
      </x:c>
      <x:c r="J22" s="19" t="n">
        <x:v>3</x:v>
      </x:c>
      <x:c r="K22" s="19" t="str">
        <x:v>论文方法与图表公开；逐项语义转述</x:v>
      </x:c>
      <x:c r="L22" s="19" t="str">
        <x:v>目前与EgoAnchor最直接的领域研究；参考Trust与Reliance措辞</x:v>
      </x:c>
      <x:c r="M22" s="19" t="str">
        <x:v>https://sreal.ucf.edu/wp-content/uploads/2024/08/C_G____ARTrust____Accuracy___Precision.pdf</x:v>
      </x:c>
      <x:c r="N22" s="19" t="str">
        <x:v>10.1016/j.cag.2024.104035</x:v>
      </x:c>
      <x:c r="O22" s="19" t="str"/>
    </x:row>
    <x:row r="23" ht="43" customHeight="1">
      <x:c r="A23" s="19" t="str">
        <x:v>总体可用性</x:v>
      </x:c>
      <x:c r="B23" s="19" t="str">
        <x:v>C-控制</x:v>
      </x:c>
      <x:c r="C23" s="19" t="str">
        <x:v>System Usability Scale (SUS)</x:v>
      </x:c>
      <x:c r="D23" s="19" t="str">
        <x:v>1996</x:v>
      </x:c>
      <x:c r="E23" s="19" t="n">
        <x:v>10</x:v>
      </x:c>
      <x:c r="F23" s="19" t="str">
        <x:v>单一总体可用性</x:v>
      </x:c>
      <x:c r="G23" s="19" t="str">
        <x:v>5点同意度</x:v>
      </x:c>
      <x:c r="H23" s="19" t="str">
        <x:v>经典、广泛验证</x:v>
      </x:c>
      <x:c r="I23" s="19" t="str">
        <x:v>通用系统</x:v>
      </x:c>
      <x:c r="J23" s="19" t="n">
        <x:v>0</x:v>
      </x:c>
      <x:c r="K23" s="19" t="str">
        <x:v>标准条目广泛可查；需遵循计分</x:v>
      </x:c>
      <x:c r="L23" s="19" t="str">
        <x:v>只有研究完整产品可用性时使用</x:v>
      </x:c>
      <x:c r="M23" s="19" t="str">
        <x:v>https://www.usability.gov/how-to-and-tools/methods/system-usability-scale.html</x:v>
      </x:c>
      <x:c r="N23" s="19" t="str">
        <x:v>Brooke 1996</x:v>
      </x:c>
      <x:c r="O23" s="19" t="str"/>
    </x:row>
    <x:row r="24" ht="43" customHeight="1">
      <x:c r="A24" s="19" t="str">
        <x:v>总体用户体验</x:v>
      </x:c>
      <x:c r="B24" s="19" t="str">
        <x:v>C-控制</x:v>
      </x:c>
      <x:c r="C24" s="19" t="str">
        <x:v>User Experience Questionnaire – Short (UEQ-S)</x:v>
      </x:c>
      <x:c r="D24" s="19" t="str">
        <x:v>2017</x:v>
      </x:c>
      <x:c r="E24" s="19" t="n">
        <x:v>8</x:v>
      </x:c>
      <x:c r="F24" s="19" t="str">
        <x:v>Pragmatic Quality、Hedonic Quality</x:v>
      </x:c>
      <x:c r="G24" s="19" t="str">
        <x:v>7点双极语义差异</x:v>
      </x:c>
      <x:c r="H24" s="19" t="str">
        <x:v>已验证；官方多语言版本</x:v>
      </x:c>
      <x:c r="I24" s="19" t="str">
        <x:v>通用产品</x:v>
      </x:c>
      <x:c r="J24" s="19" t="n">
        <x:v>0</x:v>
      </x:c>
      <x:c r="K24" s="19" t="str">
        <x:v>官方材料公开</x:v>
      </x:c>
      <x:c r="L24" s="19" t="str">
        <x:v>不能诊断锚定稳定/响应/恢复；仅总体UX补充</x:v>
      </x:c>
      <x:c r="M24" s="19" t="str">
        <x:v>https://www.ueq-online.org/</x:v>
      </x:c>
      <x:c r="N24" s="19" t="str">
        <x:v>UEQ-S</x:v>
      </x:c>
      <x:c r="O24" s="19" t="str"/>
    </x:row>
    <x:row r="25" ht="43" customHeight="1">
      <x:c r="A25" s="19" t="str">
        <x:v>可用性</x:v>
      </x:c>
      <x:c r="B25" s="19" t="str">
        <x:v>C-控制</x:v>
      </x:c>
      <x:c r="C25" s="19" t="str">
        <x:v>UMUX-Lite</x:v>
      </x:c>
      <x:c r="D25" s="19" t="str">
        <x:v>2013</x:v>
      </x:c>
      <x:c r="E25" s="19" t="n">
        <x:v>2</x:v>
      </x:c>
      <x:c r="F25" s="19" t="str">
        <x:v>Usefulness、Ease of Use</x:v>
      </x:c>
      <x:c r="G25" s="19" t="str">
        <x:v>7点同意度</x:v>
      </x:c>
      <x:c r="H25" s="19" t="str">
        <x:v>短量表验证</x:v>
      </x:c>
      <x:c r="I25" s="19" t="str">
        <x:v>通用系统</x:v>
      </x:c>
      <x:c r="J25" s="19" t="n">
        <x:v>0</x:v>
      </x:c>
      <x:c r="K25" s="19" t="str">
        <x:v>条目公开</x:v>
      </x:c>
      <x:c r="L25" s="19" t="str">
        <x:v>问卷负担低，但与运行时锚定质量不匹配</x:v>
      </x:c>
      <x:c r="M25" s="19" t="str">
        <x:v>https://doi.org/10.1145/2470654.2481287</x:v>
      </x:c>
      <x:c r="N25" s="19" t="str">
        <x:v>10.1145/2470654.2481287</x:v>
      </x:c>
      <x:c r="O25" s="19" t="str"/>
    </x:row>
    <x:row r="26" ht="43" customHeight="1">
      <x:c r="A26" s="19" t="str">
        <x:v>工作负荷</x:v>
      </x:c>
      <x:c r="B26" s="19" t="str">
        <x:v>C-控制</x:v>
      </x:c>
      <x:c r="C26" s="19" t="str">
        <x:v>NASA Task Load Index (NASA-TLX)</x:v>
      </x:c>
      <x:c r="D26" s="19" t="str">
        <x:v>1988</x:v>
      </x:c>
      <x:c r="E26" s="19" t="n">
        <x:v>6</x:v>
      </x:c>
      <x:c r="F26" s="19" t="str">
        <x:v>Mental、Physical、Temporal、Performance、Effort、Frustration</x:v>
      </x:c>
      <x:c r="G26" s="19" t="str">
        <x:v>通常0–100视觉模拟/21级</x:v>
      </x:c>
      <x:c r="H26" s="19" t="str">
        <x:v>经典量表；广泛验证</x:v>
      </x:c>
      <x:c r="I26" s="19" t="str">
        <x:v>通用任务</x:v>
      </x:c>
      <x:c r="J26" s="19" t="n">
        <x:v>0</x:v>
      </x:c>
      <x:c r="K26" s="19" t="str">
        <x:v>官方定义公开</x:v>
      </x:c>
      <x:c r="L26" s="19" t="str">
        <x:v>当前运行时操纵并非工作负荷；可能增加负担</x:v>
      </x:c>
      <x:c r="M26" s="19" t="str">
        <x:v>https://humansystems.arc.nasa.gov/groups/tlx/</x:v>
      </x:c>
      <x:c r="N26" s="19" t="str">
        <x:v>Hart &amp; Staveland 1988</x:v>
      </x:c>
      <x:c r="O26" s="19" t="str"/>
    </x:row>
    <x:row r="27" ht="43" customHeight="1">
      <x:c r="A27" s="19" t="str">
        <x:v>模拟器不适</x:v>
      </x:c>
      <x:c r="B27" s="19" t="str">
        <x:v>C-控制</x:v>
      </x:c>
      <x:c r="C27" s="19" t="str">
        <x:v>Simulator Sickness Questionnaire (SSQ)</x:v>
      </x:c>
      <x:c r="D27" s="19" t="str">
        <x:v>1993</x:v>
      </x:c>
      <x:c r="E27" s="19" t="n">
        <x:v>16</x:v>
      </x:c>
      <x:c r="F27" s="19" t="str">
        <x:v>Nausea、Oculomotor、Disorientation（加权）</x:v>
      </x:c>
      <x:c r="G27" s="19" t="str">
        <x:v>0无–3严重</x:v>
      </x:c>
      <x:c r="H27" s="19" t="str">
        <x:v>经典量表；广泛验证</x:v>
      </x:c>
      <x:c r="I27" s="19" t="str">
        <x:v>模拟器/VR</x:v>
      </x:c>
      <x:c r="J27" s="19" t="n">
        <x:v>0</x:v>
      </x:c>
      <x:c r="K27" s="19" t="str">
        <x:v>症状列表公开</x:v>
      </x:c>
      <x:c r="L27" s="19" t="str">
        <x:v>除非预计方法引发显著不适，否则可仅做安全记录</x:v>
      </x:c>
      <x:c r="M27" s="19" t="str">
        <x:v>https://doi.org/10.1207/s15327108ijap0303_3</x:v>
      </x:c>
      <x:c r="N27" s="19" t="str">
        <x:v>Kennedy et al. 1993</x:v>
      </x:c>
      <x:c r="O27" s="19" t="str"/>
    </x:row>
    <x:row r="28" ht="43" customHeight="1">
      <x:c r="A28" s="19" t="str">
        <x:v>VR不适</x:v>
      </x:c>
      <x:c r="B28" s="19" t="str">
        <x:v>C-控制</x:v>
      </x:c>
      <x:c r="C28" s="19" t="str">
        <x:v>Virtual Reality Sickness Questionnaire (VRSQ)</x:v>
      </x:c>
      <x:c r="D28" s="19" t="str">
        <x:v>2018</x:v>
      </x:c>
      <x:c r="E28" s="19" t="n">
        <x:v>9</x:v>
      </x:c>
      <x:c r="F28" s="19" t="str">
        <x:v>Oculomotor、Disorientation</x:v>
      </x:c>
      <x:c r="G28" s="19" t="str">
        <x:v>0无–3严重</x:v>
      </x:c>
      <x:c r="H28" s="19" t="str">
        <x:v>从SSQ精简并针对VR验证</x:v>
      </x:c>
      <x:c r="I28" s="19" t="str">
        <x:v>VR</x:v>
      </x:c>
      <x:c r="J28" s="19" t="n">
        <x:v>0</x:v>
      </x:c>
      <x:c r="K28" s="19" t="str">
        <x:v>条目公开</x:v>
      </x:c>
      <x:c r="L28" s="19" t="str">
        <x:v>比SSQ短，但不测锚定质量</x:v>
      </x:c>
      <x:c r="M28" s="19" t="str">
        <x:v>https://doi.org/10.1007/s10055-017-0320-2</x:v>
      </x:c>
      <x:c r="N28" s="19" t="str">
        <x:v>VRSQ</x:v>
      </x:c>
      <x:c r="O28" s="19" t="str"/>
    </x:row>
    <x:row r="29" ht="43" customHeight="1">
      <x:c r="A29" s="19" t="str">
        <x:v>技术接受</x:v>
      </x:c>
      <x:c r="B29" s="19" t="str">
        <x:v>B-邻近</x:v>
      </x:c>
      <x:c r="C29" s="19" t="str">
        <x:v>Van der Laan Acceptance Scale</x:v>
      </x:c>
      <x:c r="D29" s="19" t="str">
        <x:v>1997</x:v>
      </x:c>
      <x:c r="E29" s="19" t="n">
        <x:v>9</x:v>
      </x:c>
      <x:c r="F29" s="19" t="str">
        <x:v>Usefulness、Satisfaction</x:v>
      </x:c>
      <x:c r="G29" s="19" t="str">
        <x:v>5点双极语义差异</x:v>
      </x:c>
      <x:c r="H29" s="19" t="str">
        <x:v>交通自动化领域经典接受量表</x:v>
      </x:c>
      <x:c r="I29" s="19" t="str">
        <x:v>自动化/驾驶辅助</x:v>
      </x:c>
      <x:c r="J29" s="19" t="n">
        <x:v>1</x:v>
      </x:c>
      <x:c r="K29" s="19" t="str">
        <x:v>语义对公开；中文翻译</x:v>
      </x:c>
      <x:c r="L29" s="19" t="str">
        <x:v>适合总体接受度，不替代信任或依赖</x:v>
      </x:c>
      <x:c r="M29" s="19" t="str">
        <x:v>https://doi.org/10.1016/S0003-6870(97)00010-3</x:v>
      </x:c>
      <x:c r="N29" s="19" t="str">
        <x:v>Van der Laan et al. 1997</x:v>
      </x:c>
      <x:c r="O29" s="19" t="str"/>
    </x:row>
    <x:row r="30" ht="43" customHeight="1">
      <x:c r="A30" s="19" t="str">
        <x:v>VR存在感</x:v>
      </x:c>
      <x:c r="B30" s="19" t="str">
        <x:v>D-排除</x:v>
      </x:c>
      <x:c r="C30" s="19" t="str">
        <x:v>Slater–Usoh–Steed Presence Questionnaire (SUS Presence)</x:v>
      </x:c>
      <x:c r="D30" s="19" t="str">
        <x:v>1994/1998</x:v>
      </x:c>
      <x:c r="E30" s="19" t="n">
        <x:v>6</x:v>
      </x:c>
      <x:c r="F30" s="19" t="str">
        <x:v>总体空间存在感</x:v>
      </x:c>
      <x:c r="G30" s="19" t="str">
        <x:v>7点/连续尺度</x:v>
      </x:c>
      <x:c r="H30" s="19" t="str">
        <x:v>经典存在感量表；版本存在差异</x:v>
      </x:c>
      <x:c r="I30" s="19" t="str">
        <x:v>VR</x:v>
      </x:c>
      <x:c r="J30" s="19" t="n">
        <x:v>0</x:v>
      </x:c>
      <x:c r="K30" s="19" t="str">
        <x:v>条目可查；中文语义转述</x:v>
      </x:c>
      <x:c r="L30" s="19" t="str">
        <x:v>与对象锚定运行时构念不匹配</x:v>
      </x:c>
      <x:c r="M30" s="19" t="str">
        <x:v>https://doi.org/10.1162/pres.1998.7.6.603</x:v>
      </x:c>
      <x:c r="N30" s="19" t="str">
        <x:v>SUS Presence</x:v>
      </x:c>
      <x:c r="O30" s="19" t="str"/>
    </x:row>
    <x:row r="31" ht="43" customHeight="1">
      <x:c r="A31" s="19" t="str">
        <x:v>虚拟具身</x:v>
      </x:c>
      <x:c r="B31" s="19" t="str">
        <x:v>B-邻近</x:v>
      </x:c>
      <x:c r="C31" s="19" t="str">
        <x:v>Virtual Embodiment Questionnaire (VEQ)</x:v>
      </x:c>
      <x:c r="D31" s="19" t="str">
        <x:v>2020</x:v>
      </x:c>
      <x:c r="E31" s="19" t="n">
        <x:v>12</x:v>
      </x:c>
      <x:c r="F31" s="19" t="str">
        <x:v>Ownership、Agency、Change</x:v>
      </x:c>
      <x:c r="G31" s="19" t="str">
        <x:v>7点同意度</x:v>
      </x:c>
      <x:c r="H31" s="19" t="str">
        <x:v>CFA验证；用延迟和延迟抖动检验敏感性</x:v>
      </x:c>
      <x:c r="I31" s="19" t="str">
        <x:v>VR avatar</x:v>
      </x:c>
      <x:c r="J31" s="19" t="n">
        <x:v>2</x:v>
      </x:c>
      <x:c r="K31" s="19" t="str">
        <x:v>官方多语言下载；论文条目公开</x:v>
      </x:c>
      <x:c r="L31" s="19" t="str">
        <x:v>AG4对运动同步/抖动相关，但对象锚定不是身体具身</x:v>
      </x:c>
      <x:c r="M31" s="19" t="str">
        <x:v>https://sites.google.com/view/virtualembodimentquestionnaire/</x:v>
      </x:c>
      <x:c r="N31" s="19" t="str">
        <x:v>10.1109/TVCG.2020.3023603</x:v>
      </x:c>
      <x:c r="O31" s="19" t="str"/>
    </x:row>
    <x:row r="32" ht="43" customHeight="1">
      <x:c r="A32" s="19" t="str">
        <x:v>MR存在感/体验</x:v>
      </x:c>
      <x:c r="B32" s="19" t="str">
        <x:v>B-邻近</x:v>
      </x:c>
      <x:c r="C32" s="19" t="str">
        <x:v>Mixed Reality Experience Questionnaire (MREQ)</x:v>
      </x:c>
      <x:c r="D32" s="19" t="str">
        <x:v>2017</x:v>
      </x:c>
      <x:c r="E32" s="19" t="n">
        <x:v>33</x:v>
      </x:c>
      <x:c r="F32" s="19" t="str">
        <x:v>33项7点；Presence与一般体验</x:v>
      </x:c>
      <x:c r="G32" s="19" t="str">
        <x:v>见原文</x:v>
      </x:c>
      <x:c r="H32" s="19" t="str">
        <x:v>工作稿/研究用途；完整项目受版权保护</x:v>
      </x:c>
      <x:c r="I32" s="19" t="str">
        <x:v>AR/VR/MR</x:v>
      </x:c>
      <x:c r="J32" s="19" t="n">
        <x:v>2</x:v>
      </x:c>
      <x:c r="K32" s="19" t="str">
        <x:v>索引保留；未逐项复现。完整项目可从University of Otago记录获取；因版权未在逐项库逐字复现</x:v>
      </x:c>
      <x:c r="L32" s="19" t="str">
        <x:v>可核查对象存在、真实感与交互一致条目；不建议无筛选整量表使用</x:v>
      </x:c>
      <x:c r="M32" s="19" t="str">
        <x:v>https://ourarchive.otago.ac.nz/esploro/outputs/workingPaper/Mixed-Reality-Experience-Questionnaire-MREQ--Reference/9926478801501891</x:v>
      </x:c>
      <x:c r="N32" s="19" t="str"/>
      <x:c r="O32" s="19" t="str">
        <x:v>索引保留；未在逐项库复现完整项目。</x:v>
      </x:c>
    </x:row>
    <x:row r="33" ht="43" customHeight="1">
      <x:c r="A33" s="19" t="str">
        <x:v>VR存在感</x:v>
      </x:c>
      <x:c r="B33" s="19" t="str">
        <x:v>C-控制</x:v>
      </x:c>
      <x:c r="C33" s="19" t="str">
        <x:v>Presence Questionnaire (PQ/Witmer-Singer)</x:v>
      </x:c>
      <x:c r="D33" s="19" t="str">
        <x:v>1998/2005</x:v>
      </x:c>
      <x:c r="E33" s="19" t="n">
        <x:v>32</x:v>
      </x:c>
      <x:c r="F33" s="19" t="str">
        <x:v>Control、Sensory、Distraction、Realism、Involvement/Control等</x:v>
      </x:c>
      <x:c r="G33" s="19" t="str">
        <x:v>见原文</x:v>
      </x:c>
      <x:c r="H33" s="19" t="str">
        <x:v>经典量表，多版本</x:v>
      </x:c>
      <x:c r="I33" s="19" t="str">
        <x:v>VR</x:v>
      </x:c>
      <x:c r="J33" s="19" t="n">
        <x:v>1</x:v>
      </x:c>
      <x:c r="K33" s="19" t="str">
        <x:v>索引保留；未逐项复现。版本与条目版权复杂；索引保留，未逐字复现</x:v>
      </x:c>
      <x:c r="L33" s="19" t="str">
        <x:v>若使用应选择明确版本并完整报告；与锚定直接性较低</x:v>
      </x:c>
      <x:c r="M33" s="19" t="str">
        <x:v>https://doi.org/10.1162/105474698565686</x:v>
      </x:c>
      <x:c r="N33" s="19" t="str">
        <x:v>10.1162/105474698565686</x:v>
      </x:c>
      <x:c r="O33" s="19" t="str">
        <x:v>索引保留；未在逐项库复现完整项目。</x:v>
      </x:c>
    </x:row>
    <x:row r="34" ht="43" customHeight="1">
      <x:c r="A34" s="19" t="str">
        <x:v>跨媒体存在感</x:v>
      </x:c>
      <x:c r="B34" s="19" t="str">
        <x:v>D-排除</x:v>
      </x:c>
      <x:c r="C34" s="19" t="str">
        <x:v>ITC-Sense of Presence Inventory (ITC-SOPI)</x:v>
      </x:c>
      <x:c r="D34" s="19" t="str">
        <x:v>2001</x:v>
      </x:c>
      <x:c r="E34" s="19" t="n">
        <x:v>44</x:v>
      </x:c>
      <x:c r="F34" s="19" t="str">
        <x:v>Spatial Presence、Engagement、Ecological Validity/Naturalness、Negative Effects</x:v>
      </x:c>
      <x:c r="G34" s="19" t="str">
        <x:v>见原文</x:v>
      </x:c>
      <x:c r="H34" s="19" t="str">
        <x:v>已验证</x:v>
      </x:c>
      <x:c r="I34" s="19" t="str">
        <x:v>跨媒体</x:v>
      </x:c>
      <x:c r="J34" s="19" t="n">
        <x:v>0</x:v>
      </x:c>
      <x:c r="K34" s="19" t="str">
        <x:v>索引保留；未逐项复现。版权量表；未逐项复现</x:v>
      </x:c>
      <x:c r="L34" s="19" t="str">
        <x:v>过长且与对象锚定主构念不匹配</x:v>
      </x:c>
      <x:c r="M34" s="19" t="str">
        <x:v>https://doi.org/10.1162/105474601300343612</x:v>
      </x:c>
      <x:c r="N34" s="19" t="str">
        <x:v>10.1162/105474601300343612</x:v>
      </x:c>
      <x:c r="O34" s="19" t="str">
        <x:v>索引保留；未在逐项库复现完整项目。</x:v>
      </x:c>
    </x:row>
    <x:row r="35" ht="43" customHeight="1">
      <x:c r="A35" s="19" t="str">
        <x:v>空间存在感</x:v>
      </x:c>
      <x:c r="B35" s="19" t="str">
        <x:v>D-排除</x:v>
      </x:c>
      <x:c r="C35" s="19" t="str">
        <x:v>MEC Spatial Presence Questionnaire (MEC-SPQ)</x:v>
      </x:c>
      <x:c r="D35" s="19" t="str">
        <x:v>2004</x:v>
      </x:c>
      <x:c r="E35" s="19" t="n">
        <x:v>48</x:v>
      </x:c>
      <x:c r="F35" s="19" t="str">
        <x:v>多子量表，可选8/6/4项版本</x:v>
      </x:c>
      <x:c r="G35" s="19" t="str">
        <x:v>见原文</x:v>
      </x:c>
      <x:c r="H35" s="19" t="str">
        <x:v>理论驱动/多版本</x:v>
      </x:c>
      <x:c r="I35" s="19" t="str">
        <x:v>跨媒体</x:v>
      </x:c>
      <x:c r="J35" s="19" t="n">
        <x:v>0</x:v>
      </x:c>
      <x:c r="K35" s="19" t="str">
        <x:v>索引保留；未逐项复现。手册与条目版本复杂；未逐项复现</x:v>
      </x:c>
      <x:c r="L35" s="19" t="str">
        <x:v>不直接测锚定稳定、恢复或信任</x:v>
      </x:c>
      <x:c r="M35" s="19" t="str">
        <x:v>https://academic.csuohio.edu/kneuendorf/frames/MECFull.pdf</x:v>
      </x:c>
      <x:c r="N35" s="19" t="str"/>
      <x:c r="O35" s="19" t="str">
        <x:v>索引保留；未在逐项库复现完整项目。</x:v>
      </x:c>
    </x:row>
    <x:row r="36" ht="43" customHeight="1">
      <x:c r="A36" s="19" t="str">
        <x:v>跨媒体存在感</x:v>
      </x:c>
      <x:c r="B36" s="19" t="str">
        <x:v>D-排除</x:v>
      </x:c>
      <x:c r="C36" s="19" t="str">
        <x:v>Temple Presence Inventory (TPI)</x:v>
      </x:c>
      <x:c r="D36" s="19" t="str">
        <x:v>2009</x:v>
      </x:c>
      <x:c r="E36" s="19" t="n">
        <x:v>42</x:v>
      </x:c>
      <x:c r="F36" s="19" t="str">
        <x:v>Spatial Presence、Social Presence、Engagement、Social Richness等</x:v>
      </x:c>
      <x:c r="G36" s="19" t="str">
        <x:v>见原文</x:v>
      </x:c>
      <x:c r="H36" s="19" t="str">
        <x:v>多维量表</x:v>
      </x:c>
      <x:c r="I36" s="19" t="str">
        <x:v>跨媒体</x:v>
      </x:c>
      <x:c r="J36" s="19" t="n">
        <x:v>0</x:v>
      </x:c>
      <x:c r="K36" s="19" t="str">
        <x:v>索引保留；未逐项复现。版权/项目较长，未逐项复现</x:v>
      </x:c>
      <x:c r="L36" s="19" t="str">
        <x:v>不适合实验三短条件后问卷</x:v>
      </x:c>
      <x:c r="M36" s="19" t="str">
        <x:v>https://matthewlombard.com/research/temple-presence-inventory/</x:v>
      </x:c>
      <x:c r="N36" s="19" t="str"/>
      <x:c r="O36" s="19" t="str">
        <x:v>索引保留；未在逐项库复现完整项目。</x:v>
      </x:c>
    </x:row>
    <x:row r="37" ht="43" customHeight="1">
      <x:c r="A37" s="19" t="str">
        <x:v>虚拟人可信性</x:v>
      </x:c>
      <x:c r="B37" s="19" t="str">
        <x:v>D-排除</x:v>
      </x:c>
      <x:c r="C37" s="19" t="str">
        <x:v>Virtual Human Plausibility Questionnaire (VHPQ) – ABP</x:v>
      </x:c>
      <x:c r="D37" s="19" t="str">
        <x:v>2021</x:v>
      </x:c>
      <x:c r="E37" s="19" t="n">
        <x:v>6</x:v>
      </x:c>
      <x:c r="F37" s="19" t="str">
        <x:v>Appearance and Behavior Plausibility</x:v>
      </x:c>
      <x:c r="G37" s="19" t="str">
        <x:v>见原文</x:v>
      </x:c>
      <x:c r="H37" s="19" t="str">
        <x:v>已验证子量表</x:v>
      </x:c>
      <x:c r="I37" s="19" t="str">
        <x:v>虚拟人/avatar</x:v>
      </x:c>
      <x:c r="J37" s="19" t="n">
        <x:v>0</x:v>
      </x:c>
      <x:c r="K37" s="19" t="str">
        <x:v>索引保留；未逐项复现。条目针对虚拟人外观与行为，未逐项复现</x:v>
      </x:c>
      <x:c r="L37" s="19" t="str">
        <x:v>可用于plausibility概念参照，但不适合刚性物体锚定</x:v>
      </x:c>
      <x:c r="M37" s="19" t="str">
        <x:v>https://doi.org/10.3389/frvir.2021.705512</x:v>
      </x:c>
      <x:c r="N37" s="19" t="str"/>
      <x:c r="O37" s="19" t="str">
        <x:v>索引保留；未在逐项库复现完整项目。</x:v>
      </x:c>
    </x:row>
    <x:row r="38" ht="43" customHeight="1">
      <x:c r="A38" s="19" t="str">
        <x:v>扩展虚拟具身</x:v>
      </x:c>
      <x:c r="B38" s="19" t="str">
        <x:v>D-排除</x:v>
      </x:c>
      <x:c r="C38" s="19" t="str">
        <x:v>VEQ+</x:v>
      </x:c>
      <x:c r="D38" s="19" t="str">
        <x:v>2023</x:v>
      </x:c>
      <x:c r="E38" s="19" t="n">
        <x:v>12</x:v>
      </x:c>
      <x:c r="F38" s="19" t="str">
        <x:v>Self-Location、Self-Attribution、Self-Similarity</x:v>
      </x:c>
      <x:c r="G38" s="19" t="str">
        <x:v>见原文</x:v>
      </x:c>
      <x:c r="H38" s="19" t="str">
        <x:v>已验证扩展</x:v>
      </x:c>
      <x:c r="I38" s="19" t="str">
        <x:v>avatar</x:v>
      </x:c>
      <x:c r="J38" s="19" t="n">
        <x:v>0</x:v>
      </x:c>
      <x:c r="K38" s="19" t="str">
        <x:v>索引保留；未逐项复现。完整量表见原文/项目站；未逐项复现</x:v>
      </x:c>
      <x:c r="L38" s="19" t="str">
        <x:v>对象锚定不涉及自我形象与身体认同</x:v>
      </x:c>
      <x:c r="M38" s="19" t="str">
        <x:v>https://doi.org/10.1109/TVCG.2023.3247058</x:v>
      </x:c>
      <x:c r="N38" s="19" t="str"/>
      <x:c r="O38" s="19" t="str">
        <x:v>索引保留；未在逐项库复现完整项目。</x:v>
      </x:c>
    </x:row>
    <x:row r="39" ht="43" customHeight="1">
      <x:c r="A39" s="19" t="str">
        <x:v>VR用户体验</x:v>
      </x:c>
      <x:c r="B39" s="19" t="str">
        <x:v>C-控制</x:v>
      </x:c>
      <x:c r="C39" s="19" t="str">
        <x:v>UX in Immersive Virtual Environments Questionnaire</x:v>
      </x:c>
      <x:c r="D39" s="19" t="str">
        <x:v>2016</x:v>
      </x:c>
      <x:c r="E39" s="19" t="n">
        <x:v>31</x:v>
      </x:c>
      <x:c r="F39" s="19" t="str">
        <x:v>Presence、Engagement、Immersion、Flow、Skill、Emotion、Usability等</x:v>
      </x:c>
      <x:c r="G39" s="19" t="str">
        <x:v>见原文</x:v>
      </x:c>
      <x:c r="H39" s="19" t="str">
        <x:v>开发/验证</x:v>
      </x:c>
      <x:c r="I39" s="19" t="str">
        <x:v>VR</x:v>
      </x:c>
      <x:c r="J39" s="19" t="n">
        <x:v>0</x:v>
      </x:c>
      <x:c r="K39" s="19" t="str">
        <x:v>索引保留；未逐项复现。较长；未逐项复现</x:v>
      </x:c>
      <x:c r="L39" s="19" t="str">
        <x:v>构念过宽，问卷负担高</x:v>
      </x:c>
      <x:c r="M39" s="19" t="str">
        <x:v>https://doi.org/10.1007/s10055-016-0288-1</x:v>
      </x:c>
      <x:c r="N39" s="19" t="str"/>
      <x:c r="O39" s="19" t="str">
        <x:v>索引保留；未在逐项库复现完整项目。</x:v>
      </x:c>
    </x:row>
    <x:row r="40" ht="43" customHeight="1">
      <x:c r="A40" s="19" t="str">
        <x:v>VR系统可用性</x:v>
      </x:c>
      <x:c r="B40" s="19" t="str">
        <x:v>C-控制</x:v>
      </x:c>
      <x:c r="C40" s="19" t="str">
        <x:v>Virtual Reality System Usability Questionnaire (VRSUQ)</x:v>
      </x:c>
      <x:c r="D40" s="19" t="str">
        <x:v>2024</x:v>
      </x:c>
      <x:c r="E40" s="19" t="n">
        <x:v>14</x:v>
      </x:c>
      <x:c r="F40" s="19" t="str">
        <x:v>VR系统可用性/UX短量表</x:v>
      </x:c>
      <x:c r="G40" s="19" t="str">
        <x:v>见原文</x:v>
      </x:c>
      <x:c r="H40" s="19" t="str">
        <x:v>新近验证</x:v>
      </x:c>
      <x:c r="I40" s="19" t="str">
        <x:v>VR</x:v>
      </x:c>
      <x:c r="J40" s="19" t="n">
        <x:v>0</x:v>
      </x:c>
      <x:c r="K40" s="19" t="str">
        <x:v>索引保留；未逐项复现。原文项目需从论文附录获取；未逐项复现</x:v>
      </x:c>
      <x:c r="L40" s="19" t="str">
        <x:v>系统级可用性，不是锚定质量</x:v>
      </x:c>
      <x:c r="M40" s="19" t="str">
        <x:v>https://doi.org/10.1016/j.apergo.2024.104193</x:v>
      </x:c>
      <x:c r="N40" s="19" t="str"/>
      <x:c r="O40" s="19" t="str">
        <x:v>索引保留；未在逐项库复现完整项目。</x:v>
      </x:c>
    </x:row>
    <x:row r="41" ht="43" customHeight="1">
      <x:c r="A41" s="19" t="str">
        <x:v>AR用户体验</x:v>
      </x:c>
      <x:c r="B41" s="19" t="str">
        <x:v>B-邻近</x:v>
      </x:c>
      <x:c r="C41" s="19" t="str">
        <x:v>UXAR-CT / UXARcis</x:v>
      </x:c>
      <x:c r="D41" s="19" t="str">
        <x:v>2024–2026</x:v>
      </x:c>
      <x:c r="E41" s="19" t="n">
        <x:v>18</x:v>
      </x:c>
      <x:c r="F41" s="19" t="str">
        <x:v>Perspicuity、Efficiency、Dependability、Usefulness、Clarity、Value（各3项）</x:v>
      </x:c>
      <x:c r="G41" s="19" t="str">
        <x:v>见原文</x:v>
      </x:c>
      <x:c r="H41" s="19" t="str">
        <x:v>初步到持续验证</x:v>
      </x:c>
      <x:c r="I41" s="19" t="str">
        <x:v>移动AR/企业培训</x:v>
      </x:c>
      <x:c r="J41" s="19" t="n">
        <x:v>1</x:v>
      </x:c>
      <x:c r="K41" s="19" t="str">
        <x:v>索引保留；未逐项复现。官方网站提供维度与工具；逐项措辞/许可需从官方材料获取</x:v>
      </x:c>
      <x:c r="L41" s="19" t="str">
        <x:v>Dependability可能邻近，但场景为企业培训</x:v>
      </x:c>
      <x:c r="M41" s="19" t="str">
        <x:v>https://uxarcis.ueq-research.org/</x:v>
      </x:c>
      <x:c r="N41" s="19" t="str"/>
      <x:c r="O41" s="19" t="str">
        <x:v>索引保留；未在逐项库复现完整项目。</x:v>
      </x:c>
    </x:row>
    <x:row r="42" ht="43" customHeight="1">
      <x:c r="A42" s="19" t="str">
        <x:v>AR存在感</x:v>
      </x:c>
      <x:c r="B42" s="19" t="str">
        <x:v>B-邻近</x:v>
      </x:c>
      <x:c r="C42" s="19" t="str">
        <x:v>Presence in Augmented Reality Questionnaire (PARQ)</x:v>
      </x:c>
      <x:c r="D42" s="19" t="str">
        <x:v>2025</x:v>
      </x:c>
      <x:c r="E42" s="19" t="n">
        <x:v>10</x:v>
      </x:c>
      <x:c r="F42" s="19" t="str">
        <x:v>Realness、Interactivity、Engagement（初始15项，修订10项）</x:v>
      </x:c>
      <x:c r="G42" s="19" t="str">
        <x:v>见原文</x:v>
      </x:c>
      <x:c r="H42" s="19" t="str">
        <x:v>初步内容效度/内部一致性</x:v>
      </x:c>
      <x:c r="I42" s="19" t="str">
        <x:v>AR学习</x:v>
      </x:c>
      <x:c r="J42" s="19" t="n">
        <x:v>1</x:v>
      </x:c>
      <x:c r="K42" s="19" t="str">
        <x:v>索引保留；未逐项复现。公开摘要给出结构，但未检索到可核验的完整最终条目表</x:v>
      </x:c>
      <x:c r="L42" s="19" t="str">
        <x:v>作者公开最终条目后可进一步补充</x:v>
      </x:c>
      <x:c r="M42" s="19" t="str">
        <x:v>https://publications.immersivelrn.org/index.php/academic/article/view/371</x:v>
      </x:c>
      <x:c r="N42" s="19" t="str"/>
      <x:c r="O42" s="19" t="str">
        <x:v>索引保留；未在逐项库复现完整项目。</x:v>
      </x:c>
    </x:row>
    <x:row r="43" ht="43" customHeight="1">
      <x:c r="A43" s="19" t="str">
        <x:v>AI信任/不信任</x:v>
      </x:c>
      <x:c r="B43" s="19" t="str">
        <x:v>B-邻近</x:v>
      </x:c>
      <x:c r="C43" s="19" t="str">
        <x:v>Trust Scale for the AI Context (TAI)</x:v>
      </x:c>
      <x:c r="D43" s="19" t="str">
        <x:v>2023/2024验证</x:v>
      </x:c>
      <x:c r="E43" s="19" t="n">
        <x:v>12</x:v>
      </x:c>
      <x:c r="F43" s="19" t="str">
        <x:v>Trust与Distrust分离</x:v>
      </x:c>
      <x:c r="G43" s="19" t="str">
        <x:v>见原文</x:v>
      </x:c>
      <x:c r="H43" s="19" t="str">
        <x:v>在AI语境大样本验证</x:v>
      </x:c>
      <x:c r="I43" s="19" t="str">
        <x:v>AI</x:v>
      </x:c>
      <x:c r="J43" s="19" t="n">
        <x:v>1</x:v>
      </x:c>
      <x:c r="K43" s="19" t="str">
        <x:v>索引保留；未逐项复现。AI决策语境；项目文本与许可需从原文获取，未逐项复现</x:v>
      </x:c>
      <x:c r="L43" s="19" t="str">
        <x:v>理论参考；EgoAnchor并非生成式/决策AI</x:v>
      </x:c>
      <x:c r="M43" s="19" t="str">
        <x:v>https://arxiv.org/abs/2403.00582</x:v>
      </x:c>
      <x:c r="N43" s="19" t="str"/>
      <x:c r="O43" s="19" t="str">
        <x:v>索引保留；未在逐项库复现完整项目。</x:v>
      </x:c>
    </x:row>
    <x:row r="44" ht="43" customHeight="1">
      <x:c r="A44" s="19" t="str">
        <x:v>人机信任</x:v>
      </x:c>
      <x:c r="B44" s="19" t="str">
        <x:v>B-邻近</x:v>
      </x:c>
      <x:c r="C44" s="19" t="str">
        <x:v>Human-Computer Trust Scale (HCTS)</x:v>
      </x:c>
      <x:c r="D44" s="19" t="str">
        <x:v>2019</x:v>
      </x:c>
      <x:c r="E44" s="19" t="n">
        <x:v>12</x:v>
      </x:c>
      <x:c r="F44" s="19" t="str">
        <x:v>Perceived Risk、Competence、Benevolence等版本</x:v>
      </x:c>
      <x:c r="G44" s="19" t="str">
        <x:v>见原文</x:v>
      </x:c>
      <x:c r="H44" s="19" t="str">
        <x:v>网站/信息系统语境验证</x:v>
      </x:c>
      <x:c r="I44" s="19" t="str">
        <x:v>通用计算系统</x:v>
      </x:c>
      <x:c r="J44" s="19" t="n">
        <x:v>1</x:v>
      </x:c>
      <x:c r="K44" s="19" t="str">
        <x:v>索引保留；未逐项复现。多个版本/命名存在混淆；未在可核验公开来源获得最终逐项表</x:v>
      </x:c>
      <x:c r="L44" s="19" t="str">
        <x:v>需要明确引用版本后再使用</x:v>
      </x:c>
      <x:c r="M44" s="19" t="str">
        <x:v>https://doi.org/10.1007/978-3-030-23525-3_34</x:v>
      </x:c>
      <x:c r="N44" s="19" t="str"/>
      <x:c r="O44" s="19" t="str">
        <x:v>索引保留；未在逐项库复现完整项目。</x:v>
      </x:c>
    </x:row>
    <x:row r="45" ht="43" customHeight="1">
      <x:c r="A45" s="19" t="str">
        <x:v>信任倾向</x:v>
      </x:c>
      <x:c r="B45" s="19" t="str">
        <x:v>C-控制</x:v>
      </x:c>
      <x:c r="C45" s="19" t="str">
        <x:v>Machine Trust Propensity Scale (MTP)</x:v>
      </x:c>
      <x:c r="D45" s="19" t="str">
        <x:v>2011</x:v>
      </x:c>
      <x:c r="E45" s="19" t="n">
        <x:v>6</x:v>
      </x:c>
      <x:c r="F45" s="19" t="str">
        <x:v>个体对机器的一般信任倾向</x:v>
      </x:c>
      <x:c r="G45" s="19" t="str">
        <x:v>见原文</x:v>
      </x:c>
      <x:c r="H45" s="19" t="str">
        <x:v>个体差异量表</x:v>
      </x:c>
      <x:c r="I45" s="19" t="str">
        <x:v>通用机器</x:v>
      </x:c>
      <x:c r="J45" s="19" t="n">
        <x:v>1</x:v>
      </x:c>
      <x:c r="K45" s="19" t="str">
        <x:v>索引保留；未逐项复现。属于前测个体差异而非条件后评价；未逐项复现</x:v>
      </x:c>
      <x:c r="L45" s="19" t="str">
        <x:v>仅在需要控制个体信任倾向时使用</x:v>
      </x:c>
      <x:c r="M45" s="19" t="str">
        <x:v>https://doi.org/10.1177/0018720811428297</x:v>
      </x:c>
      <x:c r="N45" s="19" t="str"/>
      <x:c r="O45" s="19" t="str">
        <x:v>索引保留；未在逐项库复现完整项目。</x:v>
      </x:c>
    </x:row>
    <x:row r="46" ht="43" customHeight="1">
      <x:c r="A46" s="19" t="str">
        <x:v>VR用户体验</x:v>
      </x:c>
      <x:c r="B46" s="19" t="str">
        <x:v>C-控制</x:v>
      </x:c>
      <x:c r="C46" s="19" t="str">
        <x:v>Questionnaire on User eXperience in Immersive Virtual Environments (QUXiVE)</x:v>
      </x:c>
      <x:c r="D46" s="19" t="str">
        <x:v>2024</x:v>
      </x:c>
      <x:c r="E46" s="19" t="n">
        <x:v>22</x:v>
      </x:c>
      <x:c r="F46" s="19" t="str">
        <x:v>Presence、Usability、Embodiment、Emotion等整合维度</x:v>
      </x:c>
      <x:c r="G46" s="19" t="str">
        <x:v>见原文</x:v>
      </x:c>
      <x:c r="H46" s="19" t="str">
        <x:v>新近开发/验证</x:v>
      </x:c>
      <x:c r="I46" s="19" t="str">
        <x:v>VR</x:v>
      </x:c>
      <x:c r="J46" s="19" t="n">
        <x:v>0</x:v>
      </x:c>
      <x:c r="K46" s="19" t="str">
        <x:v>索引保留；未逐项复现。新近量表；完整条目需从原文补充材料获取，未逐项复现</x:v>
      </x:c>
      <x:c r="L46" s="19" t="str">
        <x:v>研究问题过宽，不适合作为对象锚定主量表</x:v>
      </x:c>
      <x:c r="M46" s="19" t="str">
        <x:v>https://doi.org/10.1145/3654777.3676431</x:v>
      </x:c>
      <x:c r="N46" s="19" t="str"/>
      <x:c r="O46" s="19" t="str">
        <x:v>索引保留；未在逐项库复现完整项目。</x:v>
      </x:c>
    </x:row>
    <x:row r="47" ht="43" customHeight="1">
      <x:c r="A47" s="19" t="str">
        <x:v>VR合理性</x:v>
      </x:c>
      <x:c r="B47" s="19" t="str">
        <x:v>B-邻近</x:v>
      </x:c>
      <x:c r="C47" s="19" t="str">
        <x:v>Plausibility Questionnaire (Psi) / Place Illusion–Plausibility measures</x:v>
      </x:c>
      <x:c r="D47" s="19" t="str">
        <x:v>2009以后</x:v>
      </x:c>
      <x:c r="E47" s="19" t="n">
        <x:v>0</x:v>
      </x:c>
      <x:c r="F47" s="19" t="str">
        <x:v>Plausibility illusion、Place illusion</x:v>
      </x:c>
      <x:c r="G47" s="19" t="str">
        <x:v>见原文</x:v>
      </x:c>
      <x:c r="H47" s="19" t="str">
        <x:v>多为研究自定义或情境化测量</x:v>
      </x:c>
      <x:c r="I47" s="19" t="str">
        <x:v>VR/MR</x:v>
      </x:c>
      <x:c r="J47" s="19" t="n">
        <x:v>2</x:v>
      </x:c>
      <x:c r="K47" s="19" t="str">
        <x:v>索引保留；未逐项复现。不存在统一、跨场景、固定条目集；CRIQ与HPQ提供更可操作的版本</x:v>
      </x:c>
      <x:c r="L47" s="19" t="str">
        <x:v>作为理论构念引用，不宜声称有单一标准量表</x:v>
      </x:c>
      <x:c r="M47" s="19" t="str">
        <x:v>https://doi.org/10.1098/rstb.2009.0138</x:v>
      </x:c>
      <x:c r="N47" s="19" t="str"/>
      <x:c r="O47" s="19" t="str">
        <x:v>索引保留；未在逐项库复现完整项目。</x:v>
      </x:c>
    </x:row>
  </x:sheetData>
  <x:conditionalFormatting sqref="J2:J47">
    <x:cfRule type="colorScale" priority="1">
      <x:colorScale>
        <x:cfvo type="min"/>
        <x:cfvo type="percentile" val="50"/>
        <x:cfvo type="max"/>
        <x:color rgb="FFFEE2E2"/>
        <x:color rgb="FFFEF3C7"/>
        <x:color rgb="FFDCFCE7"/>
      </x:colorScale>
    </x:cfRule>
  </x:conditionalFormatting>
  <x:pageMargins left="0.7" right="0.7" top="0.75" bottom="0.75" header="0.3" footer="0.3"/>
  <x:tableParts count="1">
    <x:tablePart xmlns:r="http://schemas.openxmlformats.org/officeDocument/2006/relationships" r:id="Rdc909063667f4b7d"/>
  </x:tableParts>
</x:worksheet>
</file>

<file path=xl/worksheets/sheet3.xml><?xml version="1.0" encoding="utf-8"?>
<x:worksheet xmlns:x="http://schemas.openxmlformats.org/spreadsheetml/2006/main">
  <x:sheetFormatPr defaultRowHeight="15"/>
  <x:cols>
    <x:col min="1" max="1" width="12" hidden="0" customWidth="1"/>
    <x:col min="2" max="2" width="10" hidden="0" customWidth="1"/>
    <x:col min="3" max="3" width="18" hidden="0" customWidth="1"/>
    <x:col min="4" max="4" width="34" hidden="0" customWidth="1"/>
    <x:col min="5" max="5" width="15" hidden="0" customWidth="1"/>
    <x:col min="6" max="6" width="27" hidden="0" customWidth="1"/>
    <x:col min="7" max="7" width="12" hidden="0" customWidth="1"/>
    <x:col min="8" max="8" width="54" hidden="0" customWidth="1"/>
    <x:col min="9" max="9" width="44" hidden="0" customWidth="1"/>
    <x:col min="10" max="10" width="16" hidden="0" customWidth="1"/>
    <x:col min="11" max="11" width="24" hidden="0" customWidth="1"/>
    <x:col min="12" max="12" width="27" hidden="0" customWidth="1"/>
    <x:col min="13" max="13" width="18" hidden="0" customWidth="1"/>
    <x:col min="14" max="14" width="33" hidden="0" customWidth="1"/>
    <x:col min="15" max="15" width="14" hidden="0" customWidth="1"/>
    <x:col min="16" max="16" width="32" hidden="0" customWidth="1"/>
    <x:col min="17" max="17" width="34" hidden="0" customWidth="1"/>
    <x:col min="18" max="18" width="50" hidden="0" customWidth="1"/>
    <x:col min="19" max="19" width="27" hidden="0" customWidth="1"/>
    <x:col min="20" max="20" width="22" hidden="0" customWidth="1"/>
    <x:col min="21" max="21" width="38" hidden="0" customWidth="1"/>
  </x:cols>
  <x:sheetData>
    <x:row r="1" ht="47" customHeight="1">
      <x:c r="A1" s="49" t="str">
        <x:v>选择</x:v>
      </x:c>
      <x:c r="B1" s="49" t="str">
        <x:v>层级</x:v>
      </x:c>
      <x:c r="C1" s="49" t="str">
        <x:v>类别</x:v>
      </x:c>
      <x:c r="D1" s="49" t="str">
        <x:v>量表/工具</x:v>
      </x:c>
      <x:c r="E1" s="49" t="str">
        <x:v>版本/年份</x:v>
      </x:c>
      <x:c r="F1" s="49" t="str">
        <x:v>子量表</x:v>
      </x:c>
      <x:c r="G1" s="49" t="str">
        <x:v>Item ID</x:v>
      </x:c>
      <x:c r="H1" s="49" t="str">
        <x:v>中文语义版本</x:v>
      </x:c>
      <x:c r="I1" s="49" t="str">
        <x:v>公开英文原文（仅在许可/公开允许时）</x:v>
      </x:c>
      <x:c r="J1" s="49" t="str">
        <x:v>极性/反向</x:v>
      </x:c>
      <x:c r="K1" s="49" t="str">
        <x:v>评分尺度</x:v>
      </x:c>
      <x:c r="L1" s="49" t="str">
        <x:v>验证状态</x:v>
      </x:c>
      <x:c r="M1" s="49" t="str">
        <x:v>适用阶段</x:v>
      </x:c>
      <x:c r="N1" s="49" t="str">
        <x:v>机制映射</x:v>
      </x:c>
      <x:c r="O1" s="49" t="str">
        <x:v>相关性(0-3)</x:v>
      </x:c>
      <x:c r="P1" s="49" t="str">
        <x:v>使用建议</x:v>
      </x:c>
      <x:c r="Q1" s="49" t="str">
        <x:v>文本/翻译状态</x:v>
      </x:c>
      <x:c r="R1" s="49" t="str">
        <x:v>来源URL</x:v>
      </x:c>
      <x:c r="S1" s="49" t="str">
        <x:v>DOI/页表位置</x:v>
      </x:c>
      <x:c r="T1" s="49" t="str">
        <x:v>版本成员/用途</x:v>
      </x:c>
      <x:c r="U1" s="49" t="str">
        <x:v>备注</x:v>
      </x:c>
    </x:row>
    <x:row r="2" ht="47" customHeight="1">
      <x:c r="A2" s="19" t="str">
        <x:v>未决定</x:v>
      </x:c>
      <x:c r="B2" s="19" t="str">
        <x:v>A-直接</x:v>
      </x:c>
      <x:c r="C2" s="19" t="str">
        <x:v>项目现有条目</x:v>
      </x:c>
      <x:c r="D2" s="19" t="str">
        <x:v>EgoAnchor当前实验三条目</x:v>
      </x:c>
      <x:c r="E2" s="19" t="str">
        <x:v>v8/2026</x:v>
      </x:c>
      <x:c r="F2" s="19" t="str">
        <x:v>静止稳定</x:v>
      </x:c>
      <x:c r="G2" s="19" t="str">
        <x:v>Q1</x:v>
      </x:c>
      <x:c r="H2" s="19" t="str">
        <x:v>在静止观察阶段，虚拟内容在真实物体上的位置保持稳定。</x:v>
      </x:c>
      <x:c r="I2" s="19" t="str"/>
      <x:c r="J2" s="19" t="str">
        <x:v>正向</x:v>
      </x:c>
      <x:c r="K2" s="19" t="str">
        <x:v>7点；Q1–Q3/Q6/Q7同意度，Q4/Q5强度</x:v>
      </x:c>
      <x:c r="L2" s="19" t="str">
        <x:v>研究定制，未验证</x:v>
      </x:c>
      <x:c r="M2" s="19" t="str">
        <x:v>静止</x:v>
      </x:c>
      <x:c r="N2" s="19" t="str">
        <x:v>静止抖动；头动泄漏；视点漂移</x:v>
      </x:c>
      <x:c r="O2" s="19" t="n">
        <x:v>3</x:v>
      </x:c>
      <x:c r="P2" s="19" t="str">
        <x:v>直接候选/需精炼</x:v>
      </x:c>
      <x:c r="Q2" s="19" t="str">
        <x:v>手稿原文</x:v>
      </x:c>
      <x:c r="R2" s="19" t="str">
        <x:v>conversation file: egoanchor_cn_ai_v8(1).tex</x:v>
      </x:c>
      <x:c r="S2" s="19" t="str"/>
      <x:c r="T2" s="19" t="str"/>
      <x:c r="U2" s="19" t="str"/>
    </x:row>
    <x:row r="3" ht="47" customHeight="1">
      <x:c r="A3" s="19" t="str">
        <x:v>未决定</x:v>
      </x:c>
      <x:c r="B3" s="19" t="str">
        <x:v>A-直接</x:v>
      </x:c>
      <x:c r="C3" s="19" t="str">
        <x:v>项目现有条目</x:v>
      </x:c>
      <x:c r="D3" s="19" t="str">
        <x:v>EgoAnchor当前实验三条目</x:v>
      </x:c>
      <x:c r="E3" s="19" t="str">
        <x:v>v8/2026</x:v>
      </x:c>
      <x:c r="F3" s="19" t="str">
        <x:v>运动附着</x:v>
      </x:c>
      <x:c r="G3" s="19" t="str">
        <x:v>Q2</x:v>
      </x:c>
      <x:c r="H3" s="19" t="str">
        <x:v>在拿起、移动和旋转物体时，虚拟内容与真实物体保持一致运动。</x:v>
      </x:c>
      <x:c r="I3" s="19" t="str"/>
      <x:c r="J3" s="19" t="str">
        <x:v>正向</x:v>
      </x:c>
      <x:c r="K3" s="19" t="str">
        <x:v>7点；Q1–Q3/Q6/Q7同意度，Q4/Q5强度</x:v>
      </x:c>
      <x:c r="L3" s="19" t="str">
        <x:v>研究定制，未验证</x:v>
      </x:c>
      <x:c r="M3" s="19" t="str">
        <x:v>运动</x:v>
      </x:c>
      <x:c r="N3" s="19" t="str">
        <x:v>运动附着；打滑；相对位姿一致</x:v>
      </x:c>
      <x:c r="O3" s="19" t="n">
        <x:v>3</x:v>
      </x:c>
      <x:c r="P3" s="19" t="str">
        <x:v>直接候选/与同步性检查重叠</x:v>
      </x:c>
      <x:c r="Q3" s="19" t="str">
        <x:v>手稿原文</x:v>
      </x:c>
      <x:c r="R3" s="19" t="str">
        <x:v>conversation file: egoanchor_cn_ai_v8(1).tex</x:v>
      </x:c>
      <x:c r="S3" s="19" t="str"/>
      <x:c r="T3" s="19" t="str"/>
      <x:c r="U3" s="19" t="str"/>
    </x:row>
    <x:row r="4" ht="47" customHeight="1">
      <x:c r="A4" s="19" t="str">
        <x:v>未决定</x:v>
      </x:c>
      <x:c r="B4" s="19" t="str">
        <x:v>A-直接</x:v>
      </x:c>
      <x:c r="C4" s="19" t="str">
        <x:v>项目现有条目</x:v>
      </x:c>
      <x:c r="D4" s="19" t="str">
        <x:v>EgoAnchor当前实验三条目</x:v>
      </x:c>
      <x:c r="E4" s="19" t="str">
        <x:v>v8/2026</x:v>
      </x:c>
      <x:c r="F4" s="19" t="str">
        <x:v>恢复一致</x:v>
      </x:c>
      <x:c r="G4" s="19" t="str">
        <x:v>Q3</x:v>
      </x:c>
      <x:c r="H4" s="19" t="str">
        <x:v>遮挡移除后，虚拟内容恢复到了与真实物体一致的位置。</x:v>
      </x:c>
      <x:c r="I4" s="19" t="str"/>
      <x:c r="J4" s="19" t="str">
        <x:v>正向</x:v>
      </x:c>
      <x:c r="K4" s="19" t="str">
        <x:v>7点；Q1–Q3/Q6/Q7同意度，Q4/Q5强度</x:v>
      </x:c>
      <x:c r="L4" s="19" t="str">
        <x:v>研究定制，未验证</x:v>
      </x:c>
      <x:c r="M4" s="19" t="str">
        <x:v>遮挡恢复</x:v>
      </x:c>
      <x:c r="N4" s="19" t="str">
        <x:v>遮挡恢复；重获取跳变；错误恢复</x:v>
      </x:c>
      <x:c r="O4" s="19" t="n">
        <x:v>3</x:v>
      </x:c>
      <x:c r="P4" s="19" t="str">
        <x:v>直接候选</x:v>
      </x:c>
      <x:c r="Q4" s="19" t="str">
        <x:v>手稿原文</x:v>
      </x:c>
      <x:c r="R4" s="19" t="str">
        <x:v>conversation file: egoanchor_cn_ai_v8(1).tex</x:v>
      </x:c>
      <x:c r="S4" s="19" t="str"/>
      <x:c r="T4" s="19" t="str"/>
      <x:c r="U4" s="19" t="str"/>
    </x:row>
    <x:row r="5" ht="47" customHeight="1">
      <x:c r="A5" s="19" t="str">
        <x:v>未决定</x:v>
      </x:c>
      <x:c r="B5" s="19" t="str">
        <x:v>A-直接</x:v>
      </x:c>
      <x:c r="C5" s="19" t="str">
        <x:v>项目现有条目</x:v>
      </x:c>
      <x:c r="D5" s="19" t="str">
        <x:v>EgoAnchor当前实验三条目</x:v>
      </x:c>
      <x:c r="E5" s="19" t="str">
        <x:v>v8/2026</x:v>
      </x:c>
      <x:c r="F5" s="19" t="str">
        <x:v>合理可信</x:v>
      </x:c>
      <x:c r="G5" s="19" t="str">
        <x:v>Q4</x:v>
      </x:c>
      <x:c r="H5" s="19" t="str">
        <x:v>这种虚实交互体验在多大程度上让你觉得合理可信。</x:v>
      </x:c>
      <x:c r="I5" s="19" t="str"/>
      <x:c r="J5" s="19" t="str">
        <x:v>正向</x:v>
      </x:c>
      <x:c r="K5" s="19" t="str">
        <x:v>7点；Q1–Q3/Q6/Q7同意度，Q4/Q5强度</x:v>
      </x:c>
      <x:c r="L5" s="19" t="str">
        <x:v>研究定制，未验证</x:v>
      </x:c>
      <x:c r="M5" s="19" t="str">
        <x:v>总体</x:v>
      </x:c>
      <x:c r="N5" s="19" t="str">
        <x:v>合理性；可信感</x:v>
      </x:c>
      <x:c r="O5" s="19" t="n">
        <x:v>3</x:v>
      </x:c>
      <x:c r="P5" s="19" t="str">
        <x:v>需拆分plausibility与trust</x:v>
      </x:c>
      <x:c r="Q5" s="19" t="str">
        <x:v>手稿原文</x:v>
      </x:c>
      <x:c r="R5" s="19" t="str">
        <x:v>conversation file: egoanchor_cn_ai_v8(1).tex</x:v>
      </x:c>
      <x:c r="S5" s="19" t="str"/>
      <x:c r="T5" s="19" t="str"/>
      <x:c r="U5" s="19" t="str"/>
    </x:row>
    <x:row r="6" ht="47" customHeight="1">
      <x:c r="A6" s="19" t="str">
        <x:v>未决定</x:v>
      </x:c>
      <x:c r="B6" s="19" t="str">
        <x:v>A-直接</x:v>
      </x:c>
      <x:c r="C6" s="19" t="str">
        <x:v>项目现有条目</x:v>
      </x:c>
      <x:c r="D6" s="19" t="str">
        <x:v>EgoAnchor当前实验三条目</x:v>
      </x:c>
      <x:c r="E6" s="19" t="str">
        <x:v>v8/2026</x:v>
      </x:c>
      <x:c r="F6" s="19" t="str">
        <x:v>同步性</x:v>
      </x:c>
      <x:c r="G6" s="19" t="str">
        <x:v>Q5</x:v>
      </x:c>
      <x:c r="H6" s="19" t="str">
        <x:v>你在多大程度上感觉真实物体与虚拟内容之间的交互是同步的。</x:v>
      </x:c>
      <x:c r="I6" s="19" t="str"/>
      <x:c r="J6" s="19" t="str">
        <x:v>正向</x:v>
      </x:c>
      <x:c r="K6" s="19" t="str">
        <x:v>7点；Q1–Q3/Q6/Q7同意度，Q4/Q5强度</x:v>
      </x:c>
      <x:c r="L6" s="19" t="str">
        <x:v>研究定制，未验证</x:v>
      </x:c>
      <x:c r="M6" s="19" t="str">
        <x:v>运动/总体</x:v>
      </x:c>
      <x:c r="N6" s="19" t="str">
        <x:v>同步性；响应滞后</x:v>
      </x:c>
      <x:c r="O6" s="19" t="n">
        <x:v>3</x:v>
      </x:c>
      <x:c r="P6" s="19" t="str">
        <x:v>直接候选/与Q2检查重叠</x:v>
      </x:c>
      <x:c r="Q6" s="19" t="str">
        <x:v>手稿原文</x:v>
      </x:c>
      <x:c r="R6" s="19" t="str">
        <x:v>conversation file: egoanchor_cn_ai_v8(1).tex</x:v>
      </x:c>
      <x:c r="S6" s="19" t="str"/>
      <x:c r="T6" s="19" t="str"/>
      <x:c r="U6" s="19" t="str"/>
    </x:row>
    <x:row r="7" ht="47" customHeight="1">
      <x:c r="A7" s="19" t="str">
        <x:v>未决定</x:v>
      </x:c>
      <x:c r="B7" s="19" t="str">
        <x:v>A-直接</x:v>
      </x:c>
      <x:c r="C7" s="19" t="str">
        <x:v>项目现有条目</x:v>
      </x:c>
      <x:c r="D7" s="19" t="str">
        <x:v>EgoAnchor当前实验三条目</x:v>
      </x:c>
      <x:c r="E7" s="19" t="str">
        <x:v>v8/2026</x:v>
      </x:c>
      <x:c r="F7" s="19" t="str">
        <x:v>依赖意愿</x:v>
      </x:c>
      <x:c r="G7" s="19" t="str">
        <x:v>Q6</x:v>
      </x:c>
      <x:c r="H7" s="19" t="str">
        <x:v>在需要虚拟内容准确附着于真实物体的混合现实应用中，我愿意依赖这种锚定方法。</x:v>
      </x:c>
      <x:c r="I7" s="19" t="str"/>
      <x:c r="J7" s="19" t="str">
        <x:v>正向</x:v>
      </x:c>
      <x:c r="K7" s="19" t="str">
        <x:v>7点；Q1–Q3/Q6/Q7同意度，Q4/Q5强度</x:v>
      </x:c>
      <x:c r="L7" s="19" t="str">
        <x:v>研究定制，未验证</x:v>
      </x:c>
      <x:c r="M7" s="19" t="str">
        <x:v>总体/最终</x:v>
      </x:c>
      <x:c r="N7" s="19" t="str">
        <x:v>依赖意愿；选择行为</x:v>
      </x:c>
      <x:c r="O7" s="19" t="n">
        <x:v>3</x:v>
      </x:c>
      <x:c r="P7" s="19" t="str">
        <x:v>直接候选；与信任分开</x:v>
      </x:c>
      <x:c r="Q7" s="19" t="str">
        <x:v>手稿原文</x:v>
      </x:c>
      <x:c r="R7" s="19" t="str">
        <x:v>conversation file: egoanchor_cn_ai_v8(1).tex</x:v>
      </x:c>
      <x:c r="S7" s="19" t="str"/>
      <x:c r="T7" s="19" t="str"/>
      <x:c r="U7" s="19" t="str"/>
    </x:row>
    <x:row r="8" ht="47" customHeight="1">
      <x:c r="A8" s="19" t="str">
        <x:v>未决定</x:v>
      </x:c>
      <x:c r="B8" s="19" t="str">
        <x:v>A-直接</x:v>
      </x:c>
      <x:c r="C8" s="19" t="str">
        <x:v>项目现有条目</x:v>
      </x:c>
      <x:c r="D8" s="19" t="str">
        <x:v>EgoAnchor当前实验三条目</x:v>
      </x:c>
      <x:c r="E8" s="19" t="str">
        <x:v>v8/2026</x:v>
      </x:c>
      <x:c r="F8" s="19" t="str">
        <x:v>稳定-响应平衡</x:v>
      </x:c>
      <x:c r="G8" s="19" t="str">
        <x:v>Q7</x:v>
      </x:c>
      <x:c r="H8" s="19" t="str">
        <x:v>总体而言，该方法在锚点稳定性与响应及时性之间取得了合适的平衡。</x:v>
      </x:c>
      <x:c r="I8" s="19" t="str"/>
      <x:c r="J8" s="19" t="str">
        <x:v>正向</x:v>
      </x:c>
      <x:c r="K8" s="19" t="str">
        <x:v>7点；Q1–Q3/Q6/Q7同意度，Q4/Q5强度</x:v>
      </x:c>
      <x:c r="L8" s="19" t="str">
        <x:v>研究定制，未验证</x:v>
      </x:c>
      <x:c r="M8" s="19" t="str">
        <x:v>总体</x:v>
      </x:c>
      <x:c r="N8" s="19" t="str">
        <x:v>稳定性-响应性权衡</x:v>
      </x:c>
      <x:c r="O8" s="19" t="n">
        <x:v>3</x:v>
      </x:c>
      <x:c r="P8" s="19" t="str">
        <x:v>双重问题；建议拆分</x:v>
      </x:c>
      <x:c r="Q8" s="19" t="str">
        <x:v>手稿原文</x:v>
      </x:c>
      <x:c r="R8" s="19" t="str">
        <x:v>conversation file: egoanchor_cn_ai_v8(1).tex</x:v>
      </x:c>
      <x:c r="S8" s="19" t="str"/>
      <x:c r="T8" s="19" t="str"/>
      <x:c r="U8" s="19" t="str"/>
    </x:row>
    <x:row r="9" ht="47" customHeight="1">
      <x:c r="A9" s="19" t="str">
        <x:v>未决定</x:v>
      </x:c>
      <x:c r="B9" s="19" t="str">
        <x:v>A-直接</x:v>
      </x:c>
      <x:c r="C9" s="19" t="str">
        <x:v>跨现实交互</x:v>
      </x:c>
      <x:c r="D9" s="19" t="str">
        <x:v>Cross-Reality Interaction Questionnaire (CRIQ)</x:v>
      </x:c>
      <x:c r="E9" s="19" t="str">
        <x:v>2021</x:v>
      </x:c>
      <x:c r="F9" s="19" t="str">
        <x:v>General</x:v>
      </x:c>
      <x:c r="G9" s="19" t="str">
        <x:v>G1</x:v>
      </x:c>
      <x:c r="H9" s="19" t="str">
        <x:v>这次交互造成了多大程度的中断？</x:v>
      </x:c>
      <x:c r="I9" s="19" t="str"/>
      <x:c r="J9" s="19" t="str">
        <x:v>反向</x:v>
      </x:c>
      <x:c r="K9" s="19" t="str">
        <x:v>7点：1完全没有–7非常强烈</x:v>
      </x:c>
      <x:c r="L9" s="19" t="str">
        <x:v>研究自建；有初步内部一致性</x:v>
      </x:c>
      <x:c r="M9" s="19" t="str">
        <x:v>总体</x:v>
      </x:c>
      <x:c r="N9" s="19" t="str">
        <x:v>中断；连续性</x:v>
      </x:c>
      <x:c r="O9" s="19" t="n">
        <x:v>3</x:v>
      </x:c>
      <x:c r="P9" s="19" t="str">
        <x:v>改编候选</x:v>
      </x:c>
      <x:c r="Q9" s="19" t="str">
        <x:v>中文语义转述</x:v>
      </x:c>
      <x:c r="R9" s="19" t="str">
        <x:v>https://sreal.ucf.edu/wp-content/uploads/2021/08/ISMAR_2021_Paper__Interruptions_.pdf</x:v>
      </x:c>
      <x:c r="S9" s="19" t="str">
        <x:v>Table 1</x:v>
      </x:c>
      <x:c r="T9" s="19" t="str"/>
      <x:c r="U9" s="19" t="str"/>
    </x:row>
    <x:row r="10" ht="47" customHeight="1">
      <x:c r="A10" s="19" t="str">
        <x:v>未决定</x:v>
      </x:c>
      <x:c r="B10" s="19" t="str">
        <x:v>A-直接</x:v>
      </x:c>
      <x:c r="C10" s="19" t="str">
        <x:v>跨现实交互</x:v>
      </x:c>
      <x:c r="D10" s="19" t="str">
        <x:v>Cross-Reality Interaction Questionnaire (CRIQ)</x:v>
      </x:c>
      <x:c r="E10" s="19" t="str">
        <x:v>2021</x:v>
      </x:c>
      <x:c r="F10" s="19" t="str">
        <x:v>General</x:v>
      </x:c>
      <x:c r="G10" s="19" t="str">
        <x:v>G2</x:v>
      </x:c>
      <x:c r="H10" s="19" t="str">
        <x:v>交互过程在多大程度上是可预测的？</x:v>
      </x:c>
      <x:c r="I10" s="19" t="str"/>
      <x:c r="J10" s="19" t="str">
        <x:v>正向</x:v>
      </x:c>
      <x:c r="K10" s="19" t="str">
        <x:v>7点：1完全没有–7非常强烈</x:v>
      </x:c>
      <x:c r="L10" s="19" t="str">
        <x:v>研究自建；有初步内部一致性</x:v>
      </x:c>
      <x:c r="M10" s="19" t="str">
        <x:v>总体</x:v>
      </x:c>
      <x:c r="N10" s="19" t="str">
        <x:v>可预测性；信任校准</x:v>
      </x:c>
      <x:c r="O10" s="19" t="n">
        <x:v>3</x:v>
      </x:c>
      <x:c r="P10" s="19" t="str">
        <x:v>直接候选</x:v>
      </x:c>
      <x:c r="Q10" s="19" t="str">
        <x:v>中文语义转述</x:v>
      </x:c>
      <x:c r="R10" s="19" t="str">
        <x:v>https://sreal.ucf.edu/wp-content/uploads/2021/08/ISMAR_2021_Paper__Interruptions_.pdf</x:v>
      </x:c>
      <x:c r="S10" s="19" t="str">
        <x:v>Table 1</x:v>
      </x:c>
      <x:c r="T10" s="19" t="str"/>
      <x:c r="U10" s="19" t="str"/>
    </x:row>
    <x:row r="11" ht="47" customHeight="1">
      <x:c r="A11" s="19" t="str">
        <x:v>未决定</x:v>
      </x:c>
      <x:c r="B11" s="19" t="str">
        <x:v>A-直接</x:v>
      </x:c>
      <x:c r="C11" s="19" t="str">
        <x:v>跨现实交互</x:v>
      </x:c>
      <x:c r="D11" s="19" t="str">
        <x:v>Cross-Reality Interaction Questionnaire (CRIQ)</x:v>
      </x:c>
      <x:c r="E11" s="19" t="str">
        <x:v>2021</x:v>
      </x:c>
      <x:c r="F11" s="19" t="str">
        <x:v>General</x:v>
      </x:c>
      <x:c r="G11" s="19" t="str">
        <x:v>G3</x:v>
      </x:c>
      <x:c r="H11" s="19" t="str">
        <x:v>交互过程在多大程度上令人困惑？</x:v>
      </x:c>
      <x:c r="I11" s="19" t="str"/>
      <x:c r="J11" s="19" t="str">
        <x:v>反向</x:v>
      </x:c>
      <x:c r="K11" s="19" t="str">
        <x:v>7点：1完全没有–7非常强烈</x:v>
      </x:c>
      <x:c r="L11" s="19" t="str">
        <x:v>研究自建；有初步内部一致性</x:v>
      </x:c>
      <x:c r="M11" s="19" t="str">
        <x:v>总体</x:v>
      </x:c>
      <x:c r="N11" s="19" t="str">
        <x:v>困惑；不可预测事件</x:v>
      </x:c>
      <x:c r="O11" s="19" t="n">
        <x:v>2</x:v>
      </x:c>
      <x:c r="P11" s="19" t="str">
        <x:v>备选</x:v>
      </x:c>
      <x:c r="Q11" s="19" t="str">
        <x:v>中文语义转述</x:v>
      </x:c>
      <x:c r="R11" s="19" t="str">
        <x:v>https://sreal.ucf.edu/wp-content/uploads/2021/08/ISMAR_2021_Paper__Interruptions_.pdf</x:v>
      </x:c>
      <x:c r="S11" s="19" t="str">
        <x:v>Table 1</x:v>
      </x:c>
      <x:c r="T11" s="19" t="str"/>
      <x:c r="U11" s="19" t="str"/>
    </x:row>
    <x:row r="12" ht="47" customHeight="1">
      <x:c r="A12" s="19" t="str">
        <x:v>未决定</x:v>
      </x:c>
      <x:c r="B12" s="19" t="str">
        <x:v>A-直接</x:v>
      </x:c>
      <x:c r="C12" s="19" t="str">
        <x:v>跨现实交互</x:v>
      </x:c>
      <x:c r="D12" s="19" t="str">
        <x:v>Cross-Reality Interaction Questionnaire (CRIQ)</x:v>
      </x:c>
      <x:c r="E12" s="19" t="str">
        <x:v>2021</x:v>
      </x:c>
      <x:c r="F12" s="19" t="str">
        <x:v>General</x:v>
      </x:c>
      <x:c r="G12" s="19" t="str">
        <x:v>G4</x:v>
      </x:c>
      <x:c r="H12" s="19" t="str">
        <x:v>交互过程在多大程度上是高效的？</x:v>
      </x:c>
      <x:c r="I12" s="19" t="str"/>
      <x:c r="J12" s="19" t="str">
        <x:v>正向</x:v>
      </x:c>
      <x:c r="K12" s="19" t="str">
        <x:v>7点：1完全没有–7非常强烈</x:v>
      </x:c>
      <x:c r="L12" s="19" t="str">
        <x:v>研究自建；有初步内部一致性</x:v>
      </x:c>
      <x:c r="M12" s="19" t="str">
        <x:v>总体</x:v>
      </x:c>
      <x:c r="N12" s="19" t="str">
        <x:v>效率</x:v>
      </x:c>
      <x:c r="O12" s="19" t="n">
        <x:v>1</x:v>
      </x:c>
      <x:c r="P12" s="19" t="str">
        <x:v>低优先级</x:v>
      </x:c>
      <x:c r="Q12" s="19" t="str">
        <x:v>中文语义转述</x:v>
      </x:c>
      <x:c r="R12" s="19" t="str">
        <x:v>https://sreal.ucf.edu/wp-content/uploads/2021/08/ISMAR_2021_Paper__Interruptions_.pdf</x:v>
      </x:c>
      <x:c r="S12" s="19" t="str">
        <x:v>Table 1</x:v>
      </x:c>
      <x:c r="T12" s="19" t="str"/>
      <x:c r="U12" s="19" t="str"/>
    </x:row>
    <x:row r="13" ht="47" customHeight="1">
      <x:c r="A13" s="19" t="str">
        <x:v>未决定</x:v>
      </x:c>
      <x:c r="B13" s="19" t="str">
        <x:v>A-直接</x:v>
      </x:c>
      <x:c r="C13" s="19" t="str">
        <x:v>跨现实交互</x:v>
      </x:c>
      <x:c r="D13" s="19" t="str">
        <x:v>Cross-Reality Interaction Questionnaire (CRIQ)</x:v>
      </x:c>
      <x:c r="E13" s="19" t="str">
        <x:v>2021</x:v>
      </x:c>
      <x:c r="F13" s="19" t="str">
        <x:v>General</x:v>
      </x:c>
      <x:c r="G13" s="19" t="str">
        <x:v>G5</x:v>
      </x:c>
      <x:c r="H13" s="19" t="str">
        <x:v>交互过程在多大程度上显得真实？</x:v>
      </x:c>
      <x:c r="I13" s="19" t="str"/>
      <x:c r="J13" s="19" t="str">
        <x:v>正向</x:v>
      </x:c>
      <x:c r="K13" s="19" t="str">
        <x:v>7点：1完全没有–7非常强烈</x:v>
      </x:c>
      <x:c r="L13" s="19" t="str">
        <x:v>研究自建；有初步内部一致性</x:v>
      </x:c>
      <x:c r="M13" s="19" t="str">
        <x:v>总体</x:v>
      </x:c>
      <x:c r="N13" s="19" t="str">
        <x:v>真实感；外部合理性</x:v>
      </x:c>
      <x:c r="O13" s="19" t="n">
        <x:v>2</x:v>
      </x:c>
      <x:c r="P13" s="19" t="str">
        <x:v>改编候选</x:v>
      </x:c>
      <x:c r="Q13" s="19" t="str">
        <x:v>中文语义转述</x:v>
      </x:c>
      <x:c r="R13" s="19" t="str">
        <x:v>https://sreal.ucf.edu/wp-content/uploads/2021/08/ISMAR_2021_Paper__Interruptions_.pdf</x:v>
      </x:c>
      <x:c r="S13" s="19" t="str">
        <x:v>Table 1</x:v>
      </x:c>
      <x:c r="T13" s="19" t="str"/>
      <x:c r="U13" s="19" t="str"/>
    </x:row>
    <x:row r="14" ht="47" customHeight="1">
      <x:c r="A14" s="19" t="str">
        <x:v>未决定</x:v>
      </x:c>
      <x:c r="B14" s="19" t="str">
        <x:v>A-直接</x:v>
      </x:c>
      <x:c r="C14" s="19" t="str">
        <x:v>跨现实交互</x:v>
      </x:c>
      <x:c r="D14" s="19" t="str">
        <x:v>Cross-Reality Interaction Questionnaire (CRIQ)</x:v>
      </x:c>
      <x:c r="E14" s="19" t="str">
        <x:v>2021</x:v>
      </x:c>
      <x:c r="F14" s="19" t="str">
        <x:v>General</x:v>
      </x:c>
      <x:c r="G14" s="19" t="str">
        <x:v>G6</x:v>
      </x:c>
      <x:c r="H14" s="19" t="str">
        <x:v>交互过程中你感到多大程度的安全？</x:v>
      </x:c>
      <x:c r="I14" s="19" t="str"/>
      <x:c r="J14" s="19" t="str">
        <x:v>正向</x:v>
      </x:c>
      <x:c r="K14" s="19" t="str">
        <x:v>7点：1完全没有–7非常强烈</x:v>
      </x:c>
      <x:c r="L14" s="19" t="str">
        <x:v>研究自建；有初步内部一致性</x:v>
      </x:c>
      <x:c r="M14" s="19" t="str">
        <x:v>总体</x:v>
      </x:c>
      <x:c r="N14" s="19" t="str">
        <x:v>安全感</x:v>
      </x:c>
      <x:c r="O14" s="19" t="n">
        <x:v>1</x:v>
      </x:c>
      <x:c r="P14" s="19" t="str">
        <x:v>仅在安全风险存在时</x:v>
      </x:c>
      <x:c r="Q14" s="19" t="str">
        <x:v>中文语义转述</x:v>
      </x:c>
      <x:c r="R14" s="19" t="str">
        <x:v>https://sreal.ucf.edu/wp-content/uploads/2021/08/ISMAR_2021_Paper__Interruptions_.pdf</x:v>
      </x:c>
      <x:c r="S14" s="19" t="str">
        <x:v>Table 1</x:v>
      </x:c>
      <x:c r="T14" s="19" t="str"/>
      <x:c r="U14" s="19" t="str"/>
    </x:row>
    <x:row r="15" ht="47" customHeight="1">
      <x:c r="A15" s="19" t="str">
        <x:v>未决定</x:v>
      </x:c>
      <x:c r="B15" s="19" t="str">
        <x:v>A-直接</x:v>
      </x:c>
      <x:c r="C15" s="19" t="str">
        <x:v>跨现实交互</x:v>
      </x:c>
      <x:c r="D15" s="19" t="str">
        <x:v>Cross-Reality Interaction Questionnaire (CRIQ)</x:v>
      </x:c>
      <x:c r="E15" s="19" t="str">
        <x:v>2021</x:v>
      </x:c>
      <x:c r="F15" s="19" t="str">
        <x:v>General</x:v>
      </x:c>
      <x:c r="G15" s="19" t="str">
        <x:v>G7</x:v>
      </x:c>
      <x:c r="H15" s="19" t="str">
        <x:v>交互过程中你感到多大程度的舒适？</x:v>
      </x:c>
      <x:c r="I15" s="19" t="str"/>
      <x:c r="J15" s="19" t="str">
        <x:v>正向</x:v>
      </x:c>
      <x:c r="K15" s="19" t="str">
        <x:v>7点：1完全没有–7非常强烈</x:v>
      </x:c>
      <x:c r="L15" s="19" t="str">
        <x:v>研究自建；有初步内部一致性</x:v>
      </x:c>
      <x:c r="M15" s="19" t="str">
        <x:v>总体</x:v>
      </x:c>
      <x:c r="N15" s="19" t="str">
        <x:v>舒适度</x:v>
      </x:c>
      <x:c r="O15" s="19" t="n">
        <x:v>1</x:v>
      </x:c>
      <x:c r="P15" s="19" t="str">
        <x:v>控制变量</x:v>
      </x:c>
      <x:c r="Q15" s="19" t="str">
        <x:v>中文语义转述</x:v>
      </x:c>
      <x:c r="R15" s="19" t="str">
        <x:v>https://sreal.ucf.edu/wp-content/uploads/2021/08/ISMAR_2021_Paper__Interruptions_.pdf</x:v>
      </x:c>
      <x:c r="S15" s="19" t="str">
        <x:v>Table 1</x:v>
      </x:c>
      <x:c r="T15" s="19" t="str"/>
      <x:c r="U15" s="19" t="str"/>
    </x:row>
    <x:row r="16" ht="47" customHeight="1">
      <x:c r="A16" s="19" t="str">
        <x:v>未决定</x:v>
      </x:c>
      <x:c r="B16" s="19" t="str">
        <x:v>A-直接</x:v>
      </x:c>
      <x:c r="C16" s="19" t="str">
        <x:v>跨现实交互</x:v>
      </x:c>
      <x:c r="D16" s="19" t="str">
        <x:v>Cross-Reality Interaction Questionnaire (CRIQ)</x:v>
      </x:c>
      <x:c r="E16" s="19" t="str">
        <x:v>2021</x:v>
      </x:c>
      <x:c r="F16" s="19" t="str">
        <x:v>Awareness</x:v>
      </x:c>
      <x:c r="G16" s="19" t="str">
        <x:v>A1</x:v>
      </x:c>
      <x:c r="H16" s="19" t="str">
        <x:v>交互过程中，你对虚拟环境或虚拟实体有多强的觉察？</x:v>
      </x:c>
      <x:c r="I16" s="19" t="str"/>
      <x:c r="J16" s="19" t="str">
        <x:v>正向</x:v>
      </x:c>
      <x:c r="K16" s="19" t="str">
        <x:v>7点：1完全没有–7非常强烈</x:v>
      </x:c>
      <x:c r="L16" s="19" t="str">
        <x:v>研究自建；有初步内部一致性</x:v>
      </x:c>
      <x:c r="M16" s="19" t="str">
        <x:v>总体</x:v>
      </x:c>
      <x:c r="N16" s="19" t="str">
        <x:v>虚拟环境觉察</x:v>
      </x:c>
      <x:c r="O16" s="19" t="n">
        <x:v>1</x:v>
      </x:c>
      <x:c r="P16" s="19" t="str">
        <x:v>低优先级</x:v>
      </x:c>
      <x:c r="Q16" s="19" t="str">
        <x:v>中文语义转述</x:v>
      </x:c>
      <x:c r="R16" s="19" t="str">
        <x:v>https://sreal.ucf.edu/wp-content/uploads/2021/08/ISMAR_2021_Paper__Interruptions_.pdf</x:v>
      </x:c>
      <x:c r="S16" s="19" t="str">
        <x:v>Table 1</x:v>
      </x:c>
      <x:c r="T16" s="19" t="str"/>
      <x:c r="U16" s="19" t="str"/>
    </x:row>
    <x:row r="17" ht="47" customHeight="1">
      <x:c r="A17" s="19" t="str">
        <x:v>未决定</x:v>
      </x:c>
      <x:c r="B17" s="19" t="str">
        <x:v>A-直接</x:v>
      </x:c>
      <x:c r="C17" s="19" t="str">
        <x:v>跨现实交互</x:v>
      </x:c>
      <x:c r="D17" s="19" t="str">
        <x:v>Cross-Reality Interaction Questionnaire (CRIQ)</x:v>
      </x:c>
      <x:c r="E17" s="19" t="str">
        <x:v>2021</x:v>
      </x:c>
      <x:c r="F17" s="19" t="str">
        <x:v>Awareness</x:v>
      </x:c>
      <x:c r="G17" s="19" t="str">
        <x:v>A2</x:v>
      </x:c>
      <x:c r="H17" s="19" t="str">
        <x:v>交互过程中，你对物理环境或实体有多强的觉察？</x:v>
      </x:c>
      <x:c r="I17" s="19" t="str"/>
      <x:c r="J17" s="19" t="str">
        <x:v>原研究反向</x:v>
      </x:c>
      <x:c r="K17" s="19" t="str">
        <x:v>7点：1完全没有–7非常强烈</x:v>
      </x:c>
      <x:c r="L17" s="19" t="str">
        <x:v>研究自建；有初步内部一致性</x:v>
      </x:c>
      <x:c r="M17" s="19" t="str">
        <x:v>总体</x:v>
      </x:c>
      <x:c r="N17" s="19" t="str">
        <x:v>物理环境觉察</x:v>
      </x:c>
      <x:c r="O17" s="19" t="n">
        <x:v>1</x:v>
      </x:c>
      <x:c r="P17" s="19" t="str">
        <x:v>低优先级</x:v>
      </x:c>
      <x:c r="Q17" s="19" t="str">
        <x:v>中文语义转述</x:v>
      </x:c>
      <x:c r="R17" s="19" t="str">
        <x:v>https://sreal.ucf.edu/wp-content/uploads/2021/08/ISMAR_2021_Paper__Interruptions_.pdf</x:v>
      </x:c>
      <x:c r="S17" s="19" t="str">
        <x:v>Table 1</x:v>
      </x:c>
      <x:c r="T17" s="19" t="str"/>
      <x:c r="U17" s="19" t="str"/>
    </x:row>
    <x:row r="18" ht="47" customHeight="1">
      <x:c r="A18" s="19" t="str">
        <x:v>未决定</x:v>
      </x:c>
      <x:c r="B18" s="19" t="str">
        <x:v>A-直接</x:v>
      </x:c>
      <x:c r="C18" s="19" t="str">
        <x:v>跨现实交互</x:v>
      </x:c>
      <x:c r="D18" s="19" t="str">
        <x:v>Cross-Reality Interaction Questionnaire (CRIQ)</x:v>
      </x:c>
      <x:c r="E18" s="19" t="str">
        <x:v>2021</x:v>
      </x:c>
      <x:c r="F18" s="19" t="str">
        <x:v>Behavioral Influence</x:v>
      </x:c>
      <x:c r="G18" s="19" t="str">
        <x:v>BI1</x:v>
      </x:c>
      <x:c r="H18" s="19" t="str">
        <x:v>交互过程中，你的行为受到虚拟环境或实体影响的程度有多大？</x:v>
      </x:c>
      <x:c r="I18" s="19" t="str"/>
      <x:c r="J18" s="19" t="str">
        <x:v>正向</x:v>
      </x:c>
      <x:c r="K18" s="19" t="str">
        <x:v>7点：1完全没有–7非常强烈</x:v>
      </x:c>
      <x:c r="L18" s="19" t="str">
        <x:v>研究自建；有初步内部一致性</x:v>
      </x:c>
      <x:c r="M18" s="19" t="str">
        <x:v>总体</x:v>
      </x:c>
      <x:c r="N18" s="19" t="str">
        <x:v>行为影响</x:v>
      </x:c>
      <x:c r="O18" s="19" t="n">
        <x:v>1</x:v>
      </x:c>
      <x:c r="P18" s="19" t="str">
        <x:v>低优先级</x:v>
      </x:c>
      <x:c r="Q18" s="19" t="str">
        <x:v>中文语义转述</x:v>
      </x:c>
      <x:c r="R18" s="19" t="str">
        <x:v>https://sreal.ucf.edu/wp-content/uploads/2021/08/ISMAR_2021_Paper__Interruptions_.pdf</x:v>
      </x:c>
      <x:c r="S18" s="19" t="str">
        <x:v>Table 1</x:v>
      </x:c>
      <x:c r="T18" s="19" t="str"/>
      <x:c r="U18" s="19" t="str"/>
    </x:row>
    <x:row r="19" ht="47" customHeight="1">
      <x:c r="A19" s="19" t="str">
        <x:v>未决定</x:v>
      </x:c>
      <x:c r="B19" s="19" t="str">
        <x:v>A-直接</x:v>
      </x:c>
      <x:c r="C19" s="19" t="str">
        <x:v>跨现实交互</x:v>
      </x:c>
      <x:c r="D19" s="19" t="str">
        <x:v>Cross-Reality Interaction Questionnaire (CRIQ)</x:v>
      </x:c>
      <x:c r="E19" s="19" t="str">
        <x:v>2021</x:v>
      </x:c>
      <x:c r="F19" s="19" t="str">
        <x:v>Behavioral Influence</x:v>
      </x:c>
      <x:c r="G19" s="19" t="str">
        <x:v>BI2</x:v>
      </x:c>
      <x:c r="H19" s="19" t="str">
        <x:v>交互过程中，你的行为受到物理环境或实体影响的程度有多大？</x:v>
      </x:c>
      <x:c r="I19" s="19" t="str"/>
      <x:c r="J19" s="19" t="str">
        <x:v>原研究反向</x:v>
      </x:c>
      <x:c r="K19" s="19" t="str">
        <x:v>7点：1完全没有–7非常强烈</x:v>
      </x:c>
      <x:c r="L19" s="19" t="str">
        <x:v>研究自建；有初步内部一致性</x:v>
      </x:c>
      <x:c r="M19" s="19" t="str">
        <x:v>总体</x:v>
      </x:c>
      <x:c r="N19" s="19" t="str">
        <x:v>行为影响</x:v>
      </x:c>
      <x:c r="O19" s="19" t="n">
        <x:v>1</x:v>
      </x:c>
      <x:c r="P19" s="19" t="str">
        <x:v>低优先级</x:v>
      </x:c>
      <x:c r="Q19" s="19" t="str">
        <x:v>中文语义转述</x:v>
      </x:c>
      <x:c r="R19" s="19" t="str">
        <x:v>https://sreal.ucf.edu/wp-content/uploads/2021/08/ISMAR_2021_Paper__Interruptions_.pdf</x:v>
      </x:c>
      <x:c r="S19" s="19" t="str">
        <x:v>Table 1</x:v>
      </x:c>
      <x:c r="T19" s="19" t="str"/>
      <x:c r="U19" s="19" t="str"/>
    </x:row>
    <x:row r="20" ht="47" customHeight="1">
      <x:c r="A20" s="19" t="str">
        <x:v>未决定</x:v>
      </x:c>
      <x:c r="B20" s="19" t="str">
        <x:v>A-直接</x:v>
      </x:c>
      <x:c r="C20" s="19" t="str">
        <x:v>跨现实交互</x:v>
      </x:c>
      <x:c r="D20" s="19" t="str">
        <x:v>Cross-Reality Interaction Questionnaire (CRIQ)</x:v>
      </x:c>
      <x:c r="E20" s="19" t="str">
        <x:v>2021</x:v>
      </x:c>
      <x:c r="F20" s="19" t="str">
        <x:v>Plausibility Illusion</x:v>
      </x:c>
      <x:c r="G20" s="19" t="str">
        <x:v>PSI1</x:v>
      </x:c>
      <x:c r="H20" s="19" t="str">
        <x:v>这次交互在多大程度上让你觉得合理、可信且符合情境？</x:v>
      </x:c>
      <x:c r="I20" s="19" t="str"/>
      <x:c r="J20" s="19" t="str">
        <x:v>正向</x:v>
      </x:c>
      <x:c r="K20" s="19" t="str">
        <x:v>7点：1完全没有–7非常强烈</x:v>
      </x:c>
      <x:c r="L20" s="19" t="str">
        <x:v>研究自建；有初步内部一致性</x:v>
      </x:c>
      <x:c r="M20" s="19" t="str">
        <x:v>总体</x:v>
      </x:c>
      <x:c r="N20" s="19" t="str">
        <x:v>合理性；plausibility</x:v>
      </x:c>
      <x:c r="O20" s="19" t="n">
        <x:v>3</x:v>
      </x:c>
      <x:c r="P20" s="19" t="str">
        <x:v>直接候选</x:v>
      </x:c>
      <x:c r="Q20" s="19" t="str">
        <x:v>中文语义转述</x:v>
      </x:c>
      <x:c r="R20" s="19" t="str">
        <x:v>https://sreal.ucf.edu/wp-content/uploads/2021/08/ISMAR_2021_Paper__Interruptions_.pdf</x:v>
      </x:c>
      <x:c r="S20" s="19" t="str">
        <x:v>Table 1</x:v>
      </x:c>
      <x:c r="T20" s="19" t="str"/>
      <x:c r="U20" s="19" t="str"/>
    </x:row>
    <x:row r="21" ht="47" customHeight="1">
      <x:c r="A21" s="19" t="str">
        <x:v>未决定</x:v>
      </x:c>
      <x:c r="B21" s="19" t="str">
        <x:v>A-直接</x:v>
      </x:c>
      <x:c r="C21" s="19" t="str">
        <x:v>跨现实交互</x:v>
      </x:c>
      <x:c r="D21" s="19" t="str">
        <x:v>Cross-Reality Interaction Questionnaire (CRIQ)</x:v>
      </x:c>
      <x:c r="E21" s="19" t="str">
        <x:v>2021</x:v>
      </x:c>
      <x:c r="F21" s="19" t="str">
        <x:v>Plausibility Illusion</x:v>
      </x:c>
      <x:c r="G21" s="19" t="str">
        <x:v>PSI2</x:v>
      </x:c>
      <x:c r="H21" s="19" t="str">
        <x:v>你在多大程度上感到物理环境与虚拟环境之间的交互是同步的？</x:v>
      </x:c>
      <x:c r="I21" s="19" t="str"/>
      <x:c r="J21" s="19" t="str">
        <x:v>正向</x:v>
      </x:c>
      <x:c r="K21" s="19" t="str">
        <x:v>7点：1完全没有–7非常强烈</x:v>
      </x:c>
      <x:c r="L21" s="19" t="str">
        <x:v>研究自建；有初步内部一致性</x:v>
      </x:c>
      <x:c r="M21" s="19" t="str">
        <x:v>运动/总体</x:v>
      </x:c>
      <x:c r="N21" s="19" t="str">
        <x:v>同步性；时序一致</x:v>
      </x:c>
      <x:c r="O21" s="19" t="n">
        <x:v>3</x:v>
      </x:c>
      <x:c r="P21" s="19" t="str">
        <x:v>直接候选</x:v>
      </x:c>
      <x:c r="Q21" s="19" t="str">
        <x:v>中文语义转述</x:v>
      </x:c>
      <x:c r="R21" s="19" t="str">
        <x:v>https://sreal.ucf.edu/wp-content/uploads/2021/08/ISMAR_2021_Paper__Interruptions_.pdf</x:v>
      </x:c>
      <x:c r="S21" s="19" t="str">
        <x:v>Table 1</x:v>
      </x:c>
      <x:c r="T21" s="19" t="str"/>
      <x:c r="U21" s="19" t="str"/>
    </x:row>
    <x:row r="22" ht="47" customHeight="1">
      <x:c r="A22" s="19" t="str">
        <x:v>未决定</x:v>
      </x:c>
      <x:c r="B22" s="19" t="str">
        <x:v>A-直接</x:v>
      </x:c>
      <x:c r="C22" s="19" t="str">
        <x:v>跨现实交互</x:v>
      </x:c>
      <x:c r="D22" s="19" t="str">
        <x:v>Cross-Reality Interaction Questionnaire (CRIQ)</x:v>
      </x:c>
      <x:c r="E22" s="19" t="str">
        <x:v>2021</x:v>
      </x:c>
      <x:c r="F22" s="19" t="str">
        <x:v>Plausibility Illusion</x:v>
      </x:c>
      <x:c r="G22" s="19" t="str">
        <x:v>PSI3</x:v>
      </x:c>
      <x:c r="H22" s="19" t="str">
        <x:v>你在多大程度上感到体验会响应你的动作，即具有交互性？</x:v>
      </x:c>
      <x:c r="I22" s="19" t="str"/>
      <x:c r="J22" s="19" t="str">
        <x:v>正向</x:v>
      </x:c>
      <x:c r="K22" s="19" t="str">
        <x:v>7点：1完全没有–7非常强烈</x:v>
      </x:c>
      <x:c r="L22" s="19" t="str">
        <x:v>研究自建；有初步内部一致性</x:v>
      </x:c>
      <x:c r="M22" s="19" t="str">
        <x:v>运动/总体</x:v>
      </x:c>
      <x:c r="N22" s="19" t="str">
        <x:v>响应性；交互反馈</x:v>
      </x:c>
      <x:c r="O22" s="19" t="n">
        <x:v>3</x:v>
      </x:c>
      <x:c r="P22" s="19" t="str">
        <x:v>直接候选</x:v>
      </x:c>
      <x:c r="Q22" s="19" t="str">
        <x:v>中文语义转述</x:v>
      </x:c>
      <x:c r="R22" s="19" t="str">
        <x:v>https://sreal.ucf.edu/wp-content/uploads/2021/08/ISMAR_2021_Paper__Interruptions_.pdf</x:v>
      </x:c>
      <x:c r="S22" s="19" t="str">
        <x:v>Table 1</x:v>
      </x:c>
      <x:c r="T22" s="19" t="str"/>
      <x:c r="U22" s="19" t="str"/>
    </x:row>
    <x:row r="23" ht="47" customHeight="1">
      <x:c r="A23" s="19" t="str">
        <x:v>未决定</x:v>
      </x:c>
      <x:c r="B23" s="19" t="str">
        <x:v>A-直接</x:v>
      </x:c>
      <x:c r="C23" s="19" t="str">
        <x:v>跨现实交互</x:v>
      </x:c>
      <x:c r="D23" s="19" t="str">
        <x:v>Cross-Reality Interaction Questionnaire (CRIQ)</x:v>
      </x:c>
      <x:c r="E23" s="19" t="str">
        <x:v>2021</x:v>
      </x:c>
      <x:c r="F23" s="19" t="str">
        <x:v>Place Illusion</x:v>
      </x:c>
      <x:c r="G23" s="19" t="str">
        <x:v>PI1</x:v>
      </x:c>
      <x:c r="H23" s="19" t="str">
        <x:v>交互前，你身处虚拟环境的感觉是否强于身处物理环境的感觉？</x:v>
      </x:c>
      <x:c r="I23" s="19" t="str"/>
      <x:c r="J23" s="19" t="str">
        <x:v>正向</x:v>
      </x:c>
      <x:c r="K23" s="19" t="str">
        <x:v>7点：1完全没有–7非常强烈</x:v>
      </x:c>
      <x:c r="L23" s="19" t="str">
        <x:v>研究自建；有初步内部一致性</x:v>
      </x:c>
      <x:c r="M23" s="19" t="str">
        <x:v>交互前</x:v>
      </x:c>
      <x:c r="N23" s="19" t="str">
        <x:v>场所幻觉</x:v>
      </x:c>
      <x:c r="O23" s="19" t="n">
        <x:v>0</x:v>
      </x:c>
      <x:c r="P23" s="19" t="str">
        <x:v>不建议</x:v>
      </x:c>
      <x:c r="Q23" s="19" t="str">
        <x:v>中文语义转述</x:v>
      </x:c>
      <x:c r="R23" s="19" t="str">
        <x:v>https://sreal.ucf.edu/wp-content/uploads/2021/08/ISMAR_2021_Paper__Interruptions_.pdf</x:v>
      </x:c>
      <x:c r="S23" s="19" t="str">
        <x:v>Table 1</x:v>
      </x:c>
      <x:c r="T23" s="19" t="str"/>
      <x:c r="U23" s="19" t="str"/>
    </x:row>
    <x:row r="24" ht="47" customHeight="1">
      <x:c r="A24" s="19" t="str">
        <x:v>未决定</x:v>
      </x:c>
      <x:c r="B24" s="19" t="str">
        <x:v>A-直接</x:v>
      </x:c>
      <x:c r="C24" s="19" t="str">
        <x:v>跨现实交互</x:v>
      </x:c>
      <x:c r="D24" s="19" t="str">
        <x:v>Cross-Reality Interaction Questionnaire (CRIQ)</x:v>
      </x:c>
      <x:c r="E24" s="19" t="str">
        <x:v>2021</x:v>
      </x:c>
      <x:c r="F24" s="19" t="str">
        <x:v>Place Illusion</x:v>
      </x:c>
      <x:c r="G24" s="19" t="str">
        <x:v>PI2</x:v>
      </x:c>
      <x:c r="H24" s="19" t="str">
        <x:v>交互期间，你身处虚拟环境的感觉是否强于身处物理环境的感觉？</x:v>
      </x:c>
      <x:c r="I24" s="19" t="str"/>
      <x:c r="J24" s="19" t="str">
        <x:v>正向</x:v>
      </x:c>
      <x:c r="K24" s="19" t="str">
        <x:v>7点：1完全没有–7非常强烈</x:v>
      </x:c>
      <x:c r="L24" s="19" t="str">
        <x:v>研究自建；有初步内部一致性</x:v>
      </x:c>
      <x:c r="M24" s="19" t="str">
        <x:v>交互中</x:v>
      </x:c>
      <x:c r="N24" s="19" t="str">
        <x:v>场所幻觉</x:v>
      </x:c>
      <x:c r="O24" s="19" t="n">
        <x:v>0</x:v>
      </x:c>
      <x:c r="P24" s="19" t="str">
        <x:v>不建议</x:v>
      </x:c>
      <x:c r="Q24" s="19" t="str">
        <x:v>中文语义转述</x:v>
      </x:c>
      <x:c r="R24" s="19" t="str">
        <x:v>https://sreal.ucf.edu/wp-content/uploads/2021/08/ISMAR_2021_Paper__Interruptions_.pdf</x:v>
      </x:c>
      <x:c r="S24" s="19" t="str">
        <x:v>Table 1</x:v>
      </x:c>
      <x:c r="T24" s="19" t="str"/>
      <x:c r="U24" s="19" t="str"/>
    </x:row>
    <x:row r="25" ht="47" customHeight="1">
      <x:c r="A25" s="19" t="str">
        <x:v>未决定</x:v>
      </x:c>
      <x:c r="B25" s="19" t="str">
        <x:v>A-直接</x:v>
      </x:c>
      <x:c r="C25" s="19" t="str">
        <x:v>跨现实交互</x:v>
      </x:c>
      <x:c r="D25" s="19" t="str">
        <x:v>Cross-Reality Interaction Questionnaire (CRIQ)</x:v>
      </x:c>
      <x:c r="E25" s="19" t="str">
        <x:v>2021</x:v>
      </x:c>
      <x:c r="F25" s="19" t="str">
        <x:v>Place Illusion</x:v>
      </x:c>
      <x:c r="G25" s="19" t="str">
        <x:v>PI3</x:v>
      </x:c>
      <x:c r="H25" s="19" t="str">
        <x:v>交互后，你身处虚拟环境的感觉是否强于身处物理环境的感觉？</x:v>
      </x:c>
      <x:c r="I25" s="19" t="str"/>
      <x:c r="J25" s="19" t="str">
        <x:v>正向</x:v>
      </x:c>
      <x:c r="K25" s="19" t="str">
        <x:v>7点：1完全没有–7非常强烈</x:v>
      </x:c>
      <x:c r="L25" s="19" t="str">
        <x:v>研究自建；有初步内部一致性</x:v>
      </x:c>
      <x:c r="M25" s="19" t="str">
        <x:v>交互后</x:v>
      </x:c>
      <x:c r="N25" s="19" t="str">
        <x:v>场所幻觉</x:v>
      </x:c>
      <x:c r="O25" s="19" t="n">
        <x:v>0</x:v>
      </x:c>
      <x:c r="P25" s="19" t="str">
        <x:v>不建议</x:v>
      </x:c>
      <x:c r="Q25" s="19" t="str">
        <x:v>中文语义转述</x:v>
      </x:c>
      <x:c r="R25" s="19" t="str">
        <x:v>https://sreal.ucf.edu/wp-content/uploads/2021/08/ISMAR_2021_Paper__Interruptions_.pdf</x:v>
      </x:c>
      <x:c r="S25" s="19" t="str">
        <x:v>Table 1</x:v>
      </x:c>
      <x:c r="T25" s="19" t="str"/>
      <x:c r="U25" s="19" t="str"/>
    </x:row>
    <x:row r="26" ht="47" customHeight="1">
      <x:c r="A26" s="19" t="str">
        <x:v>未决定</x:v>
      </x:c>
      <x:c r="B26" s="19" t="str">
        <x:v>A-直接</x:v>
      </x:c>
      <x:c r="C26" s="19" t="str">
        <x:v>AR对象存在感</x:v>
      </x:c>
      <x:c r="D26" s="19" t="str">
        <x:v>AR Presence Questionnaire</x:v>
      </x:c>
      <x:c r="E26" s="19" t="str">
        <x:v>2002/2021公开稿</x:v>
      </x:c>
      <x:c r="F26" s="19" t="str">
        <x:v>Realness</x:v>
      </x:c>
      <x:c r="G26" s="19" t="str">
        <x:v>P2</x:v>
      </x:c>
      <x:c r="H26" s="19" t="str">
        <x:v>虚拟对象看起来像真实对象的一部分，而不是与真实对象分离的图像。</x:v>
      </x:c>
      <x:c r="I26" s="19" t="str"/>
      <x:c r="J26" s="19" t="str">
        <x:v>正向</x:v>
      </x:c>
      <x:c r="K26" s="19" t="str">
        <x:v>7点；条目特定双极端点</x:v>
      </x:c>
      <x:c r="L26" s="19" t="str">
        <x:v>早期验证/探索性因子分析</x:v>
      </x:c>
      <x:c r="M26" s="19" t="str">
        <x:v>静止/总体</x:v>
      </x:c>
      <x:c r="N26" s="19" t="str">
        <x:v>对象归属感；注册一致</x:v>
      </x:c>
      <x:c r="O26" s="19" t="n">
        <x:v>3</x:v>
      </x:c>
      <x:c r="P26" s="19" t="str">
        <x:v>直接候选</x:v>
      </x:c>
      <x:c r="Q26" s="19" t="str">
        <x:v>中文语义转述</x:v>
      </x:c>
      <x:c r="R26" s="19" t="str">
        <x:v>https://www.hci.otago.ac.nz/papers/RegenbrechtarXiv2021.pdf</x:v>
      </x:c>
      <x:c r="S26" s="19" t="str">
        <x:v>Questionnaire/factor table</x:v>
      </x:c>
      <x:c r="T26" s="19" t="str"/>
      <x:c r="U26" s="19" t="str"/>
    </x:row>
    <x:row r="27" ht="47" customHeight="1">
      <x:c r="A27" s="19" t="str">
        <x:v>未决定</x:v>
      </x:c>
      <x:c r="B27" s="19" t="str">
        <x:v>A-直接</x:v>
      </x:c>
      <x:c r="C27" s="19" t="str">
        <x:v>AR对象存在感</x:v>
      </x:c>
      <x:c r="D27" s="19" t="str">
        <x:v>AR Presence Questionnaire</x:v>
      </x:c>
      <x:c r="E27" s="19" t="str">
        <x:v>2002/2021公开稿</x:v>
      </x:c>
      <x:c r="F27" s="19" t="str">
        <x:v>Realness</x:v>
      </x:c>
      <x:c r="G27" s="19" t="str">
        <x:v>P3</x:v>
      </x:c>
      <x:c r="H27" s="19" t="str">
        <x:v>观察虚拟对象是否像观察现实世界中的对象一样自然。</x:v>
      </x:c>
      <x:c r="I27" s="19" t="str"/>
      <x:c r="J27" s="19" t="str">
        <x:v>正向</x:v>
      </x:c>
      <x:c r="K27" s="19" t="str">
        <x:v>7点；条目特定双极端点</x:v>
      </x:c>
      <x:c r="L27" s="19" t="str">
        <x:v>早期验证/探索性因子分析</x:v>
      </x:c>
      <x:c r="M27" s="19" t="str">
        <x:v>静止/总体</x:v>
      </x:c>
      <x:c r="N27" s="19" t="str">
        <x:v>自然性；感知融合</x:v>
      </x:c>
      <x:c r="O27" s="19" t="n">
        <x:v>3</x:v>
      </x:c>
      <x:c r="P27" s="19" t="str">
        <x:v>直接候选</x:v>
      </x:c>
      <x:c r="Q27" s="19" t="str">
        <x:v>中文语义转述</x:v>
      </x:c>
      <x:c r="R27" s="19" t="str">
        <x:v>https://www.hci.otago.ac.nz/papers/RegenbrechtarXiv2021.pdf</x:v>
      </x:c>
      <x:c r="S27" s="19" t="str">
        <x:v>Questionnaire/factor table</x:v>
      </x:c>
      <x:c r="T27" s="19" t="str"/>
      <x:c r="U27" s="19" t="str"/>
    </x:row>
    <x:row r="28" ht="47" customHeight="1">
      <x:c r="A28" s="19" t="str">
        <x:v>未决定</x:v>
      </x:c>
      <x:c r="B28" s="19" t="str">
        <x:v>A-直接</x:v>
      </x:c>
      <x:c r="C28" s="19" t="str">
        <x:v>AR对象存在感</x:v>
      </x:c>
      <x:c r="D28" s="19" t="str">
        <x:v>AR Presence Questionnaire</x:v>
      </x:c>
      <x:c r="E28" s="19" t="str">
        <x:v>2002/2021公开稿</x:v>
      </x:c>
      <x:c r="F28" s="19" t="str">
        <x:v>Spatial Presence</x:v>
      </x:c>
      <x:c r="G28" s="19" t="str">
        <x:v>P4</x:v>
      </x:c>
      <x:c r="H28" s="19" t="str">
        <x:v>你是否感觉自己能够触摸或抓取虚拟对象。</x:v>
      </x:c>
      <x:c r="I28" s="19" t="str"/>
      <x:c r="J28" s="19" t="str">
        <x:v>正向</x:v>
      </x:c>
      <x:c r="K28" s="19" t="str">
        <x:v>7点；条目特定双极端点</x:v>
      </x:c>
      <x:c r="L28" s="19" t="str">
        <x:v>早期验证/探索性因子分析</x:v>
      </x:c>
      <x:c r="M28" s="19" t="str">
        <x:v>交互</x:v>
      </x:c>
      <x:c r="N28" s="19" t="str">
        <x:v>对象可达性；空间共置</x:v>
      </x:c>
      <x:c r="O28" s="19" t="n">
        <x:v>2</x:v>
      </x:c>
      <x:c r="P28" s="19" t="str">
        <x:v>改编候选</x:v>
      </x:c>
      <x:c r="Q28" s="19" t="str">
        <x:v>中文语义转述</x:v>
      </x:c>
      <x:c r="R28" s="19" t="str">
        <x:v>https://www.hci.otago.ac.nz/papers/RegenbrechtarXiv2021.pdf</x:v>
      </x:c>
      <x:c r="S28" s="19" t="str">
        <x:v>Questionnaire/factor table</x:v>
      </x:c>
      <x:c r="T28" s="19" t="str"/>
      <x:c r="U28" s="19" t="str"/>
    </x:row>
    <x:row r="29" ht="47" customHeight="1">
      <x:c r="A29" s="19" t="str">
        <x:v>未决定</x:v>
      </x:c>
      <x:c r="B29" s="19" t="str">
        <x:v>A-直接</x:v>
      </x:c>
      <x:c r="C29" s="19" t="str">
        <x:v>AR对象存在感</x:v>
      </x:c>
      <x:c r="D29" s="19" t="str">
        <x:v>AR Presence Questionnaire</x:v>
      </x:c>
      <x:c r="E29" s="19" t="str">
        <x:v>2002/2021公开稿</x:v>
      </x:c>
      <x:c r="F29" s="19" t="str">
        <x:v>Spatial Presence</x:v>
      </x:c>
      <x:c r="G29" s="19" t="str">
        <x:v>P5</x:v>
      </x:c>
      <x:c r="H29" s="19" t="str">
        <x:v>虚拟对象更像显示在屏幕上，还是确实位于三维空间中。</x:v>
      </x:c>
      <x:c r="I29" s="19" t="str"/>
      <x:c r="J29" s="19" t="str">
        <x:v>正向</x:v>
      </x:c>
      <x:c r="K29" s="19" t="str">
        <x:v>7点；条目特定双极端点</x:v>
      </x:c>
      <x:c r="L29" s="19" t="str">
        <x:v>早期验证/探索性因子分析</x:v>
      </x:c>
      <x:c r="M29" s="19" t="str">
        <x:v>静止</x:v>
      </x:c>
      <x:c r="N29" s="19" t="str">
        <x:v>空间定位；共置</x:v>
      </x:c>
      <x:c r="O29" s="19" t="n">
        <x:v>3</x:v>
      </x:c>
      <x:c r="P29" s="19" t="str">
        <x:v>直接候选</x:v>
      </x:c>
      <x:c r="Q29" s="19" t="str">
        <x:v>中文语义转述</x:v>
      </x:c>
      <x:c r="R29" s="19" t="str">
        <x:v>https://www.hci.otago.ac.nz/papers/RegenbrechtarXiv2021.pdf</x:v>
      </x:c>
      <x:c r="S29" s="19" t="str">
        <x:v>Questionnaire/factor table</x:v>
      </x:c>
      <x:c r="T29" s="19" t="str"/>
      <x:c r="U29" s="19" t="str"/>
    </x:row>
    <x:row r="30" ht="47" customHeight="1">
      <x:c r="A30" s="19" t="str">
        <x:v>未决定</x:v>
      </x:c>
      <x:c r="B30" s="19" t="str">
        <x:v>A-直接</x:v>
      </x:c>
      <x:c r="C30" s="19" t="str">
        <x:v>AR对象存在感</x:v>
      </x:c>
      <x:c r="D30" s="19" t="str">
        <x:v>AR Presence Questionnaire</x:v>
      </x:c>
      <x:c r="E30" s="19" t="str">
        <x:v>2002/2021公开稿</x:v>
      </x:c>
      <x:c r="F30" s="19" t="str">
        <x:v>Spatial Presence</x:v>
      </x:c>
      <x:c r="G30" s="19" t="str">
        <x:v>P6</x:v>
      </x:c>
      <x:c r="H30" s="19" t="str">
        <x:v>虚拟对象更像平面图像，还是具有真实的三维体积。</x:v>
      </x:c>
      <x:c r="I30" s="19" t="str"/>
      <x:c r="J30" s="19" t="str">
        <x:v>正向</x:v>
      </x:c>
      <x:c r="K30" s="19" t="str">
        <x:v>7点；条目特定双极端点</x:v>
      </x:c>
      <x:c r="L30" s="19" t="str">
        <x:v>早期验证/探索性因子分析</x:v>
      </x:c>
      <x:c r="M30" s="19" t="str">
        <x:v>静止</x:v>
      </x:c>
      <x:c r="N30" s="19" t="str">
        <x:v>3D真实性</x:v>
      </x:c>
      <x:c r="O30" s="19" t="n">
        <x:v>1</x:v>
      </x:c>
      <x:c r="P30" s="19" t="str">
        <x:v>低优先级</x:v>
      </x:c>
      <x:c r="Q30" s="19" t="str">
        <x:v>中文语义转述</x:v>
      </x:c>
      <x:c r="R30" s="19" t="str">
        <x:v>https://www.hci.otago.ac.nz/papers/RegenbrechtarXiv2021.pdf</x:v>
      </x:c>
      <x:c r="S30" s="19" t="str">
        <x:v>Questionnaire/factor table</x:v>
      </x:c>
      <x:c r="T30" s="19" t="str"/>
      <x:c r="U30" s="19" t="str"/>
    </x:row>
    <x:row r="31" ht="47" customHeight="1">
      <x:c r="A31" s="19" t="str">
        <x:v>未决定</x:v>
      </x:c>
      <x:c r="B31" s="19" t="str">
        <x:v>A-直接</x:v>
      </x:c>
      <x:c r="C31" s="19" t="str">
        <x:v>AR对象存在感</x:v>
      </x:c>
      <x:c r="D31" s="19" t="str">
        <x:v>AR Presence Questionnaire</x:v>
      </x:c>
      <x:c r="E31" s="19" t="str">
        <x:v>2002/2021公开稿</x:v>
      </x:c>
      <x:c r="F31" s="19" t="str">
        <x:v>Perceptual Stress</x:v>
      </x:c>
      <x:c r="G31" s="19" t="str">
        <x:v>P7</x:v>
      </x:c>
      <x:c r="H31" s="19" t="str">
        <x:v>你有多注意真实对象与虚拟对象之间的差异。</x:v>
      </x:c>
      <x:c r="I31" s="19" t="str"/>
      <x:c r="J31" s="19" t="str">
        <x:v>正向</x:v>
      </x:c>
      <x:c r="K31" s="19" t="str">
        <x:v>7点；条目特定双极端点</x:v>
      </x:c>
      <x:c r="L31" s="19" t="str">
        <x:v>早期验证/探索性因子分析</x:v>
      </x:c>
      <x:c r="M31" s="19" t="str">
        <x:v>总体</x:v>
      </x:c>
      <x:c r="N31" s="19" t="str">
        <x:v>不一致显著性；视觉冲突</x:v>
      </x:c>
      <x:c r="O31" s="19" t="n">
        <x:v>3</x:v>
      </x:c>
      <x:c r="P31" s="19" t="str">
        <x:v>直接候选</x:v>
      </x:c>
      <x:c r="Q31" s="19" t="str">
        <x:v>中文语义转述</x:v>
      </x:c>
      <x:c r="R31" s="19" t="str">
        <x:v>https://www.hci.otago.ac.nz/papers/RegenbrechtarXiv2021.pdf</x:v>
      </x:c>
      <x:c r="S31" s="19" t="str">
        <x:v>Questionnaire/factor table</x:v>
      </x:c>
      <x:c r="T31" s="19" t="str"/>
      <x:c r="U31" s="19" t="str"/>
    </x:row>
    <x:row r="32" ht="47" customHeight="1">
      <x:c r="A32" s="19" t="str">
        <x:v>未决定</x:v>
      </x:c>
      <x:c r="B32" s="19" t="str">
        <x:v>A-直接</x:v>
      </x:c>
      <x:c r="C32" s="19" t="str">
        <x:v>AR对象存在感</x:v>
      </x:c>
      <x:c r="D32" s="19" t="str">
        <x:v>AR Presence Questionnaire</x:v>
      </x:c>
      <x:c r="E32" s="19" t="str">
        <x:v>2002/2021公开稿</x:v>
      </x:c>
      <x:c r="F32" s="19" t="str">
        <x:v>Perceptual Stress</x:v>
      </x:c>
      <x:c r="G32" s="19" t="str">
        <x:v>P8</x:v>
      </x:c>
      <x:c r="H32" s="19" t="str">
        <x:v>辨认虚拟对象的三维形态需要多大努力。</x:v>
      </x:c>
      <x:c r="I32" s="19" t="str"/>
      <x:c r="J32" s="19" t="str">
        <x:v>正向</x:v>
      </x:c>
      <x:c r="K32" s="19" t="str">
        <x:v>7点；条目特定双极端点</x:v>
      </x:c>
      <x:c r="L32" s="19" t="str">
        <x:v>早期验证/探索性因子分析</x:v>
      </x:c>
      <x:c r="M32" s="19" t="str">
        <x:v>静止</x:v>
      </x:c>
      <x:c r="N32" s="19" t="str">
        <x:v>感知负担；辨识困难</x:v>
      </x:c>
      <x:c r="O32" s="19" t="n">
        <x:v>1</x:v>
      </x:c>
      <x:c r="P32" s="19" t="str">
        <x:v>低优先级</x:v>
      </x:c>
      <x:c r="Q32" s="19" t="str">
        <x:v>中文语义转述</x:v>
      </x:c>
      <x:c r="R32" s="19" t="str">
        <x:v>https://www.hci.otago.ac.nz/papers/RegenbrechtarXiv2021.pdf</x:v>
      </x:c>
      <x:c r="S32" s="19" t="str">
        <x:v>Questionnaire/factor table</x:v>
      </x:c>
      <x:c r="T32" s="19" t="str"/>
      <x:c r="U32" s="19" t="str"/>
    </x:row>
    <x:row r="33" ht="47" customHeight="1">
      <x:c r="A33" s="19" t="str">
        <x:v>未决定</x:v>
      </x:c>
      <x:c r="B33" s="19" t="str">
        <x:v>A-直接</x:v>
      </x:c>
      <x:c r="C33" s="19" t="str">
        <x:v>MR/AR存在感与合理性</x:v>
      </x:c>
      <x:c r="D33" s="19" t="str">
        <x:v>Holistic Presence Questionnaire (HPQ)</x:v>
      </x:c>
      <x:c r="E33" s="19" t="str">
        <x:v>2021</x:v>
      </x:c>
      <x:c r="F33" s="19" t="str">
        <x:v>Sensory/Fidelity</x:v>
      </x:c>
      <x:c r="G33" s="19" t="str">
        <x:v>HPQ1</x:v>
      </x:c>
      <x:c r="H33" s="19" t="str">
        <x:v>所呈现的环境感觉自然。</x:v>
      </x:c>
      <x:c r="I33" s="19" t="str">
        <x:v>The represented environment feels natural.</x:v>
      </x:c>
      <x:c r="J33" s="19" t="str">
        <x:v>正向</x:v>
      </x:c>
      <x:c r="K33" s="19" t="str">
        <x:v>7点同意度（原文建议）</x:v>
      </x:c>
      <x:c r="L33" s="19" t="str">
        <x:v>内容/表面效度；需进一步验证</x:v>
      </x:c>
      <x:c r="M33" s="19" t="str">
        <x:v>总体</x:v>
      </x:c>
      <x:c r="N33" s="19" t="str">
        <x:v>感知保真；抖动与延迟干扰</x:v>
      </x:c>
      <x:c r="O33" s="19" t="n">
        <x:v>3</x:v>
      </x:c>
      <x:c r="P33" s="19" t="str">
        <x:v>直接候选/可对象化</x:v>
      </x:c>
      <x:c r="Q33" s="19" t="str">
        <x:v>CC BY 4.0公开原文+中文翻译</x:v>
      </x:c>
      <x:c r="R33" s="19" t="str">
        <x:v>https://research.utwente.nl/files/275269288/ToetMioch2021.pdf</x:v>
      </x:c>
      <x:c r="S33" s="19" t="str">
        <x:v>10.31234/osf.io/gvkwx, Table 1</x:v>
      </x:c>
      <x:c r="T33" s="19" t="str"/>
      <x:c r="U33" s="19" t="str"/>
    </x:row>
    <x:row r="34" ht="47" customHeight="1">
      <x:c r="A34" s="19" t="str">
        <x:v>未决定</x:v>
      </x:c>
      <x:c r="B34" s="19" t="str">
        <x:v>A-直接</x:v>
      </x:c>
      <x:c r="C34" s="19" t="str">
        <x:v>MR/AR存在感与合理性</x:v>
      </x:c>
      <x:c r="D34" s="19" t="str">
        <x:v>Holistic Presence Questionnaire (HPQ)</x:v>
      </x:c>
      <x:c r="E34" s="19" t="str">
        <x:v>2021</x:v>
      </x:c>
      <x:c r="F34" s="19" t="str">
        <x:v>Emotional/Internal plausibility</x:v>
      </x:c>
      <x:c r="G34" s="19" t="str">
        <x:v>HPQ2</x:v>
      </x:c>
      <x:c r="H34" s="19" t="str">
        <x:v>我的感受彼此一致，并与所呈现的环境相符合。</x:v>
      </x:c>
      <x:c r="I34" s="19" t="str">
        <x:v>My sensations are consistent and agree with the represented environment.</x:v>
      </x:c>
      <x:c r="J34" s="19" t="str">
        <x:v>正向</x:v>
      </x:c>
      <x:c r="K34" s="19" t="str">
        <x:v>7点同意度（原文建议）</x:v>
      </x:c>
      <x:c r="L34" s="19" t="str">
        <x:v>内容/表面效度；需进一步验证</x:v>
      </x:c>
      <x:c r="M34" s="19" t="str">
        <x:v>总体</x:v>
      </x:c>
      <x:c r="N34" s="19" t="str">
        <x:v>内部一致性；多感官一致</x:v>
      </x:c>
      <x:c r="O34" s="19" t="n">
        <x:v>2</x:v>
      </x:c>
      <x:c r="P34" s="19" t="str">
        <x:v>改编候选</x:v>
      </x:c>
      <x:c r="Q34" s="19" t="str">
        <x:v>CC BY 4.0公开原文+中文翻译</x:v>
      </x:c>
      <x:c r="R34" s="19" t="str">
        <x:v>https://research.utwente.nl/files/275269288/ToetMioch2021.pdf</x:v>
      </x:c>
      <x:c r="S34" s="19" t="str">
        <x:v>10.31234/osf.io/gvkwx, Table 1</x:v>
      </x:c>
      <x:c r="T34" s="19" t="str"/>
      <x:c r="U34" s="19" t="str"/>
    </x:row>
    <x:row r="35" ht="47" customHeight="1">
      <x:c r="A35" s="19" t="str">
        <x:v>未决定</x:v>
      </x:c>
      <x:c r="B35" s="19" t="str">
        <x:v>A-直接</x:v>
      </x:c>
      <x:c r="C35" s="19" t="str">
        <x:v>MR/AR存在感与合理性</x:v>
      </x:c>
      <x:c r="D35" s="19" t="str">
        <x:v>Holistic Presence Questionnaire (HPQ)</x:v>
      </x:c>
      <x:c r="E35" s="19" t="str">
        <x:v>2021</x:v>
      </x:c>
      <x:c r="F35" s="19" t="str">
        <x:v>Cognitive/External plausibility</x:v>
      </x:c>
      <x:c r="G35" s="19" t="str">
        <x:v>HPQ3</x:v>
      </x:c>
      <x:c r="H35" s="19" t="str">
        <x:v>所呈现的环境显得真实。</x:v>
      </x:c>
      <x:c r="I35" s="19" t="str">
        <x:v>The represented environment appears real.</x:v>
      </x:c>
      <x:c r="J35" s="19" t="str">
        <x:v>正向</x:v>
      </x:c>
      <x:c r="K35" s="19" t="str">
        <x:v>7点同意度（原文建议）</x:v>
      </x:c>
      <x:c r="L35" s="19" t="str">
        <x:v>内容/表面效度；需进一步验证</x:v>
      </x:c>
      <x:c r="M35" s="19" t="str">
        <x:v>总体</x:v>
      </x:c>
      <x:c r="N35" s="19" t="str">
        <x:v>外部合理性；真实感</x:v>
      </x:c>
      <x:c r="O35" s="19" t="n">
        <x:v>2</x:v>
      </x:c>
      <x:c r="P35" s="19" t="str">
        <x:v>改编候选</x:v>
      </x:c>
      <x:c r="Q35" s="19" t="str">
        <x:v>CC BY 4.0公开原文+中文翻译</x:v>
      </x:c>
      <x:c r="R35" s="19" t="str">
        <x:v>https://research.utwente.nl/files/275269288/ToetMioch2021.pdf</x:v>
      </x:c>
      <x:c r="S35" s="19" t="str">
        <x:v>10.31234/osf.io/gvkwx, Table 1</x:v>
      </x:c>
      <x:c r="T35" s="19" t="str"/>
      <x:c r="U35" s="19" t="str"/>
    </x:row>
    <x:row r="36" ht="47" customHeight="1">
      <x:c r="A36" s="19" t="str">
        <x:v>未决定</x:v>
      </x:c>
      <x:c r="B36" s="19" t="str">
        <x:v>A-直接</x:v>
      </x:c>
      <x:c r="C36" s="19" t="str">
        <x:v>MR/AR存在感与合理性</x:v>
      </x:c>
      <x:c r="D36" s="19" t="str">
        <x:v>Holistic Presence Questionnaire (HPQ)</x:v>
      </x:c>
      <x:c r="E36" s="19" t="str">
        <x:v>2021</x:v>
      </x:c>
      <x:c r="F36" s="19" t="str">
        <x:v>Behavioral/Agency</x:v>
      </x:c>
      <x:c r="G36" s="19" t="str">
        <x:v>HPQ4</x:v>
      </x:c>
      <x:c r="H36" s="19" t="str">
        <x:v>我与所呈现环境的交互感觉真实。</x:v>
      </x:c>
      <x:c r="I36" s="19" t="str">
        <x:v>My interaction with the represented environment feels realistic.</x:v>
      </x:c>
      <x:c r="J36" s="19" t="str">
        <x:v>正向</x:v>
      </x:c>
      <x:c r="K36" s="19" t="str">
        <x:v>7点同意度（原文建议）</x:v>
      </x:c>
      <x:c r="L36" s="19" t="str">
        <x:v>内容/表面效度；需进一步验证</x:v>
      </x:c>
      <x:c r="M36" s="19" t="str">
        <x:v>运动/总体</x:v>
      </x:c>
      <x:c r="N36" s="19" t="str">
        <x:v>行为合理性；自然交互</x:v>
      </x:c>
      <x:c r="O36" s="19" t="n">
        <x:v>3</x:v>
      </x:c>
      <x:c r="P36" s="19" t="str">
        <x:v>直接候选</x:v>
      </x:c>
      <x:c r="Q36" s="19" t="str">
        <x:v>CC BY 4.0公开原文+中文翻译</x:v>
      </x:c>
      <x:c r="R36" s="19" t="str">
        <x:v>https://research.utwente.nl/files/275269288/ToetMioch2021.pdf</x:v>
      </x:c>
      <x:c r="S36" s="19" t="str">
        <x:v>10.31234/osf.io/gvkwx, Table 1</x:v>
      </x:c>
      <x:c r="T36" s="19" t="str"/>
      <x:c r="U36" s="19" t="str"/>
    </x:row>
    <x:row r="37" ht="47" customHeight="1">
      <x:c r="A37" s="19" t="str">
        <x:v>未决定</x:v>
      </x:c>
      <x:c r="B37" s="19" t="str">
        <x:v>A-直接</x:v>
      </x:c>
      <x:c r="C37" s="19" t="str">
        <x:v>MR/AR存在感与合理性</x:v>
      </x:c>
      <x:c r="D37" s="19" t="str">
        <x:v>Holistic Presence Questionnaire (HPQ)</x:v>
      </x:c>
      <x:c r="E37" s="19" t="str">
        <x:v>2021</x:v>
      </x:c>
      <x:c r="F37" s="19" t="str">
        <x:v>Reasoning</x:v>
      </x:c>
      <x:c r="G37" s="19" t="str">
        <x:v>HPQ5</x:v>
      </x:c>
      <x:c r="H37" s="19" t="str">
        <x:v>我在该环境中的思考方式感觉自然。</x:v>
      </x:c>
      <x:c r="I37" s="19" t="str">
        <x:v>My thoughts in the environment feel natural.</x:v>
      </x:c>
      <x:c r="J37" s="19" t="str">
        <x:v>正向</x:v>
      </x:c>
      <x:c r="K37" s="19" t="str">
        <x:v>7点同意度（原文建议）</x:v>
      </x:c>
      <x:c r="L37" s="19" t="str">
        <x:v>内容/表面效度；需进一步验证</x:v>
      </x:c>
      <x:c r="M37" s="19" t="str">
        <x:v>总体</x:v>
      </x:c>
      <x:c r="N37" s="19" t="str">
        <x:v>认知自然性</x:v>
      </x:c>
      <x:c r="O37" s="19" t="n">
        <x:v>0</x:v>
      </x:c>
      <x:c r="P37" s="19" t="str">
        <x:v>不建议</x:v>
      </x:c>
      <x:c r="Q37" s="19" t="str">
        <x:v>CC BY 4.0公开原文+中文翻译</x:v>
      </x:c>
      <x:c r="R37" s="19" t="str">
        <x:v>https://research.utwente.nl/files/275269288/ToetMioch2021.pdf</x:v>
      </x:c>
      <x:c r="S37" s="19" t="str">
        <x:v>10.31234/osf.io/gvkwx, Table 1</x:v>
      </x:c>
      <x:c r="T37" s="19" t="str"/>
      <x:c r="U37" s="19" t="str"/>
    </x:row>
    <x:row r="38" ht="47" customHeight="1">
      <x:c r="A38" s="19" t="str">
        <x:v>未决定</x:v>
      </x:c>
      <x:c r="B38" s="19" t="str">
        <x:v>A-直接</x:v>
      </x:c>
      <x:c r="C38" s="19" t="str">
        <x:v>XR对象交互质量</x:v>
      </x:c>
      <x:c r="D38" s="19" t="str">
        <x:v>Customizable Interactions Questionnaire (CIQ)</x:v>
      </x:c>
      <x:c r="E38" s="19" t="str">
        <x:v>2023</x:v>
      </x:c>
      <x:c r="F38" s="19" t="str">
        <x:v>Quality of Interactions</x:v>
      </x:c>
      <x:c r="G38" s="19" t="str">
        <x:v>CIQ1</x:v>
      </x:c>
      <x:c r="H38" s="19" t="str">
        <x:v>虚拟世界对我的动作作出的响应与我的预期一致。</x:v>
      </x:c>
      <x:c r="I38" s="19" t="str"/>
      <x:c r="J38" s="19" t="str">
        <x:v>正向</x:v>
      </x:c>
      <x:c r="K38" s="19" t="str">
        <x:v>5点；条目特定双极端点</x:v>
      </x:c>
      <x:c r="L38" s="19" t="str">
        <x:v>认知访谈、因子分析、可靠性与敏感性检验</x:v>
      </x:c>
      <x:c r="M38" s="19" t="str">
        <x:v>总体</x:v>
      </x:c>
      <x:c r="N38" s="19" t="str">
        <x:v>预测一致；响应一致</x:v>
      </x:c>
      <x:c r="O38" s="19" t="n">
        <x:v>3</x:v>
      </x:c>
      <x:c r="P38" s="19" t="str">
        <x:v>直接候选</x:v>
      </x:c>
      <x:c r="Q38" s="19" t="str">
        <x:v>CC BY 4.0；可定制中文语义模板</x:v>
      </x:c>
      <x:c r="R38" s="19" t="str">
        <x:v>https://link.springer.com/article/10.1007/s10055-022-00678-8</x:v>
      </x:c>
      <x:c r="S38" s="19" t="str">
        <x:v>Appendix C, Table 9</x:v>
      </x:c>
      <x:c r="T38" s="19" t="str"/>
      <x:c r="U38" s="19" t="str"/>
    </x:row>
    <x:row r="39" ht="47" customHeight="1">
      <x:c r="A39" s="19" t="str">
        <x:v>未决定</x:v>
      </x:c>
      <x:c r="B39" s="19" t="str">
        <x:v>A-直接</x:v>
      </x:c>
      <x:c r="C39" s="19" t="str">
        <x:v>XR对象交互质量</x:v>
      </x:c>
      <x:c r="D39" s="19" t="str">
        <x:v>Customizable Interactions Questionnaire (CIQ)</x:v>
      </x:c>
      <x:c r="E39" s="19" t="str">
        <x:v>2023</x:v>
      </x:c>
      <x:c r="F39" s="19" t="str">
        <x:v>Quality of Interactions</x:v>
      </x:c>
      <x:c r="G39" s="19" t="str">
        <x:v>CIQ2</x:v>
      </x:c>
      <x:c r="H39" s="19" t="str">
        <x:v>虚拟手或虚拟交互代理的位置与我的真实手或真实交互位置一致。</x:v>
      </x:c>
      <x:c r="I39" s="19" t="str"/>
      <x:c r="J39" s="19" t="str">
        <x:v>正向</x:v>
      </x:c>
      <x:c r="K39" s="19" t="str">
        <x:v>5点；条目特定双极端点</x:v>
      </x:c>
      <x:c r="L39" s="19" t="str">
        <x:v>认知访谈、因子分析、可靠性与敏感性检验</x:v>
      </x:c>
      <x:c r="M39" s="19" t="str">
        <x:v>静止/运动</x:v>
      </x:c>
      <x:c r="N39" s="19" t="str">
        <x:v>空间共置；配准一致</x:v>
      </x:c>
      <x:c r="O39" s="19" t="n">
        <x:v>3</x:v>
      </x:c>
      <x:c r="P39" s="19" t="str">
        <x:v>直接候选</x:v>
      </x:c>
      <x:c r="Q39" s="19" t="str">
        <x:v>CC BY 4.0；可定制中文语义模板</x:v>
      </x:c>
      <x:c r="R39" s="19" t="str">
        <x:v>https://link.springer.com/article/10.1007/s10055-022-00678-8</x:v>
      </x:c>
      <x:c r="S39" s="19" t="str">
        <x:v>Appendix C, Table 9</x:v>
      </x:c>
      <x:c r="T39" s="19" t="str"/>
      <x:c r="U39" s="19" t="str"/>
    </x:row>
    <x:row r="40" ht="47" customHeight="1">
      <x:c r="A40" s="19" t="str">
        <x:v>未决定</x:v>
      </x:c>
      <x:c r="B40" s="19" t="str">
        <x:v>A-直接</x:v>
      </x:c>
      <x:c r="C40" s="19" t="str">
        <x:v>XR对象交互质量</x:v>
      </x:c>
      <x:c r="D40" s="19" t="str">
        <x:v>Customizable Interactions Questionnaire (CIQ)</x:v>
      </x:c>
      <x:c r="E40" s="19" t="str">
        <x:v>2023</x:v>
      </x:c>
      <x:c r="F40" s="19" t="str">
        <x:v>Quality of Interactions</x:v>
      </x:c>
      <x:c r="G40" s="19" t="str">
        <x:v>CIQ3</x:v>
      </x:c>
      <x:c r="H40" s="19" t="str">
        <x:v>虚拟世界对我的动作响应得足够快。</x:v>
      </x:c>
      <x:c r="I40" s="19" t="str"/>
      <x:c r="J40" s="19" t="str">
        <x:v>正向</x:v>
      </x:c>
      <x:c r="K40" s="19" t="str">
        <x:v>5点；条目特定双极端点</x:v>
      </x:c>
      <x:c r="L40" s="19" t="str">
        <x:v>认知访谈、因子分析、可靠性与敏感性检验</x:v>
      </x:c>
      <x:c r="M40" s="19" t="str">
        <x:v>运动</x:v>
      </x:c>
      <x:c r="N40" s="19" t="str">
        <x:v>响应速度；时延</x:v>
      </x:c>
      <x:c r="O40" s="19" t="n">
        <x:v>3</x:v>
      </x:c>
      <x:c r="P40" s="19" t="str">
        <x:v>直接候选</x:v>
      </x:c>
      <x:c r="Q40" s="19" t="str">
        <x:v>CC BY 4.0；可定制中文语义模板</x:v>
      </x:c>
      <x:c r="R40" s="19" t="str">
        <x:v>https://link.springer.com/article/10.1007/s10055-022-00678-8</x:v>
      </x:c>
      <x:c r="S40" s="19" t="str">
        <x:v>Appendix C, Table 9</x:v>
      </x:c>
      <x:c r="T40" s="19" t="str"/>
      <x:c r="U40" s="19" t="str"/>
    </x:row>
    <x:row r="41" ht="47" customHeight="1">
      <x:c r="A41" s="19" t="str">
        <x:v>未决定</x:v>
      </x:c>
      <x:c r="B41" s="19" t="str">
        <x:v>A-直接</x:v>
      </x:c>
      <x:c r="C41" s="19" t="str">
        <x:v>XR对象交互质量</x:v>
      </x:c>
      <x:c r="D41" s="19" t="str">
        <x:v>Customizable Interactions Questionnaire (CIQ)</x:v>
      </x:c>
      <x:c r="E41" s="19" t="str">
        <x:v>2023</x:v>
      </x:c>
      <x:c r="F41" s="19" t="str">
        <x:v>Quality of Interactions</x:v>
      </x:c>
      <x:c r="G41" s="19" t="str">
        <x:v>CIQ4</x:v>
      </x:c>
      <x:c r="H41" s="19" t="str">
        <x:v>虚拟手或虚拟交互代理感觉像是我自己的。</x:v>
      </x:c>
      <x:c r="I41" s="19" t="str"/>
      <x:c r="J41" s="19" t="str">
        <x:v>正向</x:v>
      </x:c>
      <x:c r="K41" s="19" t="str">
        <x:v>5点；条目特定双极端点</x:v>
      </x:c>
      <x:c r="L41" s="19" t="str">
        <x:v>认知访谈、因子分析、可靠性与敏感性检验</x:v>
      </x:c>
      <x:c r="M41" s="19" t="str">
        <x:v>总体</x:v>
      </x:c>
      <x:c r="N41" s="19" t="str">
        <x:v>代理归属；具身</x:v>
      </x:c>
      <x:c r="O41" s="19" t="n">
        <x:v>1</x:v>
      </x:c>
      <x:c r="P41" s="19" t="str">
        <x:v>低优先级</x:v>
      </x:c>
      <x:c r="Q41" s="19" t="str">
        <x:v>CC BY 4.0；可定制中文语义模板</x:v>
      </x:c>
      <x:c r="R41" s="19" t="str">
        <x:v>https://link.springer.com/article/10.1007/s10055-022-00678-8</x:v>
      </x:c>
      <x:c r="S41" s="19" t="str">
        <x:v>Appendix C, Table 9</x:v>
      </x:c>
      <x:c r="T41" s="19" t="str"/>
      <x:c r="U41" s="19" t="str"/>
    </x:row>
    <x:row r="42" ht="47" customHeight="1">
      <x:c r="A42" s="19" t="str">
        <x:v>未决定</x:v>
      </x:c>
      <x:c r="B42" s="19" t="str">
        <x:v>A-直接</x:v>
      </x:c>
      <x:c r="C42" s="19" t="str">
        <x:v>XR对象交互质量</x:v>
      </x:c>
      <x:c r="D42" s="19" t="str">
        <x:v>Customizable Interactions Questionnaire (CIQ)</x:v>
      </x:c>
      <x:c r="E42" s="19" t="str">
        <x:v>2023</x:v>
      </x:c>
      <x:c r="F42" s="19" t="str">
        <x:v>Quality of Interactions</x:v>
      </x:c>
      <x:c r="G42" s="19" t="str">
        <x:v>CIQ5</x:v>
      </x:c>
      <x:c r="H42" s="19" t="str">
        <x:v>我感觉自己能够控制虚拟手或虚拟交互代理。</x:v>
      </x:c>
      <x:c r="I42" s="19" t="str"/>
      <x:c r="J42" s="19" t="str">
        <x:v>正向</x:v>
      </x:c>
      <x:c r="K42" s="19" t="str">
        <x:v>5点；条目特定双极端点</x:v>
      </x:c>
      <x:c r="L42" s="19" t="str">
        <x:v>认知访谈、因子分析、可靠性与敏感性检验</x:v>
      </x:c>
      <x:c r="M42" s="19" t="str">
        <x:v>运动</x:v>
      </x:c>
      <x:c r="N42" s="19" t="str">
        <x:v>控制感；agency</x:v>
      </x:c>
      <x:c r="O42" s="19" t="n">
        <x:v>2</x:v>
      </x:c>
      <x:c r="P42" s="19" t="str">
        <x:v>备选</x:v>
      </x:c>
      <x:c r="Q42" s="19" t="str">
        <x:v>CC BY 4.0；可定制中文语义模板</x:v>
      </x:c>
      <x:c r="R42" s="19" t="str">
        <x:v>https://link.springer.com/article/10.1007/s10055-022-00678-8</x:v>
      </x:c>
      <x:c r="S42" s="19" t="str">
        <x:v>Appendix C, Table 9</x:v>
      </x:c>
      <x:c r="T42" s="19" t="str"/>
      <x:c r="U42" s="19" t="str"/>
    </x:row>
    <x:row r="43" ht="47" customHeight="1">
      <x:c r="A43" s="19" t="str">
        <x:v>未决定</x:v>
      </x:c>
      <x:c r="B43" s="19" t="str">
        <x:v>A-直接</x:v>
      </x:c>
      <x:c r="C43" s="19" t="str">
        <x:v>XR对象交互质量</x:v>
      </x:c>
      <x:c r="D43" s="19" t="str">
        <x:v>Customizable Interactions Questionnaire (CIQ)</x:v>
      </x:c>
      <x:c r="E43" s="19" t="str">
        <x:v>2023</x:v>
      </x:c>
      <x:c r="F43" s="19" t="str">
        <x:v>Comfort</x:v>
      </x:c>
      <x:c r="G43" s="19" t="str">
        <x:v>CIQ6</x:v>
      </x:c>
      <x:c r="H43" s="19" t="str">
        <x:v>头戴设备的佩戴贴合程度让我感到舒适。</x:v>
      </x:c>
      <x:c r="I43" s="19" t="str"/>
      <x:c r="J43" s="19" t="str">
        <x:v>正向</x:v>
      </x:c>
      <x:c r="K43" s="19" t="str">
        <x:v>5点；条目特定双极端点</x:v>
      </x:c>
      <x:c r="L43" s="19" t="str">
        <x:v>认知访谈、因子分析、可靠性与敏感性检验</x:v>
      </x:c>
      <x:c r="M43" s="19" t="str">
        <x:v>总体</x:v>
      </x:c>
      <x:c r="N43" s="19" t="str">
        <x:v>佩戴舒适</x:v>
      </x:c>
      <x:c r="O43" s="19" t="n">
        <x:v>0</x:v>
      </x:c>
      <x:c r="P43" s="19" t="str">
        <x:v>低优先级</x:v>
      </x:c>
      <x:c r="Q43" s="19" t="str">
        <x:v>CC BY 4.0；可定制中文语义模板</x:v>
      </x:c>
      <x:c r="R43" s="19" t="str">
        <x:v>https://link.springer.com/article/10.1007/s10055-022-00678-8</x:v>
      </x:c>
      <x:c r="S43" s="19" t="str">
        <x:v>Appendix C, Table 9</x:v>
      </x:c>
      <x:c r="T43" s="19" t="str"/>
      <x:c r="U43" s="19" t="str"/>
    </x:row>
    <x:row r="44" ht="47" customHeight="1">
      <x:c r="A44" s="19" t="str">
        <x:v>未决定</x:v>
      </x:c>
      <x:c r="B44" s="19" t="str">
        <x:v>A-直接</x:v>
      </x:c>
      <x:c r="C44" s="19" t="str">
        <x:v>XR对象交互质量</x:v>
      </x:c>
      <x:c r="D44" s="19" t="str">
        <x:v>Customizable Interactions Questionnaire (CIQ)</x:v>
      </x:c>
      <x:c r="E44" s="19" t="str">
        <x:v>2023</x:v>
      </x:c>
      <x:c r="F44" s="19" t="str">
        <x:v>Comfort</x:v>
      </x:c>
      <x:c r="G44" s="19" t="str">
        <x:v>CIQ7</x:v>
      </x:c>
      <x:c r="H44" s="19" t="str">
        <x:v>头戴设备的重量让我感到舒适。</x:v>
      </x:c>
      <x:c r="I44" s="19" t="str"/>
      <x:c r="J44" s="19" t="str">
        <x:v>正向</x:v>
      </x:c>
      <x:c r="K44" s="19" t="str">
        <x:v>5点；条目特定双极端点</x:v>
      </x:c>
      <x:c r="L44" s="19" t="str">
        <x:v>认知访谈、因子分析、可靠性与敏感性检验</x:v>
      </x:c>
      <x:c r="M44" s="19" t="str">
        <x:v>总体</x:v>
      </x:c>
      <x:c r="N44" s="19" t="str">
        <x:v>佩戴舒适</x:v>
      </x:c>
      <x:c r="O44" s="19" t="n">
        <x:v>0</x:v>
      </x:c>
      <x:c r="P44" s="19" t="str">
        <x:v>低优先级</x:v>
      </x:c>
      <x:c r="Q44" s="19" t="str">
        <x:v>CC BY 4.0；可定制中文语义模板</x:v>
      </x:c>
      <x:c r="R44" s="19" t="str">
        <x:v>https://link.springer.com/article/10.1007/s10055-022-00678-8</x:v>
      </x:c>
      <x:c r="S44" s="19" t="str">
        <x:v>Appendix C, Table 9</x:v>
      </x:c>
      <x:c r="T44" s="19" t="str"/>
      <x:c r="U44" s="19" t="str"/>
    </x:row>
    <x:row r="45" ht="47" customHeight="1">
      <x:c r="A45" s="19" t="str">
        <x:v>未决定</x:v>
      </x:c>
      <x:c r="B45" s="19" t="str">
        <x:v>A-直接</x:v>
      </x:c>
      <x:c r="C45" s="19" t="str">
        <x:v>XR对象交互质量</x:v>
      </x:c>
      <x:c r="D45" s="19" t="str">
        <x:v>Customizable Interactions Questionnaire (CIQ)</x:v>
      </x:c>
      <x:c r="E45" s="19" t="str">
        <x:v>2023</x:v>
      </x:c>
      <x:c r="F45" s="19" t="str">
        <x:v>Task Performance</x:v>
      </x:c>
      <x:c r="G45" s="19" t="str">
        <x:v>CIQ8</x:v>
      </x:c>
      <x:c r="H45" s="19" t="str">
        <x:v>学习完成主要交互任务是容易的。</x:v>
      </x:c>
      <x:c r="I45" s="19" t="str"/>
      <x:c r="J45" s="19" t="str">
        <x:v>正向</x:v>
      </x:c>
      <x:c r="K45" s="19" t="str">
        <x:v>5点；条目特定双极端点</x:v>
      </x:c>
      <x:c r="L45" s="19" t="str">
        <x:v>认知访谈、因子分析、可靠性与敏感性检验</x:v>
      </x:c>
      <x:c r="M45" s="19" t="str">
        <x:v>总体</x:v>
      </x:c>
      <x:c r="N45" s="19" t="str">
        <x:v>可学性</x:v>
      </x:c>
      <x:c r="O45" s="19" t="n">
        <x:v>1</x:v>
      </x:c>
      <x:c r="P45" s="19" t="str">
        <x:v>低优先级</x:v>
      </x:c>
      <x:c r="Q45" s="19" t="str">
        <x:v>CC BY 4.0；可定制中文语义模板</x:v>
      </x:c>
      <x:c r="R45" s="19" t="str">
        <x:v>https://link.springer.com/article/10.1007/s10055-022-00678-8</x:v>
      </x:c>
      <x:c r="S45" s="19" t="str">
        <x:v>Appendix C, Table 9</x:v>
      </x:c>
      <x:c r="T45" s="19" t="str"/>
      <x:c r="U45" s="19" t="str"/>
    </x:row>
    <x:row r="46" ht="47" customHeight="1">
      <x:c r="A46" s="19" t="str">
        <x:v>未决定</x:v>
      </x:c>
      <x:c r="B46" s="19" t="str">
        <x:v>A-直接</x:v>
      </x:c>
      <x:c r="C46" s="19" t="str">
        <x:v>XR对象交互质量</x:v>
      </x:c>
      <x:c r="D46" s="19" t="str">
        <x:v>Customizable Interactions Questionnaire (CIQ)</x:v>
      </x:c>
      <x:c r="E46" s="19" t="str">
        <x:v>2023</x:v>
      </x:c>
      <x:c r="F46" s="19" t="str">
        <x:v>Task Performance</x:v>
      </x:c>
      <x:c r="G46" s="19" t="str">
        <x:v>CIQ9</x:v>
      </x:c>
      <x:c r="H46" s="19" t="str">
        <x:v>学习使用设备或控制方式是容易的。</x:v>
      </x:c>
      <x:c r="I46" s="19" t="str"/>
      <x:c r="J46" s="19" t="str">
        <x:v>正向</x:v>
      </x:c>
      <x:c r="K46" s="19" t="str">
        <x:v>5点；条目特定双极端点</x:v>
      </x:c>
      <x:c r="L46" s="19" t="str">
        <x:v>认知访谈、因子分析、可靠性与敏感性检验</x:v>
      </x:c>
      <x:c r="M46" s="19" t="str">
        <x:v>总体</x:v>
      </x:c>
      <x:c r="N46" s="19" t="str">
        <x:v>可学性</x:v>
      </x:c>
      <x:c r="O46" s="19" t="n">
        <x:v>1</x:v>
      </x:c>
      <x:c r="P46" s="19" t="str">
        <x:v>低优先级</x:v>
      </x:c>
      <x:c r="Q46" s="19" t="str">
        <x:v>CC BY 4.0；可定制中文语义模板</x:v>
      </x:c>
      <x:c r="R46" s="19" t="str">
        <x:v>https://link.springer.com/article/10.1007/s10055-022-00678-8</x:v>
      </x:c>
      <x:c r="S46" s="19" t="str">
        <x:v>Appendix C, Table 9</x:v>
      </x:c>
      <x:c r="T46" s="19" t="str"/>
      <x:c r="U46" s="19" t="str"/>
    </x:row>
    <x:row r="47" ht="47" customHeight="1">
      <x:c r="A47" s="19" t="str">
        <x:v>未决定</x:v>
      </x:c>
      <x:c r="B47" s="19" t="str">
        <x:v>A-直接</x:v>
      </x:c>
      <x:c r="C47" s="19" t="str">
        <x:v>XR对象交互质量</x:v>
      </x:c>
      <x:c r="D47" s="19" t="str">
        <x:v>Customizable Interactions Questionnaire (CIQ)</x:v>
      </x:c>
      <x:c r="E47" s="19" t="str">
        <x:v>2023</x:v>
      </x:c>
      <x:c r="F47" s="19" t="str">
        <x:v>Task Performance</x:v>
      </x:c>
      <x:c r="G47" s="19" t="str">
        <x:v>CIQ10</x:v>
      </x:c>
      <x:c r="H47" s="19" t="str">
        <x:v>我有信心再次成功完成相同任务。</x:v>
      </x:c>
      <x:c r="I47" s="19" t="str"/>
      <x:c r="J47" s="19" t="str">
        <x:v>正向</x:v>
      </x:c>
      <x:c r="K47" s="19" t="str">
        <x:v>5点；条目特定双极端点</x:v>
      </x:c>
      <x:c r="L47" s="19" t="str">
        <x:v>认知访谈、因子分析、可靠性与敏感性检验</x:v>
      </x:c>
      <x:c r="M47" s="19" t="str">
        <x:v>最终</x:v>
      </x:c>
      <x:c r="N47" s="19" t="str">
        <x:v>任务信心</x:v>
      </x:c>
      <x:c r="O47" s="19" t="n">
        <x:v>1</x:v>
      </x:c>
      <x:c r="P47" s="19" t="str">
        <x:v>低优先级</x:v>
      </x:c>
      <x:c r="Q47" s="19" t="str">
        <x:v>CC BY 4.0；可定制中文语义模板</x:v>
      </x:c>
      <x:c r="R47" s="19" t="str">
        <x:v>https://link.springer.com/article/10.1007/s10055-022-00678-8</x:v>
      </x:c>
      <x:c r="S47" s="19" t="str">
        <x:v>Appendix C, Table 9</x:v>
      </x:c>
      <x:c r="T47" s="19" t="str"/>
      <x:c r="U47" s="19" t="str"/>
    </x:row>
    <x:row r="48" ht="47" customHeight="1">
      <x:c r="A48" s="19" t="str">
        <x:v>未决定</x:v>
      </x:c>
      <x:c r="B48" s="19" t="str">
        <x:v>A-直接</x:v>
      </x:c>
      <x:c r="C48" s="19" t="str">
        <x:v>XR对象交互质量</x:v>
      </x:c>
      <x:c r="D48" s="19" t="str">
        <x:v>Customizable Interactions Questionnaire (CIQ)</x:v>
      </x:c>
      <x:c r="E48" s="19" t="str">
        <x:v>2023</x:v>
      </x:c>
      <x:c r="F48" s="19" t="str">
        <x:v>Consistency with Expectations</x:v>
      </x:c>
      <x:c r="G48" s="19" t="str">
        <x:v>CIQ11</x:v>
      </x:c>
      <x:c r="H48" s="19" t="str">
        <x:v>这种虚拟交互与我在现实世界中的对应交互一致。</x:v>
      </x:c>
      <x:c r="I48" s="19" t="str"/>
      <x:c r="J48" s="19" t="str">
        <x:v>正向</x:v>
      </x:c>
      <x:c r="K48" s="19" t="str">
        <x:v>5点；条目特定双极端点</x:v>
      </x:c>
      <x:c r="L48" s="19" t="str">
        <x:v>认知访谈、因子分析、可靠性与敏感性检验</x:v>
      </x:c>
      <x:c r="M48" s="19" t="str">
        <x:v>运动/总体</x:v>
      </x:c>
      <x:c r="N48" s="19" t="str">
        <x:v>现实一致性；自然性</x:v>
      </x:c>
      <x:c r="O48" s="19" t="n">
        <x:v>3</x:v>
      </x:c>
      <x:c r="P48" s="19" t="str">
        <x:v>直接候选</x:v>
      </x:c>
      <x:c r="Q48" s="19" t="str">
        <x:v>CC BY 4.0；可定制中文语义模板</x:v>
      </x:c>
      <x:c r="R48" s="19" t="str">
        <x:v>https://link.springer.com/article/10.1007/s10055-022-00678-8</x:v>
      </x:c>
      <x:c r="S48" s="19" t="str">
        <x:v>Appendix C, Table 9</x:v>
      </x:c>
      <x:c r="T48" s="19" t="str"/>
      <x:c r="U48" s="19" t="str"/>
    </x:row>
    <x:row r="49" ht="47" customHeight="1">
      <x:c r="A49" s="19" t="str">
        <x:v>未决定</x:v>
      </x:c>
      <x:c r="B49" s="19" t="str">
        <x:v>A-直接</x:v>
      </x:c>
      <x:c r="C49" s="19" t="str">
        <x:v>XR对象交互质量</x:v>
      </x:c>
      <x:c r="D49" s="19" t="str">
        <x:v>Customizable Interactions Questionnaire (CIQ)</x:v>
      </x:c>
      <x:c r="E49" s="19" t="str">
        <x:v>2023</x:v>
      </x:c>
      <x:c r="F49" s="19" t="str">
        <x:v>Consistency with Expectations</x:v>
      </x:c>
      <x:c r="G49" s="19" t="str">
        <x:v>CIQ12</x:v>
      </x:c>
      <x:c r="H49" s="19" t="str">
        <x:v>虚拟对象或与它的交互是可信、可相信的。</x:v>
      </x:c>
      <x:c r="I49" s="19" t="str"/>
      <x:c r="J49" s="19" t="str">
        <x:v>正向</x:v>
      </x:c>
      <x:c r="K49" s="19" t="str">
        <x:v>5点；条目特定双极端点</x:v>
      </x:c>
      <x:c r="L49" s="19" t="str">
        <x:v>认知访谈、因子分析、可靠性与敏感性检验</x:v>
      </x:c>
      <x:c r="M49" s="19" t="str">
        <x:v>总体</x:v>
      </x:c>
      <x:c r="N49" s="19" t="str">
        <x:v>对象可信性；believability</x:v>
      </x:c>
      <x:c r="O49" s="19" t="n">
        <x:v>3</x:v>
      </x:c>
      <x:c r="P49" s="19" t="str">
        <x:v>直接候选</x:v>
      </x:c>
      <x:c r="Q49" s="19" t="str">
        <x:v>CC BY 4.0；可定制中文语义模板</x:v>
      </x:c>
      <x:c r="R49" s="19" t="str">
        <x:v>https://link.springer.com/article/10.1007/s10055-022-00678-8</x:v>
      </x:c>
      <x:c r="S49" s="19" t="str">
        <x:v>Appendix C, Table 9</x:v>
      </x:c>
      <x:c r="T49" s="19" t="str"/>
      <x:c r="U49" s="19" t="str"/>
    </x:row>
    <x:row r="50" ht="47" customHeight="1">
      <x:c r="A50" s="19" t="str">
        <x:v>未决定</x:v>
      </x:c>
      <x:c r="B50" s="19" t="str">
        <x:v>A-直接</x:v>
      </x:c>
      <x:c r="C50" s="19" t="str">
        <x:v>XR对象交互质量</x:v>
      </x:c>
      <x:c r="D50" s="19" t="str">
        <x:v>Customizable Interactions Questionnaire (CIQ)</x:v>
      </x:c>
      <x:c r="E50" s="19" t="str">
        <x:v>2023</x:v>
      </x:c>
      <x:c r="F50" s="19" t="str">
        <x:v>Consistency with Expectations</x:v>
      </x:c>
      <x:c r="G50" s="19" t="str">
        <x:v>CIQ13</x:v>
      </x:c>
      <x:c r="H50" s="19" t="str">
        <x:v>使用该系统时，我感到自己有能力完成任务。</x:v>
      </x:c>
      <x:c r="I50" s="19" t="str"/>
      <x:c r="J50" s="19" t="str">
        <x:v>正向</x:v>
      </x:c>
      <x:c r="K50" s="19" t="str">
        <x:v>5点；条目特定双极端点</x:v>
      </x:c>
      <x:c r="L50" s="19" t="str">
        <x:v>认知访谈、因子分析、可靠性与敏感性检验</x:v>
      </x:c>
      <x:c r="M50" s="19" t="str">
        <x:v>总体</x:v>
      </x:c>
      <x:c r="N50" s="19" t="str">
        <x:v>能力感</x:v>
      </x:c>
      <x:c r="O50" s="19" t="n">
        <x:v>1</x:v>
      </x:c>
      <x:c r="P50" s="19" t="str">
        <x:v>低优先级</x:v>
      </x:c>
      <x:c r="Q50" s="19" t="str">
        <x:v>CC BY 4.0；可定制中文语义模板</x:v>
      </x:c>
      <x:c r="R50" s="19" t="str">
        <x:v>https://link.springer.com/article/10.1007/s10055-022-00678-8</x:v>
      </x:c>
      <x:c r="S50" s="19" t="str">
        <x:v>Appendix C, Table 9</x:v>
      </x:c>
      <x:c r="T50" s="19" t="str"/>
      <x:c r="U50" s="19" t="str"/>
    </x:row>
    <x:row r="51" ht="47" customHeight="1">
      <x:c r="A51" s="19" t="str">
        <x:v>未决定</x:v>
      </x:c>
      <x:c r="B51" s="19" t="str">
        <x:v>A-直接</x:v>
      </x:c>
      <x:c r="C51" s="19" t="str">
        <x:v>XR对象交互质量</x:v>
      </x:c>
      <x:c r="D51" s="19" t="str">
        <x:v>Customizable Interactions Questionnaire (CIQ)</x:v>
      </x:c>
      <x:c r="E51" s="19" t="str">
        <x:v>2023</x:v>
      </x:c>
      <x:c r="F51" s="19" t="str">
        <x:v>Consistency with Expectations</x:v>
      </x:c>
      <x:c r="G51" s="19" t="str">
        <x:v>CIQ14</x:v>
      </x:c>
      <x:c r="H51" s="19" t="str">
        <x:v>我能够通过该交互实现自己想要达到的目标。</x:v>
      </x:c>
      <x:c r="I51" s="19" t="str"/>
      <x:c r="J51" s="19" t="str">
        <x:v>正向</x:v>
      </x:c>
      <x:c r="K51" s="19" t="str">
        <x:v>5点；条目特定双极端点</x:v>
      </x:c>
      <x:c r="L51" s="19" t="str">
        <x:v>认知访谈、因子分析、可靠性与敏感性检验</x:v>
      </x:c>
      <x:c r="M51" s="19" t="str">
        <x:v>总体</x:v>
      </x:c>
      <x:c r="N51" s="19" t="str">
        <x:v>目标达成</x:v>
      </x:c>
      <x:c r="O51" s="19" t="n">
        <x:v>1</x:v>
      </x:c>
      <x:c r="P51" s="19" t="str">
        <x:v>低优先级</x:v>
      </x:c>
      <x:c r="Q51" s="19" t="str">
        <x:v>CC BY 4.0；可定制中文语义模板</x:v>
      </x:c>
      <x:c r="R51" s="19" t="str">
        <x:v>https://link.springer.com/article/10.1007/s10055-022-00678-8</x:v>
      </x:c>
      <x:c r="S51" s="19" t="str">
        <x:v>Appendix C, Table 9</x:v>
      </x:c>
      <x:c r="T51" s="19" t="str"/>
      <x:c r="U51" s="19" t="str"/>
    </x:row>
    <x:row r="52" ht="47" customHeight="1">
      <x:c r="A52" s="19" t="str">
        <x:v>未决定</x:v>
      </x:c>
      <x:c r="B52" s="19" t="str">
        <x:v>A-直接</x:v>
      </x:c>
      <x:c r="C52" s="19" t="str">
        <x:v>XR对象交互质量</x:v>
      </x:c>
      <x:c r="D52" s="19" t="str">
        <x:v>Customizable Interactions Questionnaire (CIQ)</x:v>
      </x:c>
      <x:c r="E52" s="19" t="str">
        <x:v>2023</x:v>
      </x:c>
      <x:c r="F52" s="19" t="str">
        <x:v>Consistency with Expectations</x:v>
      </x:c>
      <x:c r="G52" s="19" t="str">
        <x:v>CIQ15</x:v>
      </x:c>
      <x:c r="H52" s="19" t="str">
        <x:v>设备或控制器的工作方式符合我的预期。</x:v>
      </x:c>
      <x:c r="I52" s="19" t="str"/>
      <x:c r="J52" s="19" t="str">
        <x:v>正向</x:v>
      </x:c>
      <x:c r="K52" s="19" t="str">
        <x:v>5点；条目特定双极端点</x:v>
      </x:c>
      <x:c r="L52" s="19" t="str">
        <x:v>认知访谈、因子分析、可靠性与敏感性检验</x:v>
      </x:c>
      <x:c r="M52" s="19" t="str">
        <x:v>总体</x:v>
      </x:c>
      <x:c r="N52" s="19" t="str">
        <x:v>系统预期一致</x:v>
      </x:c>
      <x:c r="O52" s="19" t="n">
        <x:v>2</x:v>
      </x:c>
      <x:c r="P52" s="19" t="str">
        <x:v>备选</x:v>
      </x:c>
      <x:c r="Q52" s="19" t="str">
        <x:v>CC BY 4.0；可定制中文语义模板</x:v>
      </x:c>
      <x:c r="R52" s="19" t="str">
        <x:v>https://link.springer.com/article/10.1007/s10055-022-00678-8</x:v>
      </x:c>
      <x:c r="S52" s="19" t="str">
        <x:v>Appendix C, Table 9</x:v>
      </x:c>
      <x:c r="T52" s="19" t="str"/>
      <x:c r="U52" s="19" t="str"/>
    </x:row>
    <x:row r="53" ht="47" customHeight="1">
      <x:c r="A53" s="19" t="str">
        <x:v>未决定</x:v>
      </x:c>
      <x:c r="B53" s="19" t="str">
        <x:v>A-直接</x:v>
      </x:c>
      <x:c r="C53" s="19" t="str">
        <x:v>XR对象交互质量</x:v>
      </x:c>
      <x:c r="D53" s="19" t="str">
        <x:v>Customizable Interactions Questionnaire (CIQ)</x:v>
      </x:c>
      <x:c r="E53" s="19" t="str">
        <x:v>2023</x:v>
      </x:c>
      <x:c r="F53" s="19" t="str">
        <x:v>Sensory Enhancement</x:v>
      </x:c>
      <x:c r="G53" s="19" t="str">
        <x:v>CIQ16</x:v>
      </x:c>
      <x:c r="H53" s="19" t="str">
        <x:v>声音在多大程度上增强或削弱了交互体验。</x:v>
      </x:c>
      <x:c r="I53" s="19" t="str"/>
      <x:c r="J53" s="19" t="str">
        <x:v>正向</x:v>
      </x:c>
      <x:c r="K53" s="19" t="str">
        <x:v>5点；条目特定双极端点</x:v>
      </x:c>
      <x:c r="L53" s="19" t="str">
        <x:v>认知访谈、因子分析、可靠性与敏感性检验</x:v>
      </x:c>
      <x:c r="M53" s="19" t="str">
        <x:v>总体</x:v>
      </x:c>
      <x:c r="N53" s="19" t="str">
        <x:v>声音增强/干扰</x:v>
      </x:c>
      <x:c r="O53" s="19" t="n">
        <x:v>0</x:v>
      </x:c>
      <x:c r="P53" s="19" t="str">
        <x:v>低优先级</x:v>
      </x:c>
      <x:c r="Q53" s="19" t="str">
        <x:v>CC BY 4.0；可定制中文语义模板</x:v>
      </x:c>
      <x:c r="R53" s="19" t="str">
        <x:v>https://link.springer.com/article/10.1007/s10055-022-00678-8</x:v>
      </x:c>
      <x:c r="S53" s="19" t="str">
        <x:v>Appendix C, Table 9</x:v>
      </x:c>
      <x:c r="T53" s="19" t="str"/>
      <x:c r="U53" s="19" t="str"/>
    </x:row>
    <x:row r="54" ht="47" customHeight="1">
      <x:c r="A54" s="19" t="str">
        <x:v>未决定</x:v>
      </x:c>
      <x:c r="B54" s="19" t="str">
        <x:v>A-直接</x:v>
      </x:c>
      <x:c r="C54" s="19" t="str">
        <x:v>XR对象交互质量</x:v>
      </x:c>
      <x:c r="D54" s="19" t="str">
        <x:v>Customizable Interactions Questionnaire (CIQ)</x:v>
      </x:c>
      <x:c r="E54" s="19" t="str">
        <x:v>2023</x:v>
      </x:c>
      <x:c r="F54" s="19" t="str">
        <x:v>Sensory Enhancement</x:v>
      </x:c>
      <x:c r="G54" s="19" t="str">
        <x:v>CIQ17</x:v>
      </x:c>
      <x:c r="H54" s="19" t="str">
        <x:v>触觉或触碰反馈在多大程度上增强或削弱了交互体验。</x:v>
      </x:c>
      <x:c r="I54" s="19" t="str"/>
      <x:c r="J54" s="19" t="str">
        <x:v>正向</x:v>
      </x:c>
      <x:c r="K54" s="19" t="str">
        <x:v>5点；条目特定双极端点</x:v>
      </x:c>
      <x:c r="L54" s="19" t="str">
        <x:v>认知访谈、因子分析、可靠性与敏感性检验</x:v>
      </x:c>
      <x:c r="M54" s="19" t="str">
        <x:v>总体</x:v>
      </x:c>
      <x:c r="N54" s="19" t="str">
        <x:v>触觉增强/干扰</x:v>
      </x:c>
      <x:c r="O54" s="19" t="n">
        <x:v>0</x:v>
      </x:c>
      <x:c r="P54" s="19" t="str">
        <x:v>低优先级</x:v>
      </x:c>
      <x:c r="Q54" s="19" t="str">
        <x:v>CC BY 4.0；可定制中文语义模板</x:v>
      </x:c>
      <x:c r="R54" s="19" t="str">
        <x:v>https://link.springer.com/article/10.1007/s10055-022-00678-8</x:v>
      </x:c>
      <x:c r="S54" s="19" t="str">
        <x:v>Appendix C, Table 9</x:v>
      </x:c>
      <x:c r="T54" s="19" t="str"/>
      <x:c r="U54" s="19" t="str"/>
    </x:row>
    <x:row r="55" ht="47" customHeight="1">
      <x:c r="A55" s="19" t="str">
        <x:v>未决定</x:v>
      </x:c>
      <x:c r="B55" s="19" t="str">
        <x:v>B-邻近</x:v>
      </x:c>
      <x:c r="C55" s="19" t="str">
        <x:v>AR可用性</x:v>
      </x:c>
      <x:c r="D55" s="19" t="str">
        <x:v>Handheld Augmented Reality Usability Scale (HARUS)</x:v>
      </x:c>
      <x:c r="E55" s="19" t="str">
        <x:v>2015</x:v>
      </x:c>
      <x:c r="F55" s="19" t="str">
        <x:v>Manipulability</x:v>
      </x:c>
      <x:c r="G55" s="19" t="str">
        <x:v>HARUS1</x:v>
      </x:c>
      <x:c r="H55" s="19" t="str">
        <x:v>与该应用交互需要大量身体肌肉用力。</x:v>
      </x:c>
      <x:c r="I55" s="19" t="str"/>
      <x:c r="J55" s="19" t="str">
        <x:v>反向</x:v>
      </x:c>
      <x:c r="K55" s="19" t="str">
        <x:v>7点：强烈不同意–强烈同意</x:v>
      </x:c>
      <x:c r="L55" s="19" t="str">
        <x:v>已验证</x:v>
      </x:c>
      <x:c r="M55" s="19" t="str">
        <x:v>总体</x:v>
      </x:c>
      <x:c r="N55" s="19" t="str">
        <x:v>身体负担</x:v>
      </x:c>
      <x:c r="O55" s="19" t="n">
        <x:v>0</x:v>
      </x:c>
      <x:c r="P55" s="19" t="str">
        <x:v>不建议</x:v>
      </x:c>
      <x:c r="Q55" s="19" t="str">
        <x:v>CC BY-NC-SA 4.0；中文语义翻译</x:v>
      </x:c>
      <x:c r="R55" s="19" t="str">
        <x:v>https://www.researchgate.net/publication/329443276_Handheld_Augmented_Reality_Usability_Scale_HARUS</x:v>
      </x:c>
      <x:c r="S55" s="19" t="str">
        <x:v>Questionnaire form</x:v>
      </x:c>
      <x:c r="T55" s="19" t="str"/>
      <x:c r="U55" s="19" t="str"/>
    </x:row>
    <x:row r="56" ht="47" customHeight="1">
      <x:c r="A56" s="19" t="str">
        <x:v>未决定</x:v>
      </x:c>
      <x:c r="B56" s="19" t="str">
        <x:v>B-邻近</x:v>
      </x:c>
      <x:c r="C56" s="19" t="str">
        <x:v>AR可用性</x:v>
      </x:c>
      <x:c r="D56" s="19" t="str">
        <x:v>Handheld Augmented Reality Usability Scale (HARUS)</x:v>
      </x:c>
      <x:c r="E56" s="19" t="str">
        <x:v>2015</x:v>
      </x:c>
      <x:c r="F56" s="19" t="str">
        <x:v>Manipulability</x:v>
      </x:c>
      <x:c r="G56" s="19" t="str">
        <x:v>HARUS2</x:v>
      </x:c>
      <x:c r="H56" s="19" t="str">
        <x:v>使用该应用时，我的手臂和双手感到舒适。</x:v>
      </x:c>
      <x:c r="I56" s="19" t="str"/>
      <x:c r="J56" s="19" t="str">
        <x:v>正向</x:v>
      </x:c>
      <x:c r="K56" s="19" t="str">
        <x:v>7点：强烈不同意–强烈同意</x:v>
      </x:c>
      <x:c r="L56" s="19" t="str">
        <x:v>已验证</x:v>
      </x:c>
      <x:c r="M56" s="19" t="str">
        <x:v>总体</x:v>
      </x:c>
      <x:c r="N56" s="19" t="str">
        <x:v>手臂/手舒适</x:v>
      </x:c>
      <x:c r="O56" s="19" t="n">
        <x:v>0</x:v>
      </x:c>
      <x:c r="P56" s="19" t="str">
        <x:v>不建议</x:v>
      </x:c>
      <x:c r="Q56" s="19" t="str">
        <x:v>CC BY-NC-SA 4.0；中文语义翻译</x:v>
      </x:c>
      <x:c r="R56" s="19" t="str">
        <x:v>https://www.researchgate.net/publication/329443276_Handheld_Augmented_Reality_Usability_Scale_HARUS</x:v>
      </x:c>
      <x:c r="S56" s="19" t="str">
        <x:v>Questionnaire form</x:v>
      </x:c>
      <x:c r="T56" s="19" t="str"/>
      <x:c r="U56" s="19" t="str"/>
    </x:row>
    <x:row r="57" ht="47" customHeight="1">
      <x:c r="A57" s="19" t="str">
        <x:v>未决定</x:v>
      </x:c>
      <x:c r="B57" s="19" t="str">
        <x:v>B-邻近</x:v>
      </x:c>
      <x:c r="C57" s="19" t="str">
        <x:v>AR可用性</x:v>
      </x:c>
      <x:c r="D57" s="19" t="str">
        <x:v>Handheld Augmented Reality Usability Scale (HARUS)</x:v>
      </x:c>
      <x:c r="E57" s="19" t="str">
        <x:v>2015</x:v>
      </x:c>
      <x:c r="F57" s="19" t="str">
        <x:v>Manipulability</x:v>
      </x:c>
      <x:c r="G57" s="19" t="str">
        <x:v>HARUS3</x:v>
      </x:c>
      <x:c r="H57" s="19" t="str">
        <x:v>操作过程中，设备很难握持。</x:v>
      </x:c>
      <x:c r="I57" s="19" t="str"/>
      <x:c r="J57" s="19" t="str">
        <x:v>反向</x:v>
      </x:c>
      <x:c r="K57" s="19" t="str">
        <x:v>7点：强烈不同意–强烈同意</x:v>
      </x:c>
      <x:c r="L57" s="19" t="str">
        <x:v>已验证</x:v>
      </x:c>
      <x:c r="M57" s="19" t="str">
        <x:v>总体</x:v>
      </x:c>
      <x:c r="N57" s="19" t="str">
        <x:v>设备握持</x:v>
      </x:c>
      <x:c r="O57" s="19" t="n">
        <x:v>0</x:v>
      </x:c>
      <x:c r="P57" s="19" t="str">
        <x:v>不建议</x:v>
      </x:c>
      <x:c r="Q57" s="19" t="str">
        <x:v>CC BY-NC-SA 4.0；中文语义翻译</x:v>
      </x:c>
      <x:c r="R57" s="19" t="str">
        <x:v>https://www.researchgate.net/publication/329443276_Handheld_Augmented_Reality_Usability_Scale_HARUS</x:v>
      </x:c>
      <x:c r="S57" s="19" t="str">
        <x:v>Questionnaire form</x:v>
      </x:c>
      <x:c r="T57" s="19" t="str"/>
      <x:c r="U57" s="19" t="str"/>
    </x:row>
    <x:row r="58" ht="47" customHeight="1">
      <x:c r="A58" s="19" t="str">
        <x:v>未决定</x:v>
      </x:c>
      <x:c r="B58" s="19" t="str">
        <x:v>B-邻近</x:v>
      </x:c>
      <x:c r="C58" s="19" t="str">
        <x:v>AR可用性</x:v>
      </x:c>
      <x:c r="D58" s="19" t="str">
        <x:v>Handheld Augmented Reality Usability Scale (HARUS)</x:v>
      </x:c>
      <x:c r="E58" s="19" t="str">
        <x:v>2015</x:v>
      </x:c>
      <x:c r="F58" s="19" t="str">
        <x:v>Manipulability</x:v>
      </x:c>
      <x:c r="G58" s="19" t="str">
        <x:v>HARUS4</x:v>
      </x:c>
      <x:c r="H58" s="19" t="str">
        <x:v>向该应用输入信息很容易。</x:v>
      </x:c>
      <x:c r="I58" s="19" t="str"/>
      <x:c r="J58" s="19" t="str">
        <x:v>正向</x:v>
      </x:c>
      <x:c r="K58" s="19" t="str">
        <x:v>7点：强烈不同意–强烈同意</x:v>
      </x:c>
      <x:c r="L58" s="19" t="str">
        <x:v>已验证</x:v>
      </x:c>
      <x:c r="M58" s="19" t="str">
        <x:v>总体</x:v>
      </x:c>
      <x:c r="N58" s="19" t="str">
        <x:v>输入易用性</x:v>
      </x:c>
      <x:c r="O58" s="19" t="n">
        <x:v>1</x:v>
      </x:c>
      <x:c r="P58" s="19" t="str">
        <x:v>控制变量</x:v>
      </x:c>
      <x:c r="Q58" s="19" t="str">
        <x:v>CC BY-NC-SA 4.0；中文语义翻译</x:v>
      </x:c>
      <x:c r="R58" s="19" t="str">
        <x:v>https://www.researchgate.net/publication/329443276_Handheld_Augmented_Reality_Usability_Scale_HARUS</x:v>
      </x:c>
      <x:c r="S58" s="19" t="str">
        <x:v>Questionnaire form</x:v>
      </x:c>
      <x:c r="T58" s="19" t="str"/>
      <x:c r="U58" s="19" t="str"/>
    </x:row>
    <x:row r="59" ht="47" customHeight="1">
      <x:c r="A59" s="19" t="str">
        <x:v>未决定</x:v>
      </x:c>
      <x:c r="B59" s="19" t="str">
        <x:v>B-邻近</x:v>
      </x:c>
      <x:c r="C59" s="19" t="str">
        <x:v>AR可用性</x:v>
      </x:c>
      <x:c r="D59" s="19" t="str">
        <x:v>Handheld Augmented Reality Usability Scale (HARUS)</x:v>
      </x:c>
      <x:c r="E59" s="19" t="str">
        <x:v>2015</x:v>
      </x:c>
      <x:c r="F59" s="19" t="str">
        <x:v>Manipulability</x:v>
      </x:c>
      <x:c r="G59" s="19" t="str">
        <x:v>HARUS5</x:v>
      </x:c>
      <x:c r="H59" s="19" t="str">
        <x:v>使用该应用后，我的手臂或双手感到疲劳。</x:v>
      </x:c>
      <x:c r="I59" s="19" t="str"/>
      <x:c r="J59" s="19" t="str">
        <x:v>反向</x:v>
      </x:c>
      <x:c r="K59" s="19" t="str">
        <x:v>7点：强烈不同意–强烈同意</x:v>
      </x:c>
      <x:c r="L59" s="19" t="str">
        <x:v>已验证</x:v>
      </x:c>
      <x:c r="M59" s="19" t="str">
        <x:v>总体</x:v>
      </x:c>
      <x:c r="N59" s="19" t="str">
        <x:v>疲劳</x:v>
      </x:c>
      <x:c r="O59" s="19" t="n">
        <x:v>0</x:v>
      </x:c>
      <x:c r="P59" s="19" t="str">
        <x:v>不建议</x:v>
      </x:c>
      <x:c r="Q59" s="19" t="str">
        <x:v>CC BY-NC-SA 4.0；中文语义翻译</x:v>
      </x:c>
      <x:c r="R59" s="19" t="str">
        <x:v>https://www.researchgate.net/publication/329443276_Handheld_Augmented_Reality_Usability_Scale_HARUS</x:v>
      </x:c>
      <x:c r="S59" s="19" t="str">
        <x:v>Questionnaire form</x:v>
      </x:c>
      <x:c r="T59" s="19" t="str"/>
      <x:c r="U59" s="19" t="str"/>
    </x:row>
    <x:row r="60" ht="47" customHeight="1">
      <x:c r="A60" s="19" t="str">
        <x:v>未决定</x:v>
      </x:c>
      <x:c r="B60" s="19" t="str">
        <x:v>B-邻近</x:v>
      </x:c>
      <x:c r="C60" s="19" t="str">
        <x:v>AR可用性</x:v>
      </x:c>
      <x:c r="D60" s="19" t="str">
        <x:v>Handheld Augmented Reality Usability Scale (HARUS)</x:v>
      </x:c>
      <x:c r="E60" s="19" t="str">
        <x:v>2015</x:v>
      </x:c>
      <x:c r="F60" s="19" t="str">
        <x:v>Manipulability</x:v>
      </x:c>
      <x:c r="G60" s="19" t="str">
        <x:v>HARUS6</x:v>
      </x:c>
      <x:c r="H60" s="19" t="str">
        <x:v>该应用容易控制。</x:v>
      </x:c>
      <x:c r="I60" s="19" t="str"/>
      <x:c r="J60" s="19" t="str">
        <x:v>正向</x:v>
      </x:c>
      <x:c r="K60" s="19" t="str">
        <x:v>7点：强烈不同意–强烈同意</x:v>
      </x:c>
      <x:c r="L60" s="19" t="str">
        <x:v>已验证</x:v>
      </x:c>
      <x:c r="M60" s="19" t="str">
        <x:v>总体</x:v>
      </x:c>
      <x:c r="N60" s="19" t="str">
        <x:v>控制性</x:v>
      </x:c>
      <x:c r="O60" s="19" t="n">
        <x:v>1</x:v>
      </x:c>
      <x:c r="P60" s="19" t="str">
        <x:v>控制变量</x:v>
      </x:c>
      <x:c r="Q60" s="19" t="str">
        <x:v>CC BY-NC-SA 4.0；中文语义翻译</x:v>
      </x:c>
      <x:c r="R60" s="19" t="str">
        <x:v>https://www.researchgate.net/publication/329443276_Handheld_Augmented_Reality_Usability_Scale_HARUS</x:v>
      </x:c>
      <x:c r="S60" s="19" t="str">
        <x:v>Questionnaire form</x:v>
      </x:c>
      <x:c r="T60" s="19" t="str"/>
      <x:c r="U60" s="19" t="str"/>
    </x:row>
    <x:row r="61" ht="47" customHeight="1">
      <x:c r="A61" s="19" t="str">
        <x:v>未决定</x:v>
      </x:c>
      <x:c r="B61" s="19" t="str">
        <x:v>B-邻近</x:v>
      </x:c>
      <x:c r="C61" s="19" t="str">
        <x:v>AR可用性</x:v>
      </x:c>
      <x:c r="D61" s="19" t="str">
        <x:v>Handheld Augmented Reality Usability Scale (HARUS)</x:v>
      </x:c>
      <x:c r="E61" s="19" t="str">
        <x:v>2015</x:v>
      </x:c>
      <x:c r="F61" s="19" t="str">
        <x:v>Manipulability</x:v>
      </x:c>
      <x:c r="G61" s="19" t="str">
        <x:v>HARUS7</x:v>
      </x:c>
      <x:c r="H61" s="19" t="str">
        <x:v>操作过程中我担心失去握持或掉落设备。</x:v>
      </x:c>
      <x:c r="I61" s="19" t="str"/>
      <x:c r="J61" s="19" t="str">
        <x:v>反向</x:v>
      </x:c>
      <x:c r="K61" s="19" t="str">
        <x:v>7点：强烈不同意–强烈同意</x:v>
      </x:c>
      <x:c r="L61" s="19" t="str">
        <x:v>已验证</x:v>
      </x:c>
      <x:c r="M61" s="19" t="str">
        <x:v>总体</x:v>
      </x:c>
      <x:c r="N61" s="19" t="str">
        <x:v>握持风险</x:v>
      </x:c>
      <x:c r="O61" s="19" t="n">
        <x:v>0</x:v>
      </x:c>
      <x:c r="P61" s="19" t="str">
        <x:v>不建议</x:v>
      </x:c>
      <x:c r="Q61" s="19" t="str">
        <x:v>CC BY-NC-SA 4.0；中文语义翻译</x:v>
      </x:c>
      <x:c r="R61" s="19" t="str">
        <x:v>https://www.researchgate.net/publication/329443276_Handheld_Augmented_Reality_Usability_Scale_HARUS</x:v>
      </x:c>
      <x:c r="S61" s="19" t="str">
        <x:v>Questionnaire form</x:v>
      </x:c>
      <x:c r="T61" s="19" t="str"/>
      <x:c r="U61" s="19" t="str"/>
    </x:row>
    <x:row r="62" ht="47" customHeight="1">
      <x:c r="A62" s="19" t="str">
        <x:v>未决定</x:v>
      </x:c>
      <x:c r="B62" s="19" t="str">
        <x:v>B-邻近</x:v>
      </x:c>
      <x:c r="C62" s="19" t="str">
        <x:v>AR可用性</x:v>
      </x:c>
      <x:c r="D62" s="19" t="str">
        <x:v>Handheld Augmented Reality Usability Scale (HARUS)</x:v>
      </x:c>
      <x:c r="E62" s="19" t="str">
        <x:v>2015</x:v>
      </x:c>
      <x:c r="F62" s="19" t="str">
        <x:v>Manipulability</x:v>
      </x:c>
      <x:c r="G62" s="19" t="str">
        <x:v>HARUS8</x:v>
      </x:c>
      <x:c r="H62" s="19" t="str">
        <x:v>该应用的操作简单且不复杂。</x:v>
      </x:c>
      <x:c r="I62" s="19" t="str"/>
      <x:c r="J62" s="19" t="str">
        <x:v>正向</x:v>
      </x:c>
      <x:c r="K62" s="19" t="str">
        <x:v>7点：强烈不同意–强烈同意</x:v>
      </x:c>
      <x:c r="L62" s="19" t="str">
        <x:v>已验证</x:v>
      </x:c>
      <x:c r="M62" s="19" t="str">
        <x:v>总体</x:v>
      </x:c>
      <x:c r="N62" s="19" t="str">
        <x:v>操作简洁</x:v>
      </x:c>
      <x:c r="O62" s="19" t="n">
        <x:v>1</x:v>
      </x:c>
      <x:c r="P62" s="19" t="str">
        <x:v>控制变量</x:v>
      </x:c>
      <x:c r="Q62" s="19" t="str">
        <x:v>CC BY-NC-SA 4.0；中文语义翻译</x:v>
      </x:c>
      <x:c r="R62" s="19" t="str">
        <x:v>https://www.researchgate.net/publication/329443276_Handheld_Augmented_Reality_Usability_Scale_HARUS</x:v>
      </x:c>
      <x:c r="S62" s="19" t="str">
        <x:v>Questionnaire form</x:v>
      </x:c>
      <x:c r="T62" s="19" t="str"/>
      <x:c r="U62" s="19" t="str"/>
    </x:row>
    <x:row r="63" ht="47" customHeight="1">
      <x:c r="A63" s="19" t="str">
        <x:v>未决定</x:v>
      </x:c>
      <x:c r="B63" s="19" t="str">
        <x:v>B-邻近</x:v>
      </x:c>
      <x:c r="C63" s="19" t="str">
        <x:v>AR可用性</x:v>
      </x:c>
      <x:c r="D63" s="19" t="str">
        <x:v>Handheld Augmented Reality Usability Scale (HARUS)</x:v>
      </x:c>
      <x:c r="E63" s="19" t="str">
        <x:v>2015</x:v>
      </x:c>
      <x:c r="F63" s="19" t="str">
        <x:v>Comprehensibility</x:v>
      </x:c>
      <x:c r="G63" s="19" t="str">
        <x:v>HARUS9</x:v>
      </x:c>
      <x:c r="H63" s="19" t="str">
        <x:v>使用该应用需要大量脑力。</x:v>
      </x:c>
      <x:c r="I63" s="19" t="str"/>
      <x:c r="J63" s="19" t="str">
        <x:v>反向</x:v>
      </x:c>
      <x:c r="K63" s="19" t="str">
        <x:v>7点：强烈不同意–强烈同意</x:v>
      </x:c>
      <x:c r="L63" s="19" t="str">
        <x:v>已验证</x:v>
      </x:c>
      <x:c r="M63" s="19" t="str">
        <x:v>总体</x:v>
      </x:c>
      <x:c r="N63" s="19" t="str">
        <x:v>心理负担</x:v>
      </x:c>
      <x:c r="O63" s="19" t="n">
        <x:v>1</x:v>
      </x:c>
      <x:c r="P63" s="19" t="str">
        <x:v>控制变量</x:v>
      </x:c>
      <x:c r="Q63" s="19" t="str">
        <x:v>CC BY-NC-SA 4.0；中文语义翻译</x:v>
      </x:c>
      <x:c r="R63" s="19" t="str">
        <x:v>https://www.researchgate.net/publication/329443276_Handheld_Augmented_Reality_Usability_Scale_HARUS</x:v>
      </x:c>
      <x:c r="S63" s="19" t="str">
        <x:v>Questionnaire form</x:v>
      </x:c>
      <x:c r="T63" s="19" t="str"/>
      <x:c r="U63" s="19" t="str"/>
    </x:row>
    <x:row r="64" ht="47" customHeight="1">
      <x:c r="A64" s="19" t="str">
        <x:v>未决定</x:v>
      </x:c>
      <x:c r="B64" s="19" t="str">
        <x:v>B-邻近</x:v>
      </x:c>
      <x:c r="C64" s="19" t="str">
        <x:v>AR可用性</x:v>
      </x:c>
      <x:c r="D64" s="19" t="str">
        <x:v>Handheld Augmented Reality Usability Scale (HARUS)</x:v>
      </x:c>
      <x:c r="E64" s="19" t="str">
        <x:v>2015</x:v>
      </x:c>
      <x:c r="F64" s="19" t="str">
        <x:v>Comprehensibility</x:v>
      </x:c>
      <x:c r="G64" s="19" t="str">
        <x:v>HARUS10</x:v>
      </x:c>
      <x:c r="H64" s="19" t="str">
        <x:v>屏幕显示的信息量是合适的。</x:v>
      </x:c>
      <x:c r="I64" s="19" t="str"/>
      <x:c r="J64" s="19" t="str">
        <x:v>正向</x:v>
      </x:c>
      <x:c r="K64" s="19" t="str">
        <x:v>7点：强烈不同意–强烈同意</x:v>
      </x:c>
      <x:c r="L64" s="19" t="str">
        <x:v>已验证</x:v>
      </x:c>
      <x:c r="M64" s="19" t="str">
        <x:v>总体</x:v>
      </x:c>
      <x:c r="N64" s="19" t="str">
        <x:v>信息量</x:v>
      </x:c>
      <x:c r="O64" s="19" t="n">
        <x:v>0</x:v>
      </x:c>
      <x:c r="P64" s="19" t="str">
        <x:v>不建议</x:v>
      </x:c>
      <x:c r="Q64" s="19" t="str">
        <x:v>CC BY-NC-SA 4.0；中文语义翻译</x:v>
      </x:c>
      <x:c r="R64" s="19" t="str">
        <x:v>https://www.researchgate.net/publication/329443276_Handheld_Augmented_Reality_Usability_Scale_HARUS</x:v>
      </x:c>
      <x:c r="S64" s="19" t="str">
        <x:v>Questionnaire form</x:v>
      </x:c>
      <x:c r="T64" s="19" t="str"/>
      <x:c r="U64" s="19" t="str"/>
    </x:row>
    <x:row r="65" ht="47" customHeight="1">
      <x:c r="A65" s="19" t="str">
        <x:v>未决定</x:v>
      </x:c>
      <x:c r="B65" s="19" t="str">
        <x:v>B-邻近</x:v>
      </x:c>
      <x:c r="C65" s="19" t="str">
        <x:v>AR可用性</x:v>
      </x:c>
      <x:c r="D65" s="19" t="str">
        <x:v>Handheld Augmented Reality Usability Scale (HARUS)</x:v>
      </x:c>
      <x:c r="E65" s="19" t="str">
        <x:v>2015</x:v>
      </x:c>
      <x:c r="F65" s="19" t="str">
        <x:v>Comprehensibility</x:v>
      </x:c>
      <x:c r="G65" s="19" t="str">
        <x:v>HARUS11</x:v>
      </x:c>
      <x:c r="H65" s="19" t="str">
        <x:v>屏幕上的信息难以阅读。</x:v>
      </x:c>
      <x:c r="I65" s="19" t="str"/>
      <x:c r="J65" s="19" t="str">
        <x:v>反向</x:v>
      </x:c>
      <x:c r="K65" s="19" t="str">
        <x:v>7点：强烈不同意–强烈同意</x:v>
      </x:c>
      <x:c r="L65" s="19" t="str">
        <x:v>已验证</x:v>
      </x:c>
      <x:c r="M65" s="19" t="str">
        <x:v>总体</x:v>
      </x:c>
      <x:c r="N65" s="19" t="str">
        <x:v>可读性</x:v>
      </x:c>
      <x:c r="O65" s="19" t="n">
        <x:v>0</x:v>
      </x:c>
      <x:c r="P65" s="19" t="str">
        <x:v>不建议</x:v>
      </x:c>
      <x:c r="Q65" s="19" t="str">
        <x:v>CC BY-NC-SA 4.0；中文语义翻译</x:v>
      </x:c>
      <x:c r="R65" s="19" t="str">
        <x:v>https://www.researchgate.net/publication/329443276_Handheld_Augmented_Reality_Usability_Scale_HARUS</x:v>
      </x:c>
      <x:c r="S65" s="19" t="str">
        <x:v>Questionnaire form</x:v>
      </x:c>
      <x:c r="T65" s="19" t="str"/>
      <x:c r="U65" s="19" t="str"/>
    </x:row>
    <x:row r="66" ht="47" customHeight="1">
      <x:c r="A66" s="19" t="str">
        <x:v>未决定</x:v>
      </x:c>
      <x:c r="B66" s="19" t="str">
        <x:v>B-邻近</x:v>
      </x:c>
      <x:c r="C66" s="19" t="str">
        <x:v>AR可用性</x:v>
      </x:c>
      <x:c r="D66" s="19" t="str">
        <x:v>Handheld Augmented Reality Usability Scale (HARUS)</x:v>
      </x:c>
      <x:c r="E66" s="19" t="str">
        <x:v>2015</x:v>
      </x:c>
      <x:c r="F66" s="19" t="str">
        <x:v>Comprehensibility</x:v>
      </x:c>
      <x:c r="G66" s="19" t="str">
        <x:v>HARUS12</x:v>
      </x:c>
      <x:c r="H66" s="19" t="str">
        <x:v>信息显示的响应速度足够快。</x:v>
      </x:c>
      <x:c r="I66" s="19" t="str"/>
      <x:c r="J66" s="19" t="str">
        <x:v>正向</x:v>
      </x:c>
      <x:c r="K66" s="19" t="str">
        <x:v>7点：强烈不同意–强烈同意</x:v>
      </x:c>
      <x:c r="L66" s="19" t="str">
        <x:v>已验证</x:v>
      </x:c>
      <x:c r="M66" s="19" t="str">
        <x:v>总体</x:v>
      </x:c>
      <x:c r="N66" s="19" t="str">
        <x:v>显示响应速度</x:v>
      </x:c>
      <x:c r="O66" s="19" t="n">
        <x:v>2</x:v>
      </x:c>
      <x:c r="P66" s="19" t="str">
        <x:v>改编候选</x:v>
      </x:c>
      <x:c r="Q66" s="19" t="str">
        <x:v>CC BY-NC-SA 4.0；中文语义翻译</x:v>
      </x:c>
      <x:c r="R66" s="19" t="str">
        <x:v>https://www.researchgate.net/publication/329443276_Handheld_Augmented_Reality_Usability_Scale_HARUS</x:v>
      </x:c>
      <x:c r="S66" s="19" t="str">
        <x:v>Questionnaire form</x:v>
      </x:c>
      <x:c r="T66" s="19" t="str"/>
      <x:c r="U66" s="19" t="str"/>
    </x:row>
    <x:row r="67" ht="47" customHeight="1">
      <x:c r="A67" s="19" t="str">
        <x:v>未决定</x:v>
      </x:c>
      <x:c r="B67" s="19" t="str">
        <x:v>B-邻近</x:v>
      </x:c>
      <x:c r="C67" s="19" t="str">
        <x:v>AR可用性</x:v>
      </x:c>
      <x:c r="D67" s="19" t="str">
        <x:v>Handheld Augmented Reality Usability Scale (HARUS)</x:v>
      </x:c>
      <x:c r="E67" s="19" t="str">
        <x:v>2015</x:v>
      </x:c>
      <x:c r="F67" s="19" t="str">
        <x:v>Comprehensibility</x:v>
      </x:c>
      <x:c r="G67" s="19" t="str">
        <x:v>HARUS13</x:v>
      </x:c>
      <x:c r="H67" s="19" t="str">
        <x:v>屏幕上的信息令人困惑。</x:v>
      </x:c>
      <x:c r="I67" s="19" t="str"/>
      <x:c r="J67" s="19" t="str">
        <x:v>反向</x:v>
      </x:c>
      <x:c r="K67" s="19" t="str">
        <x:v>7点：强烈不同意–强烈同意</x:v>
      </x:c>
      <x:c r="L67" s="19" t="str">
        <x:v>已验证</x:v>
      </x:c>
      <x:c r="M67" s="19" t="str">
        <x:v>总体</x:v>
      </x:c>
      <x:c r="N67" s="19" t="str">
        <x:v>信息清晰度</x:v>
      </x:c>
      <x:c r="O67" s="19" t="n">
        <x:v>0</x:v>
      </x:c>
      <x:c r="P67" s="19" t="str">
        <x:v>不建议</x:v>
      </x:c>
      <x:c r="Q67" s="19" t="str">
        <x:v>CC BY-NC-SA 4.0；中文语义翻译</x:v>
      </x:c>
      <x:c r="R67" s="19" t="str">
        <x:v>https://www.researchgate.net/publication/329443276_Handheld_Augmented_Reality_Usability_Scale_HARUS</x:v>
      </x:c>
      <x:c r="S67" s="19" t="str">
        <x:v>Questionnaire form</x:v>
      </x:c>
      <x:c r="T67" s="19" t="str"/>
      <x:c r="U67" s="19" t="str"/>
    </x:row>
    <x:row r="68" ht="47" customHeight="1">
      <x:c r="A68" s="19" t="str">
        <x:v>未决定</x:v>
      </x:c>
      <x:c r="B68" s="19" t="str">
        <x:v>B-邻近</x:v>
      </x:c>
      <x:c r="C68" s="19" t="str">
        <x:v>AR可用性</x:v>
      </x:c>
      <x:c r="D68" s="19" t="str">
        <x:v>Handheld Augmented Reality Usability Scale (HARUS)</x:v>
      </x:c>
      <x:c r="E68" s="19" t="str">
        <x:v>2015</x:v>
      </x:c>
      <x:c r="F68" s="19" t="str">
        <x:v>Comprehensibility</x:v>
      </x:c>
      <x:c r="G68" s="19" t="str">
        <x:v>HARUS14</x:v>
      </x:c>
      <x:c r="H68" s="19" t="str">
        <x:v>屏幕上的文字和符号容易阅读。</x:v>
      </x:c>
      <x:c r="I68" s="19" t="str"/>
      <x:c r="J68" s="19" t="str">
        <x:v>正向</x:v>
      </x:c>
      <x:c r="K68" s="19" t="str">
        <x:v>7点：强烈不同意–强烈同意</x:v>
      </x:c>
      <x:c r="L68" s="19" t="str">
        <x:v>已验证</x:v>
      </x:c>
      <x:c r="M68" s="19" t="str">
        <x:v>总体</x:v>
      </x:c>
      <x:c r="N68" s="19" t="str">
        <x:v>可读性</x:v>
      </x:c>
      <x:c r="O68" s="19" t="n">
        <x:v>0</x:v>
      </x:c>
      <x:c r="P68" s="19" t="str">
        <x:v>不建议</x:v>
      </x:c>
      <x:c r="Q68" s="19" t="str">
        <x:v>CC BY-NC-SA 4.0；中文语义翻译</x:v>
      </x:c>
      <x:c r="R68" s="19" t="str">
        <x:v>https://www.researchgate.net/publication/329443276_Handheld_Augmented_Reality_Usability_Scale_HARUS</x:v>
      </x:c>
      <x:c r="S68" s="19" t="str">
        <x:v>Questionnaire form</x:v>
      </x:c>
      <x:c r="T68" s="19" t="str"/>
      <x:c r="U68" s="19" t="str"/>
    </x:row>
    <x:row r="69" ht="47" customHeight="1">
      <x:c r="A69" s="19" t="str">
        <x:v>未决定</x:v>
      </x:c>
      <x:c r="B69" s="19" t="str">
        <x:v>B-邻近</x:v>
      </x:c>
      <x:c r="C69" s="19" t="str">
        <x:v>AR可用性</x:v>
      </x:c>
      <x:c r="D69" s="19" t="str">
        <x:v>Handheld Augmented Reality Usability Scale (HARUS)</x:v>
      </x:c>
      <x:c r="E69" s="19" t="str">
        <x:v>2015</x:v>
      </x:c>
      <x:c r="F69" s="19" t="str">
        <x:v>Comprehensibility</x:v>
      </x:c>
      <x:c r="G69" s="19" t="str">
        <x:v>HARUS15</x:v>
      </x:c>
      <x:c r="H69" s="19" t="str">
        <x:v>显示画面闪烁得太明显。</x:v>
      </x:c>
      <x:c r="I69" s="19" t="str"/>
      <x:c r="J69" s="19" t="str">
        <x:v>反向</x:v>
      </x:c>
      <x:c r="K69" s="19" t="str">
        <x:v>7点：强烈不同意–强烈同意</x:v>
      </x:c>
      <x:c r="L69" s="19" t="str">
        <x:v>已验证</x:v>
      </x:c>
      <x:c r="M69" s="19" t="str">
        <x:v>总体</x:v>
      </x:c>
      <x:c r="N69" s="19" t="str">
        <x:v>视觉不稳定；闪烁</x:v>
      </x:c>
      <x:c r="O69" s="19" t="n">
        <x:v>2</x:v>
      </x:c>
      <x:c r="P69" s="19" t="str">
        <x:v>改编候选</x:v>
      </x:c>
      <x:c r="Q69" s="19" t="str">
        <x:v>CC BY-NC-SA 4.0；中文语义翻译</x:v>
      </x:c>
      <x:c r="R69" s="19" t="str">
        <x:v>https://www.researchgate.net/publication/329443276_Handheld_Augmented_Reality_Usability_Scale_HARUS</x:v>
      </x:c>
      <x:c r="S69" s="19" t="str">
        <x:v>Questionnaire form</x:v>
      </x:c>
      <x:c r="T69" s="19" t="str"/>
      <x:c r="U69" s="19" t="str"/>
    </x:row>
    <x:row r="70" ht="47" customHeight="1">
      <x:c r="A70" s="19" t="str">
        <x:v>未决定</x:v>
      </x:c>
      <x:c r="B70" s="19" t="str">
        <x:v>B-邻近</x:v>
      </x:c>
      <x:c r="C70" s="19" t="str">
        <x:v>AR可用性</x:v>
      </x:c>
      <x:c r="D70" s="19" t="str">
        <x:v>Handheld Augmented Reality Usability Scale (HARUS)</x:v>
      </x:c>
      <x:c r="E70" s="19" t="str">
        <x:v>2015</x:v>
      </x:c>
      <x:c r="F70" s="19" t="str">
        <x:v>Comprehensibility</x:v>
      </x:c>
      <x:c r="G70" s="19" t="str">
        <x:v>HARUS16</x:v>
      </x:c>
      <x:c r="H70" s="19" t="str">
        <x:v>屏幕显示的信息保持一致。</x:v>
      </x:c>
      <x:c r="I70" s="19" t="str"/>
      <x:c r="J70" s="19" t="str">
        <x:v>正向</x:v>
      </x:c>
      <x:c r="K70" s="19" t="str">
        <x:v>7点：强烈不同意–强烈同意</x:v>
      </x:c>
      <x:c r="L70" s="19" t="str">
        <x:v>已验证</x:v>
      </x:c>
      <x:c r="M70" s="19" t="str">
        <x:v>总体</x:v>
      </x:c>
      <x:c r="N70" s="19" t="str">
        <x:v>信息一致性</x:v>
      </x:c>
      <x:c r="O70" s="19" t="n">
        <x:v>2</x:v>
      </x:c>
      <x:c r="P70" s="19" t="str">
        <x:v>改编候选</x:v>
      </x:c>
      <x:c r="Q70" s="19" t="str">
        <x:v>CC BY-NC-SA 4.0；中文语义翻译</x:v>
      </x:c>
      <x:c r="R70" s="19" t="str">
        <x:v>https://www.researchgate.net/publication/329443276_Handheld_Augmented_Reality_Usability_Scale_HARUS</x:v>
      </x:c>
      <x:c r="S70" s="19" t="str">
        <x:v>Questionnaire form</x:v>
      </x:c>
      <x:c r="T70" s="19" t="str"/>
      <x:c r="U70" s="19" t="str"/>
    </x:row>
    <x:row r="71" ht="47" customHeight="1">
      <x:c r="A71" s="19" t="str">
        <x:v>未决定</x:v>
      </x:c>
      <x:c r="B71" s="19" t="str">
        <x:v>B-邻近</x:v>
      </x:c>
      <x:c r="C71" s="19" t="str">
        <x:v>VR存在感/系统保真</x:v>
      </x:c>
      <x:c r="D71" s="19" t="str">
        <x:v>Fidelity-based Presence Scale (FPS)</x:v>
      </x:c>
      <x:c r="E71" s="19" t="str">
        <x:v>2025</x:v>
      </x:c>
      <x:c r="F71" s="19" t="str">
        <x:v>Display Fidelity</x:v>
      </x:c>
      <x:c r="G71" s="19" t="str">
        <x:v>FPS1</x:v>
      </x:c>
      <x:c r="H71" s="19" t="str">
        <x:v>我身处虚拟世界的感觉类似于身处一个真实地点。</x:v>
      </x:c>
      <x:c r="I71" s="19" t="str"/>
      <x:c r="J71" s="19" t="str">
        <x:v>正向</x:v>
      </x:c>
      <x:c r="K71" s="19" t="str">
        <x:v>7点同意度</x:v>
      </x:c>
      <x:c r="L71" s="19" t="str">
        <x:v>Delphi+EFA验证</x:v>
      </x:c>
      <x:c r="M71" s="19" t="str">
        <x:v>总体</x:v>
      </x:c>
      <x:c r="N71" s="19" t="str">
        <x:v>总体场所感</x:v>
      </x:c>
      <x:c r="O71" s="19" t="n">
        <x:v>1</x:v>
      </x:c>
      <x:c r="P71" s="19" t="str">
        <x:v>低优先级</x:v>
      </x:c>
      <x:c r="Q71" s="19" t="str">
        <x:v>CC BY 4.0预印本；中文语义翻译</x:v>
      </x:c>
      <x:c r="R71" s="19" t="str">
        <x:v>https://arxiv.org/abs/2504.04355</x:v>
      </x:c>
      <x:c r="S71" s="19" t="str">
        <x:v>Final 10-item FPS</x:v>
      </x:c>
      <x:c r="T71" s="19" t="str"/>
      <x:c r="U71" s="19" t="str"/>
    </x:row>
    <x:row r="72" ht="47" customHeight="1">
      <x:c r="A72" s="19" t="str">
        <x:v>未决定</x:v>
      </x:c>
      <x:c r="B72" s="19" t="str">
        <x:v>B-邻近</x:v>
      </x:c>
      <x:c r="C72" s="19" t="str">
        <x:v>VR存在感/系统保真</x:v>
      </x:c>
      <x:c r="D72" s="19" t="str">
        <x:v>Fidelity-based Presence Scale (FPS)</x:v>
      </x:c>
      <x:c r="E72" s="19" t="str">
        <x:v>2025</x:v>
      </x:c>
      <x:c r="F72" s="19" t="str">
        <x:v>Display Fidelity</x:v>
      </x:c>
      <x:c r="G72" s="19" t="str">
        <x:v>FPS2</x:v>
      </x:c>
      <x:c r="H72" s="19" t="str">
        <x:v>在体验过程中，虚拟世界有时对我而言成为了现实。</x:v>
      </x:c>
      <x:c r="I72" s="19" t="str"/>
      <x:c r="J72" s="19" t="str">
        <x:v>正向</x:v>
      </x:c>
      <x:c r="K72" s="19" t="str">
        <x:v>7点同意度</x:v>
      </x:c>
      <x:c r="L72" s="19" t="str">
        <x:v>Delphi+EFA验证</x:v>
      </x:c>
      <x:c r="M72" s="19" t="str">
        <x:v>总体</x:v>
      </x:c>
      <x:c r="N72" s="19" t="str">
        <x:v>现实替代感</x:v>
      </x:c>
      <x:c r="O72" s="19" t="n">
        <x:v>1</x:v>
      </x:c>
      <x:c r="P72" s="19" t="str">
        <x:v>低优先级</x:v>
      </x:c>
      <x:c r="Q72" s="19" t="str">
        <x:v>CC BY 4.0预印本；中文语义翻译</x:v>
      </x:c>
      <x:c r="R72" s="19" t="str">
        <x:v>https://arxiv.org/abs/2504.04355</x:v>
      </x:c>
      <x:c r="S72" s="19" t="str">
        <x:v>Final 10-item FPS</x:v>
      </x:c>
      <x:c r="T72" s="19" t="str"/>
      <x:c r="U72" s="19" t="str"/>
    </x:row>
    <x:row r="73" ht="47" customHeight="1">
      <x:c r="A73" s="19" t="str">
        <x:v>未决定</x:v>
      </x:c>
      <x:c r="B73" s="19" t="str">
        <x:v>B-邻近</x:v>
      </x:c>
      <x:c r="C73" s="19" t="str">
        <x:v>VR存在感/系统保真</x:v>
      </x:c>
      <x:c r="D73" s="19" t="str">
        <x:v>Fidelity-based Presence Scale (FPS)</x:v>
      </x:c>
      <x:c r="E73" s="19" t="str">
        <x:v>2025</x:v>
      </x:c>
      <x:c r="F73" s="19" t="str">
        <x:v>Display Fidelity</x:v>
      </x:c>
      <x:c r="G73" s="19" t="str">
        <x:v>FPS3</x:v>
      </x:c>
      <x:c r="H73" s="19" t="str">
        <x:v>我感觉自己确实位于虚拟世界中。</x:v>
      </x:c>
      <x:c r="I73" s="19" t="str"/>
      <x:c r="J73" s="19" t="str">
        <x:v>正向</x:v>
      </x:c>
      <x:c r="K73" s="19" t="str">
        <x:v>7点同意度</x:v>
      </x:c>
      <x:c r="L73" s="19" t="str">
        <x:v>Delphi+EFA验证</x:v>
      </x:c>
      <x:c r="M73" s="19" t="str">
        <x:v>总体</x:v>
      </x:c>
      <x:c r="N73" s="19" t="str">
        <x:v>空间存在感</x:v>
      </x:c>
      <x:c r="O73" s="19" t="n">
        <x:v>1</x:v>
      </x:c>
      <x:c r="P73" s="19" t="str">
        <x:v>低优先级</x:v>
      </x:c>
      <x:c r="Q73" s="19" t="str">
        <x:v>CC BY 4.0预印本；中文语义翻译</x:v>
      </x:c>
      <x:c r="R73" s="19" t="str">
        <x:v>https://arxiv.org/abs/2504.04355</x:v>
      </x:c>
      <x:c r="S73" s="19" t="str">
        <x:v>Final 10-item FPS</x:v>
      </x:c>
      <x:c r="T73" s="19" t="str"/>
      <x:c r="U73" s="19" t="str"/>
    </x:row>
    <x:row r="74" ht="47" customHeight="1">
      <x:c r="A74" s="19" t="str">
        <x:v>未决定</x:v>
      </x:c>
      <x:c r="B74" s="19" t="str">
        <x:v>B-邻近</x:v>
      </x:c>
      <x:c r="C74" s="19" t="str">
        <x:v>VR存在感/系统保真</x:v>
      </x:c>
      <x:c r="D74" s="19" t="str">
        <x:v>Fidelity-based Presence Scale (FPS)</x:v>
      </x:c>
      <x:c r="E74" s="19" t="str">
        <x:v>2025</x:v>
      </x:c>
      <x:c r="F74" s="19" t="str">
        <x:v>Scenario Fidelity</x:v>
      </x:c>
      <x:c r="G74" s="19" t="str">
        <x:v>FPS4</x:v>
      </x:c>
      <x:c r="H74" s="19" t="str">
        <x:v>我感觉自己存在于虚拟世界中。</x:v>
      </x:c>
      <x:c r="I74" s="19" t="str"/>
      <x:c r="J74" s="19" t="str">
        <x:v>正向</x:v>
      </x:c>
      <x:c r="K74" s="19" t="str">
        <x:v>7点同意度</x:v>
      </x:c>
      <x:c r="L74" s="19" t="str">
        <x:v>Delphi+EFA验证</x:v>
      </x:c>
      <x:c r="M74" s="19" t="str">
        <x:v>总体</x:v>
      </x:c>
      <x:c r="N74" s="19" t="str">
        <x:v>空间存在感</x:v>
      </x:c>
      <x:c r="O74" s="19" t="n">
        <x:v>1</x:v>
      </x:c>
      <x:c r="P74" s="19" t="str">
        <x:v>低优先级</x:v>
      </x:c>
      <x:c r="Q74" s="19" t="str">
        <x:v>CC BY 4.0预印本；中文语义翻译</x:v>
      </x:c>
      <x:c r="R74" s="19" t="str">
        <x:v>https://arxiv.org/abs/2504.04355</x:v>
      </x:c>
      <x:c r="S74" s="19" t="str">
        <x:v>Final 10-item FPS</x:v>
      </x:c>
      <x:c r="T74" s="19" t="str"/>
      <x:c r="U74" s="19" t="str"/>
    </x:row>
    <x:row r="75" ht="47" customHeight="1">
      <x:c r="A75" s="19" t="str">
        <x:v>未决定</x:v>
      </x:c>
      <x:c r="B75" s="19" t="str">
        <x:v>B-邻近</x:v>
      </x:c>
      <x:c r="C75" s="19" t="str">
        <x:v>VR存在感/系统保真</x:v>
      </x:c>
      <x:c r="D75" s="19" t="str">
        <x:v>Fidelity-based Presence Scale (FPS)</x:v>
      </x:c>
      <x:c r="E75" s="19" t="str">
        <x:v>2025</x:v>
      </x:c>
      <x:c r="F75" s="19" t="str">
        <x:v>Interaction Fidelity</x:v>
      </x:c>
      <x:c r="G75" s="19" t="str">
        <x:v>FPS5</x:v>
      </x:c>
      <x:c r="H75" s="19" t="str">
        <x:v>我感觉自己能够控制在虚拟世界中的动作。</x:v>
      </x:c>
      <x:c r="I75" s="19" t="str"/>
      <x:c r="J75" s="19" t="str">
        <x:v>正向</x:v>
      </x:c>
      <x:c r="K75" s="19" t="str">
        <x:v>7点同意度</x:v>
      </x:c>
      <x:c r="L75" s="19" t="str">
        <x:v>Delphi+EFA验证</x:v>
      </x:c>
      <x:c r="M75" s="19" t="str">
        <x:v>运动</x:v>
      </x:c>
      <x:c r="N75" s="19" t="str">
        <x:v>控制感；agency</x:v>
      </x:c>
      <x:c r="O75" s="19" t="n">
        <x:v>2</x:v>
      </x:c>
      <x:c r="P75" s="19" t="str">
        <x:v>备选</x:v>
      </x:c>
      <x:c r="Q75" s="19" t="str">
        <x:v>CC BY 4.0预印本；中文语义翻译</x:v>
      </x:c>
      <x:c r="R75" s="19" t="str">
        <x:v>https://arxiv.org/abs/2504.04355</x:v>
      </x:c>
      <x:c r="S75" s="19" t="str">
        <x:v>Final 10-item FPS</x:v>
      </x:c>
      <x:c r="T75" s="19" t="str"/>
      <x:c r="U75" s="19" t="str"/>
    </x:row>
    <x:row r="76" ht="47" customHeight="1">
      <x:c r="A76" s="19" t="str">
        <x:v>未决定</x:v>
      </x:c>
      <x:c r="B76" s="19" t="str">
        <x:v>B-邻近</x:v>
      </x:c>
      <x:c r="C76" s="19" t="str">
        <x:v>VR存在感/系统保真</x:v>
      </x:c>
      <x:c r="D76" s="19" t="str">
        <x:v>Fidelity-based Presence Scale (FPS)</x:v>
      </x:c>
      <x:c r="E76" s="19" t="str">
        <x:v>2025</x:v>
      </x:c>
      <x:c r="F76" s="19" t="str">
        <x:v>Interaction Fidelity</x:v>
      </x:c>
      <x:c r="G76" s="19" t="str">
        <x:v>FPS6</x:v>
      </x:c>
      <x:c r="H76" s="19" t="str">
        <x:v>虚拟世界会对我的动作作出响应。</x:v>
      </x:c>
      <x:c r="I76" s="19" t="str"/>
      <x:c r="J76" s="19" t="str">
        <x:v>正向</x:v>
      </x:c>
      <x:c r="K76" s="19" t="str">
        <x:v>7点同意度</x:v>
      </x:c>
      <x:c r="L76" s="19" t="str">
        <x:v>Delphi+EFA验证</x:v>
      </x:c>
      <x:c r="M76" s="19" t="str">
        <x:v>运动</x:v>
      </x:c>
      <x:c r="N76" s="19" t="str">
        <x:v>响应性</x:v>
      </x:c>
      <x:c r="O76" s="19" t="n">
        <x:v>3</x:v>
      </x:c>
      <x:c r="P76" s="19" t="str">
        <x:v>直接候选</x:v>
      </x:c>
      <x:c r="Q76" s="19" t="str">
        <x:v>CC BY 4.0预印本；中文语义翻译</x:v>
      </x:c>
      <x:c r="R76" s="19" t="str">
        <x:v>https://arxiv.org/abs/2504.04355</x:v>
      </x:c>
      <x:c r="S76" s="19" t="str">
        <x:v>Final 10-item FPS</x:v>
      </x:c>
      <x:c r="T76" s="19" t="str"/>
      <x:c r="U76" s="19" t="str"/>
    </x:row>
    <x:row r="77" ht="47" customHeight="1">
      <x:c r="A77" s="19" t="str">
        <x:v>未决定</x:v>
      </x:c>
      <x:c r="B77" s="19" t="str">
        <x:v>B-邻近</x:v>
      </x:c>
      <x:c r="C77" s="19" t="str">
        <x:v>VR存在感/系统保真</x:v>
      </x:c>
      <x:c r="D77" s="19" t="str">
        <x:v>Fidelity-based Presence Scale (FPS)</x:v>
      </x:c>
      <x:c r="E77" s="19" t="str">
        <x:v>2025</x:v>
      </x:c>
      <x:c r="F77" s="19" t="str">
        <x:v>Interaction Fidelity</x:v>
      </x:c>
      <x:c r="G77" s="19" t="str">
        <x:v>FPS7</x:v>
      </x:c>
      <x:c r="H77" s="19" t="str">
        <x:v>我能够轻松地移动或操纵虚拟对象。</x:v>
      </x:c>
      <x:c r="I77" s="19" t="str"/>
      <x:c r="J77" s="19" t="str">
        <x:v>正向</x:v>
      </x:c>
      <x:c r="K77" s="19" t="str">
        <x:v>7点同意度</x:v>
      </x:c>
      <x:c r="L77" s="19" t="str">
        <x:v>Delphi+EFA验证</x:v>
      </x:c>
      <x:c r="M77" s="19" t="str">
        <x:v>运动</x:v>
      </x:c>
      <x:c r="N77" s="19" t="str">
        <x:v>交互控制</x:v>
      </x:c>
      <x:c r="O77" s="19" t="n">
        <x:v>1</x:v>
      </x:c>
      <x:c r="P77" s="19" t="str">
        <x:v>低优先级</x:v>
      </x:c>
      <x:c r="Q77" s="19" t="str">
        <x:v>CC BY 4.0预印本；中文语义翻译</x:v>
      </x:c>
      <x:c r="R77" s="19" t="str">
        <x:v>https://arxiv.org/abs/2504.04355</x:v>
      </x:c>
      <x:c r="S77" s="19" t="str">
        <x:v>Final 10-item FPS</x:v>
      </x:c>
      <x:c r="T77" s="19" t="str"/>
      <x:c r="U77" s="19" t="str"/>
    </x:row>
    <x:row r="78" ht="47" customHeight="1">
      <x:c r="A78" s="19" t="str">
        <x:v>未决定</x:v>
      </x:c>
      <x:c r="B78" s="19" t="str">
        <x:v>B-邻近</x:v>
      </x:c>
      <x:c r="C78" s="19" t="str">
        <x:v>VR存在感/系统保真</x:v>
      </x:c>
      <x:c r="D78" s="19" t="str">
        <x:v>Fidelity-based Presence Scale (FPS)</x:v>
      </x:c>
      <x:c r="E78" s="19" t="str">
        <x:v>2025</x:v>
      </x:c>
      <x:c r="F78" s="19" t="str">
        <x:v>Scenario Fidelity</x:v>
      </x:c>
      <x:c r="G78" s="19" t="str">
        <x:v>FPS8</x:v>
      </x:c>
      <x:c r="H78" s="19" t="str">
        <x:v>我投入到了虚拟世界的体验之中。</x:v>
      </x:c>
      <x:c r="I78" s="19" t="str"/>
      <x:c r="J78" s="19" t="str">
        <x:v>正向</x:v>
      </x:c>
      <x:c r="K78" s="19" t="str">
        <x:v>7点同意度</x:v>
      </x:c>
      <x:c r="L78" s="19" t="str">
        <x:v>Delphi+EFA验证</x:v>
      </x:c>
      <x:c r="M78" s="19" t="str">
        <x:v>总体</x:v>
      </x:c>
      <x:c r="N78" s="19" t="str">
        <x:v>投入</x:v>
      </x:c>
      <x:c r="O78" s="19" t="n">
        <x:v>0</x:v>
      </x:c>
      <x:c r="P78" s="19" t="str">
        <x:v>低优先级</x:v>
      </x:c>
      <x:c r="Q78" s="19" t="str">
        <x:v>CC BY 4.0预印本；中文语义翻译</x:v>
      </x:c>
      <x:c r="R78" s="19" t="str">
        <x:v>https://arxiv.org/abs/2504.04355</x:v>
      </x:c>
      <x:c r="S78" s="19" t="str">
        <x:v>Final 10-item FPS</x:v>
      </x:c>
      <x:c r="T78" s="19" t="str"/>
      <x:c r="U78" s="19" t="str"/>
    </x:row>
    <x:row r="79" ht="47" customHeight="1">
      <x:c r="A79" s="19" t="str">
        <x:v>未决定</x:v>
      </x:c>
      <x:c r="B79" s="19" t="str">
        <x:v>B-邻近</x:v>
      </x:c>
      <x:c r="C79" s="19" t="str">
        <x:v>VR存在感/系统保真</x:v>
      </x:c>
      <x:c r="D79" s="19" t="str">
        <x:v>Fidelity-based Presence Scale (FPS)</x:v>
      </x:c>
      <x:c r="E79" s="19" t="str">
        <x:v>2025</x:v>
      </x:c>
      <x:c r="F79" s="19" t="str">
        <x:v>Interaction Fidelity</x:v>
      </x:c>
      <x:c r="G79" s="19" t="str">
        <x:v>FPS9</x:v>
      </x:c>
      <x:c r="H79" s="19" t="str">
        <x:v>我能够专注于活动本身，而不是控制机制。</x:v>
      </x:c>
      <x:c r="I79" s="19" t="str"/>
      <x:c r="J79" s="19" t="str">
        <x:v>正向</x:v>
      </x:c>
      <x:c r="K79" s="19" t="str">
        <x:v>7点同意度</x:v>
      </x:c>
      <x:c r="L79" s="19" t="str">
        <x:v>Delphi+EFA验证</x:v>
      </x:c>
      <x:c r="M79" s="19" t="str">
        <x:v>总体</x:v>
      </x:c>
      <x:c r="N79" s="19" t="str">
        <x:v>界面透明度</x:v>
      </x:c>
      <x:c r="O79" s="19" t="n">
        <x:v>1</x:v>
      </x:c>
      <x:c r="P79" s="19" t="str">
        <x:v>低优先级</x:v>
      </x:c>
      <x:c r="Q79" s="19" t="str">
        <x:v>CC BY 4.0预印本；中文语义翻译</x:v>
      </x:c>
      <x:c r="R79" s="19" t="str">
        <x:v>https://arxiv.org/abs/2504.04355</x:v>
      </x:c>
      <x:c r="S79" s="19" t="str">
        <x:v>Final 10-item FPS</x:v>
      </x:c>
      <x:c r="T79" s="19" t="str"/>
      <x:c r="U79" s="19" t="str"/>
    </x:row>
    <x:row r="80" ht="47" customHeight="1">
      <x:c r="A80" s="19" t="str">
        <x:v>未决定</x:v>
      </x:c>
      <x:c r="B80" s="19" t="str">
        <x:v>B-邻近</x:v>
      </x:c>
      <x:c r="C80" s="19" t="str">
        <x:v>VR存在感/系统保真</x:v>
      </x:c>
      <x:c r="D80" s="19" t="str">
        <x:v>Fidelity-based Presence Scale (FPS)</x:v>
      </x:c>
      <x:c r="E80" s="19" t="str">
        <x:v>2025</x:v>
      </x:c>
      <x:c r="F80" s="19" t="str">
        <x:v>Display Fidelity</x:v>
      </x:c>
      <x:c r="G80" s="19" t="str">
        <x:v>FPS10</x:v>
      </x:c>
      <x:c r="H80" s="19" t="str">
        <x:v>发生在虚拟身体上的事件感觉像发生在我的真实身体上。</x:v>
      </x:c>
      <x:c r="I80" s="19" t="str"/>
      <x:c r="J80" s="19" t="str">
        <x:v>正向</x:v>
      </x:c>
      <x:c r="K80" s="19" t="str">
        <x:v>7点同意度</x:v>
      </x:c>
      <x:c r="L80" s="19" t="str">
        <x:v>Delphi+EFA验证</x:v>
      </x:c>
      <x:c r="M80" s="19" t="str">
        <x:v>总体</x:v>
      </x:c>
      <x:c r="N80" s="19" t="str">
        <x:v>自我存在/具身</x:v>
      </x:c>
      <x:c r="O80" s="19" t="n">
        <x:v>0</x:v>
      </x:c>
      <x:c r="P80" s="19" t="str">
        <x:v>低优先级</x:v>
      </x:c>
      <x:c r="Q80" s="19" t="str">
        <x:v>CC BY 4.0预印本；中文语义翻译</x:v>
      </x:c>
      <x:c r="R80" s="19" t="str">
        <x:v>https://arxiv.org/abs/2504.04355</x:v>
      </x:c>
      <x:c r="S80" s="19" t="str">
        <x:v>Final 10-item FPS</x:v>
      </x:c>
      <x:c r="T80" s="19" t="str"/>
      <x:c r="U80" s="19" t="str"/>
    </x:row>
    <x:row r="81" ht="47" customHeight="1">
      <x:c r="A81" s="19" t="str">
        <x:v>未决定</x:v>
      </x:c>
      <x:c r="B81" s="19" t="str">
        <x:v>C-控制</x:v>
      </x:c>
      <x:c r="C81" s="19" t="str">
        <x:v>VR存在感</x:v>
      </x:c>
      <x:c r="D81" s="19" t="str">
        <x:v>Igroup Presence Questionnaire (IPQ)</x:v>
      </x:c>
      <x:c r="E81" s="19" t="str">
        <x:v>2001/官方14项</x:v>
      </x:c>
      <x:c r="F81" s="19" t="str">
        <x:v>General Presence</x:v>
      </x:c>
      <x:c r="G81" s="19" t="str">
        <x:v>G1</x:v>
      </x:c>
      <x:c r="H81" s="19" t="str">
        <x:v>在计算机生成的世界中，我有一种“身临其境”的感觉。</x:v>
      </x:c>
      <x:c r="I81" s="19" t="str"/>
      <x:c r="J81" s="19" t="str">
        <x:v>正向</x:v>
      </x:c>
      <x:c r="K81" s="19" t="str">
        <x:v>7点；按官方各题端点与反向计分</x:v>
      </x:c>
      <x:c r="L81" s="19" t="str">
        <x:v>经典量表；广泛验证</x:v>
      </x:c>
      <x:c r="M81" s="19" t="str">
        <x:v>总体</x:v>
      </x:c>
      <x:c r="N81" s="19" t="str">
        <x:v>总体存在感</x:v>
      </x:c>
      <x:c r="O81" s="19" t="n">
        <x:v>0</x:v>
      </x:c>
      <x:c r="P81" s="19" t="str">
        <x:v>低优先级</x:v>
      </x:c>
      <x:c r="Q81" s="19" t="str">
        <x:v>官方条目可查；中文语义转述，正式使用需核对授权译本</x:v>
      </x:c>
      <x:c r="R81" s="19" t="str">
        <x:v>https://igroup.org/pq/ipq/download.php</x:v>
      </x:c>
      <x:c r="S81" s="19" t="str">
        <x:v>Official item download</x:v>
      </x:c>
      <x:c r="T81" s="19" t="str"/>
      <x:c r="U81" s="19" t="str"/>
    </x:row>
    <x:row r="82" ht="47" customHeight="1">
      <x:c r="A82" s="19" t="str">
        <x:v>未决定</x:v>
      </x:c>
      <x:c r="B82" s="19" t="str">
        <x:v>C-控制</x:v>
      </x:c>
      <x:c r="C82" s="19" t="str">
        <x:v>VR存在感</x:v>
      </x:c>
      <x:c r="D82" s="19" t="str">
        <x:v>Igroup Presence Questionnaire (IPQ)</x:v>
      </x:c>
      <x:c r="E82" s="19" t="str">
        <x:v>2001/官方14项</x:v>
      </x:c>
      <x:c r="F82" s="19" t="str">
        <x:v>Spatial Presence</x:v>
      </x:c>
      <x:c r="G82" s="19" t="str">
        <x:v>SP1</x:v>
      </x:c>
      <x:c r="H82" s="19" t="str">
        <x:v>我感觉虚拟世界环绕着我。</x:v>
      </x:c>
      <x:c r="I82" s="19" t="str"/>
      <x:c r="J82" s="19" t="str">
        <x:v>正向</x:v>
      </x:c>
      <x:c r="K82" s="19" t="str">
        <x:v>7点；按官方各题端点与反向计分</x:v>
      </x:c>
      <x:c r="L82" s="19" t="str">
        <x:v>经典量表；广泛验证</x:v>
      </x:c>
      <x:c r="M82" s="19" t="str">
        <x:v>总体</x:v>
      </x:c>
      <x:c r="N82" s="19" t="str">
        <x:v>空间包围感</x:v>
      </x:c>
      <x:c r="O82" s="19" t="n">
        <x:v>0</x:v>
      </x:c>
      <x:c r="P82" s="19" t="str">
        <x:v>低优先级</x:v>
      </x:c>
      <x:c r="Q82" s="19" t="str">
        <x:v>官方条目可查；中文语义转述，正式使用需核对授权译本</x:v>
      </x:c>
      <x:c r="R82" s="19" t="str">
        <x:v>https://igroup.org/pq/ipq/download.php</x:v>
      </x:c>
      <x:c r="S82" s="19" t="str">
        <x:v>Official item download</x:v>
      </x:c>
      <x:c r="T82" s="19" t="str"/>
      <x:c r="U82" s="19" t="str"/>
    </x:row>
    <x:row r="83" ht="47" customHeight="1">
      <x:c r="A83" s="19" t="str">
        <x:v>未决定</x:v>
      </x:c>
      <x:c r="B83" s="19" t="str">
        <x:v>C-控制</x:v>
      </x:c>
      <x:c r="C83" s="19" t="str">
        <x:v>VR存在感</x:v>
      </x:c>
      <x:c r="D83" s="19" t="str">
        <x:v>Igroup Presence Questionnaire (IPQ)</x:v>
      </x:c>
      <x:c r="E83" s="19" t="str">
        <x:v>2001/官方14项</x:v>
      </x:c>
      <x:c r="F83" s="19" t="str">
        <x:v>Spatial Presence</x:v>
      </x:c>
      <x:c r="G83" s="19" t="str">
        <x:v>SP2</x:v>
      </x:c>
      <x:c r="H83" s="19" t="str">
        <x:v>我感觉自己只是在观看一些图像。</x:v>
      </x:c>
      <x:c r="I83" s="19" t="str"/>
      <x:c r="J83" s="19" t="str">
        <x:v>反向</x:v>
      </x:c>
      <x:c r="K83" s="19" t="str">
        <x:v>7点；按官方各题端点与反向计分</x:v>
      </x:c>
      <x:c r="L83" s="19" t="str">
        <x:v>经典量表；广泛验证</x:v>
      </x:c>
      <x:c r="M83" s="19" t="str">
        <x:v>总体</x:v>
      </x:c>
      <x:c r="N83" s="19" t="str">
        <x:v>媒介觉察</x:v>
      </x:c>
      <x:c r="O83" s="19" t="n">
        <x:v>0</x:v>
      </x:c>
      <x:c r="P83" s="19" t="str">
        <x:v>低优先级</x:v>
      </x:c>
      <x:c r="Q83" s="19" t="str">
        <x:v>官方条目可查；中文语义转述，正式使用需核对授权译本</x:v>
      </x:c>
      <x:c r="R83" s="19" t="str">
        <x:v>https://igroup.org/pq/ipq/download.php</x:v>
      </x:c>
      <x:c r="S83" s="19" t="str">
        <x:v>Official item download</x:v>
      </x:c>
      <x:c r="T83" s="19" t="str"/>
      <x:c r="U83" s="19" t="str"/>
    </x:row>
    <x:row r="84" ht="47" customHeight="1">
      <x:c r="A84" s="19" t="str">
        <x:v>未决定</x:v>
      </x:c>
      <x:c r="B84" s="19" t="str">
        <x:v>C-控制</x:v>
      </x:c>
      <x:c r="C84" s="19" t="str">
        <x:v>VR存在感</x:v>
      </x:c>
      <x:c r="D84" s="19" t="str">
        <x:v>Igroup Presence Questionnaire (IPQ)</x:v>
      </x:c>
      <x:c r="E84" s="19" t="str">
        <x:v>2001/官方14项</x:v>
      </x:c>
      <x:c r="F84" s="19" t="str">
        <x:v>Spatial Presence</x:v>
      </x:c>
      <x:c r="G84" s="19" t="str">
        <x:v>SP3</x:v>
      </x:c>
      <x:c r="H84" s="19" t="str">
        <x:v>我没有感觉自己存在于虚拟空间中。</x:v>
      </x:c>
      <x:c r="I84" s="19" t="str"/>
      <x:c r="J84" s="19" t="str">
        <x:v>反向</x:v>
      </x:c>
      <x:c r="K84" s="19" t="str">
        <x:v>7点；按官方各题端点与反向计分</x:v>
      </x:c>
      <x:c r="L84" s="19" t="str">
        <x:v>经典量表；广泛验证</x:v>
      </x:c>
      <x:c r="M84" s="19" t="str">
        <x:v>总体</x:v>
      </x:c>
      <x:c r="N84" s="19" t="str">
        <x:v>空间存在感</x:v>
      </x:c>
      <x:c r="O84" s="19" t="n">
        <x:v>0</x:v>
      </x:c>
      <x:c r="P84" s="19" t="str">
        <x:v>低优先级</x:v>
      </x:c>
      <x:c r="Q84" s="19" t="str">
        <x:v>官方条目可查；中文语义转述，正式使用需核对授权译本</x:v>
      </x:c>
      <x:c r="R84" s="19" t="str">
        <x:v>https://igroup.org/pq/ipq/download.php</x:v>
      </x:c>
      <x:c r="S84" s="19" t="str">
        <x:v>Official item download</x:v>
      </x:c>
      <x:c r="T84" s="19" t="str"/>
      <x:c r="U84" s="19" t="str"/>
    </x:row>
    <x:row r="85" ht="47" customHeight="1">
      <x:c r="A85" s="19" t="str">
        <x:v>未决定</x:v>
      </x:c>
      <x:c r="B85" s="19" t="str">
        <x:v>C-控制</x:v>
      </x:c>
      <x:c r="C85" s="19" t="str">
        <x:v>VR存在感</x:v>
      </x:c>
      <x:c r="D85" s="19" t="str">
        <x:v>Igroup Presence Questionnaire (IPQ)</x:v>
      </x:c>
      <x:c r="E85" s="19" t="str">
        <x:v>2001/官方14项</x:v>
      </x:c>
      <x:c r="F85" s="19" t="str">
        <x:v>Spatial Presence</x:v>
      </x:c>
      <x:c r="G85" s="19" t="str">
        <x:v>SP4</x:v>
      </x:c>
      <x:c r="H85" s="19" t="str">
        <x:v>我感觉自己是在虚拟空间内行动，而不是从外部操作某个系统。</x:v>
      </x:c>
      <x:c r="I85" s="19" t="str"/>
      <x:c r="J85" s="19" t="str">
        <x:v>正向</x:v>
      </x:c>
      <x:c r="K85" s="19" t="str">
        <x:v>7点；按官方各题端点与反向计分</x:v>
      </x:c>
      <x:c r="L85" s="19" t="str">
        <x:v>经典量表；广泛验证</x:v>
      </x:c>
      <x:c r="M85" s="19" t="str">
        <x:v>总体</x:v>
      </x:c>
      <x:c r="N85" s="19" t="str">
        <x:v>内部行动感</x:v>
      </x:c>
      <x:c r="O85" s="19" t="n">
        <x:v>0</x:v>
      </x:c>
      <x:c r="P85" s="19" t="str">
        <x:v>低优先级</x:v>
      </x:c>
      <x:c r="Q85" s="19" t="str">
        <x:v>官方条目可查；中文语义转述，正式使用需核对授权译本</x:v>
      </x:c>
      <x:c r="R85" s="19" t="str">
        <x:v>https://igroup.org/pq/ipq/download.php</x:v>
      </x:c>
      <x:c r="S85" s="19" t="str">
        <x:v>Official item download</x:v>
      </x:c>
      <x:c r="T85" s="19" t="str"/>
      <x:c r="U85" s="19" t="str"/>
    </x:row>
    <x:row r="86" ht="47" customHeight="1">
      <x:c r="A86" s="19" t="str">
        <x:v>未决定</x:v>
      </x:c>
      <x:c r="B86" s="19" t="str">
        <x:v>C-控制</x:v>
      </x:c>
      <x:c r="C86" s="19" t="str">
        <x:v>VR存在感</x:v>
      </x:c>
      <x:c r="D86" s="19" t="str">
        <x:v>Igroup Presence Questionnaire (IPQ)</x:v>
      </x:c>
      <x:c r="E86" s="19" t="str">
        <x:v>2001/官方14项</x:v>
      </x:c>
      <x:c r="F86" s="19" t="str">
        <x:v>Spatial Presence</x:v>
      </x:c>
      <x:c r="G86" s="19" t="str">
        <x:v>SP5</x:v>
      </x:c>
      <x:c r="H86" s="19" t="str">
        <x:v>我感觉自己存在于虚拟空间中。</x:v>
      </x:c>
      <x:c r="I86" s="19" t="str"/>
      <x:c r="J86" s="19" t="str">
        <x:v>正向</x:v>
      </x:c>
      <x:c r="K86" s="19" t="str">
        <x:v>7点；按官方各题端点与反向计分</x:v>
      </x:c>
      <x:c r="L86" s="19" t="str">
        <x:v>经典量表；广泛验证</x:v>
      </x:c>
      <x:c r="M86" s="19" t="str">
        <x:v>总体</x:v>
      </x:c>
      <x:c r="N86" s="19" t="str">
        <x:v>空间存在感</x:v>
      </x:c>
      <x:c r="O86" s="19" t="n">
        <x:v>0</x:v>
      </x:c>
      <x:c r="P86" s="19" t="str">
        <x:v>低优先级</x:v>
      </x:c>
      <x:c r="Q86" s="19" t="str">
        <x:v>官方条目可查；中文语义转述，正式使用需核对授权译本</x:v>
      </x:c>
      <x:c r="R86" s="19" t="str">
        <x:v>https://igroup.org/pq/ipq/download.php</x:v>
      </x:c>
      <x:c r="S86" s="19" t="str">
        <x:v>Official item download</x:v>
      </x:c>
      <x:c r="T86" s="19" t="str"/>
      <x:c r="U86" s="19" t="str"/>
    </x:row>
    <x:row r="87" ht="47" customHeight="1">
      <x:c r="A87" s="19" t="str">
        <x:v>未决定</x:v>
      </x:c>
      <x:c r="B87" s="19" t="str">
        <x:v>C-控制</x:v>
      </x:c>
      <x:c r="C87" s="19" t="str">
        <x:v>VR存在感</x:v>
      </x:c>
      <x:c r="D87" s="19" t="str">
        <x:v>Igroup Presence Questionnaire (IPQ)</x:v>
      </x:c>
      <x:c r="E87" s="19" t="str">
        <x:v>2001/官方14项</x:v>
      </x:c>
      <x:c r="F87" s="19" t="str">
        <x:v>Involvement</x:v>
      </x:c>
      <x:c r="G87" s="19" t="str">
        <x:v>INV1</x:v>
      </x:c>
      <x:c r="H87" s="19" t="str">
        <x:v>在虚拟世界中行动时，我仍多大程度注意到周围的现实世界。</x:v>
      </x:c>
      <x:c r="I87" s="19" t="str"/>
      <x:c r="J87" s="19" t="str">
        <x:v>原端点反向</x:v>
      </x:c>
      <x:c r="K87" s="19" t="str">
        <x:v>7点；按官方各题端点与反向计分</x:v>
      </x:c>
      <x:c r="L87" s="19" t="str">
        <x:v>经典量表；广泛验证</x:v>
      </x:c>
      <x:c r="M87" s="19" t="str">
        <x:v>总体</x:v>
      </x:c>
      <x:c r="N87" s="19" t="str">
        <x:v>现实环境觉察</x:v>
      </x:c>
      <x:c r="O87" s="19" t="n">
        <x:v>0</x:v>
      </x:c>
      <x:c r="P87" s="19" t="str">
        <x:v>低优先级</x:v>
      </x:c>
      <x:c r="Q87" s="19" t="str">
        <x:v>官方条目可查；中文语义转述，正式使用需核对授权译本</x:v>
      </x:c>
      <x:c r="R87" s="19" t="str">
        <x:v>https://igroup.org/pq/ipq/download.php</x:v>
      </x:c>
      <x:c r="S87" s="19" t="str">
        <x:v>Official item download</x:v>
      </x:c>
      <x:c r="T87" s="19" t="str"/>
      <x:c r="U87" s="19" t="str"/>
    </x:row>
    <x:row r="88" ht="47" customHeight="1">
      <x:c r="A88" s="19" t="str">
        <x:v>未决定</x:v>
      </x:c>
      <x:c r="B88" s="19" t="str">
        <x:v>C-控制</x:v>
      </x:c>
      <x:c r="C88" s="19" t="str">
        <x:v>VR存在感</x:v>
      </x:c>
      <x:c r="D88" s="19" t="str">
        <x:v>Igroup Presence Questionnaire (IPQ)</x:v>
      </x:c>
      <x:c r="E88" s="19" t="str">
        <x:v>2001/官方14项</x:v>
      </x:c>
      <x:c r="F88" s="19" t="str">
        <x:v>Involvement</x:v>
      </x:c>
      <x:c r="G88" s="19" t="str">
        <x:v>INV2</x:v>
      </x:c>
      <x:c r="H88" s="19" t="str">
        <x:v>我没有意识到自己的真实环境。</x:v>
      </x:c>
      <x:c r="I88" s="19" t="str"/>
      <x:c r="J88" s="19" t="str">
        <x:v>正向</x:v>
      </x:c>
      <x:c r="K88" s="19" t="str">
        <x:v>7点；按官方各题端点与反向计分</x:v>
      </x:c>
      <x:c r="L88" s="19" t="str">
        <x:v>经典量表；广泛验证</x:v>
      </x:c>
      <x:c r="M88" s="19" t="str">
        <x:v>总体</x:v>
      </x:c>
      <x:c r="N88" s="19" t="str">
        <x:v>现实环境抑制</x:v>
      </x:c>
      <x:c r="O88" s="19" t="n">
        <x:v>0</x:v>
      </x:c>
      <x:c r="P88" s="19" t="str">
        <x:v>低优先级</x:v>
      </x:c>
      <x:c r="Q88" s="19" t="str">
        <x:v>官方条目可查；中文语义转述，正式使用需核对授权译本</x:v>
      </x:c>
      <x:c r="R88" s="19" t="str">
        <x:v>https://igroup.org/pq/ipq/download.php</x:v>
      </x:c>
      <x:c r="S88" s="19" t="str">
        <x:v>Official item download</x:v>
      </x:c>
      <x:c r="T88" s="19" t="str"/>
      <x:c r="U88" s="19" t="str"/>
    </x:row>
    <x:row r="89" ht="47" customHeight="1">
      <x:c r="A89" s="19" t="str">
        <x:v>未决定</x:v>
      </x:c>
      <x:c r="B89" s="19" t="str">
        <x:v>C-控制</x:v>
      </x:c>
      <x:c r="C89" s="19" t="str">
        <x:v>VR存在感</x:v>
      </x:c>
      <x:c r="D89" s="19" t="str">
        <x:v>Igroup Presence Questionnaire (IPQ)</x:v>
      </x:c>
      <x:c r="E89" s="19" t="str">
        <x:v>2001/官方14项</x:v>
      </x:c>
      <x:c r="F89" s="19" t="str">
        <x:v>Involvement</x:v>
      </x:c>
      <x:c r="G89" s="19" t="str">
        <x:v>INV3</x:v>
      </x:c>
      <x:c r="H89" s="19" t="str">
        <x:v>我仍然注意着真实环境。</x:v>
      </x:c>
      <x:c r="I89" s="19" t="str"/>
      <x:c r="J89" s="19" t="str">
        <x:v>反向</x:v>
      </x:c>
      <x:c r="K89" s="19" t="str">
        <x:v>7点；按官方各题端点与反向计分</x:v>
      </x:c>
      <x:c r="L89" s="19" t="str">
        <x:v>经典量表；广泛验证</x:v>
      </x:c>
      <x:c r="M89" s="19" t="str">
        <x:v>总体</x:v>
      </x:c>
      <x:c r="N89" s="19" t="str">
        <x:v>现实环境注意</x:v>
      </x:c>
      <x:c r="O89" s="19" t="n">
        <x:v>0</x:v>
      </x:c>
      <x:c r="P89" s="19" t="str">
        <x:v>低优先级</x:v>
      </x:c>
      <x:c r="Q89" s="19" t="str">
        <x:v>官方条目可查；中文语义转述，正式使用需核对授权译本</x:v>
      </x:c>
      <x:c r="R89" s="19" t="str">
        <x:v>https://igroup.org/pq/ipq/download.php</x:v>
      </x:c>
      <x:c r="S89" s="19" t="str">
        <x:v>Official item download</x:v>
      </x:c>
      <x:c r="T89" s="19" t="str"/>
      <x:c r="U89" s="19" t="str"/>
    </x:row>
    <x:row r="90" ht="47" customHeight="1">
      <x:c r="A90" s="19" t="str">
        <x:v>未决定</x:v>
      </x:c>
      <x:c r="B90" s="19" t="str">
        <x:v>C-控制</x:v>
      </x:c>
      <x:c r="C90" s="19" t="str">
        <x:v>VR存在感</x:v>
      </x:c>
      <x:c r="D90" s="19" t="str">
        <x:v>Igroup Presence Questionnaire (IPQ)</x:v>
      </x:c>
      <x:c r="E90" s="19" t="str">
        <x:v>2001/官方14项</x:v>
      </x:c>
      <x:c r="F90" s="19" t="str">
        <x:v>Involvement</x:v>
      </x:c>
      <x:c r="G90" s="19" t="str">
        <x:v>INV4</x:v>
      </x:c>
      <x:c r="H90" s="19" t="str">
        <x:v>我完全被虚拟世界吸引。</x:v>
      </x:c>
      <x:c r="I90" s="19" t="str"/>
      <x:c r="J90" s="19" t="str">
        <x:v>正向</x:v>
      </x:c>
      <x:c r="K90" s="19" t="str">
        <x:v>7点；按官方各题端点与反向计分</x:v>
      </x:c>
      <x:c r="L90" s="19" t="str">
        <x:v>经典量表；广泛验证</x:v>
      </x:c>
      <x:c r="M90" s="19" t="str">
        <x:v>总体</x:v>
      </x:c>
      <x:c r="N90" s="19" t="str">
        <x:v>投入</x:v>
      </x:c>
      <x:c r="O90" s="19" t="n">
        <x:v>0</x:v>
      </x:c>
      <x:c r="P90" s="19" t="str">
        <x:v>低优先级</x:v>
      </x:c>
      <x:c r="Q90" s="19" t="str">
        <x:v>官方条目可查；中文语义转述，正式使用需核对授权译本</x:v>
      </x:c>
      <x:c r="R90" s="19" t="str">
        <x:v>https://igroup.org/pq/ipq/download.php</x:v>
      </x:c>
      <x:c r="S90" s="19" t="str">
        <x:v>Official item download</x:v>
      </x:c>
      <x:c r="T90" s="19" t="str"/>
      <x:c r="U90" s="19" t="str"/>
    </x:row>
    <x:row r="91" ht="47" customHeight="1">
      <x:c r="A91" s="19" t="str">
        <x:v>未决定</x:v>
      </x:c>
      <x:c r="B91" s="19" t="str">
        <x:v>C-控制</x:v>
      </x:c>
      <x:c r="C91" s="19" t="str">
        <x:v>VR存在感</x:v>
      </x:c>
      <x:c r="D91" s="19" t="str">
        <x:v>Igroup Presence Questionnaire (IPQ)</x:v>
      </x:c>
      <x:c r="E91" s="19" t="str">
        <x:v>2001/官方14项</x:v>
      </x:c>
      <x:c r="F91" s="19" t="str">
        <x:v>Experienced Realism</x:v>
      </x:c>
      <x:c r="G91" s="19" t="str">
        <x:v>REAL1</x:v>
      </x:c>
      <x:c r="H91" s="19" t="str">
        <x:v>虚拟世界看起来有多真实。</x:v>
      </x:c>
      <x:c r="I91" s="19" t="str"/>
      <x:c r="J91" s="19" t="str">
        <x:v>按官方端点</x:v>
      </x:c>
      <x:c r="K91" s="19" t="str">
        <x:v>7点；按官方各题端点与反向计分</x:v>
      </x:c>
      <x:c r="L91" s="19" t="str">
        <x:v>经典量表；广泛验证</x:v>
      </x:c>
      <x:c r="M91" s="19" t="str">
        <x:v>总体</x:v>
      </x:c>
      <x:c r="N91" s="19" t="str">
        <x:v>真实感</x:v>
      </x:c>
      <x:c r="O91" s="19" t="n">
        <x:v>1</x:v>
      </x:c>
      <x:c r="P91" s="19" t="str">
        <x:v>背景控制</x:v>
      </x:c>
      <x:c r="Q91" s="19" t="str">
        <x:v>官方条目可查；中文语义转述，正式使用需核对授权译本</x:v>
      </x:c>
      <x:c r="R91" s="19" t="str">
        <x:v>https://igroup.org/pq/ipq/download.php</x:v>
      </x:c>
      <x:c r="S91" s="19" t="str">
        <x:v>Official item download</x:v>
      </x:c>
      <x:c r="T91" s="19" t="str"/>
      <x:c r="U91" s="19" t="str"/>
    </x:row>
    <x:row r="92" ht="47" customHeight="1">
      <x:c r="A92" s="19" t="str">
        <x:v>未决定</x:v>
      </x:c>
      <x:c r="B92" s="19" t="str">
        <x:v>C-控制</x:v>
      </x:c>
      <x:c r="C92" s="19" t="str">
        <x:v>VR存在感</x:v>
      </x:c>
      <x:c r="D92" s="19" t="str">
        <x:v>Igroup Presence Questionnaire (IPQ)</x:v>
      </x:c>
      <x:c r="E92" s="19" t="str">
        <x:v>2001/官方14项</x:v>
      </x:c>
      <x:c r="F92" s="19" t="str">
        <x:v>Experienced Realism</x:v>
      </x:c>
      <x:c r="G92" s="19" t="str">
        <x:v>REAL2</x:v>
      </x:c>
      <x:c r="H92" s="19" t="str">
        <x:v>虚拟环境中的体验与现实世界中的体验有多一致。</x:v>
      </x:c>
      <x:c r="I92" s="19" t="str"/>
      <x:c r="J92" s="19" t="str">
        <x:v>正向</x:v>
      </x:c>
      <x:c r="K92" s="19" t="str">
        <x:v>7点；按官方各题端点与反向计分</x:v>
      </x:c>
      <x:c r="L92" s="19" t="str">
        <x:v>经典量表；广泛验证</x:v>
      </x:c>
      <x:c r="M92" s="19" t="str">
        <x:v>总体</x:v>
      </x:c>
      <x:c r="N92" s="19" t="str">
        <x:v>现实一致性</x:v>
      </x:c>
      <x:c r="O92" s="19" t="n">
        <x:v>1</x:v>
      </x:c>
      <x:c r="P92" s="19" t="str">
        <x:v>背景控制</x:v>
      </x:c>
      <x:c r="Q92" s="19" t="str">
        <x:v>官方条目可查；中文语义转述，正式使用需核对授权译本</x:v>
      </x:c>
      <x:c r="R92" s="19" t="str">
        <x:v>https://igroup.org/pq/ipq/download.php</x:v>
      </x:c>
      <x:c r="S92" s="19" t="str">
        <x:v>Official item download</x:v>
      </x:c>
      <x:c r="T92" s="19" t="str"/>
      <x:c r="U92" s="19" t="str"/>
    </x:row>
    <x:row r="93" ht="47" customHeight="1">
      <x:c r="A93" s="19" t="str">
        <x:v>未决定</x:v>
      </x:c>
      <x:c r="B93" s="19" t="str">
        <x:v>C-控制</x:v>
      </x:c>
      <x:c r="C93" s="19" t="str">
        <x:v>VR存在感</x:v>
      </x:c>
      <x:c r="D93" s="19" t="str">
        <x:v>Igroup Presence Questionnaire (IPQ)</x:v>
      </x:c>
      <x:c r="E93" s="19" t="str">
        <x:v>2001/官方14项</x:v>
      </x:c>
      <x:c r="F93" s="19" t="str">
        <x:v>Experienced Realism</x:v>
      </x:c>
      <x:c r="G93" s="19" t="str">
        <x:v>REAL3</x:v>
      </x:c>
      <x:c r="H93" s="19" t="str">
        <x:v>虚拟世界对我而言显得真实。</x:v>
      </x:c>
      <x:c r="I93" s="19" t="str"/>
      <x:c r="J93" s="19" t="str">
        <x:v>正向</x:v>
      </x:c>
      <x:c r="K93" s="19" t="str">
        <x:v>7点；按官方各题端点与反向计分</x:v>
      </x:c>
      <x:c r="L93" s="19" t="str">
        <x:v>经典量表；广泛验证</x:v>
      </x:c>
      <x:c r="M93" s="19" t="str">
        <x:v>总体</x:v>
      </x:c>
      <x:c r="N93" s="19" t="str">
        <x:v>真实感</x:v>
      </x:c>
      <x:c r="O93" s="19" t="n">
        <x:v>1</x:v>
      </x:c>
      <x:c r="P93" s="19" t="str">
        <x:v>背景控制</x:v>
      </x:c>
      <x:c r="Q93" s="19" t="str">
        <x:v>官方条目可查；中文语义转述，正式使用需核对授权译本</x:v>
      </x:c>
      <x:c r="R93" s="19" t="str">
        <x:v>https://igroup.org/pq/ipq/download.php</x:v>
      </x:c>
      <x:c r="S93" s="19" t="str">
        <x:v>Official item download</x:v>
      </x:c>
      <x:c r="T93" s="19" t="str"/>
      <x:c r="U93" s="19" t="str"/>
    </x:row>
    <x:row r="94" ht="47" customHeight="1">
      <x:c r="A94" s="19" t="str">
        <x:v>未决定</x:v>
      </x:c>
      <x:c r="B94" s="19" t="str">
        <x:v>C-控制</x:v>
      </x:c>
      <x:c r="C94" s="19" t="str">
        <x:v>VR存在感</x:v>
      </x:c>
      <x:c r="D94" s="19" t="str">
        <x:v>Igroup Presence Questionnaire (IPQ)</x:v>
      </x:c>
      <x:c r="E94" s="19" t="str">
        <x:v>2001/官方14项</x:v>
      </x:c>
      <x:c r="F94" s="19" t="str">
        <x:v>Experienced Realism</x:v>
      </x:c>
      <x:c r="G94" s="19" t="str">
        <x:v>REAL4</x:v>
      </x:c>
      <x:c r="H94" s="19" t="str">
        <x:v>虚拟世界似乎比现实世界更真实。</x:v>
      </x:c>
      <x:c r="I94" s="19" t="str"/>
      <x:c r="J94" s="19" t="str">
        <x:v>正向</x:v>
      </x:c>
      <x:c r="K94" s="19" t="str">
        <x:v>7点；按官方各题端点与反向计分</x:v>
      </x:c>
      <x:c r="L94" s="19" t="str">
        <x:v>经典量表；广泛验证</x:v>
      </x:c>
      <x:c r="M94" s="19" t="str">
        <x:v>总体</x:v>
      </x:c>
      <x:c r="N94" s="19" t="str">
        <x:v>超现实感</x:v>
      </x:c>
      <x:c r="O94" s="19" t="n">
        <x:v>0</x:v>
      </x:c>
      <x:c r="P94" s="19" t="str">
        <x:v>低优先级</x:v>
      </x:c>
      <x:c r="Q94" s="19" t="str">
        <x:v>官方条目可查；中文语义转述，正式使用需核对授权译本</x:v>
      </x:c>
      <x:c r="R94" s="19" t="str">
        <x:v>https://igroup.org/pq/ipq/download.php</x:v>
      </x:c>
      <x:c r="S94" s="19" t="str">
        <x:v>Official item download</x:v>
      </x:c>
      <x:c r="T94" s="19" t="str"/>
      <x:c r="U94" s="19" t="str"/>
    </x:row>
    <x:row r="95" ht="47" customHeight="1">
      <x:c r="A95" s="19" t="str">
        <x:v>未决定</x:v>
      </x:c>
      <x:c r="B95" s="19" t="str">
        <x:v>C-控制</x:v>
      </x:c>
      <x:c r="C95" s="19" t="str">
        <x:v>空间存在感</x:v>
      </x:c>
      <x:c r="D95" s="19" t="str">
        <x:v>Spatial Presence Experience Scale (SPES)</x:v>
      </x:c>
      <x:c r="E95" s="19" t="str">
        <x:v>2016</x:v>
      </x:c>
      <x:c r="F95" s="19" t="str">
        <x:v>Self-Location</x:v>
      </x:c>
      <x:c r="G95" s="19" t="str">
        <x:v>SL1</x:v>
      </x:c>
      <x:c r="H95" s="19" t="str">
        <x:v>我感觉自己真的位于所呈现的环境中。</x:v>
      </x:c>
      <x:c r="I95" s="19" t="str"/>
      <x:c r="J95" s="19" t="str">
        <x:v>正向</x:v>
      </x:c>
      <x:c r="K95" s="19" t="str">
        <x:v>5点同意度</x:v>
      </x:c>
      <x:c r="L95" s="19" t="str">
        <x:v>已验证</x:v>
      </x:c>
      <x:c r="M95" s="19" t="str">
        <x:v>总体</x:v>
      </x:c>
      <x:c r="N95" s="19" t="str">
        <x:v>自我定位</x:v>
      </x:c>
      <x:c r="O95" s="19" t="n">
        <x:v>0</x:v>
      </x:c>
      <x:c r="P95" s="19" t="str">
        <x:v>不建议</x:v>
      </x:c>
      <x:c r="Q95" s="19" t="str">
        <x:v>中文语义转述</x:v>
      </x:c>
      <x:c r="R95" s="19" t="str">
        <x:v>https://doi.org/10.1027/1864-1105/a000137</x:v>
      </x:c>
      <x:c r="S95" s="19" t="str">
        <x:v>Final 8-item SPES</x:v>
      </x:c>
      <x:c r="T95" s="19" t="str"/>
      <x:c r="U95" s="19" t="str"/>
    </x:row>
    <x:row r="96" ht="47" customHeight="1">
      <x:c r="A96" s="19" t="str">
        <x:v>未决定</x:v>
      </x:c>
      <x:c r="B96" s="19" t="str">
        <x:v>C-控制</x:v>
      </x:c>
      <x:c r="C96" s="19" t="str">
        <x:v>空间存在感</x:v>
      </x:c>
      <x:c r="D96" s="19" t="str">
        <x:v>Spatial Presence Experience Scale (SPES)</x:v>
      </x:c>
      <x:c r="E96" s="19" t="str">
        <x:v>2016</x:v>
      </x:c>
      <x:c r="F96" s="19" t="str">
        <x:v>Self-Location</x:v>
      </x:c>
      <x:c r="G96" s="19" t="str">
        <x:v>SL2</x:v>
      </x:c>
      <x:c r="H96" s="19" t="str">
        <x:v>我感觉自己在身体上存在于所呈现的环境中。</x:v>
      </x:c>
      <x:c r="I96" s="19" t="str"/>
      <x:c r="J96" s="19" t="str">
        <x:v>正向</x:v>
      </x:c>
      <x:c r="K96" s="19" t="str">
        <x:v>5点同意度</x:v>
      </x:c>
      <x:c r="L96" s="19" t="str">
        <x:v>已验证</x:v>
      </x:c>
      <x:c r="M96" s="19" t="str">
        <x:v>总体</x:v>
      </x:c>
      <x:c r="N96" s="19" t="str">
        <x:v>身体存在感</x:v>
      </x:c>
      <x:c r="O96" s="19" t="n">
        <x:v>0</x:v>
      </x:c>
      <x:c r="P96" s="19" t="str">
        <x:v>不建议</x:v>
      </x:c>
      <x:c r="Q96" s="19" t="str">
        <x:v>中文语义转述</x:v>
      </x:c>
      <x:c r="R96" s="19" t="str">
        <x:v>https://doi.org/10.1027/1864-1105/a000137</x:v>
      </x:c>
      <x:c r="S96" s="19" t="str">
        <x:v>Final 8-item SPES</x:v>
      </x:c>
      <x:c r="T96" s="19" t="str"/>
      <x:c r="U96" s="19" t="str"/>
    </x:row>
    <x:row r="97" ht="47" customHeight="1">
      <x:c r="A97" s="19" t="str">
        <x:v>未决定</x:v>
      </x:c>
      <x:c r="B97" s="19" t="str">
        <x:v>C-控制</x:v>
      </x:c>
      <x:c r="C97" s="19" t="str">
        <x:v>空间存在感</x:v>
      </x:c>
      <x:c r="D97" s="19" t="str">
        <x:v>Spatial Presence Experience Scale (SPES)</x:v>
      </x:c>
      <x:c r="E97" s="19" t="str">
        <x:v>2016</x:v>
      </x:c>
      <x:c r="F97" s="19" t="str">
        <x:v>Self-Location</x:v>
      </x:c>
      <x:c r="G97" s="19" t="str">
        <x:v>SL3</x:v>
      </x:c>
      <x:c r="H97" s="19" t="str">
        <x:v>我感觉自己是该环境的一部分。</x:v>
      </x:c>
      <x:c r="I97" s="19" t="str"/>
      <x:c r="J97" s="19" t="str">
        <x:v>正向</x:v>
      </x:c>
      <x:c r="K97" s="19" t="str">
        <x:v>5点同意度</x:v>
      </x:c>
      <x:c r="L97" s="19" t="str">
        <x:v>已验证</x:v>
      </x:c>
      <x:c r="M97" s="19" t="str">
        <x:v>总体</x:v>
      </x:c>
      <x:c r="N97" s="19" t="str">
        <x:v>环境归属</x:v>
      </x:c>
      <x:c r="O97" s="19" t="n">
        <x:v>0</x:v>
      </x:c>
      <x:c r="P97" s="19" t="str">
        <x:v>不建议</x:v>
      </x:c>
      <x:c r="Q97" s="19" t="str">
        <x:v>中文语义转述</x:v>
      </x:c>
      <x:c r="R97" s="19" t="str">
        <x:v>https://doi.org/10.1027/1864-1105/a000137</x:v>
      </x:c>
      <x:c r="S97" s="19" t="str">
        <x:v>Final 8-item SPES</x:v>
      </x:c>
      <x:c r="T97" s="19" t="str"/>
      <x:c r="U97" s="19" t="str"/>
    </x:row>
    <x:row r="98" ht="47" customHeight="1">
      <x:c r="A98" s="19" t="str">
        <x:v>未决定</x:v>
      </x:c>
      <x:c r="B98" s="19" t="str">
        <x:v>C-控制</x:v>
      </x:c>
      <x:c r="C98" s="19" t="str">
        <x:v>空间存在感</x:v>
      </x:c>
      <x:c r="D98" s="19" t="str">
        <x:v>Spatial Presence Experience Scale (SPES)</x:v>
      </x:c>
      <x:c r="E98" s="19" t="str">
        <x:v>2016</x:v>
      </x:c>
      <x:c r="F98" s="19" t="str">
        <x:v>Self-Location</x:v>
      </x:c>
      <x:c r="G98" s="19" t="str">
        <x:v>SL4</x:v>
      </x:c>
      <x:c r="H98" s="19" t="str">
        <x:v>我感觉该环境确实围绕在我周围。</x:v>
      </x:c>
      <x:c r="I98" s="19" t="str"/>
      <x:c r="J98" s="19" t="str">
        <x:v>正向</x:v>
      </x:c>
      <x:c r="K98" s="19" t="str">
        <x:v>5点同意度</x:v>
      </x:c>
      <x:c r="L98" s="19" t="str">
        <x:v>已验证</x:v>
      </x:c>
      <x:c r="M98" s="19" t="str">
        <x:v>总体</x:v>
      </x:c>
      <x:c r="N98" s="19" t="str">
        <x:v>空间包围</x:v>
      </x:c>
      <x:c r="O98" s="19" t="n">
        <x:v>0</x:v>
      </x:c>
      <x:c r="P98" s="19" t="str">
        <x:v>不建议</x:v>
      </x:c>
      <x:c r="Q98" s="19" t="str">
        <x:v>中文语义转述</x:v>
      </x:c>
      <x:c r="R98" s="19" t="str">
        <x:v>https://doi.org/10.1027/1864-1105/a000137</x:v>
      </x:c>
      <x:c r="S98" s="19" t="str">
        <x:v>Final 8-item SPES</x:v>
      </x:c>
      <x:c r="T98" s="19" t="str"/>
      <x:c r="U98" s="19" t="str"/>
    </x:row>
    <x:row r="99" ht="47" customHeight="1">
      <x:c r="A99" s="19" t="str">
        <x:v>未决定</x:v>
      </x:c>
      <x:c r="B99" s="19" t="str">
        <x:v>C-控制</x:v>
      </x:c>
      <x:c r="C99" s="19" t="str">
        <x:v>空间存在感</x:v>
      </x:c>
      <x:c r="D99" s="19" t="str">
        <x:v>Spatial Presence Experience Scale (SPES)</x:v>
      </x:c>
      <x:c r="E99" s="19" t="str">
        <x:v>2016</x:v>
      </x:c>
      <x:c r="F99" s="19" t="str">
        <x:v>Possible Actions</x:v>
      </x:c>
      <x:c r="G99" s="19" t="str">
        <x:v>PA1</x:v>
      </x:c>
      <x:c r="H99" s="19" t="str">
        <x:v>环境中的对象让我感觉自己可以对它们采取行动。</x:v>
      </x:c>
      <x:c r="I99" s="19" t="str"/>
      <x:c r="J99" s="19" t="str">
        <x:v>正向</x:v>
      </x:c>
      <x:c r="K99" s="19" t="str">
        <x:v>5点同意度</x:v>
      </x:c>
      <x:c r="L99" s="19" t="str">
        <x:v>已验证</x:v>
      </x:c>
      <x:c r="M99" s="19" t="str">
        <x:v>总体</x:v>
      </x:c>
      <x:c r="N99" s="19" t="str">
        <x:v>对象可供性</x:v>
      </x:c>
      <x:c r="O99" s="19" t="n">
        <x:v>1</x:v>
      </x:c>
      <x:c r="P99" s="19" t="str">
        <x:v>背景控制</x:v>
      </x:c>
      <x:c r="Q99" s="19" t="str">
        <x:v>中文语义转述</x:v>
      </x:c>
      <x:c r="R99" s="19" t="str">
        <x:v>https://doi.org/10.1027/1864-1105/a000137</x:v>
      </x:c>
      <x:c r="S99" s="19" t="str">
        <x:v>Final 8-item SPES</x:v>
      </x:c>
      <x:c r="T99" s="19" t="str"/>
      <x:c r="U99" s="19" t="str"/>
    </x:row>
    <x:row r="100" ht="47" customHeight="1">
      <x:c r="A100" s="19" t="str">
        <x:v>未决定</x:v>
      </x:c>
      <x:c r="B100" s="19" t="str">
        <x:v>C-控制</x:v>
      </x:c>
      <x:c r="C100" s="19" t="str">
        <x:v>空间存在感</x:v>
      </x:c>
      <x:c r="D100" s="19" t="str">
        <x:v>Spatial Presence Experience Scale (SPES)</x:v>
      </x:c>
      <x:c r="E100" s="19" t="str">
        <x:v>2016</x:v>
      </x:c>
      <x:c r="F100" s="19" t="str">
        <x:v>Possible Actions</x:v>
      </x:c>
      <x:c r="G100" s="19" t="str">
        <x:v>PA2</x:v>
      </x:c>
      <x:c r="H100" s="19" t="str">
        <x:v>我感觉自己能够在该环境中主动行动。</x:v>
      </x:c>
      <x:c r="I100" s="19" t="str"/>
      <x:c r="J100" s="19" t="str">
        <x:v>正向</x:v>
      </x:c>
      <x:c r="K100" s="19" t="str">
        <x:v>5点同意度</x:v>
      </x:c>
      <x:c r="L100" s="19" t="str">
        <x:v>已验证</x:v>
      </x:c>
      <x:c r="M100" s="19" t="str">
        <x:v>总体</x:v>
      </x:c>
      <x:c r="N100" s="19" t="str">
        <x:v>行动可能性</x:v>
      </x:c>
      <x:c r="O100" s="19" t="n">
        <x:v>1</x:v>
      </x:c>
      <x:c r="P100" s="19" t="str">
        <x:v>背景控制</x:v>
      </x:c>
      <x:c r="Q100" s="19" t="str">
        <x:v>中文语义转述</x:v>
      </x:c>
      <x:c r="R100" s="19" t="str">
        <x:v>https://doi.org/10.1027/1864-1105/a000137</x:v>
      </x:c>
      <x:c r="S100" s="19" t="str">
        <x:v>Final 8-item SPES</x:v>
      </x:c>
      <x:c r="T100" s="19" t="str"/>
      <x:c r="U100" s="19" t="str"/>
    </x:row>
    <x:row r="101" ht="47" customHeight="1">
      <x:c r="A101" s="19" t="str">
        <x:v>未决定</x:v>
      </x:c>
      <x:c r="B101" s="19" t="str">
        <x:v>C-控制</x:v>
      </x:c>
      <x:c r="C101" s="19" t="str">
        <x:v>空间存在感</x:v>
      </x:c>
      <x:c r="D101" s="19" t="str">
        <x:v>Spatial Presence Experience Scale (SPES)</x:v>
      </x:c>
      <x:c r="E101" s="19" t="str">
        <x:v>2016</x:v>
      </x:c>
      <x:c r="F101" s="19" t="str">
        <x:v>Possible Actions</x:v>
      </x:c>
      <x:c r="G101" s="19" t="str">
        <x:v>PA3</x:v>
      </x:c>
      <x:c r="H101" s="19" t="str">
        <x:v>我感觉自己可以在环境中的对象之间移动。</x:v>
      </x:c>
      <x:c r="I101" s="19" t="str"/>
      <x:c r="J101" s="19" t="str">
        <x:v>正向</x:v>
      </x:c>
      <x:c r="K101" s="19" t="str">
        <x:v>5点同意度</x:v>
      </x:c>
      <x:c r="L101" s="19" t="str">
        <x:v>已验证</x:v>
      </x:c>
      <x:c r="M101" s="19" t="str">
        <x:v>总体</x:v>
      </x:c>
      <x:c r="N101" s="19" t="str">
        <x:v>空间行动</x:v>
      </x:c>
      <x:c r="O101" s="19" t="n">
        <x:v>0</x:v>
      </x:c>
      <x:c r="P101" s="19" t="str">
        <x:v>不建议</x:v>
      </x:c>
      <x:c r="Q101" s="19" t="str">
        <x:v>中文语义转述</x:v>
      </x:c>
      <x:c r="R101" s="19" t="str">
        <x:v>https://doi.org/10.1027/1864-1105/a000137</x:v>
      </x:c>
      <x:c r="S101" s="19" t="str">
        <x:v>Final 8-item SPES</x:v>
      </x:c>
      <x:c r="T101" s="19" t="str"/>
      <x:c r="U101" s="19" t="str"/>
    </x:row>
    <x:row r="102" ht="47" customHeight="1">
      <x:c r="A102" s="19" t="str">
        <x:v>未决定</x:v>
      </x:c>
      <x:c r="B102" s="19" t="str">
        <x:v>C-控制</x:v>
      </x:c>
      <x:c r="C102" s="19" t="str">
        <x:v>空间存在感</x:v>
      </x:c>
      <x:c r="D102" s="19" t="str">
        <x:v>Spatial Presence Experience Scale (SPES)</x:v>
      </x:c>
      <x:c r="E102" s="19" t="str">
        <x:v>2016</x:v>
      </x:c>
      <x:c r="F102" s="19" t="str">
        <x:v>Possible Actions</x:v>
      </x:c>
      <x:c r="G102" s="19" t="str">
        <x:v>PA4</x:v>
      </x:c>
      <x:c r="H102" s="19" t="str">
        <x:v>我感觉自己可以在该环境中做自己想做的事情。</x:v>
      </x:c>
      <x:c r="I102" s="19" t="str"/>
      <x:c r="J102" s="19" t="str">
        <x:v>正向</x:v>
      </x:c>
      <x:c r="K102" s="19" t="str">
        <x:v>5点同意度</x:v>
      </x:c>
      <x:c r="L102" s="19" t="str">
        <x:v>已验证</x:v>
      </x:c>
      <x:c r="M102" s="19" t="str">
        <x:v>总体</x:v>
      </x:c>
      <x:c r="N102" s="19" t="str">
        <x:v>行动自由</x:v>
      </x:c>
      <x:c r="O102" s="19" t="n">
        <x:v>1</x:v>
      </x:c>
      <x:c r="P102" s="19" t="str">
        <x:v>背景控制</x:v>
      </x:c>
      <x:c r="Q102" s="19" t="str">
        <x:v>中文语义转述</x:v>
      </x:c>
      <x:c r="R102" s="19" t="str">
        <x:v>https://doi.org/10.1027/1864-1105/a000137</x:v>
      </x:c>
      <x:c r="S102" s="19" t="str">
        <x:v>Final 8-item SPES</x:v>
      </x:c>
      <x:c r="T102" s="19" t="str"/>
      <x:c r="U102" s="19" t="str"/>
    </x:row>
    <x:row r="103" ht="47" customHeight="1">
      <x:c r="A103" s="19" t="str">
        <x:v>未决定</x:v>
      </x:c>
      <x:c r="B103" s="19" t="str">
        <x:v>C-控制</x:v>
      </x:c>
      <x:c r="C103" s="19" t="str">
        <x:v>多模态存在感</x:v>
      </x:c>
      <x:c r="D103" s="19" t="str">
        <x:v>Multimodal Presence Scale (MPS)</x:v>
      </x:c>
      <x:c r="E103" s="19" t="str">
        <x:v>2017</x:v>
      </x:c>
      <x:c r="F103" s="19" t="str">
        <x:v>Physical Presence</x:v>
      </x:c>
      <x:c r="G103" s="19" t="str">
        <x:v>PP1</x:v>
      </x:c>
      <x:c r="H103" s="19" t="str">
        <x:v>我感觉自己真的处于虚拟环境中。</x:v>
      </x:c>
      <x:c r="I103" s="19" t="str"/>
      <x:c r="J103" s="19" t="str">
        <x:v>正向</x:v>
      </x:c>
      <x:c r="K103" s="19" t="str">
        <x:v>5点同意度</x:v>
      </x:c>
      <x:c r="L103" s="19" t="str">
        <x:v>CFA+IRT验证</x:v>
      </x:c>
      <x:c r="M103" s="19" t="str">
        <x:v>总体</x:v>
      </x:c>
      <x:c r="N103" s="19" t="str">
        <x:v>物理存在</x:v>
      </x:c>
      <x:c r="O103" s="19" t="n">
        <x:v>0</x:v>
      </x:c>
      <x:c r="P103" s="19" t="str">
        <x:v>不建议</x:v>
      </x:c>
      <x:c r="Q103" s="19" t="str">
        <x:v>中文语义转述</x:v>
      </x:c>
      <x:c r="R103" s="19" t="str">
        <x:v>https://doi.org/10.1016/j.chb.2017.02.066</x:v>
      </x:c>
      <x:c r="S103" s="19" t="str">
        <x:v>Final 15-item MPS</x:v>
      </x:c>
      <x:c r="T103" s="19" t="str"/>
      <x:c r="U103" s="19" t="str"/>
    </x:row>
    <x:row r="104" ht="47" customHeight="1">
      <x:c r="A104" s="19" t="str">
        <x:v>未决定</x:v>
      </x:c>
      <x:c r="B104" s="19" t="str">
        <x:v>C-控制</x:v>
      </x:c>
      <x:c r="C104" s="19" t="str">
        <x:v>多模态存在感</x:v>
      </x:c>
      <x:c r="D104" s="19" t="str">
        <x:v>Multimodal Presence Scale (MPS)</x:v>
      </x:c>
      <x:c r="E104" s="19" t="str">
        <x:v>2017</x:v>
      </x:c>
      <x:c r="F104" s="19" t="str">
        <x:v>Physical Presence</x:v>
      </x:c>
      <x:c r="G104" s="19" t="str">
        <x:v>PP2</x:v>
      </x:c>
      <x:c r="H104" s="19" t="str">
        <x:v>虚拟环境中的对象仿佛真实存在。</x:v>
      </x:c>
      <x:c r="I104" s="19" t="str"/>
      <x:c r="J104" s="19" t="str">
        <x:v>正向</x:v>
      </x:c>
      <x:c r="K104" s="19" t="str">
        <x:v>5点同意度</x:v>
      </x:c>
      <x:c r="L104" s="19" t="str">
        <x:v>CFA+IRT验证</x:v>
      </x:c>
      <x:c r="M104" s="19" t="str">
        <x:v>总体</x:v>
      </x:c>
      <x:c r="N104" s="19" t="str">
        <x:v>对象存在感</x:v>
      </x:c>
      <x:c r="O104" s="19" t="n">
        <x:v>2</x:v>
      </x:c>
      <x:c r="P104" s="19" t="str">
        <x:v>改编候选</x:v>
      </x:c>
      <x:c r="Q104" s="19" t="str">
        <x:v>中文语义转述</x:v>
      </x:c>
      <x:c r="R104" s="19" t="str">
        <x:v>https://doi.org/10.1016/j.chb.2017.02.066</x:v>
      </x:c>
      <x:c r="S104" s="19" t="str">
        <x:v>Final 15-item MPS</x:v>
      </x:c>
      <x:c r="T104" s="19" t="str"/>
      <x:c r="U104" s="19" t="str"/>
    </x:row>
    <x:row r="105" ht="47" customHeight="1">
      <x:c r="A105" s="19" t="str">
        <x:v>未决定</x:v>
      </x:c>
      <x:c r="B105" s="19" t="str">
        <x:v>C-控制</x:v>
      </x:c>
      <x:c r="C105" s="19" t="str">
        <x:v>多模态存在感</x:v>
      </x:c>
      <x:c r="D105" s="19" t="str">
        <x:v>Multimodal Presence Scale (MPS)</x:v>
      </x:c>
      <x:c r="E105" s="19" t="str">
        <x:v>2017</x:v>
      </x:c>
      <x:c r="F105" s="19" t="str">
        <x:v>Physical Presence</x:v>
      </x:c>
      <x:c r="G105" s="19" t="str">
        <x:v>PP3</x:v>
      </x:c>
      <x:c r="H105" s="19" t="str">
        <x:v>我感觉自己可以伸手触碰虚拟环境中的对象。</x:v>
      </x:c>
      <x:c r="I105" s="19" t="str"/>
      <x:c r="J105" s="19" t="str">
        <x:v>正向</x:v>
      </x:c>
      <x:c r="K105" s="19" t="str">
        <x:v>5点同意度</x:v>
      </x:c>
      <x:c r="L105" s="19" t="str">
        <x:v>CFA+IRT验证</x:v>
      </x:c>
      <x:c r="M105" s="19" t="str">
        <x:v>总体</x:v>
      </x:c>
      <x:c r="N105" s="19" t="str">
        <x:v>对象可达性</x:v>
      </x:c>
      <x:c r="O105" s="19" t="n">
        <x:v>1</x:v>
      </x:c>
      <x:c r="P105" s="19" t="str">
        <x:v>不建议</x:v>
      </x:c>
      <x:c r="Q105" s="19" t="str">
        <x:v>中文语义转述</x:v>
      </x:c>
      <x:c r="R105" s="19" t="str">
        <x:v>https://doi.org/10.1016/j.chb.2017.02.066</x:v>
      </x:c>
      <x:c r="S105" s="19" t="str">
        <x:v>Final 15-item MPS</x:v>
      </x:c>
      <x:c r="T105" s="19" t="str"/>
      <x:c r="U105" s="19" t="str"/>
    </x:row>
    <x:row r="106" ht="47" customHeight="1">
      <x:c r="A106" s="19" t="str">
        <x:v>未决定</x:v>
      </x:c>
      <x:c r="B106" s="19" t="str">
        <x:v>C-控制</x:v>
      </x:c>
      <x:c r="C106" s="19" t="str">
        <x:v>多模态存在感</x:v>
      </x:c>
      <x:c r="D106" s="19" t="str">
        <x:v>Multimodal Presence Scale (MPS)</x:v>
      </x:c>
      <x:c r="E106" s="19" t="str">
        <x:v>2017</x:v>
      </x:c>
      <x:c r="F106" s="19" t="str">
        <x:v>Physical Presence</x:v>
      </x:c>
      <x:c r="G106" s="19" t="str">
        <x:v>PP4</x:v>
      </x:c>
      <x:c r="H106" s="19" t="str">
        <x:v>我感觉虚拟环境环绕着我。</x:v>
      </x:c>
      <x:c r="I106" s="19" t="str"/>
      <x:c r="J106" s="19" t="str">
        <x:v>正向</x:v>
      </x:c>
      <x:c r="K106" s="19" t="str">
        <x:v>5点同意度</x:v>
      </x:c>
      <x:c r="L106" s="19" t="str">
        <x:v>CFA+IRT验证</x:v>
      </x:c>
      <x:c r="M106" s="19" t="str">
        <x:v>总体</x:v>
      </x:c>
      <x:c r="N106" s="19" t="str">
        <x:v>空间包围</x:v>
      </x:c>
      <x:c r="O106" s="19" t="n">
        <x:v>0</x:v>
      </x:c>
      <x:c r="P106" s="19" t="str">
        <x:v>不建议</x:v>
      </x:c>
      <x:c r="Q106" s="19" t="str">
        <x:v>中文语义转述</x:v>
      </x:c>
      <x:c r="R106" s="19" t="str">
        <x:v>https://doi.org/10.1016/j.chb.2017.02.066</x:v>
      </x:c>
      <x:c r="S106" s="19" t="str">
        <x:v>Final 15-item MPS</x:v>
      </x:c>
      <x:c r="T106" s="19" t="str"/>
      <x:c r="U106" s="19" t="str"/>
    </x:row>
    <x:row r="107" ht="47" customHeight="1">
      <x:c r="A107" s="19" t="str">
        <x:v>未决定</x:v>
      </x:c>
      <x:c r="B107" s="19" t="str">
        <x:v>C-控制</x:v>
      </x:c>
      <x:c r="C107" s="19" t="str">
        <x:v>多模态存在感</x:v>
      </x:c>
      <x:c r="D107" s="19" t="str">
        <x:v>Multimodal Presence Scale (MPS)</x:v>
      </x:c>
      <x:c r="E107" s="19" t="str">
        <x:v>2017</x:v>
      </x:c>
      <x:c r="F107" s="19" t="str">
        <x:v>Physical Presence</x:v>
      </x:c>
      <x:c r="G107" s="19" t="str">
        <x:v>PP5</x:v>
      </x:c>
      <x:c r="H107" s="19" t="str">
        <x:v>我更像是访问了一个地点，而不是观看一些图像。</x:v>
      </x:c>
      <x:c r="I107" s="19" t="str"/>
      <x:c r="J107" s="19" t="str">
        <x:v>正向</x:v>
      </x:c>
      <x:c r="K107" s="19" t="str">
        <x:v>5点同意度</x:v>
      </x:c>
      <x:c r="L107" s="19" t="str">
        <x:v>CFA+IRT验证</x:v>
      </x:c>
      <x:c r="M107" s="19" t="str">
        <x:v>总体</x:v>
      </x:c>
      <x:c r="N107" s="19" t="str">
        <x:v>媒介透明</x:v>
      </x:c>
      <x:c r="O107" s="19" t="n">
        <x:v>0</x:v>
      </x:c>
      <x:c r="P107" s="19" t="str">
        <x:v>不建议</x:v>
      </x:c>
      <x:c r="Q107" s="19" t="str">
        <x:v>中文语义转述</x:v>
      </x:c>
      <x:c r="R107" s="19" t="str">
        <x:v>https://doi.org/10.1016/j.chb.2017.02.066</x:v>
      </x:c>
      <x:c r="S107" s="19" t="str">
        <x:v>Final 15-item MPS</x:v>
      </x:c>
      <x:c r="T107" s="19" t="str"/>
      <x:c r="U107" s="19" t="str"/>
    </x:row>
    <x:row r="108" ht="47" customHeight="1">
      <x:c r="A108" s="19" t="str">
        <x:v>未决定</x:v>
      </x:c>
      <x:c r="B108" s="19" t="str">
        <x:v>C-控制</x:v>
      </x:c>
      <x:c r="C108" s="19" t="str">
        <x:v>多模态存在感</x:v>
      </x:c>
      <x:c r="D108" s="19" t="str">
        <x:v>Multimodal Presence Scale (MPS)</x:v>
      </x:c>
      <x:c r="E108" s="19" t="str">
        <x:v>2017</x:v>
      </x:c>
      <x:c r="F108" s="19" t="str">
        <x:v>Social Presence</x:v>
      </x:c>
      <x:c r="G108" s="19" t="str">
        <x:v>SP1</x:v>
      </x:c>
      <x:c r="H108" s="19" t="str">
        <x:v>虚拟环境中的其他人或代理似乎意识到我的存在。</x:v>
      </x:c>
      <x:c r="I108" s="19" t="str"/>
      <x:c r="J108" s="19" t="str">
        <x:v>正向</x:v>
      </x:c>
      <x:c r="K108" s="19" t="str">
        <x:v>5点同意度</x:v>
      </x:c>
      <x:c r="L108" s="19" t="str">
        <x:v>CFA+IRT验证</x:v>
      </x:c>
      <x:c r="M108" s="19" t="str">
        <x:v>总体</x:v>
      </x:c>
      <x:c r="N108" s="19" t="str">
        <x:v>社会存在</x:v>
      </x:c>
      <x:c r="O108" s="19" t="n">
        <x:v>0</x:v>
      </x:c>
      <x:c r="P108" s="19" t="str">
        <x:v>不建议</x:v>
      </x:c>
      <x:c r="Q108" s="19" t="str">
        <x:v>中文语义转述</x:v>
      </x:c>
      <x:c r="R108" s="19" t="str">
        <x:v>https://doi.org/10.1016/j.chb.2017.02.066</x:v>
      </x:c>
      <x:c r="S108" s="19" t="str">
        <x:v>Final 15-item MPS</x:v>
      </x:c>
      <x:c r="T108" s="19" t="str"/>
      <x:c r="U108" s="19" t="str"/>
    </x:row>
    <x:row r="109" ht="47" customHeight="1">
      <x:c r="A109" s="19" t="str">
        <x:v>未决定</x:v>
      </x:c>
      <x:c r="B109" s="19" t="str">
        <x:v>C-控制</x:v>
      </x:c>
      <x:c r="C109" s="19" t="str">
        <x:v>多模态存在感</x:v>
      </x:c>
      <x:c r="D109" s="19" t="str">
        <x:v>Multimodal Presence Scale (MPS)</x:v>
      </x:c>
      <x:c r="E109" s="19" t="str">
        <x:v>2017</x:v>
      </x:c>
      <x:c r="F109" s="19" t="str">
        <x:v>Social Presence</x:v>
      </x:c>
      <x:c r="G109" s="19" t="str">
        <x:v>SP2</x:v>
      </x:c>
      <x:c r="H109" s="19" t="str">
        <x:v>我意识到虚拟环境中的其他人或代理。</x:v>
      </x:c>
      <x:c r="I109" s="19" t="str"/>
      <x:c r="J109" s="19" t="str">
        <x:v>正向</x:v>
      </x:c>
      <x:c r="K109" s="19" t="str">
        <x:v>5点同意度</x:v>
      </x:c>
      <x:c r="L109" s="19" t="str">
        <x:v>CFA+IRT验证</x:v>
      </x:c>
      <x:c r="M109" s="19" t="str">
        <x:v>总体</x:v>
      </x:c>
      <x:c r="N109" s="19" t="str">
        <x:v>社会存在</x:v>
      </x:c>
      <x:c r="O109" s="19" t="n">
        <x:v>0</x:v>
      </x:c>
      <x:c r="P109" s="19" t="str">
        <x:v>不建议</x:v>
      </x:c>
      <x:c r="Q109" s="19" t="str">
        <x:v>中文语义转述</x:v>
      </x:c>
      <x:c r="R109" s="19" t="str">
        <x:v>https://doi.org/10.1016/j.chb.2017.02.066</x:v>
      </x:c>
      <x:c r="S109" s="19" t="str">
        <x:v>Final 15-item MPS</x:v>
      </x:c>
      <x:c r="T109" s="19" t="str"/>
      <x:c r="U109" s="19" t="str"/>
    </x:row>
    <x:row r="110" ht="47" customHeight="1">
      <x:c r="A110" s="19" t="str">
        <x:v>未决定</x:v>
      </x:c>
      <x:c r="B110" s="19" t="str">
        <x:v>C-控制</x:v>
      </x:c>
      <x:c r="C110" s="19" t="str">
        <x:v>多模态存在感</x:v>
      </x:c>
      <x:c r="D110" s="19" t="str">
        <x:v>Multimodal Presence Scale (MPS)</x:v>
      </x:c>
      <x:c r="E110" s="19" t="str">
        <x:v>2017</x:v>
      </x:c>
      <x:c r="F110" s="19" t="str">
        <x:v>Social Presence</x:v>
      </x:c>
      <x:c r="G110" s="19" t="str">
        <x:v>SP3</x:v>
      </x:c>
      <x:c r="H110" s="19" t="str">
        <x:v>我感觉自己与虚拟环境中的其他人共同在场。</x:v>
      </x:c>
      <x:c r="I110" s="19" t="str"/>
      <x:c r="J110" s="19" t="str">
        <x:v>正向</x:v>
      </x:c>
      <x:c r="K110" s="19" t="str">
        <x:v>5点同意度</x:v>
      </x:c>
      <x:c r="L110" s="19" t="str">
        <x:v>CFA+IRT验证</x:v>
      </x:c>
      <x:c r="M110" s="19" t="str">
        <x:v>总体</x:v>
      </x:c>
      <x:c r="N110" s="19" t="str">
        <x:v>共在</x:v>
      </x:c>
      <x:c r="O110" s="19" t="n">
        <x:v>0</x:v>
      </x:c>
      <x:c r="P110" s="19" t="str">
        <x:v>不建议</x:v>
      </x:c>
      <x:c r="Q110" s="19" t="str">
        <x:v>中文语义转述</x:v>
      </x:c>
      <x:c r="R110" s="19" t="str">
        <x:v>https://doi.org/10.1016/j.chb.2017.02.066</x:v>
      </x:c>
      <x:c r="S110" s="19" t="str">
        <x:v>Final 15-item MPS</x:v>
      </x:c>
      <x:c r="T110" s="19" t="str"/>
      <x:c r="U110" s="19" t="str"/>
    </x:row>
    <x:row r="111" ht="47" customHeight="1">
      <x:c r="A111" s="19" t="str">
        <x:v>未决定</x:v>
      </x:c>
      <x:c r="B111" s="19" t="str">
        <x:v>C-控制</x:v>
      </x:c>
      <x:c r="C111" s="19" t="str">
        <x:v>多模态存在感</x:v>
      </x:c>
      <x:c r="D111" s="19" t="str">
        <x:v>Multimodal Presence Scale (MPS)</x:v>
      </x:c>
      <x:c r="E111" s="19" t="str">
        <x:v>2017</x:v>
      </x:c>
      <x:c r="F111" s="19" t="str">
        <x:v>Social Presence</x:v>
      </x:c>
      <x:c r="G111" s="19" t="str">
        <x:v>SP4</x:v>
      </x:c>
      <x:c r="H111" s="19" t="str">
        <x:v>与虚拟角色或他人的互动感觉自然。</x:v>
      </x:c>
      <x:c r="I111" s="19" t="str"/>
      <x:c r="J111" s="19" t="str">
        <x:v>正向</x:v>
      </x:c>
      <x:c r="K111" s="19" t="str">
        <x:v>5点同意度</x:v>
      </x:c>
      <x:c r="L111" s="19" t="str">
        <x:v>CFA+IRT验证</x:v>
      </x:c>
      <x:c r="M111" s="19" t="str">
        <x:v>总体</x:v>
      </x:c>
      <x:c r="N111" s="19" t="str">
        <x:v>社会交互自然性</x:v>
      </x:c>
      <x:c r="O111" s="19" t="n">
        <x:v>0</x:v>
      </x:c>
      <x:c r="P111" s="19" t="str">
        <x:v>不建议</x:v>
      </x:c>
      <x:c r="Q111" s="19" t="str">
        <x:v>中文语义转述</x:v>
      </x:c>
      <x:c r="R111" s="19" t="str">
        <x:v>https://doi.org/10.1016/j.chb.2017.02.066</x:v>
      </x:c>
      <x:c r="S111" s="19" t="str">
        <x:v>Final 15-item MPS</x:v>
      </x:c>
      <x:c r="T111" s="19" t="str"/>
      <x:c r="U111" s="19" t="str"/>
    </x:row>
    <x:row r="112" ht="47" customHeight="1">
      <x:c r="A112" s="19" t="str">
        <x:v>未决定</x:v>
      </x:c>
      <x:c r="B112" s="19" t="str">
        <x:v>C-控制</x:v>
      </x:c>
      <x:c r="C112" s="19" t="str">
        <x:v>多模态存在感</x:v>
      </x:c>
      <x:c r="D112" s="19" t="str">
        <x:v>Multimodal Presence Scale (MPS)</x:v>
      </x:c>
      <x:c r="E112" s="19" t="str">
        <x:v>2017</x:v>
      </x:c>
      <x:c r="F112" s="19" t="str">
        <x:v>Social Presence</x:v>
      </x:c>
      <x:c r="G112" s="19" t="str">
        <x:v>SP5</x:v>
      </x:c>
      <x:c r="H112" s="19" t="str">
        <x:v>虚拟环境中的其他人给我一种真实存在的感觉。</x:v>
      </x:c>
      <x:c r="I112" s="19" t="str"/>
      <x:c r="J112" s="19" t="str">
        <x:v>正向</x:v>
      </x:c>
      <x:c r="K112" s="19" t="str">
        <x:v>5点同意度</x:v>
      </x:c>
      <x:c r="L112" s="19" t="str">
        <x:v>CFA+IRT验证</x:v>
      </x:c>
      <x:c r="M112" s="19" t="str">
        <x:v>总体</x:v>
      </x:c>
      <x:c r="N112" s="19" t="str">
        <x:v>社会真实感</x:v>
      </x:c>
      <x:c r="O112" s="19" t="n">
        <x:v>0</x:v>
      </x:c>
      <x:c r="P112" s="19" t="str">
        <x:v>不建议</x:v>
      </x:c>
      <x:c r="Q112" s="19" t="str">
        <x:v>中文语义转述</x:v>
      </x:c>
      <x:c r="R112" s="19" t="str">
        <x:v>https://doi.org/10.1016/j.chb.2017.02.066</x:v>
      </x:c>
      <x:c r="S112" s="19" t="str">
        <x:v>Final 15-item MPS</x:v>
      </x:c>
      <x:c r="T112" s="19" t="str"/>
      <x:c r="U112" s="19" t="str"/>
    </x:row>
    <x:row r="113" ht="47" customHeight="1">
      <x:c r="A113" s="19" t="str">
        <x:v>未决定</x:v>
      </x:c>
      <x:c r="B113" s="19" t="str">
        <x:v>C-控制</x:v>
      </x:c>
      <x:c r="C113" s="19" t="str">
        <x:v>多模态存在感</x:v>
      </x:c>
      <x:c r="D113" s="19" t="str">
        <x:v>Multimodal Presence Scale (MPS)</x:v>
      </x:c>
      <x:c r="E113" s="19" t="str">
        <x:v>2017</x:v>
      </x:c>
      <x:c r="F113" s="19" t="str">
        <x:v>Self Presence</x:v>
      </x:c>
      <x:c r="G113" s="19" t="str">
        <x:v>SELF1</x:v>
      </x:c>
      <x:c r="H113" s="19" t="str">
        <x:v>虚拟身体感觉像是我的身体。</x:v>
      </x:c>
      <x:c r="I113" s="19" t="str"/>
      <x:c r="J113" s="19" t="str">
        <x:v>正向</x:v>
      </x:c>
      <x:c r="K113" s="19" t="str">
        <x:v>5点同意度</x:v>
      </x:c>
      <x:c r="L113" s="19" t="str">
        <x:v>CFA+IRT验证</x:v>
      </x:c>
      <x:c r="M113" s="19" t="str">
        <x:v>总体</x:v>
      </x:c>
      <x:c r="N113" s="19" t="str">
        <x:v>身体所有权</x:v>
      </x:c>
      <x:c r="O113" s="19" t="n">
        <x:v>0</x:v>
      </x:c>
      <x:c r="P113" s="19" t="str">
        <x:v>不建议</x:v>
      </x:c>
      <x:c r="Q113" s="19" t="str">
        <x:v>中文语义转述</x:v>
      </x:c>
      <x:c r="R113" s="19" t="str">
        <x:v>https://doi.org/10.1016/j.chb.2017.02.066</x:v>
      </x:c>
      <x:c r="S113" s="19" t="str">
        <x:v>Final 15-item MPS</x:v>
      </x:c>
      <x:c r="T113" s="19" t="str"/>
      <x:c r="U113" s="19" t="str"/>
    </x:row>
    <x:row r="114" ht="47" customHeight="1">
      <x:c r="A114" s="19" t="str">
        <x:v>未决定</x:v>
      </x:c>
      <x:c r="B114" s="19" t="str">
        <x:v>C-控制</x:v>
      </x:c>
      <x:c r="C114" s="19" t="str">
        <x:v>多模态存在感</x:v>
      </x:c>
      <x:c r="D114" s="19" t="str">
        <x:v>Multimodal Presence Scale (MPS)</x:v>
      </x:c>
      <x:c r="E114" s="19" t="str">
        <x:v>2017</x:v>
      </x:c>
      <x:c r="F114" s="19" t="str">
        <x:v>Self Presence</x:v>
      </x:c>
      <x:c r="G114" s="19" t="str">
        <x:v>SELF2</x:v>
      </x:c>
      <x:c r="H114" s="19" t="str">
        <x:v>虚拟身体的动作与我的动作相一致。</x:v>
      </x:c>
      <x:c r="I114" s="19" t="str"/>
      <x:c r="J114" s="19" t="str">
        <x:v>正向</x:v>
      </x:c>
      <x:c r="K114" s="19" t="str">
        <x:v>5点同意度</x:v>
      </x:c>
      <x:c r="L114" s="19" t="str">
        <x:v>CFA+IRT验证</x:v>
      </x:c>
      <x:c r="M114" s="19" t="str">
        <x:v>总体</x:v>
      </x:c>
      <x:c r="N114" s="19" t="str">
        <x:v>动作同步</x:v>
      </x:c>
      <x:c r="O114" s="19" t="n">
        <x:v>2</x:v>
      </x:c>
      <x:c r="P114" s="19" t="str">
        <x:v>改编候选</x:v>
      </x:c>
      <x:c r="Q114" s="19" t="str">
        <x:v>中文语义转述</x:v>
      </x:c>
      <x:c r="R114" s="19" t="str">
        <x:v>https://doi.org/10.1016/j.chb.2017.02.066</x:v>
      </x:c>
      <x:c r="S114" s="19" t="str">
        <x:v>Final 15-item MPS</x:v>
      </x:c>
      <x:c r="T114" s="19" t="str"/>
      <x:c r="U114" s="19" t="str"/>
    </x:row>
    <x:row r="115" ht="47" customHeight="1">
      <x:c r="A115" s="19" t="str">
        <x:v>未决定</x:v>
      </x:c>
      <x:c r="B115" s="19" t="str">
        <x:v>C-控制</x:v>
      </x:c>
      <x:c r="C115" s="19" t="str">
        <x:v>多模态存在感</x:v>
      </x:c>
      <x:c r="D115" s="19" t="str">
        <x:v>Multimodal Presence Scale (MPS)</x:v>
      </x:c>
      <x:c r="E115" s="19" t="str">
        <x:v>2017</x:v>
      </x:c>
      <x:c r="F115" s="19" t="str">
        <x:v>Self Presence</x:v>
      </x:c>
      <x:c r="G115" s="19" t="str">
        <x:v>SELF3</x:v>
      </x:c>
      <x:c r="H115" s="19" t="str">
        <x:v>我感觉自己位于虚拟身体所在的位置。</x:v>
      </x:c>
      <x:c r="I115" s="19" t="str"/>
      <x:c r="J115" s="19" t="str">
        <x:v>正向</x:v>
      </x:c>
      <x:c r="K115" s="19" t="str">
        <x:v>5点同意度</x:v>
      </x:c>
      <x:c r="L115" s="19" t="str">
        <x:v>CFA+IRT验证</x:v>
      </x:c>
      <x:c r="M115" s="19" t="str">
        <x:v>总体</x:v>
      </x:c>
      <x:c r="N115" s="19" t="str">
        <x:v>自我定位</x:v>
      </x:c>
      <x:c r="O115" s="19" t="n">
        <x:v>0</x:v>
      </x:c>
      <x:c r="P115" s="19" t="str">
        <x:v>不建议</x:v>
      </x:c>
      <x:c r="Q115" s="19" t="str">
        <x:v>中文语义转述</x:v>
      </x:c>
      <x:c r="R115" s="19" t="str">
        <x:v>https://doi.org/10.1016/j.chb.2017.02.066</x:v>
      </x:c>
      <x:c r="S115" s="19" t="str">
        <x:v>Final 15-item MPS</x:v>
      </x:c>
      <x:c r="T115" s="19" t="str"/>
      <x:c r="U115" s="19" t="str"/>
    </x:row>
    <x:row r="116" ht="47" customHeight="1">
      <x:c r="A116" s="19" t="str">
        <x:v>未决定</x:v>
      </x:c>
      <x:c r="B116" s="19" t="str">
        <x:v>C-控制</x:v>
      </x:c>
      <x:c r="C116" s="19" t="str">
        <x:v>多模态存在感</x:v>
      </x:c>
      <x:c r="D116" s="19" t="str">
        <x:v>Multimodal Presence Scale (MPS)</x:v>
      </x:c>
      <x:c r="E116" s="19" t="str">
        <x:v>2017</x:v>
      </x:c>
      <x:c r="F116" s="19" t="str">
        <x:v>Self Presence</x:v>
      </x:c>
      <x:c r="G116" s="19" t="str">
        <x:v>SELF4</x:v>
      </x:c>
      <x:c r="H116" s="19" t="str">
        <x:v>虚拟身体对我而言感觉真实。</x:v>
      </x:c>
      <x:c r="I116" s="19" t="str"/>
      <x:c r="J116" s="19" t="str">
        <x:v>正向</x:v>
      </x:c>
      <x:c r="K116" s="19" t="str">
        <x:v>5点同意度</x:v>
      </x:c>
      <x:c r="L116" s="19" t="str">
        <x:v>CFA+IRT验证</x:v>
      </x:c>
      <x:c r="M116" s="19" t="str">
        <x:v>总体</x:v>
      </x:c>
      <x:c r="N116" s="19" t="str">
        <x:v>身体真实感</x:v>
      </x:c>
      <x:c r="O116" s="19" t="n">
        <x:v>0</x:v>
      </x:c>
      <x:c r="P116" s="19" t="str">
        <x:v>不建议</x:v>
      </x:c>
      <x:c r="Q116" s="19" t="str">
        <x:v>中文语义转述</x:v>
      </x:c>
      <x:c r="R116" s="19" t="str">
        <x:v>https://doi.org/10.1016/j.chb.2017.02.066</x:v>
      </x:c>
      <x:c r="S116" s="19" t="str">
        <x:v>Final 15-item MPS</x:v>
      </x:c>
      <x:c r="T116" s="19" t="str"/>
      <x:c r="U116" s="19" t="str"/>
    </x:row>
    <x:row r="117" ht="47" customHeight="1">
      <x:c r="A117" s="19" t="str">
        <x:v>未决定</x:v>
      </x:c>
      <x:c r="B117" s="19" t="str">
        <x:v>C-控制</x:v>
      </x:c>
      <x:c r="C117" s="19" t="str">
        <x:v>多模态存在感</x:v>
      </x:c>
      <x:c r="D117" s="19" t="str">
        <x:v>Multimodal Presence Scale (MPS)</x:v>
      </x:c>
      <x:c r="E117" s="19" t="str">
        <x:v>2017</x:v>
      </x:c>
      <x:c r="F117" s="19" t="str">
        <x:v>Self Presence</x:v>
      </x:c>
      <x:c r="G117" s="19" t="str">
        <x:v>SELF5</x:v>
      </x:c>
      <x:c r="H117" s="19" t="str">
        <x:v>发生在虚拟身体上的事件感觉像发生在我的真实身体上。</x:v>
      </x:c>
      <x:c r="I117" s="19" t="str"/>
      <x:c r="J117" s="19" t="str">
        <x:v>正向</x:v>
      </x:c>
      <x:c r="K117" s="19" t="str">
        <x:v>5点同意度</x:v>
      </x:c>
      <x:c r="L117" s="19" t="str">
        <x:v>CFA+IRT验证</x:v>
      </x:c>
      <x:c r="M117" s="19" t="str">
        <x:v>总体</x:v>
      </x:c>
      <x:c r="N117" s="19" t="str">
        <x:v>身体事件归属</x:v>
      </x:c>
      <x:c r="O117" s="19" t="n">
        <x:v>0</x:v>
      </x:c>
      <x:c r="P117" s="19" t="str">
        <x:v>不建议</x:v>
      </x:c>
      <x:c r="Q117" s="19" t="str">
        <x:v>中文语义转述</x:v>
      </x:c>
      <x:c r="R117" s="19" t="str">
        <x:v>https://doi.org/10.1016/j.chb.2017.02.066</x:v>
      </x:c>
      <x:c r="S117" s="19" t="str">
        <x:v>Final 15-item MPS</x:v>
      </x:c>
      <x:c r="T117" s="19" t="str"/>
      <x:c r="U117" s="19" t="str"/>
    </x:row>
    <x:row r="118" ht="47" customHeight="1">
      <x:c r="A118" s="19" t="str">
        <x:v>未决定</x:v>
      </x:c>
      <x:c r="B118" s="19" t="str">
        <x:v>B-邻近</x:v>
      </x:c>
      <x:c r="C118" s="19" t="str">
        <x:v>AR存在感</x:v>
      </x:c>
      <x:c r="D118" s="19" t="str">
        <x:v>Augmented Reality Presence Scale (ARPS)</x:v>
      </x:c>
      <x:c r="E118" s="19" t="str">
        <x:v>原23项/修订21项</x:v>
      </x:c>
      <x:c r="F118" s="19" t="str">
        <x:v>Awareness/Visibility</x:v>
      </x:c>
      <x:c r="G118" s="19" t="str">
        <x:v>ARPS1</x:v>
      </x:c>
      <x:c r="H118" s="19" t="str">
        <x:v>我能够看到体验中发生的一切。</x:v>
      </x:c>
      <x:c r="I118" s="19" t="str"/>
      <x:c r="J118" s="19" t="str">
        <x:v>正向</x:v>
      </x:c>
      <x:c r="K118" s="19" t="str">
        <x:v>4点同意度</x:v>
      </x:c>
      <x:c r="L118" s="19" t="str">
        <x:v>开发/修订验证</x:v>
      </x:c>
      <x:c r="M118" s="19" t="str">
        <x:v>总体</x:v>
      </x:c>
      <x:c r="N118" s="19" t="str">
        <x:v>Awareness/Visibility</x:v>
      </x:c>
      <x:c r="O118" s="19" t="n">
        <x:v>0</x:v>
      </x:c>
      <x:c r="P118" s="19" t="str">
        <x:v>不建议</x:v>
      </x:c>
      <x:c r="Q118" s="19" t="str">
        <x:v>中文语义转述；特定场景词已泛化</x:v>
      </x:c>
      <x:c r="R118" s="19" t="str">
        <x:v>https://doi.org/10.1016/j.compedu.2013.12.006</x:v>
      </x:c>
      <x:c r="S118" s="19" t="str">
        <x:v>Initial 23-item pool/final revision</x:v>
      </x:c>
      <x:c r="T118" s="19" t="str">
        <x:v>原23项；修订21项删除ARPS2和ARPS15</x:v>
      </x:c>
      <x:c r="U118" s="19" t="str"/>
    </x:row>
    <x:row r="119" ht="47" customHeight="1">
      <x:c r="A119" s="19" t="str">
        <x:v>未决定</x:v>
      </x:c>
      <x:c r="B119" s="19" t="str">
        <x:v>B-邻近</x:v>
      </x:c>
      <x:c r="C119" s="19" t="str">
        <x:v>AR存在感</x:v>
      </x:c>
      <x:c r="D119" s="19" t="str">
        <x:v>Augmented Reality Presence Scale (ARPS)</x:v>
      </x:c>
      <x:c r="E119" s="19" t="str">
        <x:v>原23项/修订21项</x:v>
      </x:c>
      <x:c r="F119" s="19" t="str">
        <x:v>Awareness/Visibility</x:v>
      </x:c>
      <x:c r="G119" s="19" t="str">
        <x:v>ARPS2</x:v>
      </x:c>
      <x:c r="H119" s="19" t="str">
        <x:v>我无法看到体验中的每一个事件。</x:v>
      </x:c>
      <x:c r="I119" s="19" t="str"/>
      <x:c r="J119" s="19" t="str">
        <x:v>正向</x:v>
      </x:c>
      <x:c r="K119" s="19" t="str">
        <x:v>4点同意度</x:v>
      </x:c>
      <x:c r="L119" s="19" t="str">
        <x:v>开发/修订验证</x:v>
      </x:c>
      <x:c r="M119" s="19" t="str">
        <x:v>总体</x:v>
      </x:c>
      <x:c r="N119" s="19" t="str">
        <x:v>Awareness/Visibility</x:v>
      </x:c>
      <x:c r="O119" s="19" t="n">
        <x:v>0</x:v>
      </x:c>
      <x:c r="P119" s="19" t="str">
        <x:v>不建议</x:v>
      </x:c>
      <x:c r="Q119" s="19" t="str">
        <x:v>中文语义转述；特定场景词已泛化</x:v>
      </x:c>
      <x:c r="R119" s="19" t="str">
        <x:v>https://doi.org/10.1016/j.compedu.2013.12.006</x:v>
      </x:c>
      <x:c r="S119" s="19" t="str">
        <x:v>Initial 23-item pool/final revision</x:v>
      </x:c>
      <x:c r="T119" s="19" t="str">
        <x:v>原23项；修订21项删除ARPS2和ARPS15</x:v>
      </x:c>
      <x:c r="U119" s="19" t="str">
        <x:v>原研究最终版删除</x:v>
      </x:c>
    </x:row>
    <x:row r="120" ht="47" customHeight="1">
      <x:c r="A120" s="19" t="str">
        <x:v>未决定</x:v>
      </x:c>
      <x:c r="B120" s="19" t="str">
        <x:v>B-邻近</x:v>
      </x:c>
      <x:c r="C120" s="19" t="str">
        <x:v>AR存在感</x:v>
      </x:c>
      <x:c r="D120" s="19" t="str">
        <x:v>Augmented Reality Presence Scale (ARPS)</x:v>
      </x:c>
      <x:c r="E120" s="19" t="str">
        <x:v>原23项/修订21项</x:v>
      </x:c>
      <x:c r="F120" s="19" t="str">
        <x:v>Interactivity</x:v>
      </x:c>
      <x:c r="G120" s="19" t="str">
        <x:v>ARPS3</x:v>
      </x:c>
      <x:c r="H120" s="19" t="str">
        <x:v>我希望能直接与所呈现的人物互动。</x:v>
      </x:c>
      <x:c r="I120" s="19" t="str"/>
      <x:c r="J120" s="19" t="str">
        <x:v>正向</x:v>
      </x:c>
      <x:c r="K120" s="19" t="str">
        <x:v>4点同意度</x:v>
      </x:c>
      <x:c r="L120" s="19" t="str">
        <x:v>开发/修订验证</x:v>
      </x:c>
      <x:c r="M120" s="19" t="str">
        <x:v>总体</x:v>
      </x:c>
      <x:c r="N120" s="19" t="str">
        <x:v>Interactivity</x:v>
      </x:c>
      <x:c r="O120" s="19" t="n">
        <x:v>0</x:v>
      </x:c>
      <x:c r="P120" s="19" t="str">
        <x:v>不建议</x:v>
      </x:c>
      <x:c r="Q120" s="19" t="str">
        <x:v>中文语义转述；特定场景词已泛化</x:v>
      </x:c>
      <x:c r="R120" s="19" t="str">
        <x:v>https://doi.org/10.1016/j.compedu.2013.12.006</x:v>
      </x:c>
      <x:c r="S120" s="19" t="str">
        <x:v>Initial 23-item pool/final revision</x:v>
      </x:c>
      <x:c r="T120" s="19" t="str">
        <x:v>原23项；修订21项删除ARPS2和ARPS15</x:v>
      </x:c>
      <x:c r="U120" s="19" t="str"/>
    </x:row>
    <x:row r="121" ht="47" customHeight="1">
      <x:c r="A121" s="19" t="str">
        <x:v>未决定</x:v>
      </x:c>
      <x:c r="B121" s="19" t="str">
        <x:v>B-邻近</x:v>
      </x:c>
      <x:c r="C121" s="19" t="str">
        <x:v>AR存在感</x:v>
      </x:c>
      <x:c r="D121" s="19" t="str">
        <x:v>Augmented Reality Presence Scale (ARPS)</x:v>
      </x:c>
      <x:c r="E121" s="19" t="str">
        <x:v>原23项/修订21项</x:v>
      </x:c>
      <x:c r="F121" s="19" t="str">
        <x:v>Realness</x:v>
      </x:c>
      <x:c r="G121" s="19" t="str">
        <x:v>ARPS4</x:v>
      </x:c>
      <x:c r="H121" s="19" t="str">
        <x:v>所呈现的人物看起来像真实存在的人。</x:v>
      </x:c>
      <x:c r="I121" s="19" t="str"/>
      <x:c r="J121" s="19" t="str">
        <x:v>正向</x:v>
      </x:c>
      <x:c r="K121" s="19" t="str">
        <x:v>4点同意度</x:v>
      </x:c>
      <x:c r="L121" s="19" t="str">
        <x:v>开发/修订验证</x:v>
      </x:c>
      <x:c r="M121" s="19" t="str">
        <x:v>总体</x:v>
      </x:c>
      <x:c r="N121" s="19" t="str">
        <x:v>Realness</x:v>
      </x:c>
      <x:c r="O121" s="19" t="n">
        <x:v>2</x:v>
      </x:c>
      <x:c r="P121" s="19" t="str">
        <x:v>邻近参考</x:v>
      </x:c>
      <x:c r="Q121" s="19" t="str">
        <x:v>中文语义转述；特定场景词已泛化</x:v>
      </x:c>
      <x:c r="R121" s="19" t="str">
        <x:v>https://doi.org/10.1016/j.compedu.2013.12.006</x:v>
      </x:c>
      <x:c r="S121" s="19" t="str">
        <x:v>Initial 23-item pool/final revision</x:v>
      </x:c>
      <x:c r="T121" s="19" t="str">
        <x:v>原23项；修订21项删除ARPS2和ARPS15</x:v>
      </x:c>
      <x:c r="U121" s="19" t="str"/>
    </x:row>
    <x:row r="122" ht="47" customHeight="1">
      <x:c r="A122" s="19" t="str">
        <x:v>未决定</x:v>
      </x:c>
      <x:c r="B122" s="19" t="str">
        <x:v>B-邻近</x:v>
      </x:c>
      <x:c r="C122" s="19" t="str">
        <x:v>AR存在感</x:v>
      </x:c>
      <x:c r="D122" s="19" t="str">
        <x:v>Augmented Reality Presence Scale (ARPS)</x:v>
      </x:c>
      <x:c r="E122" s="19" t="str">
        <x:v>原23项/修订21项</x:v>
      </x:c>
      <x:c r="F122" s="19" t="str">
        <x:v>Interactivity</x:v>
      </x:c>
      <x:c r="G122" s="19" t="str">
        <x:v>ARPS5</x:v>
      </x:c>
      <x:c r="H122" s="19" t="str">
        <x:v>我感觉自己的动作能够影响增强现实内容。</x:v>
      </x:c>
      <x:c r="I122" s="19" t="str"/>
      <x:c r="J122" s="19" t="str">
        <x:v>正向</x:v>
      </x:c>
      <x:c r="K122" s="19" t="str">
        <x:v>4点同意度</x:v>
      </x:c>
      <x:c r="L122" s="19" t="str">
        <x:v>开发/修订验证</x:v>
      </x:c>
      <x:c r="M122" s="19" t="str">
        <x:v>总体</x:v>
      </x:c>
      <x:c r="N122" s="19" t="str">
        <x:v>Interactivity</x:v>
      </x:c>
      <x:c r="O122" s="19" t="n">
        <x:v>0</x:v>
      </x:c>
      <x:c r="P122" s="19" t="str">
        <x:v>不建议</x:v>
      </x:c>
      <x:c r="Q122" s="19" t="str">
        <x:v>中文语义转述；特定场景词已泛化</x:v>
      </x:c>
      <x:c r="R122" s="19" t="str">
        <x:v>https://doi.org/10.1016/j.compedu.2013.12.006</x:v>
      </x:c>
      <x:c r="S122" s="19" t="str">
        <x:v>Initial 23-item pool/final revision</x:v>
      </x:c>
      <x:c r="T122" s="19" t="str">
        <x:v>原23项；修订21项删除ARPS2和ARPS15</x:v>
      </x:c>
      <x:c r="U122" s="19" t="str"/>
    </x:row>
    <x:row r="123" ht="47" customHeight="1">
      <x:c r="A123" s="19" t="str">
        <x:v>未决定</x:v>
      </x:c>
      <x:c r="B123" s="19" t="str">
        <x:v>B-邻近</x:v>
      </x:c>
      <x:c r="C123" s="19" t="str">
        <x:v>AR存在感</x:v>
      </x:c>
      <x:c r="D123" s="19" t="str">
        <x:v>Augmented Reality Presence Scale (ARPS)</x:v>
      </x:c>
      <x:c r="E123" s="19" t="str">
        <x:v>原23项/修订21项</x:v>
      </x:c>
      <x:c r="F123" s="19" t="str">
        <x:v>Realness</x:v>
      </x:c>
      <x:c r="G123" s="19" t="str">
        <x:v>ARPS6</x:v>
      </x:c>
      <x:c r="H123" s="19" t="str">
        <x:v>视觉体验与亲临现场时的体验相似。</x:v>
      </x:c>
      <x:c r="I123" s="19" t="str"/>
      <x:c r="J123" s="19" t="str">
        <x:v>正向</x:v>
      </x:c>
      <x:c r="K123" s="19" t="str">
        <x:v>4点同意度</x:v>
      </x:c>
      <x:c r="L123" s="19" t="str">
        <x:v>开发/修订验证</x:v>
      </x:c>
      <x:c r="M123" s="19" t="str">
        <x:v>总体</x:v>
      </x:c>
      <x:c r="N123" s="19" t="str">
        <x:v>Realness</x:v>
      </x:c>
      <x:c r="O123" s="19" t="n">
        <x:v>2</x:v>
      </x:c>
      <x:c r="P123" s="19" t="str">
        <x:v>邻近参考</x:v>
      </x:c>
      <x:c r="Q123" s="19" t="str">
        <x:v>中文语义转述；特定场景词已泛化</x:v>
      </x:c>
      <x:c r="R123" s="19" t="str">
        <x:v>https://doi.org/10.1016/j.compedu.2013.12.006</x:v>
      </x:c>
      <x:c r="S123" s="19" t="str">
        <x:v>Initial 23-item pool/final revision</x:v>
      </x:c>
      <x:c r="T123" s="19" t="str">
        <x:v>原23项；修订21项删除ARPS2和ARPS15</x:v>
      </x:c>
      <x:c r="U123" s="19" t="str"/>
    </x:row>
    <x:row r="124" ht="47" customHeight="1">
      <x:c r="A124" s="19" t="str">
        <x:v>未决定</x:v>
      </x:c>
      <x:c r="B124" s="19" t="str">
        <x:v>B-邻近</x:v>
      </x:c>
      <x:c r="C124" s="19" t="str">
        <x:v>AR存在感</x:v>
      </x:c>
      <x:c r="D124" s="19" t="str">
        <x:v>Augmented Reality Presence Scale (ARPS)</x:v>
      </x:c>
      <x:c r="E124" s="19" t="str">
        <x:v>原23项/修订21项</x:v>
      </x:c>
      <x:c r="F124" s="19" t="str">
        <x:v>Engagement</x:v>
      </x:c>
      <x:c r="G124" s="19" t="str">
        <x:v>ARPS7</x:v>
      </x:c>
      <x:c r="H124" s="19" t="str">
        <x:v>我沉浸在增强现实体验中。</x:v>
      </x:c>
      <x:c r="I124" s="19" t="str"/>
      <x:c r="J124" s="19" t="str">
        <x:v>正向</x:v>
      </x:c>
      <x:c r="K124" s="19" t="str">
        <x:v>4点同意度</x:v>
      </x:c>
      <x:c r="L124" s="19" t="str">
        <x:v>开发/修订验证</x:v>
      </x:c>
      <x:c r="M124" s="19" t="str">
        <x:v>总体</x:v>
      </x:c>
      <x:c r="N124" s="19" t="str">
        <x:v>Engagement</x:v>
      </x:c>
      <x:c r="O124" s="19" t="n">
        <x:v>0</x:v>
      </x:c>
      <x:c r="P124" s="19" t="str">
        <x:v>不建议</x:v>
      </x:c>
      <x:c r="Q124" s="19" t="str">
        <x:v>中文语义转述；特定场景词已泛化</x:v>
      </x:c>
      <x:c r="R124" s="19" t="str">
        <x:v>https://doi.org/10.1016/j.compedu.2013.12.006</x:v>
      </x:c>
      <x:c r="S124" s="19" t="str">
        <x:v>Initial 23-item pool/final revision</x:v>
      </x:c>
      <x:c r="T124" s="19" t="str">
        <x:v>原23项；修订21项删除ARPS2和ARPS15</x:v>
      </x:c>
      <x:c r="U124" s="19" t="str"/>
    </x:row>
    <x:row r="125" ht="47" customHeight="1">
      <x:c r="A125" s="19" t="str">
        <x:v>未决定</x:v>
      </x:c>
      <x:c r="B125" s="19" t="str">
        <x:v>B-邻近</x:v>
      </x:c>
      <x:c r="C125" s="19" t="str">
        <x:v>AR存在感</x:v>
      </x:c>
      <x:c r="D125" s="19" t="str">
        <x:v>Augmented Reality Presence Scale (ARPS)</x:v>
      </x:c>
      <x:c r="E125" s="19" t="str">
        <x:v>原23项/修订21项</x:v>
      </x:c>
      <x:c r="F125" s="19" t="str">
        <x:v>Emotion</x:v>
      </x:c>
      <x:c r="G125" s="19" t="str">
        <x:v>ARPS8</x:v>
      </x:c>
      <x:c r="H125" s="19" t="str">
        <x:v>体验影响了我的情绪。</x:v>
      </x:c>
      <x:c r="I125" s="19" t="str"/>
      <x:c r="J125" s="19" t="str">
        <x:v>正向</x:v>
      </x:c>
      <x:c r="K125" s="19" t="str">
        <x:v>4点同意度</x:v>
      </x:c>
      <x:c r="L125" s="19" t="str">
        <x:v>开发/修订验证</x:v>
      </x:c>
      <x:c r="M125" s="19" t="str">
        <x:v>总体</x:v>
      </x:c>
      <x:c r="N125" s="19" t="str">
        <x:v>Emotion</x:v>
      </x:c>
      <x:c r="O125" s="19" t="n">
        <x:v>0</x:v>
      </x:c>
      <x:c r="P125" s="19" t="str">
        <x:v>不建议</x:v>
      </x:c>
      <x:c r="Q125" s="19" t="str">
        <x:v>中文语义转述；特定场景词已泛化</x:v>
      </x:c>
      <x:c r="R125" s="19" t="str">
        <x:v>https://doi.org/10.1016/j.compedu.2013.12.006</x:v>
      </x:c>
      <x:c r="S125" s="19" t="str">
        <x:v>Initial 23-item pool/final revision</x:v>
      </x:c>
      <x:c r="T125" s="19" t="str">
        <x:v>原23项；修订21项删除ARPS2和ARPS15</x:v>
      </x:c>
      <x:c r="U125" s="19" t="str"/>
    </x:row>
    <x:row r="126" ht="47" customHeight="1">
      <x:c r="A126" s="19" t="str">
        <x:v>未决定</x:v>
      </x:c>
      <x:c r="B126" s="19" t="str">
        <x:v>B-邻近</x:v>
      </x:c>
      <x:c r="C126" s="19" t="str">
        <x:v>AR存在感</x:v>
      </x:c>
      <x:c r="D126" s="19" t="str">
        <x:v>Augmented Reality Presence Scale (ARPS)</x:v>
      </x:c>
      <x:c r="E126" s="19" t="str">
        <x:v>原23项/修订21项</x:v>
      </x:c>
      <x:c r="F126" s="19" t="str">
        <x:v>Emotion</x:v>
      </x:c>
      <x:c r="G126" s="19" t="str">
        <x:v>ARPS9</x:v>
      </x:c>
      <x:c r="H126" s="19" t="str">
        <x:v>我对所呈现的人物产生了情感联系。</x:v>
      </x:c>
      <x:c r="I126" s="19" t="str"/>
      <x:c r="J126" s="19" t="str">
        <x:v>正向</x:v>
      </x:c>
      <x:c r="K126" s="19" t="str">
        <x:v>4点同意度</x:v>
      </x:c>
      <x:c r="L126" s="19" t="str">
        <x:v>开发/修订验证</x:v>
      </x:c>
      <x:c r="M126" s="19" t="str">
        <x:v>总体</x:v>
      </x:c>
      <x:c r="N126" s="19" t="str">
        <x:v>Emotion</x:v>
      </x:c>
      <x:c r="O126" s="19" t="n">
        <x:v>0</x:v>
      </x:c>
      <x:c r="P126" s="19" t="str">
        <x:v>不建议</x:v>
      </x:c>
      <x:c r="Q126" s="19" t="str">
        <x:v>中文语义转述；特定场景词已泛化</x:v>
      </x:c>
      <x:c r="R126" s="19" t="str">
        <x:v>https://doi.org/10.1016/j.compedu.2013.12.006</x:v>
      </x:c>
      <x:c r="S126" s="19" t="str">
        <x:v>Initial 23-item pool/final revision</x:v>
      </x:c>
      <x:c r="T126" s="19" t="str">
        <x:v>原23项；修订21项删除ARPS2和ARPS15</x:v>
      </x:c>
      <x:c r="U126" s="19" t="str"/>
    </x:row>
    <x:row r="127" ht="47" customHeight="1">
      <x:c r="A127" s="19" t="str">
        <x:v>未决定</x:v>
      </x:c>
      <x:c r="B127" s="19" t="str">
        <x:v>B-邻近</x:v>
      </x:c>
      <x:c r="C127" s="19" t="str">
        <x:v>AR存在感</x:v>
      </x:c>
      <x:c r="D127" s="19" t="str">
        <x:v>Augmented Reality Presence Scale (ARPS)</x:v>
      </x:c>
      <x:c r="E127" s="19" t="str">
        <x:v>原23项/修订21项</x:v>
      </x:c>
      <x:c r="F127" s="19" t="str">
        <x:v>Authenticity</x:v>
      </x:c>
      <x:c r="G127" s="19" t="str">
        <x:v>ARPS10</x:v>
      </x:c>
      <x:c r="H127" s="19" t="str">
        <x:v>该体验提供了真实可信的学习或体验感。</x:v>
      </x:c>
      <x:c r="I127" s="19" t="str"/>
      <x:c r="J127" s="19" t="str">
        <x:v>正向</x:v>
      </x:c>
      <x:c r="K127" s="19" t="str">
        <x:v>4点同意度</x:v>
      </x:c>
      <x:c r="L127" s="19" t="str">
        <x:v>开发/修订验证</x:v>
      </x:c>
      <x:c r="M127" s="19" t="str">
        <x:v>总体</x:v>
      </x:c>
      <x:c r="N127" s="19" t="str">
        <x:v>Authenticity</x:v>
      </x:c>
      <x:c r="O127" s="19" t="n">
        <x:v>0</x:v>
      </x:c>
      <x:c r="P127" s="19" t="str">
        <x:v>不建议</x:v>
      </x:c>
      <x:c r="Q127" s="19" t="str">
        <x:v>中文语义转述；特定场景词已泛化</x:v>
      </x:c>
      <x:c r="R127" s="19" t="str">
        <x:v>https://doi.org/10.1016/j.compedu.2013.12.006</x:v>
      </x:c>
      <x:c r="S127" s="19" t="str">
        <x:v>Initial 23-item pool/final revision</x:v>
      </x:c>
      <x:c r="T127" s="19" t="str">
        <x:v>原23项；修订21项删除ARPS2和ARPS15</x:v>
      </x:c>
      <x:c r="U127" s="19" t="str"/>
    </x:row>
    <x:row r="128" ht="47" customHeight="1">
      <x:c r="A128" s="19" t="str">
        <x:v>未决定</x:v>
      </x:c>
      <x:c r="B128" s="19" t="str">
        <x:v>B-邻近</x:v>
      </x:c>
      <x:c r="C128" s="19" t="str">
        <x:v>AR存在感</x:v>
      </x:c>
      <x:c r="D128" s="19" t="str">
        <x:v>Augmented Reality Presence Scale (ARPS)</x:v>
      </x:c>
      <x:c r="E128" s="19" t="str">
        <x:v>原23项/修订21项</x:v>
      </x:c>
      <x:c r="F128" s="19" t="str">
        <x:v>Temporal Presence</x:v>
      </x:c>
      <x:c r="G128" s="19" t="str">
        <x:v>ARPS11</x:v>
      </x:c>
      <x:c r="H128" s="19" t="str">
        <x:v>我感觉自己回到了所呈现的时代或情境。</x:v>
      </x:c>
      <x:c r="I128" s="19" t="str"/>
      <x:c r="J128" s="19" t="str">
        <x:v>正向</x:v>
      </x:c>
      <x:c r="K128" s="19" t="str">
        <x:v>4点同意度</x:v>
      </x:c>
      <x:c r="L128" s="19" t="str">
        <x:v>开发/修订验证</x:v>
      </x:c>
      <x:c r="M128" s="19" t="str">
        <x:v>总体</x:v>
      </x:c>
      <x:c r="N128" s="19" t="str">
        <x:v>Temporal Presence</x:v>
      </x:c>
      <x:c r="O128" s="19" t="n">
        <x:v>0</x:v>
      </x:c>
      <x:c r="P128" s="19" t="str">
        <x:v>不建议</x:v>
      </x:c>
      <x:c r="Q128" s="19" t="str">
        <x:v>中文语义转述；特定场景词已泛化</x:v>
      </x:c>
      <x:c r="R128" s="19" t="str">
        <x:v>https://doi.org/10.1016/j.compedu.2013.12.006</x:v>
      </x:c>
      <x:c r="S128" s="19" t="str">
        <x:v>Initial 23-item pool/final revision</x:v>
      </x:c>
      <x:c r="T128" s="19" t="str">
        <x:v>原23项；修订21项删除ARPS2和ARPS15</x:v>
      </x:c>
      <x:c r="U128" s="19" t="str"/>
    </x:row>
    <x:row r="129" ht="47" customHeight="1">
      <x:c r="A129" s="19" t="str">
        <x:v>未决定</x:v>
      </x:c>
      <x:c r="B129" s="19" t="str">
        <x:v>B-邻近</x:v>
      </x:c>
      <x:c r="C129" s="19" t="str">
        <x:v>AR存在感</x:v>
      </x:c>
      <x:c r="D129" s="19" t="str">
        <x:v>Augmented Reality Presence Scale (ARPS)</x:v>
      </x:c>
      <x:c r="E129" s="19" t="str">
        <x:v>原23项/修订21项</x:v>
      </x:c>
      <x:c r="F129" s="19" t="str">
        <x:v>Social/Temporal Presence</x:v>
      </x:c>
      <x:c r="G129" s="19" t="str">
        <x:v>ARPS12</x:v>
      </x:c>
      <x:c r="H129" s="19" t="str">
        <x:v>我感觉自己与当时的人们共同在场。</x:v>
      </x:c>
      <x:c r="I129" s="19" t="str"/>
      <x:c r="J129" s="19" t="str">
        <x:v>正向</x:v>
      </x:c>
      <x:c r="K129" s="19" t="str">
        <x:v>4点同意度</x:v>
      </x:c>
      <x:c r="L129" s="19" t="str">
        <x:v>开发/修订验证</x:v>
      </x:c>
      <x:c r="M129" s="19" t="str">
        <x:v>总体</x:v>
      </x:c>
      <x:c r="N129" s="19" t="str">
        <x:v>Social/Temporal Presence</x:v>
      </x:c>
      <x:c r="O129" s="19" t="n">
        <x:v>0</x:v>
      </x:c>
      <x:c r="P129" s="19" t="str">
        <x:v>不建议</x:v>
      </x:c>
      <x:c r="Q129" s="19" t="str">
        <x:v>中文语义转述；特定场景词已泛化</x:v>
      </x:c>
      <x:c r="R129" s="19" t="str">
        <x:v>https://doi.org/10.1016/j.compedu.2013.12.006</x:v>
      </x:c>
      <x:c r="S129" s="19" t="str">
        <x:v>Initial 23-item pool/final revision</x:v>
      </x:c>
      <x:c r="T129" s="19" t="str">
        <x:v>原23项；修订21项删除ARPS2和ARPS15</x:v>
      </x:c>
      <x:c r="U129" s="19" t="str"/>
    </x:row>
    <x:row r="130" ht="47" customHeight="1">
      <x:c r="A130" s="19" t="str">
        <x:v>未决定</x:v>
      </x:c>
      <x:c r="B130" s="19" t="str">
        <x:v>B-邻近</x:v>
      </x:c>
      <x:c r="C130" s="19" t="str">
        <x:v>AR存在感</x:v>
      </x:c>
      <x:c r="D130" s="19" t="str">
        <x:v>Augmented Reality Presence Scale (ARPS)</x:v>
      </x:c>
      <x:c r="E130" s="19" t="str">
        <x:v>原23项/修订21项</x:v>
      </x:c>
      <x:c r="F130" s="19" t="str">
        <x:v>Non-mediation</x:v>
      </x:c>
      <x:c r="G130" s="19" t="str">
        <x:v>ARPS13</x:v>
      </x:c>
      <x:c r="H130" s="19" t="str">
        <x:v>我能够环顾四周，而不明显意识到技术媒介的存在。</x:v>
      </x:c>
      <x:c r="I130" s="19" t="str"/>
      <x:c r="J130" s="19" t="str">
        <x:v>正向</x:v>
      </x:c>
      <x:c r="K130" s="19" t="str">
        <x:v>4点同意度</x:v>
      </x:c>
      <x:c r="L130" s="19" t="str">
        <x:v>开发/修订验证</x:v>
      </x:c>
      <x:c r="M130" s="19" t="str">
        <x:v>总体</x:v>
      </x:c>
      <x:c r="N130" s="19" t="str">
        <x:v>Non-mediation</x:v>
      </x:c>
      <x:c r="O130" s="19" t="n">
        <x:v>2</x:v>
      </x:c>
      <x:c r="P130" s="19" t="str">
        <x:v>邻近参考</x:v>
      </x:c>
      <x:c r="Q130" s="19" t="str">
        <x:v>中文语义转述；特定场景词已泛化</x:v>
      </x:c>
      <x:c r="R130" s="19" t="str">
        <x:v>https://doi.org/10.1016/j.compedu.2013.12.006</x:v>
      </x:c>
      <x:c r="S130" s="19" t="str">
        <x:v>Initial 23-item pool/final revision</x:v>
      </x:c>
      <x:c r="T130" s="19" t="str">
        <x:v>原23项；修订21项删除ARPS2和ARPS15</x:v>
      </x:c>
      <x:c r="U130" s="19" t="str"/>
    </x:row>
    <x:row r="131" ht="47" customHeight="1">
      <x:c r="A131" s="19" t="str">
        <x:v>未决定</x:v>
      </x:c>
      <x:c r="B131" s="19" t="str">
        <x:v>B-邻近</x:v>
      </x:c>
      <x:c r="C131" s="19" t="str">
        <x:v>AR存在感</x:v>
      </x:c>
      <x:c r="D131" s="19" t="str">
        <x:v>Augmented Reality Presence Scale (ARPS)</x:v>
      </x:c>
      <x:c r="E131" s="19" t="str">
        <x:v>原23项/修订21项</x:v>
      </x:c>
      <x:c r="F131" s="19" t="str">
        <x:v>Interactivity</x:v>
      </x:c>
      <x:c r="G131" s="19" t="str">
        <x:v>ARPS14</x:v>
      </x:c>
      <x:c r="H131" s="19" t="str">
        <x:v>我感觉自己是在与人物打交道，而不只是观看内容。</x:v>
      </x:c>
      <x:c r="I131" s="19" t="str"/>
      <x:c r="J131" s="19" t="str">
        <x:v>正向</x:v>
      </x:c>
      <x:c r="K131" s="19" t="str">
        <x:v>4点同意度</x:v>
      </x:c>
      <x:c r="L131" s="19" t="str">
        <x:v>开发/修订验证</x:v>
      </x:c>
      <x:c r="M131" s="19" t="str">
        <x:v>总体</x:v>
      </x:c>
      <x:c r="N131" s="19" t="str">
        <x:v>Interactivity</x:v>
      </x:c>
      <x:c r="O131" s="19" t="n">
        <x:v>0</x:v>
      </x:c>
      <x:c r="P131" s="19" t="str">
        <x:v>不建议</x:v>
      </x:c>
      <x:c r="Q131" s="19" t="str">
        <x:v>中文语义转述；特定场景词已泛化</x:v>
      </x:c>
      <x:c r="R131" s="19" t="str">
        <x:v>https://doi.org/10.1016/j.compedu.2013.12.006</x:v>
      </x:c>
      <x:c r="S131" s="19" t="str">
        <x:v>Initial 23-item pool/final revision</x:v>
      </x:c>
      <x:c r="T131" s="19" t="str">
        <x:v>原23项；修订21项删除ARPS2和ARPS15</x:v>
      </x:c>
      <x:c r="U131" s="19" t="str"/>
    </x:row>
    <x:row r="132" ht="47" customHeight="1">
      <x:c r="A132" s="19" t="str">
        <x:v>未决定</x:v>
      </x:c>
      <x:c r="B132" s="19" t="str">
        <x:v>B-邻近</x:v>
      </x:c>
      <x:c r="C132" s="19" t="str">
        <x:v>AR存在感</x:v>
      </x:c>
      <x:c r="D132" s="19" t="str">
        <x:v>Augmented Reality Presence Scale (ARPS)</x:v>
      </x:c>
      <x:c r="E132" s="19" t="str">
        <x:v>原23项/修订21项</x:v>
      </x:c>
      <x:c r="F132" s="19" t="str">
        <x:v>Temporal Presence</x:v>
      </x:c>
      <x:c r="G132" s="19" t="str">
        <x:v>ARPS15</x:v>
      </x:c>
      <x:c r="H132" s="19" t="str">
        <x:v>我感觉自己像是所呈现过去情境的一部分。</x:v>
      </x:c>
      <x:c r="I132" s="19" t="str"/>
      <x:c r="J132" s="19" t="str">
        <x:v>正向</x:v>
      </x:c>
      <x:c r="K132" s="19" t="str">
        <x:v>4点同意度</x:v>
      </x:c>
      <x:c r="L132" s="19" t="str">
        <x:v>开发/修订验证</x:v>
      </x:c>
      <x:c r="M132" s="19" t="str">
        <x:v>总体</x:v>
      </x:c>
      <x:c r="N132" s="19" t="str">
        <x:v>Temporal Presence</x:v>
      </x:c>
      <x:c r="O132" s="19" t="n">
        <x:v>0</x:v>
      </x:c>
      <x:c r="P132" s="19" t="str">
        <x:v>不建议</x:v>
      </x:c>
      <x:c r="Q132" s="19" t="str">
        <x:v>中文语义转述；特定场景词已泛化</x:v>
      </x:c>
      <x:c r="R132" s="19" t="str">
        <x:v>https://doi.org/10.1016/j.compedu.2013.12.006</x:v>
      </x:c>
      <x:c r="S132" s="19" t="str">
        <x:v>Initial 23-item pool/final revision</x:v>
      </x:c>
      <x:c r="T132" s="19" t="str">
        <x:v>原23项；修订21项删除ARPS2和ARPS15</x:v>
      </x:c>
      <x:c r="U132" s="19" t="str">
        <x:v>原研究最终版删除</x:v>
      </x:c>
    </x:row>
    <x:row r="133" ht="47" customHeight="1">
      <x:c r="A133" s="19" t="str">
        <x:v>未决定</x:v>
      </x:c>
      <x:c r="B133" s="19" t="str">
        <x:v>B-邻近</x:v>
      </x:c>
      <x:c r="C133" s="19" t="str">
        <x:v>AR存在感</x:v>
      </x:c>
      <x:c r="D133" s="19" t="str">
        <x:v>Augmented Reality Presence Scale (ARPS)</x:v>
      </x:c>
      <x:c r="E133" s="19" t="str">
        <x:v>原23项/修订21项</x:v>
      </x:c>
      <x:c r="F133" s="19" t="str">
        <x:v>Emotion</x:v>
      </x:c>
      <x:c r="G133" s="19" t="str">
        <x:v>ARPS16</x:v>
      </x:c>
      <x:c r="H133" s="19" t="str">
        <x:v>这次体验在情感上对我产生了影响。</x:v>
      </x:c>
      <x:c r="I133" s="19" t="str"/>
      <x:c r="J133" s="19" t="str">
        <x:v>正向</x:v>
      </x:c>
      <x:c r="K133" s="19" t="str">
        <x:v>4点同意度</x:v>
      </x:c>
      <x:c r="L133" s="19" t="str">
        <x:v>开发/修订验证</x:v>
      </x:c>
      <x:c r="M133" s="19" t="str">
        <x:v>总体</x:v>
      </x:c>
      <x:c r="N133" s="19" t="str">
        <x:v>Emotion</x:v>
      </x:c>
      <x:c r="O133" s="19" t="n">
        <x:v>0</x:v>
      </x:c>
      <x:c r="P133" s="19" t="str">
        <x:v>不建议</x:v>
      </x:c>
      <x:c r="Q133" s="19" t="str">
        <x:v>中文语义转述；特定场景词已泛化</x:v>
      </x:c>
      <x:c r="R133" s="19" t="str">
        <x:v>https://doi.org/10.1016/j.compedu.2013.12.006</x:v>
      </x:c>
      <x:c r="S133" s="19" t="str">
        <x:v>Initial 23-item pool/final revision</x:v>
      </x:c>
      <x:c r="T133" s="19" t="str">
        <x:v>原23项；修订21项删除ARPS2和ARPS15</x:v>
      </x:c>
      <x:c r="U133" s="19" t="str"/>
    </x:row>
    <x:row r="134" ht="47" customHeight="1">
      <x:c r="A134" s="19" t="str">
        <x:v>未决定</x:v>
      </x:c>
      <x:c r="B134" s="19" t="str">
        <x:v>B-邻近</x:v>
      </x:c>
      <x:c r="C134" s="19" t="str">
        <x:v>AR存在感</x:v>
      </x:c>
      <x:c r="D134" s="19" t="str">
        <x:v>Augmented Reality Presence Scale (ARPS)</x:v>
      </x:c>
      <x:c r="E134" s="19" t="str">
        <x:v>原23项/修订21项</x:v>
      </x:c>
      <x:c r="F134" s="19" t="str">
        <x:v>Embodied Presence</x:v>
      </x:c>
      <x:c r="G134" s="19" t="str">
        <x:v>ARPS17</x:v>
      </x:c>
      <x:c r="H134" s="19" t="str">
        <x:v>我感觉自己的真实身体就在所呈现的情境中。</x:v>
      </x:c>
      <x:c r="I134" s="19" t="str"/>
      <x:c r="J134" s="19" t="str">
        <x:v>正向</x:v>
      </x:c>
      <x:c r="K134" s="19" t="str">
        <x:v>4点同意度</x:v>
      </x:c>
      <x:c r="L134" s="19" t="str">
        <x:v>开发/修订验证</x:v>
      </x:c>
      <x:c r="M134" s="19" t="str">
        <x:v>总体</x:v>
      </x:c>
      <x:c r="N134" s="19" t="str">
        <x:v>Embodied Presence</x:v>
      </x:c>
      <x:c r="O134" s="19" t="n">
        <x:v>0</x:v>
      </x:c>
      <x:c r="P134" s="19" t="str">
        <x:v>不建议</x:v>
      </x:c>
      <x:c r="Q134" s="19" t="str">
        <x:v>中文语义转述；特定场景词已泛化</x:v>
      </x:c>
      <x:c r="R134" s="19" t="str">
        <x:v>https://doi.org/10.1016/j.compedu.2013.12.006</x:v>
      </x:c>
      <x:c r="S134" s="19" t="str">
        <x:v>Initial 23-item pool/final revision</x:v>
      </x:c>
      <x:c r="T134" s="19" t="str">
        <x:v>原23项；修订21项删除ARPS2和ARPS15</x:v>
      </x:c>
      <x:c r="U134" s="19" t="str"/>
    </x:row>
    <x:row r="135" ht="47" customHeight="1">
      <x:c r="A135" s="19" t="str">
        <x:v>未决定</x:v>
      </x:c>
      <x:c r="B135" s="19" t="str">
        <x:v>B-邻近</x:v>
      </x:c>
      <x:c r="C135" s="19" t="str">
        <x:v>AR存在感</x:v>
      </x:c>
      <x:c r="D135" s="19" t="str">
        <x:v>Augmented Reality Presence Scale (ARPS)</x:v>
      </x:c>
      <x:c r="E135" s="19" t="str">
        <x:v>原23项/修订21项</x:v>
      </x:c>
      <x:c r="F135" s="19" t="str">
        <x:v>Place Presence</x:v>
      </x:c>
      <x:c r="G135" s="19" t="str">
        <x:v>ARPS18</x:v>
      </x:c>
      <x:c r="H135" s="19" t="str">
        <x:v>我感觉自己确实身处所呈现的事件地点。</x:v>
      </x:c>
      <x:c r="I135" s="19" t="str"/>
      <x:c r="J135" s="19" t="str">
        <x:v>正向</x:v>
      </x:c>
      <x:c r="K135" s="19" t="str">
        <x:v>4点同意度</x:v>
      </x:c>
      <x:c r="L135" s="19" t="str">
        <x:v>开发/修订验证</x:v>
      </x:c>
      <x:c r="M135" s="19" t="str">
        <x:v>总体</x:v>
      </x:c>
      <x:c r="N135" s="19" t="str">
        <x:v>Place Presence</x:v>
      </x:c>
      <x:c r="O135" s="19" t="n">
        <x:v>0</x:v>
      </x:c>
      <x:c r="P135" s="19" t="str">
        <x:v>不建议</x:v>
      </x:c>
      <x:c r="Q135" s="19" t="str">
        <x:v>中文语义转述；特定场景词已泛化</x:v>
      </x:c>
      <x:c r="R135" s="19" t="str">
        <x:v>https://doi.org/10.1016/j.compedu.2013.12.006</x:v>
      </x:c>
      <x:c r="S135" s="19" t="str">
        <x:v>Initial 23-item pool/final revision</x:v>
      </x:c>
      <x:c r="T135" s="19" t="str">
        <x:v>原23项；修订21项删除ARPS2和ARPS15</x:v>
      </x:c>
      <x:c r="U135" s="19" t="str"/>
    </x:row>
    <x:row r="136" ht="47" customHeight="1">
      <x:c r="A136" s="19" t="str">
        <x:v>未决定</x:v>
      </x:c>
      <x:c r="B136" s="19" t="str">
        <x:v>B-邻近</x:v>
      </x:c>
      <x:c r="C136" s="19" t="str">
        <x:v>AR存在感</x:v>
      </x:c>
      <x:c r="D136" s="19" t="str">
        <x:v>Augmented Reality Presence Scale (ARPS)</x:v>
      </x:c>
      <x:c r="E136" s="19" t="str">
        <x:v>原23项/修订21项</x:v>
      </x:c>
      <x:c r="F136" s="19" t="str">
        <x:v>Embodied Presence</x:v>
      </x:c>
      <x:c r="G136" s="19" t="str">
        <x:v>ARPS19</x:v>
      </x:c>
      <x:c r="H136" s="19" t="str">
        <x:v>我感觉自己的身体与增强现实情境共同存在。</x:v>
      </x:c>
      <x:c r="I136" s="19" t="str"/>
      <x:c r="J136" s="19" t="str">
        <x:v>正向</x:v>
      </x:c>
      <x:c r="K136" s="19" t="str">
        <x:v>4点同意度</x:v>
      </x:c>
      <x:c r="L136" s="19" t="str">
        <x:v>开发/修订验证</x:v>
      </x:c>
      <x:c r="M136" s="19" t="str">
        <x:v>总体</x:v>
      </x:c>
      <x:c r="N136" s="19" t="str">
        <x:v>Embodied Presence</x:v>
      </x:c>
      <x:c r="O136" s="19" t="n">
        <x:v>0</x:v>
      </x:c>
      <x:c r="P136" s="19" t="str">
        <x:v>不建议</x:v>
      </x:c>
      <x:c r="Q136" s="19" t="str">
        <x:v>中文语义转述；特定场景词已泛化</x:v>
      </x:c>
      <x:c r="R136" s="19" t="str">
        <x:v>https://doi.org/10.1016/j.compedu.2013.12.006</x:v>
      </x:c>
      <x:c r="S136" s="19" t="str">
        <x:v>Initial 23-item pool/final revision</x:v>
      </x:c>
      <x:c r="T136" s="19" t="str">
        <x:v>原23项；修订21项删除ARPS2和ARPS15</x:v>
      </x:c>
      <x:c r="U136" s="19" t="str"/>
    </x:row>
    <x:row r="137" ht="47" customHeight="1">
      <x:c r="A137" s="19" t="str">
        <x:v>未决定</x:v>
      </x:c>
      <x:c r="B137" s="19" t="str">
        <x:v>B-邻近</x:v>
      </x:c>
      <x:c r="C137" s="19" t="str">
        <x:v>AR存在感</x:v>
      </x:c>
      <x:c r="D137" s="19" t="str">
        <x:v>Augmented Reality Presence Scale (ARPS)</x:v>
      </x:c>
      <x:c r="E137" s="19" t="str">
        <x:v>原23项/修订21项</x:v>
      </x:c>
      <x:c r="F137" s="19" t="str">
        <x:v>Co-location</x:v>
      </x:c>
      <x:c r="G137" s="19" t="str">
        <x:v>ARPS20</x:v>
      </x:c>
      <x:c r="H137" s="19" t="str">
        <x:v>所呈现的人物仿佛出现在当前真实地点中。</x:v>
      </x:c>
      <x:c r="I137" s="19" t="str"/>
      <x:c r="J137" s="19" t="str">
        <x:v>正向</x:v>
      </x:c>
      <x:c r="K137" s="19" t="str">
        <x:v>4点同意度</x:v>
      </x:c>
      <x:c r="L137" s="19" t="str">
        <x:v>开发/修订验证</x:v>
      </x:c>
      <x:c r="M137" s="19" t="str">
        <x:v>总体</x:v>
      </x:c>
      <x:c r="N137" s="19" t="str">
        <x:v>Co-location</x:v>
      </x:c>
      <x:c r="O137" s="19" t="n">
        <x:v>2</x:v>
      </x:c>
      <x:c r="P137" s="19" t="str">
        <x:v>邻近参考</x:v>
      </x:c>
      <x:c r="Q137" s="19" t="str">
        <x:v>中文语义转述；特定场景词已泛化</x:v>
      </x:c>
      <x:c r="R137" s="19" t="str">
        <x:v>https://doi.org/10.1016/j.compedu.2013.12.006</x:v>
      </x:c>
      <x:c r="S137" s="19" t="str">
        <x:v>Initial 23-item pool/final revision</x:v>
      </x:c>
      <x:c r="T137" s="19" t="str">
        <x:v>原23项；修订21项删除ARPS2和ARPS15</x:v>
      </x:c>
      <x:c r="U137" s="19" t="str"/>
    </x:row>
    <x:row r="138" ht="47" customHeight="1">
      <x:c r="A138" s="19" t="str">
        <x:v>未决定</x:v>
      </x:c>
      <x:c r="B138" s="19" t="str">
        <x:v>B-邻近</x:v>
      </x:c>
      <x:c r="C138" s="19" t="str">
        <x:v>AR存在感</x:v>
      </x:c>
      <x:c r="D138" s="19" t="str">
        <x:v>Augmented Reality Presence Scale (ARPS)</x:v>
      </x:c>
      <x:c r="E138" s="19" t="str">
        <x:v>原23项/修订21项</x:v>
      </x:c>
      <x:c r="F138" s="19" t="str">
        <x:v>Non-mediation</x:v>
      </x:c>
      <x:c r="G138" s="19" t="str">
        <x:v>ARPS21</x:v>
      </x:c>
      <x:c r="H138" s="19" t="str">
        <x:v>技术仿佛消失了，我能够专注于体验本身。</x:v>
      </x:c>
      <x:c r="I138" s="19" t="str"/>
      <x:c r="J138" s="19" t="str">
        <x:v>正向</x:v>
      </x:c>
      <x:c r="K138" s="19" t="str">
        <x:v>4点同意度</x:v>
      </x:c>
      <x:c r="L138" s="19" t="str">
        <x:v>开发/修订验证</x:v>
      </x:c>
      <x:c r="M138" s="19" t="str">
        <x:v>总体</x:v>
      </x:c>
      <x:c r="N138" s="19" t="str">
        <x:v>Non-mediation</x:v>
      </x:c>
      <x:c r="O138" s="19" t="n">
        <x:v>2</x:v>
      </x:c>
      <x:c r="P138" s="19" t="str">
        <x:v>邻近参考</x:v>
      </x:c>
      <x:c r="Q138" s="19" t="str">
        <x:v>中文语义转述；特定场景词已泛化</x:v>
      </x:c>
      <x:c r="R138" s="19" t="str">
        <x:v>https://doi.org/10.1016/j.compedu.2013.12.006</x:v>
      </x:c>
      <x:c r="S138" s="19" t="str">
        <x:v>Initial 23-item pool/final revision</x:v>
      </x:c>
      <x:c r="T138" s="19" t="str">
        <x:v>原23项；修订21项删除ARPS2和ARPS15</x:v>
      </x:c>
      <x:c r="U138" s="19" t="str"/>
    </x:row>
    <x:row r="139" ht="47" customHeight="1">
      <x:c r="A139" s="19" t="str">
        <x:v>未决定</x:v>
      </x:c>
      <x:c r="B139" s="19" t="str">
        <x:v>B-邻近</x:v>
      </x:c>
      <x:c r="C139" s="19" t="str">
        <x:v>AR存在感</x:v>
      </x:c>
      <x:c r="D139" s="19" t="str">
        <x:v>Augmented Reality Presence Scale (ARPS)</x:v>
      </x:c>
      <x:c r="E139" s="19" t="str">
        <x:v>原23项/修订21项</x:v>
      </x:c>
      <x:c r="F139" s="19" t="str">
        <x:v>Blending</x:v>
      </x:c>
      <x:c r="G139" s="19" t="str">
        <x:v>ARPS22</x:v>
      </x:c>
      <x:c r="H139" s="19" t="str">
        <x:v>当前真实环境与增强现实内容融合在一起。</x:v>
      </x:c>
      <x:c r="I139" s="19" t="str"/>
      <x:c r="J139" s="19" t="str">
        <x:v>正向</x:v>
      </x:c>
      <x:c r="K139" s="19" t="str">
        <x:v>4点同意度</x:v>
      </x:c>
      <x:c r="L139" s="19" t="str">
        <x:v>开发/修订验证</x:v>
      </x:c>
      <x:c r="M139" s="19" t="str">
        <x:v>总体</x:v>
      </x:c>
      <x:c r="N139" s="19" t="str">
        <x:v>虚实融合；对象共置</x:v>
      </x:c>
      <x:c r="O139" s="19" t="n">
        <x:v>3</x:v>
      </x:c>
      <x:c r="P139" s="19" t="str">
        <x:v>直接候选</x:v>
      </x:c>
      <x:c r="Q139" s="19" t="str">
        <x:v>中文语义转述；特定场景词已泛化</x:v>
      </x:c>
      <x:c r="R139" s="19" t="str">
        <x:v>https://doi.org/10.1016/j.compedu.2013.12.006</x:v>
      </x:c>
      <x:c r="S139" s="19" t="str">
        <x:v>Initial 23-item pool/final revision</x:v>
      </x:c>
      <x:c r="T139" s="19" t="str">
        <x:v>原23项；修订21项删除ARPS2和ARPS15</x:v>
      </x:c>
      <x:c r="U139" s="19" t="str"/>
    </x:row>
    <x:row r="140" ht="47" customHeight="1">
      <x:c r="A140" s="19" t="str">
        <x:v>未决定</x:v>
      </x:c>
      <x:c r="B140" s="19" t="str">
        <x:v>B-邻近</x:v>
      </x:c>
      <x:c r="C140" s="19" t="str">
        <x:v>AR存在感</x:v>
      </x:c>
      <x:c r="D140" s="19" t="str">
        <x:v>Augmented Reality Presence Scale (ARPS)</x:v>
      </x:c>
      <x:c r="E140" s="19" t="str">
        <x:v>原23项/修订21项</x:v>
      </x:c>
      <x:c r="F140" s="19" t="str">
        <x:v>Perceptual Change</x:v>
      </x:c>
      <x:c r="G140" s="19" t="str">
        <x:v>ARPS23</x:v>
      </x:c>
      <x:c r="H140" s="19" t="str">
        <x:v>增强现实内容改变了我对当前真实环境的感知。</x:v>
      </x:c>
      <x:c r="I140" s="19" t="str"/>
      <x:c r="J140" s="19" t="str">
        <x:v>正向</x:v>
      </x:c>
      <x:c r="K140" s="19" t="str">
        <x:v>4点同意度</x:v>
      </x:c>
      <x:c r="L140" s="19" t="str">
        <x:v>开发/修订验证</x:v>
      </x:c>
      <x:c r="M140" s="19" t="str">
        <x:v>总体</x:v>
      </x:c>
      <x:c r="N140" s="19" t="str">
        <x:v>Perceptual Change</x:v>
      </x:c>
      <x:c r="O140" s="19" t="n">
        <x:v>0</x:v>
      </x:c>
      <x:c r="P140" s="19" t="str">
        <x:v>不建议</x:v>
      </x:c>
      <x:c r="Q140" s="19" t="str">
        <x:v>中文语义转述；特定场景词已泛化</x:v>
      </x:c>
      <x:c r="R140" s="19" t="str">
        <x:v>https://doi.org/10.1016/j.compedu.2013.12.006</x:v>
      </x:c>
      <x:c r="S140" s="19" t="str">
        <x:v>Initial 23-item pool/final revision</x:v>
      </x:c>
      <x:c r="T140" s="19" t="str">
        <x:v>原23项；修订21项删除ARPS2和ARPS15</x:v>
      </x:c>
      <x:c r="U140" s="19" t="str"/>
    </x:row>
    <x:row r="141" ht="47" customHeight="1">
      <x:c r="A141" s="19" t="str">
        <x:v>未决定</x:v>
      </x:c>
      <x:c r="B141" s="19" t="str">
        <x:v>D-排除</x:v>
      </x:c>
      <x:c r="C141" s="19" t="str">
        <x:v>MR安全/隐私/社会担忧</x:v>
      </x:c>
      <x:c r="D141" s="19" t="str">
        <x:v>Mixed Reality Concerns Questionnaire (MRC)</x:v>
      </x:c>
      <x:c r="E141" s="19" t="str">
        <x:v>2024</x:v>
      </x:c>
      <x:c r="F141" s="19" t="str">
        <x:v>Security &amp; Privacy</x:v>
      </x:c>
      <x:c r="G141" s="19" t="str">
        <x:v>SEC1</x:v>
      </x:c>
      <x:c r="H141" s="19" t="str">
        <x:v>我担心未经授权的人可能访问混合现实系统或其中的数据。</x:v>
      </x:c>
      <x:c r="I141" s="19" t="str"/>
      <x:c r="J141" s="19" t="str">
        <x:v>反向</x:v>
      </x:c>
      <x:c r="K141" s="19" t="str">
        <x:v>5点同意度</x:v>
      </x:c>
      <x:c r="L141" s="19" t="str">
        <x:v>已验证</x:v>
      </x:c>
      <x:c r="M141" s="19" t="str">
        <x:v>总体</x:v>
      </x:c>
      <x:c r="N141" s="19" t="str">
        <x:v>安全/隐私担忧</x:v>
      </x:c>
      <x:c r="O141" s="19" t="n">
        <x:v>0</x:v>
      </x:c>
      <x:c r="P141" s="19" t="str">
        <x:v>不建议：测安全/隐私而非性能信任</x:v>
      </x:c>
      <x:c r="Q141" s="19" t="str">
        <x:v>中文语义转述</x:v>
      </x:c>
      <x:c r="R141" s="19" t="str">
        <x:v>https://arxiv.org/abs/2403.05855</x:v>
      </x:c>
      <x:c r="S141" s="19" t="str">
        <x:v>Final 9-item MRC</x:v>
      </x:c>
      <x:c r="T141" s="19" t="str"/>
      <x:c r="U141" s="19" t="str"/>
    </x:row>
    <x:row r="142" ht="47" customHeight="1">
      <x:c r="A142" s="19" t="str">
        <x:v>未决定</x:v>
      </x:c>
      <x:c r="B142" s="19" t="str">
        <x:v>D-排除</x:v>
      </x:c>
      <x:c r="C142" s="19" t="str">
        <x:v>MR安全/隐私/社会担忧</x:v>
      </x:c>
      <x:c r="D142" s="19" t="str">
        <x:v>Mixed Reality Concerns Questionnaire (MRC)</x:v>
      </x:c>
      <x:c r="E142" s="19" t="str">
        <x:v>2024</x:v>
      </x:c>
      <x:c r="F142" s="19" t="str">
        <x:v>Security &amp; Privacy</x:v>
      </x:c>
      <x:c r="G142" s="19" t="str">
        <x:v>SEC2</x:v>
      </x:c>
      <x:c r="H142" s="19" t="str">
        <x:v>我担心敏感数据可能通过混合现实系统暴露。</x:v>
      </x:c>
      <x:c r="I142" s="19" t="str"/>
      <x:c r="J142" s="19" t="str">
        <x:v>反向</x:v>
      </x:c>
      <x:c r="K142" s="19" t="str">
        <x:v>5点同意度</x:v>
      </x:c>
      <x:c r="L142" s="19" t="str">
        <x:v>已验证</x:v>
      </x:c>
      <x:c r="M142" s="19" t="str">
        <x:v>总体</x:v>
      </x:c>
      <x:c r="N142" s="19" t="str">
        <x:v>安全/隐私担忧</x:v>
      </x:c>
      <x:c r="O142" s="19" t="n">
        <x:v>0</x:v>
      </x:c>
      <x:c r="P142" s="19" t="str">
        <x:v>不建议：测安全/隐私而非性能信任</x:v>
      </x:c>
      <x:c r="Q142" s="19" t="str">
        <x:v>中文语义转述</x:v>
      </x:c>
      <x:c r="R142" s="19" t="str">
        <x:v>https://arxiv.org/abs/2403.05855</x:v>
      </x:c>
      <x:c r="S142" s="19" t="str">
        <x:v>Final 9-item MRC</x:v>
      </x:c>
      <x:c r="T142" s="19" t="str"/>
      <x:c r="U142" s="19" t="str"/>
    </x:row>
    <x:row r="143" ht="47" customHeight="1">
      <x:c r="A143" s="19" t="str">
        <x:v>未决定</x:v>
      </x:c>
      <x:c r="B143" s="19" t="str">
        <x:v>D-排除</x:v>
      </x:c>
      <x:c r="C143" s="19" t="str">
        <x:v>MR安全/隐私/社会担忧</x:v>
      </x:c>
      <x:c r="D143" s="19" t="str">
        <x:v>Mixed Reality Concerns Questionnaire (MRC)</x:v>
      </x:c>
      <x:c r="E143" s="19" t="str">
        <x:v>2024</x:v>
      </x:c>
      <x:c r="F143" s="19" t="str">
        <x:v>Security &amp; Privacy</x:v>
      </x:c>
      <x:c r="G143" s="19" t="str">
        <x:v>SEC3</x:v>
      </x:c>
      <x:c r="H143" s="19" t="str">
        <x:v>我担心个人信息可能被混合现实系统滥用。</x:v>
      </x:c>
      <x:c r="I143" s="19" t="str"/>
      <x:c r="J143" s="19" t="str">
        <x:v>反向</x:v>
      </x:c>
      <x:c r="K143" s="19" t="str">
        <x:v>5点同意度</x:v>
      </x:c>
      <x:c r="L143" s="19" t="str">
        <x:v>已验证</x:v>
      </x:c>
      <x:c r="M143" s="19" t="str">
        <x:v>总体</x:v>
      </x:c>
      <x:c r="N143" s="19" t="str">
        <x:v>安全/隐私担忧</x:v>
      </x:c>
      <x:c r="O143" s="19" t="n">
        <x:v>0</x:v>
      </x:c>
      <x:c r="P143" s="19" t="str">
        <x:v>不建议：测安全/隐私而非性能信任</x:v>
      </x:c>
      <x:c r="Q143" s="19" t="str">
        <x:v>中文语义转述</x:v>
      </x:c>
      <x:c r="R143" s="19" t="str">
        <x:v>https://arxiv.org/abs/2403.05855</x:v>
      </x:c>
      <x:c r="S143" s="19" t="str">
        <x:v>Final 9-item MRC</x:v>
      </x:c>
      <x:c r="T143" s="19" t="str"/>
      <x:c r="U143" s="19" t="str"/>
    </x:row>
    <x:row r="144" ht="47" customHeight="1">
      <x:c r="A144" s="19" t="str">
        <x:v>未决定</x:v>
      </x:c>
      <x:c r="B144" s="19" t="str">
        <x:v>D-排除</x:v>
      </x:c>
      <x:c r="C144" s="19" t="str">
        <x:v>MR安全/隐私/社会担忧</x:v>
      </x:c>
      <x:c r="D144" s="19" t="str">
        <x:v>Mixed Reality Concerns Questionnaire (MRC)</x:v>
      </x:c>
      <x:c r="E144" s="19" t="str">
        <x:v>2024</x:v>
      </x:c>
      <x:c r="F144" s="19" t="str">
        <x:v>Social Implications</x:v>
      </x:c>
      <x:c r="G144" s="19" t="str">
        <x:v>SOC1</x:v>
      </x:c>
      <x:c r="H144" s="19" t="str">
        <x:v>混合现实可能使人更难区分虚拟行为与现实行为。</x:v>
      </x:c>
      <x:c r="I144" s="19" t="str"/>
      <x:c r="J144" s="19" t="str">
        <x:v>反向</x:v>
      </x:c>
      <x:c r="K144" s="19" t="str">
        <x:v>5点同意度</x:v>
      </x:c>
      <x:c r="L144" s="19" t="str">
        <x:v>已验证</x:v>
      </x:c>
      <x:c r="M144" s="19" t="str">
        <x:v>总体</x:v>
      </x:c>
      <x:c r="N144" s="19" t="str">
        <x:v>现实边界</x:v>
      </x:c>
      <x:c r="O144" s="19" t="n">
        <x:v>0</x:v>
      </x:c>
      <x:c r="P144" s="19" t="str">
        <x:v>不建议：测安全/隐私而非性能信任</x:v>
      </x:c>
      <x:c r="Q144" s="19" t="str">
        <x:v>中文语义转述</x:v>
      </x:c>
      <x:c r="R144" s="19" t="str">
        <x:v>https://arxiv.org/abs/2403.05855</x:v>
      </x:c>
      <x:c r="S144" s="19" t="str">
        <x:v>Final 9-item MRC</x:v>
      </x:c>
      <x:c r="T144" s="19" t="str"/>
      <x:c r="U144" s="19" t="str"/>
    </x:row>
    <x:row r="145" ht="47" customHeight="1">
      <x:c r="A145" s="19" t="str">
        <x:v>未决定</x:v>
      </x:c>
      <x:c r="B145" s="19" t="str">
        <x:v>D-排除</x:v>
      </x:c>
      <x:c r="C145" s="19" t="str">
        <x:v>MR安全/隐私/社会担忧</x:v>
      </x:c>
      <x:c r="D145" s="19" t="str">
        <x:v>Mixed Reality Concerns Questionnaire (MRC)</x:v>
      </x:c>
      <x:c r="E145" s="19" t="str">
        <x:v>2024</x:v>
      </x:c>
      <x:c r="F145" s="19" t="str">
        <x:v>Social Implications</x:v>
      </x:c>
      <x:c r="G145" s="19" t="str">
        <x:v>SOC2</x:v>
      </x:c>
      <x:c r="H145" s="19" t="str">
        <x:v>混合现实系统可能以不利方式影响我的行为。</x:v>
      </x:c>
      <x:c r="I145" s="19" t="str"/>
      <x:c r="J145" s="19" t="str">
        <x:v>反向</x:v>
      </x:c>
      <x:c r="K145" s="19" t="str">
        <x:v>5点同意度</x:v>
      </x:c>
      <x:c r="L145" s="19" t="str">
        <x:v>已验证</x:v>
      </x:c>
      <x:c r="M145" s="19" t="str">
        <x:v>总体</x:v>
      </x:c>
      <x:c r="N145" s="19" t="str">
        <x:v>行为风险</x:v>
      </x:c>
      <x:c r="O145" s="19" t="n">
        <x:v>0</x:v>
      </x:c>
      <x:c r="P145" s="19" t="str">
        <x:v>不建议：测安全/隐私而非性能信任</x:v>
      </x:c>
      <x:c r="Q145" s="19" t="str">
        <x:v>中文语义转述</x:v>
      </x:c>
      <x:c r="R145" s="19" t="str">
        <x:v>https://arxiv.org/abs/2403.05855</x:v>
      </x:c>
      <x:c r="S145" s="19" t="str">
        <x:v>Final 9-item MRC</x:v>
      </x:c>
      <x:c r="T145" s="19" t="str"/>
      <x:c r="U145" s="19" t="str"/>
    </x:row>
    <x:row r="146" ht="47" customHeight="1">
      <x:c r="A146" s="19" t="str">
        <x:v>未决定</x:v>
      </x:c>
      <x:c r="B146" s="19" t="str">
        <x:v>D-排除</x:v>
      </x:c>
      <x:c r="C146" s="19" t="str">
        <x:v>MR安全/隐私/社会担忧</x:v>
      </x:c>
      <x:c r="D146" s="19" t="str">
        <x:v>Mixed Reality Concerns Questionnaire (MRC)</x:v>
      </x:c>
      <x:c r="E146" s="19" t="str">
        <x:v>2024</x:v>
      </x:c>
      <x:c r="F146" s="19" t="str">
        <x:v>Social Implications</x:v>
      </x:c>
      <x:c r="G146" s="19" t="str">
        <x:v>SOC3</x:v>
      </x:c>
      <x:c r="H146" s="19" t="str">
        <x:v>使用混合现实可能让我显得与身边真实的人疏离。</x:v>
      </x:c>
      <x:c r="I146" s="19" t="str"/>
      <x:c r="J146" s="19" t="str">
        <x:v>反向</x:v>
      </x:c>
      <x:c r="K146" s="19" t="str">
        <x:v>5点同意度</x:v>
      </x:c>
      <x:c r="L146" s="19" t="str">
        <x:v>已验证</x:v>
      </x:c>
      <x:c r="M146" s="19" t="str">
        <x:v>总体</x:v>
      </x:c>
      <x:c r="N146" s="19" t="str">
        <x:v>社会疏离</x:v>
      </x:c>
      <x:c r="O146" s="19" t="n">
        <x:v>0</x:v>
      </x:c>
      <x:c r="P146" s="19" t="str">
        <x:v>不建议：测安全/隐私而非性能信任</x:v>
      </x:c>
      <x:c r="Q146" s="19" t="str">
        <x:v>中文语义转述</x:v>
      </x:c>
      <x:c r="R146" s="19" t="str">
        <x:v>https://arxiv.org/abs/2403.05855</x:v>
      </x:c>
      <x:c r="S146" s="19" t="str">
        <x:v>Final 9-item MRC</x:v>
      </x:c>
      <x:c r="T146" s="19" t="str"/>
      <x:c r="U146" s="19" t="str"/>
    </x:row>
    <x:row r="147" ht="47" customHeight="1">
      <x:c r="A147" s="19" t="str">
        <x:v>未决定</x:v>
      </x:c>
      <x:c r="B147" s="19" t="str">
        <x:v>D-排除</x:v>
      </x:c>
      <x:c r="C147" s="19" t="str">
        <x:v>MR安全/隐私/社会担忧</x:v>
      </x:c>
      <x:c r="D147" s="19" t="str">
        <x:v>Mixed Reality Concerns Questionnaire (MRC)</x:v>
      </x:c>
      <x:c r="E147" s="19" t="str">
        <x:v>2024</x:v>
      </x:c>
      <x:c r="F147" s="19" t="str">
        <x:v>Trust</x:v>
      </x:c>
      <x:c r="G147" s="19" t="str">
        <x:v>TR1</x:v>
      </x:c>
      <x:c r="H147" s="19" t="str">
        <x:v>我相信只有合法授权的实体能够访问该混合现实系统。</x:v>
      </x:c>
      <x:c r="I147" s="19" t="str"/>
      <x:c r="J147" s="19" t="str">
        <x:v>正向</x:v>
      </x:c>
      <x:c r="K147" s="19" t="str">
        <x:v>5点同意度</x:v>
      </x:c>
      <x:c r="L147" s="19" t="str">
        <x:v>已验证</x:v>
      </x:c>
      <x:c r="M147" s="19" t="str">
        <x:v>总体</x:v>
      </x:c>
      <x:c r="N147" s="19" t="str">
        <x:v>安全信任</x:v>
      </x:c>
      <x:c r="O147" s="19" t="n">
        <x:v>0</x:v>
      </x:c>
      <x:c r="P147" s="19" t="str">
        <x:v>不建议：测安全/隐私而非性能信任</x:v>
      </x:c>
      <x:c r="Q147" s="19" t="str">
        <x:v>中文语义转述</x:v>
      </x:c>
      <x:c r="R147" s="19" t="str">
        <x:v>https://arxiv.org/abs/2403.05855</x:v>
      </x:c>
      <x:c r="S147" s="19" t="str">
        <x:v>Final 9-item MRC</x:v>
      </x:c>
      <x:c r="T147" s="19" t="str"/>
      <x:c r="U147" s="19" t="str"/>
    </x:row>
    <x:row r="148" ht="47" customHeight="1">
      <x:c r="A148" s="19" t="str">
        <x:v>未决定</x:v>
      </x:c>
      <x:c r="B148" s="19" t="str">
        <x:v>D-排除</x:v>
      </x:c>
      <x:c r="C148" s="19" t="str">
        <x:v>MR安全/隐私/社会担忧</x:v>
      </x:c>
      <x:c r="D148" s="19" t="str">
        <x:v>Mixed Reality Concerns Questionnaire (MRC)</x:v>
      </x:c>
      <x:c r="E148" s="19" t="str">
        <x:v>2024</x:v>
      </x:c>
      <x:c r="F148" s="19" t="str">
        <x:v>Trust</x:v>
      </x:c>
      <x:c r="G148" s="19" t="str">
        <x:v>TR2</x:v>
      </x:c>
      <x:c r="H148" s="19" t="str">
        <x:v>我相信该混合现实系统提供了安全的环境。</x:v>
      </x:c>
      <x:c r="I148" s="19" t="str"/>
      <x:c r="J148" s="19" t="str">
        <x:v>正向</x:v>
      </x:c>
      <x:c r="K148" s="19" t="str">
        <x:v>5点同意度</x:v>
      </x:c>
      <x:c r="L148" s="19" t="str">
        <x:v>已验证</x:v>
      </x:c>
      <x:c r="M148" s="19" t="str">
        <x:v>总体</x:v>
      </x:c>
      <x:c r="N148" s="19" t="str">
        <x:v>安全信任</x:v>
      </x:c>
      <x:c r="O148" s="19" t="n">
        <x:v>0</x:v>
      </x:c>
      <x:c r="P148" s="19" t="str">
        <x:v>不建议：测安全/隐私而非性能信任</x:v>
      </x:c>
      <x:c r="Q148" s="19" t="str">
        <x:v>中文语义转述</x:v>
      </x:c>
      <x:c r="R148" s="19" t="str">
        <x:v>https://arxiv.org/abs/2403.05855</x:v>
      </x:c>
      <x:c r="S148" s="19" t="str">
        <x:v>Final 9-item MRC</x:v>
      </x:c>
      <x:c r="T148" s="19" t="str"/>
      <x:c r="U148" s="19" t="str"/>
    </x:row>
    <x:row r="149" ht="47" customHeight="1">
      <x:c r="A149" s="19" t="str">
        <x:v>未决定</x:v>
      </x:c>
      <x:c r="B149" s="19" t="str">
        <x:v>D-排除</x:v>
      </x:c>
      <x:c r="C149" s="19" t="str">
        <x:v>MR安全/隐私/社会担忧</x:v>
      </x:c>
      <x:c r="D149" s="19" t="str">
        <x:v>Mixed Reality Concerns Questionnaire (MRC)</x:v>
      </x:c>
      <x:c r="E149" s="19" t="str">
        <x:v>2024</x:v>
      </x:c>
      <x:c r="F149" s="19" t="str">
        <x:v>Trust</x:v>
      </x:c>
      <x:c r="G149" s="19" t="str">
        <x:v>TR3</x:v>
      </x:c>
      <x:c r="H149" s="19" t="str">
        <x:v>我相信该混合现实系统会保护我的匿名性。</x:v>
      </x:c>
      <x:c r="I149" s="19" t="str"/>
      <x:c r="J149" s="19" t="str">
        <x:v>正向</x:v>
      </x:c>
      <x:c r="K149" s="19" t="str">
        <x:v>5点同意度</x:v>
      </x:c>
      <x:c r="L149" s="19" t="str">
        <x:v>已验证</x:v>
      </x:c>
      <x:c r="M149" s="19" t="str">
        <x:v>总体</x:v>
      </x:c>
      <x:c r="N149" s="19" t="str">
        <x:v>隐私信任</x:v>
      </x:c>
      <x:c r="O149" s="19" t="n">
        <x:v>0</x:v>
      </x:c>
      <x:c r="P149" s="19" t="str">
        <x:v>不建议：测安全/隐私而非性能信任</x:v>
      </x:c>
      <x:c r="Q149" s="19" t="str">
        <x:v>中文语义转述</x:v>
      </x:c>
      <x:c r="R149" s="19" t="str">
        <x:v>https://arxiv.org/abs/2403.05855</x:v>
      </x:c>
      <x:c r="S149" s="19" t="str">
        <x:v>Final 9-item MRC</x:v>
      </x:c>
      <x:c r="T149" s="19" t="str"/>
      <x:c r="U149" s="19" t="str"/>
    </x:row>
    <x:row r="150" ht="47" customHeight="1">
      <x:c r="A150" s="19" t="str">
        <x:v>未决定</x:v>
      </x:c>
      <x:c r="B150" s="19" t="str">
        <x:v>A-直接</x:v>
      </x:c>
      <x:c r="C150" s="19" t="str">
        <x:v>自动化信任</x:v>
      </x:c>
      <x:c r="D150" s="19" t="str">
        <x:v>Trust in Automation Scale (TIAS/TPAS)</x:v>
      </x:c>
      <x:c r="E150" s="19" t="str">
        <x:v>2000；2025复核</x:v>
      </x:c>
      <x:c r="F150" s="19" t="str">
        <x:v>Distrust</x:v>
      </x:c>
      <x:c r="G150" s="19" t="str">
        <x:v>TIAS1</x:v>
      </x:c>
      <x:c r="H150" s="19" t="str">
        <x:v>该系统具有欺骗性。</x:v>
      </x:c>
      <x:c r="I150" s="19" t="str"/>
      <x:c r="J150" s="19" t="str">
        <x:v>反向</x:v>
      </x:c>
      <x:c r="K150" s="19" t="str">
        <x:v>7点：1完全没有–7非常强烈</x:v>
      </x:c>
      <x:c r="L150" s="19" t="str">
        <x:v>经典量表；近期再验证</x:v>
      </x:c>
      <x:c r="M150" s="19" t="str">
        <x:v>总体/每条件</x:v>
      </x:c>
      <x:c r="N150" s="19" t="str">
        <x:v>广义自动化信任</x:v>
      </x:c>
      <x:c r="O150" s="19" t="n">
        <x:v>1</x:v>
      </x:c>
      <x:c r="P150" s="19" t="str">
        <x:v>低优先级</x:v>
      </x:c>
      <x:c r="Q150" s="19" t="str">
        <x:v>开放论文逐项公开；中文语义翻译</x:v>
      </x:c>
      <x:c r="R150" s="19" t="str">
        <x:v>https://pmc.ncbi.nlm.nih.gov/articles/PMC12098057/</x:v>
      </x:c>
      <x:c r="S150" s="19" t="str">
        <x:v>Table 1</x:v>
      </x:c>
      <x:c r="T150" s="19" t="str"/>
      <x:c r="U150" s="19" t="str"/>
    </x:row>
    <x:row r="151" ht="47" customHeight="1">
      <x:c r="A151" s="19" t="str">
        <x:v>未决定</x:v>
      </x:c>
      <x:c r="B151" s="19" t="str">
        <x:v>A-直接</x:v>
      </x:c>
      <x:c r="C151" s="19" t="str">
        <x:v>自动化信任</x:v>
      </x:c>
      <x:c r="D151" s="19" t="str">
        <x:v>Trust in Automation Scale (TIAS/TPAS)</x:v>
      </x:c>
      <x:c r="E151" s="19" t="str">
        <x:v>2000；2025复核</x:v>
      </x:c>
      <x:c r="F151" s="19" t="str">
        <x:v>Distrust</x:v>
      </x:c>
      <x:c r="G151" s="19" t="str">
        <x:v>TIAS2</x:v>
      </x:c>
      <x:c r="H151" s="19" t="str">
        <x:v>该系统以不光明或不坦诚的方式行事。</x:v>
      </x:c>
      <x:c r="I151" s="19" t="str"/>
      <x:c r="J151" s="19" t="str">
        <x:v>反向</x:v>
      </x:c>
      <x:c r="K151" s="19" t="str">
        <x:v>7点：1完全没有–7非常强烈</x:v>
      </x:c>
      <x:c r="L151" s="19" t="str">
        <x:v>经典量表；近期再验证</x:v>
      </x:c>
      <x:c r="M151" s="19" t="str">
        <x:v>总体/每条件</x:v>
      </x:c>
      <x:c r="N151" s="19" t="str">
        <x:v>广义自动化信任</x:v>
      </x:c>
      <x:c r="O151" s="19" t="n">
        <x:v>1</x:v>
      </x:c>
      <x:c r="P151" s="19" t="str">
        <x:v>低优先级</x:v>
      </x:c>
      <x:c r="Q151" s="19" t="str">
        <x:v>开放论文逐项公开；中文语义翻译</x:v>
      </x:c>
      <x:c r="R151" s="19" t="str">
        <x:v>https://pmc.ncbi.nlm.nih.gov/articles/PMC12098057/</x:v>
      </x:c>
      <x:c r="S151" s="19" t="str">
        <x:v>Table 1</x:v>
      </x:c>
      <x:c r="T151" s="19" t="str"/>
      <x:c r="U151" s="19" t="str"/>
    </x:row>
    <x:row r="152" ht="47" customHeight="1">
      <x:c r="A152" s="19" t="str">
        <x:v>未决定</x:v>
      </x:c>
      <x:c r="B152" s="19" t="str">
        <x:v>A-直接</x:v>
      </x:c>
      <x:c r="C152" s="19" t="str">
        <x:v>自动化信任</x:v>
      </x:c>
      <x:c r="D152" s="19" t="str">
        <x:v>Trust in Automation Scale (TIAS/TPAS)</x:v>
      </x:c>
      <x:c r="E152" s="19" t="str">
        <x:v>2000；2025复核</x:v>
      </x:c>
      <x:c r="F152" s="19" t="str">
        <x:v>Distrust</x:v>
      </x:c>
      <x:c r="G152" s="19" t="str">
        <x:v>TIAS3</x:v>
      </x:c>
      <x:c r="H152" s="19" t="str">
        <x:v>我怀疑该系统的意图、行为或输出。</x:v>
      </x:c>
      <x:c r="I152" s="19" t="str"/>
      <x:c r="J152" s="19" t="str">
        <x:v>反向</x:v>
      </x:c>
      <x:c r="K152" s="19" t="str">
        <x:v>7点：1完全没有–7非常强烈</x:v>
      </x:c>
      <x:c r="L152" s="19" t="str">
        <x:v>经典量表；近期再验证</x:v>
      </x:c>
      <x:c r="M152" s="19" t="str">
        <x:v>总体/每条件</x:v>
      </x:c>
      <x:c r="N152" s="19" t="str">
        <x:v>系统信任；可靠性；警惕</x:v>
      </x:c>
      <x:c r="O152" s="19" t="n">
        <x:v>2</x:v>
      </x:c>
      <x:c r="P152" s="19" t="str">
        <x:v>备选</x:v>
      </x:c>
      <x:c r="Q152" s="19" t="str">
        <x:v>开放论文逐项公开；中文语义翻译</x:v>
      </x:c>
      <x:c r="R152" s="19" t="str">
        <x:v>https://pmc.ncbi.nlm.nih.gov/articles/PMC12098057/</x:v>
      </x:c>
      <x:c r="S152" s="19" t="str">
        <x:v>Table 1</x:v>
      </x:c>
      <x:c r="T152" s="19" t="str"/>
      <x:c r="U152" s="19" t="str"/>
    </x:row>
    <x:row r="153" ht="47" customHeight="1">
      <x:c r="A153" s="19" t="str">
        <x:v>未决定</x:v>
      </x:c>
      <x:c r="B153" s="19" t="str">
        <x:v>A-直接</x:v>
      </x:c>
      <x:c r="C153" s="19" t="str">
        <x:v>自动化信任</x:v>
      </x:c>
      <x:c r="D153" s="19" t="str">
        <x:v>Trust in Automation Scale (TIAS/TPAS)</x:v>
      </x:c>
      <x:c r="E153" s="19" t="str">
        <x:v>2000；2025复核</x:v>
      </x:c>
      <x:c r="F153" s="19" t="str">
        <x:v>Distrust</x:v>
      </x:c>
      <x:c r="G153" s="19" t="str">
        <x:v>TIAS4</x:v>
      </x:c>
      <x:c r="H153" s="19" t="str">
        <x:v>我对该系统保持警惕。</x:v>
      </x:c>
      <x:c r="I153" s="19" t="str"/>
      <x:c r="J153" s="19" t="str">
        <x:v>反向</x:v>
      </x:c>
      <x:c r="K153" s="19" t="str">
        <x:v>7点：1完全没有–7非常强烈</x:v>
      </x:c>
      <x:c r="L153" s="19" t="str">
        <x:v>经典量表；近期再验证</x:v>
      </x:c>
      <x:c r="M153" s="19" t="str">
        <x:v>总体/每条件</x:v>
      </x:c>
      <x:c r="N153" s="19" t="str">
        <x:v>系统信任；可靠性；警惕</x:v>
      </x:c>
      <x:c r="O153" s="19" t="n">
        <x:v>2</x:v>
      </x:c>
      <x:c r="P153" s="19" t="str">
        <x:v>备选</x:v>
      </x:c>
      <x:c r="Q153" s="19" t="str">
        <x:v>开放论文逐项公开；中文语义翻译</x:v>
      </x:c>
      <x:c r="R153" s="19" t="str">
        <x:v>https://pmc.ncbi.nlm.nih.gov/articles/PMC12098057/</x:v>
      </x:c>
      <x:c r="S153" s="19" t="str">
        <x:v>Table 1</x:v>
      </x:c>
      <x:c r="T153" s="19" t="str"/>
      <x:c r="U153" s="19" t="str"/>
    </x:row>
    <x:row r="154" ht="47" customHeight="1">
      <x:c r="A154" s="19" t="str">
        <x:v>未决定</x:v>
      </x:c>
      <x:c r="B154" s="19" t="str">
        <x:v>A-直接</x:v>
      </x:c>
      <x:c r="C154" s="19" t="str">
        <x:v>自动化信任</x:v>
      </x:c>
      <x:c r="D154" s="19" t="str">
        <x:v>Trust in Automation Scale (TIAS/TPAS)</x:v>
      </x:c>
      <x:c r="E154" s="19" t="str">
        <x:v>2000；2025复核</x:v>
      </x:c>
      <x:c r="F154" s="19" t="str">
        <x:v>Distrust</x:v>
      </x:c>
      <x:c r="G154" s="19" t="str">
        <x:v>TIAS5</x:v>
      </x:c>
      <x:c r="H154" s="19" t="str">
        <x:v>该系统的行为可能产生有害结果。</x:v>
      </x:c>
      <x:c r="I154" s="19" t="str"/>
      <x:c r="J154" s="19" t="str">
        <x:v>反向</x:v>
      </x:c>
      <x:c r="K154" s="19" t="str">
        <x:v>7点：1完全没有–7非常强烈</x:v>
      </x:c>
      <x:c r="L154" s="19" t="str">
        <x:v>经典量表；近期再验证</x:v>
      </x:c>
      <x:c r="M154" s="19" t="str">
        <x:v>总体/每条件</x:v>
      </x:c>
      <x:c r="N154" s="19" t="str">
        <x:v>广义自动化信任</x:v>
      </x:c>
      <x:c r="O154" s="19" t="n">
        <x:v>1</x:v>
      </x:c>
      <x:c r="P154" s="19" t="str">
        <x:v>低优先级</x:v>
      </x:c>
      <x:c r="Q154" s="19" t="str">
        <x:v>开放论文逐项公开；中文语义翻译</x:v>
      </x:c>
      <x:c r="R154" s="19" t="str">
        <x:v>https://pmc.ncbi.nlm.nih.gov/articles/PMC12098057/</x:v>
      </x:c>
      <x:c r="S154" s="19" t="str">
        <x:v>Table 1</x:v>
      </x:c>
      <x:c r="T154" s="19" t="str"/>
      <x:c r="U154" s="19" t="str"/>
    </x:row>
    <x:row r="155" ht="47" customHeight="1">
      <x:c r="A155" s="19" t="str">
        <x:v>未决定</x:v>
      </x:c>
      <x:c r="B155" s="19" t="str">
        <x:v>A-直接</x:v>
      </x:c>
      <x:c r="C155" s="19" t="str">
        <x:v>自动化信任</x:v>
      </x:c>
      <x:c r="D155" s="19" t="str">
        <x:v>Trust in Automation Scale (TIAS/TPAS)</x:v>
      </x:c>
      <x:c r="E155" s="19" t="str">
        <x:v>2000；2025复核</x:v>
      </x:c>
      <x:c r="F155" s="19" t="str">
        <x:v>Trust</x:v>
      </x:c>
      <x:c r="G155" s="19" t="str">
        <x:v>TIAS6</x:v>
      </x:c>
      <x:c r="H155" s="19" t="str">
        <x:v>我对该系统有信心。</x:v>
      </x:c>
      <x:c r="I155" s="19" t="str"/>
      <x:c r="J155" s="19" t="str">
        <x:v>正向</x:v>
      </x:c>
      <x:c r="K155" s="19" t="str">
        <x:v>7点：1完全没有–7非常强烈</x:v>
      </x:c>
      <x:c r="L155" s="19" t="str">
        <x:v>经典量表；近期再验证</x:v>
      </x:c>
      <x:c r="M155" s="19" t="str">
        <x:v>总体/每条件</x:v>
      </x:c>
      <x:c r="N155" s="19" t="str">
        <x:v>系统信任；可靠性；警惕</x:v>
      </x:c>
      <x:c r="O155" s="19" t="n">
        <x:v>3</x:v>
      </x:c>
      <x:c r="P155" s="19" t="str">
        <x:v>直接候选</x:v>
      </x:c>
      <x:c r="Q155" s="19" t="str">
        <x:v>开放论文逐项公开；中文语义翻译</x:v>
      </x:c>
      <x:c r="R155" s="19" t="str">
        <x:v>https://pmc.ncbi.nlm.nih.gov/articles/PMC12098057/</x:v>
      </x:c>
      <x:c r="S155" s="19" t="str">
        <x:v>Table 1</x:v>
      </x:c>
      <x:c r="T155" s="19" t="str"/>
      <x:c r="U155" s="19" t="str"/>
    </x:row>
    <x:row r="156" ht="47" customHeight="1">
      <x:c r="A156" s="19" t="str">
        <x:v>未决定</x:v>
      </x:c>
      <x:c r="B156" s="19" t="str">
        <x:v>A-直接</x:v>
      </x:c>
      <x:c r="C156" s="19" t="str">
        <x:v>自动化信任</x:v>
      </x:c>
      <x:c r="D156" s="19" t="str">
        <x:v>Trust in Automation Scale (TIAS/TPAS)</x:v>
      </x:c>
      <x:c r="E156" s="19" t="str">
        <x:v>2000；2025复核</x:v>
      </x:c>
      <x:c r="F156" s="19" t="str">
        <x:v>Trust</x:v>
      </x:c>
      <x:c r="G156" s="19" t="str">
        <x:v>TIAS7</x:v>
      </x:c>
      <x:c r="H156" s="19" t="str">
        <x:v>该系统给我安全保障感。</x:v>
      </x:c>
      <x:c r="I156" s="19" t="str"/>
      <x:c r="J156" s="19" t="str">
        <x:v>正向</x:v>
      </x:c>
      <x:c r="K156" s="19" t="str">
        <x:v>7点：1完全没有–7非常强烈</x:v>
      </x:c>
      <x:c r="L156" s="19" t="str">
        <x:v>经典量表；近期再验证</x:v>
      </x:c>
      <x:c r="M156" s="19" t="str">
        <x:v>总体/每条件</x:v>
      </x:c>
      <x:c r="N156" s="19" t="str">
        <x:v>广义自动化信任</x:v>
      </x:c>
      <x:c r="O156" s="19" t="n">
        <x:v>1</x:v>
      </x:c>
      <x:c r="P156" s="19" t="str">
        <x:v>低优先级</x:v>
      </x:c>
      <x:c r="Q156" s="19" t="str">
        <x:v>开放论文逐项公开；中文语义翻译</x:v>
      </x:c>
      <x:c r="R156" s="19" t="str">
        <x:v>https://pmc.ncbi.nlm.nih.gov/articles/PMC12098057/</x:v>
      </x:c>
      <x:c r="S156" s="19" t="str">
        <x:v>Table 1</x:v>
      </x:c>
      <x:c r="T156" s="19" t="str"/>
      <x:c r="U156" s="19" t="str"/>
    </x:row>
    <x:row r="157" ht="47" customHeight="1">
      <x:c r="A157" s="19" t="str">
        <x:v>未决定</x:v>
      </x:c>
      <x:c r="B157" s="19" t="str">
        <x:v>A-直接</x:v>
      </x:c>
      <x:c r="C157" s="19" t="str">
        <x:v>自动化信任</x:v>
      </x:c>
      <x:c r="D157" s="19" t="str">
        <x:v>Trust in Automation Scale (TIAS/TPAS)</x:v>
      </x:c>
      <x:c r="E157" s="19" t="str">
        <x:v>2000；2025复核</x:v>
      </x:c>
      <x:c r="F157" s="19" t="str">
        <x:v>Trust</x:v>
      </x:c>
      <x:c r="G157" s="19" t="str">
        <x:v>TIAS8</x:v>
      </x:c>
      <x:c r="H157" s="19" t="str">
        <x:v>该系统具有诚信。</x:v>
      </x:c>
      <x:c r="I157" s="19" t="str"/>
      <x:c r="J157" s="19" t="str">
        <x:v>正向</x:v>
      </x:c>
      <x:c r="K157" s="19" t="str">
        <x:v>7点：1完全没有–7非常强烈</x:v>
      </x:c>
      <x:c r="L157" s="19" t="str">
        <x:v>经典量表；近期再验证</x:v>
      </x:c>
      <x:c r="M157" s="19" t="str">
        <x:v>总体/每条件</x:v>
      </x:c>
      <x:c r="N157" s="19" t="str">
        <x:v>广义自动化信任</x:v>
      </x:c>
      <x:c r="O157" s="19" t="n">
        <x:v>1</x:v>
      </x:c>
      <x:c r="P157" s="19" t="str">
        <x:v>低优先级</x:v>
      </x:c>
      <x:c r="Q157" s="19" t="str">
        <x:v>开放论文逐项公开；中文语义翻译</x:v>
      </x:c>
      <x:c r="R157" s="19" t="str">
        <x:v>https://pmc.ncbi.nlm.nih.gov/articles/PMC12098057/</x:v>
      </x:c>
      <x:c r="S157" s="19" t="str">
        <x:v>Table 1</x:v>
      </x:c>
      <x:c r="T157" s="19" t="str"/>
      <x:c r="U157" s="19" t="str"/>
    </x:row>
    <x:row r="158" ht="47" customHeight="1">
      <x:c r="A158" s="19" t="str">
        <x:v>未决定</x:v>
      </x:c>
      <x:c r="B158" s="19" t="str">
        <x:v>A-直接</x:v>
      </x:c>
      <x:c r="C158" s="19" t="str">
        <x:v>自动化信任</x:v>
      </x:c>
      <x:c r="D158" s="19" t="str">
        <x:v>Trust in Automation Scale (TIAS/TPAS)</x:v>
      </x:c>
      <x:c r="E158" s="19" t="str">
        <x:v>2000；2025复核</x:v>
      </x:c>
      <x:c r="F158" s="19" t="str">
        <x:v>Trust</x:v>
      </x:c>
      <x:c r="G158" s="19" t="str">
        <x:v>TIAS9</x:v>
      </x:c>
      <x:c r="H158" s="19" t="str">
        <x:v>该系统是可依靠的。</x:v>
      </x:c>
      <x:c r="I158" s="19" t="str"/>
      <x:c r="J158" s="19" t="str">
        <x:v>正向</x:v>
      </x:c>
      <x:c r="K158" s="19" t="str">
        <x:v>7点：1完全没有–7非常强烈</x:v>
      </x:c>
      <x:c r="L158" s="19" t="str">
        <x:v>经典量表；近期再验证</x:v>
      </x:c>
      <x:c r="M158" s="19" t="str">
        <x:v>总体/每条件</x:v>
      </x:c>
      <x:c r="N158" s="19" t="str">
        <x:v>系统信任；可靠性；警惕</x:v>
      </x:c>
      <x:c r="O158" s="19" t="n">
        <x:v>3</x:v>
      </x:c>
      <x:c r="P158" s="19" t="str">
        <x:v>直接候选</x:v>
      </x:c>
      <x:c r="Q158" s="19" t="str">
        <x:v>开放论文逐项公开；中文语义翻译</x:v>
      </x:c>
      <x:c r="R158" s="19" t="str">
        <x:v>https://pmc.ncbi.nlm.nih.gov/articles/PMC12098057/</x:v>
      </x:c>
      <x:c r="S158" s="19" t="str">
        <x:v>Table 1</x:v>
      </x:c>
      <x:c r="T158" s="19" t="str"/>
      <x:c r="U158" s="19" t="str"/>
    </x:row>
    <x:row r="159" ht="47" customHeight="1">
      <x:c r="A159" s="19" t="str">
        <x:v>未决定</x:v>
      </x:c>
      <x:c r="B159" s="19" t="str">
        <x:v>A-直接</x:v>
      </x:c>
      <x:c r="C159" s="19" t="str">
        <x:v>自动化信任</x:v>
      </x:c>
      <x:c r="D159" s="19" t="str">
        <x:v>Trust in Automation Scale (TIAS/TPAS)</x:v>
      </x:c>
      <x:c r="E159" s="19" t="str">
        <x:v>2000；2025复核</x:v>
      </x:c>
      <x:c r="F159" s="19" t="str">
        <x:v>Trust</x:v>
      </x:c>
      <x:c r="G159" s="19" t="str">
        <x:v>TIAS10</x:v>
      </x:c>
      <x:c r="H159" s="19" t="str">
        <x:v>该系统是可靠的。</x:v>
      </x:c>
      <x:c r="I159" s="19" t="str"/>
      <x:c r="J159" s="19" t="str">
        <x:v>正向</x:v>
      </x:c>
      <x:c r="K159" s="19" t="str">
        <x:v>7点：1完全没有–7非常强烈</x:v>
      </x:c>
      <x:c r="L159" s="19" t="str">
        <x:v>经典量表；近期再验证</x:v>
      </x:c>
      <x:c r="M159" s="19" t="str">
        <x:v>总体/每条件</x:v>
      </x:c>
      <x:c r="N159" s="19" t="str">
        <x:v>系统信任；可靠性；警惕</x:v>
      </x:c>
      <x:c r="O159" s="19" t="n">
        <x:v>3</x:v>
      </x:c>
      <x:c r="P159" s="19" t="str">
        <x:v>直接候选</x:v>
      </x:c>
      <x:c r="Q159" s="19" t="str">
        <x:v>开放论文逐项公开；中文语义翻译</x:v>
      </x:c>
      <x:c r="R159" s="19" t="str">
        <x:v>https://pmc.ncbi.nlm.nih.gov/articles/PMC12098057/</x:v>
      </x:c>
      <x:c r="S159" s="19" t="str">
        <x:v>Table 1</x:v>
      </x:c>
      <x:c r="T159" s="19" t="str"/>
      <x:c r="U159" s="19" t="str"/>
    </x:row>
    <x:row r="160" ht="47" customHeight="1">
      <x:c r="A160" s="19" t="str">
        <x:v>未决定</x:v>
      </x:c>
      <x:c r="B160" s="19" t="str">
        <x:v>A-直接</x:v>
      </x:c>
      <x:c r="C160" s="19" t="str">
        <x:v>自动化信任</x:v>
      </x:c>
      <x:c r="D160" s="19" t="str">
        <x:v>Trust in Automation Scale (TIAS/TPAS)</x:v>
      </x:c>
      <x:c r="E160" s="19" t="str">
        <x:v>2000；2025复核</x:v>
      </x:c>
      <x:c r="F160" s="19" t="str">
        <x:v>Trust</x:v>
      </x:c>
      <x:c r="G160" s="19" t="str">
        <x:v>TIAS11</x:v>
      </x:c>
      <x:c r="H160" s="19" t="str">
        <x:v>我可以信任该系统。</x:v>
      </x:c>
      <x:c r="I160" s="19" t="str"/>
      <x:c r="J160" s="19" t="str">
        <x:v>正向</x:v>
      </x:c>
      <x:c r="K160" s="19" t="str">
        <x:v>7点：1完全没有–7非常强烈</x:v>
      </x:c>
      <x:c r="L160" s="19" t="str">
        <x:v>经典量表；近期再验证</x:v>
      </x:c>
      <x:c r="M160" s="19" t="str">
        <x:v>总体/每条件</x:v>
      </x:c>
      <x:c r="N160" s="19" t="str">
        <x:v>系统信任；可靠性；警惕</x:v>
      </x:c>
      <x:c r="O160" s="19" t="n">
        <x:v>3</x:v>
      </x:c>
      <x:c r="P160" s="19" t="str">
        <x:v>直接候选</x:v>
      </x:c>
      <x:c r="Q160" s="19" t="str">
        <x:v>开放论文逐项公开；中文语义翻译</x:v>
      </x:c>
      <x:c r="R160" s="19" t="str">
        <x:v>https://pmc.ncbi.nlm.nih.gov/articles/PMC12098057/</x:v>
      </x:c>
      <x:c r="S160" s="19" t="str">
        <x:v>Table 1</x:v>
      </x:c>
      <x:c r="T160" s="19" t="str"/>
      <x:c r="U160" s="19" t="str"/>
    </x:row>
    <x:row r="161" ht="47" customHeight="1">
      <x:c r="A161" s="19" t="str">
        <x:v>未决定</x:v>
      </x:c>
      <x:c r="B161" s="19" t="str">
        <x:v>A-直接</x:v>
      </x:c>
      <x:c r="C161" s="19" t="str">
        <x:v>自动化信任</x:v>
      </x:c>
      <x:c r="D161" s="19" t="str">
        <x:v>Trust in Automation Scale (TIAS/TPAS)</x:v>
      </x:c>
      <x:c r="E161" s="19" t="str">
        <x:v>2000；2025复核</x:v>
      </x:c>
      <x:c r="F161" s="19" t="str">
        <x:v>Familiarity</x:v>
      </x:c>
      <x:c r="G161" s="19" t="str">
        <x:v>TIAS12</x:v>
      </x:c>
      <x:c r="H161" s="19" t="str">
        <x:v>我熟悉该系统。</x:v>
      </x:c>
      <x:c r="I161" s="19" t="str"/>
      <x:c r="J161" s="19" t="str">
        <x:v>正向</x:v>
      </x:c>
      <x:c r="K161" s="19" t="str">
        <x:v>7点：1完全没有–7非常强烈</x:v>
      </x:c>
      <x:c r="L161" s="19" t="str">
        <x:v>经典量表；近期再验证</x:v>
      </x:c>
      <x:c r="M161" s="19" t="str">
        <x:v>总体/每条件</x:v>
      </x:c>
      <x:c r="N161" s="19" t="str">
        <x:v>广义自动化信任</x:v>
      </x:c>
      <x:c r="O161" s="19" t="n">
        <x:v>1</x:v>
      </x:c>
      <x:c r="P161" s="19" t="str">
        <x:v>低优先级</x:v>
      </x:c>
      <x:c r="Q161" s="19" t="str">
        <x:v>开放论文逐项公开；中文语义翻译</x:v>
      </x:c>
      <x:c r="R161" s="19" t="str">
        <x:v>https://pmc.ncbi.nlm.nih.gov/articles/PMC12098057/</x:v>
      </x:c>
      <x:c r="S161" s="19" t="str">
        <x:v>Table 1</x:v>
      </x:c>
      <x:c r="T161" s="19" t="str"/>
      <x:c r="U161" s="19" t="str"/>
    </x:row>
    <x:row r="162" ht="47" customHeight="1">
      <x:c r="A162" s="19" t="str">
        <x:v>未决定</x:v>
      </x:c>
      <x:c r="B162" s="19" t="str">
        <x:v>A-直接</x:v>
      </x:c>
      <x:c r="C162" s="19" t="str">
        <x:v>自动化信任</x:v>
      </x:c>
      <x:c r="D162" s="19" t="str">
        <x:v>Short Trust in Automation Scale (S-TIAS)</x:v>
      </x:c>
      <x:c r="E162" s="19" t="str">
        <x:v>2025</x:v>
      </x:c>
      <x:c r="F162" s="19" t="str">
        <x:v>Trust</x:v>
      </x:c>
      <x:c r="G162" s="19" t="str">
        <x:v>S-TIAS1</x:v>
      </x:c>
      <x:c r="H162" s="19" t="str">
        <x:v>我对这种对象锚定方法有信心。</x:v>
      </x:c>
      <x:c r="I162" s="19" t="str">
        <x:v>I am confident in the system.</x:v>
      </x:c>
      <x:c r="J162" s="19" t="str">
        <x:v>正向</x:v>
      </x:c>
      <x:c r="K162" s="19" t="str">
        <x:v>7点：1完全没有–7非常强烈</x:v>
      </x:c>
      <x:c r="L162" s="19" t="str">
        <x:v>近期多研究验证</x:v>
      </x:c>
      <x:c r="M162" s="19" t="str">
        <x:v>总体/每条件</x:v>
      </x:c>
      <x:c r="N162" s="19" t="str">
        <x:v>信心；信任</x:v>
      </x:c>
      <x:c r="O162" s="19" t="n">
        <x:v>3</x:v>
      </x:c>
      <x:c r="P162" s="19" t="str">
        <x:v>直接候选</x:v>
      </x:c>
      <x:c r="Q162" s="19" t="str">
        <x:v>CC BY公开原文+对象化中文翻译</x:v>
      </x:c>
      <x:c r="R162" s="19" t="str">
        <x:v>https://www.frontiersin.org/journals/artificial-intelligence/articles/10.3389/frai.2025.1582880/full</x:v>
      </x:c>
      <x:c r="S162" s="19" t="str">
        <x:v>10.3389/frai.2025.1582880</x:v>
      </x:c>
      <x:c r="T162" s="19" t="str"/>
      <x:c r="U162" s="19" t="str"/>
    </x:row>
    <x:row r="163" ht="47" customHeight="1">
      <x:c r="A163" s="19" t="str">
        <x:v>未决定</x:v>
      </x:c>
      <x:c r="B163" s="19" t="str">
        <x:v>A-直接</x:v>
      </x:c>
      <x:c r="C163" s="19" t="str">
        <x:v>自动化信任</x:v>
      </x:c>
      <x:c r="D163" s="19" t="str">
        <x:v>Short Trust in Automation Scale (S-TIAS)</x:v>
      </x:c>
      <x:c r="E163" s="19" t="str">
        <x:v>2025</x:v>
      </x:c>
      <x:c r="F163" s="19" t="str">
        <x:v>Trust</x:v>
      </x:c>
      <x:c r="G163" s="19" t="str">
        <x:v>S-TIAS2</x:v>
      </x:c>
      <x:c r="H163" s="19" t="str">
        <x:v>这种对象锚定方法是可靠的。</x:v>
      </x:c>
      <x:c r="I163" s="19" t="str">
        <x:v>The system is reliable.</x:v>
      </x:c>
      <x:c r="J163" s="19" t="str">
        <x:v>正向</x:v>
      </x:c>
      <x:c r="K163" s="19" t="str">
        <x:v>7点：1完全没有–7非常强烈</x:v>
      </x:c>
      <x:c r="L163" s="19" t="str">
        <x:v>近期多研究验证</x:v>
      </x:c>
      <x:c r="M163" s="19" t="str">
        <x:v>总体/每条件</x:v>
      </x:c>
      <x:c r="N163" s="19" t="str">
        <x:v>可靠性；信任</x:v>
      </x:c>
      <x:c r="O163" s="19" t="n">
        <x:v>3</x:v>
      </x:c>
      <x:c r="P163" s="19" t="str">
        <x:v>直接候选</x:v>
      </x:c>
      <x:c r="Q163" s="19" t="str">
        <x:v>CC BY公开原文+对象化中文翻译</x:v>
      </x:c>
      <x:c r="R163" s="19" t="str">
        <x:v>https://www.frontiersin.org/journals/artificial-intelligence/articles/10.3389/frai.2025.1582880/full</x:v>
      </x:c>
      <x:c r="S163" s="19" t="str">
        <x:v>10.3389/frai.2025.1582880</x:v>
      </x:c>
      <x:c r="T163" s="19" t="str"/>
      <x:c r="U163" s="19" t="str"/>
    </x:row>
    <x:row r="164" ht="47" customHeight="1">
      <x:c r="A164" s="19" t="str">
        <x:v>未决定</x:v>
      </x:c>
      <x:c r="B164" s="19" t="str">
        <x:v>A-直接</x:v>
      </x:c>
      <x:c r="C164" s="19" t="str">
        <x:v>自动化信任</x:v>
      </x:c>
      <x:c r="D164" s="19" t="str">
        <x:v>Short Trust in Automation Scale (S-TIAS)</x:v>
      </x:c>
      <x:c r="E164" s="19" t="str">
        <x:v>2025</x:v>
      </x:c>
      <x:c r="F164" s="19" t="str">
        <x:v>Trust</x:v>
      </x:c>
      <x:c r="G164" s="19" t="str">
        <x:v>S-TIAS3</x:v>
      </x:c>
      <x:c r="H164" s="19" t="str">
        <x:v>我可以信任这种对象锚定方法。</x:v>
      </x:c>
      <x:c r="I164" s="19" t="str">
        <x:v>I can trust the system.</x:v>
      </x:c>
      <x:c r="J164" s="19" t="str">
        <x:v>正向</x:v>
      </x:c>
      <x:c r="K164" s="19" t="str">
        <x:v>7点：1完全没有–7非常强烈</x:v>
      </x:c>
      <x:c r="L164" s="19" t="str">
        <x:v>近期多研究验证</x:v>
      </x:c>
      <x:c r="M164" s="19" t="str">
        <x:v>总体/每条件</x:v>
      </x:c>
      <x:c r="N164" s="19" t="str">
        <x:v>总体信任</x:v>
      </x:c>
      <x:c r="O164" s="19" t="n">
        <x:v>3</x:v>
      </x:c>
      <x:c r="P164" s="19" t="str">
        <x:v>直接候选</x:v>
      </x:c>
      <x:c r="Q164" s="19" t="str">
        <x:v>CC BY公开原文+对象化中文翻译</x:v>
      </x:c>
      <x:c r="R164" s="19" t="str">
        <x:v>https://www.frontiersin.org/journals/artificial-intelligence/articles/10.3389/frai.2025.1582880/full</x:v>
      </x:c>
      <x:c r="S164" s="19" t="str">
        <x:v>10.3389/frai.2025.1582880</x:v>
      </x:c>
      <x:c r="T164" s="19" t="str"/>
      <x:c r="U164" s="19" t="str"/>
    </x:row>
    <x:row r="165" ht="47" customHeight="1">
      <x:c r="A165" s="19" t="str">
        <x:v>未决定</x:v>
      </x:c>
      <x:c r="B165" s="19" t="str">
        <x:v>A-直接</x:v>
      </x:c>
      <x:c r="C165" s="19" t="str">
        <x:v>自动化信任</x:v>
      </x:c>
      <x:c r="D165" s="19" t="str">
        <x:v>Trust in Automation Questionnaire (TiA)</x:v>
      </x:c>
      <x:c r="E165" s="19" t="str">
        <x:v>2019</x:v>
      </x:c>
      <x:c r="F165" s="19" t="str">
        <x:v>Reliability/Competence</x:v>
      </x:c>
      <x:c r="G165" s="19" t="str">
        <x:v>TiA1</x:v>
      </x:c>
      <x:c r="H165" s="19" t="str">
        <x:v>该系统能正确解释情境。</x:v>
      </x:c>
      <x:c r="I165" s="19" t="str"/>
      <x:c r="J165" s="19" t="str">
        <x:v>正向</x:v>
      </x:c>
      <x:c r="K165" s="19" t="str">
        <x:v>5点同意度</x:v>
      </x:c>
      <x:c r="L165" s="19" t="str">
        <x:v>已开发；英文版验证证据较少</x:v>
      </x:c>
      <x:c r="M165" s="19" t="str">
        <x:v>总体/每条件</x:v>
      </x:c>
      <x:c r="N165" s="19" t="str">
        <x:v>Reliability/Competence</x:v>
      </x:c>
      <x:c r="O165" s="19" t="n">
        <x:v>1</x:v>
      </x:c>
      <x:c r="P165" s="19" t="str">
        <x:v>低优先级</x:v>
      </x:c>
      <x:c r="Q165" s="19" t="str">
        <x:v>CC BY-SA 4.0；中文语义翻译</x:v>
      </x:c>
      <x:c r="R165" s="19" t="str">
        <x:v>https://github.com/moritzkoerber/TiA_Trust_in_Automation_Questionnaire</x:v>
      </x:c>
      <x:c r="S165" s="19" t="str">
        <x:v>Official English questionnaire</x:v>
      </x:c>
      <x:c r="T165" s="19" t="str"/>
      <x:c r="U165" s="19" t="str"/>
    </x:row>
    <x:row r="166" ht="47" customHeight="1">
      <x:c r="A166" s="19" t="str">
        <x:v>未决定</x:v>
      </x:c>
      <x:c r="B166" s="19" t="str">
        <x:v>A-直接</x:v>
      </x:c>
      <x:c r="C166" s="19" t="str">
        <x:v>自动化信任</x:v>
      </x:c>
      <x:c r="D166" s="19" t="str">
        <x:v>Trust in Automation Questionnaire (TiA)</x:v>
      </x:c>
      <x:c r="E166" s="19" t="str">
        <x:v>2019</x:v>
      </x:c>
      <x:c r="F166" s="19" t="str">
        <x:v>Understanding/Predictability</x:v>
      </x:c>
      <x:c r="G166" s="19" t="str">
        <x:v>TiA2</x:v>
      </x:c>
      <x:c r="H166" s="19" t="str">
        <x:v>系统当前的状态始终清楚。</x:v>
      </x:c>
      <x:c r="I166" s="19" t="str"/>
      <x:c r="J166" s="19" t="str">
        <x:v>正向</x:v>
      </x:c>
      <x:c r="K166" s="19" t="str">
        <x:v>5点同意度</x:v>
      </x:c>
      <x:c r="L166" s="19" t="str">
        <x:v>已开发；英文版验证证据较少</x:v>
      </x:c>
      <x:c r="M166" s="19" t="str">
        <x:v>总体/每条件</x:v>
      </x:c>
      <x:c r="N166" s="19" t="str">
        <x:v>Understanding/Predictability</x:v>
      </x:c>
      <x:c r="O166" s="19" t="n">
        <x:v>1</x:v>
      </x:c>
      <x:c r="P166" s="19" t="str">
        <x:v>低优先级</x:v>
      </x:c>
      <x:c r="Q166" s="19" t="str">
        <x:v>CC BY-SA 4.0；中文语义翻译</x:v>
      </x:c>
      <x:c r="R166" s="19" t="str">
        <x:v>https://github.com/moritzkoerber/TiA_Trust_in_Automation_Questionnaire</x:v>
      </x:c>
      <x:c r="S166" s="19" t="str">
        <x:v>Official English questionnaire</x:v>
      </x:c>
      <x:c r="T166" s="19" t="str"/>
      <x:c r="U166" s="19" t="str"/>
    </x:row>
    <x:row r="167" ht="47" customHeight="1">
      <x:c r="A167" s="19" t="str">
        <x:v>未决定</x:v>
      </x:c>
      <x:c r="B167" s="19" t="str">
        <x:v>A-直接</x:v>
      </x:c>
      <x:c r="C167" s="19" t="str">
        <x:v>自动化信任</x:v>
      </x:c>
      <x:c r="D167" s="19" t="str">
        <x:v>Trust in Automation Questionnaire (TiA)</x:v>
      </x:c>
      <x:c r="E167" s="19" t="str">
        <x:v>2019</x:v>
      </x:c>
      <x:c r="F167" s="19" t="str">
        <x:v>Familiarity</x:v>
      </x:c>
      <x:c r="G167" s="19" t="str">
        <x:v>TiA3</x:v>
      </x:c>
      <x:c r="H167" s="19" t="str">
        <x:v>我了解类似的系统。</x:v>
      </x:c>
      <x:c r="I167" s="19" t="str"/>
      <x:c r="J167" s="19" t="str">
        <x:v>正向</x:v>
      </x:c>
      <x:c r="K167" s="19" t="str">
        <x:v>5点同意度</x:v>
      </x:c>
      <x:c r="L167" s="19" t="str">
        <x:v>已开发；英文版验证证据较少</x:v>
      </x:c>
      <x:c r="M167" s="19" t="str">
        <x:v>总体/每条件</x:v>
      </x:c>
      <x:c r="N167" s="19" t="str">
        <x:v>Familiarity</x:v>
      </x:c>
      <x:c r="O167" s="19" t="n">
        <x:v>1</x:v>
      </x:c>
      <x:c r="P167" s="19" t="str">
        <x:v>低优先级</x:v>
      </x:c>
      <x:c r="Q167" s="19" t="str">
        <x:v>CC BY-SA 4.0；中文语义翻译</x:v>
      </x:c>
      <x:c r="R167" s="19" t="str">
        <x:v>https://github.com/moritzkoerber/TiA_Trust_in_Automation_Questionnaire</x:v>
      </x:c>
      <x:c r="S167" s="19" t="str">
        <x:v>Official English questionnaire</x:v>
      </x:c>
      <x:c r="T167" s="19" t="str"/>
      <x:c r="U167" s="19" t="str"/>
    </x:row>
    <x:row r="168" ht="47" customHeight="1">
      <x:c r="A168" s="19" t="str">
        <x:v>未决定</x:v>
      </x:c>
      <x:c r="B168" s="19" t="str">
        <x:v>A-直接</x:v>
      </x:c>
      <x:c r="C168" s="19" t="str">
        <x:v>自动化信任</x:v>
      </x:c>
      <x:c r="D168" s="19" t="str">
        <x:v>Trust in Automation Questionnaire (TiA)</x:v>
      </x:c>
      <x:c r="E168" s="19" t="str">
        <x:v>2019</x:v>
      </x:c>
      <x:c r="F168" s="19" t="str">
        <x:v>Intention of Developers</x:v>
      </x:c>
      <x:c r="G168" s="19" t="str">
        <x:v>TiA4</x:v>
      </x:c>
      <x:c r="H168" s="19" t="str">
        <x:v>我认为系统开发者值得信任。</x:v>
      </x:c>
      <x:c r="I168" s="19" t="str"/>
      <x:c r="J168" s="19" t="str">
        <x:v>正向</x:v>
      </x:c>
      <x:c r="K168" s="19" t="str">
        <x:v>5点同意度</x:v>
      </x:c>
      <x:c r="L168" s="19" t="str">
        <x:v>已开发；英文版验证证据较少</x:v>
      </x:c>
      <x:c r="M168" s="19" t="str">
        <x:v>总体/每条件</x:v>
      </x:c>
      <x:c r="N168" s="19" t="str">
        <x:v>Intention of Developers</x:v>
      </x:c>
      <x:c r="O168" s="19" t="n">
        <x:v>1</x:v>
      </x:c>
      <x:c r="P168" s="19" t="str">
        <x:v>低优先级</x:v>
      </x:c>
      <x:c r="Q168" s="19" t="str">
        <x:v>CC BY-SA 4.0；中文语义翻译</x:v>
      </x:c>
      <x:c r="R168" s="19" t="str">
        <x:v>https://github.com/moritzkoerber/TiA_Trust_in_Automation_Questionnaire</x:v>
      </x:c>
      <x:c r="S168" s="19" t="str">
        <x:v>Official English questionnaire</x:v>
      </x:c>
      <x:c r="T168" s="19" t="str"/>
      <x:c r="U168" s="19" t="str"/>
    </x:row>
    <x:row r="169" ht="47" customHeight="1">
      <x:c r="A169" s="19" t="str">
        <x:v>未决定</x:v>
      </x:c>
      <x:c r="B169" s="19" t="str">
        <x:v>A-直接</x:v>
      </x:c>
      <x:c r="C169" s="19" t="str">
        <x:v>自动化信任</x:v>
      </x:c>
      <x:c r="D169" s="19" t="str">
        <x:v>Trust in Automation Questionnaire (TiA)</x:v>
      </x:c>
      <x:c r="E169" s="19" t="str">
        <x:v>2019</x:v>
      </x:c>
      <x:c r="F169" s="19" t="str">
        <x:v>Propensity to Trust</x:v>
      </x:c>
      <x:c r="G169" s="19" t="str">
        <x:v>TiA5</x:v>
      </x:c>
      <x:c r="H169" s="19" t="str">
        <x:v>面对不熟悉的自动化系统时，我通常会保持谨慎。</x:v>
      </x:c>
      <x:c r="I169" s="19" t="str"/>
      <x:c r="J169" s="19" t="str">
        <x:v>反向/倾向</x:v>
      </x:c>
      <x:c r="K169" s="19" t="str">
        <x:v>5点同意度</x:v>
      </x:c>
      <x:c r="L169" s="19" t="str">
        <x:v>已开发；英文版验证证据较少</x:v>
      </x:c>
      <x:c r="M169" s="19" t="str">
        <x:v>总体/每条件</x:v>
      </x:c>
      <x:c r="N169" s="19" t="str">
        <x:v>Propensity to Trust</x:v>
      </x:c>
      <x:c r="O169" s="19" t="n">
        <x:v>1</x:v>
      </x:c>
      <x:c r="P169" s="19" t="str">
        <x:v>低优先级</x:v>
      </x:c>
      <x:c r="Q169" s="19" t="str">
        <x:v>CC BY-SA 4.0；中文语义翻译</x:v>
      </x:c>
      <x:c r="R169" s="19" t="str">
        <x:v>https://github.com/moritzkoerber/TiA_Trust_in_Automation_Questionnaire</x:v>
      </x:c>
      <x:c r="S169" s="19" t="str">
        <x:v>Official English questionnaire</x:v>
      </x:c>
      <x:c r="T169" s="19" t="str"/>
      <x:c r="U169" s="19" t="str"/>
    </x:row>
    <x:row r="170" ht="47" customHeight="1">
      <x:c r="A170" s="19" t="str">
        <x:v>未决定</x:v>
      </x:c>
      <x:c r="B170" s="19" t="str">
        <x:v>A-直接</x:v>
      </x:c>
      <x:c r="C170" s="19" t="str">
        <x:v>自动化信任</x:v>
      </x:c>
      <x:c r="D170" s="19" t="str">
        <x:v>Trust in Automation Questionnaire (TiA)</x:v>
      </x:c>
      <x:c r="E170" s="19" t="str">
        <x:v>2019</x:v>
      </x:c>
      <x:c r="F170" s="19" t="str">
        <x:v>Reliability/Competence</x:v>
      </x:c>
      <x:c r="G170" s="19" t="str">
        <x:v>TiA6</x:v>
      </x:c>
      <x:c r="H170" s="19" t="str">
        <x:v>该系统工作可靠。</x:v>
      </x:c>
      <x:c r="I170" s="19" t="str"/>
      <x:c r="J170" s="19" t="str">
        <x:v>正向</x:v>
      </x:c>
      <x:c r="K170" s="19" t="str">
        <x:v>5点同意度</x:v>
      </x:c>
      <x:c r="L170" s="19" t="str">
        <x:v>已开发；英文版验证证据较少</x:v>
      </x:c>
      <x:c r="M170" s="19" t="str">
        <x:v>总体/每条件</x:v>
      </x:c>
      <x:c r="N170" s="19" t="str">
        <x:v>可靠性；可预测性；信任；依赖</x:v>
      </x:c>
      <x:c r="O170" s="19" t="n">
        <x:v>3</x:v>
      </x:c>
      <x:c r="P170" s="19" t="str">
        <x:v>直接候选/可选子量表</x:v>
      </x:c>
      <x:c r="Q170" s="19" t="str">
        <x:v>CC BY-SA 4.0；中文语义翻译</x:v>
      </x:c>
      <x:c r="R170" s="19" t="str">
        <x:v>https://github.com/moritzkoerber/TiA_Trust_in_Automation_Questionnaire</x:v>
      </x:c>
      <x:c r="S170" s="19" t="str">
        <x:v>Official English questionnaire</x:v>
      </x:c>
      <x:c r="T170" s="19" t="str"/>
      <x:c r="U170" s="19" t="str"/>
    </x:row>
    <x:row r="171" ht="47" customHeight="1">
      <x:c r="A171" s="19" t="str">
        <x:v>未决定</x:v>
      </x:c>
      <x:c r="B171" s="19" t="str">
        <x:v>A-直接</x:v>
      </x:c>
      <x:c r="C171" s="19" t="str">
        <x:v>自动化信任</x:v>
      </x:c>
      <x:c r="D171" s="19" t="str">
        <x:v>Trust in Automation Questionnaire (TiA)</x:v>
      </x:c>
      <x:c r="E171" s="19" t="str">
        <x:v>2019</x:v>
      </x:c>
      <x:c r="F171" s="19" t="str">
        <x:v>Reliability/Competence</x:v>
      </x:c>
      <x:c r="G171" s="19" t="str">
        <x:v>TiA7</x:v>
      </x:c>
      <x:c r="H171" s="19" t="str">
        <x:v>该系统有时会作出不可预测的反应。</x:v>
      </x:c>
      <x:c r="I171" s="19" t="str"/>
      <x:c r="J171" s="19" t="str">
        <x:v>反向</x:v>
      </x:c>
      <x:c r="K171" s="19" t="str">
        <x:v>5点同意度</x:v>
      </x:c>
      <x:c r="L171" s="19" t="str">
        <x:v>已开发；英文版验证证据较少</x:v>
      </x:c>
      <x:c r="M171" s="19" t="str">
        <x:v>总体/每条件</x:v>
      </x:c>
      <x:c r="N171" s="19" t="str">
        <x:v>可靠性；可预测性；信任；依赖</x:v>
      </x:c>
      <x:c r="O171" s="19" t="n">
        <x:v>3</x:v>
      </x:c>
      <x:c r="P171" s="19" t="str">
        <x:v>直接候选/可选子量表</x:v>
      </x:c>
      <x:c r="Q171" s="19" t="str">
        <x:v>CC BY-SA 4.0；中文语义翻译</x:v>
      </x:c>
      <x:c r="R171" s="19" t="str">
        <x:v>https://github.com/moritzkoerber/TiA_Trust_in_Automation_Questionnaire</x:v>
      </x:c>
      <x:c r="S171" s="19" t="str">
        <x:v>Official English questionnaire</x:v>
      </x:c>
      <x:c r="T171" s="19" t="str"/>
      <x:c r="U171" s="19" t="str"/>
    </x:row>
    <x:row r="172" ht="47" customHeight="1">
      <x:c r="A172" s="19" t="str">
        <x:v>未决定</x:v>
      </x:c>
      <x:c r="B172" s="19" t="str">
        <x:v>A-直接</x:v>
      </x:c>
      <x:c r="C172" s="19" t="str">
        <x:v>自动化信任</x:v>
      </x:c>
      <x:c r="D172" s="19" t="str">
        <x:v>Trust in Automation Questionnaire (TiA)</x:v>
      </x:c>
      <x:c r="E172" s="19" t="str">
        <x:v>2019</x:v>
      </x:c>
      <x:c r="F172" s="19" t="str">
        <x:v>Intention of Developers</x:v>
      </x:c>
      <x:c r="G172" s="19" t="str">
        <x:v>TiA8</x:v>
      </x:c>
      <x:c r="H172" s="19" t="str">
        <x:v>我认为开发者重视使用者的福祉。</x:v>
      </x:c>
      <x:c r="I172" s="19" t="str"/>
      <x:c r="J172" s="19" t="str">
        <x:v>正向</x:v>
      </x:c>
      <x:c r="K172" s="19" t="str">
        <x:v>5点同意度</x:v>
      </x:c>
      <x:c r="L172" s="19" t="str">
        <x:v>已开发；英文版验证证据较少</x:v>
      </x:c>
      <x:c r="M172" s="19" t="str">
        <x:v>总体/每条件</x:v>
      </x:c>
      <x:c r="N172" s="19" t="str">
        <x:v>Intention of Developers</x:v>
      </x:c>
      <x:c r="O172" s="19" t="n">
        <x:v>1</x:v>
      </x:c>
      <x:c r="P172" s="19" t="str">
        <x:v>低优先级</x:v>
      </x:c>
      <x:c r="Q172" s="19" t="str">
        <x:v>CC BY-SA 4.0；中文语义翻译</x:v>
      </x:c>
      <x:c r="R172" s="19" t="str">
        <x:v>https://github.com/moritzkoerber/TiA_Trust_in_Automation_Questionnaire</x:v>
      </x:c>
      <x:c r="S172" s="19" t="str">
        <x:v>Official English questionnaire</x:v>
      </x:c>
      <x:c r="T172" s="19" t="str"/>
      <x:c r="U172" s="19" t="str"/>
    </x:row>
    <x:row r="173" ht="47" customHeight="1">
      <x:c r="A173" s="19" t="str">
        <x:v>未决定</x:v>
      </x:c>
      <x:c r="B173" s="19" t="str">
        <x:v>A-直接</x:v>
      </x:c>
      <x:c r="C173" s="19" t="str">
        <x:v>自动化信任</x:v>
      </x:c>
      <x:c r="D173" s="19" t="str">
        <x:v>Trust in Automation Questionnaire (TiA)</x:v>
      </x:c>
      <x:c r="E173" s="19" t="str">
        <x:v>2019</x:v>
      </x:c>
      <x:c r="F173" s="19" t="str">
        <x:v>Trust in Automation</x:v>
      </x:c>
      <x:c r="G173" s="19" t="str">
        <x:v>TiA9</x:v>
      </x:c>
      <x:c r="H173" s="19" t="str">
        <x:v>我信任该系统。</x:v>
      </x:c>
      <x:c r="I173" s="19" t="str"/>
      <x:c r="J173" s="19" t="str">
        <x:v>正向</x:v>
      </x:c>
      <x:c r="K173" s="19" t="str">
        <x:v>5点同意度</x:v>
      </x:c>
      <x:c r="L173" s="19" t="str">
        <x:v>已开发；英文版验证证据较少</x:v>
      </x:c>
      <x:c r="M173" s="19" t="str">
        <x:v>总体/每条件</x:v>
      </x:c>
      <x:c r="N173" s="19" t="str">
        <x:v>可靠性；可预测性；信任；依赖</x:v>
      </x:c>
      <x:c r="O173" s="19" t="n">
        <x:v>3</x:v>
      </x:c>
      <x:c r="P173" s="19" t="str">
        <x:v>直接候选/可选子量表</x:v>
      </x:c>
      <x:c r="Q173" s="19" t="str">
        <x:v>CC BY-SA 4.0；中文语义翻译</x:v>
      </x:c>
      <x:c r="R173" s="19" t="str">
        <x:v>https://github.com/moritzkoerber/TiA_Trust_in_Automation_Questionnaire</x:v>
      </x:c>
      <x:c r="S173" s="19" t="str">
        <x:v>Official English questionnaire</x:v>
      </x:c>
      <x:c r="T173" s="19" t="str"/>
      <x:c r="U173" s="19" t="str"/>
    </x:row>
    <x:row r="174" ht="47" customHeight="1">
      <x:c r="A174" s="19" t="str">
        <x:v>未决定</x:v>
      </x:c>
      <x:c r="B174" s="19" t="str">
        <x:v>A-直接</x:v>
      </x:c>
      <x:c r="C174" s="19" t="str">
        <x:v>自动化信任</x:v>
      </x:c>
      <x:c r="D174" s="19" t="str">
        <x:v>Trust in Automation Questionnaire (TiA)</x:v>
      </x:c>
      <x:c r="E174" s="19" t="str">
        <x:v>2019</x:v>
      </x:c>
      <x:c r="F174" s="19" t="str">
        <x:v>Reliability/Competence</x:v>
      </x:c>
      <x:c r="G174" s="19" t="str">
        <x:v>TiA10</x:v>
      </x:c>
      <x:c r="H174" s="19" t="str">
        <x:v>该系统很可能发生故障。</x:v>
      </x:c>
      <x:c r="I174" s="19" t="str"/>
      <x:c r="J174" s="19" t="str">
        <x:v>反向</x:v>
      </x:c>
      <x:c r="K174" s="19" t="str">
        <x:v>5点同意度</x:v>
      </x:c>
      <x:c r="L174" s="19" t="str">
        <x:v>已开发；英文版验证证据较少</x:v>
      </x:c>
      <x:c r="M174" s="19" t="str">
        <x:v>总体/每条件</x:v>
      </x:c>
      <x:c r="N174" s="19" t="str">
        <x:v>Reliability/Competence</x:v>
      </x:c>
      <x:c r="O174" s="19" t="n">
        <x:v>1</x:v>
      </x:c>
      <x:c r="P174" s="19" t="str">
        <x:v>低优先级</x:v>
      </x:c>
      <x:c r="Q174" s="19" t="str">
        <x:v>CC BY-SA 4.0；中文语义翻译</x:v>
      </x:c>
      <x:c r="R174" s="19" t="str">
        <x:v>https://github.com/moritzkoerber/TiA_Trust_in_Automation_Questionnaire</x:v>
      </x:c>
      <x:c r="S174" s="19" t="str">
        <x:v>Official English questionnaire</x:v>
      </x:c>
      <x:c r="T174" s="19" t="str"/>
      <x:c r="U174" s="19" t="str"/>
    </x:row>
    <x:row r="175" ht="47" customHeight="1">
      <x:c r="A175" s="19" t="str">
        <x:v>未决定</x:v>
      </x:c>
      <x:c r="B175" s="19" t="str">
        <x:v>A-直接</x:v>
      </x:c>
      <x:c r="C175" s="19" t="str">
        <x:v>自动化信任</x:v>
      </x:c>
      <x:c r="D175" s="19" t="str">
        <x:v>Trust in Automation Questionnaire (TiA)</x:v>
      </x:c>
      <x:c r="E175" s="19" t="str">
        <x:v>2019</x:v>
      </x:c>
      <x:c r="F175" s="19" t="str">
        <x:v>Understanding/Predictability</x:v>
      </x:c>
      <x:c r="G175" s="19" t="str">
        <x:v>TiA11</x:v>
      </x:c>
      <x:c r="H175" s="19" t="str">
        <x:v>我能理解系统为何作出某种行为。</x:v>
      </x:c>
      <x:c r="I175" s="19" t="str"/>
      <x:c r="J175" s="19" t="str">
        <x:v>正向</x:v>
      </x:c>
      <x:c r="K175" s="19" t="str">
        <x:v>5点同意度</x:v>
      </x:c>
      <x:c r="L175" s="19" t="str">
        <x:v>已开发；英文版验证证据较少</x:v>
      </x:c>
      <x:c r="M175" s="19" t="str">
        <x:v>总体/每条件</x:v>
      </x:c>
      <x:c r="N175" s="19" t="str">
        <x:v>Understanding/Predictability</x:v>
      </x:c>
      <x:c r="O175" s="19" t="n">
        <x:v>1</x:v>
      </x:c>
      <x:c r="P175" s="19" t="str">
        <x:v>低优先级</x:v>
      </x:c>
      <x:c r="Q175" s="19" t="str">
        <x:v>CC BY-SA 4.0；中文语义翻译</x:v>
      </x:c>
      <x:c r="R175" s="19" t="str">
        <x:v>https://github.com/moritzkoerber/TiA_Trust_in_Automation_Questionnaire</x:v>
      </x:c>
      <x:c r="S175" s="19" t="str">
        <x:v>Official English questionnaire</x:v>
      </x:c>
      <x:c r="T175" s="19" t="str"/>
      <x:c r="U175" s="19" t="str"/>
    </x:row>
    <x:row r="176" ht="47" customHeight="1">
      <x:c r="A176" s="19" t="str">
        <x:v>未决定</x:v>
      </x:c>
      <x:c r="B176" s="19" t="str">
        <x:v>A-直接</x:v>
      </x:c>
      <x:c r="C176" s="19" t="str">
        <x:v>自动化信任</x:v>
      </x:c>
      <x:c r="D176" s="19" t="str">
        <x:v>Trust in Automation Questionnaire (TiA)</x:v>
      </x:c>
      <x:c r="E176" s="19" t="str">
        <x:v>2019</x:v>
      </x:c>
      <x:c r="F176" s="19" t="str">
        <x:v>Propensity to Trust</x:v>
      </x:c>
      <x:c r="G176" s="19" t="str">
        <x:v>TiA12</x:v>
      </x:c>
      <x:c r="H176" s="19" t="str">
        <x:v>总体而言，我倾向于信任而不是不信任自动化系统。</x:v>
      </x:c>
      <x:c r="I176" s="19" t="str"/>
      <x:c r="J176" s="19" t="str">
        <x:v>正向/倾向</x:v>
      </x:c>
      <x:c r="K176" s="19" t="str">
        <x:v>5点同意度</x:v>
      </x:c>
      <x:c r="L176" s="19" t="str">
        <x:v>已开发；英文版验证证据较少</x:v>
      </x:c>
      <x:c r="M176" s="19" t="str">
        <x:v>总体/每条件</x:v>
      </x:c>
      <x:c r="N176" s="19" t="str">
        <x:v>Propensity to Trust</x:v>
      </x:c>
      <x:c r="O176" s="19" t="n">
        <x:v>1</x:v>
      </x:c>
      <x:c r="P176" s="19" t="str">
        <x:v>低优先级</x:v>
      </x:c>
      <x:c r="Q176" s="19" t="str">
        <x:v>CC BY-SA 4.0；中文语义翻译</x:v>
      </x:c>
      <x:c r="R176" s="19" t="str">
        <x:v>https://github.com/moritzkoerber/TiA_Trust_in_Automation_Questionnaire</x:v>
      </x:c>
      <x:c r="S176" s="19" t="str">
        <x:v>Official English questionnaire</x:v>
      </x:c>
      <x:c r="T176" s="19" t="str"/>
      <x:c r="U176" s="19" t="str"/>
    </x:row>
    <x:row r="177" ht="47" customHeight="1">
      <x:c r="A177" s="19" t="str">
        <x:v>未决定</x:v>
      </x:c>
      <x:c r="B177" s="19" t="str">
        <x:v>A-直接</x:v>
      </x:c>
      <x:c r="C177" s="19" t="str">
        <x:v>自动化信任</x:v>
      </x:c>
      <x:c r="D177" s="19" t="str">
        <x:v>Trust in Automation Questionnaire (TiA)</x:v>
      </x:c>
      <x:c r="E177" s="19" t="str">
        <x:v>2019</x:v>
      </x:c>
      <x:c r="F177" s="19" t="str">
        <x:v>Reliability/Competence</x:v>
      </x:c>
      <x:c r="G177" s="19" t="str">
        <x:v>TiA13</x:v>
      </x:c>
      <x:c r="H177" s="19" t="str">
        <x:v>该系统能够处理复杂任务。</x:v>
      </x:c>
      <x:c r="I177" s="19" t="str"/>
      <x:c r="J177" s="19" t="str">
        <x:v>正向</x:v>
      </x:c>
      <x:c r="K177" s="19" t="str">
        <x:v>5点同意度</x:v>
      </x:c>
      <x:c r="L177" s="19" t="str">
        <x:v>已开发；英文版验证证据较少</x:v>
      </x:c>
      <x:c r="M177" s="19" t="str">
        <x:v>总体/每条件</x:v>
      </x:c>
      <x:c r="N177" s="19" t="str">
        <x:v>Reliability/Competence</x:v>
      </x:c>
      <x:c r="O177" s="19" t="n">
        <x:v>1</x:v>
      </x:c>
      <x:c r="P177" s="19" t="str">
        <x:v>低优先级</x:v>
      </x:c>
      <x:c r="Q177" s="19" t="str">
        <x:v>CC BY-SA 4.0；中文语义翻译</x:v>
      </x:c>
      <x:c r="R177" s="19" t="str">
        <x:v>https://github.com/moritzkoerber/TiA_Trust_in_Automation_Questionnaire</x:v>
      </x:c>
      <x:c r="S177" s="19" t="str">
        <x:v>Official English questionnaire</x:v>
      </x:c>
      <x:c r="T177" s="19" t="str"/>
      <x:c r="U177" s="19" t="str"/>
    </x:row>
    <x:row r="178" ht="47" customHeight="1">
      <x:c r="A178" s="19" t="str">
        <x:v>未决定</x:v>
      </x:c>
      <x:c r="B178" s="19" t="str">
        <x:v>A-直接</x:v>
      </x:c>
      <x:c r="C178" s="19" t="str">
        <x:v>自动化信任</x:v>
      </x:c>
      <x:c r="D178" s="19" t="str">
        <x:v>Trust in Automation Questionnaire (TiA)</x:v>
      </x:c>
      <x:c r="E178" s="19" t="str">
        <x:v>2019</x:v>
      </x:c>
      <x:c r="F178" s="19" t="str">
        <x:v>Trust in Automation</x:v>
      </x:c>
      <x:c r="G178" s="19" t="str">
        <x:v>TiA14</x:v>
      </x:c>
      <x:c r="H178" s="19" t="str">
        <x:v>我可以依赖该系统。</x:v>
      </x:c>
      <x:c r="I178" s="19" t="str"/>
      <x:c r="J178" s="19" t="str">
        <x:v>正向</x:v>
      </x:c>
      <x:c r="K178" s="19" t="str">
        <x:v>5点同意度</x:v>
      </x:c>
      <x:c r="L178" s="19" t="str">
        <x:v>已开发；英文版验证证据较少</x:v>
      </x:c>
      <x:c r="M178" s="19" t="str">
        <x:v>总体/每条件</x:v>
      </x:c>
      <x:c r="N178" s="19" t="str">
        <x:v>可靠性；可预测性；信任；依赖</x:v>
      </x:c>
      <x:c r="O178" s="19" t="n">
        <x:v>3</x:v>
      </x:c>
      <x:c r="P178" s="19" t="str">
        <x:v>直接候选/可选子量表</x:v>
      </x:c>
      <x:c r="Q178" s="19" t="str">
        <x:v>CC BY-SA 4.0；中文语义翻译</x:v>
      </x:c>
      <x:c r="R178" s="19" t="str">
        <x:v>https://github.com/moritzkoerber/TiA_Trust_in_Automation_Questionnaire</x:v>
      </x:c>
      <x:c r="S178" s="19" t="str">
        <x:v>Official English questionnaire</x:v>
      </x:c>
      <x:c r="T178" s="19" t="str"/>
      <x:c r="U178" s="19" t="str"/>
    </x:row>
    <x:row r="179" ht="47" customHeight="1">
      <x:c r="A179" s="19" t="str">
        <x:v>未决定</x:v>
      </x:c>
      <x:c r="B179" s="19" t="str">
        <x:v>A-直接</x:v>
      </x:c>
      <x:c r="C179" s="19" t="str">
        <x:v>自动化信任</x:v>
      </x:c>
      <x:c r="D179" s="19" t="str">
        <x:v>Trust in Automation Questionnaire (TiA)</x:v>
      </x:c>
      <x:c r="E179" s="19" t="str">
        <x:v>2019</x:v>
      </x:c>
      <x:c r="F179" s="19" t="str">
        <x:v>Reliability/Competence</x:v>
      </x:c>
      <x:c r="G179" s="19" t="str">
        <x:v>TiA15</x:v>
      </x:c>
      <x:c r="H179" s="19" t="str">
        <x:v>该系统会偶尔出现错误。</x:v>
      </x:c>
      <x:c r="I179" s="19" t="str"/>
      <x:c r="J179" s="19" t="str">
        <x:v>反向</x:v>
      </x:c>
      <x:c r="K179" s="19" t="str">
        <x:v>5点同意度</x:v>
      </x:c>
      <x:c r="L179" s="19" t="str">
        <x:v>已开发；英文版验证证据较少</x:v>
      </x:c>
      <x:c r="M179" s="19" t="str">
        <x:v>总体/每条件</x:v>
      </x:c>
      <x:c r="N179" s="19" t="str">
        <x:v>可靠性；可预测性；信任；依赖</x:v>
      </x:c>
      <x:c r="O179" s="19" t="n">
        <x:v>3</x:v>
      </x:c>
      <x:c r="P179" s="19" t="str">
        <x:v>直接候选/可选子量表</x:v>
      </x:c>
      <x:c r="Q179" s="19" t="str">
        <x:v>CC BY-SA 4.0；中文语义翻译</x:v>
      </x:c>
      <x:c r="R179" s="19" t="str">
        <x:v>https://github.com/moritzkoerber/TiA_Trust_in_Automation_Questionnaire</x:v>
      </x:c>
      <x:c r="S179" s="19" t="str">
        <x:v>Official English questionnaire</x:v>
      </x:c>
      <x:c r="T179" s="19" t="str"/>
      <x:c r="U179" s="19" t="str"/>
    </x:row>
    <x:row r="180" ht="47" customHeight="1">
      <x:c r="A180" s="19" t="str">
        <x:v>未决定</x:v>
      </x:c>
      <x:c r="B180" s="19" t="str">
        <x:v>A-直接</x:v>
      </x:c>
      <x:c r="C180" s="19" t="str">
        <x:v>自动化信任</x:v>
      </x:c>
      <x:c r="D180" s="19" t="str">
        <x:v>Trust in Automation Questionnaire (TiA)</x:v>
      </x:c>
      <x:c r="E180" s="19" t="str">
        <x:v>2019</x:v>
      </x:c>
      <x:c r="F180" s="19" t="str">
        <x:v>Understanding/Predictability</x:v>
      </x:c>
      <x:c r="G180" s="19" t="str">
        <x:v>TiA16</x:v>
      </x:c>
      <x:c r="H180" s="19" t="str">
        <x:v>很难预测该系统下一步会做什么。</x:v>
      </x:c>
      <x:c r="I180" s="19" t="str"/>
      <x:c r="J180" s="19" t="str">
        <x:v>反向</x:v>
      </x:c>
      <x:c r="K180" s="19" t="str">
        <x:v>5点同意度</x:v>
      </x:c>
      <x:c r="L180" s="19" t="str">
        <x:v>已开发；英文版验证证据较少</x:v>
      </x:c>
      <x:c r="M180" s="19" t="str">
        <x:v>总体/每条件</x:v>
      </x:c>
      <x:c r="N180" s="19" t="str">
        <x:v>可靠性；可预测性；信任；依赖</x:v>
      </x:c>
      <x:c r="O180" s="19" t="n">
        <x:v>3</x:v>
      </x:c>
      <x:c r="P180" s="19" t="str">
        <x:v>直接候选/可选子量表</x:v>
      </x:c>
      <x:c r="Q180" s="19" t="str">
        <x:v>CC BY-SA 4.0；中文语义翻译</x:v>
      </x:c>
      <x:c r="R180" s="19" t="str">
        <x:v>https://github.com/moritzkoerber/TiA_Trust_in_Automation_Questionnaire</x:v>
      </x:c>
      <x:c r="S180" s="19" t="str">
        <x:v>Official English questionnaire</x:v>
      </x:c>
      <x:c r="T180" s="19" t="str"/>
      <x:c r="U180" s="19" t="str"/>
    </x:row>
    <x:row r="181" ht="47" customHeight="1">
      <x:c r="A181" s="19" t="str">
        <x:v>未决定</x:v>
      </x:c>
      <x:c r="B181" s="19" t="str">
        <x:v>A-直接</x:v>
      </x:c>
      <x:c r="C181" s="19" t="str">
        <x:v>自动化信任</x:v>
      </x:c>
      <x:c r="D181" s="19" t="str">
        <x:v>Trust in Automation Questionnaire (TiA)</x:v>
      </x:c>
      <x:c r="E181" s="19" t="str">
        <x:v>2019</x:v>
      </x:c>
      <x:c r="F181" s="19" t="str">
        <x:v>Familiarity</x:v>
      </x:c>
      <x:c r="G181" s="19" t="str">
        <x:v>TiA17</x:v>
      </x:c>
      <x:c r="H181" s="19" t="str">
        <x:v>我使用过类似的系统。</x:v>
      </x:c>
      <x:c r="I181" s="19" t="str"/>
      <x:c r="J181" s="19" t="str">
        <x:v>正向</x:v>
      </x:c>
      <x:c r="K181" s="19" t="str">
        <x:v>5点同意度</x:v>
      </x:c>
      <x:c r="L181" s="19" t="str">
        <x:v>已开发；英文版验证证据较少</x:v>
      </x:c>
      <x:c r="M181" s="19" t="str">
        <x:v>总体/每条件</x:v>
      </x:c>
      <x:c r="N181" s="19" t="str">
        <x:v>Familiarity</x:v>
      </x:c>
      <x:c r="O181" s="19" t="n">
        <x:v>1</x:v>
      </x:c>
      <x:c r="P181" s="19" t="str">
        <x:v>低优先级</x:v>
      </x:c>
      <x:c r="Q181" s="19" t="str">
        <x:v>CC BY-SA 4.0；中文语义翻译</x:v>
      </x:c>
      <x:c r="R181" s="19" t="str">
        <x:v>https://github.com/moritzkoerber/TiA_Trust_in_Automation_Questionnaire</x:v>
      </x:c>
      <x:c r="S181" s="19" t="str">
        <x:v>Official English questionnaire</x:v>
      </x:c>
      <x:c r="T181" s="19" t="str"/>
      <x:c r="U181" s="19" t="str"/>
    </x:row>
    <x:row r="182" ht="47" customHeight="1">
      <x:c r="A182" s="19" t="str">
        <x:v>未决定</x:v>
      </x:c>
      <x:c r="B182" s="19" t="str">
        <x:v>A-直接</x:v>
      </x:c>
      <x:c r="C182" s="19" t="str">
        <x:v>自动化信任</x:v>
      </x:c>
      <x:c r="D182" s="19" t="str">
        <x:v>Trust in Automation Questionnaire (TiA)</x:v>
      </x:c>
      <x:c r="E182" s="19" t="str">
        <x:v>2019</x:v>
      </x:c>
      <x:c r="F182" s="19" t="str">
        <x:v>Propensity to Trust</x:v>
      </x:c>
      <x:c r="G182" s="19" t="str">
        <x:v>TiA18</x:v>
      </x:c>
      <x:c r="H182" s="19" t="str">
        <x:v>自动化系统通常工作良好。</x:v>
      </x:c>
      <x:c r="I182" s="19" t="str"/>
      <x:c r="J182" s="19" t="str">
        <x:v>正向/倾向</x:v>
      </x:c>
      <x:c r="K182" s="19" t="str">
        <x:v>5点同意度</x:v>
      </x:c>
      <x:c r="L182" s="19" t="str">
        <x:v>已开发；英文版验证证据较少</x:v>
      </x:c>
      <x:c r="M182" s="19" t="str">
        <x:v>总体/每条件</x:v>
      </x:c>
      <x:c r="N182" s="19" t="str">
        <x:v>Propensity to Trust</x:v>
      </x:c>
      <x:c r="O182" s="19" t="n">
        <x:v>1</x:v>
      </x:c>
      <x:c r="P182" s="19" t="str">
        <x:v>低优先级</x:v>
      </x:c>
      <x:c r="Q182" s="19" t="str">
        <x:v>CC BY-SA 4.0；中文语义翻译</x:v>
      </x:c>
      <x:c r="R182" s="19" t="str">
        <x:v>https://github.com/moritzkoerber/TiA_Trust_in_Automation_Questionnaire</x:v>
      </x:c>
      <x:c r="S182" s="19" t="str">
        <x:v>Official English questionnaire</x:v>
      </x:c>
      <x:c r="T182" s="19" t="str"/>
      <x:c r="U182" s="19" t="str"/>
    </x:row>
    <x:row r="183" ht="47" customHeight="1">
      <x:c r="A183" s="19" t="str">
        <x:v>未决定</x:v>
      </x:c>
      <x:c r="B183" s="19" t="str">
        <x:v>A-直接</x:v>
      </x:c>
      <x:c r="C183" s="19" t="str">
        <x:v>自动化信任</x:v>
      </x:c>
      <x:c r="D183" s="19" t="str">
        <x:v>Trust in Automation Questionnaire (TiA)</x:v>
      </x:c>
      <x:c r="E183" s="19" t="str">
        <x:v>2019</x:v>
      </x:c>
      <x:c r="F183" s="19" t="str">
        <x:v>Reliability/Competence</x:v>
      </x:c>
      <x:c r="G183" s="19" t="str">
        <x:v>TiA19</x:v>
      </x:c>
      <x:c r="H183" s="19" t="str">
        <x:v>我对该系统的能力有信心。</x:v>
      </x:c>
      <x:c r="I183" s="19" t="str"/>
      <x:c r="J183" s="19" t="str">
        <x:v>正向</x:v>
      </x:c>
      <x:c r="K183" s="19" t="str">
        <x:v>5点同意度</x:v>
      </x:c>
      <x:c r="L183" s="19" t="str">
        <x:v>已开发；英文版验证证据较少</x:v>
      </x:c>
      <x:c r="M183" s="19" t="str">
        <x:v>总体/每条件</x:v>
      </x:c>
      <x:c r="N183" s="19" t="str">
        <x:v>可靠性；可预测性；信任；依赖</x:v>
      </x:c>
      <x:c r="O183" s="19" t="n">
        <x:v>3</x:v>
      </x:c>
      <x:c r="P183" s="19" t="str">
        <x:v>直接候选/可选子量表</x:v>
      </x:c>
      <x:c r="Q183" s="19" t="str">
        <x:v>CC BY-SA 4.0；中文语义翻译</x:v>
      </x:c>
      <x:c r="R183" s="19" t="str">
        <x:v>https://github.com/moritzkoerber/TiA_Trust_in_Automation_Questionnaire</x:v>
      </x:c>
      <x:c r="S183" s="19" t="str">
        <x:v>Official English questionnaire</x:v>
      </x:c>
      <x:c r="T183" s="19" t="str"/>
      <x:c r="U183" s="19" t="str"/>
    </x:row>
    <x:row r="184" ht="47" customHeight="1">
      <x:c r="A184" s="19" t="str">
        <x:v>未决定</x:v>
      </x:c>
      <x:c r="B184" s="19" t="str">
        <x:v>A-直接</x:v>
      </x:c>
      <x:c r="C184" s="19" t="str">
        <x:v>自动化信任</x:v>
      </x:c>
      <x:c r="D184" s="19" t="str">
        <x:v>Trust of Automated Systems Test (TOAST)</x:v>
      </x:c>
      <x:c r="E184" s="19" t="str">
        <x:v>2020</x:v>
      </x:c>
      <x:c r="F184" s="19" t="str">
        <x:v>System Understanding</x:v>
      </x:c>
      <x:c r="G184" s="19" t="str">
        <x:v>TOAST1</x:v>
      </x:c>
      <x:c r="H184" s="19" t="str">
        <x:v>我理解该系统应该做什么。</x:v>
      </x:c>
      <x:c r="I184" s="19" t="str"/>
      <x:c r="J184" s="19" t="str">
        <x:v>正向</x:v>
      </x:c>
      <x:c r="K184" s="19" t="str">
        <x:v>7点同意度</x:v>
      </x:c>
      <x:c r="L184" s="19" t="str">
        <x:v>初步验证</x:v>
      </x:c>
      <x:c r="M184" s="19" t="str">
        <x:v>总体/每条件</x:v>
      </x:c>
      <x:c r="N184" s="19" t="str">
        <x:v>系统理解/目标支持</x:v>
      </x:c>
      <x:c r="O184" s="19" t="n">
        <x:v>2</x:v>
      </x:c>
      <x:c r="P184" s="19" t="str">
        <x:v>备选</x:v>
      </x:c>
      <x:c r="Q184" s="19" t="str">
        <x:v>公开PDF；中文语义翻译</x:v>
      </x:c>
      <x:c r="R184" s="19" t="str">
        <x:v>https://research.testscience.org/post/2019-initial-validation-of-the-trust-of-automated-systems-test-toast/paper.pdf</x:v>
      </x:c>
      <x:c r="S184" s="19" t="str">
        <x:v>Final 9-item TOAST</x:v>
      </x:c>
      <x:c r="T184" s="19" t="str"/>
      <x:c r="U184" s="19" t="str"/>
    </x:row>
    <x:row r="185" ht="47" customHeight="1">
      <x:c r="A185" s="19" t="str">
        <x:v>未决定</x:v>
      </x:c>
      <x:c r="B185" s="19" t="str">
        <x:v>A-直接</x:v>
      </x:c>
      <x:c r="C185" s="19" t="str">
        <x:v>自动化信任</x:v>
      </x:c>
      <x:c r="D185" s="19" t="str">
        <x:v>Trust of Automated Systems Test (TOAST)</x:v>
      </x:c>
      <x:c r="E185" s="19" t="str">
        <x:v>2020</x:v>
      </x:c>
      <x:c r="F185" s="19" t="str">
        <x:v>System Understanding</x:v>
      </x:c>
      <x:c r="G185" s="19" t="str">
        <x:v>TOAST2</x:v>
      </x:c>
      <x:c r="H185" s="19" t="str">
        <x:v>我理解该系统的局限。</x:v>
      </x:c>
      <x:c r="I185" s="19" t="str"/>
      <x:c r="J185" s="19" t="str">
        <x:v>正向</x:v>
      </x:c>
      <x:c r="K185" s="19" t="str">
        <x:v>7点同意度</x:v>
      </x:c>
      <x:c r="L185" s="19" t="str">
        <x:v>初步验证</x:v>
      </x:c>
      <x:c r="M185" s="19" t="str">
        <x:v>总体/每条件</x:v>
      </x:c>
      <x:c r="N185" s="19" t="str">
        <x:v>系统理解/目标支持</x:v>
      </x:c>
      <x:c r="O185" s="19" t="n">
        <x:v>2</x:v>
      </x:c>
      <x:c r="P185" s="19" t="str">
        <x:v>备选</x:v>
      </x:c>
      <x:c r="Q185" s="19" t="str">
        <x:v>公开PDF；中文语义翻译</x:v>
      </x:c>
      <x:c r="R185" s="19" t="str">
        <x:v>https://research.testscience.org/post/2019-initial-validation-of-the-trust-of-automated-systems-test-toast/paper.pdf</x:v>
      </x:c>
      <x:c r="S185" s="19" t="str">
        <x:v>Final 9-item TOAST</x:v>
      </x:c>
      <x:c r="T185" s="19" t="str"/>
      <x:c r="U185" s="19" t="str"/>
    </x:row>
    <x:row r="186" ht="47" customHeight="1">
      <x:c r="A186" s="19" t="str">
        <x:v>未决定</x:v>
      </x:c>
      <x:c r="B186" s="19" t="str">
        <x:v>A-直接</x:v>
      </x:c>
      <x:c r="C186" s="19" t="str">
        <x:v>自动化信任</x:v>
      </x:c>
      <x:c r="D186" s="19" t="str">
        <x:v>Trust of Automated Systems Test (TOAST)</x:v>
      </x:c>
      <x:c r="E186" s="19" t="str">
        <x:v>2020</x:v>
      </x:c>
      <x:c r="F186" s="19" t="str">
        <x:v>System Understanding</x:v>
      </x:c>
      <x:c r="G186" s="19" t="str">
        <x:v>TOAST3</x:v>
      </x:c>
      <x:c r="H186" s="19" t="str">
        <x:v>我理解该系统的能力范围。</x:v>
      </x:c>
      <x:c r="I186" s="19" t="str"/>
      <x:c r="J186" s="19" t="str">
        <x:v>正向</x:v>
      </x:c>
      <x:c r="K186" s="19" t="str">
        <x:v>7点同意度</x:v>
      </x:c>
      <x:c r="L186" s="19" t="str">
        <x:v>初步验证</x:v>
      </x:c>
      <x:c r="M186" s="19" t="str">
        <x:v>总体/每条件</x:v>
      </x:c>
      <x:c r="N186" s="19" t="str">
        <x:v>系统理解/目标支持</x:v>
      </x:c>
      <x:c r="O186" s="19" t="n">
        <x:v>2</x:v>
      </x:c>
      <x:c r="P186" s="19" t="str">
        <x:v>备选</x:v>
      </x:c>
      <x:c r="Q186" s="19" t="str">
        <x:v>公开PDF；中文语义翻译</x:v>
      </x:c>
      <x:c r="R186" s="19" t="str">
        <x:v>https://research.testscience.org/post/2019-initial-validation-of-the-trust-of-automated-systems-test-toast/paper.pdf</x:v>
      </x:c>
      <x:c r="S186" s="19" t="str">
        <x:v>Final 9-item TOAST</x:v>
      </x:c>
      <x:c r="T186" s="19" t="str"/>
      <x:c r="U186" s="19" t="str"/>
    </x:row>
    <x:row r="187" ht="47" customHeight="1">
      <x:c r="A187" s="19" t="str">
        <x:v>未决定</x:v>
      </x:c>
      <x:c r="B187" s="19" t="str">
        <x:v>A-直接</x:v>
      </x:c>
      <x:c r="C187" s="19" t="str">
        <x:v>自动化信任</x:v>
      </x:c>
      <x:c r="D187" s="19" t="str">
        <x:v>Trust of Automated Systems Test (TOAST)</x:v>
      </x:c>
      <x:c r="E187" s="19" t="str">
        <x:v>2020</x:v>
      </x:c>
      <x:c r="F187" s="19" t="str">
        <x:v>System Understanding</x:v>
      </x:c>
      <x:c r="G187" s="19" t="str">
        <x:v>TOAST4</x:v>
      </x:c>
      <x:c r="H187" s="19" t="str">
        <x:v>我理解该系统如何执行任务。</x:v>
      </x:c>
      <x:c r="I187" s="19" t="str"/>
      <x:c r="J187" s="19" t="str">
        <x:v>正向</x:v>
      </x:c>
      <x:c r="K187" s="19" t="str">
        <x:v>7点同意度</x:v>
      </x:c>
      <x:c r="L187" s="19" t="str">
        <x:v>初步验证</x:v>
      </x:c>
      <x:c r="M187" s="19" t="str">
        <x:v>总体/每条件</x:v>
      </x:c>
      <x:c r="N187" s="19" t="str">
        <x:v>系统理解/目标支持</x:v>
      </x:c>
      <x:c r="O187" s="19" t="n">
        <x:v>1</x:v>
      </x:c>
      <x:c r="P187" s="19" t="str">
        <x:v>低优先级</x:v>
      </x:c>
      <x:c r="Q187" s="19" t="str">
        <x:v>公开PDF；中文语义翻译</x:v>
      </x:c>
      <x:c r="R187" s="19" t="str">
        <x:v>https://research.testscience.org/post/2019-initial-validation-of-the-trust-of-automated-systems-test-toast/paper.pdf</x:v>
      </x:c>
      <x:c r="S187" s="19" t="str">
        <x:v>Final 9-item TOAST</x:v>
      </x:c>
      <x:c r="T187" s="19" t="str"/>
      <x:c r="U187" s="19" t="str"/>
    </x:row>
    <x:row r="188" ht="47" customHeight="1">
      <x:c r="A188" s="19" t="str">
        <x:v>未决定</x:v>
      </x:c>
      <x:c r="B188" s="19" t="str">
        <x:v>A-直接</x:v>
      </x:c>
      <x:c r="C188" s="19" t="str">
        <x:v>自动化信任</x:v>
      </x:c>
      <x:c r="D188" s="19" t="str">
        <x:v>Trust of Automated Systems Test (TOAST)</x:v>
      </x:c>
      <x:c r="E188" s="19" t="str">
        <x:v>2020</x:v>
      </x:c>
      <x:c r="F188" s="19" t="str">
        <x:v>System Performance</x:v>
      </x:c>
      <x:c r="G188" s="19" t="str">
        <x:v>TOAST5</x:v>
      </x:c>
      <x:c r="H188" s="19" t="str">
        <x:v>该系统帮助我实现目标。</x:v>
      </x:c>
      <x:c r="I188" s="19" t="str"/>
      <x:c r="J188" s="19" t="str">
        <x:v>正向</x:v>
      </x:c>
      <x:c r="K188" s="19" t="str">
        <x:v>7点同意度</x:v>
      </x:c>
      <x:c r="L188" s="19" t="str">
        <x:v>初步验证</x:v>
      </x:c>
      <x:c r="M188" s="19" t="str">
        <x:v>总体/每条件</x:v>
      </x:c>
      <x:c r="N188" s="19" t="str">
        <x:v>系统理解/目标支持</x:v>
      </x:c>
      <x:c r="O188" s="19" t="n">
        <x:v>1</x:v>
      </x:c>
      <x:c r="P188" s="19" t="str">
        <x:v>低优先级</x:v>
      </x:c>
      <x:c r="Q188" s="19" t="str">
        <x:v>公开PDF；中文语义翻译</x:v>
      </x:c>
      <x:c r="R188" s="19" t="str">
        <x:v>https://research.testscience.org/post/2019-initial-validation-of-the-trust-of-automated-systems-test-toast/paper.pdf</x:v>
      </x:c>
      <x:c r="S188" s="19" t="str">
        <x:v>Final 9-item TOAST</x:v>
      </x:c>
      <x:c r="T188" s="19" t="str"/>
      <x:c r="U188" s="19" t="str"/>
    </x:row>
    <x:row r="189" ht="47" customHeight="1">
      <x:c r="A189" s="19" t="str">
        <x:v>未决定</x:v>
      </x:c>
      <x:c r="B189" s="19" t="str">
        <x:v>A-直接</x:v>
      </x:c>
      <x:c r="C189" s="19" t="str">
        <x:v>自动化信任</x:v>
      </x:c>
      <x:c r="D189" s="19" t="str">
        <x:v>Trust of Automated Systems Test (TOAST)</x:v>
      </x:c>
      <x:c r="E189" s="19" t="str">
        <x:v>2020</x:v>
      </x:c>
      <x:c r="F189" s="19" t="str">
        <x:v>System Performance</x:v>
      </x:c>
      <x:c r="G189" s="19" t="str">
        <x:v>TOAST6</x:v>
      </x:c>
      <x:c r="H189" s="19" t="str">
        <x:v>该系统的表现保持一致。</x:v>
      </x:c>
      <x:c r="I189" s="19" t="str"/>
      <x:c r="J189" s="19" t="str">
        <x:v>正向</x:v>
      </x:c>
      <x:c r="K189" s="19" t="str">
        <x:v>7点同意度</x:v>
      </x:c>
      <x:c r="L189" s="19" t="str">
        <x:v>初步验证</x:v>
      </x:c>
      <x:c r="M189" s="19" t="str">
        <x:v>总体/每条件</x:v>
      </x:c>
      <x:c r="N189" s="19" t="str">
        <x:v>一致性；可预测性；依赖</x:v>
      </x:c>
      <x:c r="O189" s="19" t="n">
        <x:v>3</x:v>
      </x:c>
      <x:c r="P189" s="19" t="str">
        <x:v>直接候选</x:v>
      </x:c>
      <x:c r="Q189" s="19" t="str">
        <x:v>公开PDF；中文语义翻译</x:v>
      </x:c>
      <x:c r="R189" s="19" t="str">
        <x:v>https://research.testscience.org/post/2019-initial-validation-of-the-trust-of-automated-systems-test-toast/paper.pdf</x:v>
      </x:c>
      <x:c r="S189" s="19" t="str">
        <x:v>Final 9-item TOAST</x:v>
      </x:c>
      <x:c r="T189" s="19" t="str"/>
      <x:c r="U189" s="19" t="str"/>
    </x:row>
    <x:row r="190" ht="47" customHeight="1">
      <x:c r="A190" s="19" t="str">
        <x:v>未决定</x:v>
      </x:c>
      <x:c r="B190" s="19" t="str">
        <x:v>A-直接</x:v>
      </x:c>
      <x:c r="C190" s="19" t="str">
        <x:v>自动化信任</x:v>
      </x:c>
      <x:c r="D190" s="19" t="str">
        <x:v>Trust of Automated Systems Test (TOAST)</x:v>
      </x:c>
      <x:c r="E190" s="19" t="str">
        <x:v>2020</x:v>
      </x:c>
      <x:c r="F190" s="19" t="str">
        <x:v>System Performance</x:v>
      </x:c>
      <x:c r="G190" s="19" t="str">
        <x:v>TOAST7</x:v>
      </x:c>
      <x:c r="H190" s="19" t="str">
        <x:v>该系统按照其应有方式运行。</x:v>
      </x:c>
      <x:c r="I190" s="19" t="str"/>
      <x:c r="J190" s="19" t="str">
        <x:v>正向</x:v>
      </x:c>
      <x:c r="K190" s="19" t="str">
        <x:v>7点同意度</x:v>
      </x:c>
      <x:c r="L190" s="19" t="str">
        <x:v>初步验证</x:v>
      </x:c>
      <x:c r="M190" s="19" t="str">
        <x:v>总体/每条件</x:v>
      </x:c>
      <x:c r="N190" s="19" t="str">
        <x:v>一致性；可预测性；依赖</x:v>
      </x:c>
      <x:c r="O190" s="19" t="n">
        <x:v>3</x:v>
      </x:c>
      <x:c r="P190" s="19" t="str">
        <x:v>直接候选</x:v>
      </x:c>
      <x:c r="Q190" s="19" t="str">
        <x:v>公开PDF；中文语义翻译</x:v>
      </x:c>
      <x:c r="R190" s="19" t="str">
        <x:v>https://research.testscience.org/post/2019-initial-validation-of-the-trust-of-automated-systems-test-toast/paper.pdf</x:v>
      </x:c>
      <x:c r="S190" s="19" t="str">
        <x:v>Final 9-item TOAST</x:v>
      </x:c>
      <x:c r="T190" s="19" t="str"/>
      <x:c r="U190" s="19" t="str"/>
    </x:row>
    <x:row r="191" ht="47" customHeight="1">
      <x:c r="A191" s="19" t="str">
        <x:v>未决定</x:v>
      </x:c>
      <x:c r="B191" s="19" t="str">
        <x:v>A-直接</x:v>
      </x:c>
      <x:c r="C191" s="19" t="str">
        <x:v>自动化信任</x:v>
      </x:c>
      <x:c r="D191" s="19" t="str">
        <x:v>Trust of Automated Systems Test (TOAST)</x:v>
      </x:c>
      <x:c r="E191" s="19" t="str">
        <x:v>2020</x:v>
      </x:c>
      <x:c r="F191" s="19" t="str">
        <x:v>System Performance</x:v>
      </x:c>
      <x:c r="G191" s="19" t="str">
        <x:v>TOAST8</x:v>
      </x:c>
      <x:c r="H191" s="19" t="str">
        <x:v>该系统的响应很少让我感到意外。</x:v>
      </x:c>
      <x:c r="I191" s="19" t="str"/>
      <x:c r="J191" s="19" t="str">
        <x:v>正向</x:v>
      </x:c>
      <x:c r="K191" s="19" t="str">
        <x:v>7点同意度</x:v>
      </x:c>
      <x:c r="L191" s="19" t="str">
        <x:v>初步验证</x:v>
      </x:c>
      <x:c r="M191" s="19" t="str">
        <x:v>总体/每条件</x:v>
      </x:c>
      <x:c r="N191" s="19" t="str">
        <x:v>一致性；可预测性；依赖</x:v>
      </x:c>
      <x:c r="O191" s="19" t="n">
        <x:v>3</x:v>
      </x:c>
      <x:c r="P191" s="19" t="str">
        <x:v>直接候选</x:v>
      </x:c>
      <x:c r="Q191" s="19" t="str">
        <x:v>公开PDF；中文语义翻译</x:v>
      </x:c>
      <x:c r="R191" s="19" t="str">
        <x:v>https://research.testscience.org/post/2019-initial-validation-of-the-trust-of-automated-systems-test-toast/paper.pdf</x:v>
      </x:c>
      <x:c r="S191" s="19" t="str">
        <x:v>Final 9-item TOAST</x:v>
      </x:c>
      <x:c r="T191" s="19" t="str"/>
      <x:c r="U191" s="19" t="str"/>
    </x:row>
    <x:row r="192" ht="47" customHeight="1">
      <x:c r="A192" s="19" t="str">
        <x:v>未决定</x:v>
      </x:c>
      <x:c r="B192" s="19" t="str">
        <x:v>A-直接</x:v>
      </x:c>
      <x:c r="C192" s="19" t="str">
        <x:v>自动化信任</x:v>
      </x:c>
      <x:c r="D192" s="19" t="str">
        <x:v>Trust of Automated Systems Test (TOAST)</x:v>
      </x:c>
      <x:c r="E192" s="19" t="str">
        <x:v>2020</x:v>
      </x:c>
      <x:c r="F192" s="19" t="str">
        <x:v>System Performance</x:v>
      </x:c>
      <x:c r="G192" s="19" t="str">
        <x:v>TOAST9</x:v>
      </x:c>
      <x:c r="H192" s="19" t="str">
        <x:v>依赖该系统提供的信息让我感到安心。</x:v>
      </x:c>
      <x:c r="I192" s="19" t="str"/>
      <x:c r="J192" s="19" t="str">
        <x:v>正向</x:v>
      </x:c>
      <x:c r="K192" s="19" t="str">
        <x:v>7点同意度</x:v>
      </x:c>
      <x:c r="L192" s="19" t="str">
        <x:v>初步验证</x:v>
      </x:c>
      <x:c r="M192" s="19" t="str">
        <x:v>总体/每条件</x:v>
      </x:c>
      <x:c r="N192" s="19" t="str">
        <x:v>一致性；可预测性；依赖</x:v>
      </x:c>
      <x:c r="O192" s="19" t="n">
        <x:v>3</x:v>
      </x:c>
      <x:c r="P192" s="19" t="str">
        <x:v>直接候选</x:v>
      </x:c>
      <x:c r="Q192" s="19" t="str">
        <x:v>公开PDF；中文语义翻译</x:v>
      </x:c>
      <x:c r="R192" s="19" t="str">
        <x:v>https://research.testscience.org/post/2019-initial-validation-of-the-trust-of-automated-systems-test-toast/paper.pdf</x:v>
      </x:c>
      <x:c r="S192" s="19" t="str">
        <x:v>Final 9-item TOAST</x:v>
      </x:c>
      <x:c r="T192" s="19" t="str"/>
      <x:c r="U192" s="19" t="str"/>
    </x:row>
    <x:row r="193" ht="47" customHeight="1">
      <x:c r="A193" s="19" t="str">
        <x:v>未决定</x:v>
      </x:c>
      <x:c r="B193" s="19" t="str">
        <x:v>A-直接</x:v>
      </x:c>
      <x:c r="C193" s="19" t="str">
        <x:v>中文自动化信任</x:v>
      </x:c>
      <x:c r="D193" s="19" t="str">
        <x:v>Chinese Human-Automation Trust Scale (C-HATS)</x:v>
      </x:c>
      <x:c r="E193" s="19" t="str">
        <x:v>2025</x:v>
      </x:c>
      <x:c r="F193" s="19" t="str">
        <x:v>Performance</x:v>
      </x:c>
      <x:c r="G193" s="19" t="str">
        <x:v>C-HATS1</x:v>
      </x:c>
      <x:c r="H193" s="19" t="str">
        <x:v>系统性能保持稳定。</x:v>
      </x:c>
      <x:c r="I193" s="19" t="str"/>
      <x:c r="J193" s="19" t="str">
        <x:v>正向</x:v>
      </x:c>
      <x:c r="K193" s="19" t="str">
        <x:v>7点：1非常不同意–7非常同意</x:v>
      </x:c>
      <x:c r="L193" s="19" t="str">
        <x:v>中文样本多阶段验证</x:v>
      </x:c>
      <x:c r="M193" s="19" t="str">
        <x:v>总体/每条件</x:v>
      </x:c>
      <x:c r="N193" s="19" t="str">
        <x:v>性能稳定；可预测；可靠；依赖</x:v>
      </x:c>
      <x:c r="O193" s="19" t="n">
        <x:v>3</x:v>
      </x:c>
      <x:c r="P193" s="19" t="str">
        <x:v>直接候选</x:v>
      </x:c>
      <x:c r="Q193" s="19" t="str">
        <x:v>公开附录中文条目之语义整理</x:v>
      </x:c>
      <x:c r="R193" s="19" t="str">
        <x:v>https://arxiv.org/abs/2403.16406</x:v>
      </x:c>
      <x:c r="S193" s="19" t="str">
        <x:v>Appendix/21-item pool</x:v>
      </x:c>
      <x:c r="T193" s="19" t="str">
        <x:v>初始</x:v>
      </x:c>
      <x:c r="U193" s="19" t="str"/>
    </x:row>
    <x:row r="194" ht="47" customHeight="1">
      <x:c r="A194" s="19" t="str">
        <x:v>未决定</x:v>
      </x:c>
      <x:c r="B194" s="19" t="str">
        <x:v>A-直接</x:v>
      </x:c>
      <x:c r="C194" s="19" t="str">
        <x:v>中文自动化信任</x:v>
      </x:c>
      <x:c r="D194" s="19" t="str">
        <x:v>Chinese Human-Automation Trust Scale (C-HATS)</x:v>
      </x:c>
      <x:c r="E194" s="19" t="str">
        <x:v>2025</x:v>
      </x:c>
      <x:c r="F194" s="19" t="str">
        <x:v>Performance</x:v>
      </x:c>
      <x:c r="G194" s="19" t="str">
        <x:v>C-HATS2</x:v>
      </x:c>
      <x:c r="H194" s="19" t="str">
        <x:v>系统行为是可预测的。</x:v>
      </x:c>
      <x:c r="I194" s="19" t="str"/>
      <x:c r="J194" s="19" t="str">
        <x:v>正向</x:v>
      </x:c>
      <x:c r="K194" s="19" t="str">
        <x:v>7点：1非常不同意–7非常同意</x:v>
      </x:c>
      <x:c r="L194" s="19" t="str">
        <x:v>中文样本多阶段验证</x:v>
      </x:c>
      <x:c r="M194" s="19" t="str">
        <x:v>总体/每条件</x:v>
      </x:c>
      <x:c r="N194" s="19" t="str">
        <x:v>性能稳定；可预测；可靠；依赖</x:v>
      </x:c>
      <x:c r="O194" s="19" t="n">
        <x:v>3</x:v>
      </x:c>
      <x:c r="P194" s="19" t="str">
        <x:v>直接候选</x:v>
      </x:c>
      <x:c r="Q194" s="19" t="str">
        <x:v>公开附录中文条目之语义整理</x:v>
      </x:c>
      <x:c r="R194" s="19" t="str">
        <x:v>https://arxiv.org/abs/2403.16406</x:v>
      </x:c>
      <x:c r="S194" s="19" t="str">
        <x:v>Appendix/21-item pool</x:v>
      </x:c>
      <x:c r="T194" s="19" t="str">
        <x:v>初始</x:v>
      </x:c>
      <x:c r="U194" s="19" t="str"/>
    </x:row>
    <x:row r="195" ht="47" customHeight="1">
      <x:c r="A195" s="19" t="str">
        <x:v>未决定</x:v>
      </x:c>
      <x:c r="B195" s="19" t="str">
        <x:v>A-直接</x:v>
      </x:c>
      <x:c r="C195" s="19" t="str">
        <x:v>中文自动化信任</x:v>
      </x:c>
      <x:c r="D195" s="19" t="str">
        <x:v>Chinese Human-Automation Trust Scale (C-HATS)</x:v>
      </x:c>
      <x:c r="E195" s="19" t="str">
        <x:v>2025</x:v>
      </x:c>
      <x:c r="F195" s="19" t="str">
        <x:v>Performance</x:v>
      </x:c>
      <x:c r="G195" s="19" t="str">
        <x:v>C-HATS3</x:v>
      </x:c>
      <x:c r="H195" s="19" t="str">
        <x:v>系统总能提供合理的帮助或建议。</x:v>
      </x:c>
      <x:c r="I195" s="19" t="str"/>
      <x:c r="J195" s="19" t="str">
        <x:v>正向</x:v>
      </x:c>
      <x:c r="K195" s="19" t="str">
        <x:v>7点：1非常不同意–7非常同意</x:v>
      </x:c>
      <x:c r="L195" s="19" t="str">
        <x:v>中文样本多阶段验证</x:v>
      </x:c>
      <x:c r="M195" s="19" t="str">
        <x:v>总体/每条件</x:v>
      </x:c>
      <x:c r="N195" s="19" t="str">
        <x:v>Performance</x:v>
      </x:c>
      <x:c r="O195" s="19" t="n">
        <x:v>0</x:v>
      </x:c>
      <x:c r="P195" s="19" t="str">
        <x:v>不建议</x:v>
      </x:c>
      <x:c r="Q195" s="19" t="str">
        <x:v>公开附录中文条目之语义整理</x:v>
      </x:c>
      <x:c r="R195" s="19" t="str">
        <x:v>https://arxiv.org/abs/2403.16406</x:v>
      </x:c>
      <x:c r="S195" s="19" t="str">
        <x:v>Appendix/21-item pool</x:v>
      </x:c>
      <x:c r="T195" s="19" t="str">
        <x:v>初始</x:v>
      </x:c>
      <x:c r="U195" s="19" t="str"/>
    </x:row>
    <x:row r="196" ht="47" customHeight="1">
      <x:c r="A196" s="19" t="str">
        <x:v>未决定</x:v>
      </x:c>
      <x:c r="B196" s="19" t="str">
        <x:v>A-直接</x:v>
      </x:c>
      <x:c r="C196" s="19" t="str">
        <x:v>中文自动化信任</x:v>
      </x:c>
      <x:c r="D196" s="19" t="str">
        <x:v>Chinese Human-Automation Trust Scale (C-HATS)</x:v>
      </x:c>
      <x:c r="E196" s="19" t="str">
        <x:v>2025</x:v>
      </x:c>
      <x:c r="F196" s="19" t="str">
        <x:v>Performance</x:v>
      </x:c>
      <x:c r="G196" s="19" t="str">
        <x:v>C-HATS4</x:v>
      </x:c>
      <x:c r="H196" s="19" t="str">
        <x:v>系统能够恰当地执行预设功能。</x:v>
      </x:c>
      <x:c r="I196" s="19" t="str"/>
      <x:c r="J196" s="19" t="str">
        <x:v>正向</x:v>
      </x:c>
      <x:c r="K196" s="19" t="str">
        <x:v>7点：1非常不同意–7非常同意</x:v>
      </x:c>
      <x:c r="L196" s="19" t="str">
        <x:v>中文样本多阶段验证</x:v>
      </x:c>
      <x:c r="M196" s="19" t="str">
        <x:v>总体/每条件</x:v>
      </x:c>
      <x:c r="N196" s="19" t="str">
        <x:v>Performance</x:v>
      </x:c>
      <x:c r="O196" s="19" t="n">
        <x:v>0</x:v>
      </x:c>
      <x:c r="P196" s="19" t="str">
        <x:v>不建议</x:v>
      </x:c>
      <x:c r="Q196" s="19" t="str">
        <x:v>公开附录中文条目之语义整理</x:v>
      </x:c>
      <x:c r="R196" s="19" t="str">
        <x:v>https://arxiv.org/abs/2403.16406</x:v>
      </x:c>
      <x:c r="S196" s="19" t="str">
        <x:v>Appendix/21-item pool</x:v>
      </x:c>
      <x:c r="T196" s="19" t="str">
        <x:v>初始</x:v>
      </x:c>
      <x:c r="U196" s="19" t="str"/>
    </x:row>
    <x:row r="197" ht="47" customHeight="1">
      <x:c r="A197" s="19" t="str">
        <x:v>未决定</x:v>
      </x:c>
      <x:c r="B197" s="19" t="str">
        <x:v>A-直接</x:v>
      </x:c>
      <x:c r="C197" s="19" t="str">
        <x:v>中文自动化信任</x:v>
      </x:c>
      <x:c r="D197" s="19" t="str">
        <x:v>Chinese Human-Automation Trust Scale (C-HATS)</x:v>
      </x:c>
      <x:c r="E197" s="19" t="str">
        <x:v>2025</x:v>
      </x:c>
      <x:c r="F197" s="19" t="str">
        <x:v>Performance</x:v>
      </x:c>
      <x:c r="G197" s="19" t="str">
        <x:v>C-HATS5</x:v>
      </x:c>
      <x:c r="H197" s="19" t="str">
        <x:v>系统能持续一致地应对其预设问题。</x:v>
      </x:c>
      <x:c r="I197" s="19" t="str"/>
      <x:c r="J197" s="19" t="str">
        <x:v>正向</x:v>
      </x:c>
      <x:c r="K197" s="19" t="str">
        <x:v>7点：1非常不同意–7非常同意</x:v>
      </x:c>
      <x:c r="L197" s="19" t="str">
        <x:v>中文样本多阶段验证</x:v>
      </x:c>
      <x:c r="M197" s="19" t="str">
        <x:v>总体/每条件</x:v>
      </x:c>
      <x:c r="N197" s="19" t="str">
        <x:v>性能稳定；可预测；可靠；依赖</x:v>
      </x:c>
      <x:c r="O197" s="19" t="n">
        <x:v>3</x:v>
      </x:c>
      <x:c r="P197" s="19" t="str">
        <x:v>直接候选</x:v>
      </x:c>
      <x:c r="Q197" s="19" t="str">
        <x:v>公开附录中文条目之语义整理</x:v>
      </x:c>
      <x:c r="R197" s="19" t="str">
        <x:v>https://arxiv.org/abs/2403.16406</x:v>
      </x:c>
      <x:c r="S197" s="19" t="str">
        <x:v>Appendix/21-item pool</x:v>
      </x:c>
      <x:c r="T197" s="19" t="str">
        <x:v>后测</x:v>
      </x:c>
      <x:c r="U197" s="19" t="str"/>
    </x:row>
    <x:row r="198" ht="47" customHeight="1">
      <x:c r="A198" s="19" t="str">
        <x:v>未决定</x:v>
      </x:c>
      <x:c r="B198" s="19" t="str">
        <x:v>A-直接</x:v>
      </x:c>
      <x:c r="C198" s="19" t="str">
        <x:v>中文自动化信任</x:v>
      </x:c>
      <x:c r="D198" s="19" t="str">
        <x:v>Chinese Human-Automation Trust Scale (C-HATS)</x:v>
      </x:c>
      <x:c r="E198" s="19" t="str">
        <x:v>2025</x:v>
      </x:c>
      <x:c r="F198" s="19" t="str">
        <x:v>Performance</x:v>
      </x:c>
      <x:c r="G198" s="19" t="str">
        <x:v>C-HATS6</x:v>
      </x:c>
      <x:c r="H198" s="19" t="str">
        <x:v>系统的行为表现是可靠的。</x:v>
      </x:c>
      <x:c r="I198" s="19" t="str"/>
      <x:c r="J198" s="19" t="str">
        <x:v>正向</x:v>
      </x:c>
      <x:c r="K198" s="19" t="str">
        <x:v>7点：1非常不同意–7非常同意</x:v>
      </x:c>
      <x:c r="L198" s="19" t="str">
        <x:v>中文样本多阶段验证</x:v>
      </x:c>
      <x:c r="M198" s="19" t="str">
        <x:v>总体/每条件</x:v>
      </x:c>
      <x:c r="N198" s="19" t="str">
        <x:v>性能稳定；可预测；可靠；依赖</x:v>
      </x:c>
      <x:c r="O198" s="19" t="n">
        <x:v>3</x:v>
      </x:c>
      <x:c r="P198" s="19" t="str">
        <x:v>直接候选</x:v>
      </x:c>
      <x:c r="Q198" s="19" t="str">
        <x:v>公开附录中文条目之语义整理</x:v>
      </x:c>
      <x:c r="R198" s="19" t="str">
        <x:v>https://arxiv.org/abs/2403.16406</x:v>
      </x:c>
      <x:c r="S198" s="19" t="str">
        <x:v>Appendix/21-item pool</x:v>
      </x:c>
      <x:c r="T198" s="19" t="str">
        <x:v>初始+后测</x:v>
      </x:c>
      <x:c r="U198" s="19" t="str"/>
    </x:row>
    <x:row r="199" ht="47" customHeight="1">
      <x:c r="A199" s="19" t="str">
        <x:v>未决定</x:v>
      </x:c>
      <x:c r="B199" s="19" t="str">
        <x:v>A-直接</x:v>
      </x:c>
      <x:c r="C199" s="19" t="str">
        <x:v>中文自动化信任</x:v>
      </x:c>
      <x:c r="D199" s="19" t="str">
        <x:v>Chinese Human-Automation Trust Scale (C-HATS)</x:v>
      </x:c>
      <x:c r="E199" s="19" t="str">
        <x:v>2025</x:v>
      </x:c>
      <x:c r="F199" s="19" t="str">
        <x:v>Performance</x:v>
      </x:c>
      <x:c r="G199" s="19" t="str">
        <x:v>C-HATS7</x:v>
      </x:c>
      <x:c r="H199" s="19" t="str">
        <x:v>系统总能提供真实、可靠的信息。</x:v>
      </x:c>
      <x:c r="I199" s="19" t="str"/>
      <x:c r="J199" s="19" t="str">
        <x:v>正向</x:v>
      </x:c>
      <x:c r="K199" s="19" t="str">
        <x:v>7点：1非常不同意–7非常同意</x:v>
      </x:c>
      <x:c r="L199" s="19" t="str">
        <x:v>中文样本多阶段验证</x:v>
      </x:c>
      <x:c r="M199" s="19" t="str">
        <x:v>总体/每条件</x:v>
      </x:c>
      <x:c r="N199" s="19" t="str">
        <x:v>性能稳定；可预测；可靠；依赖</x:v>
      </x:c>
      <x:c r="O199" s="19" t="n">
        <x:v>3</x:v>
      </x:c>
      <x:c r="P199" s="19" t="str">
        <x:v>直接候选</x:v>
      </x:c>
      <x:c r="Q199" s="19" t="str">
        <x:v>公开附录中文条目之语义整理</x:v>
      </x:c>
      <x:c r="R199" s="19" t="str">
        <x:v>https://arxiv.org/abs/2403.16406</x:v>
      </x:c>
      <x:c r="S199" s="19" t="str">
        <x:v>Appendix/21-item pool</x:v>
      </x:c>
      <x:c r="T199" s="19" t="str">
        <x:v>初始+后测</x:v>
      </x:c>
      <x:c r="U199" s="19" t="str"/>
    </x:row>
    <x:row r="200" ht="47" customHeight="1">
      <x:c r="A200" s="19" t="str">
        <x:v>未决定</x:v>
      </x:c>
      <x:c r="B200" s="19" t="str">
        <x:v>A-直接</x:v>
      </x:c>
      <x:c r="C200" s="19" t="str">
        <x:v>中文自动化信任</x:v>
      </x:c>
      <x:c r="D200" s="19" t="str">
        <x:v>Chinese Human-Automation Trust Scale (C-HATS)</x:v>
      </x:c>
      <x:c r="E200" s="19" t="str">
        <x:v>2025</x:v>
      </x:c>
      <x:c r="F200" s="19" t="str">
        <x:v>Purpose</x:v>
      </x:c>
      <x:c r="G200" s="19" t="str">
        <x:v>C-HATS8</x:v>
      </x:c>
      <x:c r="H200" s="19" t="str">
        <x:v>系统的设计适合其预设应用场景。</x:v>
      </x:c>
      <x:c r="I200" s="19" t="str"/>
      <x:c r="J200" s="19" t="str">
        <x:v>正向</x:v>
      </x:c>
      <x:c r="K200" s="19" t="str">
        <x:v>7点：1非常不同意–7非常同意</x:v>
      </x:c>
      <x:c r="L200" s="19" t="str">
        <x:v>中文样本多阶段验证</x:v>
      </x:c>
      <x:c r="M200" s="19" t="str">
        <x:v>总体/每条件</x:v>
      </x:c>
      <x:c r="N200" s="19" t="str">
        <x:v>Purpose</x:v>
      </x:c>
      <x:c r="O200" s="19" t="n">
        <x:v>0</x:v>
      </x:c>
      <x:c r="P200" s="19" t="str">
        <x:v>不建议</x:v>
      </x:c>
      <x:c r="Q200" s="19" t="str">
        <x:v>公开附录中文条目之语义整理</x:v>
      </x:c>
      <x:c r="R200" s="19" t="str">
        <x:v>https://arxiv.org/abs/2403.16406</x:v>
      </x:c>
      <x:c r="S200" s="19" t="str">
        <x:v>Appendix/21-item pool</x:v>
      </x:c>
      <x:c r="T200" s="19" t="str">
        <x:v>初始</x:v>
      </x:c>
      <x:c r="U200" s="19" t="str"/>
    </x:row>
    <x:row r="201" ht="47" customHeight="1">
      <x:c r="A201" s="19" t="str">
        <x:v>未决定</x:v>
      </x:c>
      <x:c r="B201" s="19" t="str">
        <x:v>A-直接</x:v>
      </x:c>
      <x:c r="C201" s="19" t="str">
        <x:v>中文自动化信任</x:v>
      </x:c>
      <x:c r="D201" s="19" t="str">
        <x:v>Chinese Human-Automation Trust Scale (C-HATS)</x:v>
      </x:c>
      <x:c r="E201" s="19" t="str">
        <x:v>2025</x:v>
      </x:c>
      <x:c r="F201" s="19" t="str">
        <x:v>Purpose</x:v>
      </x:c>
      <x:c r="G201" s="19" t="str">
        <x:v>C-HATS9</x:v>
      </x:c>
      <x:c r="H201" s="19" t="str">
        <x:v>系统的设计符合预期使用目的。</x:v>
      </x:c>
      <x:c r="I201" s="19" t="str"/>
      <x:c r="J201" s="19" t="str">
        <x:v>正向</x:v>
      </x:c>
      <x:c r="K201" s="19" t="str">
        <x:v>7点：1非常不同意–7非常同意</x:v>
      </x:c>
      <x:c r="L201" s="19" t="str">
        <x:v>中文样本多阶段验证</x:v>
      </x:c>
      <x:c r="M201" s="19" t="str">
        <x:v>总体/每条件</x:v>
      </x:c>
      <x:c r="N201" s="19" t="str">
        <x:v>Purpose</x:v>
      </x:c>
      <x:c r="O201" s="19" t="n">
        <x:v>0</x:v>
      </x:c>
      <x:c r="P201" s="19" t="str">
        <x:v>不建议</x:v>
      </x:c>
      <x:c r="Q201" s="19" t="str">
        <x:v>公开附录中文条目之语义整理</x:v>
      </x:c>
      <x:c r="R201" s="19" t="str">
        <x:v>https://arxiv.org/abs/2403.16406</x:v>
      </x:c>
      <x:c r="S201" s="19" t="str">
        <x:v>Appendix/21-item pool</x:v>
      </x:c>
      <x:c r="T201" s="19" t="str">
        <x:v>初始+后测</x:v>
      </x:c>
      <x:c r="U201" s="19" t="str"/>
    </x:row>
    <x:row r="202" ht="47" customHeight="1">
      <x:c r="A202" s="19" t="str">
        <x:v>未决定</x:v>
      </x:c>
      <x:c r="B202" s="19" t="str">
        <x:v>A-直接</x:v>
      </x:c>
      <x:c r="C202" s="19" t="str">
        <x:v>中文自动化信任</x:v>
      </x:c>
      <x:c r="D202" s="19" t="str">
        <x:v>Chinese Human-Automation Trust Scale (C-HATS)</x:v>
      </x:c>
      <x:c r="E202" s="19" t="str">
        <x:v>2025</x:v>
      </x:c>
      <x:c r="F202" s="19" t="str">
        <x:v>Performance/Trust</x:v>
      </x:c>
      <x:c r="G202" s="19" t="str">
        <x:v>C-HATS10</x:v>
      </x:c>
      <x:c r="H202" s="19" t="str">
        <x:v>我能够依赖该系统达到使用目的。</x:v>
      </x:c>
      <x:c r="I202" s="19" t="str"/>
      <x:c r="J202" s="19" t="str">
        <x:v>正向</x:v>
      </x:c>
      <x:c r="K202" s="19" t="str">
        <x:v>7点：1非常不同意–7非常同意</x:v>
      </x:c>
      <x:c r="L202" s="19" t="str">
        <x:v>中文样本多阶段验证</x:v>
      </x:c>
      <x:c r="M202" s="19" t="str">
        <x:v>总体/每条件</x:v>
      </x:c>
      <x:c r="N202" s="19" t="str">
        <x:v>性能稳定；可预测；可靠；依赖</x:v>
      </x:c>
      <x:c r="O202" s="19" t="n">
        <x:v>3</x:v>
      </x:c>
      <x:c r="P202" s="19" t="str">
        <x:v>直接候选</x:v>
      </x:c>
      <x:c r="Q202" s="19" t="str">
        <x:v>公开附录中文条目之语义整理</x:v>
      </x:c>
      <x:c r="R202" s="19" t="str">
        <x:v>https://arxiv.org/abs/2403.16406</x:v>
      </x:c>
      <x:c r="S202" s="19" t="str">
        <x:v>Appendix/21-item pool</x:v>
      </x:c>
      <x:c r="T202" s="19" t="str">
        <x:v>后测</x:v>
      </x:c>
      <x:c r="U202" s="19" t="str"/>
    </x:row>
    <x:row r="203" ht="47" customHeight="1">
      <x:c r="A203" s="19" t="str">
        <x:v>未决定</x:v>
      </x:c>
      <x:c r="B203" s="19" t="str">
        <x:v>A-直接</x:v>
      </x:c>
      <x:c r="C203" s="19" t="str">
        <x:v>中文自动化信任</x:v>
      </x:c>
      <x:c r="D203" s="19" t="str">
        <x:v>Chinese Human-Automation Trust Scale (C-HATS)</x:v>
      </x:c>
      <x:c r="E203" s="19" t="str">
        <x:v>2025</x:v>
      </x:c>
      <x:c r="F203" s="19" t="str">
        <x:v>Process</x:v>
      </x:c>
      <x:c r="G203" s="19" t="str">
        <x:v>C-HATS11</x:v>
      </x:c>
      <x:c r="H203" s="19" t="str">
        <x:v>系统在操作过程中清晰地交流或反馈。</x:v>
      </x:c>
      <x:c r="I203" s="19" t="str"/>
      <x:c r="J203" s="19" t="str">
        <x:v>正向</x:v>
      </x:c>
      <x:c r="K203" s="19" t="str">
        <x:v>7点：1非常不同意–7非常同意</x:v>
      </x:c>
      <x:c r="L203" s="19" t="str">
        <x:v>中文样本多阶段验证</x:v>
      </x:c>
      <x:c r="M203" s="19" t="str">
        <x:v>总体/每条件</x:v>
      </x:c>
      <x:c r="N203" s="19" t="str">
        <x:v>Process</x:v>
      </x:c>
      <x:c r="O203" s="19" t="n">
        <x:v>0</x:v>
      </x:c>
      <x:c r="P203" s="19" t="str">
        <x:v>不建议</x:v>
      </x:c>
      <x:c r="Q203" s="19" t="str">
        <x:v>公开附录中文条目之语义整理</x:v>
      </x:c>
      <x:c r="R203" s="19" t="str">
        <x:v>https://arxiv.org/abs/2403.16406</x:v>
      </x:c>
      <x:c r="S203" s="19" t="str">
        <x:v>Appendix/21-item pool</x:v>
      </x:c>
      <x:c r="T203" s="19" t="str">
        <x:v>候选池</x:v>
      </x:c>
      <x:c r="U203" s="19" t="str"/>
    </x:row>
    <x:row r="204" ht="47" customHeight="1">
      <x:c r="A204" s="19" t="str">
        <x:v>未决定</x:v>
      </x:c>
      <x:c r="B204" s="19" t="str">
        <x:v>A-直接</x:v>
      </x:c>
      <x:c r="C204" s="19" t="str">
        <x:v>中文自动化信任</x:v>
      </x:c>
      <x:c r="D204" s="19" t="str">
        <x:v>Chinese Human-Automation Trust Scale (C-HATS)</x:v>
      </x:c>
      <x:c r="E204" s="19" t="str">
        <x:v>2025</x:v>
      </x:c>
      <x:c r="F204" s="19" t="str">
        <x:v>Purpose</x:v>
      </x:c>
      <x:c r="G204" s="19" t="str">
        <x:v>C-HATS12</x:v>
      </x:c>
      <x:c r="H204" s="19" t="str">
        <x:v>系统遵循应有的设计原则，例如安全原则。</x:v>
      </x:c>
      <x:c r="I204" s="19" t="str"/>
      <x:c r="J204" s="19" t="str">
        <x:v>正向</x:v>
      </x:c>
      <x:c r="K204" s="19" t="str">
        <x:v>7点：1非常不同意–7非常同意</x:v>
      </x:c>
      <x:c r="L204" s="19" t="str">
        <x:v>中文样本多阶段验证</x:v>
      </x:c>
      <x:c r="M204" s="19" t="str">
        <x:v>总体/每条件</x:v>
      </x:c>
      <x:c r="N204" s="19" t="str">
        <x:v>Purpose</x:v>
      </x:c>
      <x:c r="O204" s="19" t="n">
        <x:v>0</x:v>
      </x:c>
      <x:c r="P204" s="19" t="str">
        <x:v>不建议</x:v>
      </x:c>
      <x:c r="Q204" s="19" t="str">
        <x:v>公开附录中文条目之语义整理</x:v>
      </x:c>
      <x:c r="R204" s="19" t="str">
        <x:v>https://arxiv.org/abs/2403.16406</x:v>
      </x:c>
      <x:c r="S204" s="19" t="str">
        <x:v>Appendix/21-item pool</x:v>
      </x:c>
      <x:c r="T204" s="19" t="str">
        <x:v>候选池</x:v>
      </x:c>
      <x:c r="U204" s="19" t="str"/>
    </x:row>
    <x:row r="205" ht="47" customHeight="1">
      <x:c r="A205" s="19" t="str">
        <x:v>未决定</x:v>
      </x:c>
      <x:c r="B205" s="19" t="str">
        <x:v>A-直接</x:v>
      </x:c>
      <x:c r="C205" s="19" t="str">
        <x:v>中文自动化信任</x:v>
      </x:c>
      <x:c r="D205" s="19" t="str">
        <x:v>Chinese Human-Automation Trust Scale (C-HATS)</x:v>
      </x:c>
      <x:c r="E205" s="19" t="str">
        <x:v>2025</x:v>
      </x:c>
      <x:c r="F205" s="19" t="str">
        <x:v>Process</x:v>
      </x:c>
      <x:c r="G205" s="19" t="str">
        <x:v>C-HATS13</x:v>
      </x:c>
      <x:c r="H205" s="19" t="str">
        <x:v>我知道今后如何操作系统以获得所需支持。</x:v>
      </x:c>
      <x:c r="I205" s="19" t="str"/>
      <x:c r="J205" s="19" t="str">
        <x:v>正向</x:v>
      </x:c>
      <x:c r="K205" s="19" t="str">
        <x:v>7点：1非常不同意–7非常同意</x:v>
      </x:c>
      <x:c r="L205" s="19" t="str">
        <x:v>中文样本多阶段验证</x:v>
      </x:c>
      <x:c r="M205" s="19" t="str">
        <x:v>总体/每条件</x:v>
      </x:c>
      <x:c r="N205" s="19" t="str">
        <x:v>Process</x:v>
      </x:c>
      <x:c r="O205" s="19" t="n">
        <x:v>0</x:v>
      </x:c>
      <x:c r="P205" s="19" t="str">
        <x:v>不建议</x:v>
      </x:c>
      <x:c r="Q205" s="19" t="str">
        <x:v>公开附录中文条目之语义整理</x:v>
      </x:c>
      <x:c r="R205" s="19" t="str">
        <x:v>https://arxiv.org/abs/2403.16406</x:v>
      </x:c>
      <x:c r="S205" s="19" t="str">
        <x:v>Appendix/21-item pool</x:v>
      </x:c>
      <x:c r="T205" s="19" t="str">
        <x:v>初始</x:v>
      </x:c>
      <x:c r="U205" s="19" t="str"/>
    </x:row>
    <x:row r="206" ht="47" customHeight="1">
      <x:c r="A206" s="19" t="str">
        <x:v>未决定</x:v>
      </x:c>
      <x:c r="B206" s="19" t="str">
        <x:v>A-直接</x:v>
      </x:c>
      <x:c r="C206" s="19" t="str">
        <x:v>中文自动化信任</x:v>
      </x:c>
      <x:c r="D206" s="19" t="str">
        <x:v>Chinese Human-Automation Trust Scale (C-HATS)</x:v>
      </x:c>
      <x:c r="E206" s="19" t="str">
        <x:v>2025</x:v>
      </x:c>
      <x:c r="F206" s="19" t="str">
        <x:v>Process</x:v>
      </x:c>
      <x:c r="G206" s="19" t="str">
        <x:v>C-HATS14</x:v>
      </x:c>
      <x:c r="H206" s="19" t="str">
        <x:v>我理解该系统的设计原理与工作机制。</x:v>
      </x:c>
      <x:c r="I206" s="19" t="str"/>
      <x:c r="J206" s="19" t="str">
        <x:v>正向</x:v>
      </x:c>
      <x:c r="K206" s="19" t="str">
        <x:v>7点：1非常不同意–7非常同意</x:v>
      </x:c>
      <x:c r="L206" s="19" t="str">
        <x:v>中文样本多阶段验证</x:v>
      </x:c>
      <x:c r="M206" s="19" t="str">
        <x:v>总体/每条件</x:v>
      </x:c>
      <x:c r="N206" s="19" t="str">
        <x:v>Process</x:v>
      </x:c>
      <x:c r="O206" s="19" t="n">
        <x:v>0</x:v>
      </x:c>
      <x:c r="P206" s="19" t="str">
        <x:v>不建议</x:v>
      </x:c>
      <x:c r="Q206" s="19" t="str">
        <x:v>公开附录中文条目之语义整理</x:v>
      </x:c>
      <x:c r="R206" s="19" t="str">
        <x:v>https://arxiv.org/abs/2403.16406</x:v>
      </x:c>
      <x:c r="S206" s="19" t="str">
        <x:v>Appendix/21-item pool</x:v>
      </x:c>
      <x:c r="T206" s="19" t="str">
        <x:v>后测</x:v>
      </x:c>
      <x:c r="U206" s="19" t="str"/>
    </x:row>
    <x:row r="207" ht="47" customHeight="1">
      <x:c r="A207" s="19" t="str">
        <x:v>未决定</x:v>
      </x:c>
      <x:c r="B207" s="19" t="str">
        <x:v>A-直接</x:v>
      </x:c>
      <x:c r="C207" s="19" t="str">
        <x:v>中文自动化信任</x:v>
      </x:c>
      <x:c r="D207" s="19" t="str">
        <x:v>Chinese Human-Automation Trust Scale (C-HATS)</x:v>
      </x:c>
      <x:c r="E207" s="19" t="str">
        <x:v>2025</x:v>
      </x:c>
      <x:c r="F207" s="19" t="str">
        <x:v>Process/Purpose</x:v>
      </x:c>
      <x:c r="G207" s="19" t="str">
        <x:v>C-HATS15</x:v>
      </x:c>
      <x:c r="H207" s="19" t="str">
        <x:v>我清楚系统的设计目标和功能范围。</x:v>
      </x:c>
      <x:c r="I207" s="19" t="str"/>
      <x:c r="J207" s="19" t="str">
        <x:v>正向</x:v>
      </x:c>
      <x:c r="K207" s="19" t="str">
        <x:v>7点：1非常不同意–7非常同意</x:v>
      </x:c>
      <x:c r="L207" s="19" t="str">
        <x:v>中文样本多阶段验证</x:v>
      </x:c>
      <x:c r="M207" s="19" t="str">
        <x:v>总体/每条件</x:v>
      </x:c>
      <x:c r="N207" s="19" t="str">
        <x:v>Process/Purpose</x:v>
      </x:c>
      <x:c r="O207" s="19" t="n">
        <x:v>0</x:v>
      </x:c>
      <x:c r="P207" s="19" t="str">
        <x:v>不建议</x:v>
      </x:c>
      <x:c r="Q207" s="19" t="str">
        <x:v>公开附录中文条目之语义整理</x:v>
      </x:c>
      <x:c r="R207" s="19" t="str">
        <x:v>https://arxiv.org/abs/2403.16406</x:v>
      </x:c>
      <x:c r="S207" s="19" t="str">
        <x:v>Appendix/21-item pool</x:v>
      </x:c>
      <x:c r="T207" s="19" t="str">
        <x:v>初始</x:v>
      </x:c>
      <x:c r="U207" s="19" t="str"/>
    </x:row>
    <x:row r="208" ht="47" customHeight="1">
      <x:c r="A208" s="19" t="str">
        <x:v>未决定</x:v>
      </x:c>
      <x:c r="B208" s="19" t="str">
        <x:v>A-直接</x:v>
      </x:c>
      <x:c r="C208" s="19" t="str">
        <x:v>中文自动化信任</x:v>
      </x:c>
      <x:c r="D208" s="19" t="str">
        <x:v>Chinese Human-Automation Trust Scale (C-HATS)</x:v>
      </x:c>
      <x:c r="E208" s="19" t="str">
        <x:v>2025</x:v>
      </x:c>
      <x:c r="F208" s="19" t="str">
        <x:v>Purpose</x:v>
      </x:c>
      <x:c r="G208" s="19" t="str">
        <x:v>C-HATS16</x:v>
      </x:c>
      <x:c r="H208" s="19" t="str">
        <x:v>我会在系统的功能范围和适用条件内使用它。</x:v>
      </x:c>
      <x:c r="I208" s="19" t="str"/>
      <x:c r="J208" s="19" t="str">
        <x:v>正向</x:v>
      </x:c>
      <x:c r="K208" s="19" t="str">
        <x:v>7点：1非常不同意–7非常同意</x:v>
      </x:c>
      <x:c r="L208" s="19" t="str">
        <x:v>中文样本多阶段验证</x:v>
      </x:c>
      <x:c r="M208" s="19" t="str">
        <x:v>总体/每条件</x:v>
      </x:c>
      <x:c r="N208" s="19" t="str">
        <x:v>Purpose</x:v>
      </x:c>
      <x:c r="O208" s="19" t="n">
        <x:v>0</x:v>
      </x:c>
      <x:c r="P208" s="19" t="str">
        <x:v>不建议</x:v>
      </x:c>
      <x:c r="Q208" s="19" t="str">
        <x:v>公开附录中文条目之语义整理</x:v>
      </x:c>
      <x:c r="R208" s="19" t="str">
        <x:v>https://arxiv.org/abs/2403.16406</x:v>
      </x:c>
      <x:c r="S208" s="19" t="str">
        <x:v>Appendix/21-item pool</x:v>
      </x:c>
      <x:c r="T208" s="19" t="str">
        <x:v>初始+后测</x:v>
      </x:c>
      <x:c r="U208" s="19" t="str"/>
    </x:row>
    <x:row r="209" ht="47" customHeight="1">
      <x:c r="A209" s="19" t="str">
        <x:v>未决定</x:v>
      </x:c>
      <x:c r="B209" s="19" t="str">
        <x:v>A-直接</x:v>
      </x:c>
      <x:c r="C209" s="19" t="str">
        <x:v>中文自动化信任</x:v>
      </x:c>
      <x:c r="D209" s="19" t="str">
        <x:v>Chinese Human-Automation Trust Scale (C-HATS)</x:v>
      </x:c>
      <x:c r="E209" s="19" t="str">
        <x:v>2025</x:v>
      </x:c>
      <x:c r="F209" s="19" t="str">
        <x:v>Reliance</x:v>
      </x:c>
      <x:c r="G209" s="19" t="str">
        <x:v>C-HATS17</x:v>
      </x:c>
      <x:c r="H209" s="19" t="str">
        <x:v>即使不确定问题是否在设计范围内，我仍会尝试使用系统解决难题。</x:v>
      </x:c>
      <x:c r="I209" s="19" t="str"/>
      <x:c r="J209" s="19" t="str">
        <x:v>正向</x:v>
      </x:c>
      <x:c r="K209" s="19" t="str">
        <x:v>7点：1非常不同意–7非常同意</x:v>
      </x:c>
      <x:c r="L209" s="19" t="str">
        <x:v>中文样本多阶段验证</x:v>
      </x:c>
      <x:c r="M209" s="19" t="str">
        <x:v>总体/每条件</x:v>
      </x:c>
      <x:c r="N209" s="19" t="str">
        <x:v>性能稳定；可预测；可靠；依赖</x:v>
      </x:c>
      <x:c r="O209" s="19" t="n">
        <x:v>2</x:v>
      </x:c>
      <x:c r="P209" s="19" t="str">
        <x:v>依赖备选</x:v>
      </x:c>
      <x:c r="Q209" s="19" t="str">
        <x:v>公开附录中文条目之语义整理</x:v>
      </x:c>
      <x:c r="R209" s="19" t="str">
        <x:v>https://arxiv.org/abs/2403.16406</x:v>
      </x:c>
      <x:c r="S209" s="19" t="str">
        <x:v>Appendix/21-item pool</x:v>
      </x:c>
      <x:c r="T209" s="19" t="str">
        <x:v>初始+后测</x:v>
      </x:c>
      <x:c r="U209" s="19" t="str"/>
    </x:row>
    <x:row r="210" ht="47" customHeight="1">
      <x:c r="A210" s="19" t="str">
        <x:v>未决定</x:v>
      </x:c>
      <x:c r="B210" s="19" t="str">
        <x:v>A-直接</x:v>
      </x:c>
      <x:c r="C210" s="19" t="str">
        <x:v>中文自动化信任</x:v>
      </x:c>
      <x:c r="D210" s="19" t="str">
        <x:v>Chinese Human-Automation Trust Scale (C-HATS)</x:v>
      </x:c>
      <x:c r="E210" s="19" t="str">
        <x:v>2025</x:v>
      </x:c>
      <x:c r="F210" s="19" t="str">
        <x:v>Reliance</x:v>
      </x:c>
      <x:c r="G210" s="19" t="str">
        <x:v>C-HATS18</x:v>
      </x:c>
      <x:c r="H210" s="19" t="str">
        <x:v>即使不确定场景是否适用，我仍相信系统会提供合理帮助。</x:v>
      </x:c>
      <x:c r="I210" s="19" t="str"/>
      <x:c r="J210" s="19" t="str">
        <x:v>正向</x:v>
      </x:c>
      <x:c r="K210" s="19" t="str">
        <x:v>7点：1非常不同意–7非常同意</x:v>
      </x:c>
      <x:c r="L210" s="19" t="str">
        <x:v>中文样本多阶段验证</x:v>
      </x:c>
      <x:c r="M210" s="19" t="str">
        <x:v>总体/每条件</x:v>
      </x:c>
      <x:c r="N210" s="19" t="str">
        <x:v>性能稳定；可预测；可靠；依赖</x:v>
      </x:c>
      <x:c r="O210" s="19" t="n">
        <x:v>2</x:v>
      </x:c>
      <x:c r="P210" s="19" t="str">
        <x:v>依赖备选</x:v>
      </x:c>
      <x:c r="Q210" s="19" t="str">
        <x:v>公开附录中文条目之语义整理</x:v>
      </x:c>
      <x:c r="R210" s="19" t="str">
        <x:v>https://arxiv.org/abs/2403.16406</x:v>
      </x:c>
      <x:c r="S210" s="19" t="str">
        <x:v>Appendix/21-item pool</x:v>
      </x:c>
      <x:c r="T210" s="19" t="str">
        <x:v>初始+后测</x:v>
      </x:c>
      <x:c r="U210" s="19" t="str"/>
    </x:row>
    <x:row r="211" ht="47" customHeight="1">
      <x:c r="A211" s="19" t="str">
        <x:v>未决定</x:v>
      </x:c>
      <x:c r="B211" s="19" t="str">
        <x:v>A-直接</x:v>
      </x:c>
      <x:c r="C211" s="19" t="str">
        <x:v>中文自动化信任</x:v>
      </x:c>
      <x:c r="D211" s="19" t="str">
        <x:v>Chinese Human-Automation Trust Scale (C-HATS)</x:v>
      </x:c>
      <x:c r="E211" s="19" t="str">
        <x:v>2025</x:v>
      </x:c>
      <x:c r="F211" s="19" t="str">
        <x:v>Reliance</x:v>
      </x:c>
      <x:c r="G211" s="19" t="str">
        <x:v>C-HATS19</x:v>
      </x:c>
      <x:c r="H211" s="19" t="str">
        <x:v>当我对自己的决定没有把握时，我相信系统会提供最佳方案。</x:v>
      </x:c>
      <x:c r="I211" s="19" t="str"/>
      <x:c r="J211" s="19" t="str">
        <x:v>正向</x:v>
      </x:c>
      <x:c r="K211" s="19" t="str">
        <x:v>7点：1非常不同意–7非常同意</x:v>
      </x:c>
      <x:c r="L211" s="19" t="str">
        <x:v>中文样本多阶段验证</x:v>
      </x:c>
      <x:c r="M211" s="19" t="str">
        <x:v>总体/每条件</x:v>
      </x:c>
      <x:c r="N211" s="19" t="str">
        <x:v>性能稳定；可预测；可靠；依赖</x:v>
      </x:c>
      <x:c r="O211" s="19" t="n">
        <x:v>2</x:v>
      </x:c>
      <x:c r="P211" s="19" t="str">
        <x:v>依赖备选</x:v>
      </x:c>
      <x:c r="Q211" s="19" t="str">
        <x:v>公开附录中文条目之语义整理</x:v>
      </x:c>
      <x:c r="R211" s="19" t="str">
        <x:v>https://arxiv.org/abs/2403.16406</x:v>
      </x:c>
      <x:c r="S211" s="19" t="str">
        <x:v>Appendix/21-item pool</x:v>
      </x:c>
      <x:c r="T211" s="19" t="str">
        <x:v>初始</x:v>
      </x:c>
      <x:c r="U211" s="19" t="str"/>
    </x:row>
    <x:row r="212" ht="47" customHeight="1">
      <x:c r="A212" s="19" t="str">
        <x:v>未决定</x:v>
      </x:c>
      <x:c r="B212" s="19" t="str">
        <x:v>A-直接</x:v>
      </x:c>
      <x:c r="C212" s="19" t="str">
        <x:v>中文自动化信任</x:v>
      </x:c>
      <x:c r="D212" s="19" t="str">
        <x:v>Chinese Human-Automation Trust Scale (C-HATS)</x:v>
      </x:c>
      <x:c r="E212" s="19" t="str">
        <x:v>2025</x:v>
      </x:c>
      <x:c r="F212" s="19" t="str">
        <x:v>Faith</x:v>
      </x:c>
      <x:c r="G212" s="19" t="str">
        <x:v>C-HATS20</x:v>
      </x:c>
      <x:c r="H212" s="19" t="str">
        <x:v>即使知道系统存在漏洞，我仍相信它不会造成问题或伤害。</x:v>
      </x:c>
      <x:c r="I212" s="19" t="str"/>
      <x:c r="J212" s="19" t="str">
        <x:v>正向</x:v>
      </x:c>
      <x:c r="K212" s="19" t="str">
        <x:v>7点：1非常不同意–7非常同意</x:v>
      </x:c>
      <x:c r="L212" s="19" t="str">
        <x:v>中文样本多阶段验证</x:v>
      </x:c>
      <x:c r="M212" s="19" t="str">
        <x:v>总体/每条件</x:v>
      </x:c>
      <x:c r="N212" s="19" t="str">
        <x:v>Faith</x:v>
      </x:c>
      <x:c r="O212" s="19" t="n">
        <x:v>0</x:v>
      </x:c>
      <x:c r="P212" s="19" t="str">
        <x:v>不建议</x:v>
      </x:c>
      <x:c r="Q212" s="19" t="str">
        <x:v>公开附录中文条目之语义整理</x:v>
      </x:c>
      <x:c r="R212" s="19" t="str">
        <x:v>https://arxiv.org/abs/2403.16406</x:v>
      </x:c>
      <x:c r="S212" s="19" t="str">
        <x:v>Appendix/21-item pool</x:v>
      </x:c>
      <x:c r="T212" s="19" t="str">
        <x:v>初始+后测</x:v>
      </x:c>
      <x:c r="U212" s="19" t="str"/>
    </x:row>
    <x:row r="213" ht="47" customHeight="1">
      <x:c r="A213" s="19" t="str">
        <x:v>未决定</x:v>
      </x:c>
      <x:c r="B213" s="19" t="str">
        <x:v>A-直接</x:v>
      </x:c>
      <x:c r="C213" s="19" t="str">
        <x:v>中文自动化信任</x:v>
      </x:c>
      <x:c r="D213" s="19" t="str">
        <x:v>Chinese Human-Automation Trust Scale (C-HATS)</x:v>
      </x:c>
      <x:c r="E213" s="19" t="str">
        <x:v>2025</x:v>
      </x:c>
      <x:c r="F213" s="19" t="str">
        <x:v>Benevolence/Faith</x:v>
      </x:c>
      <x:c r="G213" s="19" t="str">
        <x:v>C-HATS21</x:v>
      </x:c>
      <x:c r="H213" s="19" t="str">
        <x:v>如果系统出错，我可以原谅它，并相信其设计初衷是为用户着想。</x:v>
      </x:c>
      <x:c r="I213" s="19" t="str"/>
      <x:c r="J213" s="19" t="str">
        <x:v>正向</x:v>
      </x:c>
      <x:c r="K213" s="19" t="str">
        <x:v>7点：1非常不同意–7非常同意</x:v>
      </x:c>
      <x:c r="L213" s="19" t="str">
        <x:v>中文样本多阶段验证</x:v>
      </x:c>
      <x:c r="M213" s="19" t="str">
        <x:v>总体/每条件</x:v>
      </x:c>
      <x:c r="N213" s="19" t="str">
        <x:v>Benevolence/Faith</x:v>
      </x:c>
      <x:c r="O213" s="19" t="n">
        <x:v>0</x:v>
      </x:c>
      <x:c r="P213" s="19" t="str">
        <x:v>不建议</x:v>
      </x:c>
      <x:c r="Q213" s="19" t="str">
        <x:v>公开附录中文条目之语义整理</x:v>
      </x:c>
      <x:c r="R213" s="19" t="str">
        <x:v>https://arxiv.org/abs/2403.16406</x:v>
      </x:c>
      <x:c r="S213" s="19" t="str">
        <x:v>Appendix/21-item pool</x:v>
      </x:c>
      <x:c r="T213" s="19" t="str">
        <x:v>初始+后测</x:v>
      </x:c>
      <x:c r="U213" s="19" t="str"/>
    </x:row>
    <x:row r="214" ht="47" customHeight="1">
      <x:c r="A214" s="19" t="str">
        <x:v>未决定</x:v>
      </x:c>
      <x:c r="B214" s="19" t="str">
        <x:v>B-邻近</x:v>
      </x:c>
      <x:c r="C214" s="19" t="str">
        <x:v>系统可信度</x:v>
      </x:c>
      <x:c r="D214" s="19" t="str">
        <x:v>System Trustworthiness Scale (STS)</x:v>
      </x:c>
      <x:c r="E214" s="19" t="str">
        <x:v>2023</x:v>
      </x:c>
      <x:c r="F214" s="19" t="str">
        <x:v>Performance</x:v>
      </x:c>
      <x:c r="G214" s="19" t="str">
        <x:v>P1</x:v>
      </x:c>
      <x:c r="H214" s="19" t="str">
        <x:v>该系统能够有效完成其任务。</x:v>
      </x:c>
      <x:c r="I214" s="19" t="str"/>
      <x:c r="J214" s="19" t="str">
        <x:v>正向</x:v>
      </x:c>
      <x:c r="K214" s="19" t="str">
        <x:v>5点同意度</x:v>
      </x:c>
      <x:c r="L214" s="19" t="str">
        <x:v>已验证</x:v>
      </x:c>
      <x:c r="M214" s="19" t="str">
        <x:v>总体/每条件</x:v>
      </x:c>
      <x:c r="N214" s="19" t="str">
        <x:v>感知性能可信度</x:v>
      </x:c>
      <x:c r="O214" s="19" t="n">
        <x:v>3</x:v>
      </x:c>
      <x:c r="P214" s="19" t="str">
        <x:v>直接候选/完整Performance子量表</x:v>
      </x:c>
      <x:c r="Q214" s="19" t="str">
        <x:v>版权量表；逐项中文语义转述，正式使用需获取原文/许可</x:v>
      </x:c>
      <x:c r="R214" s="19" t="str">
        <x:v>https://doi.org/10.1177/00187208231189000</x:v>
      </x:c>
      <x:c r="S214" s="19" t="str">
        <x:v>Final 15-item STS</x:v>
      </x:c>
      <x:c r="T214" s="19" t="str"/>
      <x:c r="U214" s="19" t="str"/>
    </x:row>
    <x:row r="215" ht="47" customHeight="1">
      <x:c r="A215" s="19" t="str">
        <x:v>未决定</x:v>
      </x:c>
      <x:c r="B215" s="19" t="str">
        <x:v>B-邻近</x:v>
      </x:c>
      <x:c r="C215" s="19" t="str">
        <x:v>系统可信度</x:v>
      </x:c>
      <x:c r="D215" s="19" t="str">
        <x:v>System Trustworthiness Scale (STS)</x:v>
      </x:c>
      <x:c r="E215" s="19" t="str">
        <x:v>2023</x:v>
      </x:c>
      <x:c r="F215" s="19" t="str">
        <x:v>Performance</x:v>
      </x:c>
      <x:c r="G215" s="19" t="str">
        <x:v>P2</x:v>
      </x:c>
      <x:c r="H215" s="19" t="str">
        <x:v>该系统的结果是准确的。</x:v>
      </x:c>
      <x:c r="I215" s="19" t="str"/>
      <x:c r="J215" s="19" t="str">
        <x:v>正向</x:v>
      </x:c>
      <x:c r="K215" s="19" t="str">
        <x:v>5点同意度</x:v>
      </x:c>
      <x:c r="L215" s="19" t="str">
        <x:v>已验证</x:v>
      </x:c>
      <x:c r="M215" s="19" t="str">
        <x:v>总体/每条件</x:v>
      </x:c>
      <x:c r="N215" s="19" t="str">
        <x:v>感知性能可信度</x:v>
      </x:c>
      <x:c r="O215" s="19" t="n">
        <x:v>3</x:v>
      </x:c>
      <x:c r="P215" s="19" t="str">
        <x:v>直接候选/完整Performance子量表</x:v>
      </x:c>
      <x:c r="Q215" s="19" t="str">
        <x:v>版权量表；逐项中文语义转述，正式使用需获取原文/许可</x:v>
      </x:c>
      <x:c r="R215" s="19" t="str">
        <x:v>https://doi.org/10.1177/00187208231189000</x:v>
      </x:c>
      <x:c r="S215" s="19" t="str">
        <x:v>Final 15-item STS</x:v>
      </x:c>
      <x:c r="T215" s="19" t="str"/>
      <x:c r="U215" s="19" t="str"/>
    </x:row>
    <x:row r="216" ht="47" customHeight="1">
      <x:c r="A216" s="19" t="str">
        <x:v>未决定</x:v>
      </x:c>
      <x:c r="B216" s="19" t="str">
        <x:v>B-邻近</x:v>
      </x:c>
      <x:c r="C216" s="19" t="str">
        <x:v>系统可信度</x:v>
      </x:c>
      <x:c r="D216" s="19" t="str">
        <x:v>System Trustworthiness Scale (STS)</x:v>
      </x:c>
      <x:c r="E216" s="19" t="str">
        <x:v>2023</x:v>
      </x:c>
      <x:c r="F216" s="19" t="str">
        <x:v>Performance</x:v>
      </x:c>
      <x:c r="G216" s="19" t="str">
        <x:v>P3</x:v>
      </x:c>
      <x:c r="H216" s="19" t="str">
        <x:v>该系统是可靠的。</x:v>
      </x:c>
      <x:c r="I216" s="19" t="str"/>
      <x:c r="J216" s="19" t="str">
        <x:v>正向</x:v>
      </x:c>
      <x:c r="K216" s="19" t="str">
        <x:v>5点同意度</x:v>
      </x:c>
      <x:c r="L216" s="19" t="str">
        <x:v>已验证</x:v>
      </x:c>
      <x:c r="M216" s="19" t="str">
        <x:v>总体/每条件</x:v>
      </x:c>
      <x:c r="N216" s="19" t="str">
        <x:v>感知性能可信度</x:v>
      </x:c>
      <x:c r="O216" s="19" t="n">
        <x:v>3</x:v>
      </x:c>
      <x:c r="P216" s="19" t="str">
        <x:v>直接候选/完整Performance子量表</x:v>
      </x:c>
      <x:c r="Q216" s="19" t="str">
        <x:v>版权量表；逐项中文语义转述，正式使用需获取原文/许可</x:v>
      </x:c>
      <x:c r="R216" s="19" t="str">
        <x:v>https://doi.org/10.1177/00187208231189000</x:v>
      </x:c>
      <x:c r="S216" s="19" t="str">
        <x:v>Final 15-item STS</x:v>
      </x:c>
      <x:c r="T216" s="19" t="str"/>
      <x:c r="U216" s="19" t="str"/>
    </x:row>
    <x:row r="217" ht="47" customHeight="1">
      <x:c r="A217" s="19" t="str">
        <x:v>未决定</x:v>
      </x:c>
      <x:c r="B217" s="19" t="str">
        <x:v>B-邻近</x:v>
      </x:c>
      <x:c r="C217" s="19" t="str">
        <x:v>系统可信度</x:v>
      </x:c>
      <x:c r="D217" s="19" t="str">
        <x:v>System Trustworthiness Scale (STS)</x:v>
      </x:c>
      <x:c r="E217" s="19" t="str">
        <x:v>2023</x:v>
      </x:c>
      <x:c r="F217" s="19" t="str">
        <x:v>Performance</x:v>
      </x:c>
      <x:c r="G217" s="19" t="str">
        <x:v>P4</x:v>
      </x:c>
      <x:c r="H217" s="19" t="str">
        <x:v>该系统不能胜任其任务。</x:v>
      </x:c>
      <x:c r="I217" s="19" t="str"/>
      <x:c r="J217" s="19" t="str">
        <x:v>反向</x:v>
      </x:c>
      <x:c r="K217" s="19" t="str">
        <x:v>5点同意度</x:v>
      </x:c>
      <x:c r="L217" s="19" t="str">
        <x:v>已验证</x:v>
      </x:c>
      <x:c r="M217" s="19" t="str">
        <x:v>总体/每条件</x:v>
      </x:c>
      <x:c r="N217" s="19" t="str">
        <x:v>感知性能可信度</x:v>
      </x:c>
      <x:c r="O217" s="19" t="n">
        <x:v>3</x:v>
      </x:c>
      <x:c r="P217" s="19" t="str">
        <x:v>直接候选/完整Performance子量表</x:v>
      </x:c>
      <x:c r="Q217" s="19" t="str">
        <x:v>版权量表；逐项中文语义转述，正式使用需获取原文/许可</x:v>
      </x:c>
      <x:c r="R217" s="19" t="str">
        <x:v>https://doi.org/10.1177/00187208231189000</x:v>
      </x:c>
      <x:c r="S217" s="19" t="str">
        <x:v>Final 15-item STS</x:v>
      </x:c>
      <x:c r="T217" s="19" t="str"/>
      <x:c r="U217" s="19" t="str"/>
    </x:row>
    <x:row r="218" ht="47" customHeight="1">
      <x:c r="A218" s="19" t="str">
        <x:v>未决定</x:v>
      </x:c>
      <x:c r="B218" s="19" t="str">
        <x:v>B-邻近</x:v>
      </x:c>
      <x:c r="C218" s="19" t="str">
        <x:v>系统可信度</x:v>
      </x:c>
      <x:c r="D218" s="19" t="str">
        <x:v>System Trustworthiness Scale (STS)</x:v>
      </x:c>
      <x:c r="E218" s="19" t="str">
        <x:v>2023</x:v>
      </x:c>
      <x:c r="F218" s="19" t="str">
        <x:v>Performance</x:v>
      </x:c>
      <x:c r="G218" s="19" t="str">
        <x:v>P5</x:v>
      </x:c>
      <x:c r="H218" s="19" t="str">
        <x:v>该系统把工作完成得很好。</x:v>
      </x:c>
      <x:c r="I218" s="19" t="str"/>
      <x:c r="J218" s="19" t="str">
        <x:v>正向</x:v>
      </x:c>
      <x:c r="K218" s="19" t="str">
        <x:v>5点同意度</x:v>
      </x:c>
      <x:c r="L218" s="19" t="str">
        <x:v>已验证</x:v>
      </x:c>
      <x:c r="M218" s="19" t="str">
        <x:v>总体/每条件</x:v>
      </x:c>
      <x:c r="N218" s="19" t="str">
        <x:v>感知性能可信度</x:v>
      </x:c>
      <x:c r="O218" s="19" t="n">
        <x:v>3</x:v>
      </x:c>
      <x:c r="P218" s="19" t="str">
        <x:v>直接候选/完整Performance子量表</x:v>
      </x:c>
      <x:c r="Q218" s="19" t="str">
        <x:v>版权量表；逐项中文语义转述，正式使用需获取原文/许可</x:v>
      </x:c>
      <x:c r="R218" s="19" t="str">
        <x:v>https://doi.org/10.1177/00187208231189000</x:v>
      </x:c>
      <x:c r="S218" s="19" t="str">
        <x:v>Final 15-item STS</x:v>
      </x:c>
      <x:c r="T218" s="19" t="str"/>
      <x:c r="U218" s="19" t="str"/>
    </x:row>
    <x:row r="219" ht="47" customHeight="1">
      <x:c r="A219" s="19" t="str">
        <x:v>未决定</x:v>
      </x:c>
      <x:c r="B219" s="19" t="str">
        <x:v>B-邻近</x:v>
      </x:c>
      <x:c r="C219" s="19" t="str">
        <x:v>系统可信度</x:v>
      </x:c>
      <x:c r="D219" s="19" t="str">
        <x:v>System Trustworthiness Scale (STS)</x:v>
      </x:c>
      <x:c r="E219" s="19" t="str">
        <x:v>2023</x:v>
      </x:c>
      <x:c r="F219" s="19" t="str">
        <x:v>Purpose</x:v>
      </x:c>
      <x:c r="G219" s="19" t="str">
        <x:v>PU1</x:v>
      </x:c>
      <x:c r="H219" s="19" t="str">
        <x:v>该系统是专门为当前任务设计的。</x:v>
      </x:c>
      <x:c r="I219" s="19" t="str"/>
      <x:c r="J219" s="19" t="str">
        <x:v>正向</x:v>
      </x:c>
      <x:c r="K219" s="19" t="str">
        <x:v>5点同意度</x:v>
      </x:c>
      <x:c r="L219" s="19" t="str">
        <x:v>已验证</x:v>
      </x:c>
      <x:c r="M219" s="19" t="str">
        <x:v>总体/每条件</x:v>
      </x:c>
      <x:c r="N219" s="19" t="str">
        <x:v>Purpose</x:v>
      </x:c>
      <x:c r="O219" s="19" t="n">
        <x:v>0</x:v>
      </x:c>
      <x:c r="P219" s="19" t="str">
        <x:v>不建议</x:v>
      </x:c>
      <x:c r="Q219" s="19" t="str">
        <x:v>版权量表；逐项中文语义转述，正式使用需获取原文/许可</x:v>
      </x:c>
      <x:c r="R219" s="19" t="str">
        <x:v>https://doi.org/10.1177/00187208231189000</x:v>
      </x:c>
      <x:c r="S219" s="19" t="str">
        <x:v>Final 15-item STS</x:v>
      </x:c>
      <x:c r="T219" s="19" t="str"/>
      <x:c r="U219" s="19" t="str"/>
    </x:row>
    <x:row r="220" ht="47" customHeight="1">
      <x:c r="A220" s="19" t="str">
        <x:v>未决定</x:v>
      </x:c>
      <x:c r="B220" s="19" t="str">
        <x:v>B-邻近</x:v>
      </x:c>
      <x:c r="C220" s="19" t="str">
        <x:v>系统可信度</x:v>
      </x:c>
      <x:c r="D220" s="19" t="str">
        <x:v>System Trustworthiness Scale (STS)</x:v>
      </x:c>
      <x:c r="E220" s="19" t="str">
        <x:v>2023</x:v>
      </x:c>
      <x:c r="F220" s="19" t="str">
        <x:v>Purpose</x:v>
      </x:c>
      <x:c r="G220" s="19" t="str">
        <x:v>PU2</x:v>
      </x:c>
      <x:c r="H220" s="19" t="str">
        <x:v>该系统执行了设计者希望它执行的事情。</x:v>
      </x:c>
      <x:c r="I220" s="19" t="str"/>
      <x:c r="J220" s="19" t="str">
        <x:v>正向</x:v>
      </x:c>
      <x:c r="K220" s="19" t="str">
        <x:v>5点同意度</x:v>
      </x:c>
      <x:c r="L220" s="19" t="str">
        <x:v>已验证</x:v>
      </x:c>
      <x:c r="M220" s="19" t="str">
        <x:v>总体/每条件</x:v>
      </x:c>
      <x:c r="N220" s="19" t="str">
        <x:v>Purpose</x:v>
      </x:c>
      <x:c r="O220" s="19" t="n">
        <x:v>0</x:v>
      </x:c>
      <x:c r="P220" s="19" t="str">
        <x:v>不建议</x:v>
      </x:c>
      <x:c r="Q220" s="19" t="str">
        <x:v>版权量表；逐项中文语义转述，正式使用需获取原文/许可</x:v>
      </x:c>
      <x:c r="R220" s="19" t="str">
        <x:v>https://doi.org/10.1177/00187208231189000</x:v>
      </x:c>
      <x:c r="S220" s="19" t="str">
        <x:v>Final 15-item STS</x:v>
      </x:c>
      <x:c r="T220" s="19" t="str"/>
      <x:c r="U220" s="19" t="str"/>
    </x:row>
    <x:row r="221" ht="47" customHeight="1">
      <x:c r="A221" s="19" t="str">
        <x:v>未决定</x:v>
      </x:c>
      <x:c r="B221" s="19" t="str">
        <x:v>B-邻近</x:v>
      </x:c>
      <x:c r="C221" s="19" t="str">
        <x:v>系统可信度</x:v>
      </x:c>
      <x:c r="D221" s="19" t="str">
        <x:v>System Trustworthiness Scale (STS)</x:v>
      </x:c>
      <x:c r="E221" s="19" t="str">
        <x:v>2023</x:v>
      </x:c>
      <x:c r="F221" s="19" t="str">
        <x:v>Purpose</x:v>
      </x:c>
      <x:c r="G221" s="19" t="str">
        <x:v>PU3</x:v>
      </x:c>
      <x:c r="H221" s="19" t="str">
        <x:v>该系统的使用方式符合创建者的意图。</x:v>
      </x:c>
      <x:c r="I221" s="19" t="str"/>
      <x:c r="J221" s="19" t="str">
        <x:v>正向</x:v>
      </x:c>
      <x:c r="K221" s="19" t="str">
        <x:v>5点同意度</x:v>
      </x:c>
      <x:c r="L221" s="19" t="str">
        <x:v>已验证</x:v>
      </x:c>
      <x:c r="M221" s="19" t="str">
        <x:v>总体/每条件</x:v>
      </x:c>
      <x:c r="N221" s="19" t="str">
        <x:v>Purpose</x:v>
      </x:c>
      <x:c r="O221" s="19" t="n">
        <x:v>0</x:v>
      </x:c>
      <x:c r="P221" s="19" t="str">
        <x:v>不建议</x:v>
      </x:c>
      <x:c r="Q221" s="19" t="str">
        <x:v>版权量表；逐项中文语义转述，正式使用需获取原文/许可</x:v>
      </x:c>
      <x:c r="R221" s="19" t="str">
        <x:v>https://doi.org/10.1177/00187208231189000</x:v>
      </x:c>
      <x:c r="S221" s="19" t="str">
        <x:v>Final 15-item STS</x:v>
      </x:c>
      <x:c r="T221" s="19" t="str"/>
      <x:c r="U221" s="19" t="str"/>
    </x:row>
    <x:row r="222" ht="47" customHeight="1">
      <x:c r="A222" s="19" t="str">
        <x:v>未决定</x:v>
      </x:c>
      <x:c r="B222" s="19" t="str">
        <x:v>B-邻近</x:v>
      </x:c>
      <x:c r="C222" s="19" t="str">
        <x:v>系统可信度</x:v>
      </x:c>
      <x:c r="D222" s="19" t="str">
        <x:v>System Trustworthiness Scale (STS)</x:v>
      </x:c>
      <x:c r="E222" s="19" t="str">
        <x:v>2023</x:v>
      </x:c>
      <x:c r="F222" s="19" t="str">
        <x:v>Purpose</x:v>
      </x:c>
      <x:c r="G222" s="19" t="str">
        <x:v>PU4</x:v>
      </x:c>
      <x:c r="H222" s="19" t="str">
        <x:v>当前使用方式符合该系统的预定用途。</x:v>
      </x:c>
      <x:c r="I222" s="19" t="str"/>
      <x:c r="J222" s="19" t="str">
        <x:v>正向</x:v>
      </x:c>
      <x:c r="K222" s="19" t="str">
        <x:v>5点同意度</x:v>
      </x:c>
      <x:c r="L222" s="19" t="str">
        <x:v>已验证</x:v>
      </x:c>
      <x:c r="M222" s="19" t="str">
        <x:v>总体/每条件</x:v>
      </x:c>
      <x:c r="N222" s="19" t="str">
        <x:v>Purpose</x:v>
      </x:c>
      <x:c r="O222" s="19" t="n">
        <x:v>0</x:v>
      </x:c>
      <x:c r="P222" s="19" t="str">
        <x:v>不建议</x:v>
      </x:c>
      <x:c r="Q222" s="19" t="str">
        <x:v>版权量表；逐项中文语义转述，正式使用需获取原文/许可</x:v>
      </x:c>
      <x:c r="R222" s="19" t="str">
        <x:v>https://doi.org/10.1177/00187208231189000</x:v>
      </x:c>
      <x:c r="S222" s="19" t="str">
        <x:v>Final 15-item STS</x:v>
      </x:c>
      <x:c r="T222" s="19" t="str"/>
      <x:c r="U222" s="19" t="str"/>
    </x:row>
    <x:row r="223" ht="47" customHeight="1">
      <x:c r="A223" s="19" t="str">
        <x:v>未决定</x:v>
      </x:c>
      <x:c r="B223" s="19" t="str">
        <x:v>B-邻近</x:v>
      </x:c>
      <x:c r="C223" s="19" t="str">
        <x:v>系统可信度</x:v>
      </x:c>
      <x:c r="D223" s="19" t="str">
        <x:v>System Trustworthiness Scale (STS)</x:v>
      </x:c>
      <x:c r="E223" s="19" t="str">
        <x:v>2023</x:v>
      </x:c>
      <x:c r="F223" s="19" t="str">
        <x:v>Purpose</x:v>
      </x:c>
      <x:c r="G223" s="19" t="str">
        <x:v>PU5</x:v>
      </x:c>
      <x:c r="H223" s="19" t="str">
        <x:v>该系统被设计用于在当前情境中帮助用户。</x:v>
      </x:c>
      <x:c r="I223" s="19" t="str"/>
      <x:c r="J223" s="19" t="str">
        <x:v>正向</x:v>
      </x:c>
      <x:c r="K223" s="19" t="str">
        <x:v>5点同意度</x:v>
      </x:c>
      <x:c r="L223" s="19" t="str">
        <x:v>已验证</x:v>
      </x:c>
      <x:c r="M223" s="19" t="str">
        <x:v>总体/每条件</x:v>
      </x:c>
      <x:c r="N223" s="19" t="str">
        <x:v>Purpose</x:v>
      </x:c>
      <x:c r="O223" s="19" t="n">
        <x:v>0</x:v>
      </x:c>
      <x:c r="P223" s="19" t="str">
        <x:v>不建议</x:v>
      </x:c>
      <x:c r="Q223" s="19" t="str">
        <x:v>版权量表；逐项中文语义转述，正式使用需获取原文/许可</x:v>
      </x:c>
      <x:c r="R223" s="19" t="str">
        <x:v>https://doi.org/10.1177/00187208231189000</x:v>
      </x:c>
      <x:c r="S223" s="19" t="str">
        <x:v>Final 15-item STS</x:v>
      </x:c>
      <x:c r="T223" s="19" t="str"/>
      <x:c r="U223" s="19" t="str"/>
    </x:row>
    <x:row r="224" ht="47" customHeight="1">
      <x:c r="A224" s="19" t="str">
        <x:v>未决定</x:v>
      </x:c>
      <x:c r="B224" s="19" t="str">
        <x:v>B-邻近</x:v>
      </x:c>
      <x:c r="C224" s="19" t="str">
        <x:v>系统可信度</x:v>
      </x:c>
      <x:c r="D224" s="19" t="str">
        <x:v>System Trustworthiness Scale (STS)</x:v>
      </x:c>
      <x:c r="E224" s="19" t="str">
        <x:v>2023</x:v>
      </x:c>
      <x:c r="F224" s="19" t="str">
        <x:v>Process</x:v>
      </x:c>
      <x:c r="G224" s="19" t="str">
        <x:v>PR1</x:v>
      </x:c>
      <x:c r="H224" s="19" t="str">
        <x:v>我理解该系统应该如何工作。</x:v>
      </x:c>
      <x:c r="I224" s="19" t="str"/>
      <x:c r="J224" s="19" t="str">
        <x:v>正向</x:v>
      </x:c>
      <x:c r="K224" s="19" t="str">
        <x:v>5点同意度</x:v>
      </x:c>
      <x:c r="L224" s="19" t="str">
        <x:v>已验证</x:v>
      </x:c>
      <x:c r="M224" s="19" t="str">
        <x:v>总体/每条件</x:v>
      </x:c>
      <x:c r="N224" s="19" t="str">
        <x:v>Process</x:v>
      </x:c>
      <x:c r="O224" s="19" t="n">
        <x:v>0</x:v>
      </x:c>
      <x:c r="P224" s="19" t="str">
        <x:v>不建议</x:v>
      </x:c>
      <x:c r="Q224" s="19" t="str">
        <x:v>版权量表；逐项中文语义转述，正式使用需获取原文/许可</x:v>
      </x:c>
      <x:c r="R224" s="19" t="str">
        <x:v>https://doi.org/10.1177/00187208231189000</x:v>
      </x:c>
      <x:c r="S224" s="19" t="str">
        <x:v>Final 15-item STS</x:v>
      </x:c>
      <x:c r="T224" s="19" t="str"/>
      <x:c r="U224" s="19" t="str"/>
    </x:row>
    <x:row r="225" ht="47" customHeight="1">
      <x:c r="A225" s="19" t="str">
        <x:v>未决定</x:v>
      </x:c>
      <x:c r="B225" s="19" t="str">
        <x:v>B-邻近</x:v>
      </x:c>
      <x:c r="C225" s="19" t="str">
        <x:v>系统可信度</x:v>
      </x:c>
      <x:c r="D225" s="19" t="str">
        <x:v>System Trustworthiness Scale (STS)</x:v>
      </x:c>
      <x:c r="E225" s="19" t="str">
        <x:v>2023</x:v>
      </x:c>
      <x:c r="F225" s="19" t="str">
        <x:v>Process</x:v>
      </x:c>
      <x:c r="G225" s="19" t="str">
        <x:v>PR2</x:v>
      </x:c>
      <x:c r="H225" s="19" t="str">
        <x:v>该系统能够传达其推理或工作依据。</x:v>
      </x:c>
      <x:c r="I225" s="19" t="str"/>
      <x:c r="J225" s="19" t="str">
        <x:v>正向</x:v>
      </x:c>
      <x:c r="K225" s="19" t="str">
        <x:v>5点同意度</x:v>
      </x:c>
      <x:c r="L225" s="19" t="str">
        <x:v>已验证</x:v>
      </x:c>
      <x:c r="M225" s="19" t="str">
        <x:v>总体/每条件</x:v>
      </x:c>
      <x:c r="N225" s="19" t="str">
        <x:v>Process</x:v>
      </x:c>
      <x:c r="O225" s="19" t="n">
        <x:v>0</x:v>
      </x:c>
      <x:c r="P225" s="19" t="str">
        <x:v>不建议</x:v>
      </x:c>
      <x:c r="Q225" s="19" t="str">
        <x:v>版权量表；逐项中文语义转述，正式使用需获取原文/许可</x:v>
      </x:c>
      <x:c r="R225" s="19" t="str">
        <x:v>https://doi.org/10.1177/00187208231189000</x:v>
      </x:c>
      <x:c r="S225" s="19" t="str">
        <x:v>Final 15-item STS</x:v>
      </x:c>
      <x:c r="T225" s="19" t="str"/>
      <x:c r="U225" s="19" t="str"/>
    </x:row>
    <x:row r="226" ht="47" customHeight="1">
      <x:c r="A226" s="19" t="str">
        <x:v>未决定</x:v>
      </x:c>
      <x:c r="B226" s="19" t="str">
        <x:v>B-邻近</x:v>
      </x:c>
      <x:c r="C226" s="19" t="str">
        <x:v>系统可信度</x:v>
      </x:c>
      <x:c r="D226" s="19" t="str">
        <x:v>System Trustworthiness Scale (STS)</x:v>
      </x:c>
      <x:c r="E226" s="19" t="str">
        <x:v>2023</x:v>
      </x:c>
      <x:c r="F226" s="19" t="str">
        <x:v>Process</x:v>
      </x:c>
      <x:c r="G226" s="19" t="str">
        <x:v>PR3</x:v>
      </x:c>
      <x:c r="H226" s="19" t="str">
        <x:v>该系统的运行或决策过程是透明的。</x:v>
      </x:c>
      <x:c r="I226" s="19" t="str"/>
      <x:c r="J226" s="19" t="str">
        <x:v>正向</x:v>
      </x:c>
      <x:c r="K226" s="19" t="str">
        <x:v>5点同意度</x:v>
      </x:c>
      <x:c r="L226" s="19" t="str">
        <x:v>已验证</x:v>
      </x:c>
      <x:c r="M226" s="19" t="str">
        <x:v>总体/每条件</x:v>
      </x:c>
      <x:c r="N226" s="19" t="str">
        <x:v>Process</x:v>
      </x:c>
      <x:c r="O226" s="19" t="n">
        <x:v>0</x:v>
      </x:c>
      <x:c r="P226" s="19" t="str">
        <x:v>不建议</x:v>
      </x:c>
      <x:c r="Q226" s="19" t="str">
        <x:v>版权量表；逐项中文语义转述，正式使用需获取原文/许可</x:v>
      </x:c>
      <x:c r="R226" s="19" t="str">
        <x:v>https://doi.org/10.1177/00187208231189000</x:v>
      </x:c>
      <x:c r="S226" s="19" t="str">
        <x:v>Final 15-item STS</x:v>
      </x:c>
      <x:c r="T226" s="19" t="str"/>
      <x:c r="U226" s="19" t="str"/>
    </x:row>
    <x:row r="227" ht="47" customHeight="1">
      <x:c r="A227" s="19" t="str">
        <x:v>未决定</x:v>
      </x:c>
      <x:c r="B227" s="19" t="str">
        <x:v>B-邻近</x:v>
      </x:c>
      <x:c r="C227" s="19" t="str">
        <x:v>系统可信度</x:v>
      </x:c>
      <x:c r="D227" s="19" t="str">
        <x:v>System Trustworthiness Scale (STS)</x:v>
      </x:c>
      <x:c r="E227" s="19" t="str">
        <x:v>2023</x:v>
      </x:c>
      <x:c r="F227" s="19" t="str">
        <x:v>Process</x:v>
      </x:c>
      <x:c r="G227" s="19" t="str">
        <x:v>PR4</x:v>
      </x:c>
      <x:c r="H227" s="19" t="str">
        <x:v>我清楚该系统如何作出决定。</x:v>
      </x:c>
      <x:c r="I227" s="19" t="str"/>
      <x:c r="J227" s="19" t="str">
        <x:v>正向</x:v>
      </x:c>
      <x:c r="K227" s="19" t="str">
        <x:v>5点同意度</x:v>
      </x:c>
      <x:c r="L227" s="19" t="str">
        <x:v>已验证</x:v>
      </x:c>
      <x:c r="M227" s="19" t="str">
        <x:v>总体/每条件</x:v>
      </x:c>
      <x:c r="N227" s="19" t="str">
        <x:v>Process</x:v>
      </x:c>
      <x:c r="O227" s="19" t="n">
        <x:v>0</x:v>
      </x:c>
      <x:c r="P227" s="19" t="str">
        <x:v>不建议</x:v>
      </x:c>
      <x:c r="Q227" s="19" t="str">
        <x:v>版权量表；逐项中文语义转述，正式使用需获取原文/许可</x:v>
      </x:c>
      <x:c r="R227" s="19" t="str">
        <x:v>https://doi.org/10.1177/00187208231189000</x:v>
      </x:c>
      <x:c r="S227" s="19" t="str">
        <x:v>Final 15-item STS</x:v>
      </x:c>
      <x:c r="T227" s="19" t="str"/>
      <x:c r="U227" s="19" t="str"/>
    </x:row>
    <x:row r="228" ht="47" customHeight="1">
      <x:c r="A228" s="19" t="str">
        <x:v>未决定</x:v>
      </x:c>
      <x:c r="B228" s="19" t="str">
        <x:v>B-邻近</x:v>
      </x:c>
      <x:c r="C228" s="19" t="str">
        <x:v>系统可信度</x:v>
      </x:c>
      <x:c r="D228" s="19" t="str">
        <x:v>System Trustworthiness Scale (STS)</x:v>
      </x:c>
      <x:c r="E228" s="19" t="str">
        <x:v>2023</x:v>
      </x:c>
      <x:c r="F228" s="19" t="str">
        <x:v>Process</x:v>
      </x:c>
      <x:c r="G228" s="19" t="str">
        <x:v>PR5</x:v>
      </x:c>
      <x:c r="H228" s="19" t="str">
        <x:v>我清楚该系统如何完成任务。</x:v>
      </x:c>
      <x:c r="I228" s="19" t="str"/>
      <x:c r="J228" s="19" t="str">
        <x:v>正向</x:v>
      </x:c>
      <x:c r="K228" s="19" t="str">
        <x:v>5点同意度</x:v>
      </x:c>
      <x:c r="L228" s="19" t="str">
        <x:v>已验证</x:v>
      </x:c>
      <x:c r="M228" s="19" t="str">
        <x:v>总体/每条件</x:v>
      </x:c>
      <x:c r="N228" s="19" t="str">
        <x:v>Process</x:v>
      </x:c>
      <x:c r="O228" s="19" t="n">
        <x:v>0</x:v>
      </x:c>
      <x:c r="P228" s="19" t="str">
        <x:v>不建议</x:v>
      </x:c>
      <x:c r="Q228" s="19" t="str">
        <x:v>版权量表；逐项中文语义转述，正式使用需获取原文/许可</x:v>
      </x:c>
      <x:c r="R228" s="19" t="str">
        <x:v>https://doi.org/10.1177/00187208231189000</x:v>
      </x:c>
      <x:c r="S228" s="19" t="str">
        <x:v>Final 15-item STS</x:v>
      </x:c>
      <x:c r="T228" s="19" t="str"/>
      <x:c r="U228" s="19" t="str"/>
    </x:row>
    <x:row r="229" ht="47" customHeight="1">
      <x:c r="A229" s="19" t="str">
        <x:v>未决定</x:v>
      </x:c>
      <x:c r="B229" s="19" t="str">
        <x:v>B-邻近</x:v>
      </x:c>
      <x:c r="C229" s="19" t="str">
        <x:v>人机信任</x:v>
      </x:c>
      <x:c r="D229" s="19" t="str">
        <x:v>Human-Computer Trust (HCT)</x:v>
      </x:c>
      <x:c r="E229" s="19" t="str">
        <x:v>2000</x:v>
      </x:c>
      <x:c r="F229" s="19" t="str">
        <x:v>Perceived Reliability</x:v>
      </x:c>
      <x:c r="G229" s="19" t="str">
        <x:v>PR1</x:v>
      </x:c>
      <x:c r="H229" s="19" t="str">
        <x:v>该系统持续提供我所需要的支持或建议。</x:v>
      </x:c>
      <x:c r="I229" s="19" t="str"/>
      <x:c r="J229" s="19" t="str">
        <x:v>正向</x:v>
      </x:c>
      <x:c r="K229" s="19" t="str">
        <x:v>5点同意度</x:v>
      </x:c>
      <x:c r="L229" s="19" t="str">
        <x:v>早期多维量表；需核对版本</x:v>
      </x:c>
      <x:c r="M229" s="19" t="str">
        <x:v>总体/每条件</x:v>
      </x:c>
      <x:c r="N229" s="19" t="str">
        <x:v>可靠性；依赖；信任</x:v>
      </x:c>
      <x:c r="O229" s="19" t="n">
        <x:v>3</x:v>
      </x:c>
      <x:c r="P229" s="19" t="str">
        <x:v>候选子量表</x:v>
      </x:c>
      <x:c r="Q229" s="19" t="str">
        <x:v>逐项语义重构；不是官方中文译本</x:v>
      </x:c>
      <x:c r="R229" s="19" t="str">
        <x:v>https://www.researchgate.net/publication/243774961_Human-Computer_Trust</x:v>
      </x:c>
      <x:c r="S229" s="19" t="str">
        <x:v>Madsen &amp; Gregor 2000 scale</x:v>
      </x:c>
      <x:c r="T229" s="19" t="str"/>
      <x:c r="U229" s="19" t="str">
        <x:v>语义重构；正式使用必须核对原量表逐字文本</x:v>
      </x:c>
    </x:row>
    <x:row r="230" ht="47" customHeight="1">
      <x:c r="A230" s="19" t="str">
        <x:v>未决定</x:v>
      </x:c>
      <x:c r="B230" s="19" t="str">
        <x:v>B-邻近</x:v>
      </x:c>
      <x:c r="C230" s="19" t="str">
        <x:v>人机信任</x:v>
      </x:c>
      <x:c r="D230" s="19" t="str">
        <x:v>Human-Computer Trust (HCT)</x:v>
      </x:c>
      <x:c r="E230" s="19" t="str">
        <x:v>2000</x:v>
      </x:c>
      <x:c r="F230" s="19" t="str">
        <x:v>Perceived Reliability</x:v>
      </x:c>
      <x:c r="G230" s="19" t="str">
        <x:v>PR2</x:v>
      </x:c>
      <x:c r="H230" s="19" t="str">
        <x:v>该系统运行可靠。</x:v>
      </x:c>
      <x:c r="I230" s="19" t="str"/>
      <x:c r="J230" s="19" t="str">
        <x:v>正向</x:v>
      </x:c>
      <x:c r="K230" s="19" t="str">
        <x:v>5点同意度</x:v>
      </x:c>
      <x:c r="L230" s="19" t="str">
        <x:v>早期多维量表；需核对版本</x:v>
      </x:c>
      <x:c r="M230" s="19" t="str">
        <x:v>总体/每条件</x:v>
      </x:c>
      <x:c r="N230" s="19" t="str">
        <x:v>可靠性；依赖；信任</x:v>
      </x:c>
      <x:c r="O230" s="19" t="n">
        <x:v>3</x:v>
      </x:c>
      <x:c r="P230" s="19" t="str">
        <x:v>候选子量表</x:v>
      </x:c>
      <x:c r="Q230" s="19" t="str">
        <x:v>逐项语义重构；不是官方中文译本</x:v>
      </x:c>
      <x:c r="R230" s="19" t="str">
        <x:v>https://www.researchgate.net/publication/243774961_Human-Computer_Trust</x:v>
      </x:c>
      <x:c r="S230" s="19" t="str">
        <x:v>Madsen &amp; Gregor 2000 scale</x:v>
      </x:c>
      <x:c r="T230" s="19" t="str"/>
      <x:c r="U230" s="19" t="str">
        <x:v>语义重构；正式使用必须核对原量表逐字文本</x:v>
      </x:c>
    </x:row>
    <x:row r="231" ht="47" customHeight="1">
      <x:c r="A231" s="19" t="str">
        <x:v>未决定</x:v>
      </x:c>
      <x:c r="B231" s="19" t="str">
        <x:v>B-邻近</x:v>
      </x:c>
      <x:c r="C231" s="19" t="str">
        <x:v>人机信任</x:v>
      </x:c>
      <x:c r="D231" s="19" t="str">
        <x:v>Human-Computer Trust (HCT)</x:v>
      </x:c>
      <x:c r="E231" s="19" t="str">
        <x:v>2000</x:v>
      </x:c>
      <x:c r="F231" s="19" t="str">
        <x:v>Perceived Reliability</x:v>
      </x:c>
      <x:c r="G231" s="19" t="str">
        <x:v>PR3</x:v>
      </x:c>
      <x:c r="H231" s="19" t="str">
        <x:v>该系统的响应保持一致。</x:v>
      </x:c>
      <x:c r="I231" s="19" t="str"/>
      <x:c r="J231" s="19" t="str">
        <x:v>正向</x:v>
      </x:c>
      <x:c r="K231" s="19" t="str">
        <x:v>5点同意度</x:v>
      </x:c>
      <x:c r="L231" s="19" t="str">
        <x:v>早期多维量表；需核对版本</x:v>
      </x:c>
      <x:c r="M231" s="19" t="str">
        <x:v>总体/每条件</x:v>
      </x:c>
      <x:c r="N231" s="19" t="str">
        <x:v>可靠性；依赖；信任</x:v>
      </x:c>
      <x:c r="O231" s="19" t="n">
        <x:v>3</x:v>
      </x:c>
      <x:c r="P231" s="19" t="str">
        <x:v>候选子量表</x:v>
      </x:c>
      <x:c r="Q231" s="19" t="str">
        <x:v>逐项语义重构；不是官方中文译本</x:v>
      </x:c>
      <x:c r="R231" s="19" t="str">
        <x:v>https://www.researchgate.net/publication/243774961_Human-Computer_Trust</x:v>
      </x:c>
      <x:c r="S231" s="19" t="str">
        <x:v>Madsen &amp; Gregor 2000 scale</x:v>
      </x:c>
      <x:c r="T231" s="19" t="str"/>
      <x:c r="U231" s="19" t="str">
        <x:v>语义重构；正式使用必须核对原量表逐字文本</x:v>
      </x:c>
    </x:row>
    <x:row r="232" ht="47" customHeight="1">
      <x:c r="A232" s="19" t="str">
        <x:v>未决定</x:v>
      </x:c>
      <x:c r="B232" s="19" t="str">
        <x:v>B-邻近</x:v>
      </x:c>
      <x:c r="C232" s="19" t="str">
        <x:v>人机信任</x:v>
      </x:c>
      <x:c r="D232" s="19" t="str">
        <x:v>Human-Computer Trust (HCT)</x:v>
      </x:c>
      <x:c r="E232" s="19" t="str">
        <x:v>2000</x:v>
      </x:c>
      <x:c r="F232" s="19" t="str">
        <x:v>Perceived Reliability</x:v>
      </x:c>
      <x:c r="G232" s="19" t="str">
        <x:v>PR4</x:v>
      </x:c>
      <x:c r="H232" s="19" t="str">
        <x:v>我可以依靠该系统正确运行。</x:v>
      </x:c>
      <x:c r="I232" s="19" t="str"/>
      <x:c r="J232" s="19" t="str">
        <x:v>正向</x:v>
      </x:c>
      <x:c r="K232" s="19" t="str">
        <x:v>5点同意度</x:v>
      </x:c>
      <x:c r="L232" s="19" t="str">
        <x:v>早期多维量表；需核对版本</x:v>
      </x:c>
      <x:c r="M232" s="19" t="str">
        <x:v>总体/每条件</x:v>
      </x:c>
      <x:c r="N232" s="19" t="str">
        <x:v>可靠性；依赖；信任</x:v>
      </x:c>
      <x:c r="O232" s="19" t="n">
        <x:v>3</x:v>
      </x:c>
      <x:c r="P232" s="19" t="str">
        <x:v>候选子量表</x:v>
      </x:c>
      <x:c r="Q232" s="19" t="str">
        <x:v>逐项语义重构；不是官方中文译本</x:v>
      </x:c>
      <x:c r="R232" s="19" t="str">
        <x:v>https://www.researchgate.net/publication/243774961_Human-Computer_Trust</x:v>
      </x:c>
      <x:c r="S232" s="19" t="str">
        <x:v>Madsen &amp; Gregor 2000 scale</x:v>
      </x:c>
      <x:c r="T232" s="19" t="str"/>
      <x:c r="U232" s="19" t="str">
        <x:v>语义重构；正式使用必须核对原量表逐字文本</x:v>
      </x:c>
    </x:row>
    <x:row r="233" ht="47" customHeight="1">
      <x:c r="A233" s="19" t="str">
        <x:v>未决定</x:v>
      </x:c>
      <x:c r="B233" s="19" t="str">
        <x:v>B-邻近</x:v>
      </x:c>
      <x:c r="C233" s="19" t="str">
        <x:v>人机信任</x:v>
      </x:c>
      <x:c r="D233" s="19" t="str">
        <x:v>Human-Computer Trust (HCT)</x:v>
      </x:c>
      <x:c r="E233" s="19" t="str">
        <x:v>2000</x:v>
      </x:c>
      <x:c r="F233" s="19" t="str">
        <x:v>Perceived Reliability</x:v>
      </x:c>
      <x:c r="G233" s="19" t="str">
        <x:v>PR5</x:v>
      </x:c>
      <x:c r="H233" s="19" t="str">
        <x:v>该系统能够稳定地处理任务。</x:v>
      </x:c>
      <x:c r="I233" s="19" t="str"/>
      <x:c r="J233" s="19" t="str">
        <x:v>正向</x:v>
      </x:c>
      <x:c r="K233" s="19" t="str">
        <x:v>5点同意度</x:v>
      </x:c>
      <x:c r="L233" s="19" t="str">
        <x:v>早期多维量表；需核对版本</x:v>
      </x:c>
      <x:c r="M233" s="19" t="str">
        <x:v>总体/每条件</x:v>
      </x:c>
      <x:c r="N233" s="19" t="str">
        <x:v>可靠性；依赖；信任</x:v>
      </x:c>
      <x:c r="O233" s="19" t="n">
        <x:v>3</x:v>
      </x:c>
      <x:c r="P233" s="19" t="str">
        <x:v>候选子量表</x:v>
      </x:c>
      <x:c r="Q233" s="19" t="str">
        <x:v>逐项语义重构；不是官方中文译本</x:v>
      </x:c>
      <x:c r="R233" s="19" t="str">
        <x:v>https://www.researchgate.net/publication/243774961_Human-Computer_Trust</x:v>
      </x:c>
      <x:c r="S233" s="19" t="str">
        <x:v>Madsen &amp; Gregor 2000 scale</x:v>
      </x:c>
      <x:c r="T233" s="19" t="str"/>
      <x:c r="U233" s="19" t="str">
        <x:v>语义重构；正式使用必须核对原量表逐字文本</x:v>
      </x:c>
    </x:row>
    <x:row r="234" ht="47" customHeight="1">
      <x:c r="A234" s="19" t="str">
        <x:v>未决定</x:v>
      </x:c>
      <x:c r="B234" s="19" t="str">
        <x:v>B-邻近</x:v>
      </x:c>
      <x:c r="C234" s="19" t="str">
        <x:v>人机信任</x:v>
      </x:c>
      <x:c r="D234" s="19" t="str">
        <x:v>Human-Computer Trust (HCT)</x:v>
      </x:c>
      <x:c r="E234" s="19" t="str">
        <x:v>2000</x:v>
      </x:c>
      <x:c r="F234" s="19" t="str">
        <x:v>Technical Competence</x:v>
      </x:c>
      <x:c r="G234" s="19" t="str">
        <x:v>TC1</x:v>
      </x:c>
      <x:c r="H234" s="19" t="str">
        <x:v>该系统使用了适当的方法完成任务。</x:v>
      </x:c>
      <x:c r="I234" s="19" t="str"/>
      <x:c r="J234" s="19" t="str">
        <x:v>正向</x:v>
      </x:c>
      <x:c r="K234" s="19" t="str">
        <x:v>5点同意度</x:v>
      </x:c>
      <x:c r="L234" s="19" t="str">
        <x:v>早期多维量表；需核对版本</x:v>
      </x:c>
      <x:c r="M234" s="19" t="str">
        <x:v>总体/每条件</x:v>
      </x:c>
      <x:c r="N234" s="19" t="str">
        <x:v>Technical Competence</x:v>
      </x:c>
      <x:c r="O234" s="19" t="n">
        <x:v>2</x:v>
      </x:c>
      <x:c r="P234" s="19" t="str">
        <x:v>邻近参考</x:v>
      </x:c>
      <x:c r="Q234" s="19" t="str">
        <x:v>逐项语义重构；不是官方中文译本</x:v>
      </x:c>
      <x:c r="R234" s="19" t="str">
        <x:v>https://www.researchgate.net/publication/243774961_Human-Computer_Trust</x:v>
      </x:c>
      <x:c r="S234" s="19" t="str">
        <x:v>Madsen &amp; Gregor 2000 scale</x:v>
      </x:c>
      <x:c r="T234" s="19" t="str"/>
      <x:c r="U234" s="19" t="str">
        <x:v>语义重构；正式使用必须核对原量表逐字文本</x:v>
      </x:c>
    </x:row>
    <x:row r="235" ht="47" customHeight="1">
      <x:c r="A235" s="19" t="str">
        <x:v>未决定</x:v>
      </x:c>
      <x:c r="B235" s="19" t="str">
        <x:v>B-邻近</x:v>
      </x:c>
      <x:c r="C235" s="19" t="str">
        <x:v>人机信任</x:v>
      </x:c>
      <x:c r="D235" s="19" t="str">
        <x:v>Human-Computer Trust (HCT)</x:v>
      </x:c>
      <x:c r="E235" s="19" t="str">
        <x:v>2000</x:v>
      </x:c>
      <x:c r="F235" s="19" t="str">
        <x:v>Technical Competence</x:v>
      </x:c>
      <x:c r="G235" s="19" t="str">
        <x:v>TC2</x:v>
      </x:c>
      <x:c r="H235" s="19" t="str">
        <x:v>该系统具有充分且可靠的领域知识。</x:v>
      </x:c>
      <x:c r="I235" s="19" t="str"/>
      <x:c r="J235" s="19" t="str">
        <x:v>正向</x:v>
      </x:c>
      <x:c r="K235" s="19" t="str">
        <x:v>5点同意度</x:v>
      </x:c>
      <x:c r="L235" s="19" t="str">
        <x:v>早期多维量表；需核对版本</x:v>
      </x:c>
      <x:c r="M235" s="19" t="str">
        <x:v>总体/每条件</x:v>
      </x:c>
      <x:c r="N235" s="19" t="str">
        <x:v>Technical Competence</x:v>
      </x:c>
      <x:c r="O235" s="19" t="n">
        <x:v>2</x:v>
      </x:c>
      <x:c r="P235" s="19" t="str">
        <x:v>邻近参考</x:v>
      </x:c>
      <x:c r="Q235" s="19" t="str">
        <x:v>逐项语义重构；不是官方中文译本</x:v>
      </x:c>
      <x:c r="R235" s="19" t="str">
        <x:v>https://www.researchgate.net/publication/243774961_Human-Computer_Trust</x:v>
      </x:c>
      <x:c r="S235" s="19" t="str">
        <x:v>Madsen &amp; Gregor 2000 scale</x:v>
      </x:c>
      <x:c r="T235" s="19" t="str"/>
      <x:c r="U235" s="19" t="str">
        <x:v>语义重构；正式使用必须核对原量表逐字文本</x:v>
      </x:c>
    </x:row>
    <x:row r="236" ht="47" customHeight="1">
      <x:c r="A236" s="19" t="str">
        <x:v>未决定</x:v>
      </x:c>
      <x:c r="B236" s="19" t="str">
        <x:v>B-邻近</x:v>
      </x:c>
      <x:c r="C236" s="19" t="str">
        <x:v>人机信任</x:v>
      </x:c>
      <x:c r="D236" s="19" t="str">
        <x:v>Human-Computer Trust (HCT)</x:v>
      </x:c>
      <x:c r="E236" s="19" t="str">
        <x:v>2000</x:v>
      </x:c>
      <x:c r="F236" s="19" t="str">
        <x:v>Technical Competence</x:v>
      </x:c>
      <x:c r="G236" s="19" t="str">
        <x:v>TC3</x:v>
      </x:c>
      <x:c r="H236" s="19" t="str">
        <x:v>该系统能够恰当地使用可用信息。</x:v>
      </x:c>
      <x:c r="I236" s="19" t="str"/>
      <x:c r="J236" s="19" t="str">
        <x:v>正向</x:v>
      </x:c>
      <x:c r="K236" s="19" t="str">
        <x:v>5点同意度</x:v>
      </x:c>
      <x:c r="L236" s="19" t="str">
        <x:v>早期多维量表；需核对版本</x:v>
      </x:c>
      <x:c r="M236" s="19" t="str">
        <x:v>总体/每条件</x:v>
      </x:c>
      <x:c r="N236" s="19" t="str">
        <x:v>Technical Competence</x:v>
      </x:c>
      <x:c r="O236" s="19" t="n">
        <x:v>2</x:v>
      </x:c>
      <x:c r="P236" s="19" t="str">
        <x:v>邻近参考</x:v>
      </x:c>
      <x:c r="Q236" s="19" t="str">
        <x:v>逐项语义重构；不是官方中文译本</x:v>
      </x:c>
      <x:c r="R236" s="19" t="str">
        <x:v>https://www.researchgate.net/publication/243774961_Human-Computer_Trust</x:v>
      </x:c>
      <x:c r="S236" s="19" t="str">
        <x:v>Madsen &amp; Gregor 2000 scale</x:v>
      </x:c>
      <x:c r="T236" s="19" t="str"/>
      <x:c r="U236" s="19" t="str">
        <x:v>语义重构；正式使用必须核对原量表逐字文本</x:v>
      </x:c>
    </x:row>
    <x:row r="237" ht="47" customHeight="1">
      <x:c r="A237" s="19" t="str">
        <x:v>未决定</x:v>
      </x:c>
      <x:c r="B237" s="19" t="str">
        <x:v>B-邻近</x:v>
      </x:c>
      <x:c r="C237" s="19" t="str">
        <x:v>人机信任</x:v>
      </x:c>
      <x:c r="D237" s="19" t="str">
        <x:v>Human-Computer Trust (HCT)</x:v>
      </x:c>
      <x:c r="E237" s="19" t="str">
        <x:v>2000</x:v>
      </x:c>
      <x:c r="F237" s="19" t="str">
        <x:v>Technical Competence</x:v>
      </x:c>
      <x:c r="G237" s="19" t="str">
        <x:v>TC4</x:v>
      </x:c>
      <x:c r="H237" s="19" t="str">
        <x:v>该系统能够正确应用其知识。</x:v>
      </x:c>
      <x:c r="I237" s="19" t="str"/>
      <x:c r="J237" s="19" t="str">
        <x:v>正向</x:v>
      </x:c>
      <x:c r="K237" s="19" t="str">
        <x:v>5点同意度</x:v>
      </x:c>
      <x:c r="L237" s="19" t="str">
        <x:v>早期多维量表；需核对版本</x:v>
      </x:c>
      <x:c r="M237" s="19" t="str">
        <x:v>总体/每条件</x:v>
      </x:c>
      <x:c r="N237" s="19" t="str">
        <x:v>Technical Competence</x:v>
      </x:c>
      <x:c r="O237" s="19" t="n">
        <x:v>2</x:v>
      </x:c>
      <x:c r="P237" s="19" t="str">
        <x:v>邻近参考</x:v>
      </x:c>
      <x:c r="Q237" s="19" t="str">
        <x:v>逐项语义重构；不是官方中文译本</x:v>
      </x:c>
      <x:c r="R237" s="19" t="str">
        <x:v>https://www.researchgate.net/publication/243774961_Human-Computer_Trust</x:v>
      </x:c>
      <x:c r="S237" s="19" t="str">
        <x:v>Madsen &amp; Gregor 2000 scale</x:v>
      </x:c>
      <x:c r="T237" s="19" t="str"/>
      <x:c r="U237" s="19" t="str">
        <x:v>语义重构；正式使用必须核对原量表逐字文本</x:v>
      </x:c>
    </x:row>
    <x:row r="238" ht="47" customHeight="1">
      <x:c r="A238" s="19" t="str">
        <x:v>未决定</x:v>
      </x:c>
      <x:c r="B238" s="19" t="str">
        <x:v>B-邻近</x:v>
      </x:c>
      <x:c r="C238" s="19" t="str">
        <x:v>人机信任</x:v>
      </x:c>
      <x:c r="D238" s="19" t="str">
        <x:v>Human-Computer Trust (HCT)</x:v>
      </x:c>
      <x:c r="E238" s="19" t="str">
        <x:v>2000</x:v>
      </x:c>
      <x:c r="F238" s="19" t="str">
        <x:v>Technical Competence</x:v>
      </x:c>
      <x:c r="G238" s="19" t="str">
        <x:v>TC5</x:v>
      </x:c>
      <x:c r="H238" s="19" t="str">
        <x:v>该系统胜任当前任务。</x:v>
      </x:c>
      <x:c r="I238" s="19" t="str"/>
      <x:c r="J238" s="19" t="str">
        <x:v>正向</x:v>
      </x:c>
      <x:c r="K238" s="19" t="str">
        <x:v>5点同意度</x:v>
      </x:c>
      <x:c r="L238" s="19" t="str">
        <x:v>早期多维量表；需核对版本</x:v>
      </x:c>
      <x:c r="M238" s="19" t="str">
        <x:v>总体/每条件</x:v>
      </x:c>
      <x:c r="N238" s="19" t="str">
        <x:v>Technical Competence</x:v>
      </x:c>
      <x:c r="O238" s="19" t="n">
        <x:v>2</x:v>
      </x:c>
      <x:c r="P238" s="19" t="str">
        <x:v>邻近参考</x:v>
      </x:c>
      <x:c r="Q238" s="19" t="str">
        <x:v>逐项语义重构；不是官方中文译本</x:v>
      </x:c>
      <x:c r="R238" s="19" t="str">
        <x:v>https://www.researchgate.net/publication/243774961_Human-Computer_Trust</x:v>
      </x:c>
      <x:c r="S238" s="19" t="str">
        <x:v>Madsen &amp; Gregor 2000 scale</x:v>
      </x:c>
      <x:c r="T238" s="19" t="str"/>
      <x:c r="U238" s="19" t="str">
        <x:v>语义重构；正式使用必须核对原量表逐字文本</x:v>
      </x:c>
    </x:row>
    <x:row r="239" ht="47" customHeight="1">
      <x:c r="A239" s="19" t="str">
        <x:v>未决定</x:v>
      </x:c>
      <x:c r="B239" s="19" t="str">
        <x:v>B-邻近</x:v>
      </x:c>
      <x:c r="C239" s="19" t="str">
        <x:v>人机信任</x:v>
      </x:c>
      <x:c r="D239" s="19" t="str">
        <x:v>Human-Computer Trust (HCT)</x:v>
      </x:c>
      <x:c r="E239" s="19" t="str">
        <x:v>2000</x:v>
      </x:c>
      <x:c r="F239" s="19" t="str">
        <x:v>Understandability</x:v>
      </x:c>
      <x:c r="G239" s="19" t="str">
        <x:v>U1</x:v>
      </x:c>
      <x:c r="H239" s="19" t="str">
        <x:v>该系统的行为或动作容易理解。</x:v>
      </x:c>
      <x:c r="I239" s="19" t="str"/>
      <x:c r="J239" s="19" t="str">
        <x:v>正向</x:v>
      </x:c>
      <x:c r="K239" s="19" t="str">
        <x:v>5点同意度</x:v>
      </x:c>
      <x:c r="L239" s="19" t="str">
        <x:v>早期多维量表；需核对版本</x:v>
      </x:c>
      <x:c r="M239" s="19" t="str">
        <x:v>总体/每条件</x:v>
      </x:c>
      <x:c r="N239" s="19" t="str">
        <x:v>Understandability</x:v>
      </x:c>
      <x:c r="O239" s="19" t="n">
        <x:v>0</x:v>
      </x:c>
      <x:c r="P239" s="19" t="str">
        <x:v>不建议</x:v>
      </x:c>
      <x:c r="Q239" s="19" t="str">
        <x:v>逐项语义重构；不是官方中文译本</x:v>
      </x:c>
      <x:c r="R239" s="19" t="str">
        <x:v>https://www.researchgate.net/publication/243774961_Human-Computer_Trust</x:v>
      </x:c>
      <x:c r="S239" s="19" t="str">
        <x:v>Madsen &amp; Gregor 2000 scale</x:v>
      </x:c>
      <x:c r="T239" s="19" t="str"/>
      <x:c r="U239" s="19" t="str">
        <x:v>语义重构；正式使用必须核对原量表逐字文本</x:v>
      </x:c>
    </x:row>
    <x:row r="240" ht="47" customHeight="1">
      <x:c r="A240" s="19" t="str">
        <x:v>未决定</x:v>
      </x:c>
      <x:c r="B240" s="19" t="str">
        <x:v>B-邻近</x:v>
      </x:c>
      <x:c r="C240" s="19" t="str">
        <x:v>人机信任</x:v>
      </x:c>
      <x:c r="D240" s="19" t="str">
        <x:v>Human-Computer Trust (HCT)</x:v>
      </x:c>
      <x:c r="E240" s="19" t="str">
        <x:v>2000</x:v>
      </x:c>
      <x:c r="F240" s="19" t="str">
        <x:v>Understandability</x:v>
      </x:c>
      <x:c r="G240" s="19" t="str">
        <x:v>U2</x:v>
      </x:c>
      <x:c r="H240" s="19" t="str">
        <x:v>我能够预期该系统接下来会发生什么。</x:v>
      </x:c>
      <x:c r="I240" s="19" t="str"/>
      <x:c r="J240" s="19" t="str">
        <x:v>正向</x:v>
      </x:c>
      <x:c r="K240" s="19" t="str">
        <x:v>5点同意度</x:v>
      </x:c>
      <x:c r="L240" s="19" t="str">
        <x:v>早期多维量表；需核对版本</x:v>
      </x:c>
      <x:c r="M240" s="19" t="str">
        <x:v>总体/每条件</x:v>
      </x:c>
      <x:c r="N240" s="19" t="str">
        <x:v>Understandability</x:v>
      </x:c>
      <x:c r="O240" s="19" t="n">
        <x:v>0</x:v>
      </x:c>
      <x:c r="P240" s="19" t="str">
        <x:v>不建议</x:v>
      </x:c>
      <x:c r="Q240" s="19" t="str">
        <x:v>逐项语义重构；不是官方中文译本</x:v>
      </x:c>
      <x:c r="R240" s="19" t="str">
        <x:v>https://www.researchgate.net/publication/243774961_Human-Computer_Trust</x:v>
      </x:c>
      <x:c r="S240" s="19" t="str">
        <x:v>Madsen &amp; Gregor 2000 scale</x:v>
      </x:c>
      <x:c r="T240" s="19" t="str"/>
      <x:c r="U240" s="19" t="str">
        <x:v>语义重构；正式使用必须核对原量表逐字文本</x:v>
      </x:c>
    </x:row>
    <x:row r="241" ht="47" customHeight="1">
      <x:c r="A241" s="19" t="str">
        <x:v>未决定</x:v>
      </x:c>
      <x:c r="B241" s="19" t="str">
        <x:v>B-邻近</x:v>
      </x:c>
      <x:c r="C241" s="19" t="str">
        <x:v>人机信任</x:v>
      </x:c>
      <x:c r="D241" s="19" t="str">
        <x:v>Human-Computer Trust (HCT)</x:v>
      </x:c>
      <x:c r="E241" s="19" t="str">
        <x:v>2000</x:v>
      </x:c>
      <x:c r="F241" s="19" t="str">
        <x:v>Understandability</x:v>
      </x:c>
      <x:c r="G241" s="19" t="str">
        <x:v>U3</x:v>
      </x:c>
      <x:c r="H241" s="19" t="str">
        <x:v>我理解系统为何给出某项建议或动作。</x:v>
      </x:c>
      <x:c r="I241" s="19" t="str"/>
      <x:c r="J241" s="19" t="str">
        <x:v>正向</x:v>
      </x:c>
      <x:c r="K241" s="19" t="str">
        <x:v>5点同意度</x:v>
      </x:c>
      <x:c r="L241" s="19" t="str">
        <x:v>早期多维量表；需核对版本</x:v>
      </x:c>
      <x:c r="M241" s="19" t="str">
        <x:v>总体/每条件</x:v>
      </x:c>
      <x:c r="N241" s="19" t="str">
        <x:v>Understandability</x:v>
      </x:c>
      <x:c r="O241" s="19" t="n">
        <x:v>0</x:v>
      </x:c>
      <x:c r="P241" s="19" t="str">
        <x:v>不建议</x:v>
      </x:c>
      <x:c r="Q241" s="19" t="str">
        <x:v>逐项语义重构；不是官方中文译本</x:v>
      </x:c>
      <x:c r="R241" s="19" t="str">
        <x:v>https://www.researchgate.net/publication/243774961_Human-Computer_Trust</x:v>
      </x:c>
      <x:c r="S241" s="19" t="str">
        <x:v>Madsen &amp; Gregor 2000 scale</x:v>
      </x:c>
      <x:c r="T241" s="19" t="str"/>
      <x:c r="U241" s="19" t="str">
        <x:v>语义重构；正式使用必须核对原量表逐字文本</x:v>
      </x:c>
    </x:row>
    <x:row r="242" ht="47" customHeight="1">
      <x:c r="A242" s="19" t="str">
        <x:v>未决定</x:v>
      </x:c>
      <x:c r="B242" s="19" t="str">
        <x:v>B-邻近</x:v>
      </x:c>
      <x:c r="C242" s="19" t="str">
        <x:v>人机信任</x:v>
      </x:c>
      <x:c r="D242" s="19" t="str">
        <x:v>Human-Computer Trust (HCT)</x:v>
      </x:c>
      <x:c r="E242" s="19" t="str">
        <x:v>2000</x:v>
      </x:c>
      <x:c r="F242" s="19" t="str">
        <x:v>Understandability</x:v>
      </x:c>
      <x:c r="G242" s="19" t="str">
        <x:v>U4</x:v>
      </x:c>
      <x:c r="H242" s="19" t="str">
        <x:v>该系统的运行过程容易跟随和理解。</x:v>
      </x:c>
      <x:c r="I242" s="19" t="str"/>
      <x:c r="J242" s="19" t="str">
        <x:v>正向</x:v>
      </x:c>
      <x:c r="K242" s="19" t="str">
        <x:v>5点同意度</x:v>
      </x:c>
      <x:c r="L242" s="19" t="str">
        <x:v>早期多维量表；需核对版本</x:v>
      </x:c>
      <x:c r="M242" s="19" t="str">
        <x:v>总体/每条件</x:v>
      </x:c>
      <x:c r="N242" s="19" t="str">
        <x:v>Understandability</x:v>
      </x:c>
      <x:c r="O242" s="19" t="n">
        <x:v>0</x:v>
      </x:c>
      <x:c r="P242" s="19" t="str">
        <x:v>不建议</x:v>
      </x:c>
      <x:c r="Q242" s="19" t="str">
        <x:v>逐项语义重构；不是官方中文译本</x:v>
      </x:c>
      <x:c r="R242" s="19" t="str">
        <x:v>https://www.researchgate.net/publication/243774961_Human-Computer_Trust</x:v>
      </x:c>
      <x:c r="S242" s="19" t="str">
        <x:v>Madsen &amp; Gregor 2000 scale</x:v>
      </x:c>
      <x:c r="T242" s="19" t="str"/>
      <x:c r="U242" s="19" t="str">
        <x:v>语义重构；正式使用必须核对原量表逐字文本</x:v>
      </x:c>
    </x:row>
    <x:row r="243" ht="47" customHeight="1">
      <x:c r="A243" s="19" t="str">
        <x:v>未决定</x:v>
      </x:c>
      <x:c r="B243" s="19" t="str">
        <x:v>B-邻近</x:v>
      </x:c>
      <x:c r="C243" s="19" t="str">
        <x:v>人机信任</x:v>
      </x:c>
      <x:c r="D243" s="19" t="str">
        <x:v>Human-Computer Trust (HCT)</x:v>
      </x:c>
      <x:c r="E243" s="19" t="str">
        <x:v>2000</x:v>
      </x:c>
      <x:c r="F243" s="19" t="str">
        <x:v>Understandability</x:v>
      </x:c>
      <x:c r="G243" s="19" t="str">
        <x:v>U5</x:v>
      </x:c>
      <x:c r="H243" s="19" t="str">
        <x:v>我知道如何从系统获得所需的支持。</x:v>
      </x:c>
      <x:c r="I243" s="19" t="str"/>
      <x:c r="J243" s="19" t="str">
        <x:v>正向</x:v>
      </x:c>
      <x:c r="K243" s="19" t="str">
        <x:v>5点同意度</x:v>
      </x:c>
      <x:c r="L243" s="19" t="str">
        <x:v>早期多维量表；需核对版本</x:v>
      </x:c>
      <x:c r="M243" s="19" t="str">
        <x:v>总体/每条件</x:v>
      </x:c>
      <x:c r="N243" s="19" t="str">
        <x:v>Understandability</x:v>
      </x:c>
      <x:c r="O243" s="19" t="n">
        <x:v>0</x:v>
      </x:c>
      <x:c r="P243" s="19" t="str">
        <x:v>不建议</x:v>
      </x:c>
      <x:c r="Q243" s="19" t="str">
        <x:v>逐项语义重构；不是官方中文译本</x:v>
      </x:c>
      <x:c r="R243" s="19" t="str">
        <x:v>https://www.researchgate.net/publication/243774961_Human-Computer_Trust</x:v>
      </x:c>
      <x:c r="S243" s="19" t="str">
        <x:v>Madsen &amp; Gregor 2000 scale</x:v>
      </x:c>
      <x:c r="T243" s="19" t="str"/>
      <x:c r="U243" s="19" t="str">
        <x:v>语义重构；正式使用必须核对原量表逐字文本</x:v>
      </x:c>
    </x:row>
    <x:row r="244" ht="47" customHeight="1">
      <x:c r="A244" s="19" t="str">
        <x:v>未决定</x:v>
      </x:c>
      <x:c r="B244" s="19" t="str">
        <x:v>B-邻近</x:v>
      </x:c>
      <x:c r="C244" s="19" t="str">
        <x:v>人机信任</x:v>
      </x:c>
      <x:c r="D244" s="19" t="str">
        <x:v>Human-Computer Trust (HCT)</x:v>
      </x:c>
      <x:c r="E244" s="19" t="str">
        <x:v>2000</x:v>
      </x:c>
      <x:c r="F244" s="19" t="str">
        <x:v>Faith</x:v>
      </x:c>
      <x:c r="G244" s="19" t="str">
        <x:v>F1</x:v>
      </x:c>
      <x:c r="H244" s="19" t="str">
        <x:v>当我不确定时，我愿意信任该系统的建议。</x:v>
      </x:c>
      <x:c r="I244" s="19" t="str"/>
      <x:c r="J244" s="19" t="str">
        <x:v>正向</x:v>
      </x:c>
      <x:c r="K244" s="19" t="str">
        <x:v>5点同意度</x:v>
      </x:c>
      <x:c r="L244" s="19" t="str">
        <x:v>早期多维量表；需核对版本</x:v>
      </x:c>
      <x:c r="M244" s="19" t="str">
        <x:v>总体/每条件</x:v>
      </x:c>
      <x:c r="N244" s="19" t="str">
        <x:v>可靠性；依赖；信任</x:v>
      </x:c>
      <x:c r="O244" s="19" t="n">
        <x:v>3</x:v>
      </x:c>
      <x:c r="P244" s="19" t="str">
        <x:v>候选子量表</x:v>
      </x:c>
      <x:c r="Q244" s="19" t="str">
        <x:v>逐项语义重构；不是官方中文译本</x:v>
      </x:c>
      <x:c r="R244" s="19" t="str">
        <x:v>https://www.researchgate.net/publication/243774961_Human-Computer_Trust</x:v>
      </x:c>
      <x:c r="S244" s="19" t="str">
        <x:v>Madsen &amp; Gregor 2000 scale</x:v>
      </x:c>
      <x:c r="T244" s="19" t="str"/>
      <x:c r="U244" s="19" t="str">
        <x:v>语义重构；正式使用必须核对原量表逐字文本</x:v>
      </x:c>
    </x:row>
    <x:row r="245" ht="47" customHeight="1">
      <x:c r="A245" s="19" t="str">
        <x:v>未决定</x:v>
      </x:c>
      <x:c r="B245" s="19" t="str">
        <x:v>B-邻近</x:v>
      </x:c>
      <x:c r="C245" s="19" t="str">
        <x:v>人机信任</x:v>
      </x:c>
      <x:c r="D245" s="19" t="str">
        <x:v>Human-Computer Trust (HCT)</x:v>
      </x:c>
      <x:c r="E245" s="19" t="str">
        <x:v>2000</x:v>
      </x:c>
      <x:c r="F245" s="19" t="str">
        <x:v>Faith</x:v>
      </x:c>
      <x:c r="G245" s="19" t="str">
        <x:v>F2</x:v>
      </x:c>
      <x:c r="H245" s="19" t="str">
        <x:v>在不熟悉的情境中，我可以依靠该系统。</x:v>
      </x:c>
      <x:c r="I245" s="19" t="str"/>
      <x:c r="J245" s="19" t="str">
        <x:v>正向</x:v>
      </x:c>
      <x:c r="K245" s="19" t="str">
        <x:v>5点同意度</x:v>
      </x:c>
      <x:c r="L245" s="19" t="str">
        <x:v>早期多维量表；需核对版本</x:v>
      </x:c>
      <x:c r="M245" s="19" t="str">
        <x:v>总体/每条件</x:v>
      </x:c>
      <x:c r="N245" s="19" t="str">
        <x:v>可靠性；依赖；信任</x:v>
      </x:c>
      <x:c r="O245" s="19" t="n">
        <x:v>3</x:v>
      </x:c>
      <x:c r="P245" s="19" t="str">
        <x:v>候选子量表</x:v>
      </x:c>
      <x:c r="Q245" s="19" t="str">
        <x:v>逐项语义重构；不是官方中文译本</x:v>
      </x:c>
      <x:c r="R245" s="19" t="str">
        <x:v>https://www.researchgate.net/publication/243774961_Human-Computer_Trust</x:v>
      </x:c>
      <x:c r="S245" s="19" t="str">
        <x:v>Madsen &amp; Gregor 2000 scale</x:v>
      </x:c>
      <x:c r="T245" s="19" t="str"/>
      <x:c r="U245" s="19" t="str">
        <x:v>语义重构；正式使用必须核对原量表逐字文本</x:v>
      </x:c>
    </x:row>
    <x:row r="246" ht="47" customHeight="1">
      <x:c r="A246" s="19" t="str">
        <x:v>未决定</x:v>
      </x:c>
      <x:c r="B246" s="19" t="str">
        <x:v>B-邻近</x:v>
      </x:c>
      <x:c r="C246" s="19" t="str">
        <x:v>人机信任</x:v>
      </x:c>
      <x:c r="D246" s="19" t="str">
        <x:v>Human-Computer Trust (HCT)</x:v>
      </x:c>
      <x:c r="E246" s="19" t="str">
        <x:v>2000</x:v>
      </x:c>
      <x:c r="F246" s="19" t="str">
        <x:v>Faith</x:v>
      </x:c>
      <x:c r="G246" s="19" t="str">
        <x:v>F3</x:v>
      </x:c>
      <x:c r="H246" s="19" t="str">
        <x:v>我相信该系统会带来良好的结果。</x:v>
      </x:c>
      <x:c r="I246" s="19" t="str"/>
      <x:c r="J246" s="19" t="str">
        <x:v>正向</x:v>
      </x:c>
      <x:c r="K246" s="19" t="str">
        <x:v>5点同意度</x:v>
      </x:c>
      <x:c r="L246" s="19" t="str">
        <x:v>早期多维量表；需核对版本</x:v>
      </x:c>
      <x:c r="M246" s="19" t="str">
        <x:v>总体/每条件</x:v>
      </x:c>
      <x:c r="N246" s="19" t="str">
        <x:v>可靠性；依赖；信任</x:v>
      </x:c>
      <x:c r="O246" s="19" t="n">
        <x:v>3</x:v>
      </x:c>
      <x:c r="P246" s="19" t="str">
        <x:v>候选子量表</x:v>
      </x:c>
      <x:c r="Q246" s="19" t="str">
        <x:v>逐项语义重构；不是官方中文译本</x:v>
      </x:c>
      <x:c r="R246" s="19" t="str">
        <x:v>https://www.researchgate.net/publication/243774961_Human-Computer_Trust</x:v>
      </x:c>
      <x:c r="S246" s="19" t="str">
        <x:v>Madsen &amp; Gregor 2000 scale</x:v>
      </x:c>
      <x:c r="T246" s="19" t="str"/>
      <x:c r="U246" s="19" t="str">
        <x:v>语义重构；正式使用必须核对原量表逐字文本</x:v>
      </x:c>
    </x:row>
    <x:row r="247" ht="47" customHeight="1">
      <x:c r="A247" s="19" t="str">
        <x:v>未决定</x:v>
      </x:c>
      <x:c r="B247" s="19" t="str">
        <x:v>B-邻近</x:v>
      </x:c>
      <x:c r="C247" s="19" t="str">
        <x:v>人机信任</x:v>
      </x:c>
      <x:c r="D247" s="19" t="str">
        <x:v>Human-Computer Trust (HCT)</x:v>
      </x:c>
      <x:c r="E247" s="19" t="str">
        <x:v>2000</x:v>
      </x:c>
      <x:c r="F247" s="19" t="str">
        <x:v>Faith</x:v>
      </x:c>
      <x:c r="G247" s="19" t="str">
        <x:v>F4</x:v>
      </x:c>
      <x:c r="H247" s="19" t="str">
        <x:v>我愿意在不独立核查的情况下依赖该系统。</x:v>
      </x:c>
      <x:c r="I247" s="19" t="str"/>
      <x:c r="J247" s="19" t="str">
        <x:v>正向</x:v>
      </x:c>
      <x:c r="K247" s="19" t="str">
        <x:v>5点同意度</x:v>
      </x:c>
      <x:c r="L247" s="19" t="str">
        <x:v>早期多维量表；需核对版本</x:v>
      </x:c>
      <x:c r="M247" s="19" t="str">
        <x:v>总体/每条件</x:v>
      </x:c>
      <x:c r="N247" s="19" t="str">
        <x:v>可靠性；依赖；信任</x:v>
      </x:c>
      <x:c r="O247" s="19" t="n">
        <x:v>3</x:v>
      </x:c>
      <x:c r="P247" s="19" t="str">
        <x:v>候选子量表</x:v>
      </x:c>
      <x:c r="Q247" s="19" t="str">
        <x:v>逐项语义重构；不是官方中文译本</x:v>
      </x:c>
      <x:c r="R247" s="19" t="str">
        <x:v>https://www.researchgate.net/publication/243774961_Human-Computer_Trust</x:v>
      </x:c>
      <x:c r="S247" s="19" t="str">
        <x:v>Madsen &amp; Gregor 2000 scale</x:v>
      </x:c>
      <x:c r="T247" s="19" t="str"/>
      <x:c r="U247" s="19" t="str">
        <x:v>语义重构；正式使用必须核对原量表逐字文本</x:v>
      </x:c>
    </x:row>
    <x:row r="248" ht="47" customHeight="1">
      <x:c r="A248" s="19" t="str">
        <x:v>未决定</x:v>
      </x:c>
      <x:c r="B248" s="19" t="str">
        <x:v>B-邻近</x:v>
      </x:c>
      <x:c r="C248" s="19" t="str">
        <x:v>人机信任</x:v>
      </x:c>
      <x:c r="D248" s="19" t="str">
        <x:v>Human-Computer Trust (HCT)</x:v>
      </x:c>
      <x:c r="E248" s="19" t="str">
        <x:v>2000</x:v>
      </x:c>
      <x:c r="F248" s="19" t="str">
        <x:v>Faith</x:v>
      </x:c>
      <x:c r="G248" s="19" t="str">
        <x:v>F5</x:v>
      </x:c>
      <x:c r="H248" s="19" t="str">
        <x:v>即使我不能完全理解该系统，我仍对它保持信心。</x:v>
      </x:c>
      <x:c r="I248" s="19" t="str"/>
      <x:c r="J248" s="19" t="str">
        <x:v>正向</x:v>
      </x:c>
      <x:c r="K248" s="19" t="str">
        <x:v>5点同意度</x:v>
      </x:c>
      <x:c r="L248" s="19" t="str">
        <x:v>早期多维量表；需核对版本</x:v>
      </x:c>
      <x:c r="M248" s="19" t="str">
        <x:v>总体/每条件</x:v>
      </x:c>
      <x:c r="N248" s="19" t="str">
        <x:v>可靠性；依赖；信任</x:v>
      </x:c>
      <x:c r="O248" s="19" t="n">
        <x:v>3</x:v>
      </x:c>
      <x:c r="P248" s="19" t="str">
        <x:v>候选子量表</x:v>
      </x:c>
      <x:c r="Q248" s="19" t="str">
        <x:v>逐项语义重构；不是官方中文译本</x:v>
      </x:c>
      <x:c r="R248" s="19" t="str">
        <x:v>https://www.researchgate.net/publication/243774961_Human-Computer_Trust</x:v>
      </x:c>
      <x:c r="S248" s="19" t="str">
        <x:v>Madsen &amp; Gregor 2000 scale</x:v>
      </x:c>
      <x:c r="T248" s="19" t="str"/>
      <x:c r="U248" s="19" t="str">
        <x:v>语义重构；正式使用必须核对原量表逐字文本</x:v>
      </x:c>
    </x:row>
    <x:row r="249" ht="47" customHeight="1">
      <x:c r="A249" s="19" t="str">
        <x:v>未决定</x:v>
      </x:c>
      <x:c r="B249" s="19" t="str">
        <x:v>B-邻近</x:v>
      </x:c>
      <x:c r="C249" s="19" t="str">
        <x:v>人机信任</x:v>
      </x:c>
      <x:c r="D249" s="19" t="str">
        <x:v>Human-Computer Trust (HCT)</x:v>
      </x:c>
      <x:c r="E249" s="19" t="str">
        <x:v>2000</x:v>
      </x:c>
      <x:c r="F249" s="19" t="str">
        <x:v>Personal Attachment</x:v>
      </x:c>
      <x:c r="G249" s="19" t="str">
        <x:v>PA1</x:v>
      </x:c>
      <x:c r="H249" s="19" t="str">
        <x:v>与该系统一起工作让我感到舒适。</x:v>
      </x:c>
      <x:c r="I249" s="19" t="str"/>
      <x:c r="J249" s="19" t="str">
        <x:v>正向</x:v>
      </x:c>
      <x:c r="K249" s="19" t="str">
        <x:v>5点同意度</x:v>
      </x:c>
      <x:c r="L249" s="19" t="str">
        <x:v>早期多维量表；需核对版本</x:v>
      </x:c>
      <x:c r="M249" s="19" t="str">
        <x:v>总体/每条件</x:v>
      </x:c>
      <x:c r="N249" s="19" t="str">
        <x:v>Personal Attachment</x:v>
      </x:c>
      <x:c r="O249" s="19" t="n">
        <x:v>0</x:v>
      </x:c>
      <x:c r="P249" s="19" t="str">
        <x:v>不建议</x:v>
      </x:c>
      <x:c r="Q249" s="19" t="str">
        <x:v>逐项语义重构；不是官方中文译本</x:v>
      </x:c>
      <x:c r="R249" s="19" t="str">
        <x:v>https://www.researchgate.net/publication/243774961_Human-Computer_Trust</x:v>
      </x:c>
      <x:c r="S249" s="19" t="str">
        <x:v>Madsen &amp; Gregor 2000 scale</x:v>
      </x:c>
      <x:c r="T249" s="19" t="str"/>
      <x:c r="U249" s="19" t="str">
        <x:v>语义重构；正式使用必须核对原量表逐字文本</x:v>
      </x:c>
    </x:row>
    <x:row r="250" ht="47" customHeight="1">
      <x:c r="A250" s="19" t="str">
        <x:v>未决定</x:v>
      </x:c>
      <x:c r="B250" s="19" t="str">
        <x:v>B-邻近</x:v>
      </x:c>
      <x:c r="C250" s="19" t="str">
        <x:v>人机信任</x:v>
      </x:c>
      <x:c r="D250" s="19" t="str">
        <x:v>Human-Computer Trust (HCT)</x:v>
      </x:c>
      <x:c r="E250" s="19" t="str">
        <x:v>2000</x:v>
      </x:c>
      <x:c r="F250" s="19" t="str">
        <x:v>Personal Attachment</x:v>
      </x:c>
      <x:c r="G250" s="19" t="str">
        <x:v>PA2</x:v>
      </x:c>
      <x:c r="H250" s="19" t="str">
        <x:v>我喜欢使用该系统。</x:v>
      </x:c>
      <x:c r="I250" s="19" t="str"/>
      <x:c r="J250" s="19" t="str">
        <x:v>正向</x:v>
      </x:c>
      <x:c r="K250" s="19" t="str">
        <x:v>5点同意度</x:v>
      </x:c>
      <x:c r="L250" s="19" t="str">
        <x:v>早期多维量表；需核对版本</x:v>
      </x:c>
      <x:c r="M250" s="19" t="str">
        <x:v>总体/每条件</x:v>
      </x:c>
      <x:c r="N250" s="19" t="str">
        <x:v>Personal Attachment</x:v>
      </x:c>
      <x:c r="O250" s="19" t="n">
        <x:v>0</x:v>
      </x:c>
      <x:c r="P250" s="19" t="str">
        <x:v>不建议</x:v>
      </x:c>
      <x:c r="Q250" s="19" t="str">
        <x:v>逐项语义重构；不是官方中文译本</x:v>
      </x:c>
      <x:c r="R250" s="19" t="str">
        <x:v>https://www.researchgate.net/publication/243774961_Human-Computer_Trust</x:v>
      </x:c>
      <x:c r="S250" s="19" t="str">
        <x:v>Madsen &amp; Gregor 2000 scale</x:v>
      </x:c>
      <x:c r="T250" s="19" t="str"/>
      <x:c r="U250" s="19" t="str">
        <x:v>语义重构；正式使用必须核对原量表逐字文本</x:v>
      </x:c>
    </x:row>
    <x:row r="251" ht="47" customHeight="1">
      <x:c r="A251" s="19" t="str">
        <x:v>未决定</x:v>
      </x:c>
      <x:c r="B251" s="19" t="str">
        <x:v>B-邻近</x:v>
      </x:c>
      <x:c r="C251" s="19" t="str">
        <x:v>人机信任</x:v>
      </x:c>
      <x:c r="D251" s="19" t="str">
        <x:v>Human-Computer Trust (HCT)</x:v>
      </x:c>
      <x:c r="E251" s="19" t="str">
        <x:v>2000</x:v>
      </x:c>
      <x:c r="F251" s="19" t="str">
        <x:v>Personal Attachment</x:v>
      </x:c>
      <x:c r="G251" s="19" t="str">
        <x:v>PA3</x:v>
      </x:c>
      <x:c r="H251" s="19" t="str">
        <x:v>我对该系统产生了熟悉或亲近感。</x:v>
      </x:c>
      <x:c r="I251" s="19" t="str"/>
      <x:c r="J251" s="19" t="str">
        <x:v>正向</x:v>
      </x:c>
      <x:c r="K251" s="19" t="str">
        <x:v>5点同意度</x:v>
      </x:c>
      <x:c r="L251" s="19" t="str">
        <x:v>早期多维量表；需核对版本</x:v>
      </x:c>
      <x:c r="M251" s="19" t="str">
        <x:v>总体/每条件</x:v>
      </x:c>
      <x:c r="N251" s="19" t="str">
        <x:v>Personal Attachment</x:v>
      </x:c>
      <x:c r="O251" s="19" t="n">
        <x:v>0</x:v>
      </x:c>
      <x:c r="P251" s="19" t="str">
        <x:v>不建议</x:v>
      </x:c>
      <x:c r="Q251" s="19" t="str">
        <x:v>逐项语义重构；不是官方中文译本</x:v>
      </x:c>
      <x:c r="R251" s="19" t="str">
        <x:v>https://www.researchgate.net/publication/243774961_Human-Computer_Trust</x:v>
      </x:c>
      <x:c r="S251" s="19" t="str">
        <x:v>Madsen &amp; Gregor 2000 scale</x:v>
      </x:c>
      <x:c r="T251" s="19" t="str"/>
      <x:c r="U251" s="19" t="str">
        <x:v>语义重构；正式使用必须核对原量表逐字文本</x:v>
      </x:c>
    </x:row>
    <x:row r="252" ht="47" customHeight="1">
      <x:c r="A252" s="19" t="str">
        <x:v>未决定</x:v>
      </x:c>
      <x:c r="B252" s="19" t="str">
        <x:v>B-邻近</x:v>
      </x:c>
      <x:c r="C252" s="19" t="str">
        <x:v>人机信任</x:v>
      </x:c>
      <x:c r="D252" s="19" t="str">
        <x:v>Human-Computer Trust (HCT)</x:v>
      </x:c>
      <x:c r="E252" s="19" t="str">
        <x:v>2000</x:v>
      </x:c>
      <x:c r="F252" s="19" t="str">
        <x:v>Personal Attachment</x:v>
      </x:c>
      <x:c r="G252" s="19" t="str">
        <x:v>PA4</x:v>
      </x:c>
      <x:c r="H252" s="19" t="str">
        <x:v>我把该系统视为合作伙伴或团队成员。</x:v>
      </x:c>
      <x:c r="I252" s="19" t="str"/>
      <x:c r="J252" s="19" t="str">
        <x:v>正向</x:v>
      </x:c>
      <x:c r="K252" s="19" t="str">
        <x:v>5点同意度</x:v>
      </x:c>
      <x:c r="L252" s="19" t="str">
        <x:v>早期多维量表；需核对版本</x:v>
      </x:c>
      <x:c r="M252" s="19" t="str">
        <x:v>总体/每条件</x:v>
      </x:c>
      <x:c r="N252" s="19" t="str">
        <x:v>Personal Attachment</x:v>
      </x:c>
      <x:c r="O252" s="19" t="n">
        <x:v>0</x:v>
      </x:c>
      <x:c r="P252" s="19" t="str">
        <x:v>不建议</x:v>
      </x:c>
      <x:c r="Q252" s="19" t="str">
        <x:v>逐项语义重构；不是官方中文译本</x:v>
      </x:c>
      <x:c r="R252" s="19" t="str">
        <x:v>https://www.researchgate.net/publication/243774961_Human-Computer_Trust</x:v>
      </x:c>
      <x:c r="S252" s="19" t="str">
        <x:v>Madsen &amp; Gregor 2000 scale</x:v>
      </x:c>
      <x:c r="T252" s="19" t="str"/>
      <x:c r="U252" s="19" t="str">
        <x:v>语义重构；正式使用必须核对原量表逐字文本</x:v>
      </x:c>
    </x:row>
    <x:row r="253" ht="47" customHeight="1">
      <x:c r="A253" s="19" t="str">
        <x:v>未决定</x:v>
      </x:c>
      <x:c r="B253" s="19" t="str">
        <x:v>B-邻近</x:v>
      </x:c>
      <x:c r="C253" s="19" t="str">
        <x:v>人机信任</x:v>
      </x:c>
      <x:c r="D253" s="19" t="str">
        <x:v>Human-Computer Trust (HCT)</x:v>
      </x:c>
      <x:c r="E253" s="19" t="str">
        <x:v>2000</x:v>
      </x:c>
      <x:c r="F253" s="19" t="str">
        <x:v>Personal Attachment</x:v>
      </x:c>
      <x:c r="G253" s="19" t="str">
        <x:v>PA5</x:v>
      </x:c>
      <x:c r="H253" s="19" t="str">
        <x:v>在可选时，我更愿意使用该系统。</x:v>
      </x:c>
      <x:c r="I253" s="19" t="str"/>
      <x:c r="J253" s="19" t="str">
        <x:v>正向</x:v>
      </x:c>
      <x:c r="K253" s="19" t="str">
        <x:v>5点同意度</x:v>
      </x:c>
      <x:c r="L253" s="19" t="str">
        <x:v>早期多维量表；需核对版本</x:v>
      </x:c>
      <x:c r="M253" s="19" t="str">
        <x:v>总体/每条件</x:v>
      </x:c>
      <x:c r="N253" s="19" t="str">
        <x:v>Personal Attachment</x:v>
      </x:c>
      <x:c r="O253" s="19" t="n">
        <x:v>0</x:v>
      </x:c>
      <x:c r="P253" s="19" t="str">
        <x:v>不建议</x:v>
      </x:c>
      <x:c r="Q253" s="19" t="str">
        <x:v>逐项语义重构；不是官方中文译本</x:v>
      </x:c>
      <x:c r="R253" s="19" t="str">
        <x:v>https://www.researchgate.net/publication/243774961_Human-Computer_Trust</x:v>
      </x:c>
      <x:c r="S253" s="19" t="str">
        <x:v>Madsen &amp; Gregor 2000 scale</x:v>
      </x:c>
      <x:c r="T253" s="19" t="str"/>
      <x:c r="U253" s="19" t="str">
        <x:v>语义重构；正式使用必须核对原量表逐字文本</x:v>
      </x:c>
    </x:row>
    <x:row r="254" ht="47" customHeight="1">
      <x:c r="A254" s="19" t="str">
        <x:v>未决定</x:v>
      </x:c>
      <x:c r="B254" s="19" t="str">
        <x:v>A-直接</x:v>
      </x:c>
      <x:c r="C254" s="19" t="str">
        <x:v>自动化信任</x:v>
      </x:c>
      <x:c r="D254" s="19" t="str">
        <x:v>Muir &amp; Moray Trust Ratings</x:v>
      </x:c>
      <x:c r="E254" s="19" t="str">
        <x:v>1996</x:v>
      </x:c>
      <x:c r="F254" s="19" t="str">
        <x:v>Predictability</x:v>
      </x:c>
      <x:c r="G254" s="19" t="str">
        <x:v>MM1</x:v>
      </x:c>
      <x:c r="H254" s="19" t="str">
        <x:v>该系统的行为在多大程度上可预测。</x:v>
      </x:c>
      <x:c r="I254" s="19" t="str"/>
      <x:c r="J254" s="19" t="str">
        <x:v>正向</x:v>
      </x:c>
      <x:c r="K254" s="19" t="str">
        <x:v>原研究按连续或等级尺度重复评分</x:v>
      </x:c>
      <x:c r="L254" s="19" t="str">
        <x:v>理论驱动；非统一标准化量表</x:v>
      </x:c>
      <x:c r="M254" s="19" t="str">
        <x:v>总体/重复测量</x:v>
      </x:c>
      <x:c r="N254" s="19" t="str">
        <x:v>可预测性</x:v>
      </x:c>
      <x:c r="O254" s="19" t="n">
        <x:v>3</x:v>
      </x:c>
      <x:c r="P254" s="19" t="str">
        <x:v>单项候选</x:v>
      </x:c>
      <x:c r="Q254" s="19" t="str">
        <x:v>构念级语义转述</x:v>
      </x:c>
      <x:c r="R254" s="19" t="str">
        <x:v>https://doi.org/10.1080/00140139608964474</x:v>
      </x:c>
      <x:c r="S254" s="19" t="str">
        <x:v>Muir &amp; Moray 1996</x:v>
      </x:c>
      <x:c r="T254" s="19" t="str"/>
      <x:c r="U254" s="19" t="str"/>
    </x:row>
    <x:row r="255" ht="47" customHeight="1">
      <x:c r="A255" s="19" t="str">
        <x:v>未决定</x:v>
      </x:c>
      <x:c r="B255" s="19" t="str">
        <x:v>A-直接</x:v>
      </x:c>
      <x:c r="C255" s="19" t="str">
        <x:v>自动化信任</x:v>
      </x:c>
      <x:c r="D255" s="19" t="str">
        <x:v>Muir &amp; Moray Trust Ratings</x:v>
      </x:c>
      <x:c r="E255" s="19" t="str">
        <x:v>1996</x:v>
      </x:c>
      <x:c r="F255" s="19" t="str">
        <x:v>Dependability</x:v>
      </x:c>
      <x:c r="G255" s="19" t="str">
        <x:v>MM2</x:v>
      </x:c>
      <x:c r="H255" s="19" t="str">
        <x:v>该系统在多大程度上值得依靠。</x:v>
      </x:c>
      <x:c r="I255" s="19" t="str"/>
      <x:c r="J255" s="19" t="str">
        <x:v>正向</x:v>
      </x:c>
      <x:c r="K255" s="19" t="str">
        <x:v>原研究按连续或等级尺度重复评分</x:v>
      </x:c>
      <x:c r="L255" s="19" t="str">
        <x:v>理论驱动；非统一标准化量表</x:v>
      </x:c>
      <x:c r="M255" s="19" t="str">
        <x:v>总体/重复测量</x:v>
      </x:c>
      <x:c r="N255" s="19" t="str">
        <x:v>可依靠性</x:v>
      </x:c>
      <x:c r="O255" s="19" t="n">
        <x:v>3</x:v>
      </x:c>
      <x:c r="P255" s="19" t="str">
        <x:v>单项候选</x:v>
      </x:c>
      <x:c r="Q255" s="19" t="str">
        <x:v>构念级语义转述</x:v>
      </x:c>
      <x:c r="R255" s="19" t="str">
        <x:v>https://doi.org/10.1080/00140139608964474</x:v>
      </x:c>
      <x:c r="S255" s="19" t="str">
        <x:v>Muir &amp; Moray 1996</x:v>
      </x:c>
      <x:c r="T255" s="19" t="str"/>
      <x:c r="U255" s="19" t="str"/>
    </x:row>
    <x:row r="256" ht="47" customHeight="1">
      <x:c r="A256" s="19" t="str">
        <x:v>未决定</x:v>
      </x:c>
      <x:c r="B256" s="19" t="str">
        <x:v>A-直接</x:v>
      </x:c>
      <x:c r="C256" s="19" t="str">
        <x:v>自动化信任</x:v>
      </x:c>
      <x:c r="D256" s="19" t="str">
        <x:v>Muir &amp; Moray Trust Ratings</x:v>
      </x:c>
      <x:c r="E256" s="19" t="str">
        <x:v>1996</x:v>
      </x:c>
      <x:c r="F256" s="19" t="str">
        <x:v>Faith</x:v>
      </x:c>
      <x:c r="G256" s="19" t="str">
        <x:v>MM3</x:v>
      </x:c>
      <x:c r="H256" s="19" t="str">
        <x:v>即使无法持续监控该系统，我在多大程度上相信它会正确工作。</x:v>
      </x:c>
      <x:c r="I256" s="19" t="str"/>
      <x:c r="J256" s="19" t="str">
        <x:v>正向</x:v>
      </x:c>
      <x:c r="K256" s="19" t="str">
        <x:v>原研究按连续或等级尺度重复评分</x:v>
      </x:c>
      <x:c r="L256" s="19" t="str">
        <x:v>理论驱动；非统一标准化量表</x:v>
      </x:c>
      <x:c r="M256" s="19" t="str">
        <x:v>总体/重复测量</x:v>
      </x:c>
      <x:c r="N256" s="19" t="str">
        <x:v>信念；脆弱性下信任</x:v>
      </x:c>
      <x:c r="O256" s="19" t="n">
        <x:v>3</x:v>
      </x:c>
      <x:c r="P256" s="19" t="str">
        <x:v>单项候选</x:v>
      </x:c>
      <x:c r="Q256" s="19" t="str">
        <x:v>构念级语义转述</x:v>
      </x:c>
      <x:c r="R256" s="19" t="str">
        <x:v>https://doi.org/10.1080/00140139608964474</x:v>
      </x:c>
      <x:c r="S256" s="19" t="str">
        <x:v>Muir &amp; Moray 1996</x:v>
      </x:c>
      <x:c r="T256" s="19" t="str"/>
      <x:c r="U256" s="19" t="str"/>
    </x:row>
    <x:row r="257" ht="47" customHeight="1">
      <x:c r="A257" s="19" t="str">
        <x:v>未决定</x:v>
      </x:c>
      <x:c r="B257" s="19" t="str">
        <x:v>A-直接</x:v>
      </x:c>
      <x:c r="C257" s="19" t="str">
        <x:v>自动化信任</x:v>
      </x:c>
      <x:c r="D257" s="19" t="str">
        <x:v>Muir &amp; Moray Trust Ratings</x:v>
      </x:c>
      <x:c r="E257" s="19" t="str">
        <x:v>1996</x:v>
      </x:c>
      <x:c r="F257" s="19" t="str">
        <x:v>Overall Trust</x:v>
      </x:c>
      <x:c r="G257" s="19" t="str">
        <x:v>MM4</x:v>
      </x:c>
      <x:c r="H257" s="19" t="str">
        <x:v>总体而言，你在多大程度上信任该系统。</x:v>
      </x:c>
      <x:c r="I257" s="19" t="str"/>
      <x:c r="J257" s="19" t="str">
        <x:v>正向</x:v>
      </x:c>
      <x:c r="K257" s="19" t="str">
        <x:v>原研究按连续或等级尺度重复评分</x:v>
      </x:c>
      <x:c r="L257" s="19" t="str">
        <x:v>理论驱动；非统一标准化量表</x:v>
      </x:c>
      <x:c r="M257" s="19" t="str">
        <x:v>总体/重复测量</x:v>
      </x:c>
      <x:c r="N257" s="19" t="str">
        <x:v>总体信任</x:v>
      </x:c>
      <x:c r="O257" s="19" t="n">
        <x:v>3</x:v>
      </x:c>
      <x:c r="P257" s="19" t="str">
        <x:v>单项候选/不替代多项量表</x:v>
      </x:c>
      <x:c r="Q257" s="19" t="str">
        <x:v>构念级语义转述</x:v>
      </x:c>
      <x:c r="R257" s="19" t="str">
        <x:v>https://doi.org/10.1080/00140139608964474</x:v>
      </x:c>
      <x:c r="S257" s="19" t="str">
        <x:v>Muir &amp; Moray 1996</x:v>
      </x:c>
      <x:c r="T257" s="19" t="str"/>
      <x:c r="U257" s="19" t="str"/>
    </x:row>
    <x:row r="258" ht="47" customHeight="1">
      <x:c r="A258" s="19" t="str">
        <x:v>未决定</x:v>
      </x:c>
      <x:c r="B258" s="19" t="str">
        <x:v>A-直接</x:v>
      </x:c>
      <x:c r="C258" s="19" t="str">
        <x:v>AR跟踪与信任</x:v>
      </x:c>
      <x:c r="D258" s="19" t="str">
        <x:v>AR Tracking Trust Study – custom single items</x:v>
      </x:c>
      <x:c r="E258" s="19" t="str">
        <x:v>2024</x:v>
      </x:c>
      <x:c r="F258" s="19" t="str">
        <x:v>Trust</x:v>
      </x:c>
      <x:c r="G258" s="19" t="str">
        <x:v>ARTRUST1</x:v>
      </x:c>
      <x:c r="H258" s="19" t="str">
        <x:v>你在多大程度上信任该增强现实系统？</x:v>
      </x:c>
      <x:c r="I258" s="19" t="str"/>
      <x:c r="J258" s="19" t="str">
        <x:v>正向</x:v>
      </x:c>
      <x:c r="K258" s="19" t="str">
        <x:v>7点；各题双极端点</x:v>
      </x:c>
      <x:c r="L258" s="19" t="str">
        <x:v>研究定制单项；与TOAST共同使用</x:v>
      </x:c>
      <x:c r="M258" s="19" t="str">
        <x:v>每误差条件</x:v>
      </x:c>
      <x:c r="N258" s="19" t="str">
        <x:v>跟踪误差导致的总体信任</x:v>
      </x:c>
      <x:c r="O258" s="19" t="n">
        <x:v>3</x:v>
      </x:c>
      <x:c r="P258" s="19" t="str">
        <x:v>领域直接单项</x:v>
      </x:c>
      <x:c r="Q258" s="19" t="str">
        <x:v>论文语义转述；正式引用需核对原文方法节</x:v>
      </x:c>
      <x:c r="R258" s="19" t="str">
        <x:v>https://sreal.ucf.edu/wp-content/uploads/2024/08/C_G____ARTrust____Accuracy___Precision.pdf</x:v>
      </x:c>
      <x:c r="S258" s="19" t="str">
        <x:v>10.1016/j.cag.2024.104035</x:v>
      </x:c>
      <x:c r="T258" s="19" t="str"/>
      <x:c r="U258" s="19" t="str"/>
    </x:row>
    <x:row r="259" ht="47" customHeight="1">
      <x:c r="A259" s="19" t="str">
        <x:v>未决定</x:v>
      </x:c>
      <x:c r="B259" s="19" t="str">
        <x:v>A-直接</x:v>
      </x:c>
      <x:c r="C259" s="19" t="str">
        <x:v>AR跟踪与信任</x:v>
      </x:c>
      <x:c r="D259" s="19" t="str">
        <x:v>AR Tracking Trust Study – custom single items</x:v>
      </x:c>
      <x:c r="E259" s="19" t="str">
        <x:v>2024</x:v>
      </x:c>
      <x:c r="F259" s="19" t="str">
        <x:v>Reliance</x:v>
      </x:c>
      <x:c r="G259" s="19" t="str">
        <x:v>ARTRUST2</x:v>
      </x:c>
      <x:c r="H259" s="19" t="str">
        <x:v>你在多大程度上愿意依赖该增强现实系统提供的信息？</x:v>
      </x:c>
      <x:c r="I259" s="19" t="str"/>
      <x:c r="J259" s="19" t="str">
        <x:v>正向</x:v>
      </x:c>
      <x:c r="K259" s="19" t="str">
        <x:v>7点；各题双极端点</x:v>
      </x:c>
      <x:c r="L259" s="19" t="str">
        <x:v>研究定制单项；与TOAST共同使用</x:v>
      </x:c>
      <x:c r="M259" s="19" t="str">
        <x:v>每误差条件</x:v>
      </x:c>
      <x:c r="N259" s="19" t="str">
        <x:v>依赖</x:v>
      </x:c>
      <x:c r="O259" s="19" t="n">
        <x:v>3</x:v>
      </x:c>
      <x:c r="P259" s="19" t="str">
        <x:v>领域直接单项</x:v>
      </x:c>
      <x:c r="Q259" s="19" t="str">
        <x:v>论文语义转述；正式引用需核对原文方法节</x:v>
      </x:c>
      <x:c r="R259" s="19" t="str">
        <x:v>https://sreal.ucf.edu/wp-content/uploads/2024/08/C_G____ARTrust____Accuracy___Precision.pdf</x:v>
      </x:c>
      <x:c r="S259" s="19" t="str">
        <x:v>10.1016/j.cag.2024.104035</x:v>
      </x:c>
      <x:c r="T259" s="19" t="str"/>
      <x:c r="U259" s="19" t="str"/>
    </x:row>
    <x:row r="260" ht="47" customHeight="1">
      <x:c r="A260" s="19" t="str">
        <x:v>未决定</x:v>
      </x:c>
      <x:c r="B260" s="19" t="str">
        <x:v>A-直接</x:v>
      </x:c>
      <x:c r="C260" s="19" t="str">
        <x:v>AR跟踪与信任</x:v>
      </x:c>
      <x:c r="D260" s="19" t="str">
        <x:v>AR Tracking Trust Study – custom single items</x:v>
      </x:c>
      <x:c r="E260" s="19" t="str">
        <x:v>2024</x:v>
      </x:c>
      <x:c r="F260" s="19" t="str">
        <x:v>Confidence</x:v>
      </x:c>
      <x:c r="G260" s="19" t="str">
        <x:v>ARTRUST3</x:v>
      </x:c>
      <x:c r="H260" s="19" t="str">
        <x:v>你对自己在该条件下完成任务的表现有多大信心？</x:v>
      </x:c>
      <x:c r="I260" s="19" t="str"/>
      <x:c r="J260" s="19" t="str">
        <x:v>正向</x:v>
      </x:c>
      <x:c r="K260" s="19" t="str">
        <x:v>7点；各题双极端点</x:v>
      </x:c>
      <x:c r="L260" s="19" t="str">
        <x:v>研究定制单项；与TOAST共同使用</x:v>
      </x:c>
      <x:c r="M260" s="19" t="str">
        <x:v>每误差条件</x:v>
      </x:c>
      <x:c r="N260" s="19" t="str">
        <x:v>任务信心</x:v>
      </x:c>
      <x:c r="O260" s="19" t="n">
        <x:v>1</x:v>
      </x:c>
      <x:c r="P260" s="19" t="str">
        <x:v>控制/行为效度</x:v>
      </x:c>
      <x:c r="Q260" s="19" t="str">
        <x:v>论文语义转述；正式引用需核对原文方法节</x:v>
      </x:c>
      <x:c r="R260" s="19" t="str">
        <x:v>https://sreal.ucf.edu/wp-content/uploads/2024/08/C_G____ARTrust____Accuracy___Precision.pdf</x:v>
      </x:c>
      <x:c r="S260" s="19" t="str">
        <x:v>10.1016/j.cag.2024.104035</x:v>
      </x:c>
      <x:c r="T260" s="19" t="str"/>
      <x:c r="U260" s="19" t="str"/>
    </x:row>
    <x:row r="261" ht="47" customHeight="1">
      <x:c r="A261" s="19" t="str">
        <x:v>未决定</x:v>
      </x:c>
      <x:c r="B261" s="19" t="str">
        <x:v>A-直接</x:v>
      </x:c>
      <x:c r="C261" s="19" t="str">
        <x:v>AR跟踪与信任</x:v>
      </x:c>
      <x:c r="D261" s="19" t="str">
        <x:v>AR Tracking Trust Study – custom single items</x:v>
      </x:c>
      <x:c r="E261" s="19" t="str">
        <x:v>2024</x:v>
      </x:c>
      <x:c r="F261" s="19" t="str">
        <x:v>Difficulty</x:v>
      </x:c>
      <x:c r="G261" s="19" t="str">
        <x:v>ARTRUST4</x:v>
      </x:c>
      <x:c r="H261" s="19" t="str">
        <x:v>你认为该条件下的任务有多困难？</x:v>
      </x:c>
      <x:c r="I261" s="19" t="str"/>
      <x:c r="J261" s="19" t="str">
        <x:v>正向</x:v>
      </x:c>
      <x:c r="K261" s="19" t="str">
        <x:v>7点；各题双极端点</x:v>
      </x:c>
      <x:c r="L261" s="19" t="str">
        <x:v>研究定制单项；与TOAST共同使用</x:v>
      </x:c>
      <x:c r="M261" s="19" t="str">
        <x:v>每误差条件</x:v>
      </x:c>
      <x:c r="N261" s="19" t="str">
        <x:v>任务难度</x:v>
      </x:c>
      <x:c r="O261" s="19" t="n">
        <x:v>1</x:v>
      </x:c>
      <x:c r="P261" s="19" t="str">
        <x:v>控制变量</x:v>
      </x:c>
      <x:c r="Q261" s="19" t="str">
        <x:v>论文语义转述；正式引用需核对原文方法节</x:v>
      </x:c>
      <x:c r="R261" s="19" t="str">
        <x:v>https://sreal.ucf.edu/wp-content/uploads/2024/08/C_G____ARTrust____Accuracy___Precision.pdf</x:v>
      </x:c>
      <x:c r="S261" s="19" t="str">
        <x:v>10.1016/j.cag.2024.104035</x:v>
      </x:c>
      <x:c r="T261" s="19" t="str"/>
      <x:c r="U261" s="19" t="str"/>
    </x:row>
    <x:row r="262" ht="47" customHeight="1">
      <x:c r="A262" s="19" t="str">
        <x:v>未决定</x:v>
      </x:c>
      <x:c r="B262" s="19" t="str">
        <x:v>A-直接</x:v>
      </x:c>
      <x:c r="C262" s="19" t="str">
        <x:v>AR跟踪与信任</x:v>
      </x:c>
      <x:c r="D262" s="19" t="str">
        <x:v>AR Tracking Trust Study – custom single items</x:v>
      </x:c>
      <x:c r="E262" s="19" t="str">
        <x:v>2024</x:v>
      </x:c>
      <x:c r="F262" s="19" t="str">
        <x:v>Advantageousness</x:v>
      </x:c>
      <x:c r="G262" s="19" t="str">
        <x:v>ARTRUST5</x:v>
      </x:c>
      <x:c r="H262" s="19" t="str">
        <x:v>使用该增强现实系统对完成任务有多大帮助或优势？</x:v>
      </x:c>
      <x:c r="I262" s="19" t="str"/>
      <x:c r="J262" s="19" t="str">
        <x:v>正向</x:v>
      </x:c>
      <x:c r="K262" s="19" t="str">
        <x:v>7点；各题双极端点</x:v>
      </x:c>
      <x:c r="L262" s="19" t="str">
        <x:v>研究定制单项；与TOAST共同使用</x:v>
      </x:c>
      <x:c r="M262" s="19" t="str">
        <x:v>每误差条件</x:v>
      </x:c>
      <x:c r="N262" s="19" t="str">
        <x:v>感知效用</x:v>
      </x:c>
      <x:c r="O262" s="19" t="n">
        <x:v>2</x:v>
      </x:c>
      <x:c r="P262" s="19" t="str">
        <x:v>备选</x:v>
      </x:c>
      <x:c r="Q262" s="19" t="str">
        <x:v>论文语义转述；正式引用需核对原文方法节</x:v>
      </x:c>
      <x:c r="R262" s="19" t="str">
        <x:v>https://sreal.ucf.edu/wp-content/uploads/2024/08/C_G____ARTrust____Accuracy___Precision.pdf</x:v>
      </x:c>
      <x:c r="S262" s="19" t="str">
        <x:v>10.1016/j.cag.2024.104035</x:v>
      </x:c>
      <x:c r="T262" s="19" t="str"/>
      <x:c r="U262" s="19" t="str"/>
    </x:row>
    <x:row r="263" ht="47" customHeight="1">
      <x:c r="A263" s="19" t="str">
        <x:v>未决定</x:v>
      </x:c>
      <x:c r="B263" s="19" t="str">
        <x:v>C-控制</x:v>
      </x:c>
      <x:c r="C263" s="19" t="str">
        <x:v>总体可用性</x:v>
      </x:c>
      <x:c r="D263" s="19" t="str">
        <x:v>System Usability Scale (SUS)</x:v>
      </x:c>
      <x:c r="E263" s="19" t="str">
        <x:v>1996</x:v>
      </x:c>
      <x:c r="F263" s="19" t="str">
        <x:v>Overall Usability</x:v>
      </x:c>
      <x:c r="G263" s="19" t="str">
        <x:v>SUS1</x:v>
      </x:c>
      <x:c r="H263" s="19" t="str">
        <x:v>我愿意经常使用这个系统。</x:v>
      </x:c>
      <x:c r="I263" s="19" t="str"/>
      <x:c r="J263" s="19" t="str">
        <x:v>正向</x:v>
      </x:c>
      <x:c r="K263" s="19" t="str">
        <x:v>5点：强烈不同意–强烈同意</x:v>
      </x:c>
      <x:c r="L263" s="19" t="str">
        <x:v>经典量表</x:v>
      </x:c>
      <x:c r="M263" s="19" t="str">
        <x:v>最终</x:v>
      </x:c>
      <x:c r="N263" s="19" t="str">
        <x:v>总体可用性</x:v>
      </x:c>
      <x:c r="O263" s="19" t="n">
        <x:v>0</x:v>
      </x:c>
      <x:c r="P263" s="19" t="str">
        <x:v>不建议：操纵不针对完整产品可用性</x:v>
      </x:c>
      <x:c r="Q263" s="19" t="str">
        <x:v>标准条目中文语义转述</x:v>
      </x:c>
      <x:c r="R263" s="19" t="str">
        <x:v>https://www.usability.gov/how-to-and-tools/methods/system-usability-scale.html</x:v>
      </x:c>
      <x:c r="S263" s="19" t="str">
        <x:v>Standard SUS</x:v>
      </x:c>
      <x:c r="T263" s="19" t="str"/>
      <x:c r="U263" s="19" t="str"/>
    </x:row>
    <x:row r="264" ht="47" customHeight="1">
      <x:c r="A264" s="19" t="str">
        <x:v>未决定</x:v>
      </x:c>
      <x:c r="B264" s="19" t="str">
        <x:v>C-控制</x:v>
      </x:c>
      <x:c r="C264" s="19" t="str">
        <x:v>总体可用性</x:v>
      </x:c>
      <x:c r="D264" s="19" t="str">
        <x:v>System Usability Scale (SUS)</x:v>
      </x:c>
      <x:c r="E264" s="19" t="str">
        <x:v>1996</x:v>
      </x:c>
      <x:c r="F264" s="19" t="str">
        <x:v>Overall Usability</x:v>
      </x:c>
      <x:c r="G264" s="19" t="str">
        <x:v>SUS2</x:v>
      </x:c>
      <x:c r="H264" s="19" t="str">
        <x:v>我觉得这个系统不必要地复杂。</x:v>
      </x:c>
      <x:c r="I264" s="19" t="str"/>
      <x:c r="J264" s="19" t="str">
        <x:v>反向</x:v>
      </x:c>
      <x:c r="K264" s="19" t="str">
        <x:v>5点：强烈不同意–强烈同意</x:v>
      </x:c>
      <x:c r="L264" s="19" t="str">
        <x:v>经典量表</x:v>
      </x:c>
      <x:c r="M264" s="19" t="str">
        <x:v>最终</x:v>
      </x:c>
      <x:c r="N264" s="19" t="str">
        <x:v>总体可用性</x:v>
      </x:c>
      <x:c r="O264" s="19" t="n">
        <x:v>0</x:v>
      </x:c>
      <x:c r="P264" s="19" t="str">
        <x:v>不建议：操纵不针对完整产品可用性</x:v>
      </x:c>
      <x:c r="Q264" s="19" t="str">
        <x:v>标准条目中文语义转述</x:v>
      </x:c>
      <x:c r="R264" s="19" t="str">
        <x:v>https://www.usability.gov/how-to-and-tools/methods/system-usability-scale.html</x:v>
      </x:c>
      <x:c r="S264" s="19" t="str">
        <x:v>Standard SUS</x:v>
      </x:c>
      <x:c r="T264" s="19" t="str"/>
      <x:c r="U264" s="19" t="str"/>
    </x:row>
    <x:row r="265" ht="47" customHeight="1">
      <x:c r="A265" s="19" t="str">
        <x:v>未决定</x:v>
      </x:c>
      <x:c r="B265" s="19" t="str">
        <x:v>C-控制</x:v>
      </x:c>
      <x:c r="C265" s="19" t="str">
        <x:v>总体可用性</x:v>
      </x:c>
      <x:c r="D265" s="19" t="str">
        <x:v>System Usability Scale (SUS)</x:v>
      </x:c>
      <x:c r="E265" s="19" t="str">
        <x:v>1996</x:v>
      </x:c>
      <x:c r="F265" s="19" t="str">
        <x:v>Overall Usability</x:v>
      </x:c>
      <x:c r="G265" s="19" t="str">
        <x:v>SUS3</x:v>
      </x:c>
      <x:c r="H265" s="19" t="str">
        <x:v>我觉得这个系统容易使用。</x:v>
      </x:c>
      <x:c r="I265" s="19" t="str"/>
      <x:c r="J265" s="19" t="str">
        <x:v>正向</x:v>
      </x:c>
      <x:c r="K265" s="19" t="str">
        <x:v>5点：强烈不同意–强烈同意</x:v>
      </x:c>
      <x:c r="L265" s="19" t="str">
        <x:v>经典量表</x:v>
      </x:c>
      <x:c r="M265" s="19" t="str">
        <x:v>最终</x:v>
      </x:c>
      <x:c r="N265" s="19" t="str">
        <x:v>总体可用性</x:v>
      </x:c>
      <x:c r="O265" s="19" t="n">
        <x:v>0</x:v>
      </x:c>
      <x:c r="P265" s="19" t="str">
        <x:v>不建议：操纵不针对完整产品可用性</x:v>
      </x:c>
      <x:c r="Q265" s="19" t="str">
        <x:v>标准条目中文语义转述</x:v>
      </x:c>
      <x:c r="R265" s="19" t="str">
        <x:v>https://www.usability.gov/how-to-and-tools/methods/system-usability-scale.html</x:v>
      </x:c>
      <x:c r="S265" s="19" t="str">
        <x:v>Standard SUS</x:v>
      </x:c>
      <x:c r="T265" s="19" t="str"/>
      <x:c r="U265" s="19" t="str"/>
    </x:row>
    <x:row r="266" ht="47" customHeight="1">
      <x:c r="A266" s="19" t="str">
        <x:v>未决定</x:v>
      </x:c>
      <x:c r="B266" s="19" t="str">
        <x:v>C-控制</x:v>
      </x:c>
      <x:c r="C266" s="19" t="str">
        <x:v>总体可用性</x:v>
      </x:c>
      <x:c r="D266" s="19" t="str">
        <x:v>System Usability Scale (SUS)</x:v>
      </x:c>
      <x:c r="E266" s="19" t="str">
        <x:v>1996</x:v>
      </x:c>
      <x:c r="F266" s="19" t="str">
        <x:v>Overall Usability</x:v>
      </x:c>
      <x:c r="G266" s="19" t="str">
        <x:v>SUS4</x:v>
      </x:c>
      <x:c r="H266" s="19" t="str">
        <x:v>我认为需要技术人员支持才能使用这个系统。</x:v>
      </x:c>
      <x:c r="I266" s="19" t="str"/>
      <x:c r="J266" s="19" t="str">
        <x:v>反向</x:v>
      </x:c>
      <x:c r="K266" s="19" t="str">
        <x:v>5点：强烈不同意–强烈同意</x:v>
      </x:c>
      <x:c r="L266" s="19" t="str">
        <x:v>经典量表</x:v>
      </x:c>
      <x:c r="M266" s="19" t="str">
        <x:v>最终</x:v>
      </x:c>
      <x:c r="N266" s="19" t="str">
        <x:v>总体可用性</x:v>
      </x:c>
      <x:c r="O266" s="19" t="n">
        <x:v>0</x:v>
      </x:c>
      <x:c r="P266" s="19" t="str">
        <x:v>不建议：操纵不针对完整产品可用性</x:v>
      </x:c>
      <x:c r="Q266" s="19" t="str">
        <x:v>标准条目中文语义转述</x:v>
      </x:c>
      <x:c r="R266" s="19" t="str">
        <x:v>https://www.usability.gov/how-to-and-tools/methods/system-usability-scale.html</x:v>
      </x:c>
      <x:c r="S266" s="19" t="str">
        <x:v>Standard SUS</x:v>
      </x:c>
      <x:c r="T266" s="19" t="str"/>
      <x:c r="U266" s="19" t="str"/>
    </x:row>
    <x:row r="267" ht="47" customHeight="1">
      <x:c r="A267" s="19" t="str">
        <x:v>未决定</x:v>
      </x:c>
      <x:c r="B267" s="19" t="str">
        <x:v>C-控制</x:v>
      </x:c>
      <x:c r="C267" s="19" t="str">
        <x:v>总体可用性</x:v>
      </x:c>
      <x:c r="D267" s="19" t="str">
        <x:v>System Usability Scale (SUS)</x:v>
      </x:c>
      <x:c r="E267" s="19" t="str">
        <x:v>1996</x:v>
      </x:c>
      <x:c r="F267" s="19" t="str">
        <x:v>Overall Usability</x:v>
      </x:c>
      <x:c r="G267" s="19" t="str">
        <x:v>SUS5</x:v>
      </x:c>
      <x:c r="H267" s="19" t="str">
        <x:v>我觉得系统中的各项功能整合得很好。</x:v>
      </x:c>
      <x:c r="I267" s="19" t="str"/>
      <x:c r="J267" s="19" t="str">
        <x:v>正向</x:v>
      </x:c>
      <x:c r="K267" s="19" t="str">
        <x:v>5点：强烈不同意–强烈同意</x:v>
      </x:c>
      <x:c r="L267" s="19" t="str">
        <x:v>经典量表</x:v>
      </x:c>
      <x:c r="M267" s="19" t="str">
        <x:v>最终</x:v>
      </x:c>
      <x:c r="N267" s="19" t="str">
        <x:v>总体可用性</x:v>
      </x:c>
      <x:c r="O267" s="19" t="n">
        <x:v>0</x:v>
      </x:c>
      <x:c r="P267" s="19" t="str">
        <x:v>不建议：操纵不针对完整产品可用性</x:v>
      </x:c>
      <x:c r="Q267" s="19" t="str">
        <x:v>标准条目中文语义转述</x:v>
      </x:c>
      <x:c r="R267" s="19" t="str">
        <x:v>https://www.usability.gov/how-to-and-tools/methods/system-usability-scale.html</x:v>
      </x:c>
      <x:c r="S267" s="19" t="str">
        <x:v>Standard SUS</x:v>
      </x:c>
      <x:c r="T267" s="19" t="str"/>
      <x:c r="U267" s="19" t="str"/>
    </x:row>
    <x:row r="268" ht="47" customHeight="1">
      <x:c r="A268" s="19" t="str">
        <x:v>未决定</x:v>
      </x:c>
      <x:c r="B268" s="19" t="str">
        <x:v>C-控制</x:v>
      </x:c>
      <x:c r="C268" s="19" t="str">
        <x:v>总体可用性</x:v>
      </x:c>
      <x:c r="D268" s="19" t="str">
        <x:v>System Usability Scale (SUS)</x:v>
      </x:c>
      <x:c r="E268" s="19" t="str">
        <x:v>1996</x:v>
      </x:c>
      <x:c r="F268" s="19" t="str">
        <x:v>Overall Usability</x:v>
      </x:c>
      <x:c r="G268" s="19" t="str">
        <x:v>SUS6</x:v>
      </x:c>
      <x:c r="H268" s="19" t="str">
        <x:v>我觉得这个系统存在太多不一致。</x:v>
      </x:c>
      <x:c r="I268" s="19" t="str"/>
      <x:c r="J268" s="19" t="str">
        <x:v>反向</x:v>
      </x:c>
      <x:c r="K268" s="19" t="str">
        <x:v>5点：强烈不同意–强烈同意</x:v>
      </x:c>
      <x:c r="L268" s="19" t="str">
        <x:v>经典量表</x:v>
      </x:c>
      <x:c r="M268" s="19" t="str">
        <x:v>最终</x:v>
      </x:c>
      <x:c r="N268" s="19" t="str">
        <x:v>总体可用性</x:v>
      </x:c>
      <x:c r="O268" s="19" t="n">
        <x:v>0</x:v>
      </x:c>
      <x:c r="P268" s="19" t="str">
        <x:v>不建议：操纵不针对完整产品可用性</x:v>
      </x:c>
      <x:c r="Q268" s="19" t="str">
        <x:v>标准条目中文语义转述</x:v>
      </x:c>
      <x:c r="R268" s="19" t="str">
        <x:v>https://www.usability.gov/how-to-and-tools/methods/system-usability-scale.html</x:v>
      </x:c>
      <x:c r="S268" s="19" t="str">
        <x:v>Standard SUS</x:v>
      </x:c>
      <x:c r="T268" s="19" t="str"/>
      <x:c r="U268" s="19" t="str"/>
    </x:row>
    <x:row r="269" ht="47" customHeight="1">
      <x:c r="A269" s="19" t="str">
        <x:v>未决定</x:v>
      </x:c>
      <x:c r="B269" s="19" t="str">
        <x:v>C-控制</x:v>
      </x:c>
      <x:c r="C269" s="19" t="str">
        <x:v>总体可用性</x:v>
      </x:c>
      <x:c r="D269" s="19" t="str">
        <x:v>System Usability Scale (SUS)</x:v>
      </x:c>
      <x:c r="E269" s="19" t="str">
        <x:v>1996</x:v>
      </x:c>
      <x:c r="F269" s="19" t="str">
        <x:v>Overall Usability</x:v>
      </x:c>
      <x:c r="G269" s="19" t="str">
        <x:v>SUS7</x:v>
      </x:c>
      <x:c r="H269" s="19" t="str">
        <x:v>我认为大多数人能够很快学会使用这个系统。</x:v>
      </x:c>
      <x:c r="I269" s="19" t="str"/>
      <x:c r="J269" s="19" t="str">
        <x:v>正向</x:v>
      </x:c>
      <x:c r="K269" s="19" t="str">
        <x:v>5点：强烈不同意–强烈同意</x:v>
      </x:c>
      <x:c r="L269" s="19" t="str">
        <x:v>经典量表</x:v>
      </x:c>
      <x:c r="M269" s="19" t="str">
        <x:v>最终</x:v>
      </x:c>
      <x:c r="N269" s="19" t="str">
        <x:v>总体可用性</x:v>
      </x:c>
      <x:c r="O269" s="19" t="n">
        <x:v>0</x:v>
      </x:c>
      <x:c r="P269" s="19" t="str">
        <x:v>不建议：操纵不针对完整产品可用性</x:v>
      </x:c>
      <x:c r="Q269" s="19" t="str">
        <x:v>标准条目中文语义转述</x:v>
      </x:c>
      <x:c r="R269" s="19" t="str">
        <x:v>https://www.usability.gov/how-to-and-tools/methods/system-usability-scale.html</x:v>
      </x:c>
      <x:c r="S269" s="19" t="str">
        <x:v>Standard SUS</x:v>
      </x:c>
      <x:c r="T269" s="19" t="str"/>
      <x:c r="U269" s="19" t="str"/>
    </x:row>
    <x:row r="270" ht="47" customHeight="1">
      <x:c r="A270" s="19" t="str">
        <x:v>未决定</x:v>
      </x:c>
      <x:c r="B270" s="19" t="str">
        <x:v>C-控制</x:v>
      </x:c>
      <x:c r="C270" s="19" t="str">
        <x:v>总体可用性</x:v>
      </x:c>
      <x:c r="D270" s="19" t="str">
        <x:v>System Usability Scale (SUS)</x:v>
      </x:c>
      <x:c r="E270" s="19" t="str">
        <x:v>1996</x:v>
      </x:c>
      <x:c r="F270" s="19" t="str">
        <x:v>Overall Usability</x:v>
      </x:c>
      <x:c r="G270" s="19" t="str">
        <x:v>SUS8</x:v>
      </x:c>
      <x:c r="H270" s="19" t="str">
        <x:v>我觉得这个系统使用起来很笨重或繁琐。</x:v>
      </x:c>
      <x:c r="I270" s="19" t="str"/>
      <x:c r="J270" s="19" t="str">
        <x:v>反向</x:v>
      </x:c>
      <x:c r="K270" s="19" t="str">
        <x:v>5点：强烈不同意–强烈同意</x:v>
      </x:c>
      <x:c r="L270" s="19" t="str">
        <x:v>经典量表</x:v>
      </x:c>
      <x:c r="M270" s="19" t="str">
        <x:v>最终</x:v>
      </x:c>
      <x:c r="N270" s="19" t="str">
        <x:v>总体可用性</x:v>
      </x:c>
      <x:c r="O270" s="19" t="n">
        <x:v>0</x:v>
      </x:c>
      <x:c r="P270" s="19" t="str">
        <x:v>不建议：操纵不针对完整产品可用性</x:v>
      </x:c>
      <x:c r="Q270" s="19" t="str">
        <x:v>标准条目中文语义转述</x:v>
      </x:c>
      <x:c r="R270" s="19" t="str">
        <x:v>https://www.usability.gov/how-to-and-tools/methods/system-usability-scale.html</x:v>
      </x:c>
      <x:c r="S270" s="19" t="str">
        <x:v>Standard SUS</x:v>
      </x:c>
      <x:c r="T270" s="19" t="str"/>
      <x:c r="U270" s="19" t="str"/>
    </x:row>
    <x:row r="271" ht="47" customHeight="1">
      <x:c r="A271" s="19" t="str">
        <x:v>未决定</x:v>
      </x:c>
      <x:c r="B271" s="19" t="str">
        <x:v>C-控制</x:v>
      </x:c>
      <x:c r="C271" s="19" t="str">
        <x:v>总体可用性</x:v>
      </x:c>
      <x:c r="D271" s="19" t="str">
        <x:v>System Usability Scale (SUS)</x:v>
      </x:c>
      <x:c r="E271" s="19" t="str">
        <x:v>1996</x:v>
      </x:c>
      <x:c r="F271" s="19" t="str">
        <x:v>Overall Usability</x:v>
      </x:c>
      <x:c r="G271" s="19" t="str">
        <x:v>SUS9</x:v>
      </x:c>
      <x:c r="H271" s="19" t="str">
        <x:v>使用这个系统时我感到很有信心。</x:v>
      </x:c>
      <x:c r="I271" s="19" t="str"/>
      <x:c r="J271" s="19" t="str">
        <x:v>正向</x:v>
      </x:c>
      <x:c r="K271" s="19" t="str">
        <x:v>5点：强烈不同意–强烈同意</x:v>
      </x:c>
      <x:c r="L271" s="19" t="str">
        <x:v>经典量表</x:v>
      </x:c>
      <x:c r="M271" s="19" t="str">
        <x:v>最终</x:v>
      </x:c>
      <x:c r="N271" s="19" t="str">
        <x:v>总体可用性</x:v>
      </x:c>
      <x:c r="O271" s="19" t="n">
        <x:v>0</x:v>
      </x:c>
      <x:c r="P271" s="19" t="str">
        <x:v>不建议：操纵不针对完整产品可用性</x:v>
      </x:c>
      <x:c r="Q271" s="19" t="str">
        <x:v>标准条目中文语义转述</x:v>
      </x:c>
      <x:c r="R271" s="19" t="str">
        <x:v>https://www.usability.gov/how-to-and-tools/methods/system-usability-scale.html</x:v>
      </x:c>
      <x:c r="S271" s="19" t="str">
        <x:v>Standard SUS</x:v>
      </x:c>
      <x:c r="T271" s="19" t="str"/>
      <x:c r="U271" s="19" t="str"/>
    </x:row>
    <x:row r="272" ht="47" customHeight="1">
      <x:c r="A272" s="19" t="str">
        <x:v>未决定</x:v>
      </x:c>
      <x:c r="B272" s="19" t="str">
        <x:v>C-控制</x:v>
      </x:c>
      <x:c r="C272" s="19" t="str">
        <x:v>总体可用性</x:v>
      </x:c>
      <x:c r="D272" s="19" t="str">
        <x:v>System Usability Scale (SUS)</x:v>
      </x:c>
      <x:c r="E272" s="19" t="str">
        <x:v>1996</x:v>
      </x:c>
      <x:c r="F272" s="19" t="str">
        <x:v>Overall Usability</x:v>
      </x:c>
      <x:c r="G272" s="19" t="str">
        <x:v>SUS10</x:v>
      </x:c>
      <x:c r="H272" s="19" t="str">
        <x:v>在开始使用这个系统前，我需要学习很多东西。</x:v>
      </x:c>
      <x:c r="I272" s="19" t="str"/>
      <x:c r="J272" s="19" t="str">
        <x:v>反向</x:v>
      </x:c>
      <x:c r="K272" s="19" t="str">
        <x:v>5点：强烈不同意–强烈同意</x:v>
      </x:c>
      <x:c r="L272" s="19" t="str">
        <x:v>经典量表</x:v>
      </x:c>
      <x:c r="M272" s="19" t="str">
        <x:v>最终</x:v>
      </x:c>
      <x:c r="N272" s="19" t="str">
        <x:v>总体可用性</x:v>
      </x:c>
      <x:c r="O272" s="19" t="n">
        <x:v>0</x:v>
      </x:c>
      <x:c r="P272" s="19" t="str">
        <x:v>不建议：操纵不针对完整产品可用性</x:v>
      </x:c>
      <x:c r="Q272" s="19" t="str">
        <x:v>标准条目中文语义转述</x:v>
      </x:c>
      <x:c r="R272" s="19" t="str">
        <x:v>https://www.usability.gov/how-to-and-tools/methods/system-usability-scale.html</x:v>
      </x:c>
      <x:c r="S272" s="19" t="str">
        <x:v>Standard SUS</x:v>
      </x:c>
      <x:c r="T272" s="19" t="str"/>
      <x:c r="U272" s="19" t="str"/>
    </x:row>
    <x:row r="273" ht="47" customHeight="1">
      <x:c r="A273" s="19" t="str">
        <x:v>未决定</x:v>
      </x:c>
      <x:c r="B273" s="19" t="str">
        <x:v>C-控制</x:v>
      </x:c>
      <x:c r="C273" s="19" t="str">
        <x:v>总体用户体验</x:v>
      </x:c>
      <x:c r="D273" s="19" t="str">
        <x:v>User Experience Questionnaire – Short (UEQ-S)</x:v>
      </x:c>
      <x:c r="E273" s="19" t="str">
        <x:v>2017</x:v>
      </x:c>
      <x:c r="F273" s="19" t="str">
        <x:v>Pragmatic Quality</x:v>
      </x:c>
      <x:c r="G273" s="19" t="str">
        <x:v>UEQ-S1</x:v>
      </x:c>
      <x:c r="H273" s="19" t="str">
        <x:v>妨碍的 — 支持的</x:v>
      </x:c>
      <x:c r="I273" s="19" t="str"/>
      <x:c r="J273" s="19" t="str">
        <x:v>双极</x:v>
      </x:c>
      <x:c r="K273" s="19" t="str">
        <x:v>7点双极</x:v>
      </x:c>
      <x:c r="L273" s="19" t="str">
        <x:v>已验证</x:v>
      </x:c>
      <x:c r="M273" s="19" t="str">
        <x:v>最终</x:v>
      </x:c>
      <x:c r="N273" s="19" t="str">
        <x:v>总体UX</x:v>
      </x:c>
      <x:c r="O273" s="19" t="n">
        <x:v>0</x:v>
      </x:c>
      <x:c r="P273" s="19" t="str">
        <x:v>不建议作为主结局</x:v>
      </x:c>
      <x:c r="Q273" s="19" t="str">
        <x:v>官方语义对；中文整理</x:v>
      </x:c>
      <x:c r="R273" s="19" t="str">
        <x:v>https://www.ueq-online.org/</x:v>
      </x:c>
      <x:c r="S273" s="19" t="str">
        <x:v>Official UEQ-S</x:v>
      </x:c>
      <x:c r="T273" s="19" t="str"/>
      <x:c r="U273" s="19" t="str"/>
    </x:row>
    <x:row r="274" ht="47" customHeight="1">
      <x:c r="A274" s="19" t="str">
        <x:v>未决定</x:v>
      </x:c>
      <x:c r="B274" s="19" t="str">
        <x:v>C-控制</x:v>
      </x:c>
      <x:c r="C274" s="19" t="str">
        <x:v>总体用户体验</x:v>
      </x:c>
      <x:c r="D274" s="19" t="str">
        <x:v>User Experience Questionnaire – Short (UEQ-S)</x:v>
      </x:c>
      <x:c r="E274" s="19" t="str">
        <x:v>2017</x:v>
      </x:c>
      <x:c r="F274" s="19" t="str">
        <x:v>Pragmatic Quality</x:v>
      </x:c>
      <x:c r="G274" s="19" t="str">
        <x:v>UEQ-S2</x:v>
      </x:c>
      <x:c r="H274" s="19" t="str">
        <x:v>复杂的 — 简单的</x:v>
      </x:c>
      <x:c r="I274" s="19" t="str"/>
      <x:c r="J274" s="19" t="str">
        <x:v>双极</x:v>
      </x:c>
      <x:c r="K274" s="19" t="str">
        <x:v>7点双极</x:v>
      </x:c>
      <x:c r="L274" s="19" t="str">
        <x:v>已验证</x:v>
      </x:c>
      <x:c r="M274" s="19" t="str">
        <x:v>最终</x:v>
      </x:c>
      <x:c r="N274" s="19" t="str">
        <x:v>总体UX</x:v>
      </x:c>
      <x:c r="O274" s="19" t="n">
        <x:v>0</x:v>
      </x:c>
      <x:c r="P274" s="19" t="str">
        <x:v>不建议作为主结局</x:v>
      </x:c>
      <x:c r="Q274" s="19" t="str">
        <x:v>官方语义对；中文整理</x:v>
      </x:c>
      <x:c r="R274" s="19" t="str">
        <x:v>https://www.ueq-online.org/</x:v>
      </x:c>
      <x:c r="S274" s="19" t="str">
        <x:v>Official UEQ-S</x:v>
      </x:c>
      <x:c r="T274" s="19" t="str"/>
      <x:c r="U274" s="19" t="str"/>
    </x:row>
    <x:row r="275" ht="47" customHeight="1">
      <x:c r="A275" s="19" t="str">
        <x:v>未决定</x:v>
      </x:c>
      <x:c r="B275" s="19" t="str">
        <x:v>C-控制</x:v>
      </x:c>
      <x:c r="C275" s="19" t="str">
        <x:v>总体用户体验</x:v>
      </x:c>
      <x:c r="D275" s="19" t="str">
        <x:v>User Experience Questionnaire – Short (UEQ-S)</x:v>
      </x:c>
      <x:c r="E275" s="19" t="str">
        <x:v>2017</x:v>
      </x:c>
      <x:c r="F275" s="19" t="str">
        <x:v>Pragmatic Quality</x:v>
      </x:c>
      <x:c r="G275" s="19" t="str">
        <x:v>UEQ-S3</x:v>
      </x:c>
      <x:c r="H275" s="19" t="str">
        <x:v>低效的 — 高效的</x:v>
      </x:c>
      <x:c r="I275" s="19" t="str"/>
      <x:c r="J275" s="19" t="str">
        <x:v>双极</x:v>
      </x:c>
      <x:c r="K275" s="19" t="str">
        <x:v>7点双极</x:v>
      </x:c>
      <x:c r="L275" s="19" t="str">
        <x:v>已验证</x:v>
      </x:c>
      <x:c r="M275" s="19" t="str">
        <x:v>最终</x:v>
      </x:c>
      <x:c r="N275" s="19" t="str">
        <x:v>总体UX</x:v>
      </x:c>
      <x:c r="O275" s="19" t="n">
        <x:v>0</x:v>
      </x:c>
      <x:c r="P275" s="19" t="str">
        <x:v>不建议作为主结局</x:v>
      </x:c>
      <x:c r="Q275" s="19" t="str">
        <x:v>官方语义对；中文整理</x:v>
      </x:c>
      <x:c r="R275" s="19" t="str">
        <x:v>https://www.ueq-online.org/</x:v>
      </x:c>
      <x:c r="S275" s="19" t="str">
        <x:v>Official UEQ-S</x:v>
      </x:c>
      <x:c r="T275" s="19" t="str"/>
      <x:c r="U275" s="19" t="str"/>
    </x:row>
    <x:row r="276" ht="47" customHeight="1">
      <x:c r="A276" s="19" t="str">
        <x:v>未决定</x:v>
      </x:c>
      <x:c r="B276" s="19" t="str">
        <x:v>C-控制</x:v>
      </x:c>
      <x:c r="C276" s="19" t="str">
        <x:v>总体用户体验</x:v>
      </x:c>
      <x:c r="D276" s="19" t="str">
        <x:v>User Experience Questionnaire – Short (UEQ-S)</x:v>
      </x:c>
      <x:c r="E276" s="19" t="str">
        <x:v>2017</x:v>
      </x:c>
      <x:c r="F276" s="19" t="str">
        <x:v>Pragmatic Quality</x:v>
      </x:c>
      <x:c r="G276" s="19" t="str">
        <x:v>UEQ-S4</x:v>
      </x:c>
      <x:c r="H276" s="19" t="str">
        <x:v>令人困惑的 — 清晰的</x:v>
      </x:c>
      <x:c r="I276" s="19" t="str"/>
      <x:c r="J276" s="19" t="str">
        <x:v>双极</x:v>
      </x:c>
      <x:c r="K276" s="19" t="str">
        <x:v>7点双极</x:v>
      </x:c>
      <x:c r="L276" s="19" t="str">
        <x:v>已验证</x:v>
      </x:c>
      <x:c r="M276" s="19" t="str">
        <x:v>最终</x:v>
      </x:c>
      <x:c r="N276" s="19" t="str">
        <x:v>总体UX</x:v>
      </x:c>
      <x:c r="O276" s="19" t="n">
        <x:v>0</x:v>
      </x:c>
      <x:c r="P276" s="19" t="str">
        <x:v>不建议作为主结局</x:v>
      </x:c>
      <x:c r="Q276" s="19" t="str">
        <x:v>官方语义对；中文整理</x:v>
      </x:c>
      <x:c r="R276" s="19" t="str">
        <x:v>https://www.ueq-online.org/</x:v>
      </x:c>
      <x:c r="S276" s="19" t="str">
        <x:v>Official UEQ-S</x:v>
      </x:c>
      <x:c r="T276" s="19" t="str"/>
      <x:c r="U276" s="19" t="str"/>
    </x:row>
    <x:row r="277" ht="47" customHeight="1">
      <x:c r="A277" s="19" t="str">
        <x:v>未决定</x:v>
      </x:c>
      <x:c r="B277" s="19" t="str">
        <x:v>C-控制</x:v>
      </x:c>
      <x:c r="C277" s="19" t="str">
        <x:v>总体用户体验</x:v>
      </x:c>
      <x:c r="D277" s="19" t="str">
        <x:v>User Experience Questionnaire – Short (UEQ-S)</x:v>
      </x:c>
      <x:c r="E277" s="19" t="str">
        <x:v>2017</x:v>
      </x:c>
      <x:c r="F277" s="19" t="str">
        <x:v>Hedonic Quality</x:v>
      </x:c>
      <x:c r="G277" s="19" t="str">
        <x:v>UEQ-S5</x:v>
      </x:c>
      <x:c r="H277" s="19" t="str">
        <x:v>无聊的 — 令人兴奋的</x:v>
      </x:c>
      <x:c r="I277" s="19" t="str"/>
      <x:c r="J277" s="19" t="str">
        <x:v>双极</x:v>
      </x:c>
      <x:c r="K277" s="19" t="str">
        <x:v>7点双极</x:v>
      </x:c>
      <x:c r="L277" s="19" t="str">
        <x:v>已验证</x:v>
      </x:c>
      <x:c r="M277" s="19" t="str">
        <x:v>最终</x:v>
      </x:c>
      <x:c r="N277" s="19" t="str">
        <x:v>总体UX</x:v>
      </x:c>
      <x:c r="O277" s="19" t="n">
        <x:v>0</x:v>
      </x:c>
      <x:c r="P277" s="19" t="str">
        <x:v>不建议作为主结局</x:v>
      </x:c>
      <x:c r="Q277" s="19" t="str">
        <x:v>官方语义对；中文整理</x:v>
      </x:c>
      <x:c r="R277" s="19" t="str">
        <x:v>https://www.ueq-online.org/</x:v>
      </x:c>
      <x:c r="S277" s="19" t="str">
        <x:v>Official UEQ-S</x:v>
      </x:c>
      <x:c r="T277" s="19" t="str"/>
      <x:c r="U277" s="19" t="str"/>
    </x:row>
    <x:row r="278" ht="47" customHeight="1">
      <x:c r="A278" s="19" t="str">
        <x:v>未决定</x:v>
      </x:c>
      <x:c r="B278" s="19" t="str">
        <x:v>C-控制</x:v>
      </x:c>
      <x:c r="C278" s="19" t="str">
        <x:v>总体用户体验</x:v>
      </x:c>
      <x:c r="D278" s="19" t="str">
        <x:v>User Experience Questionnaire – Short (UEQ-S)</x:v>
      </x:c>
      <x:c r="E278" s="19" t="str">
        <x:v>2017</x:v>
      </x:c>
      <x:c r="F278" s="19" t="str">
        <x:v>Hedonic Quality</x:v>
      </x:c>
      <x:c r="G278" s="19" t="str">
        <x:v>UEQ-S6</x:v>
      </x:c>
      <x:c r="H278" s="19" t="str">
        <x:v>无趣的 — 有趣的</x:v>
      </x:c>
      <x:c r="I278" s="19" t="str"/>
      <x:c r="J278" s="19" t="str">
        <x:v>双极</x:v>
      </x:c>
      <x:c r="K278" s="19" t="str">
        <x:v>7点双极</x:v>
      </x:c>
      <x:c r="L278" s="19" t="str">
        <x:v>已验证</x:v>
      </x:c>
      <x:c r="M278" s="19" t="str">
        <x:v>最终</x:v>
      </x:c>
      <x:c r="N278" s="19" t="str">
        <x:v>总体UX</x:v>
      </x:c>
      <x:c r="O278" s="19" t="n">
        <x:v>0</x:v>
      </x:c>
      <x:c r="P278" s="19" t="str">
        <x:v>不建议作为主结局</x:v>
      </x:c>
      <x:c r="Q278" s="19" t="str">
        <x:v>官方语义对；中文整理</x:v>
      </x:c>
      <x:c r="R278" s="19" t="str">
        <x:v>https://www.ueq-online.org/</x:v>
      </x:c>
      <x:c r="S278" s="19" t="str">
        <x:v>Official UEQ-S</x:v>
      </x:c>
      <x:c r="T278" s="19" t="str"/>
      <x:c r="U278" s="19" t="str"/>
    </x:row>
    <x:row r="279" ht="47" customHeight="1">
      <x:c r="A279" s="19" t="str">
        <x:v>未决定</x:v>
      </x:c>
      <x:c r="B279" s="19" t="str">
        <x:v>C-控制</x:v>
      </x:c>
      <x:c r="C279" s="19" t="str">
        <x:v>总体用户体验</x:v>
      </x:c>
      <x:c r="D279" s="19" t="str">
        <x:v>User Experience Questionnaire – Short (UEQ-S)</x:v>
      </x:c>
      <x:c r="E279" s="19" t="str">
        <x:v>2017</x:v>
      </x:c>
      <x:c r="F279" s="19" t="str">
        <x:v>Hedonic Quality</x:v>
      </x:c>
      <x:c r="G279" s="19" t="str">
        <x:v>UEQ-S7</x:v>
      </x:c>
      <x:c r="H279" s="19" t="str">
        <x:v>传统的 — 创新的</x:v>
      </x:c>
      <x:c r="I279" s="19" t="str"/>
      <x:c r="J279" s="19" t="str">
        <x:v>双极</x:v>
      </x:c>
      <x:c r="K279" s="19" t="str">
        <x:v>7点双极</x:v>
      </x:c>
      <x:c r="L279" s="19" t="str">
        <x:v>已验证</x:v>
      </x:c>
      <x:c r="M279" s="19" t="str">
        <x:v>最终</x:v>
      </x:c>
      <x:c r="N279" s="19" t="str">
        <x:v>总体UX</x:v>
      </x:c>
      <x:c r="O279" s="19" t="n">
        <x:v>0</x:v>
      </x:c>
      <x:c r="P279" s="19" t="str">
        <x:v>不建议作为主结局</x:v>
      </x:c>
      <x:c r="Q279" s="19" t="str">
        <x:v>官方语义对；中文整理</x:v>
      </x:c>
      <x:c r="R279" s="19" t="str">
        <x:v>https://www.ueq-online.org/</x:v>
      </x:c>
      <x:c r="S279" s="19" t="str">
        <x:v>Official UEQ-S</x:v>
      </x:c>
      <x:c r="T279" s="19" t="str"/>
      <x:c r="U279" s="19" t="str"/>
    </x:row>
    <x:row r="280" ht="47" customHeight="1">
      <x:c r="A280" s="19" t="str">
        <x:v>未决定</x:v>
      </x:c>
      <x:c r="B280" s="19" t="str">
        <x:v>C-控制</x:v>
      </x:c>
      <x:c r="C280" s="19" t="str">
        <x:v>总体用户体验</x:v>
      </x:c>
      <x:c r="D280" s="19" t="str">
        <x:v>User Experience Questionnaire – Short (UEQ-S)</x:v>
      </x:c>
      <x:c r="E280" s="19" t="str">
        <x:v>2017</x:v>
      </x:c>
      <x:c r="F280" s="19" t="str">
        <x:v>Hedonic Quality</x:v>
      </x:c>
      <x:c r="G280" s="19" t="str">
        <x:v>UEQ-S8</x:v>
      </x:c>
      <x:c r="H280" s="19" t="str">
        <x:v>普通的 — 前沿的</x:v>
      </x:c>
      <x:c r="I280" s="19" t="str"/>
      <x:c r="J280" s="19" t="str">
        <x:v>双极</x:v>
      </x:c>
      <x:c r="K280" s="19" t="str">
        <x:v>7点双极</x:v>
      </x:c>
      <x:c r="L280" s="19" t="str">
        <x:v>已验证</x:v>
      </x:c>
      <x:c r="M280" s="19" t="str">
        <x:v>最终</x:v>
      </x:c>
      <x:c r="N280" s="19" t="str">
        <x:v>总体UX</x:v>
      </x:c>
      <x:c r="O280" s="19" t="n">
        <x:v>0</x:v>
      </x:c>
      <x:c r="P280" s="19" t="str">
        <x:v>不建议作为主结局</x:v>
      </x:c>
      <x:c r="Q280" s="19" t="str">
        <x:v>官方语义对；中文整理</x:v>
      </x:c>
      <x:c r="R280" s="19" t="str">
        <x:v>https://www.ueq-online.org/</x:v>
      </x:c>
      <x:c r="S280" s="19" t="str">
        <x:v>Official UEQ-S</x:v>
      </x:c>
      <x:c r="T280" s="19" t="str"/>
      <x:c r="U280" s="19" t="str"/>
    </x:row>
    <x:row r="281" ht="47" customHeight="1">
      <x:c r="A281" s="19" t="str">
        <x:v>未决定</x:v>
      </x:c>
      <x:c r="B281" s="19" t="str">
        <x:v>C-控制</x:v>
      </x:c>
      <x:c r="C281" s="19" t="str">
        <x:v>可用性</x:v>
      </x:c>
      <x:c r="D281" s="19" t="str">
        <x:v>UMUX-Lite</x:v>
      </x:c>
      <x:c r="E281" s="19" t="str">
        <x:v>2013</x:v>
      </x:c>
      <x:c r="F281" s="19" t="str">
        <x:v>Usefulness</x:v>
      </x:c>
      <x:c r="G281" s="19" t="str">
        <x:v>UMUX-L1</x:v>
      </x:c>
      <x:c r="H281" s="19" t="str">
        <x:v>该系统的功能满足了我的需求。</x:v>
      </x:c>
      <x:c r="I281" s="19" t="str"/>
      <x:c r="J281" s="19" t="str">
        <x:v>正向</x:v>
      </x:c>
      <x:c r="K281" s="19" t="str">
        <x:v>7点同意度</x:v>
      </x:c>
      <x:c r="L281" s="19" t="str">
        <x:v>已验证</x:v>
      </x:c>
      <x:c r="M281" s="19" t="str">
        <x:v>最终</x:v>
      </x:c>
      <x:c r="N281" s="19" t="str">
        <x:v>需求满足</x:v>
      </x:c>
      <x:c r="O281" s="19" t="n">
        <x:v>0</x:v>
      </x:c>
      <x:c r="P281" s="19" t="str">
        <x:v>不建议</x:v>
      </x:c>
      <x:c r="Q281" s="19" t="str">
        <x:v>中文语义转述</x:v>
      </x:c>
      <x:c r="R281" s="19" t="str">
        <x:v>https://doi.org/10.1145/2470654.2481287</x:v>
      </x:c>
      <x:c r="S281" s="19" t="str">
        <x:v>10.1145/2470654.2481287</x:v>
      </x:c>
      <x:c r="T281" s="19" t="str"/>
      <x:c r="U281" s="19" t="str"/>
    </x:row>
    <x:row r="282" ht="47" customHeight="1">
      <x:c r="A282" s="19" t="str">
        <x:v>未决定</x:v>
      </x:c>
      <x:c r="B282" s="19" t="str">
        <x:v>C-控制</x:v>
      </x:c>
      <x:c r="C282" s="19" t="str">
        <x:v>可用性</x:v>
      </x:c>
      <x:c r="D282" s="19" t="str">
        <x:v>UMUX-Lite</x:v>
      </x:c>
      <x:c r="E282" s="19" t="str">
        <x:v>2013</x:v>
      </x:c>
      <x:c r="F282" s="19" t="str">
        <x:v>Ease of Use</x:v>
      </x:c>
      <x:c r="G282" s="19" t="str">
        <x:v>UMUX-L2</x:v>
      </x:c>
      <x:c r="H282" s="19" t="str">
        <x:v>该系统容易使用。</x:v>
      </x:c>
      <x:c r="I282" s="19" t="str"/>
      <x:c r="J282" s="19" t="str">
        <x:v>正向</x:v>
      </x:c>
      <x:c r="K282" s="19" t="str">
        <x:v>7点同意度</x:v>
      </x:c>
      <x:c r="L282" s="19" t="str">
        <x:v>已验证</x:v>
      </x:c>
      <x:c r="M282" s="19" t="str">
        <x:v>最终</x:v>
      </x:c>
      <x:c r="N282" s="19" t="str">
        <x:v>易用性</x:v>
      </x:c>
      <x:c r="O282" s="19" t="n">
        <x:v>0</x:v>
      </x:c>
      <x:c r="P282" s="19" t="str">
        <x:v>不建议</x:v>
      </x:c>
      <x:c r="Q282" s="19" t="str">
        <x:v>中文语义转述</x:v>
      </x:c>
      <x:c r="R282" s="19" t="str">
        <x:v>https://doi.org/10.1145/2470654.2481287</x:v>
      </x:c>
      <x:c r="S282" s="19" t="str">
        <x:v>10.1145/2470654.2481287</x:v>
      </x:c>
      <x:c r="T282" s="19" t="str"/>
      <x:c r="U282" s="19" t="str"/>
    </x:row>
    <x:row r="283" ht="47" customHeight="1">
      <x:c r="A283" s="19" t="str">
        <x:v>未决定</x:v>
      </x:c>
      <x:c r="B283" s="19" t="str">
        <x:v>C-控制</x:v>
      </x:c>
      <x:c r="C283" s="19" t="str">
        <x:v>工作负荷</x:v>
      </x:c>
      <x:c r="D283" s="19" t="str">
        <x:v>NASA Task Load Index (NASA-TLX)</x:v>
      </x:c>
      <x:c r="E283" s="19" t="str">
        <x:v>1988</x:v>
      </x:c>
      <x:c r="F283" s="19" t="str">
        <x:v>Mental Demand</x:v>
      </x:c>
      <x:c r="G283" s="19" t="str">
        <x:v>TLX1</x:v>
      </x:c>
      <x:c r="H283" s="19" t="str">
        <x:v>任务在心理和知觉上要求有多高？</x:v>
      </x:c>
      <x:c r="I283" s="19" t="str"/>
      <x:c r="J283" s="19" t="str">
        <x:v>正向</x:v>
      </x:c>
      <x:c r="K283" s="19" t="str">
        <x:v>0–100或21级</x:v>
      </x:c>
      <x:c r="L283" s="19" t="str">
        <x:v>经典量表</x:v>
      </x:c>
      <x:c r="M283" s="19" t="str">
        <x:v>每条件/最终</x:v>
      </x:c>
      <x:c r="N283" s="19" t="str">
        <x:v>工作负荷</x:v>
      </x:c>
      <x:c r="O283" s="19" t="n">
        <x:v>0</x:v>
      </x:c>
      <x:c r="P283" s="19" t="str">
        <x:v>仅在工作负荷是研究问题时</x:v>
      </x:c>
      <x:c r="Q283" s="19" t="str">
        <x:v>维度定义中文转述</x:v>
      </x:c>
      <x:c r="R283" s="19" t="str">
        <x:v>https://humansystems.arc.nasa.gov/groups/tlx/</x:v>
      </x:c>
      <x:c r="S283" s="19" t="str">
        <x:v>NASA-TLX official</x:v>
      </x:c>
      <x:c r="T283" s="19" t="str"/>
      <x:c r="U283" s="19" t="str"/>
    </x:row>
    <x:row r="284" ht="47" customHeight="1">
      <x:c r="A284" s="19" t="str">
        <x:v>未决定</x:v>
      </x:c>
      <x:c r="B284" s="19" t="str">
        <x:v>C-控制</x:v>
      </x:c>
      <x:c r="C284" s="19" t="str">
        <x:v>工作负荷</x:v>
      </x:c>
      <x:c r="D284" s="19" t="str">
        <x:v>NASA Task Load Index (NASA-TLX)</x:v>
      </x:c>
      <x:c r="E284" s="19" t="str">
        <x:v>1988</x:v>
      </x:c>
      <x:c r="F284" s="19" t="str">
        <x:v>Physical Demand</x:v>
      </x:c>
      <x:c r="G284" s="19" t="str">
        <x:v>TLX2</x:v>
      </x:c>
      <x:c r="H284" s="19" t="str">
        <x:v>任务在身体活动方面要求有多高？</x:v>
      </x:c>
      <x:c r="I284" s="19" t="str"/>
      <x:c r="J284" s="19" t="str">
        <x:v>正向</x:v>
      </x:c>
      <x:c r="K284" s="19" t="str">
        <x:v>0–100或21级</x:v>
      </x:c>
      <x:c r="L284" s="19" t="str">
        <x:v>经典量表</x:v>
      </x:c>
      <x:c r="M284" s="19" t="str">
        <x:v>每条件/最终</x:v>
      </x:c>
      <x:c r="N284" s="19" t="str">
        <x:v>工作负荷</x:v>
      </x:c>
      <x:c r="O284" s="19" t="n">
        <x:v>0</x:v>
      </x:c>
      <x:c r="P284" s="19" t="str">
        <x:v>仅在工作负荷是研究问题时</x:v>
      </x:c>
      <x:c r="Q284" s="19" t="str">
        <x:v>维度定义中文转述</x:v>
      </x:c>
      <x:c r="R284" s="19" t="str">
        <x:v>https://humansystems.arc.nasa.gov/groups/tlx/</x:v>
      </x:c>
      <x:c r="S284" s="19" t="str">
        <x:v>NASA-TLX official</x:v>
      </x:c>
      <x:c r="T284" s="19" t="str"/>
      <x:c r="U284" s="19" t="str"/>
    </x:row>
    <x:row r="285" ht="47" customHeight="1">
      <x:c r="A285" s="19" t="str">
        <x:v>未决定</x:v>
      </x:c>
      <x:c r="B285" s="19" t="str">
        <x:v>C-控制</x:v>
      </x:c>
      <x:c r="C285" s="19" t="str">
        <x:v>工作负荷</x:v>
      </x:c>
      <x:c r="D285" s="19" t="str">
        <x:v>NASA Task Load Index (NASA-TLX)</x:v>
      </x:c>
      <x:c r="E285" s="19" t="str">
        <x:v>1988</x:v>
      </x:c>
      <x:c r="F285" s="19" t="str">
        <x:v>Temporal Demand</x:v>
      </x:c>
      <x:c r="G285" s="19" t="str">
        <x:v>TLX3</x:v>
      </x:c>
      <x:c r="H285" s="19" t="str">
        <x:v>你感受到的时间压力有多强？</x:v>
      </x:c>
      <x:c r="I285" s="19" t="str"/>
      <x:c r="J285" s="19" t="str">
        <x:v>正向</x:v>
      </x:c>
      <x:c r="K285" s="19" t="str">
        <x:v>0–100或21级</x:v>
      </x:c>
      <x:c r="L285" s="19" t="str">
        <x:v>经典量表</x:v>
      </x:c>
      <x:c r="M285" s="19" t="str">
        <x:v>每条件/最终</x:v>
      </x:c>
      <x:c r="N285" s="19" t="str">
        <x:v>工作负荷</x:v>
      </x:c>
      <x:c r="O285" s="19" t="n">
        <x:v>0</x:v>
      </x:c>
      <x:c r="P285" s="19" t="str">
        <x:v>仅在工作负荷是研究问题时</x:v>
      </x:c>
      <x:c r="Q285" s="19" t="str">
        <x:v>维度定义中文转述</x:v>
      </x:c>
      <x:c r="R285" s="19" t="str">
        <x:v>https://humansystems.arc.nasa.gov/groups/tlx/</x:v>
      </x:c>
      <x:c r="S285" s="19" t="str">
        <x:v>NASA-TLX official</x:v>
      </x:c>
      <x:c r="T285" s="19" t="str"/>
      <x:c r="U285" s="19" t="str"/>
    </x:row>
    <x:row r="286" ht="47" customHeight="1">
      <x:c r="A286" s="19" t="str">
        <x:v>未决定</x:v>
      </x:c>
      <x:c r="B286" s="19" t="str">
        <x:v>C-控制</x:v>
      </x:c>
      <x:c r="C286" s="19" t="str">
        <x:v>工作负荷</x:v>
      </x:c>
      <x:c r="D286" s="19" t="str">
        <x:v>NASA Task Load Index (NASA-TLX)</x:v>
      </x:c>
      <x:c r="E286" s="19" t="str">
        <x:v>1988</x:v>
      </x:c>
      <x:c r="F286" s="19" t="str">
        <x:v>Performance</x:v>
      </x:c>
      <x:c r="G286" s="19" t="str">
        <x:v>TLX4</x:v>
      </x:c>
      <x:c r="H286" s="19" t="str">
        <x:v>你认为自己完成任务的表现有多成功？</x:v>
      </x:c>
      <x:c r="I286" s="19" t="str"/>
      <x:c r="J286" s="19" t="str">
        <x:v>正向</x:v>
      </x:c>
      <x:c r="K286" s="19" t="str">
        <x:v>0–100或21级</x:v>
      </x:c>
      <x:c r="L286" s="19" t="str">
        <x:v>经典量表</x:v>
      </x:c>
      <x:c r="M286" s="19" t="str">
        <x:v>每条件/最终</x:v>
      </x:c>
      <x:c r="N286" s="19" t="str">
        <x:v>工作负荷</x:v>
      </x:c>
      <x:c r="O286" s="19" t="n">
        <x:v>0</x:v>
      </x:c>
      <x:c r="P286" s="19" t="str">
        <x:v>仅在工作负荷是研究问题时</x:v>
      </x:c>
      <x:c r="Q286" s="19" t="str">
        <x:v>维度定义中文转述</x:v>
      </x:c>
      <x:c r="R286" s="19" t="str">
        <x:v>https://humansystems.arc.nasa.gov/groups/tlx/</x:v>
      </x:c>
      <x:c r="S286" s="19" t="str">
        <x:v>NASA-TLX official</x:v>
      </x:c>
      <x:c r="T286" s="19" t="str"/>
      <x:c r="U286" s="19" t="str"/>
    </x:row>
    <x:row r="287" ht="47" customHeight="1">
      <x:c r="A287" s="19" t="str">
        <x:v>未决定</x:v>
      </x:c>
      <x:c r="B287" s="19" t="str">
        <x:v>C-控制</x:v>
      </x:c>
      <x:c r="C287" s="19" t="str">
        <x:v>工作负荷</x:v>
      </x:c>
      <x:c r="D287" s="19" t="str">
        <x:v>NASA Task Load Index (NASA-TLX)</x:v>
      </x:c>
      <x:c r="E287" s="19" t="str">
        <x:v>1988</x:v>
      </x:c>
      <x:c r="F287" s="19" t="str">
        <x:v>Effort</x:v>
      </x:c>
      <x:c r="G287" s="19" t="str">
        <x:v>TLX5</x:v>
      </x:c>
      <x:c r="H287" s="19" t="str">
        <x:v>为了达到当前表现，你付出了多大努力？</x:v>
      </x:c>
      <x:c r="I287" s="19" t="str"/>
      <x:c r="J287" s="19" t="str">
        <x:v>正向</x:v>
      </x:c>
      <x:c r="K287" s="19" t="str">
        <x:v>0–100或21级</x:v>
      </x:c>
      <x:c r="L287" s="19" t="str">
        <x:v>经典量表</x:v>
      </x:c>
      <x:c r="M287" s="19" t="str">
        <x:v>每条件/最终</x:v>
      </x:c>
      <x:c r="N287" s="19" t="str">
        <x:v>工作负荷</x:v>
      </x:c>
      <x:c r="O287" s="19" t="n">
        <x:v>0</x:v>
      </x:c>
      <x:c r="P287" s="19" t="str">
        <x:v>仅在工作负荷是研究问题时</x:v>
      </x:c>
      <x:c r="Q287" s="19" t="str">
        <x:v>维度定义中文转述</x:v>
      </x:c>
      <x:c r="R287" s="19" t="str">
        <x:v>https://humansystems.arc.nasa.gov/groups/tlx/</x:v>
      </x:c>
      <x:c r="S287" s="19" t="str">
        <x:v>NASA-TLX official</x:v>
      </x:c>
      <x:c r="T287" s="19" t="str"/>
      <x:c r="U287" s="19" t="str"/>
    </x:row>
    <x:row r="288" ht="47" customHeight="1">
      <x:c r="A288" s="19" t="str">
        <x:v>未决定</x:v>
      </x:c>
      <x:c r="B288" s="19" t="str">
        <x:v>C-控制</x:v>
      </x:c>
      <x:c r="C288" s="19" t="str">
        <x:v>工作负荷</x:v>
      </x:c>
      <x:c r="D288" s="19" t="str">
        <x:v>NASA Task Load Index (NASA-TLX)</x:v>
      </x:c>
      <x:c r="E288" s="19" t="str">
        <x:v>1988</x:v>
      </x:c>
      <x:c r="F288" s="19" t="str">
        <x:v>Frustration</x:v>
      </x:c>
      <x:c r="G288" s="19" t="str">
        <x:v>TLX6</x:v>
      </x:c>
      <x:c r="H288" s="19" t="str">
        <x:v>任务使你感到多大程度的不安、挫败、烦躁或压力？</x:v>
      </x:c>
      <x:c r="I288" s="19" t="str"/>
      <x:c r="J288" s="19" t="str">
        <x:v>正向</x:v>
      </x:c>
      <x:c r="K288" s="19" t="str">
        <x:v>0–100或21级</x:v>
      </x:c>
      <x:c r="L288" s="19" t="str">
        <x:v>经典量表</x:v>
      </x:c>
      <x:c r="M288" s="19" t="str">
        <x:v>每条件/最终</x:v>
      </x:c>
      <x:c r="N288" s="19" t="str">
        <x:v>工作负荷</x:v>
      </x:c>
      <x:c r="O288" s="19" t="n">
        <x:v>0</x:v>
      </x:c>
      <x:c r="P288" s="19" t="str">
        <x:v>仅在工作负荷是研究问题时</x:v>
      </x:c>
      <x:c r="Q288" s="19" t="str">
        <x:v>维度定义中文转述</x:v>
      </x:c>
      <x:c r="R288" s="19" t="str">
        <x:v>https://humansystems.arc.nasa.gov/groups/tlx/</x:v>
      </x:c>
      <x:c r="S288" s="19" t="str">
        <x:v>NASA-TLX official</x:v>
      </x:c>
      <x:c r="T288" s="19" t="str"/>
      <x:c r="U288" s="19" t="str"/>
    </x:row>
    <x:row r="289" ht="47" customHeight="1">
      <x:c r="A289" s="19" t="str">
        <x:v>未决定</x:v>
      </x:c>
      <x:c r="B289" s="19" t="str">
        <x:v>C-控制</x:v>
      </x:c>
      <x:c r="C289" s="19" t="str">
        <x:v>模拟器不适</x:v>
      </x:c>
      <x:c r="D289" s="19" t="str">
        <x:v>Simulator Sickness Questionnaire (SSQ)</x:v>
      </x:c>
      <x:c r="E289" s="19" t="str">
        <x:v>1993</x:v>
      </x:c>
      <x:c r="F289" s="19" t="str">
        <x:v>Symptom</x:v>
      </x:c>
      <x:c r="G289" s="19" t="str">
        <x:v>SSQ1</x:v>
      </x:c>
      <x:c r="H289" s="19" t="str">
        <x:v>一般不适</x:v>
      </x:c>
      <x:c r="I289" s="19" t="str"/>
      <x:c r="J289" s="19" t="str">
        <x:v>正向</x:v>
      </x:c>
      <x:c r="K289" s="19" t="str">
        <x:v>0无、1轻微、2中等、3严重</x:v>
      </x:c>
      <x:c r="L289" s="19" t="str">
        <x:v>经典量表</x:v>
      </x:c>
      <x:c r="M289" s="19" t="str">
        <x:v>前后测/最终</x:v>
      </x:c>
      <x:c r="N289" s="19" t="str">
        <x:v>模拟器不适</x:v>
      </x:c>
      <x:c r="O289" s="19" t="n">
        <x:v>0</x:v>
      </x:c>
      <x:c r="P289" s="19" t="str">
        <x:v>安全监测或不适研究时使用</x:v>
      </x:c>
      <x:c r="Q289" s="19" t="str">
        <x:v>症状名称中文翻译</x:v>
      </x:c>
      <x:c r="R289" s="19" t="str">
        <x:v>https://doi.org/10.1207/s15327108ijap0303_3</x:v>
      </x:c>
      <x:c r="S289" s="19" t="str">
        <x:v>SSQ 16 symptoms</x:v>
      </x:c>
      <x:c r="T289" s="19" t="str"/>
      <x:c r="U289" s="19" t="str"/>
    </x:row>
    <x:row r="290" ht="47" customHeight="1">
      <x:c r="A290" s="19" t="str">
        <x:v>未决定</x:v>
      </x:c>
      <x:c r="B290" s="19" t="str">
        <x:v>C-控制</x:v>
      </x:c>
      <x:c r="C290" s="19" t="str">
        <x:v>模拟器不适</x:v>
      </x:c>
      <x:c r="D290" s="19" t="str">
        <x:v>Simulator Sickness Questionnaire (SSQ)</x:v>
      </x:c>
      <x:c r="E290" s="19" t="str">
        <x:v>1993</x:v>
      </x:c>
      <x:c r="F290" s="19" t="str">
        <x:v>Symptom</x:v>
      </x:c>
      <x:c r="G290" s="19" t="str">
        <x:v>SSQ2</x:v>
      </x:c>
      <x:c r="H290" s="19" t="str">
        <x:v>疲劳</x:v>
      </x:c>
      <x:c r="I290" s="19" t="str"/>
      <x:c r="J290" s="19" t="str">
        <x:v>正向</x:v>
      </x:c>
      <x:c r="K290" s="19" t="str">
        <x:v>0无、1轻微、2中等、3严重</x:v>
      </x:c>
      <x:c r="L290" s="19" t="str">
        <x:v>经典量表</x:v>
      </x:c>
      <x:c r="M290" s="19" t="str">
        <x:v>前后测/最终</x:v>
      </x:c>
      <x:c r="N290" s="19" t="str">
        <x:v>模拟器不适</x:v>
      </x:c>
      <x:c r="O290" s="19" t="n">
        <x:v>0</x:v>
      </x:c>
      <x:c r="P290" s="19" t="str">
        <x:v>安全监测或不适研究时使用</x:v>
      </x:c>
      <x:c r="Q290" s="19" t="str">
        <x:v>症状名称中文翻译</x:v>
      </x:c>
      <x:c r="R290" s="19" t="str">
        <x:v>https://doi.org/10.1207/s15327108ijap0303_3</x:v>
      </x:c>
      <x:c r="S290" s="19" t="str">
        <x:v>SSQ 16 symptoms</x:v>
      </x:c>
      <x:c r="T290" s="19" t="str"/>
      <x:c r="U290" s="19" t="str"/>
    </x:row>
    <x:row r="291" ht="47" customHeight="1">
      <x:c r="A291" s="19" t="str">
        <x:v>未决定</x:v>
      </x:c>
      <x:c r="B291" s="19" t="str">
        <x:v>C-控制</x:v>
      </x:c>
      <x:c r="C291" s="19" t="str">
        <x:v>模拟器不适</x:v>
      </x:c>
      <x:c r="D291" s="19" t="str">
        <x:v>Simulator Sickness Questionnaire (SSQ)</x:v>
      </x:c>
      <x:c r="E291" s="19" t="str">
        <x:v>1993</x:v>
      </x:c>
      <x:c r="F291" s="19" t="str">
        <x:v>Symptom</x:v>
      </x:c>
      <x:c r="G291" s="19" t="str">
        <x:v>SSQ3</x:v>
      </x:c>
      <x:c r="H291" s="19" t="str">
        <x:v>头痛</x:v>
      </x:c>
      <x:c r="I291" s="19" t="str"/>
      <x:c r="J291" s="19" t="str">
        <x:v>正向</x:v>
      </x:c>
      <x:c r="K291" s="19" t="str">
        <x:v>0无、1轻微、2中等、3严重</x:v>
      </x:c>
      <x:c r="L291" s="19" t="str">
        <x:v>经典量表</x:v>
      </x:c>
      <x:c r="M291" s="19" t="str">
        <x:v>前后测/最终</x:v>
      </x:c>
      <x:c r="N291" s="19" t="str">
        <x:v>模拟器不适</x:v>
      </x:c>
      <x:c r="O291" s="19" t="n">
        <x:v>0</x:v>
      </x:c>
      <x:c r="P291" s="19" t="str">
        <x:v>安全监测或不适研究时使用</x:v>
      </x:c>
      <x:c r="Q291" s="19" t="str">
        <x:v>症状名称中文翻译</x:v>
      </x:c>
      <x:c r="R291" s="19" t="str">
        <x:v>https://doi.org/10.1207/s15327108ijap0303_3</x:v>
      </x:c>
      <x:c r="S291" s="19" t="str">
        <x:v>SSQ 16 symptoms</x:v>
      </x:c>
      <x:c r="T291" s="19" t="str"/>
      <x:c r="U291" s="19" t="str"/>
    </x:row>
    <x:row r="292" ht="47" customHeight="1">
      <x:c r="A292" s="19" t="str">
        <x:v>未决定</x:v>
      </x:c>
      <x:c r="B292" s="19" t="str">
        <x:v>C-控制</x:v>
      </x:c>
      <x:c r="C292" s="19" t="str">
        <x:v>模拟器不适</x:v>
      </x:c>
      <x:c r="D292" s="19" t="str">
        <x:v>Simulator Sickness Questionnaire (SSQ)</x:v>
      </x:c>
      <x:c r="E292" s="19" t="str">
        <x:v>1993</x:v>
      </x:c>
      <x:c r="F292" s="19" t="str">
        <x:v>Symptom</x:v>
      </x:c>
      <x:c r="G292" s="19" t="str">
        <x:v>SSQ4</x:v>
      </x:c>
      <x:c r="H292" s="19" t="str">
        <x:v>眼疲劳</x:v>
      </x:c>
      <x:c r="I292" s="19" t="str"/>
      <x:c r="J292" s="19" t="str">
        <x:v>正向</x:v>
      </x:c>
      <x:c r="K292" s="19" t="str">
        <x:v>0无、1轻微、2中等、3严重</x:v>
      </x:c>
      <x:c r="L292" s="19" t="str">
        <x:v>经典量表</x:v>
      </x:c>
      <x:c r="M292" s="19" t="str">
        <x:v>前后测/最终</x:v>
      </x:c>
      <x:c r="N292" s="19" t="str">
        <x:v>模拟器不适</x:v>
      </x:c>
      <x:c r="O292" s="19" t="n">
        <x:v>0</x:v>
      </x:c>
      <x:c r="P292" s="19" t="str">
        <x:v>安全监测或不适研究时使用</x:v>
      </x:c>
      <x:c r="Q292" s="19" t="str">
        <x:v>症状名称中文翻译</x:v>
      </x:c>
      <x:c r="R292" s="19" t="str">
        <x:v>https://doi.org/10.1207/s15327108ijap0303_3</x:v>
      </x:c>
      <x:c r="S292" s="19" t="str">
        <x:v>SSQ 16 symptoms</x:v>
      </x:c>
      <x:c r="T292" s="19" t="str"/>
      <x:c r="U292" s="19" t="str"/>
    </x:row>
    <x:row r="293" ht="47" customHeight="1">
      <x:c r="A293" s="19" t="str">
        <x:v>未决定</x:v>
      </x:c>
      <x:c r="B293" s="19" t="str">
        <x:v>C-控制</x:v>
      </x:c>
      <x:c r="C293" s="19" t="str">
        <x:v>模拟器不适</x:v>
      </x:c>
      <x:c r="D293" s="19" t="str">
        <x:v>Simulator Sickness Questionnaire (SSQ)</x:v>
      </x:c>
      <x:c r="E293" s="19" t="str">
        <x:v>1993</x:v>
      </x:c>
      <x:c r="F293" s="19" t="str">
        <x:v>Symptom</x:v>
      </x:c>
      <x:c r="G293" s="19" t="str">
        <x:v>SSQ5</x:v>
      </x:c>
      <x:c r="H293" s="19" t="str">
        <x:v>难以聚焦</x:v>
      </x:c>
      <x:c r="I293" s="19" t="str"/>
      <x:c r="J293" s="19" t="str">
        <x:v>正向</x:v>
      </x:c>
      <x:c r="K293" s="19" t="str">
        <x:v>0无、1轻微、2中等、3严重</x:v>
      </x:c>
      <x:c r="L293" s="19" t="str">
        <x:v>经典量表</x:v>
      </x:c>
      <x:c r="M293" s="19" t="str">
        <x:v>前后测/最终</x:v>
      </x:c>
      <x:c r="N293" s="19" t="str">
        <x:v>模拟器不适</x:v>
      </x:c>
      <x:c r="O293" s="19" t="n">
        <x:v>0</x:v>
      </x:c>
      <x:c r="P293" s="19" t="str">
        <x:v>安全监测或不适研究时使用</x:v>
      </x:c>
      <x:c r="Q293" s="19" t="str">
        <x:v>症状名称中文翻译</x:v>
      </x:c>
      <x:c r="R293" s="19" t="str">
        <x:v>https://doi.org/10.1207/s15327108ijap0303_3</x:v>
      </x:c>
      <x:c r="S293" s="19" t="str">
        <x:v>SSQ 16 symptoms</x:v>
      </x:c>
      <x:c r="T293" s="19" t="str"/>
      <x:c r="U293" s="19" t="str"/>
    </x:row>
    <x:row r="294" ht="47" customHeight="1">
      <x:c r="A294" s="19" t="str">
        <x:v>未决定</x:v>
      </x:c>
      <x:c r="B294" s="19" t="str">
        <x:v>C-控制</x:v>
      </x:c>
      <x:c r="C294" s="19" t="str">
        <x:v>模拟器不适</x:v>
      </x:c>
      <x:c r="D294" s="19" t="str">
        <x:v>Simulator Sickness Questionnaire (SSQ)</x:v>
      </x:c>
      <x:c r="E294" s="19" t="str">
        <x:v>1993</x:v>
      </x:c>
      <x:c r="F294" s="19" t="str">
        <x:v>Symptom</x:v>
      </x:c>
      <x:c r="G294" s="19" t="str">
        <x:v>SSQ6</x:v>
      </x:c>
      <x:c r="H294" s="19" t="str">
        <x:v>唾液增多</x:v>
      </x:c>
      <x:c r="I294" s="19" t="str"/>
      <x:c r="J294" s="19" t="str">
        <x:v>正向</x:v>
      </x:c>
      <x:c r="K294" s="19" t="str">
        <x:v>0无、1轻微、2中等、3严重</x:v>
      </x:c>
      <x:c r="L294" s="19" t="str">
        <x:v>经典量表</x:v>
      </x:c>
      <x:c r="M294" s="19" t="str">
        <x:v>前后测/最终</x:v>
      </x:c>
      <x:c r="N294" s="19" t="str">
        <x:v>模拟器不适</x:v>
      </x:c>
      <x:c r="O294" s="19" t="n">
        <x:v>0</x:v>
      </x:c>
      <x:c r="P294" s="19" t="str">
        <x:v>安全监测或不适研究时使用</x:v>
      </x:c>
      <x:c r="Q294" s="19" t="str">
        <x:v>症状名称中文翻译</x:v>
      </x:c>
      <x:c r="R294" s="19" t="str">
        <x:v>https://doi.org/10.1207/s15327108ijap0303_3</x:v>
      </x:c>
      <x:c r="S294" s="19" t="str">
        <x:v>SSQ 16 symptoms</x:v>
      </x:c>
      <x:c r="T294" s="19" t="str"/>
      <x:c r="U294" s="19" t="str"/>
    </x:row>
    <x:row r="295" ht="47" customHeight="1">
      <x:c r="A295" s="19" t="str">
        <x:v>未决定</x:v>
      </x:c>
      <x:c r="B295" s="19" t="str">
        <x:v>C-控制</x:v>
      </x:c>
      <x:c r="C295" s="19" t="str">
        <x:v>模拟器不适</x:v>
      </x:c>
      <x:c r="D295" s="19" t="str">
        <x:v>Simulator Sickness Questionnaire (SSQ)</x:v>
      </x:c>
      <x:c r="E295" s="19" t="str">
        <x:v>1993</x:v>
      </x:c>
      <x:c r="F295" s="19" t="str">
        <x:v>Symptom</x:v>
      </x:c>
      <x:c r="G295" s="19" t="str">
        <x:v>SSQ7</x:v>
      </x:c>
      <x:c r="H295" s="19" t="str">
        <x:v>出汗</x:v>
      </x:c>
      <x:c r="I295" s="19" t="str"/>
      <x:c r="J295" s="19" t="str">
        <x:v>正向</x:v>
      </x:c>
      <x:c r="K295" s="19" t="str">
        <x:v>0无、1轻微、2中等、3严重</x:v>
      </x:c>
      <x:c r="L295" s="19" t="str">
        <x:v>经典量表</x:v>
      </x:c>
      <x:c r="M295" s="19" t="str">
        <x:v>前后测/最终</x:v>
      </x:c>
      <x:c r="N295" s="19" t="str">
        <x:v>模拟器不适</x:v>
      </x:c>
      <x:c r="O295" s="19" t="n">
        <x:v>0</x:v>
      </x:c>
      <x:c r="P295" s="19" t="str">
        <x:v>安全监测或不适研究时使用</x:v>
      </x:c>
      <x:c r="Q295" s="19" t="str">
        <x:v>症状名称中文翻译</x:v>
      </x:c>
      <x:c r="R295" s="19" t="str">
        <x:v>https://doi.org/10.1207/s15327108ijap0303_3</x:v>
      </x:c>
      <x:c r="S295" s="19" t="str">
        <x:v>SSQ 16 symptoms</x:v>
      </x:c>
      <x:c r="T295" s="19" t="str"/>
      <x:c r="U295" s="19" t="str"/>
    </x:row>
    <x:row r="296" ht="47" customHeight="1">
      <x:c r="A296" s="19" t="str">
        <x:v>未决定</x:v>
      </x:c>
      <x:c r="B296" s="19" t="str">
        <x:v>C-控制</x:v>
      </x:c>
      <x:c r="C296" s="19" t="str">
        <x:v>模拟器不适</x:v>
      </x:c>
      <x:c r="D296" s="19" t="str">
        <x:v>Simulator Sickness Questionnaire (SSQ)</x:v>
      </x:c>
      <x:c r="E296" s="19" t="str">
        <x:v>1993</x:v>
      </x:c>
      <x:c r="F296" s="19" t="str">
        <x:v>Symptom</x:v>
      </x:c>
      <x:c r="G296" s="19" t="str">
        <x:v>SSQ8</x:v>
      </x:c>
      <x:c r="H296" s="19" t="str">
        <x:v>恶心</x:v>
      </x:c>
      <x:c r="I296" s="19" t="str"/>
      <x:c r="J296" s="19" t="str">
        <x:v>正向</x:v>
      </x:c>
      <x:c r="K296" s="19" t="str">
        <x:v>0无、1轻微、2中等、3严重</x:v>
      </x:c>
      <x:c r="L296" s="19" t="str">
        <x:v>经典量表</x:v>
      </x:c>
      <x:c r="M296" s="19" t="str">
        <x:v>前后测/最终</x:v>
      </x:c>
      <x:c r="N296" s="19" t="str">
        <x:v>模拟器不适</x:v>
      </x:c>
      <x:c r="O296" s="19" t="n">
        <x:v>0</x:v>
      </x:c>
      <x:c r="P296" s="19" t="str">
        <x:v>安全监测或不适研究时使用</x:v>
      </x:c>
      <x:c r="Q296" s="19" t="str">
        <x:v>症状名称中文翻译</x:v>
      </x:c>
      <x:c r="R296" s="19" t="str">
        <x:v>https://doi.org/10.1207/s15327108ijap0303_3</x:v>
      </x:c>
      <x:c r="S296" s="19" t="str">
        <x:v>SSQ 16 symptoms</x:v>
      </x:c>
      <x:c r="T296" s="19" t="str"/>
      <x:c r="U296" s="19" t="str"/>
    </x:row>
    <x:row r="297" ht="47" customHeight="1">
      <x:c r="A297" s="19" t="str">
        <x:v>未决定</x:v>
      </x:c>
      <x:c r="B297" s="19" t="str">
        <x:v>C-控制</x:v>
      </x:c>
      <x:c r="C297" s="19" t="str">
        <x:v>模拟器不适</x:v>
      </x:c>
      <x:c r="D297" s="19" t="str">
        <x:v>Simulator Sickness Questionnaire (SSQ)</x:v>
      </x:c>
      <x:c r="E297" s="19" t="str">
        <x:v>1993</x:v>
      </x:c>
      <x:c r="F297" s="19" t="str">
        <x:v>Symptom</x:v>
      </x:c>
      <x:c r="G297" s="19" t="str">
        <x:v>SSQ9</x:v>
      </x:c>
      <x:c r="H297" s="19" t="str">
        <x:v>难以集中注意</x:v>
      </x:c>
      <x:c r="I297" s="19" t="str"/>
      <x:c r="J297" s="19" t="str">
        <x:v>正向</x:v>
      </x:c>
      <x:c r="K297" s="19" t="str">
        <x:v>0无、1轻微、2中等、3严重</x:v>
      </x:c>
      <x:c r="L297" s="19" t="str">
        <x:v>经典量表</x:v>
      </x:c>
      <x:c r="M297" s="19" t="str">
        <x:v>前后测/最终</x:v>
      </x:c>
      <x:c r="N297" s="19" t="str">
        <x:v>模拟器不适</x:v>
      </x:c>
      <x:c r="O297" s="19" t="n">
        <x:v>0</x:v>
      </x:c>
      <x:c r="P297" s="19" t="str">
        <x:v>安全监测或不适研究时使用</x:v>
      </x:c>
      <x:c r="Q297" s="19" t="str">
        <x:v>症状名称中文翻译</x:v>
      </x:c>
      <x:c r="R297" s="19" t="str">
        <x:v>https://doi.org/10.1207/s15327108ijap0303_3</x:v>
      </x:c>
      <x:c r="S297" s="19" t="str">
        <x:v>SSQ 16 symptoms</x:v>
      </x:c>
      <x:c r="T297" s="19" t="str"/>
      <x:c r="U297" s="19" t="str"/>
    </x:row>
    <x:row r="298" ht="47" customHeight="1">
      <x:c r="A298" s="19" t="str">
        <x:v>未决定</x:v>
      </x:c>
      <x:c r="B298" s="19" t="str">
        <x:v>C-控制</x:v>
      </x:c>
      <x:c r="C298" s="19" t="str">
        <x:v>模拟器不适</x:v>
      </x:c>
      <x:c r="D298" s="19" t="str">
        <x:v>Simulator Sickness Questionnaire (SSQ)</x:v>
      </x:c>
      <x:c r="E298" s="19" t="str">
        <x:v>1993</x:v>
      </x:c>
      <x:c r="F298" s="19" t="str">
        <x:v>Symptom</x:v>
      </x:c>
      <x:c r="G298" s="19" t="str">
        <x:v>SSQ10</x:v>
      </x:c>
      <x:c r="H298" s="19" t="str">
        <x:v>头部胀满感</x:v>
      </x:c>
      <x:c r="I298" s="19" t="str"/>
      <x:c r="J298" s="19" t="str">
        <x:v>正向</x:v>
      </x:c>
      <x:c r="K298" s="19" t="str">
        <x:v>0无、1轻微、2中等、3严重</x:v>
      </x:c>
      <x:c r="L298" s="19" t="str">
        <x:v>经典量表</x:v>
      </x:c>
      <x:c r="M298" s="19" t="str">
        <x:v>前后测/最终</x:v>
      </x:c>
      <x:c r="N298" s="19" t="str">
        <x:v>模拟器不适</x:v>
      </x:c>
      <x:c r="O298" s="19" t="n">
        <x:v>0</x:v>
      </x:c>
      <x:c r="P298" s="19" t="str">
        <x:v>安全监测或不适研究时使用</x:v>
      </x:c>
      <x:c r="Q298" s="19" t="str">
        <x:v>症状名称中文翻译</x:v>
      </x:c>
      <x:c r="R298" s="19" t="str">
        <x:v>https://doi.org/10.1207/s15327108ijap0303_3</x:v>
      </x:c>
      <x:c r="S298" s="19" t="str">
        <x:v>SSQ 16 symptoms</x:v>
      </x:c>
      <x:c r="T298" s="19" t="str"/>
      <x:c r="U298" s="19" t="str"/>
    </x:row>
    <x:row r="299" ht="47" customHeight="1">
      <x:c r="A299" s="19" t="str">
        <x:v>未决定</x:v>
      </x:c>
      <x:c r="B299" s="19" t="str">
        <x:v>C-控制</x:v>
      </x:c>
      <x:c r="C299" s="19" t="str">
        <x:v>模拟器不适</x:v>
      </x:c>
      <x:c r="D299" s="19" t="str">
        <x:v>Simulator Sickness Questionnaire (SSQ)</x:v>
      </x:c>
      <x:c r="E299" s="19" t="str">
        <x:v>1993</x:v>
      </x:c>
      <x:c r="F299" s="19" t="str">
        <x:v>Symptom</x:v>
      </x:c>
      <x:c r="G299" s="19" t="str">
        <x:v>SSQ11</x:v>
      </x:c>
      <x:c r="H299" s="19" t="str">
        <x:v>视力模糊</x:v>
      </x:c>
      <x:c r="I299" s="19" t="str"/>
      <x:c r="J299" s="19" t="str">
        <x:v>正向</x:v>
      </x:c>
      <x:c r="K299" s="19" t="str">
        <x:v>0无、1轻微、2中等、3严重</x:v>
      </x:c>
      <x:c r="L299" s="19" t="str">
        <x:v>经典量表</x:v>
      </x:c>
      <x:c r="M299" s="19" t="str">
        <x:v>前后测/最终</x:v>
      </x:c>
      <x:c r="N299" s="19" t="str">
        <x:v>模拟器不适</x:v>
      </x:c>
      <x:c r="O299" s="19" t="n">
        <x:v>0</x:v>
      </x:c>
      <x:c r="P299" s="19" t="str">
        <x:v>安全监测或不适研究时使用</x:v>
      </x:c>
      <x:c r="Q299" s="19" t="str">
        <x:v>症状名称中文翻译</x:v>
      </x:c>
      <x:c r="R299" s="19" t="str">
        <x:v>https://doi.org/10.1207/s15327108ijap0303_3</x:v>
      </x:c>
      <x:c r="S299" s="19" t="str">
        <x:v>SSQ 16 symptoms</x:v>
      </x:c>
      <x:c r="T299" s="19" t="str"/>
      <x:c r="U299" s="19" t="str"/>
    </x:row>
    <x:row r="300" ht="47" customHeight="1">
      <x:c r="A300" s="19" t="str">
        <x:v>未决定</x:v>
      </x:c>
      <x:c r="B300" s="19" t="str">
        <x:v>C-控制</x:v>
      </x:c>
      <x:c r="C300" s="19" t="str">
        <x:v>模拟器不适</x:v>
      </x:c>
      <x:c r="D300" s="19" t="str">
        <x:v>Simulator Sickness Questionnaire (SSQ)</x:v>
      </x:c>
      <x:c r="E300" s="19" t="str">
        <x:v>1993</x:v>
      </x:c>
      <x:c r="F300" s="19" t="str">
        <x:v>Symptom</x:v>
      </x:c>
      <x:c r="G300" s="19" t="str">
        <x:v>SSQ12</x:v>
      </x:c>
      <x:c r="H300" s="19" t="str">
        <x:v>睁眼时眩晕</x:v>
      </x:c>
      <x:c r="I300" s="19" t="str"/>
      <x:c r="J300" s="19" t="str">
        <x:v>正向</x:v>
      </x:c>
      <x:c r="K300" s="19" t="str">
        <x:v>0无、1轻微、2中等、3严重</x:v>
      </x:c>
      <x:c r="L300" s="19" t="str">
        <x:v>经典量表</x:v>
      </x:c>
      <x:c r="M300" s="19" t="str">
        <x:v>前后测/最终</x:v>
      </x:c>
      <x:c r="N300" s="19" t="str">
        <x:v>模拟器不适</x:v>
      </x:c>
      <x:c r="O300" s="19" t="n">
        <x:v>0</x:v>
      </x:c>
      <x:c r="P300" s="19" t="str">
        <x:v>安全监测或不适研究时使用</x:v>
      </x:c>
      <x:c r="Q300" s="19" t="str">
        <x:v>症状名称中文翻译</x:v>
      </x:c>
      <x:c r="R300" s="19" t="str">
        <x:v>https://doi.org/10.1207/s15327108ijap0303_3</x:v>
      </x:c>
      <x:c r="S300" s="19" t="str">
        <x:v>SSQ 16 symptoms</x:v>
      </x:c>
      <x:c r="T300" s="19" t="str"/>
      <x:c r="U300" s="19" t="str"/>
    </x:row>
    <x:row r="301" ht="47" customHeight="1">
      <x:c r="A301" s="19" t="str">
        <x:v>未决定</x:v>
      </x:c>
      <x:c r="B301" s="19" t="str">
        <x:v>C-控制</x:v>
      </x:c>
      <x:c r="C301" s="19" t="str">
        <x:v>模拟器不适</x:v>
      </x:c>
      <x:c r="D301" s="19" t="str">
        <x:v>Simulator Sickness Questionnaire (SSQ)</x:v>
      </x:c>
      <x:c r="E301" s="19" t="str">
        <x:v>1993</x:v>
      </x:c>
      <x:c r="F301" s="19" t="str">
        <x:v>Symptom</x:v>
      </x:c>
      <x:c r="G301" s="19" t="str">
        <x:v>SSQ13</x:v>
      </x:c>
      <x:c r="H301" s="19" t="str">
        <x:v>闭眼时眩晕</x:v>
      </x:c>
      <x:c r="I301" s="19" t="str"/>
      <x:c r="J301" s="19" t="str">
        <x:v>正向</x:v>
      </x:c>
      <x:c r="K301" s="19" t="str">
        <x:v>0无、1轻微、2中等、3严重</x:v>
      </x:c>
      <x:c r="L301" s="19" t="str">
        <x:v>经典量表</x:v>
      </x:c>
      <x:c r="M301" s="19" t="str">
        <x:v>前后测/最终</x:v>
      </x:c>
      <x:c r="N301" s="19" t="str">
        <x:v>模拟器不适</x:v>
      </x:c>
      <x:c r="O301" s="19" t="n">
        <x:v>0</x:v>
      </x:c>
      <x:c r="P301" s="19" t="str">
        <x:v>安全监测或不适研究时使用</x:v>
      </x:c>
      <x:c r="Q301" s="19" t="str">
        <x:v>症状名称中文翻译</x:v>
      </x:c>
      <x:c r="R301" s="19" t="str">
        <x:v>https://doi.org/10.1207/s15327108ijap0303_3</x:v>
      </x:c>
      <x:c r="S301" s="19" t="str">
        <x:v>SSQ 16 symptoms</x:v>
      </x:c>
      <x:c r="T301" s="19" t="str"/>
      <x:c r="U301" s="19" t="str"/>
    </x:row>
    <x:row r="302" ht="47" customHeight="1">
      <x:c r="A302" s="19" t="str">
        <x:v>未决定</x:v>
      </x:c>
      <x:c r="B302" s="19" t="str">
        <x:v>C-控制</x:v>
      </x:c>
      <x:c r="C302" s="19" t="str">
        <x:v>模拟器不适</x:v>
      </x:c>
      <x:c r="D302" s="19" t="str">
        <x:v>Simulator Sickness Questionnaire (SSQ)</x:v>
      </x:c>
      <x:c r="E302" s="19" t="str">
        <x:v>1993</x:v>
      </x:c>
      <x:c r="F302" s="19" t="str">
        <x:v>Symptom</x:v>
      </x:c>
      <x:c r="G302" s="19" t="str">
        <x:v>SSQ14</x:v>
      </x:c>
      <x:c r="H302" s="19" t="str">
        <x:v>旋转性眩晕</x:v>
      </x:c>
      <x:c r="I302" s="19" t="str"/>
      <x:c r="J302" s="19" t="str">
        <x:v>正向</x:v>
      </x:c>
      <x:c r="K302" s="19" t="str">
        <x:v>0无、1轻微、2中等、3严重</x:v>
      </x:c>
      <x:c r="L302" s="19" t="str">
        <x:v>经典量表</x:v>
      </x:c>
      <x:c r="M302" s="19" t="str">
        <x:v>前后测/最终</x:v>
      </x:c>
      <x:c r="N302" s="19" t="str">
        <x:v>模拟器不适</x:v>
      </x:c>
      <x:c r="O302" s="19" t="n">
        <x:v>0</x:v>
      </x:c>
      <x:c r="P302" s="19" t="str">
        <x:v>安全监测或不适研究时使用</x:v>
      </x:c>
      <x:c r="Q302" s="19" t="str">
        <x:v>症状名称中文翻译</x:v>
      </x:c>
      <x:c r="R302" s="19" t="str">
        <x:v>https://doi.org/10.1207/s15327108ijap0303_3</x:v>
      </x:c>
      <x:c r="S302" s="19" t="str">
        <x:v>SSQ 16 symptoms</x:v>
      </x:c>
      <x:c r="T302" s="19" t="str"/>
      <x:c r="U302" s="19" t="str"/>
    </x:row>
    <x:row r="303" ht="47" customHeight="1">
      <x:c r="A303" s="19" t="str">
        <x:v>未决定</x:v>
      </x:c>
      <x:c r="B303" s="19" t="str">
        <x:v>C-控制</x:v>
      </x:c>
      <x:c r="C303" s="19" t="str">
        <x:v>模拟器不适</x:v>
      </x:c>
      <x:c r="D303" s="19" t="str">
        <x:v>Simulator Sickness Questionnaire (SSQ)</x:v>
      </x:c>
      <x:c r="E303" s="19" t="str">
        <x:v>1993</x:v>
      </x:c>
      <x:c r="F303" s="19" t="str">
        <x:v>Symptom</x:v>
      </x:c>
      <x:c r="G303" s="19" t="str">
        <x:v>SSQ15</x:v>
      </x:c>
      <x:c r="H303" s="19" t="str">
        <x:v>胃部不适感</x:v>
      </x:c>
      <x:c r="I303" s="19" t="str"/>
      <x:c r="J303" s="19" t="str">
        <x:v>正向</x:v>
      </x:c>
      <x:c r="K303" s="19" t="str">
        <x:v>0无、1轻微、2中等、3严重</x:v>
      </x:c>
      <x:c r="L303" s="19" t="str">
        <x:v>经典量表</x:v>
      </x:c>
      <x:c r="M303" s="19" t="str">
        <x:v>前后测/最终</x:v>
      </x:c>
      <x:c r="N303" s="19" t="str">
        <x:v>模拟器不适</x:v>
      </x:c>
      <x:c r="O303" s="19" t="n">
        <x:v>0</x:v>
      </x:c>
      <x:c r="P303" s="19" t="str">
        <x:v>安全监测或不适研究时使用</x:v>
      </x:c>
      <x:c r="Q303" s="19" t="str">
        <x:v>症状名称中文翻译</x:v>
      </x:c>
      <x:c r="R303" s="19" t="str">
        <x:v>https://doi.org/10.1207/s15327108ijap0303_3</x:v>
      </x:c>
      <x:c r="S303" s="19" t="str">
        <x:v>SSQ 16 symptoms</x:v>
      </x:c>
      <x:c r="T303" s="19" t="str"/>
      <x:c r="U303" s="19" t="str"/>
    </x:row>
    <x:row r="304" ht="47" customHeight="1">
      <x:c r="A304" s="19" t="str">
        <x:v>未决定</x:v>
      </x:c>
      <x:c r="B304" s="19" t="str">
        <x:v>C-控制</x:v>
      </x:c>
      <x:c r="C304" s="19" t="str">
        <x:v>模拟器不适</x:v>
      </x:c>
      <x:c r="D304" s="19" t="str">
        <x:v>Simulator Sickness Questionnaire (SSQ)</x:v>
      </x:c>
      <x:c r="E304" s="19" t="str">
        <x:v>1993</x:v>
      </x:c>
      <x:c r="F304" s="19" t="str">
        <x:v>Symptom</x:v>
      </x:c>
      <x:c r="G304" s="19" t="str">
        <x:v>SSQ16</x:v>
      </x:c>
      <x:c r="H304" s="19" t="str">
        <x:v>打嗝</x:v>
      </x:c>
      <x:c r="I304" s="19" t="str"/>
      <x:c r="J304" s="19" t="str">
        <x:v>正向</x:v>
      </x:c>
      <x:c r="K304" s="19" t="str">
        <x:v>0无、1轻微、2中等、3严重</x:v>
      </x:c>
      <x:c r="L304" s="19" t="str">
        <x:v>经典量表</x:v>
      </x:c>
      <x:c r="M304" s="19" t="str">
        <x:v>前后测/最终</x:v>
      </x:c>
      <x:c r="N304" s="19" t="str">
        <x:v>模拟器不适</x:v>
      </x:c>
      <x:c r="O304" s="19" t="n">
        <x:v>0</x:v>
      </x:c>
      <x:c r="P304" s="19" t="str">
        <x:v>安全监测或不适研究时使用</x:v>
      </x:c>
      <x:c r="Q304" s="19" t="str">
        <x:v>症状名称中文翻译</x:v>
      </x:c>
      <x:c r="R304" s="19" t="str">
        <x:v>https://doi.org/10.1207/s15327108ijap0303_3</x:v>
      </x:c>
      <x:c r="S304" s="19" t="str">
        <x:v>SSQ 16 symptoms</x:v>
      </x:c>
      <x:c r="T304" s="19" t="str"/>
      <x:c r="U304" s="19" t="str"/>
    </x:row>
    <x:row r="305" ht="47" customHeight="1">
      <x:c r="A305" s="19" t="str">
        <x:v>未决定</x:v>
      </x:c>
      <x:c r="B305" s="19" t="str">
        <x:v>C-控制</x:v>
      </x:c>
      <x:c r="C305" s="19" t="str">
        <x:v>VR不适</x:v>
      </x:c>
      <x:c r="D305" s="19" t="str">
        <x:v>Virtual Reality Sickness Questionnaire (VRSQ)</x:v>
      </x:c>
      <x:c r="E305" s="19" t="str">
        <x:v>2018</x:v>
      </x:c>
      <x:c r="F305" s="19" t="str">
        <x:v>Oculomotor</x:v>
      </x:c>
      <x:c r="G305" s="19" t="str">
        <x:v>VRSQ1</x:v>
      </x:c>
      <x:c r="H305" s="19" t="str">
        <x:v>一般不适</x:v>
      </x:c>
      <x:c r="I305" s="19" t="str"/>
      <x:c r="J305" s="19" t="str">
        <x:v>正向</x:v>
      </x:c>
      <x:c r="K305" s="19" t="str">
        <x:v>0无–3严重</x:v>
      </x:c>
      <x:c r="L305" s="19" t="str">
        <x:v>VR专用验证</x:v>
      </x:c>
      <x:c r="M305" s="19" t="str">
        <x:v>前后测/最终</x:v>
      </x:c>
      <x:c r="N305" s="19" t="str">
        <x:v>VR不适</x:v>
      </x:c>
      <x:c r="O305" s="19" t="n">
        <x:v>0</x:v>
      </x:c>
      <x:c r="P305" s="19" t="str">
        <x:v>仅安全/不适研究</x:v>
      </x:c>
      <x:c r="Q305" s="19" t="str">
        <x:v>症状名称中文翻译</x:v>
      </x:c>
      <x:c r="R305" s="19" t="str">
        <x:v>https://doi.org/10.1007/s10055-017-0320-2</x:v>
      </x:c>
      <x:c r="S305" s="19" t="str">
        <x:v>VRSQ 9 symptoms</x:v>
      </x:c>
      <x:c r="T305" s="19" t="str"/>
      <x:c r="U305" s="19" t="str"/>
    </x:row>
    <x:row r="306" ht="47" customHeight="1">
      <x:c r="A306" s="19" t="str">
        <x:v>未决定</x:v>
      </x:c>
      <x:c r="B306" s="19" t="str">
        <x:v>C-控制</x:v>
      </x:c>
      <x:c r="C306" s="19" t="str">
        <x:v>VR不适</x:v>
      </x:c>
      <x:c r="D306" s="19" t="str">
        <x:v>Virtual Reality Sickness Questionnaire (VRSQ)</x:v>
      </x:c>
      <x:c r="E306" s="19" t="str">
        <x:v>2018</x:v>
      </x:c>
      <x:c r="F306" s="19" t="str">
        <x:v>Oculomotor</x:v>
      </x:c>
      <x:c r="G306" s="19" t="str">
        <x:v>VRSQ2</x:v>
      </x:c>
      <x:c r="H306" s="19" t="str">
        <x:v>疲劳</x:v>
      </x:c>
      <x:c r="I306" s="19" t="str"/>
      <x:c r="J306" s="19" t="str">
        <x:v>正向</x:v>
      </x:c>
      <x:c r="K306" s="19" t="str">
        <x:v>0无–3严重</x:v>
      </x:c>
      <x:c r="L306" s="19" t="str">
        <x:v>VR专用验证</x:v>
      </x:c>
      <x:c r="M306" s="19" t="str">
        <x:v>前后测/最终</x:v>
      </x:c>
      <x:c r="N306" s="19" t="str">
        <x:v>VR不适</x:v>
      </x:c>
      <x:c r="O306" s="19" t="n">
        <x:v>0</x:v>
      </x:c>
      <x:c r="P306" s="19" t="str">
        <x:v>仅安全/不适研究</x:v>
      </x:c>
      <x:c r="Q306" s="19" t="str">
        <x:v>症状名称中文翻译</x:v>
      </x:c>
      <x:c r="R306" s="19" t="str">
        <x:v>https://doi.org/10.1007/s10055-017-0320-2</x:v>
      </x:c>
      <x:c r="S306" s="19" t="str">
        <x:v>VRSQ 9 symptoms</x:v>
      </x:c>
      <x:c r="T306" s="19" t="str"/>
      <x:c r="U306" s="19" t="str"/>
    </x:row>
    <x:row r="307" ht="47" customHeight="1">
      <x:c r="A307" s="19" t="str">
        <x:v>未决定</x:v>
      </x:c>
      <x:c r="B307" s="19" t="str">
        <x:v>C-控制</x:v>
      </x:c>
      <x:c r="C307" s="19" t="str">
        <x:v>VR不适</x:v>
      </x:c>
      <x:c r="D307" s="19" t="str">
        <x:v>Virtual Reality Sickness Questionnaire (VRSQ)</x:v>
      </x:c>
      <x:c r="E307" s="19" t="str">
        <x:v>2018</x:v>
      </x:c>
      <x:c r="F307" s="19" t="str">
        <x:v>Oculomotor</x:v>
      </x:c>
      <x:c r="G307" s="19" t="str">
        <x:v>VRSQ3</x:v>
      </x:c>
      <x:c r="H307" s="19" t="str">
        <x:v>眼疲劳</x:v>
      </x:c>
      <x:c r="I307" s="19" t="str"/>
      <x:c r="J307" s="19" t="str">
        <x:v>正向</x:v>
      </x:c>
      <x:c r="K307" s="19" t="str">
        <x:v>0无–3严重</x:v>
      </x:c>
      <x:c r="L307" s="19" t="str">
        <x:v>VR专用验证</x:v>
      </x:c>
      <x:c r="M307" s="19" t="str">
        <x:v>前后测/最终</x:v>
      </x:c>
      <x:c r="N307" s="19" t="str">
        <x:v>VR不适</x:v>
      </x:c>
      <x:c r="O307" s="19" t="n">
        <x:v>0</x:v>
      </x:c>
      <x:c r="P307" s="19" t="str">
        <x:v>仅安全/不适研究</x:v>
      </x:c>
      <x:c r="Q307" s="19" t="str">
        <x:v>症状名称中文翻译</x:v>
      </x:c>
      <x:c r="R307" s="19" t="str">
        <x:v>https://doi.org/10.1007/s10055-017-0320-2</x:v>
      </x:c>
      <x:c r="S307" s="19" t="str">
        <x:v>VRSQ 9 symptoms</x:v>
      </x:c>
      <x:c r="T307" s="19" t="str"/>
      <x:c r="U307" s="19" t="str"/>
    </x:row>
    <x:row r="308" ht="47" customHeight="1">
      <x:c r="A308" s="19" t="str">
        <x:v>未决定</x:v>
      </x:c>
      <x:c r="B308" s="19" t="str">
        <x:v>C-控制</x:v>
      </x:c>
      <x:c r="C308" s="19" t="str">
        <x:v>VR不适</x:v>
      </x:c>
      <x:c r="D308" s="19" t="str">
        <x:v>Virtual Reality Sickness Questionnaire (VRSQ)</x:v>
      </x:c>
      <x:c r="E308" s="19" t="str">
        <x:v>2018</x:v>
      </x:c>
      <x:c r="F308" s="19" t="str">
        <x:v>Oculomotor</x:v>
      </x:c>
      <x:c r="G308" s="19" t="str">
        <x:v>VRSQ4</x:v>
      </x:c>
      <x:c r="H308" s="19" t="str">
        <x:v>难以聚焦</x:v>
      </x:c>
      <x:c r="I308" s="19" t="str"/>
      <x:c r="J308" s="19" t="str">
        <x:v>正向</x:v>
      </x:c>
      <x:c r="K308" s="19" t="str">
        <x:v>0无–3严重</x:v>
      </x:c>
      <x:c r="L308" s="19" t="str">
        <x:v>VR专用验证</x:v>
      </x:c>
      <x:c r="M308" s="19" t="str">
        <x:v>前后测/最终</x:v>
      </x:c>
      <x:c r="N308" s="19" t="str">
        <x:v>VR不适</x:v>
      </x:c>
      <x:c r="O308" s="19" t="n">
        <x:v>0</x:v>
      </x:c>
      <x:c r="P308" s="19" t="str">
        <x:v>仅安全/不适研究</x:v>
      </x:c>
      <x:c r="Q308" s="19" t="str">
        <x:v>症状名称中文翻译</x:v>
      </x:c>
      <x:c r="R308" s="19" t="str">
        <x:v>https://doi.org/10.1007/s10055-017-0320-2</x:v>
      </x:c>
      <x:c r="S308" s="19" t="str">
        <x:v>VRSQ 9 symptoms</x:v>
      </x:c>
      <x:c r="T308" s="19" t="str"/>
      <x:c r="U308" s="19" t="str"/>
    </x:row>
    <x:row r="309" ht="47" customHeight="1">
      <x:c r="A309" s="19" t="str">
        <x:v>未决定</x:v>
      </x:c>
      <x:c r="B309" s="19" t="str">
        <x:v>C-控制</x:v>
      </x:c>
      <x:c r="C309" s="19" t="str">
        <x:v>VR不适</x:v>
      </x:c>
      <x:c r="D309" s="19" t="str">
        <x:v>Virtual Reality Sickness Questionnaire (VRSQ)</x:v>
      </x:c>
      <x:c r="E309" s="19" t="str">
        <x:v>2018</x:v>
      </x:c>
      <x:c r="F309" s="19" t="str">
        <x:v>Disorientation</x:v>
      </x:c>
      <x:c r="G309" s="19" t="str">
        <x:v>VRSQ5</x:v>
      </x:c>
      <x:c r="H309" s="19" t="str">
        <x:v>头痛</x:v>
      </x:c>
      <x:c r="I309" s="19" t="str"/>
      <x:c r="J309" s="19" t="str">
        <x:v>正向</x:v>
      </x:c>
      <x:c r="K309" s="19" t="str">
        <x:v>0无–3严重</x:v>
      </x:c>
      <x:c r="L309" s="19" t="str">
        <x:v>VR专用验证</x:v>
      </x:c>
      <x:c r="M309" s="19" t="str">
        <x:v>前后测/最终</x:v>
      </x:c>
      <x:c r="N309" s="19" t="str">
        <x:v>VR不适</x:v>
      </x:c>
      <x:c r="O309" s="19" t="n">
        <x:v>0</x:v>
      </x:c>
      <x:c r="P309" s="19" t="str">
        <x:v>仅安全/不适研究</x:v>
      </x:c>
      <x:c r="Q309" s="19" t="str">
        <x:v>症状名称中文翻译</x:v>
      </x:c>
      <x:c r="R309" s="19" t="str">
        <x:v>https://doi.org/10.1007/s10055-017-0320-2</x:v>
      </x:c>
      <x:c r="S309" s="19" t="str">
        <x:v>VRSQ 9 symptoms</x:v>
      </x:c>
      <x:c r="T309" s="19" t="str"/>
      <x:c r="U309" s="19" t="str"/>
    </x:row>
    <x:row r="310" ht="47" customHeight="1">
      <x:c r="A310" s="19" t="str">
        <x:v>未决定</x:v>
      </x:c>
      <x:c r="B310" s="19" t="str">
        <x:v>C-控制</x:v>
      </x:c>
      <x:c r="C310" s="19" t="str">
        <x:v>VR不适</x:v>
      </x:c>
      <x:c r="D310" s="19" t="str">
        <x:v>Virtual Reality Sickness Questionnaire (VRSQ)</x:v>
      </x:c>
      <x:c r="E310" s="19" t="str">
        <x:v>2018</x:v>
      </x:c>
      <x:c r="F310" s="19" t="str">
        <x:v>Disorientation</x:v>
      </x:c>
      <x:c r="G310" s="19" t="str">
        <x:v>VRSQ6</x:v>
      </x:c>
      <x:c r="H310" s="19" t="str">
        <x:v>头部胀满感</x:v>
      </x:c>
      <x:c r="I310" s="19" t="str"/>
      <x:c r="J310" s="19" t="str">
        <x:v>正向</x:v>
      </x:c>
      <x:c r="K310" s="19" t="str">
        <x:v>0无–3严重</x:v>
      </x:c>
      <x:c r="L310" s="19" t="str">
        <x:v>VR专用验证</x:v>
      </x:c>
      <x:c r="M310" s="19" t="str">
        <x:v>前后测/最终</x:v>
      </x:c>
      <x:c r="N310" s="19" t="str">
        <x:v>VR不适</x:v>
      </x:c>
      <x:c r="O310" s="19" t="n">
        <x:v>0</x:v>
      </x:c>
      <x:c r="P310" s="19" t="str">
        <x:v>仅安全/不适研究</x:v>
      </x:c>
      <x:c r="Q310" s="19" t="str">
        <x:v>症状名称中文翻译</x:v>
      </x:c>
      <x:c r="R310" s="19" t="str">
        <x:v>https://doi.org/10.1007/s10055-017-0320-2</x:v>
      </x:c>
      <x:c r="S310" s="19" t="str">
        <x:v>VRSQ 9 symptoms</x:v>
      </x:c>
      <x:c r="T310" s="19" t="str"/>
      <x:c r="U310" s="19" t="str"/>
    </x:row>
    <x:row r="311" ht="47" customHeight="1">
      <x:c r="A311" s="19" t="str">
        <x:v>未决定</x:v>
      </x:c>
      <x:c r="B311" s="19" t="str">
        <x:v>C-控制</x:v>
      </x:c>
      <x:c r="C311" s="19" t="str">
        <x:v>VR不适</x:v>
      </x:c>
      <x:c r="D311" s="19" t="str">
        <x:v>Virtual Reality Sickness Questionnaire (VRSQ)</x:v>
      </x:c>
      <x:c r="E311" s="19" t="str">
        <x:v>2018</x:v>
      </x:c>
      <x:c r="F311" s="19" t="str">
        <x:v>Disorientation</x:v>
      </x:c>
      <x:c r="G311" s="19" t="str">
        <x:v>VRSQ7</x:v>
      </x:c>
      <x:c r="H311" s="19" t="str">
        <x:v>视力模糊</x:v>
      </x:c>
      <x:c r="I311" s="19" t="str"/>
      <x:c r="J311" s="19" t="str">
        <x:v>正向</x:v>
      </x:c>
      <x:c r="K311" s="19" t="str">
        <x:v>0无–3严重</x:v>
      </x:c>
      <x:c r="L311" s="19" t="str">
        <x:v>VR专用验证</x:v>
      </x:c>
      <x:c r="M311" s="19" t="str">
        <x:v>前后测/最终</x:v>
      </x:c>
      <x:c r="N311" s="19" t="str">
        <x:v>VR不适</x:v>
      </x:c>
      <x:c r="O311" s="19" t="n">
        <x:v>0</x:v>
      </x:c>
      <x:c r="P311" s="19" t="str">
        <x:v>仅安全/不适研究</x:v>
      </x:c>
      <x:c r="Q311" s="19" t="str">
        <x:v>症状名称中文翻译</x:v>
      </x:c>
      <x:c r="R311" s="19" t="str">
        <x:v>https://doi.org/10.1007/s10055-017-0320-2</x:v>
      </x:c>
      <x:c r="S311" s="19" t="str">
        <x:v>VRSQ 9 symptoms</x:v>
      </x:c>
      <x:c r="T311" s="19" t="str"/>
      <x:c r="U311" s="19" t="str"/>
    </x:row>
    <x:row r="312" ht="47" customHeight="1">
      <x:c r="A312" s="19" t="str">
        <x:v>未决定</x:v>
      </x:c>
      <x:c r="B312" s="19" t="str">
        <x:v>C-控制</x:v>
      </x:c>
      <x:c r="C312" s="19" t="str">
        <x:v>VR不适</x:v>
      </x:c>
      <x:c r="D312" s="19" t="str">
        <x:v>Virtual Reality Sickness Questionnaire (VRSQ)</x:v>
      </x:c>
      <x:c r="E312" s="19" t="str">
        <x:v>2018</x:v>
      </x:c>
      <x:c r="F312" s="19" t="str">
        <x:v>Disorientation</x:v>
      </x:c>
      <x:c r="G312" s="19" t="str">
        <x:v>VRSQ8</x:v>
      </x:c>
      <x:c r="H312" s="19" t="str">
        <x:v>眩晕</x:v>
      </x:c>
      <x:c r="I312" s="19" t="str"/>
      <x:c r="J312" s="19" t="str">
        <x:v>正向</x:v>
      </x:c>
      <x:c r="K312" s="19" t="str">
        <x:v>0无–3严重</x:v>
      </x:c>
      <x:c r="L312" s="19" t="str">
        <x:v>VR专用验证</x:v>
      </x:c>
      <x:c r="M312" s="19" t="str">
        <x:v>前后测/最终</x:v>
      </x:c>
      <x:c r="N312" s="19" t="str">
        <x:v>VR不适</x:v>
      </x:c>
      <x:c r="O312" s="19" t="n">
        <x:v>0</x:v>
      </x:c>
      <x:c r="P312" s="19" t="str">
        <x:v>仅安全/不适研究</x:v>
      </x:c>
      <x:c r="Q312" s="19" t="str">
        <x:v>症状名称中文翻译</x:v>
      </x:c>
      <x:c r="R312" s="19" t="str">
        <x:v>https://doi.org/10.1007/s10055-017-0320-2</x:v>
      </x:c>
      <x:c r="S312" s="19" t="str">
        <x:v>VRSQ 9 symptoms</x:v>
      </x:c>
      <x:c r="T312" s="19" t="str"/>
      <x:c r="U312" s="19" t="str"/>
    </x:row>
    <x:row r="313" ht="47" customHeight="1">
      <x:c r="A313" s="19" t="str">
        <x:v>未决定</x:v>
      </x:c>
      <x:c r="B313" s="19" t="str">
        <x:v>C-控制</x:v>
      </x:c>
      <x:c r="C313" s="19" t="str">
        <x:v>VR不适</x:v>
      </x:c>
      <x:c r="D313" s="19" t="str">
        <x:v>Virtual Reality Sickness Questionnaire (VRSQ)</x:v>
      </x:c>
      <x:c r="E313" s="19" t="str">
        <x:v>2018</x:v>
      </x:c>
      <x:c r="F313" s="19" t="str">
        <x:v>Disorientation</x:v>
      </x:c>
      <x:c r="G313" s="19" t="str">
        <x:v>VRSQ9</x:v>
      </x:c>
      <x:c r="H313" s="19" t="str">
        <x:v>旋转性眩晕</x:v>
      </x:c>
      <x:c r="I313" s="19" t="str"/>
      <x:c r="J313" s="19" t="str">
        <x:v>正向</x:v>
      </x:c>
      <x:c r="K313" s="19" t="str">
        <x:v>0无–3严重</x:v>
      </x:c>
      <x:c r="L313" s="19" t="str">
        <x:v>VR专用验证</x:v>
      </x:c>
      <x:c r="M313" s="19" t="str">
        <x:v>前后测/最终</x:v>
      </x:c>
      <x:c r="N313" s="19" t="str">
        <x:v>VR不适</x:v>
      </x:c>
      <x:c r="O313" s="19" t="n">
        <x:v>0</x:v>
      </x:c>
      <x:c r="P313" s="19" t="str">
        <x:v>仅安全/不适研究</x:v>
      </x:c>
      <x:c r="Q313" s="19" t="str">
        <x:v>症状名称中文翻译</x:v>
      </x:c>
      <x:c r="R313" s="19" t="str">
        <x:v>https://doi.org/10.1007/s10055-017-0320-2</x:v>
      </x:c>
      <x:c r="S313" s="19" t="str">
        <x:v>VRSQ 9 symptoms</x:v>
      </x:c>
      <x:c r="T313" s="19" t="str"/>
      <x:c r="U313" s="19" t="str"/>
    </x:row>
    <x:row r="314" ht="47" customHeight="1">
      <x:c r="A314" s="19" t="str">
        <x:v>未决定</x:v>
      </x:c>
      <x:c r="B314" s="19" t="str">
        <x:v>B-邻近</x:v>
      </x:c>
      <x:c r="C314" s="19" t="str">
        <x:v>技术接受</x:v>
      </x:c>
      <x:c r="D314" s="19" t="str">
        <x:v>Van der Laan Acceptance Scale</x:v>
      </x:c>
      <x:c r="E314" s="19" t="str">
        <x:v>1997</x:v>
      </x:c>
      <x:c r="F314" s="19" t="str">
        <x:v>Usefulness</x:v>
      </x:c>
      <x:c r="G314" s="19" t="str">
        <x:v>VDL1</x:v>
      </x:c>
      <x:c r="H314" s="19" t="str">
        <x:v>无用的 — 有用的</x:v>
      </x:c>
      <x:c r="I314" s="19" t="str"/>
      <x:c r="J314" s="19" t="str">
        <x:v>双极</x:v>
      </x:c>
      <x:c r="K314" s="19" t="str">
        <x:v>5点双极</x:v>
      </x:c>
      <x:c r="L314" s="19" t="str">
        <x:v>已广泛使用</x:v>
      </x:c>
      <x:c r="M314" s="19" t="str">
        <x:v>最终</x:v>
      </x:c>
      <x:c r="N314" s="19" t="str">
        <x:v>技术接受；满意度</x:v>
      </x:c>
      <x:c r="O314" s="19" t="n">
        <x:v>1</x:v>
      </x:c>
      <x:c r="P314" s="19" t="str">
        <x:v>最终偏好/接受度备选</x:v>
      </x:c>
      <x:c r="Q314" s="19" t="str">
        <x:v>中文语义转述</x:v>
      </x:c>
      <x:c r="R314" s="19" t="str">
        <x:v>https://doi.org/10.1016/S0003-6870(97)00010-3</x:v>
      </x:c>
      <x:c r="S314" s="19" t="str">
        <x:v>Van der Laan acceptance scale</x:v>
      </x:c>
      <x:c r="T314" s="19" t="str"/>
      <x:c r="U314" s="19" t="str"/>
    </x:row>
    <x:row r="315" ht="47" customHeight="1">
      <x:c r="A315" s="19" t="str">
        <x:v>未决定</x:v>
      </x:c>
      <x:c r="B315" s="19" t="str">
        <x:v>B-邻近</x:v>
      </x:c>
      <x:c r="C315" s="19" t="str">
        <x:v>技术接受</x:v>
      </x:c>
      <x:c r="D315" s="19" t="str">
        <x:v>Van der Laan Acceptance Scale</x:v>
      </x:c>
      <x:c r="E315" s="19" t="str">
        <x:v>1997</x:v>
      </x:c>
      <x:c r="F315" s="19" t="str">
        <x:v>Satisfaction</x:v>
      </x:c>
      <x:c r="G315" s="19" t="str">
        <x:v>VDL2</x:v>
      </x:c>
      <x:c r="H315" s="19" t="str">
        <x:v>令人不愉快的 — 令人愉快的</x:v>
      </x:c>
      <x:c r="I315" s="19" t="str"/>
      <x:c r="J315" s="19" t="str">
        <x:v>双极</x:v>
      </x:c>
      <x:c r="K315" s="19" t="str">
        <x:v>5点双极</x:v>
      </x:c>
      <x:c r="L315" s="19" t="str">
        <x:v>已广泛使用</x:v>
      </x:c>
      <x:c r="M315" s="19" t="str">
        <x:v>最终</x:v>
      </x:c>
      <x:c r="N315" s="19" t="str">
        <x:v>技术接受；满意度</x:v>
      </x:c>
      <x:c r="O315" s="19" t="n">
        <x:v>1</x:v>
      </x:c>
      <x:c r="P315" s="19" t="str">
        <x:v>最终偏好/接受度备选</x:v>
      </x:c>
      <x:c r="Q315" s="19" t="str">
        <x:v>中文语义转述</x:v>
      </x:c>
      <x:c r="R315" s="19" t="str">
        <x:v>https://doi.org/10.1016/S0003-6870(97)00010-3</x:v>
      </x:c>
      <x:c r="S315" s="19" t="str">
        <x:v>Van der Laan acceptance scale</x:v>
      </x:c>
      <x:c r="T315" s="19" t="str"/>
      <x:c r="U315" s="19" t="str"/>
    </x:row>
    <x:row r="316" ht="47" customHeight="1">
      <x:c r="A316" s="19" t="str">
        <x:v>未决定</x:v>
      </x:c>
      <x:c r="B316" s="19" t="str">
        <x:v>B-邻近</x:v>
      </x:c>
      <x:c r="C316" s="19" t="str">
        <x:v>技术接受</x:v>
      </x:c>
      <x:c r="D316" s="19" t="str">
        <x:v>Van der Laan Acceptance Scale</x:v>
      </x:c>
      <x:c r="E316" s="19" t="str">
        <x:v>1997</x:v>
      </x:c>
      <x:c r="F316" s="19" t="str">
        <x:v>Satisfaction</x:v>
      </x:c>
      <x:c r="G316" s="19" t="str">
        <x:v>VDL3</x:v>
      </x:c>
      <x:c r="H316" s="19" t="str">
        <x:v>坏的 — 好的</x:v>
      </x:c>
      <x:c r="I316" s="19" t="str"/>
      <x:c r="J316" s="19" t="str">
        <x:v>双极</x:v>
      </x:c>
      <x:c r="K316" s="19" t="str">
        <x:v>5点双极</x:v>
      </x:c>
      <x:c r="L316" s="19" t="str">
        <x:v>已广泛使用</x:v>
      </x:c>
      <x:c r="M316" s="19" t="str">
        <x:v>最终</x:v>
      </x:c>
      <x:c r="N316" s="19" t="str">
        <x:v>技术接受；满意度</x:v>
      </x:c>
      <x:c r="O316" s="19" t="n">
        <x:v>1</x:v>
      </x:c>
      <x:c r="P316" s="19" t="str">
        <x:v>最终偏好/接受度备选</x:v>
      </x:c>
      <x:c r="Q316" s="19" t="str">
        <x:v>中文语义转述</x:v>
      </x:c>
      <x:c r="R316" s="19" t="str">
        <x:v>https://doi.org/10.1016/S0003-6870(97)00010-3</x:v>
      </x:c>
      <x:c r="S316" s="19" t="str">
        <x:v>Van der Laan acceptance scale</x:v>
      </x:c>
      <x:c r="T316" s="19" t="str"/>
      <x:c r="U316" s="19" t="str"/>
    </x:row>
    <x:row r="317" ht="47" customHeight="1">
      <x:c r="A317" s="19" t="str">
        <x:v>未决定</x:v>
      </x:c>
      <x:c r="B317" s="19" t="str">
        <x:v>B-邻近</x:v>
      </x:c>
      <x:c r="C317" s="19" t="str">
        <x:v>技术接受</x:v>
      </x:c>
      <x:c r="D317" s="19" t="str">
        <x:v>Van der Laan Acceptance Scale</x:v>
      </x:c>
      <x:c r="E317" s="19" t="str">
        <x:v>1997</x:v>
      </x:c>
      <x:c r="F317" s="19" t="str">
        <x:v>Satisfaction</x:v>
      </x:c>
      <x:c r="G317" s="19" t="str">
        <x:v>VDL4</x:v>
      </x:c>
      <x:c r="H317" s="19" t="str">
        <x:v>令人厌烦的 — 令人愉悦的</x:v>
      </x:c>
      <x:c r="I317" s="19" t="str"/>
      <x:c r="J317" s="19" t="str">
        <x:v>双极</x:v>
      </x:c>
      <x:c r="K317" s="19" t="str">
        <x:v>5点双极</x:v>
      </x:c>
      <x:c r="L317" s="19" t="str">
        <x:v>已广泛使用</x:v>
      </x:c>
      <x:c r="M317" s="19" t="str">
        <x:v>最终</x:v>
      </x:c>
      <x:c r="N317" s="19" t="str">
        <x:v>技术接受；满意度</x:v>
      </x:c>
      <x:c r="O317" s="19" t="n">
        <x:v>1</x:v>
      </x:c>
      <x:c r="P317" s="19" t="str">
        <x:v>最终偏好/接受度备选</x:v>
      </x:c>
      <x:c r="Q317" s="19" t="str">
        <x:v>中文语义转述</x:v>
      </x:c>
      <x:c r="R317" s="19" t="str">
        <x:v>https://doi.org/10.1016/S0003-6870(97)00010-3</x:v>
      </x:c>
      <x:c r="S317" s="19" t="str">
        <x:v>Van der Laan acceptance scale</x:v>
      </x:c>
      <x:c r="T317" s="19" t="str"/>
      <x:c r="U317" s="19" t="str"/>
    </x:row>
    <x:row r="318" ht="47" customHeight="1">
      <x:c r="A318" s="19" t="str">
        <x:v>未决定</x:v>
      </x:c>
      <x:c r="B318" s="19" t="str">
        <x:v>B-邻近</x:v>
      </x:c>
      <x:c r="C318" s="19" t="str">
        <x:v>技术接受</x:v>
      </x:c>
      <x:c r="D318" s="19" t="str">
        <x:v>Van der Laan Acceptance Scale</x:v>
      </x:c>
      <x:c r="E318" s="19" t="str">
        <x:v>1997</x:v>
      </x:c>
      <x:c r="F318" s="19" t="str">
        <x:v>Usefulness</x:v>
      </x:c>
      <x:c r="G318" s="19" t="str">
        <x:v>VDL5</x:v>
      </x:c>
      <x:c r="H318" s="19" t="str">
        <x:v>多余的 — 有效的</x:v>
      </x:c>
      <x:c r="I318" s="19" t="str"/>
      <x:c r="J318" s="19" t="str">
        <x:v>双极</x:v>
      </x:c>
      <x:c r="K318" s="19" t="str">
        <x:v>5点双极</x:v>
      </x:c>
      <x:c r="L318" s="19" t="str">
        <x:v>已广泛使用</x:v>
      </x:c>
      <x:c r="M318" s="19" t="str">
        <x:v>最终</x:v>
      </x:c>
      <x:c r="N318" s="19" t="str">
        <x:v>技术接受；满意度</x:v>
      </x:c>
      <x:c r="O318" s="19" t="n">
        <x:v>1</x:v>
      </x:c>
      <x:c r="P318" s="19" t="str">
        <x:v>最终偏好/接受度备选</x:v>
      </x:c>
      <x:c r="Q318" s="19" t="str">
        <x:v>中文语义转述</x:v>
      </x:c>
      <x:c r="R318" s="19" t="str">
        <x:v>https://doi.org/10.1016/S0003-6870(97)00010-3</x:v>
      </x:c>
      <x:c r="S318" s="19" t="str">
        <x:v>Van der Laan acceptance scale</x:v>
      </x:c>
      <x:c r="T318" s="19" t="str"/>
      <x:c r="U318" s="19" t="str"/>
    </x:row>
    <x:row r="319" ht="47" customHeight="1">
      <x:c r="A319" s="19" t="str">
        <x:v>未决定</x:v>
      </x:c>
      <x:c r="B319" s="19" t="str">
        <x:v>B-邻近</x:v>
      </x:c>
      <x:c r="C319" s="19" t="str">
        <x:v>技术接受</x:v>
      </x:c>
      <x:c r="D319" s="19" t="str">
        <x:v>Van der Laan Acceptance Scale</x:v>
      </x:c>
      <x:c r="E319" s="19" t="str">
        <x:v>1997</x:v>
      </x:c>
      <x:c r="F319" s="19" t="str">
        <x:v>Satisfaction</x:v>
      </x:c>
      <x:c r="G319" s="19" t="str">
        <x:v>VDL6</x:v>
      </x:c>
      <x:c r="H319" s="19" t="str">
        <x:v>令人恼火的 — 讨人喜欢的</x:v>
      </x:c>
      <x:c r="I319" s="19" t="str"/>
      <x:c r="J319" s="19" t="str">
        <x:v>双极</x:v>
      </x:c>
      <x:c r="K319" s="19" t="str">
        <x:v>5点双极</x:v>
      </x:c>
      <x:c r="L319" s="19" t="str">
        <x:v>已广泛使用</x:v>
      </x:c>
      <x:c r="M319" s="19" t="str">
        <x:v>最终</x:v>
      </x:c>
      <x:c r="N319" s="19" t="str">
        <x:v>技术接受；满意度</x:v>
      </x:c>
      <x:c r="O319" s="19" t="n">
        <x:v>1</x:v>
      </x:c>
      <x:c r="P319" s="19" t="str">
        <x:v>最终偏好/接受度备选</x:v>
      </x:c>
      <x:c r="Q319" s="19" t="str">
        <x:v>中文语义转述</x:v>
      </x:c>
      <x:c r="R319" s="19" t="str">
        <x:v>https://doi.org/10.1016/S0003-6870(97)00010-3</x:v>
      </x:c>
      <x:c r="S319" s="19" t="str">
        <x:v>Van der Laan acceptance scale</x:v>
      </x:c>
      <x:c r="T319" s="19" t="str"/>
      <x:c r="U319" s="19" t="str"/>
    </x:row>
    <x:row r="320" ht="47" customHeight="1">
      <x:c r="A320" s="19" t="str">
        <x:v>未决定</x:v>
      </x:c>
      <x:c r="B320" s="19" t="str">
        <x:v>B-邻近</x:v>
      </x:c>
      <x:c r="C320" s="19" t="str">
        <x:v>技术接受</x:v>
      </x:c>
      <x:c r="D320" s="19" t="str">
        <x:v>Van der Laan Acceptance Scale</x:v>
      </x:c>
      <x:c r="E320" s="19" t="str">
        <x:v>1997</x:v>
      </x:c>
      <x:c r="F320" s="19" t="str">
        <x:v>Usefulness</x:v>
      </x:c>
      <x:c r="G320" s="19" t="str">
        <x:v>VDL7</x:v>
      </x:c>
      <x:c r="H320" s="19" t="str">
        <x:v>没有价值的 — 有帮助的</x:v>
      </x:c>
      <x:c r="I320" s="19" t="str"/>
      <x:c r="J320" s="19" t="str">
        <x:v>双极</x:v>
      </x:c>
      <x:c r="K320" s="19" t="str">
        <x:v>5点双极</x:v>
      </x:c>
      <x:c r="L320" s="19" t="str">
        <x:v>已广泛使用</x:v>
      </x:c>
      <x:c r="M320" s="19" t="str">
        <x:v>最终</x:v>
      </x:c>
      <x:c r="N320" s="19" t="str">
        <x:v>技术接受；满意度</x:v>
      </x:c>
      <x:c r="O320" s="19" t="n">
        <x:v>1</x:v>
      </x:c>
      <x:c r="P320" s="19" t="str">
        <x:v>最终偏好/接受度备选</x:v>
      </x:c>
      <x:c r="Q320" s="19" t="str">
        <x:v>中文语义转述</x:v>
      </x:c>
      <x:c r="R320" s="19" t="str">
        <x:v>https://doi.org/10.1016/S0003-6870(97)00010-3</x:v>
      </x:c>
      <x:c r="S320" s="19" t="str">
        <x:v>Van der Laan acceptance scale</x:v>
      </x:c>
      <x:c r="T320" s="19" t="str"/>
      <x:c r="U320" s="19" t="str"/>
    </x:row>
    <x:row r="321" ht="47" customHeight="1">
      <x:c r="A321" s="19" t="str">
        <x:v>未决定</x:v>
      </x:c>
      <x:c r="B321" s="19" t="str">
        <x:v>B-邻近</x:v>
      </x:c>
      <x:c r="C321" s="19" t="str">
        <x:v>技术接受</x:v>
      </x:c>
      <x:c r="D321" s="19" t="str">
        <x:v>Van der Laan Acceptance Scale</x:v>
      </x:c>
      <x:c r="E321" s="19" t="str">
        <x:v>1997</x:v>
      </x:c>
      <x:c r="F321" s="19" t="str">
        <x:v>Satisfaction</x:v>
      </x:c>
      <x:c r="G321" s="19" t="str">
        <x:v>VDL8</x:v>
      </x:c>
      <x:c r="H321" s="19" t="str">
        <x:v>不值得想要的 — 值得想要的</x:v>
      </x:c>
      <x:c r="I321" s="19" t="str"/>
      <x:c r="J321" s="19" t="str">
        <x:v>双极</x:v>
      </x:c>
      <x:c r="K321" s="19" t="str">
        <x:v>5点双极</x:v>
      </x:c>
      <x:c r="L321" s="19" t="str">
        <x:v>已广泛使用</x:v>
      </x:c>
      <x:c r="M321" s="19" t="str">
        <x:v>最终</x:v>
      </x:c>
      <x:c r="N321" s="19" t="str">
        <x:v>技术接受；满意度</x:v>
      </x:c>
      <x:c r="O321" s="19" t="n">
        <x:v>1</x:v>
      </x:c>
      <x:c r="P321" s="19" t="str">
        <x:v>最终偏好/接受度备选</x:v>
      </x:c>
      <x:c r="Q321" s="19" t="str">
        <x:v>中文语义转述</x:v>
      </x:c>
      <x:c r="R321" s="19" t="str">
        <x:v>https://doi.org/10.1016/S0003-6870(97)00010-3</x:v>
      </x:c>
      <x:c r="S321" s="19" t="str">
        <x:v>Van der Laan acceptance scale</x:v>
      </x:c>
      <x:c r="T321" s="19" t="str"/>
      <x:c r="U321" s="19" t="str"/>
    </x:row>
    <x:row r="322" ht="47" customHeight="1">
      <x:c r="A322" s="19" t="str">
        <x:v>未决定</x:v>
      </x:c>
      <x:c r="B322" s="19" t="str">
        <x:v>B-邻近</x:v>
      </x:c>
      <x:c r="C322" s="19" t="str">
        <x:v>技术接受</x:v>
      </x:c>
      <x:c r="D322" s="19" t="str">
        <x:v>Van der Laan Acceptance Scale</x:v>
      </x:c>
      <x:c r="E322" s="19" t="str">
        <x:v>1997</x:v>
      </x:c>
      <x:c r="F322" s="19" t="str">
        <x:v>Usefulness</x:v>
      </x:c>
      <x:c r="G322" s="19" t="str">
        <x:v>VDL9</x:v>
      </x:c>
      <x:c r="H322" s="19" t="str">
        <x:v>令人困倦的 — 提高警觉的</x:v>
      </x:c>
      <x:c r="I322" s="19" t="str"/>
      <x:c r="J322" s="19" t="str">
        <x:v>双极</x:v>
      </x:c>
      <x:c r="K322" s="19" t="str">
        <x:v>5点双极</x:v>
      </x:c>
      <x:c r="L322" s="19" t="str">
        <x:v>已广泛使用</x:v>
      </x:c>
      <x:c r="M322" s="19" t="str">
        <x:v>最终</x:v>
      </x:c>
      <x:c r="N322" s="19" t="str">
        <x:v>技术接受；满意度</x:v>
      </x:c>
      <x:c r="O322" s="19" t="n">
        <x:v>1</x:v>
      </x:c>
      <x:c r="P322" s="19" t="str">
        <x:v>最终偏好/接受度备选</x:v>
      </x:c>
      <x:c r="Q322" s="19" t="str">
        <x:v>中文语义转述</x:v>
      </x:c>
      <x:c r="R322" s="19" t="str">
        <x:v>https://doi.org/10.1016/S0003-6870(97)00010-3</x:v>
      </x:c>
      <x:c r="S322" s="19" t="str">
        <x:v>Van der Laan acceptance scale</x:v>
      </x:c>
      <x:c r="T322" s="19" t="str"/>
      <x:c r="U322" s="19" t="str"/>
    </x:row>
    <x:row r="323" ht="47" customHeight="1">
      <x:c r="A323" s="19" t="str">
        <x:v>未决定</x:v>
      </x:c>
      <x:c r="B323" s="19" t="str">
        <x:v>D-排除</x:v>
      </x:c>
      <x:c r="C323" s="19" t="str">
        <x:v>VR存在感</x:v>
      </x:c>
      <x:c r="D323" s="19" t="str">
        <x:v>Slater–Usoh–Steed Presence Questionnaire (SUS Presence)</x:v>
      </x:c>
      <x:c r="E323" s="19" t="str">
        <x:v>1994/1998</x:v>
      </x:c>
      <x:c r="F323" s="19" t="str">
        <x:v>Presence</x:v>
      </x:c>
      <x:c r="G323" s="19" t="str">
        <x:v>SUS-P1</x:v>
      </x:c>
      <x:c r="H323" s="19" t="str">
        <x:v>请评价你身处该环境的感觉，与正常身处一个真实地点的体验相比有多强。</x:v>
      </x:c>
      <x:c r="I323" s="19" t="str"/>
      <x:c r="J323" s="19" t="str">
        <x:v>正向</x:v>
      </x:c>
      <x:c r="K323" s="19" t="str">
        <x:v>通常7点或0–100</x:v>
      </x:c>
      <x:c r="L323" s="19" t="str">
        <x:v>经典量表；版本差异</x:v>
      </x:c>
      <x:c r="M323" s="19" t="str">
        <x:v>总体</x:v>
      </x:c>
      <x:c r="N323" s="19" t="str">
        <x:v>总体存在感</x:v>
      </x:c>
      <x:c r="O323" s="19" t="n">
        <x:v>0</x:v>
      </x:c>
      <x:c r="P323" s="19" t="str">
        <x:v>不建议</x:v>
      </x:c>
      <x:c r="Q323" s="19" t="str">
        <x:v>中文语义转述</x:v>
      </x:c>
      <x:c r="R323" s="19" t="str">
        <x:v>https://doi.org/10.1162/pres.1998.7.6.603</x:v>
      </x:c>
      <x:c r="S323" s="19" t="str">
        <x:v>SUS Presence</x:v>
      </x:c>
      <x:c r="T323" s="19" t="str"/>
      <x:c r="U323" s="19" t="str"/>
    </x:row>
    <x:row r="324" ht="47" customHeight="1">
      <x:c r="A324" s="19" t="str">
        <x:v>未决定</x:v>
      </x:c>
      <x:c r="B324" s="19" t="str">
        <x:v>D-排除</x:v>
      </x:c>
      <x:c r="C324" s="19" t="str">
        <x:v>VR存在感</x:v>
      </x:c>
      <x:c r="D324" s="19" t="str">
        <x:v>Slater–Usoh–Steed Presence Questionnaire (SUS Presence)</x:v>
      </x:c>
      <x:c r="E324" s="19" t="str">
        <x:v>1994/1998</x:v>
      </x:c>
      <x:c r="F324" s="19" t="str">
        <x:v>Presence</x:v>
      </x:c>
      <x:c r="G324" s="19" t="str">
        <x:v>SUS-P2</x:v>
      </x:c>
      <x:c r="H324" s="19" t="str">
        <x:v>体验过程中，虚拟环境有多少时候对你而言成为了现实。</x:v>
      </x:c>
      <x:c r="I324" s="19" t="str"/>
      <x:c r="J324" s="19" t="str">
        <x:v>正向</x:v>
      </x:c>
      <x:c r="K324" s="19" t="str">
        <x:v>通常7点或0–100</x:v>
      </x:c>
      <x:c r="L324" s="19" t="str">
        <x:v>经典量表；版本差异</x:v>
      </x:c>
      <x:c r="M324" s="19" t="str">
        <x:v>总体</x:v>
      </x:c>
      <x:c r="N324" s="19" t="str">
        <x:v>现实替代</x:v>
      </x:c>
      <x:c r="O324" s="19" t="n">
        <x:v>0</x:v>
      </x:c>
      <x:c r="P324" s="19" t="str">
        <x:v>不建议</x:v>
      </x:c>
      <x:c r="Q324" s="19" t="str">
        <x:v>中文语义转述</x:v>
      </x:c>
      <x:c r="R324" s="19" t="str">
        <x:v>https://doi.org/10.1162/pres.1998.7.6.603</x:v>
      </x:c>
      <x:c r="S324" s="19" t="str">
        <x:v>SUS Presence</x:v>
      </x:c>
      <x:c r="T324" s="19" t="str"/>
      <x:c r="U324" s="19" t="str"/>
    </x:row>
    <x:row r="325" ht="47" customHeight="1">
      <x:c r="A325" s="19" t="str">
        <x:v>未决定</x:v>
      </x:c>
      <x:c r="B325" s="19" t="str">
        <x:v>D-排除</x:v>
      </x:c>
      <x:c r="C325" s="19" t="str">
        <x:v>VR存在感</x:v>
      </x:c>
      <x:c r="D325" s="19" t="str">
        <x:v>Slater–Usoh–Steed Presence Questionnaire (SUS Presence)</x:v>
      </x:c>
      <x:c r="E325" s="19" t="str">
        <x:v>1994/1998</x:v>
      </x:c>
      <x:c r="F325" s="19" t="str">
        <x:v>Presence</x:v>
      </x:c>
      <x:c r="G325" s="19" t="str">
        <x:v>SUS-P3</x:v>
      </x:c>
      <x:c r="H325" s="19" t="str">
        <x:v>回想体验时，你更像是在回忆一个访问过的地点，还是在回忆看过的一组图像。</x:v>
      </x:c>
      <x:c r="I325" s="19" t="str"/>
      <x:c r="J325" s="19" t="str">
        <x:v>正向</x:v>
      </x:c>
      <x:c r="K325" s="19" t="str">
        <x:v>通常7点或0–100</x:v>
      </x:c>
      <x:c r="L325" s="19" t="str">
        <x:v>经典量表；版本差异</x:v>
      </x:c>
      <x:c r="M325" s="19" t="str">
        <x:v>总体</x:v>
      </x:c>
      <x:c r="N325" s="19" t="str">
        <x:v>地点记忆</x:v>
      </x:c>
      <x:c r="O325" s="19" t="n">
        <x:v>0</x:v>
      </x:c>
      <x:c r="P325" s="19" t="str">
        <x:v>不建议</x:v>
      </x:c>
      <x:c r="Q325" s="19" t="str">
        <x:v>中文语义转述</x:v>
      </x:c>
      <x:c r="R325" s="19" t="str">
        <x:v>https://doi.org/10.1162/pres.1998.7.6.603</x:v>
      </x:c>
      <x:c r="S325" s="19" t="str">
        <x:v>SUS Presence</x:v>
      </x:c>
      <x:c r="T325" s="19" t="str"/>
      <x:c r="U325" s="19" t="str"/>
    </x:row>
    <x:row r="326" ht="47" customHeight="1">
      <x:c r="A326" s="19" t="str">
        <x:v>未决定</x:v>
      </x:c>
      <x:c r="B326" s="19" t="str">
        <x:v>D-排除</x:v>
      </x:c>
      <x:c r="C326" s="19" t="str">
        <x:v>VR存在感</x:v>
      </x:c>
      <x:c r="D326" s="19" t="str">
        <x:v>Slater–Usoh–Steed Presence Questionnaire (SUS Presence)</x:v>
      </x:c>
      <x:c r="E326" s="19" t="str">
        <x:v>1994/1998</x:v>
      </x:c>
      <x:c r="F326" s="19" t="str">
        <x:v>Presence</x:v>
      </x:c>
      <x:c r="G326" s="19" t="str">
        <x:v>SUS-P4</x:v>
      </x:c>
      <x:c r="H326" s="19" t="str">
        <x:v>你身处虚拟环境的感觉在多大程度上强于身处实验室或真实房间的感觉。</x:v>
      </x:c>
      <x:c r="I326" s="19" t="str"/>
      <x:c r="J326" s="19" t="str">
        <x:v>正向</x:v>
      </x:c>
      <x:c r="K326" s="19" t="str">
        <x:v>通常7点或0–100</x:v>
      </x:c>
      <x:c r="L326" s="19" t="str">
        <x:v>经典量表；版本差异</x:v>
      </x:c>
      <x:c r="M326" s="19" t="str">
        <x:v>总体</x:v>
      </x:c>
      <x:c r="N326" s="19" t="str">
        <x:v>虚实竞争</x:v>
      </x:c>
      <x:c r="O326" s="19" t="n">
        <x:v>0</x:v>
      </x:c>
      <x:c r="P326" s="19" t="str">
        <x:v>不建议</x:v>
      </x:c>
      <x:c r="Q326" s="19" t="str">
        <x:v>中文语义转述</x:v>
      </x:c>
      <x:c r="R326" s="19" t="str">
        <x:v>https://doi.org/10.1162/pres.1998.7.6.603</x:v>
      </x:c>
      <x:c r="S326" s="19" t="str">
        <x:v>SUS Presence</x:v>
      </x:c>
      <x:c r="T326" s="19" t="str"/>
      <x:c r="U326" s="19" t="str"/>
    </x:row>
    <x:row r="327" ht="47" customHeight="1">
      <x:c r="A327" s="19" t="str">
        <x:v>未决定</x:v>
      </x:c>
      <x:c r="B327" s="19" t="str">
        <x:v>D-排除</x:v>
      </x:c>
      <x:c r="C327" s="19" t="str">
        <x:v>VR存在感</x:v>
      </x:c>
      <x:c r="D327" s="19" t="str">
        <x:v>Slater–Usoh–Steed Presence Questionnaire (SUS Presence)</x:v>
      </x:c>
      <x:c r="E327" s="19" t="str">
        <x:v>1994/1998</x:v>
      </x:c>
      <x:c r="F327" s="19" t="str">
        <x:v>Presence</x:v>
      </x:c>
      <x:c r="G327" s="19" t="str">
        <x:v>SUS-P5</x:v>
      </x:c>
      <x:c r="H327" s="19" t="str">
        <x:v>你在多大程度上把虚拟环境当作一个去过的地点，而不是观看过的内容。</x:v>
      </x:c>
      <x:c r="I327" s="19" t="str"/>
      <x:c r="J327" s="19" t="str">
        <x:v>正向</x:v>
      </x:c>
      <x:c r="K327" s="19" t="str">
        <x:v>通常7点或0–100</x:v>
      </x:c>
      <x:c r="L327" s="19" t="str">
        <x:v>经典量表；版本差异</x:v>
      </x:c>
      <x:c r="M327" s="19" t="str">
        <x:v>总体</x:v>
      </x:c>
      <x:c r="N327" s="19" t="str">
        <x:v>地点感</x:v>
      </x:c>
      <x:c r="O327" s="19" t="n">
        <x:v>0</x:v>
      </x:c>
      <x:c r="P327" s="19" t="str">
        <x:v>不建议</x:v>
      </x:c>
      <x:c r="Q327" s="19" t="str">
        <x:v>中文语义转述</x:v>
      </x:c>
      <x:c r="R327" s="19" t="str">
        <x:v>https://doi.org/10.1162/pres.1998.7.6.603</x:v>
      </x:c>
      <x:c r="S327" s="19" t="str">
        <x:v>SUS Presence</x:v>
      </x:c>
      <x:c r="T327" s="19" t="str"/>
      <x:c r="U327" s="19" t="str"/>
    </x:row>
    <x:row r="328" ht="47" customHeight="1">
      <x:c r="A328" s="19" t="str">
        <x:v>未决定</x:v>
      </x:c>
      <x:c r="B328" s="19" t="str">
        <x:v>D-排除</x:v>
      </x:c>
      <x:c r="C328" s="19" t="str">
        <x:v>VR存在感</x:v>
      </x:c>
      <x:c r="D328" s="19" t="str">
        <x:v>Slater–Usoh–Steed Presence Questionnaire (SUS Presence)</x:v>
      </x:c>
      <x:c r="E328" s="19" t="str">
        <x:v>1994/1998</x:v>
      </x:c>
      <x:c r="F328" s="19" t="str">
        <x:v>Presence</x:v>
      </x:c>
      <x:c r="G328" s="19" t="str">
        <x:v>SUS-P6</x:v>
      </x:c>
      <x:c r="H328" s="19" t="str">
        <x:v>总体而言，你有多强的感觉自己确实在虚拟环境中。</x:v>
      </x:c>
      <x:c r="I328" s="19" t="str"/>
      <x:c r="J328" s="19" t="str">
        <x:v>正向</x:v>
      </x:c>
      <x:c r="K328" s="19" t="str">
        <x:v>通常7点或0–100</x:v>
      </x:c>
      <x:c r="L328" s="19" t="str">
        <x:v>经典量表；版本差异</x:v>
      </x:c>
      <x:c r="M328" s="19" t="str">
        <x:v>总体</x:v>
      </x:c>
      <x:c r="N328" s="19" t="str">
        <x:v>总体存在感</x:v>
      </x:c>
      <x:c r="O328" s="19" t="n">
        <x:v>0</x:v>
      </x:c>
      <x:c r="P328" s="19" t="str">
        <x:v>不建议</x:v>
      </x:c>
      <x:c r="Q328" s="19" t="str">
        <x:v>中文语义转述</x:v>
      </x:c>
      <x:c r="R328" s="19" t="str">
        <x:v>https://doi.org/10.1162/pres.1998.7.6.603</x:v>
      </x:c>
      <x:c r="S328" s="19" t="str">
        <x:v>SUS Presence</x:v>
      </x:c>
      <x:c r="T328" s="19" t="str"/>
      <x:c r="U328" s="19" t="str"/>
    </x:row>
    <x:row r="329" ht="47" customHeight="1">
      <x:c r="A329" s="19" t="str">
        <x:v>未决定</x:v>
      </x:c>
      <x:c r="B329" s="19" t="str">
        <x:v>B-邻近</x:v>
      </x:c>
      <x:c r="C329" s="19" t="str">
        <x:v>虚拟具身</x:v>
      </x:c>
      <x:c r="D329" s="19" t="str">
        <x:v>Virtual Embodiment Questionnaire (VEQ)</x:v>
      </x:c>
      <x:c r="E329" s="19" t="str">
        <x:v>2020</x:v>
      </x:c>
      <x:c r="F329" s="19" t="str">
        <x:v>Ownership</x:v>
      </x:c>
      <x:c r="G329" s="19" t="str">
        <x:v>OW1</x:v>
      </x:c>
      <x:c r="H329" s="19" t="str">
        <x:v>虚拟身体感觉像是我的身体。</x:v>
      </x:c>
      <x:c r="I329" s="19" t="str"/>
      <x:c r="J329" s="19" t="str">
        <x:v>正向</x:v>
      </x:c>
      <x:c r="K329" s="19" t="str">
        <x:v>7点同意度</x:v>
      </x:c>
      <x:c r="L329" s="19" t="str">
        <x:v>CFA验证；对延迟/抖动敏感</x:v>
      </x:c>
      <x:c r="M329" s="19" t="str">
        <x:v>运动/总体</x:v>
      </x:c>
      <x:c r="N329" s="19" t="str">
        <x:v>Ownership</x:v>
      </x:c>
      <x:c r="O329" s="19" t="n">
        <x:v>0</x:v>
      </x:c>
      <x:c r="P329" s="19" t="str">
        <x:v>不建议</x:v>
      </x:c>
      <x:c r="Q329" s="19" t="str">
        <x:v>官方多语言版本可获取；中文语义整理</x:v>
      </x:c>
      <x:c r="R329" s="19" t="str">
        <x:v>https://sites.google.com/view/virtualembodimentquestionnaire/</x:v>
      </x:c>
      <x:c r="S329" s="19" t="str">
        <x:v>Final 12-item VEQ</x:v>
      </x:c>
      <x:c r="T329" s="19" t="str"/>
      <x:c r="U329" s="19" t="str"/>
    </x:row>
    <x:row r="330" ht="47" customHeight="1">
      <x:c r="A330" s="19" t="str">
        <x:v>未决定</x:v>
      </x:c>
      <x:c r="B330" s="19" t="str">
        <x:v>B-邻近</x:v>
      </x:c>
      <x:c r="C330" s="19" t="str">
        <x:v>虚拟具身</x:v>
      </x:c>
      <x:c r="D330" s="19" t="str">
        <x:v>Virtual Embodiment Questionnaire (VEQ)</x:v>
      </x:c>
      <x:c r="E330" s="19" t="str">
        <x:v>2020</x:v>
      </x:c>
      <x:c r="F330" s="19" t="str">
        <x:v>Ownership</x:v>
      </x:c>
      <x:c r="G330" s="19" t="str">
        <x:v>OW2</x:v>
      </x:c>
      <x:c r="H330" s="19" t="str">
        <x:v>虚拟身体的各个部分感觉像是我身体的一部分。</x:v>
      </x:c>
      <x:c r="I330" s="19" t="str"/>
      <x:c r="J330" s="19" t="str">
        <x:v>正向</x:v>
      </x:c>
      <x:c r="K330" s="19" t="str">
        <x:v>7点同意度</x:v>
      </x:c>
      <x:c r="L330" s="19" t="str">
        <x:v>CFA验证；对延迟/抖动敏感</x:v>
      </x:c>
      <x:c r="M330" s="19" t="str">
        <x:v>运动/总体</x:v>
      </x:c>
      <x:c r="N330" s="19" t="str">
        <x:v>Ownership</x:v>
      </x:c>
      <x:c r="O330" s="19" t="n">
        <x:v>0</x:v>
      </x:c>
      <x:c r="P330" s="19" t="str">
        <x:v>不建议</x:v>
      </x:c>
      <x:c r="Q330" s="19" t="str">
        <x:v>官方多语言版本可获取；中文语义整理</x:v>
      </x:c>
      <x:c r="R330" s="19" t="str">
        <x:v>https://sites.google.com/view/virtualembodimentquestionnaire/</x:v>
      </x:c>
      <x:c r="S330" s="19" t="str">
        <x:v>Final 12-item VEQ</x:v>
      </x:c>
      <x:c r="T330" s="19" t="str"/>
      <x:c r="U330" s="19" t="str"/>
    </x:row>
    <x:row r="331" ht="47" customHeight="1">
      <x:c r="A331" s="19" t="str">
        <x:v>未决定</x:v>
      </x:c>
      <x:c r="B331" s="19" t="str">
        <x:v>B-邻近</x:v>
      </x:c>
      <x:c r="C331" s="19" t="str">
        <x:v>虚拟具身</x:v>
      </x:c>
      <x:c r="D331" s="19" t="str">
        <x:v>Virtual Embodiment Questionnaire (VEQ)</x:v>
      </x:c>
      <x:c r="E331" s="19" t="str">
        <x:v>2020</x:v>
      </x:c>
      <x:c r="F331" s="19" t="str">
        <x:v>Ownership</x:v>
      </x:c>
      <x:c r="G331" s="19" t="str">
        <x:v>OW3</x:v>
      </x:c>
      <x:c r="H331" s="19" t="str">
        <x:v>虚拟身体感觉像一个真实的人体。</x:v>
      </x:c>
      <x:c r="I331" s="19" t="str"/>
      <x:c r="J331" s="19" t="str">
        <x:v>正向</x:v>
      </x:c>
      <x:c r="K331" s="19" t="str">
        <x:v>7点同意度</x:v>
      </x:c>
      <x:c r="L331" s="19" t="str">
        <x:v>CFA验证；对延迟/抖动敏感</x:v>
      </x:c>
      <x:c r="M331" s="19" t="str">
        <x:v>运动/总体</x:v>
      </x:c>
      <x:c r="N331" s="19" t="str">
        <x:v>Ownership</x:v>
      </x:c>
      <x:c r="O331" s="19" t="n">
        <x:v>0</x:v>
      </x:c>
      <x:c r="P331" s="19" t="str">
        <x:v>不建议</x:v>
      </x:c>
      <x:c r="Q331" s="19" t="str">
        <x:v>官方多语言版本可获取；中文语义整理</x:v>
      </x:c>
      <x:c r="R331" s="19" t="str">
        <x:v>https://sites.google.com/view/virtualembodimentquestionnaire/</x:v>
      </x:c>
      <x:c r="S331" s="19" t="str">
        <x:v>Final 12-item VEQ</x:v>
      </x:c>
      <x:c r="T331" s="19" t="str"/>
      <x:c r="U331" s="19" t="str"/>
    </x:row>
    <x:row r="332" ht="47" customHeight="1">
      <x:c r="A332" s="19" t="str">
        <x:v>未决定</x:v>
      </x:c>
      <x:c r="B332" s="19" t="str">
        <x:v>B-邻近</x:v>
      </x:c>
      <x:c r="C332" s="19" t="str">
        <x:v>虚拟具身</x:v>
      </x:c>
      <x:c r="D332" s="19" t="str">
        <x:v>Virtual Embodiment Questionnaire (VEQ)</x:v>
      </x:c>
      <x:c r="E332" s="19" t="str">
        <x:v>2020</x:v>
      </x:c>
      <x:c r="F332" s="19" t="str">
        <x:v>Ownership</x:v>
      </x:c>
      <x:c r="G332" s="19" t="str">
        <x:v>OW4</x:v>
      </x:c>
      <x:c r="H332" s="19" t="str">
        <x:v>我感觉虚拟身体属于我。</x:v>
      </x:c>
      <x:c r="I332" s="19" t="str"/>
      <x:c r="J332" s="19" t="str">
        <x:v>正向</x:v>
      </x:c>
      <x:c r="K332" s="19" t="str">
        <x:v>7点同意度</x:v>
      </x:c>
      <x:c r="L332" s="19" t="str">
        <x:v>CFA验证；对延迟/抖动敏感</x:v>
      </x:c>
      <x:c r="M332" s="19" t="str">
        <x:v>运动/总体</x:v>
      </x:c>
      <x:c r="N332" s="19" t="str">
        <x:v>Ownership</x:v>
      </x:c>
      <x:c r="O332" s="19" t="n">
        <x:v>0</x:v>
      </x:c>
      <x:c r="P332" s="19" t="str">
        <x:v>不建议</x:v>
      </x:c>
      <x:c r="Q332" s="19" t="str">
        <x:v>官方多语言版本可获取；中文语义整理</x:v>
      </x:c>
      <x:c r="R332" s="19" t="str">
        <x:v>https://sites.google.com/view/virtualembodimentquestionnaire/</x:v>
      </x:c>
      <x:c r="S332" s="19" t="str">
        <x:v>Final 12-item VEQ</x:v>
      </x:c>
      <x:c r="T332" s="19" t="str"/>
      <x:c r="U332" s="19" t="str"/>
    </x:row>
    <x:row r="333" ht="47" customHeight="1">
      <x:c r="A333" s="19" t="str">
        <x:v>未决定</x:v>
      </x:c>
      <x:c r="B333" s="19" t="str">
        <x:v>B-邻近</x:v>
      </x:c>
      <x:c r="C333" s="19" t="str">
        <x:v>虚拟具身</x:v>
      </x:c>
      <x:c r="D333" s="19" t="str">
        <x:v>Virtual Embodiment Questionnaire (VEQ)</x:v>
      </x:c>
      <x:c r="E333" s="19" t="str">
        <x:v>2020</x:v>
      </x:c>
      <x:c r="F333" s="19" t="str">
        <x:v>Agency</x:v>
      </x:c>
      <x:c r="G333" s="19" t="str">
        <x:v>AG1</x:v>
      </x:c>
      <x:c r="H333" s="19" t="str">
        <x:v>虚拟身体的动作感觉像是我自己的动作。</x:v>
      </x:c>
      <x:c r="I333" s="19" t="str"/>
      <x:c r="J333" s="19" t="str">
        <x:v>正向</x:v>
      </x:c>
      <x:c r="K333" s="19" t="str">
        <x:v>7点同意度</x:v>
      </x:c>
      <x:c r="L333" s="19" t="str">
        <x:v>CFA验证；对延迟/抖动敏感</x:v>
      </x:c>
      <x:c r="M333" s="19" t="str">
        <x:v>运动/总体</x:v>
      </x:c>
      <x:c r="N333" s="19" t="str">
        <x:v>动作同步；延迟抖动；agency</x:v>
      </x:c>
      <x:c r="O333" s="19" t="n">
        <x:v>2</x:v>
      </x:c>
      <x:c r="P333" s="19" t="str">
        <x:v>邻近参考</x:v>
      </x:c>
      <x:c r="Q333" s="19" t="str">
        <x:v>官方多语言版本可获取；中文语义整理</x:v>
      </x:c>
      <x:c r="R333" s="19" t="str">
        <x:v>https://sites.google.com/view/virtualembodimentquestionnaire/</x:v>
      </x:c>
      <x:c r="S333" s="19" t="str">
        <x:v>Final 12-item VEQ</x:v>
      </x:c>
      <x:c r="T333" s="19" t="str"/>
      <x:c r="U333" s="19" t="str"/>
    </x:row>
    <x:row r="334" ht="47" customHeight="1">
      <x:c r="A334" s="19" t="str">
        <x:v>未决定</x:v>
      </x:c>
      <x:c r="B334" s="19" t="str">
        <x:v>B-邻近</x:v>
      </x:c>
      <x:c r="C334" s="19" t="str">
        <x:v>虚拟具身</x:v>
      </x:c>
      <x:c r="D334" s="19" t="str">
        <x:v>Virtual Embodiment Questionnaire (VEQ)</x:v>
      </x:c>
      <x:c r="E334" s="19" t="str">
        <x:v>2020</x:v>
      </x:c>
      <x:c r="F334" s="19" t="str">
        <x:v>Agency</x:v>
      </x:c>
      <x:c r="G334" s="19" t="str">
        <x:v>AG2</x:v>
      </x:c>
      <x:c r="H334" s="19" t="str">
        <x:v>我感觉自己在控制虚拟身体的动作。</x:v>
      </x:c>
      <x:c r="I334" s="19" t="str"/>
      <x:c r="J334" s="19" t="str">
        <x:v>正向</x:v>
      </x:c>
      <x:c r="K334" s="19" t="str">
        <x:v>7点同意度</x:v>
      </x:c>
      <x:c r="L334" s="19" t="str">
        <x:v>CFA验证；对延迟/抖动敏感</x:v>
      </x:c>
      <x:c r="M334" s="19" t="str">
        <x:v>运动/总体</x:v>
      </x:c>
      <x:c r="N334" s="19" t="str">
        <x:v>动作同步；延迟抖动；agency</x:v>
      </x:c>
      <x:c r="O334" s="19" t="n">
        <x:v>2</x:v>
      </x:c>
      <x:c r="P334" s="19" t="str">
        <x:v>邻近参考</x:v>
      </x:c>
      <x:c r="Q334" s="19" t="str">
        <x:v>官方多语言版本可获取；中文语义整理</x:v>
      </x:c>
      <x:c r="R334" s="19" t="str">
        <x:v>https://sites.google.com/view/virtualembodimentquestionnaire/</x:v>
      </x:c>
      <x:c r="S334" s="19" t="str">
        <x:v>Final 12-item VEQ</x:v>
      </x:c>
      <x:c r="T334" s="19" t="str"/>
      <x:c r="U334" s="19" t="str"/>
    </x:row>
    <x:row r="335" ht="47" customHeight="1">
      <x:c r="A335" s="19" t="str">
        <x:v>未决定</x:v>
      </x:c>
      <x:c r="B335" s="19" t="str">
        <x:v>B-邻近</x:v>
      </x:c>
      <x:c r="C335" s="19" t="str">
        <x:v>虚拟具身</x:v>
      </x:c>
      <x:c r="D335" s="19" t="str">
        <x:v>Virtual Embodiment Questionnaire (VEQ)</x:v>
      </x:c>
      <x:c r="E335" s="19" t="str">
        <x:v>2020</x:v>
      </x:c>
      <x:c r="F335" s="19" t="str">
        <x:v>Agency</x:v>
      </x:c>
      <x:c r="G335" s="19" t="str">
        <x:v>AG3</x:v>
      </x:c>
      <x:c r="H335" s="19" t="str">
        <x:v>我感觉虚拟身体的动作是由我引起的。</x:v>
      </x:c>
      <x:c r="I335" s="19" t="str"/>
      <x:c r="J335" s="19" t="str">
        <x:v>正向</x:v>
      </x:c>
      <x:c r="K335" s="19" t="str">
        <x:v>7点同意度</x:v>
      </x:c>
      <x:c r="L335" s="19" t="str">
        <x:v>CFA验证；对延迟/抖动敏感</x:v>
      </x:c>
      <x:c r="M335" s="19" t="str">
        <x:v>运动/总体</x:v>
      </x:c>
      <x:c r="N335" s="19" t="str">
        <x:v>动作同步；延迟抖动；agency</x:v>
      </x:c>
      <x:c r="O335" s="19" t="n">
        <x:v>2</x:v>
      </x:c>
      <x:c r="P335" s="19" t="str">
        <x:v>邻近参考</x:v>
      </x:c>
      <x:c r="Q335" s="19" t="str">
        <x:v>官方多语言版本可获取；中文语义整理</x:v>
      </x:c>
      <x:c r="R335" s="19" t="str">
        <x:v>https://sites.google.com/view/virtualembodimentquestionnaire/</x:v>
      </x:c>
      <x:c r="S335" s="19" t="str">
        <x:v>Final 12-item VEQ</x:v>
      </x:c>
      <x:c r="T335" s="19" t="str"/>
      <x:c r="U335" s="19" t="str"/>
    </x:row>
    <x:row r="336" ht="47" customHeight="1">
      <x:c r="A336" s="19" t="str">
        <x:v>未决定</x:v>
      </x:c>
      <x:c r="B336" s="19" t="str">
        <x:v>B-邻近</x:v>
      </x:c>
      <x:c r="C336" s="19" t="str">
        <x:v>虚拟具身</x:v>
      </x:c>
      <x:c r="D336" s="19" t="str">
        <x:v>Virtual Embodiment Questionnaire (VEQ)</x:v>
      </x:c>
      <x:c r="E336" s="19" t="str">
        <x:v>2020</x:v>
      </x:c>
      <x:c r="F336" s="19" t="str">
        <x:v>Agency</x:v>
      </x:c>
      <x:c r="G336" s="19" t="str">
        <x:v>AG4</x:v>
      </x:c>
      <x:c r="H336" s="19" t="str">
        <x:v>虚拟身体的动作与我自己的动作同步。</x:v>
      </x:c>
      <x:c r="I336" s="19" t="str"/>
      <x:c r="J336" s="19" t="str">
        <x:v>正向</x:v>
      </x:c>
      <x:c r="K336" s="19" t="str">
        <x:v>7点同意度</x:v>
      </x:c>
      <x:c r="L336" s="19" t="str">
        <x:v>CFA验证；对延迟/抖动敏感</x:v>
      </x:c>
      <x:c r="M336" s="19" t="str">
        <x:v>运动/总体</x:v>
      </x:c>
      <x:c r="N336" s="19" t="str">
        <x:v>动作同步；延迟抖动；agency</x:v>
      </x:c>
      <x:c r="O336" s="19" t="n">
        <x:v>3</x:v>
      </x:c>
      <x:c r="P336" s="19" t="str">
        <x:v>改编候选</x:v>
      </x:c>
      <x:c r="Q336" s="19" t="str">
        <x:v>官方多语言版本可获取；中文语义整理</x:v>
      </x:c>
      <x:c r="R336" s="19" t="str">
        <x:v>https://sites.google.com/view/virtualembodimentquestionnaire/</x:v>
      </x:c>
      <x:c r="S336" s="19" t="str">
        <x:v>Final 12-item VEQ</x:v>
      </x:c>
      <x:c r="T336" s="19" t="str"/>
      <x:c r="U336" s="19" t="str"/>
    </x:row>
    <x:row r="337" ht="47" customHeight="1">
      <x:c r="A337" s="19" t="str">
        <x:v>未决定</x:v>
      </x:c>
      <x:c r="B337" s="19" t="str">
        <x:v>B-邻近</x:v>
      </x:c>
      <x:c r="C337" s="19" t="str">
        <x:v>虚拟具身</x:v>
      </x:c>
      <x:c r="D337" s="19" t="str">
        <x:v>Virtual Embodiment Questionnaire (VEQ)</x:v>
      </x:c>
      <x:c r="E337" s="19" t="str">
        <x:v>2020</x:v>
      </x:c>
      <x:c r="F337" s="19" t="str">
        <x:v>Change</x:v>
      </x:c>
      <x:c r="G337" s="19" t="str">
        <x:v>CH1</x:v>
      </x:c>
      <x:c r="H337" s="19" t="str">
        <x:v>我感觉自己的身体形态或外观发生了变化。</x:v>
      </x:c>
      <x:c r="I337" s="19" t="str"/>
      <x:c r="J337" s="19" t="str">
        <x:v>正向</x:v>
      </x:c>
      <x:c r="K337" s="19" t="str">
        <x:v>7点同意度</x:v>
      </x:c>
      <x:c r="L337" s="19" t="str">
        <x:v>CFA验证；对延迟/抖动敏感</x:v>
      </x:c>
      <x:c r="M337" s="19" t="str">
        <x:v>运动/总体</x:v>
      </x:c>
      <x:c r="N337" s="19" t="str">
        <x:v>Change</x:v>
      </x:c>
      <x:c r="O337" s="19" t="n">
        <x:v>0</x:v>
      </x:c>
      <x:c r="P337" s="19" t="str">
        <x:v>不建议</x:v>
      </x:c>
      <x:c r="Q337" s="19" t="str">
        <x:v>官方多语言版本可获取；中文语义整理</x:v>
      </x:c>
      <x:c r="R337" s="19" t="str">
        <x:v>https://sites.google.com/view/virtualembodimentquestionnaire/</x:v>
      </x:c>
      <x:c r="S337" s="19" t="str">
        <x:v>Final 12-item VEQ</x:v>
      </x:c>
      <x:c r="T337" s="19" t="str"/>
      <x:c r="U337" s="19" t="str"/>
    </x:row>
    <x:row r="338" ht="47" customHeight="1">
      <x:c r="A338" s="19" t="str">
        <x:v>未决定</x:v>
      </x:c>
      <x:c r="B338" s="19" t="str">
        <x:v>B-邻近</x:v>
      </x:c>
      <x:c r="C338" s="19" t="str">
        <x:v>虚拟具身</x:v>
      </x:c>
      <x:c r="D338" s="19" t="str">
        <x:v>Virtual Embodiment Questionnaire (VEQ)</x:v>
      </x:c>
      <x:c r="E338" s="19" t="str">
        <x:v>2020</x:v>
      </x:c>
      <x:c r="F338" s="19" t="str">
        <x:v>Change</x:v>
      </x:c>
      <x:c r="G338" s="19" t="str">
        <x:v>CH2</x:v>
      </x:c>
      <x:c r="H338" s="19" t="str">
        <x:v>我感觉自己的身体重量发生了变化。</x:v>
      </x:c>
      <x:c r="I338" s="19" t="str"/>
      <x:c r="J338" s="19" t="str">
        <x:v>正向</x:v>
      </x:c>
      <x:c r="K338" s="19" t="str">
        <x:v>7点同意度</x:v>
      </x:c>
      <x:c r="L338" s="19" t="str">
        <x:v>CFA验证；对延迟/抖动敏感</x:v>
      </x:c>
      <x:c r="M338" s="19" t="str">
        <x:v>运动/总体</x:v>
      </x:c>
      <x:c r="N338" s="19" t="str">
        <x:v>Change</x:v>
      </x:c>
      <x:c r="O338" s="19" t="n">
        <x:v>0</x:v>
      </x:c>
      <x:c r="P338" s="19" t="str">
        <x:v>不建议</x:v>
      </x:c>
      <x:c r="Q338" s="19" t="str">
        <x:v>官方多语言版本可获取；中文语义整理</x:v>
      </x:c>
      <x:c r="R338" s="19" t="str">
        <x:v>https://sites.google.com/view/virtualembodimentquestionnaire/</x:v>
      </x:c>
      <x:c r="S338" s="19" t="str">
        <x:v>Final 12-item VEQ</x:v>
      </x:c>
      <x:c r="T338" s="19" t="str"/>
      <x:c r="U338" s="19" t="str"/>
    </x:row>
    <x:row r="339" ht="47" customHeight="1">
      <x:c r="A339" s="19" t="str">
        <x:v>未决定</x:v>
      </x:c>
      <x:c r="B339" s="19" t="str">
        <x:v>B-邻近</x:v>
      </x:c>
      <x:c r="C339" s="19" t="str">
        <x:v>虚拟具身</x:v>
      </x:c>
      <x:c r="D339" s="19" t="str">
        <x:v>Virtual Embodiment Questionnaire (VEQ)</x:v>
      </x:c>
      <x:c r="E339" s="19" t="str">
        <x:v>2020</x:v>
      </x:c>
      <x:c r="F339" s="19" t="str">
        <x:v>Change</x:v>
      </x:c>
      <x:c r="G339" s="19" t="str">
        <x:v>CH3</x:v>
      </x:c>
      <x:c r="H339" s="19" t="str">
        <x:v>我感觉自己的身体高度发生了变化。</x:v>
      </x:c>
      <x:c r="I339" s="19" t="str"/>
      <x:c r="J339" s="19" t="str">
        <x:v>正向</x:v>
      </x:c>
      <x:c r="K339" s="19" t="str">
        <x:v>7点同意度</x:v>
      </x:c>
      <x:c r="L339" s="19" t="str">
        <x:v>CFA验证；对延迟/抖动敏感</x:v>
      </x:c>
      <x:c r="M339" s="19" t="str">
        <x:v>运动/总体</x:v>
      </x:c>
      <x:c r="N339" s="19" t="str">
        <x:v>Change</x:v>
      </x:c>
      <x:c r="O339" s="19" t="n">
        <x:v>0</x:v>
      </x:c>
      <x:c r="P339" s="19" t="str">
        <x:v>不建议</x:v>
      </x:c>
      <x:c r="Q339" s="19" t="str">
        <x:v>官方多语言版本可获取；中文语义整理</x:v>
      </x:c>
      <x:c r="R339" s="19" t="str">
        <x:v>https://sites.google.com/view/virtualembodimentquestionnaire/</x:v>
      </x:c>
      <x:c r="S339" s="19" t="str">
        <x:v>Final 12-item VEQ</x:v>
      </x:c>
      <x:c r="T339" s="19" t="str"/>
      <x:c r="U339" s="19" t="str"/>
    </x:row>
    <x:row r="340" ht="47" customHeight="1">
      <x:c r="A340" s="19" t="str">
        <x:v>未决定</x:v>
      </x:c>
      <x:c r="B340" s="19" t="str">
        <x:v>B-邻近</x:v>
      </x:c>
      <x:c r="C340" s="19" t="str">
        <x:v>虚拟具身</x:v>
      </x:c>
      <x:c r="D340" s="19" t="str">
        <x:v>Virtual Embodiment Questionnaire (VEQ)</x:v>
      </x:c>
      <x:c r="E340" s="19" t="str">
        <x:v>2020</x:v>
      </x:c>
      <x:c r="F340" s="19" t="str">
        <x:v>Change</x:v>
      </x:c>
      <x:c r="G340" s="19" t="str">
        <x:v>CH4</x:v>
      </x:c>
      <x:c r="H340" s="19" t="str">
        <x:v>我感觉自己的身体宽度或体型发生了变化。</x:v>
      </x:c>
      <x:c r="I340" s="19" t="str"/>
      <x:c r="J340" s="19" t="str">
        <x:v>正向</x:v>
      </x:c>
      <x:c r="K340" s="19" t="str">
        <x:v>7点同意度</x:v>
      </x:c>
      <x:c r="L340" s="19" t="str">
        <x:v>CFA验证；对延迟/抖动敏感</x:v>
      </x:c>
      <x:c r="M340" s="19" t="str">
        <x:v>运动/总体</x:v>
      </x:c>
      <x:c r="N340" s="19" t="str">
        <x:v>Change</x:v>
      </x:c>
      <x:c r="O340" s="19" t="n">
        <x:v>0</x:v>
      </x:c>
      <x:c r="P340" s="19" t="str">
        <x:v>不建议</x:v>
      </x:c>
      <x:c r="Q340" s="19" t="str">
        <x:v>官方多语言版本可获取；中文语义整理</x:v>
      </x:c>
      <x:c r="R340" s="19" t="str">
        <x:v>https://sites.google.com/view/virtualembodimentquestionnaire/</x:v>
      </x:c>
      <x:c r="S340" s="19" t="str">
        <x:v>Final 12-item VEQ</x:v>
      </x:c>
      <x:c r="T340" s="19" t="str"/>
      <x:c r="U340" s="19" t="str"/>
    </x:row>
  </x:sheetData>
  <x:conditionalFormatting sqref="O2:O340">
    <x:cfRule type="colorScale" priority="1">
      <x:colorScale>
        <x:cfvo type="min"/>
        <x:cfvo type="percentile" val="50"/>
        <x:cfvo type="max"/>
        <x:color rgb="FFFEE2E2"/>
        <x:color rgb="FFFEF3C7"/>
        <x:color rgb="FFDCFCE7"/>
      </x:colorScale>
    </x:cfRule>
  </x:conditionalFormatting>
  <x:conditionalFormatting sqref="A2:A340">
    <x:cfRule type="expression" dxfId="0" priority="2">
      <x:formula>A2="候选"</x:formula>
    </x:cfRule>
    <x:cfRule type="expression" dxfId="1" priority="3">
      <x:formula>A2="排除"</x:formula>
    </x:cfRule>
    <x:cfRule type="expression" dxfId="2" priority="4">
      <x:formula>A2="需要改写"</x:formula>
    </x:cfRule>
  </x:conditionalFormatting>
  <x:dataValidations count="1">
    <x:dataValidation type="list" sqref="A2:A340">
      <x:formula1>_Lists!$A$2:$A$5</x:formula1>
    </x:dataValidation>
  </x:dataValidations>
  <x:pageMargins left="0.7" right="0.7" top="0.75" bottom="0.75" header="0.3" footer="0.3"/>
  <x:tableParts count="1">
    <x:tablePart xmlns:r="http://schemas.openxmlformats.org/officeDocument/2006/relationships" r:id="Rf989750cf65143f4"/>
  </x:tableParts>
</x:worksheet>
</file>

<file path=xl/worksheets/sheet4.xml><?xml version="1.0" encoding="utf-8"?>
<x:worksheet xmlns:x="http://schemas.openxmlformats.org/spreadsheetml/2006/main">
  <x:sheetFormatPr defaultRowHeight="15"/>
  <x:cols>
    <x:col min="1" max="1" width="25" hidden="0" customWidth="1"/>
    <x:col min="2" max="2" width="43" hidden="0" customWidth="1"/>
    <x:col min="3" max="3" width="14" hidden="0" customWidth="1"/>
    <x:col min="4" max="4" width="110" hidden="0" customWidth="1"/>
  </x:cols>
  <x:sheetData>
    <x:row r="1" ht="65" customHeight="1">
      <x:c r="A1" s="49" t="str">
        <x:v>机制/构念</x:v>
      </x:c>
      <x:c r="B1" s="49" t="str">
        <x:v>操作性含义</x:v>
      </x:c>
      <x:c r="C1" s="49" t="str">
        <x:v>匹配条目数</x:v>
      </x:c>
      <x:c r="D1" s="49" t="str">
        <x:v>高相关条目示例（按相关性排序，最多18项）</x:v>
      </x:c>
    </x:row>
    <x:row r="2" ht="65" customHeight="1">
      <x:c r="A2" s="16" t="str">
        <x:v>静止抖动/稳定</x:v>
      </x:c>
      <x:c r="B2" s="16" t="str">
        <x:v>静止时虚拟内容的帧间波动、微抖与锁定保持</x:v>
      </x:c>
      <x:c r="C2" s="16" t="n">
        <x:v>18</x:v>
      </x:c>
      <x:c r="D2" s="16" t="str">
        <x:v>Chinese Human-Automation Trust Scale (C-HATS)::C-HATS10—我能够依赖该系统达到使用目的。 | Chinese Human-Automation Trust Scale (C-HATS)::C-HATS1—系统性能保持稳定。 | Chinese Human-Automation Trust Scale (C-HATS)::C-HATS2—系统行为是可预测的。 | Chinese Human-Automation Trust Scale (C-HATS)::C-HATS5—系统能持续一致地应对其预设问题。 | Chinese Human-Automation Trust Scale (C-HATS)::C-HATS6—系统的行为表现是可靠的。 | Chinese Human-Automation Trust Scale (C-HATS)::C-HATS7—系统总能提供真实、可靠的信息。 | EgoAnchor当前实验三条目::Q1—在静止观察阶段，虚拟内容在真实物体上的位置保持稳定。 | EgoAnchor当前实验三条目::Q7—总体而言，该方法在锚点稳定性与响应及时性之间取得了合适的平衡。 | Holistic Presence Questionnaire (HPQ)::HPQ1—所呈现的环境感觉自然。 | Human-Computer Trust (HCT)::PR5—该系统能够稳定地处理任务。 | Virtual Embodiment Questionnaire (VEQ)::AG4—虚拟身体的动作与我自己的动作同步。 | Chinese Human-Automation Trust Scale (C-HATS)::C-HATS17—即使不确定问题是否在设计范围内，我仍会尝试使用系统解决难题。 | Chinese Human-Automation Trust Scale (C-HATS)::C-HATS18—即使不确定场景是否适用，我仍相信系统会提供合理帮助。 | Chinese Human-Automation Trust Scale (C-HATS)::C-HATS19—当我对自己的决定没有把握时，我相信系统会提供最佳方案。 | Handheld Augmented Reality Usability Scale (HARUS)::HARUS15—显示画面闪烁得太明显。 | Virtual Embodiment Questionnaire (VEQ)::AG1—虚拟身体的动作感觉像是我自己的动作。 | Virtual Embodiment Questionnaire (VEQ)::AG2—我感觉自己在控制虚拟身体的动作。 | Virtual Embodiment Questionnaire (VEQ)::AG3—我感觉虚拟身体的动作是由我引起的。</x:v>
      </x:c>
    </x:row>
    <x:row r="3" ht="65" customHeight="1">
      <x:c r="A3" s="16" t="str">
        <x:v>视点相关漂移/头动泄漏</x:v>
      </x:c>
      <x:c r="B3" s="16" t="str">
        <x:v>用户移动头部时，内容相对真实物体发生不应有漂移</x:v>
      </x:c>
      <x:c r="C3" s="16" t="n">
        <x:v>1</x:v>
      </x:c>
      <x:c r="D3" s="16" t="str">
        <x:v>EgoAnchor当前实验三条目::Q1—在静止观察阶段，虚拟内容在真实物体上的位置保持稳定。</x:v>
      </x:c>
    </x:row>
    <x:row r="4" ht="65" customHeight="1">
      <x:c r="A4" s="16" t="str">
        <x:v>运动附着/打滑</x:v>
      </x:c>
      <x:c r="B4" s="16" t="str">
        <x:v>物体运动时，虚拟内容能否保持相对位姿一致</x:v>
      </x:c>
      <x:c r="C4" s="16" t="n">
        <x:v>1</x:v>
      </x:c>
      <x:c r="D4" s="16" t="str">
        <x:v>EgoAnchor当前实验三条目::Q2—在拿起、移动和旋转物体时，虚拟内容与真实物体保持一致运动。</x:v>
      </x:c>
    </x:row>
    <x:row r="5" ht="65" customHeight="1">
      <x:c r="A5" s="16" t="str">
        <x:v>运动开始响应/时延</x:v>
      </x:c>
      <x:c r="B5" s="16" t="str">
        <x:v>物体开始运动后，虚拟内容开始跟随的及时性</x:v>
      </x:c>
      <x:c r="C5" s="16" t="n">
        <x:v>9</x:v>
      </x:c>
      <x:c r="D5" s="16" t="str">
        <x:v>Cross-Reality Interaction Questionnaire (CRIQ)::PSI3—你在多大程度上感到体验会响应你的动作，即具有交互性？ | Customizable Interactions Questionnaire (CIQ)::CIQ1—虚拟世界对我的动作作出的响应与我的预期一致。 | Customizable Interactions Questionnaire (CIQ)::CIQ3—虚拟世界对我的动作响应得足够快。 | EgoAnchor当前实验三条目::Q5—你在多大程度上感觉真实物体与虚拟内容之间的交互是同步的。 | EgoAnchor当前实验三条目::Q7—总体而言，该方法在锚点稳定性与响应及时性之间取得了合适的平衡。 | Fidelity-based Presence Scale (FPS)::FPS6—虚拟世界会对我的动作作出响应。 | Human-Computer Trust (HCT)::PR3—该系统的响应保持一致。 | Trust of Automated Systems Test (TOAST)::TOAST8—该系统的响应很少让我感到意外。 | Handheld Augmented Reality Usability Scale (HARUS)::HARUS12—信息显示的响应速度足够快。</x:v>
      </x:c>
    </x:row>
    <x:row r="6" ht="65" customHeight="1">
      <x:c r="A6" s="16" t="str">
        <x:v>停止后沉降/过冲</x:v>
      </x:c>
      <x:c r="B6" s="16" t="str">
        <x:v>物体停止后，内容是否过冲、回动并及时稳定</x:v>
      </x:c>
      <x:c r="C6" s="16" t="n">
        <x:v>0</x:v>
      </x:c>
      <x:c r="D6" s="16" t="str"/>
    </x:row>
    <x:row r="7" ht="65" customHeight="1">
      <x:c r="A7" s="16" t="str">
        <x:v>遮挡保持与恢复</x:v>
      </x:c>
      <x:c r="B7" s="16" t="str">
        <x:v>遮挡期间保持，以及移除遮挡后的恢复位置与跳变</x:v>
      </x:c>
      <x:c r="C7" s="16" t="n">
        <x:v>1</x:v>
      </x:c>
      <x:c r="D7" s="16" t="str">
        <x:v>EgoAnchor当前实验三条目::Q3—遮挡移除后，虚拟内容恢复到了与真实物体一致的位置。</x:v>
      </x:c>
    </x:row>
    <x:row r="8" ht="65" customHeight="1">
      <x:c r="A8" s="16" t="str">
        <x:v>同步性/响应性</x:v>
      </x:c>
      <x:c r="B8" s="16" t="str">
        <x:v>真实物体、用户动作与虚拟内容的时序协调</x:v>
      </x:c>
      <x:c r="C8" s="16" t="n">
        <x:v>11</x:v>
      </x:c>
      <x:c r="D8" s="16" t="str">
        <x:v>Cross-Reality Interaction Questionnaire (CRIQ)::PSI2—你在多大程度上感到物理环境与虚拟环境之间的交互是同步的？ | Cross-Reality Interaction Questionnaire (CRIQ)::PSI3—你在多大程度上感到体验会响应你的动作，即具有交互性？ | EgoAnchor当前实验三条目::Q2—在拿起、移动和旋转物体时，虚拟内容与真实物体保持一致运动。 | EgoAnchor当前实验三条目::Q5—你在多大程度上感觉真实物体与虚拟内容之间的交互是同步的。 | EgoAnchor当前实验三条目::Q7—总体而言，该方法在锚点稳定性与响应及时性之间取得了合适的平衡。 | Fidelity-based Presence Scale (FPS)::FPS6—虚拟世界会对我的动作作出响应。 | Virtual Embodiment Questionnaire (VEQ)::AG4—虚拟身体的动作与我自己的动作同步。 | Multimodal Presence Scale (MPS)::SELF2—虚拟身体的动作与我的动作相一致。 | Virtual Embodiment Questionnaire (VEQ)::AG1—虚拟身体的动作感觉像是我自己的动作。 | Virtual Embodiment Questionnaire (VEQ)::AG2—我感觉自己在控制虚拟身体的动作。 | Virtual Embodiment Questionnaire (VEQ)::AG3—我感觉虚拟身体的动作是由我引起的。</x:v>
      </x:c>
    </x:row>
    <x:row r="9" ht="65" customHeight="1">
      <x:c r="A9" s="16" t="str">
        <x:v>虚实融合/对象归属</x:v>
      </x:c>
      <x:c r="B9" s="16" t="str">
        <x:v>虚拟内容是否感觉属于真实对象并位于同一空间</x:v>
      </x:c>
      <x:c r="C9" s="16" t="n">
        <x:v>9</x:v>
      </x:c>
      <x:c r="D9" s="16" t="str">
        <x:v>AR Presence Questionnaire::P2—虚拟对象看起来像真实对象的一部分，而不是与真实对象分离的图像。 | AR Presence Questionnaire::P3—观察虚拟对象是否像观察现实世界中的对象一样自然。 | AR Presence Questionnaire::P5—虚拟对象更像显示在屏幕上，还是确实位于三维空间中。 | Augmented Reality Presence Scale (ARPS)::ARPS22—当前真实环境与增强现实内容融合在一起。 | Customizable Interactions Questionnaire (CIQ)::CIQ2—虚拟手或虚拟交互代理的位置与我的真实手或真实交互位置一致。 | AR Presence Questionnaire::P4—你是否感觉自己能够触摸或抓取虚拟对象。 | Customizable Interactions Questionnaire (CIQ)::CIQ4—虚拟手或虚拟交互代理感觉像是我自己的。 | Multimodal Presence Scale (MPS)::SELF5—发生在虚拟身体上的事件感觉像发生在我的真实身体上。 | Spatial Presence Experience Scale (SPES)::SL3—我感觉自己是该环境的一部分。</x:v>
      </x:c>
    </x:row>
    <x:row r="10" ht="65" customHeight="1">
      <x:c r="A10" s="16" t="str">
        <x:v>合理性/Plausibility</x:v>
      </x:c>
      <x:c r="B10" s="16" t="str">
        <x:v>交互是否符合物理和情境预期</x:v>
      </x:c>
      <x:c r="C10" s="16" t="n">
        <x:v>41</x:v>
      </x:c>
      <x:c r="D10" s="16" t="str">
        <x:v>AR Presence Questionnaire::P2—虚拟对象看起来像真实对象的一部分，而不是与真实对象分离的图像。 | AR Presence Questionnaire::P7—你有多注意真实对象与虚拟对象之间的差异。 | Augmented Reality Presence Scale (ARPS)::ARPS22—当前真实环境与增强现实内容融合在一起。 | Chinese Human-Automation Trust Scale (C-HATS)::C-HATS7—系统总能提供真实、可靠的信息。 | Cross-Reality Interaction Questionnaire (CRIQ)::PSI1—这次交互在多大程度上让你觉得合理、可信且符合情境？ | Cross-Reality Interaction Questionnaire (CRIQ)::PSI2—你在多大程度上感到物理环境与虚拟环境之间的交互是同步的？ | Cross-Reality Interaction Questionnaire (CRIQ)::PSI3—你在多大程度上感到体验会响应你的动作，即具有交互性？ | Customizable Interactions Questionnaire (CIQ)::CIQ2—虚拟手或虚拟交互代理的位置与我的真实手或真实交互位置一致。 | EgoAnchor当前实验三条目::Q1—在静止观察阶段，虚拟内容在真实物体上的位置保持稳定。 | EgoAnchor当前实验三条目::Q2—在拿起、移动和旋转物体时，虚拟内容与真实物体保持一致运动。 | EgoAnchor当前实验三条目::Q3—遮挡移除后，虚拟内容恢复到了与真实物体一致的位置。 | EgoAnchor当前实验三条目::Q4—这种虚实交互体验在多大程度上让你觉得合理可信。 | EgoAnchor当前实验三条目::Q5—你在多大程度上感觉真实物体与虚拟内容之间的交互是同步的。 | EgoAnchor当前实验三条目::Q6—在需要虚拟内容准确附着于真实物体的混合现实应用中，我愿意依赖这种锚定方法。 | Holistic Presence Questionnaire (HPQ)::HPQ4—我与所呈现环境的交互感觉真实。 | Augmented Reality Presence Scale (ARPS)::ARPS20—所呈现的人物仿佛出现在当前真实地点中。 | Augmented Reality Presence Scale (ARPS)::ARPS4—所呈现的人物看起来像真实存在的人。 | Chinese Human-Automation Trust Scale (C-HATS)::C-HATS18—即使不确定场景是否适用，我仍相信系统会提供合理帮助。</x:v>
      </x:c>
    </x:row>
    <x:row r="11" ht="65" customHeight="1">
      <x:c r="A11" s="16" t="str">
        <x:v>可预测性</x:v>
      </x:c>
      <x:c r="B11" s="16" t="str">
        <x:v>系统行为是否一致、可预期、少有意外</x:v>
      </x:c>
      <x:c r="C11" s="16" t="n">
        <x:v>23</x:v>
      </x:c>
      <x:c r="D11" s="16" t="str">
        <x:v>Chinese Human-Automation Trust Scale (C-HATS)::C-HATS10—我能够依赖该系统达到使用目的。 | Chinese Human-Automation Trust Scale (C-HATS)::C-HATS1—系统性能保持稳定。 | Chinese Human-Automation Trust Scale (C-HATS)::C-HATS2—系统行为是可预测的。 | Chinese Human-Automation Trust Scale (C-HATS)::C-HATS5—系统能持续一致地应对其预设问题。 | Chinese Human-Automation Trust Scale (C-HATS)::C-HATS6—系统的行为表现是可靠的。 | Chinese Human-Automation Trust Scale (C-HATS)::C-HATS7—系统总能提供真实、可靠的信息。 | Cross-Reality Interaction Questionnaire (CRIQ)::G2—交互过程在多大程度上是可预测的？ | Muir &amp; Moray Trust Ratings::MM1—该系统的行为在多大程度上可预测。 | Trust in Automation Questionnaire (TiA)::TiA14—我可以依赖该系统。 | Trust in Automation Questionnaire (TiA)::TiA15—该系统会偶尔出现错误。 | Trust in Automation Questionnaire (TiA)::TiA16—很难预测该系统下一步会做什么。 | Trust in Automation Questionnaire (TiA)::TiA19—我对该系统的能力有信心。 | Trust in Automation Questionnaire (TiA)::TiA6—该系统工作可靠。 | Trust in Automation Questionnaire (TiA)::TiA7—该系统有时会作出不可预测的反应。 | Trust in Automation Questionnaire (TiA)::TiA9—我信任该系统。 | Trust of Automated Systems Test (TOAST)::TOAST6—该系统的表现保持一致。 | Trust of Automated Systems Test (TOAST)::TOAST7—该系统按照其应有方式运行。 | Trust of Automated Systems Test (TOAST)::TOAST8—该系统的响应很少让我感到意外。</x:v>
      </x:c>
    </x:row>
    <x:row r="12" ht="65" customHeight="1">
      <x:c r="A12" s="16" t="str">
        <x:v>可靠性/Trustworthiness</x:v>
      </x:c>
      <x:c r="B12" s="16" t="str">
        <x:v>系统是否准确、一致、可靠、胜任</x:v>
      </x:c>
      <x:c r="C12" s="16" t="n">
        <x:v>48</x:v>
      </x:c>
      <x:c r="D12" s="16" t="str">
        <x:v>Chinese Human-Automation Trust Scale (C-HATS)::C-HATS10—我能够依赖该系统达到使用目的。 | Chinese Human-Automation Trust Scale (C-HATS)::C-HATS1—系统性能保持稳定。 | Chinese Human-Automation Trust Scale (C-HATS)::C-HATS2—系统行为是可预测的。 | Chinese Human-Automation Trust Scale (C-HATS)::C-HATS5—系统能持续一致地应对其预设问题。 | Chinese Human-Automation Trust Scale (C-HATS)::C-HATS6—系统的行为表现是可靠的。 | Chinese Human-Automation Trust Scale (C-HATS)::C-HATS7—系统总能提供真实、可靠的信息。 | Human-Computer Trust (HCT)::F1—当我不确定时，我愿意信任该系统的建议。 | Human-Computer Trust (HCT)::F2—在不熟悉的情境中，我可以依靠该系统。 | Human-Computer Trust (HCT)::F3—我相信该系统会带来良好的结果。 | Human-Computer Trust (HCT)::F4—我愿意在不独立核查的情况下依赖该系统。 | Human-Computer Trust (HCT)::F5—即使我不能完全理解该系统，我仍对它保持信心。 | Human-Computer Trust (HCT)::PR1—该系统持续提供我所需要的支持或建议。 | Human-Computer Trust (HCT)::PR2—该系统运行可靠。 | Human-Computer Trust (HCT)::PR3—该系统的响应保持一致。 | Human-Computer Trust (HCT)::PR4—我可以依靠该系统正确运行。 | Human-Computer Trust (HCT)::PR5—该系统能够稳定地处理任务。 | Short Trust in Automation Scale (S-TIAS)::S-TIAS2—这种对象锚定方法是可靠的。 | System Trustworthiness Scale (STS)::P1—该系统能够有效完成其任务。</x:v>
      </x:c>
    </x:row>
    <x:row r="13" ht="65" customHeight="1">
      <x:c r="A13" s="16" t="str">
        <x:v>信任态度</x:v>
      </x:c>
      <x:c r="B13" s="16" t="str">
        <x:v>用户是否有信心并愿意承受依赖系统的脆弱性</x:v>
      </x:c>
      <x:c r="C13" s="16" t="n">
        <x:v>51</x:v>
      </x:c>
      <x:c r="D13" s="16" t="str">
        <x:v>AR Tracking Trust Study – custom single items::ARTRUST1—你在多大程度上信任该增强现实系统？ | Cross-Reality Interaction Questionnaire (CRIQ)::G2—交互过程在多大程度上是可预测的？ | EgoAnchor当前实验三条目::Q6—在需要虚拟内容准确附着于真实物体的混合现实应用中，我愿意依赖这种锚定方法。 | Human-Computer Trust (HCT)::F1—当我不确定时，我愿意信任该系统的建议。 | Human-Computer Trust (HCT)::F2—在不熟悉的情境中，我可以依靠该系统。 | Human-Computer Trust (HCT)::F3—我相信该系统会带来良好的结果。 | Human-Computer Trust (HCT)::F4—我愿意在不独立核查的情况下依赖该系统。 | Human-Computer Trust (HCT)::F5—即使我不能完全理解该系统，我仍对它保持信心。 | Human-Computer Trust (HCT)::PR1—该系统持续提供我所需要的支持或建议。 | Human-Computer Trust (HCT)::PR2—该系统运行可靠。 | Human-Computer Trust (HCT)::PR3—该系统的响应保持一致。 | Human-Computer Trust (HCT)::PR4—我可以依靠该系统正确运行。 | Human-Computer Trust (HCT)::PR5—该系统能够稳定地处理任务。 | Muir &amp; Moray Trust Ratings::MM3—即使无法持续监控该系统，我在多大程度上相信它会正确工作。 | Muir &amp; Moray Trust Ratings::MM4—总体而言，你在多大程度上信任该系统。 | Short Trust in Automation Scale (S-TIAS)::S-TIAS1—我对这种对象锚定方法有信心。 | Short Trust in Automation Scale (S-TIAS)::S-TIAS2—这种对象锚定方法是可靠的。 | Short Trust in Automation Scale (S-TIAS)::S-TIAS3—我可以信任这种对象锚定方法。</x:v>
      </x:c>
    </x:row>
    <x:row r="14" ht="65" customHeight="1">
      <x:c r="A14" s="16" t="str">
        <x:v>依赖/选择行为</x:v>
      </x:c>
      <x:c r="B14" s="16" t="str">
        <x:v>用户是否愿意依赖、优先使用或最终选择</x:v>
      </x:c>
      <x:c r="C14" s="16" t="n">
        <x:v>32</x:v>
      </x:c>
      <x:c r="D14" s="16" t="str">
        <x:v>AR Tracking Trust Study – custom single items::ARTRUST2—你在多大程度上愿意依赖该增强现实系统提供的信息？ | Chinese Human-Automation Trust Scale (C-HATS)::C-HATS10—我能够依赖该系统达到使用目的。 | Chinese Human-Automation Trust Scale (C-HATS)::C-HATS1—系统性能保持稳定。 | Chinese Human-Automation Trust Scale (C-HATS)::C-HATS2—系统行为是可预测的。 | Chinese Human-Automation Trust Scale (C-HATS)::C-HATS5—系统能持续一致地应对其预设问题。 | Chinese Human-Automation Trust Scale (C-HATS)::C-HATS6—系统的行为表现是可靠的。 | Chinese Human-Automation Trust Scale (C-HATS)::C-HATS7—系统总能提供真实、可靠的信息。 | EgoAnchor当前实验三条目::Q6—在需要虚拟内容准确附着于真实物体的混合现实应用中，我愿意依赖这种锚定方法。 | Human-Computer Trust (HCT)::F1—当我不确定时，我愿意信任该系统的建议。 | Human-Computer Trust (HCT)::F2—在不熟悉的情境中，我可以依靠该系统。 | Human-Computer Trust (HCT)::F3—我相信该系统会带来良好的结果。 | Human-Computer Trust (HCT)::F4—我愿意在不独立核查的情况下依赖该系统。 | Human-Computer Trust (HCT)::F5—即使我不能完全理解该系统，我仍对它保持信心。 | Human-Computer Trust (HCT)::PR1—该系统持续提供我所需要的支持或建议。 | Human-Computer Trust (HCT)::PR2—该系统运行可靠。 | Human-Computer Trust (HCT)::PR3—该系统的响应保持一致。 | Human-Computer Trust (HCT)::PR4—我可以依靠该系统正确运行。 | Human-Computer Trust (HCT)::PR5—该系统能够稳定地处理任务。</x:v>
      </x:c>
    </x:row>
    <x:row r="15" ht="65" customHeight="1">
      <x:c r="A15" s="16" t="str">
        <x:v>总体可用性/负担</x:v>
      </x:c>
      <x:c r="B15" s="16" t="str">
        <x:v>易用性、工作负荷与不适等控制变量</x:v>
      </x:c>
      <x:c r="C15" s="16" t="n">
        <x:v>38</x:v>
      </x:c>
      <x:c r="D15" s="16" t="str">
        <x:v>AR Presence Questionnaire::P8—辨认虚拟对象的三维形态需要多大努力。 | Handheld Augmented Reality Usability Scale (HARUS)::HARUS9—使用该应用需要大量脑力。 | Handheld Augmented Reality Usability Scale (HARUS)::HARUS1—与该应用交互需要大量身体肌肉用力。 | Simulator Sickness Questionnaire (SSQ)::SSQ10—头部胀满感 | Simulator Sickness Questionnaire (SSQ)::SSQ11—视力模糊 | Simulator Sickness Questionnaire (SSQ)::SSQ12—睁眼时眩晕 | Simulator Sickness Questionnaire (SSQ)::SSQ13—闭眼时眩晕 | Simulator Sickness Questionnaire (SSQ)::SSQ14—旋转性眩晕 | Simulator Sickness Questionnaire (SSQ)::SSQ15—胃部不适感 | Simulator Sickness Questionnaire (SSQ)::SSQ16—打嗝 | Simulator Sickness Questionnaire (SSQ)::SSQ1—一般不适 | Simulator Sickness Questionnaire (SSQ)::SSQ2—疲劳 | Simulator Sickness Questionnaire (SSQ)::SSQ3—头痛 | Simulator Sickness Questionnaire (SSQ)::SSQ4—眼疲劳 | Simulator Sickness Questionnaire (SSQ)::SSQ5—难以聚焦 | Simulator Sickness Questionnaire (SSQ)::SSQ6—唾液增多 | Simulator Sickness Questionnaire (SSQ)::SSQ7—出汗 | Simulator Sickness Questionnaire (SSQ)::SSQ8—恶心</x:v>
      </x:c>
    </x:row>
  </x:sheetData>
  <x:pageMargins left="0.7" right="0.7" top="0.75" bottom="0.75" header="0.3" footer="0.3"/>
  <x:tableParts count="1">
    <x:tablePart xmlns:r="http://schemas.openxmlformats.org/officeDocument/2006/relationships" r:id="Rd04bfefd5b2347ad"/>
  </x:tableParts>
</x:worksheet>
</file>

<file path=xl/worksheets/sheet5.xml><?xml version="1.0" encoding="utf-8"?>
<x:worksheet xmlns:x="http://schemas.openxmlformats.org/spreadsheetml/2006/main">
  <x:sheetFormatPr defaultRowHeight="15"/>
  <x:cols>
    <x:col min="1" max="1" width="22" hidden="0" customWidth="1"/>
    <x:col min="2" max="2" width="12" hidden="0" customWidth="1"/>
    <x:col min="3" max="3" width="30" hidden="0" customWidth="1"/>
    <x:col min="4" max="4" width="42" hidden="0" customWidth="1"/>
    <x:col min="5" max="5" width="38" hidden="0" customWidth="1"/>
    <x:col min="6" max="6" width="52" hidden="0" customWidth="1"/>
    <x:col min="7" max="7" width="56" hidden="0" customWidth="1"/>
    <x:col min="8" max="8" width="54" hidden="0" customWidth="1"/>
    <x:col min="9" max="9" width="26" hidden="0" customWidth="1"/>
  </x:cols>
  <x:sheetData>
    <x:row r="1" ht="76" customHeight="1">
      <x:c r="A1" s="49" t="str">
        <x:v>作者</x:v>
      </x:c>
      <x:c r="B1" s="49" t="str">
        <x:v>年份</x:v>
      </x:c>
      <x:c r="C1" s="49" t="str">
        <x:v>研究焦点</x:v>
      </x:c>
      <x:c r="D1" s="49" t="str">
        <x:v>操纵/场景</x:v>
      </x:c>
      <x:c r="E1" s="49" t="str">
        <x:v>主观测量</x:v>
      </x:c>
      <x:c r="F1" s="49" t="str">
        <x:v>关键发现</x:v>
      </x:c>
      <x:c r="G1" s="49" t="str">
        <x:v>对EgoAnchor的意义</x:v>
      </x:c>
      <x:c r="H1" s="49" t="str">
        <x:v>来源URL</x:v>
      </x:c>
      <x:c r="I1" s="49" t="str">
        <x:v>DOI</x:v>
      </x:c>
    </x:row>
    <x:row r="2" ht="76" customHeight="1">
      <x:c r="A2" s="16" t="str">
        <x:v>Gottsacker et al.</x:v>
      </x:c>
      <x:c r="B2" s="16" t="str">
        <x:v>2024</x:v>
      </x:c>
      <x:c r="C2" s="16" t="str">
        <x:v>AR头显跟踪准确度与精度（抖动）</x:v>
      </x:c>
      <x:c r="D2" s="16" t="str">
        <x:v>+0°/+1°/+2°偏移；0°/≤1°/≤2°角度抖动；4种依赖行为</x:v>
      </x:c>
      <x:c r="E2" s="16" t="str">
        <x:v>TOAST 9项 + Trust/Reliance/Confidence/Difficulty/Advantageousness单项</x:v>
      </x:c>
      <x:c r="F2" s="16" t="str">
        <x:v>每增加1°跟踪误差，主观信任下降；完全依赖AR时性能损失更明显。</x:v>
      </x:c>
      <x:c r="G2" s="16" t="str">
        <x:v>与EgoAnchor最直接：把抖动/偏差、信任、依赖和行为联系起来。</x:v>
      </x:c>
      <x:c r="H2" s="16" t="str">
        <x:v>https://sreal.ucf.edu/wp-content/uploads/2024/08/C_G____ARTrust____Accuracy___Precision.pdf</x:v>
      </x:c>
      <x:c r="I2" s="16" t="str">
        <x:v>10.1016/j.cag.2024.104035</x:v>
      </x:c>
    </x:row>
    <x:row r="3" ht="76" customHeight="1">
      <x:c r="A3" s="16" t="str">
        <x:v>Roth &amp; Latoschik</x:v>
      </x:c>
      <x:c r="B3" s="16" t="str">
        <x:v>2020</x:v>
      </x:c>
      <x:c r="C3" s="16" t="str">
        <x:v>虚拟身体动作的延迟与延迟抖动</x:v>
      </x:c>
      <x:c r="D3" s="16" t="str">
        <x:v>线性延迟、延迟抖动与基线</x:v>
      </x:c>
      <x:c r="E3" s="16" t="str">
        <x:v>VEQ 12项，尤其Agency/同步条目</x:v>
      </x:c>
      <x:c r="F3" s="16" t="str">
        <x:v>VEQ开发研究用延迟与延迟抖动检验量表敏感性。</x:v>
      </x:c>
      <x:c r="G3" s="16" t="str">
        <x:v>证明同步/agency条目对时序不稳定敏感，但身体具身不能直接等同对象锚定。</x:v>
      </x:c>
      <x:c r="H3" s="16" t="str">
        <x:v>https://sites.google.com/view/virtualembodimentquestionnaire/</x:v>
      </x:c>
      <x:c r="I3" s="16" t="str">
        <x:v>10.1109/TVCG.2020.3023603</x:v>
      </x:c>
    </x:row>
    <x:row r="4" ht="76" customHeight="1">
      <x:c r="A4" s="16" t="str">
        <x:v>Regenbrecht &amp; Schubert</x:v>
      </x:c>
      <x:c r="B4" s="16" t="str">
        <x:v>2002/2021</x:v>
      </x:c>
      <x:c r="C4" s="16" t="str">
        <x:v>AR虚拟对象存在感与注册</x:v>
      </x:c>
      <x:c r="D4" s="16" t="str">
        <x:v>AR对象与真实对象空间对齐、真实感与感知压力</x:v>
      </x:c>
      <x:c r="E4" s="16" t="str">
        <x:v>AR Presence Questionnaire 7项</x:v>
      </x:c>
      <x:c r="F4" s="16" t="str">
        <x:v>形成Realness、Spatial Presence、Perceptual Stress三个因素。</x:v>
      </x:c>
      <x:c r="G4" s="16" t="str">
        <x:v>P2/P3/P5/P7可考虑对象归属、空间共置和虚实差异显著性。</x:v>
      </x:c>
      <x:c r="H4" s="16" t="str">
        <x:v>https://www.hci.otago.ac.nz/papers/RegenbrechtarXiv2021.pdf</x:v>
      </x:c>
      <x:c r="I4" s="16" t="str">
        <x:v>arXiv:2103.02831</x:v>
      </x:c>
    </x:row>
    <x:row r="5" ht="76" customHeight="1">
      <x:c r="A5" s="16" t="str">
        <x:v>Gao &amp; Boehm-Davis</x:v>
      </x:c>
      <x:c r="B5" s="16" t="str">
        <x:v>2023</x:v>
      </x:c>
      <x:c r="C5" s="16" t="str">
        <x:v>VR/AR对象交互质量</x:v>
      </x:c>
      <x:c r="D5" s="16" t="str">
        <x:v>多种VR对象交互；初步AR适配</x:v>
      </x:c>
      <x:c r="E5" s="16" t="str">
        <x:v>CIQ 17项</x:v>
      </x:c>
      <x:c r="F5" s="16" t="str">
        <x:v>认知访谈、因子分析、可靠性和敏感性检验。</x:v>
      </x:c>
      <x:c r="G5" s="16" t="str">
        <x:v>支持对位置一致、响应速度、现实一致性和believability分别测量。</x:v>
      </x:c>
      <x:c r="H5" s="16" t="str">
        <x:v>https://link.springer.com/article/10.1007/s10055-022-00678-8</x:v>
      </x:c>
      <x:c r="I5" s="16" t="str">
        <x:v>10.1007/s10055-022-00678-8</x:v>
      </x:c>
    </x:row>
    <x:row r="6" ht="76" customHeight="1">
      <x:c r="A6" s="16" t="str">
        <x:v>Gottsacker et al.</x:v>
      </x:c>
      <x:c r="B6" s="16" t="str">
        <x:v>2021</x:v>
      </x:c>
      <x:c r="C6" s="16" t="str">
        <x:v>跨现实中断与虚实同步</x:v>
      </x:c>
      <x:c r="D6" s="16" t="str">
        <x:v>5种现实人物进入VR的表示方法</x:v>
      </x:c>
      <x:c r="E6" s="16" t="str">
        <x:v>CRIQ 18项</x:v>
      </x:c>
      <x:c r="F6" s="16" t="str">
        <x:v>Plausibility Illusion包含合理性、同步性、响应性。</x:v>
      </x:c>
      <x:c r="G6" s="16" t="str">
        <x:v>提供与当前Q4/Q5接近的来源，但不等同对象锚定信任量表。</x:v>
      </x:c>
      <x:c r="H6" s="16" t="str">
        <x:v>https://sreal.ucf.edu/wp-content/uploads/2021/08/ISMAR_2021_Paper__Interruptions_.pdf</x:v>
      </x:c>
      <x:c r="I6" s="16" t="str">
        <x:v>IEEE ISMAR 2021</x:v>
      </x:c>
    </x:row>
    <x:row r="7" ht="76" customHeight="1">
      <x:c r="A7" s="16" t="str">
        <x:v>Toet et al.</x:v>
      </x:c>
      <x:c r="B7" s="16" t="str">
        <x:v>2021</x:v>
      </x:c>
      <x:c r="C7" s="16" t="str">
        <x:v>VR/AR/MR整体存在与合理性</x:v>
      </x:c>
      <x:c r="D7" s="16" t="str">
        <x:v>fidelity、内部/外部合理性、agency</x:v>
      </x:c>
      <x:c r="E7" s="16" t="str">
        <x:v>HPQ 5项</x:v>
      </x:c>
      <x:c r="F7" s="16" t="str">
        <x:v>理论框架指出jitter和delay会干扰感知保真和行为真实感。</x:v>
      </x:c>
      <x:c r="G7" s="16" t="str">
        <x:v>HPQ1/HPQ4连接技术抖动与主观自然/真实交互。</x:v>
      </x:c>
      <x:c r="H7" s="16" t="str">
        <x:v>https://research.utwente.nl/files/275269288/ToetMioch2021.pdf</x:v>
      </x:c>
      <x:c r="I7" s="16" t="str">
        <x:v>10.31234/osf.io/gvkwx</x:v>
      </x:c>
    </x:row>
  </x:sheetData>
  <x:pageMargins left="0.7" right="0.7" top="0.75" bottom="0.75" header="0.3" footer="0.3"/>
  <x:tableParts count="1">
    <x:tablePart xmlns:r="http://schemas.openxmlformats.org/officeDocument/2006/relationships" r:id="R7f3753d88f294a93"/>
  </x:tableParts>
</x:worksheet>
</file>

<file path=xl/worksheets/sheet6.xml><?xml version="1.0" encoding="utf-8"?>
<x:worksheet xmlns:x="http://schemas.openxmlformats.org/spreadsheetml/2006/main">
  <x:sheetFormatPr defaultRowHeight="15"/>
  <x:cols>
    <x:col min="1" max="1" width="24" hidden="0" customWidth="1"/>
    <x:col min="2" max="2" width="118" hidden="0" customWidth="1"/>
    <x:col min="3" max="3" width="48" hidden="0" customWidth="1"/>
    <x:col min="4" max="4" width="62" hidden="0" customWidth="1"/>
    <x:col min="5" max="5" width="58" hidden="0" customWidth="1"/>
  </x:cols>
  <x:sheetData>
    <x:row r="1">
      <x:c r="A1" s="4" t="str">
        <x:v>搜索日志、覆盖边界与未逐项复现原因</x:v>
      </x:c>
      <x:c r="B1" s="4"/>
      <x:c r="C1" s="4"/>
      <x:c r="D1" s="4"/>
      <x:c r="E1" s="4"/>
    </x:row>
    <x:row r="3" ht="66" customHeight="1">
      <x:c r="A3" s="49" t="str">
        <x:v>检索模块</x:v>
      </x:c>
      <x:c r="B3" s="49" t="str">
        <x:v>代表性检索词/入口</x:v>
      </x:c>
      <x:c r="C3" s="49" t="str">
        <x:v>纳入工具</x:v>
      </x:c>
      <x:c r="D3" s="49" t="str">
        <x:v>用途</x:v>
      </x:c>
      <x:c r="E3" s="49" t="str">
        <x:v>代表来源</x:v>
      </x:c>
    </x:row>
    <x:row r="4" ht="66" customHeight="1">
      <x:c r="A4" s="16" t="str">
        <x:v>系统综述起点</x:v>
      </x:c>
      <x:c r="B4" s="16" t="str">
        <x:v>2024 VR问卷系统范围综述</x:v>
      </x:c>
      <x:c r="C4" s="16" t="str">
        <x:v>presence UX sickness realism embodiment questionnaire systematic review</x:v>
      </x:c>
      <x:c r="D4" s="16" t="str">
        <x:v>识别广义VR/XR问卷集合，建立presence、UX、sickness、realism、embodiment等索引。</x:v>
      </x:c>
      <x:c r="E4" s="16" t="str">
        <x:v>https://www.sciencedirect.com/science/article/pii/S2451958824001386</x:v>
      </x:c>
    </x:row>
    <x:row r="5" ht="66" customHeight="1">
      <x:c r="A5" s="16" t="str">
        <x:v>AR/MR专用问卷</x:v>
      </x:c>
      <x:c r="B5" s="16" t="str">
        <x:v>AR presence / mixed reality presence / AR usability questionnaire items</x:v>
      </x:c>
      <x:c r="C5" s="16" t="str">
        <x:v>AR Presence、MREQ、HPQ、PARQ、HARUS、ARPS、MRC、UXAR</x:v>
      </x:c>
      <x:c r="D5" s="16" t="str">
        <x:v>优先纳入对象共置、虚实融合、响应性、合理性与AR可用性。</x:v>
      </x:c>
      <x:c r="E5" s="16" t="str">
        <x:v>https://arxiv.org/abs/2103.02831</x:v>
      </x:c>
    </x:row>
    <x:row r="6" ht="66" customHeight="1">
      <x:c r="A6" s="16" t="str">
        <x:v>跨现实与对象交互</x:v>
      </x:c>
      <x:c r="B6" s="16" t="str">
        <x:v>cross-reality interaction questionnaire; customizable interactions questionnaire</x:v>
      </x:c>
      <x:c r="C6" s="16" t="str">
        <x:v>CRIQ、CIQ</x:v>
      </x:c>
      <x:c r="D6" s="16" t="str">
        <x:v>获得与同步、响应、对象位置一致、现实一致性最接近的条目。</x:v>
      </x:c>
      <x:c r="E6" s="16" t="str">
        <x:v>https://link.springer.com/article/10.1007/s10055-022-00678-8</x:v>
      </x:c>
    </x:row>
    <x:row r="7" ht="66" customHeight="1">
      <x:c r="A7" s="16" t="str">
        <x:v>信任量表</x:v>
      </x:c>
      <x:c r="B7" s="16" t="str">
        <x:v>trust in automation questionnaire review scale items</x:v>
      </x:c>
      <x:c r="C7" s="16" t="str">
        <x:v>TIAS/TPAS、TiA、TOAST、C-HATS、STS、HCT、Muir/Moray、TAI/HCTS</x:v>
      </x:c>
      <x:c r="D7" s="16" t="str">
        <x:v>区分trust、trustworthiness、reliance、propensity、process/purpose。</x:v>
      </x:c>
      <x:c r="E7" s="16" t="str">
        <x:v>https://www.frontiersin.org/journals/psychology/articles/10.3389/fpsyg.2021.604977/full</x:v>
      </x:c>
    </x:row>
    <x:row r="8" ht="66" customHeight="1">
      <x:c r="A8" s="16" t="str">
        <x:v>跟踪误差与信任</x:v>
      </x:c>
      <x:c r="B8" s="16" t="str">
        <x:v>augmented reality tracking accuracy precision jitter trust reliance</x:v>
      </x:c>
      <x:c r="C8" s="16" t="str">
        <x:v>Gottsacker et al. 2024</x:v>
      </x:c>
      <x:c r="D8" s="16" t="str">
        <x:v>直接连接跟踪偏差/抖动与信任、依赖和行为。</x:v>
      </x:c>
      <x:c r="E8" s="16" t="str">
        <x:v>https://sreal.ucf.edu/wp-content/uploads/2024/08/C_G____ARTrust____Accuracy___Precision.pdf</x:v>
      </x:c>
    </x:row>
    <x:row r="9" ht="66" customHeight="1">
      <x:c r="A9" s="16" t="str">
        <x:v>时延/抖动敏感量表</x:v>
      </x:c>
      <x:c r="B9" s="16" t="str">
        <x:v>latency jitter questionnaire virtual embodiment agency synchronization</x:v>
      </x:c>
      <x:c r="C9" s="16" t="str">
        <x:v>VEQ</x:v>
      </x:c>
      <x:c r="D9" s="16" t="str">
        <x:v>Agency同步条目对延迟抖动具有验证证据。</x:v>
      </x:c>
      <x:c r="E9" s="16" t="str">
        <x:v>https://sites.google.com/view/virtualembodimentquestionnaire/</x:v>
      </x:c>
    </x:row>
    <x:row r="12">
      <x:c r="A12" s="26" t="str">
        <x:v>重要缺口与解释规则</x:v>
      </x:c>
      <x:c r="B12" s="26"/>
      <x:c r="C12" s="26"/>
      <x:c r="D12" s="26"/>
      <x:c r="E12" s="26"/>
    </x:row>
    <x:row r="13" ht="68" customHeight="1">
      <x:c r="A13" s="11" t="str">
        <x:v>无法证明“全网全部”</x:v>
      </x:c>
      <x:c r="B13" s="16" t="str">
        <x:v>网络持续变化，数据库收录、付费墙、作者自存档、会议补充材料和许可证状态不稳定。本工作簿是可复核的系统性广搜结果，不是数学意义的全集。</x:v>
      </x:c>
    </x:row>
    <x:row r="14" ht="68" customHeight="1">
      <x:c r="A14" s="11" t="str">
        <x:v>版权限制</x:v>
      </x:c>
      <x:c r="B14" s="16" t="str">
        <x:v>大量量表受版权保护。对这些工具提供逐项中文语义转述，并保留来源/页表定位；正式施测应取得原文及必要许可。</x:v>
      </x:c>
    </x:row>
    <x:row r="15" ht="68" customHeight="1">
      <x:c r="A15" s="11" t="str">
        <x:v>版本混淆</x:v>
      </x:c>
      <x:c r="B15" s="16" t="str">
        <x:v>PQ/WSPQ、SUS Presence与System Usability Scale同名缩写；TIAS/TPAS、TiA、HCT/HCTS也容易混淆。索引按作者、年份和项目数区分。</x:v>
      </x:c>
    </x:row>
    <x:row r="16" ht="68" customHeight="1">
      <x:c r="A16" s="11" t="str">
        <x:v>未逐项复现</x:v>
      </x:c>
      <x:c r="B16" s="16" t="str">
        <x:v>MREQ、PQ、ITC-SOPI、MEC-SPQ、TPI、VHPQ、VEQ+、UX-in-IVE、VRSUQ、UXAR、PARQ、TAI、HCTS、MTP等保留索引，但因版权、公开项目不完整或直接相关性较低未逐字展开。</x:v>
      </x:c>
    </x:row>
    <x:row r="17" ht="68" customHeight="1">
      <x:c r="A17" s="11" t="str">
        <x:v>定制条目与标准量表</x:v>
      </x:c>
      <x:c r="B17" s="16" t="str">
        <x:v>CRIQ、跟踪信任单项和EgoAnchor条目属于研究情境定制。CIQ允许定制，但改写后仍需认知访谈。抽取标准量表单项时，应称为adapted item。</x:v>
      </x:c>
    </x:row>
    <x:row r="18" ht="68" customHeight="1">
      <x:c r="A18" s="11" t="str">
        <x:v>统计后果</x:v>
      </x:c>
      <x:c r="B18" s="16" t="str">
        <x:v>若保留完整多项构念，可评估内部一致性/潜变量；若选择不同构念的单项，不应计算总分或Cronbach α，应逐项或按预注册构念分析。</x:v>
      </x:c>
    </x:row>
  </x:sheetData>
  <x:mergeCells>
    <x:mergeCell ref="A1:E1"/>
    <x:mergeCell ref="A12:E12"/>
  </x:mergeCells>
  <x:pageMargins left="0.7" right="0.7" top="0.75" bottom="0.75" header="0.3" footer="0.3"/>
</x:worksheet>
</file>

<file path=xl/worksheets/sheet7.xml><?xml version="1.0" encoding="utf-8"?>
<x:worksheet xmlns:x="http://schemas.openxmlformats.org/spreadsheetml/2006/main">
  <x:sheetFormatPr defaultRowHeight="15"/>
  <x:sheetData>
    <x:row r="1">
      <x:c r="A1" t="str">
        <x:v>选择状态</x:v>
      </x:c>
      <x:c r="B1" t="str">
        <x:v>相关性</x:v>
      </x:c>
      <x:c r="C1" t="str">
        <x:v>层级</x:v>
      </x:c>
    </x:row>
    <x:row r="2">
      <x:c r="A2" t="str">
        <x:v>未决定</x:v>
      </x:c>
      <x:c r="B2" t="n">
        <x:v>0</x:v>
      </x:c>
      <x:c r="C2" t="str">
        <x:v>A-直接</x:v>
      </x:c>
    </x:row>
    <x:row r="3">
      <x:c r="A3" t="str">
        <x:v>候选</x:v>
      </x:c>
      <x:c r="B3" t="n">
        <x:v>1</x:v>
      </x:c>
      <x:c r="C3" t="str">
        <x:v>B-邻近</x:v>
      </x:c>
    </x:row>
    <x:row r="4">
      <x:c r="A4" t="str">
        <x:v>排除</x:v>
      </x:c>
      <x:c r="B4" t="n">
        <x:v>2</x:v>
      </x:c>
      <x:c r="C4" t="str">
        <x:v>C-控制</x:v>
      </x:c>
    </x:row>
    <x:row r="5">
      <x:c r="A5" t="str">
        <x:v>需要改写</x:v>
      </x:c>
      <x:c r="B5" t="n">
        <x:v>3</x:v>
      </x:c>
      <x:c r="C5" t="str">
        <x:v>D-排除</x:v>
      </x:c>
    </x:row>
  </x:sheetData>
  <x:pageMargins left="0.7" right="0.7" top="0.75" bottom="0.75" header="0.3" footer="0.3"/>
</x:worksheet>
</file>