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0"/>
  <bookViews>
    <workbookView activeTab="0"/>
  </bookViews>
  <sheets>
    <sheet name="README" sheetId="1" r:id="rId1"/>
    <sheet name="Dashboard" sheetId="2" r:id="rId2"/>
    <sheet name="Questionnaire_Items" sheetId="3" r:id="rId3"/>
    <sheet name="Participants" sheetId="4" r:id="rId4"/>
    <sheet name="BlockSchedule" sheetId="5" r:id="rId5"/>
    <sheet name="TaskRatings" sheetId="6" r:id="rId6"/>
    <sheet name="BlockRatings_AQ" sheetId="7" r:id="rId7"/>
    <sheet name="MethodRatings" sheetId="8" r:id="rId8"/>
    <sheet name="FinalFeedback" sheetId="9" r:id="rId9"/>
    <sheet name="RuntimeAudit" sheetId="10" r:id="rId10"/>
    <sheet name="ParticipantConditionSummary" sheetId="11" r:id="rId11"/>
    <sheet name="PairedDifferences" sheetId="12" r:id="rId12"/>
    <sheet name="Reliability" sheetId="13" r:id="rId13"/>
    <sheet name="Analysis_Results" sheetId="14" r:id="rId14"/>
    <sheet name="Analysis_ByObject" sheetId="15" r:id="rId15"/>
    <sheet name="QualitativeCoding" sheetId="16" r:id="rId16"/>
    <sheet name="Report_Tables" sheetId="17" r:id="rId17"/>
  </sheets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200" formatCode="0.00"/>
    <numFmt numFmtId="201" formatCode="yyyy-mm-dd hh:mm"/>
    <numFmt numFmtId="202" formatCode="0.0"/>
    <numFmt numFmtId="203" formatCode="hh:mm:ss"/>
    <numFmt numFmtId="204" formatCode="0"/>
    <numFmt numFmtId="205" formatCode="0.000"/>
    <numFmt numFmtId="206" formatCode="0.0%"/>
  </numFmts>
  <fonts count="7">
    <font>
      <sz val="11"/>
      <name val="Carlito"/>
    </font>
    <font>
      <b/>
      <sz val="15"/>
      <color rgb="FFFFFFFF"/>
      <name val="Carlito"/>
    </font>
    <font>
      <b/>
      <sz val="11"/>
      <color rgb="FF9C0006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sz val="11"/>
      <color rgb="FF7F6000"/>
      <name val="Carlito"/>
    </font>
    <font>
      <sz val="11"/>
      <color rgb="FF555555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CCCC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DEDED"/>
      </patternFill>
    </fill>
    <fill>
      <patternFill patternType="solid">
        <fgColor rgb="FFFFFDF2"/>
      </patternFill>
    </fill>
  </fills>
  <borders count="18">
    <border/>
    <border/>
    <border>
      <left style="thin">
        <color rgb="FFD9E1F2"/>
      </left>
      <top style="thin">
        <color rgb="FFD9E1F2"/>
      </top>
    </border>
    <border>
      <top style="thin">
        <color rgb="FFD9E1F2"/>
      </top>
    </border>
    <border>
      <right style="thin">
        <color rgb="FFD9E1F2"/>
      </right>
      <top style="thin">
        <color rgb="FFD9E1F2"/>
      </top>
    </border>
    <border>
      <left style="thin">
        <color rgb="FFD9E1F2"/>
      </left>
    </border>
    <border>
      <right style="thin">
        <color rgb="FFD9E1F2"/>
      </right>
    </border>
    <border>
      <left style="thin">
        <color rgb="FFD9E1F2"/>
      </left>
      <bottom style="thin">
        <color rgb="FFD9E1F2"/>
      </bottom>
    </border>
    <border>
      <bottom style="thin">
        <color rgb="FFD9E1F2"/>
      </bottom>
    </border>
    <border>
      <right style="thin">
        <color rgb="FFD9E1F2"/>
      </right>
      <bottom style="thin">
        <color rgb="FFD9E1F2"/>
      </bottom>
    </border>
    <border>
      <left style="thin">
        <color rgb="FFD9E1F2"/>
      </left>
      <top style="thin">
        <color rgb="FFD9E1F2"/>
      </top>
    </border>
    <border>
      <top style="thin">
        <color rgb="FFD9E1F2"/>
      </top>
    </border>
    <border>
      <right style="thin">
        <color rgb="FFD9E1F2"/>
      </right>
      <top style="thin">
        <color rgb="FFD9E1F2"/>
      </top>
    </border>
    <border>
      <left style="thin">
        <color rgb="FFD9E1F2"/>
      </left>
    </border>
    <border>
      <right style="thin">
        <color rgb="FFD9E1F2"/>
      </right>
    </border>
    <border>
      <left style="thin">
        <color rgb="FFD9E1F2"/>
      </left>
      <bottom style="thin">
        <color rgb="FFD9E1F2"/>
      </bottom>
    </border>
    <border>
      <bottom style="thin">
        <color rgb="FFD9E1F2"/>
      </bottom>
    </border>
    <border>
      <right style="thin">
        <color rgb="FFD9E1F2"/>
      </right>
      <bottom style="thin">
        <color rgb="FFD9E1F2"/>
      </bottom>
    </border>
  </borders>
  <cellStyleXfs count="1">
    <xf numFmtId="0" fontId="0" fillId="0" borderId="0"/>
  </cellStyleXfs>
  <cellXfs count="397">
    <xf numFmtId="0" fontId="0" fillId="0" borderId="0" xfId="0"/>
    <xf numFmtId="0" fontId="0" fillId="0" borderId="1" xfId="0" applyNumberFormat="1" applyFont="1" applyFill="1" applyBorder="1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2" borderId="1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top" wrapText="1"/>
    </xf>
    <xf numFmtId="0" fontId="0" fillId="3" borderId="1" xfId="0" applyNumberFormat="1" applyFont="1" applyFill="1" applyBorder="1"/>
    <xf numFmtId="0" fontId="2" fillId="3" borderId="1" xfId="0" applyNumberFormat="1" applyFont="1" applyFill="1" applyBorder="1"/>
    <xf numFmtId="0" fontId="2" fillId="3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4" borderId="1" xfId="0" applyNumberFormat="1" applyFont="1" applyFill="1" applyBorder="1"/>
    <xf numFmtId="0" fontId="3" fillId="4" borderId="1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/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0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3" fillId="4" borderId="10" xfId="0" applyNumberFormat="1" applyFont="1" applyFill="1" applyBorder="1" applyAlignment="1">
      <alignment horizontal="center" vertical="center" wrapText="1"/>
    </xf>
    <xf numFmtId="0" fontId="3" fillId="4" borderId="11" xfId="0" applyNumberFormat="1" applyFont="1" applyFill="1" applyBorder="1" applyAlignment="1">
      <alignment horizontal="center" vertical="center" wrapText="1"/>
    </xf>
    <xf numFmtId="0" fontId="0" fillId="0" borderId="11" xfId="0" applyNumberFormat="1" applyFont="1" applyFill="1" applyBorder="1"/>
    <xf numFmtId="0" fontId="0" fillId="0" borderId="12" xfId="0" applyNumberFormat="1" applyFont="1" applyFill="1" applyBorder="1"/>
    <xf numFmtId="0" fontId="0" fillId="0" borderId="13" xfId="0" applyNumberFormat="1" applyFont="1" applyFill="1" applyBorder="1"/>
    <xf numFmtId="0" fontId="0" fillId="0" borderId="14" xfId="0" applyNumberFormat="1" applyFont="1" applyFill="1" applyBorder="1"/>
    <xf numFmtId="0" fontId="0" fillId="0" borderId="15" xfId="0" applyNumberFormat="1" applyFont="1" applyFill="1" applyBorder="1"/>
    <xf numFmtId="0" fontId="0" fillId="0" borderId="16" xfId="0" applyNumberFormat="1" applyFont="1" applyFill="1" applyBorder="1"/>
    <xf numFmtId="0" fontId="0" fillId="0" borderId="17" xfId="0" applyNumberFormat="1" applyFont="1" applyFill="1" applyBorder="1"/>
    <xf numFmtId="0" fontId="0" fillId="0" borderId="5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0" fontId="0" fillId="0" borderId="13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0" fillId="0" borderId="14" xfId="0" applyNumberFormat="1" applyFont="1" applyFill="1" applyBorder="1" applyAlignment="1">
      <alignment wrapText="1"/>
    </xf>
    <xf numFmtId="0" fontId="0" fillId="0" borderId="15" xfId="0" applyNumberFormat="1" applyFont="1" applyFill="1" applyBorder="1" applyAlignment="1">
      <alignment wrapText="1"/>
    </xf>
    <xf numFmtId="0" fontId="0" fillId="0" borderId="16" xfId="0" applyNumberFormat="1" applyFont="1" applyFill="1" applyBorder="1" applyAlignment="1">
      <alignment wrapText="1"/>
    </xf>
    <xf numFmtId="0" fontId="0" fillId="0" borderId="17" xfId="0" applyNumberFormat="1" applyFont="1" applyFill="1" applyBorder="1" applyAlignment="1">
      <alignment wrapText="1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vertical="center" wrapText="1"/>
    </xf>
    <xf numFmtId="0" fontId="0" fillId="5" borderId="1" xfId="0" applyNumberFormat="1" applyFont="1" applyFill="1" applyBorder="1"/>
    <xf numFmtId="0" fontId="4" fillId="5" borderId="1" xfId="0" applyNumberFormat="1" applyFont="1" applyFill="1" applyBorder="1"/>
    <xf numFmtId="0" fontId="4" fillId="5" borderId="1" xfId="0" applyNumberFormat="1" applyFont="1" applyFill="1" applyBorder="1" applyAlignment="1">
      <alignment wrapText="1"/>
    </xf>
    <xf numFmtId="0" fontId="4" fillId="5" borderId="1" xfId="0" applyNumberFormat="1" applyFont="1" applyFill="1" applyBorder="1" applyAlignment="1">
      <alignment vertical="center" wrapText="1"/>
    </xf>
    <xf numFmtId="0" fontId="0" fillId="6" borderId="0" xfId="0" applyNumberFormat="1" applyFont="1" applyFill="1" applyBorder="1"/>
    <xf numFmtId="0" fontId="5" fillId="6" borderId="0" xfId="0" applyNumberFormat="1" applyFont="1" applyFill="1" applyBorder="1"/>
    <xf numFmtId="0" fontId="5" fillId="6" borderId="0" xfId="0" applyNumberFormat="1" applyFont="1" applyFill="1" applyBorder="1" applyAlignment="1">
      <alignment wrapText="1"/>
    </xf>
    <xf numFmtId="0" fontId="5" fillId="6" borderId="0" xfId="0" applyNumberFormat="1" applyFont="1" applyFill="1" applyBorder="1" applyAlignment="1">
      <alignment vertical="top" wrapText="1"/>
    </xf>
    <xf numFmtId="0" fontId="0" fillId="6" borderId="1" xfId="0" applyNumberFormat="1" applyFont="1" applyFill="1" applyBorder="1"/>
    <xf numFmtId="0" fontId="5" fillId="6" borderId="1" xfId="0" applyNumberFormat="1" applyFont="1" applyFill="1" applyBorder="1"/>
    <xf numFmtId="0" fontId="5" fillId="6" borderId="1" xfId="0" applyNumberFormat="1" applyFont="1" applyFill="1" applyBorder="1" applyAlignment="1">
      <alignment wrapText="1"/>
    </xf>
    <xf numFmtId="0" fontId="5" fillId="6" borderId="1" xfId="0" applyNumberFormat="1" applyFont="1" applyFill="1" applyBorder="1" applyAlignment="1">
      <alignment vertical="top" wrapText="1"/>
    </xf>
    <xf numFmtId="0" fontId="5" fillId="6" borderId="2" xfId="0" applyNumberFormat="1" applyFont="1" applyFill="1" applyBorder="1" applyAlignment="1">
      <alignment vertical="top" wrapText="1"/>
    </xf>
    <xf numFmtId="0" fontId="5" fillId="6" borderId="3" xfId="0" applyNumberFormat="1" applyFont="1" applyFill="1" applyBorder="1" applyAlignment="1">
      <alignment vertical="top" wrapText="1"/>
    </xf>
    <xf numFmtId="0" fontId="5" fillId="6" borderId="5" xfId="0" applyNumberFormat="1" applyFont="1" applyFill="1" applyBorder="1" applyAlignment="1">
      <alignment vertical="top" wrapText="1"/>
    </xf>
    <xf numFmtId="0" fontId="5" fillId="6" borderId="7" xfId="0" applyNumberFormat="1" applyFont="1" applyFill="1" applyBorder="1" applyAlignment="1">
      <alignment vertical="top" wrapText="1"/>
    </xf>
    <xf numFmtId="0" fontId="5" fillId="6" borderId="8" xfId="0" applyNumberFormat="1" applyFont="1" applyFill="1" applyBorder="1" applyAlignment="1">
      <alignment vertical="top" wrapText="1"/>
    </xf>
    <xf numFmtId="0" fontId="5" fillId="6" borderId="10" xfId="0" applyNumberFormat="1" applyFont="1" applyFill="1" applyBorder="1" applyAlignment="1">
      <alignment vertical="top" wrapText="1"/>
    </xf>
    <xf numFmtId="0" fontId="5" fillId="6" borderId="11" xfId="0" applyNumberFormat="1" applyFont="1" applyFill="1" applyBorder="1" applyAlignment="1">
      <alignment vertical="top" wrapText="1"/>
    </xf>
    <xf numFmtId="0" fontId="5" fillId="6" borderId="13" xfId="0" applyNumberFormat="1" applyFont="1" applyFill="1" applyBorder="1" applyAlignment="1">
      <alignment vertical="top" wrapText="1"/>
    </xf>
    <xf numFmtId="0" fontId="5" fillId="6" borderId="15" xfId="0" applyNumberFormat="1" applyFont="1" applyFill="1" applyBorder="1" applyAlignment="1">
      <alignment vertical="top" wrapText="1"/>
    </xf>
    <xf numFmtId="0" fontId="5" fillId="6" borderId="16" xfId="0" applyNumberFormat="1" applyFont="1" applyFill="1" applyBorder="1" applyAlignment="1">
      <alignment vertical="top" wrapText="1"/>
    </xf>
    <xf numFmtId="0" fontId="0" fillId="7" borderId="0" xfId="0" applyNumberFormat="1" applyFont="1" applyFill="1" applyBorder="1"/>
    <xf numFmtId="0" fontId="0" fillId="7" borderId="0" xfId="0" applyNumberFormat="1" applyFont="1" applyFill="1" applyBorder="1" applyAlignment="1">
      <alignment wrapText="1"/>
    </xf>
    <xf numFmtId="0" fontId="0" fillId="7" borderId="0" xfId="0" applyNumberFormat="1" applyFont="1" applyFill="1" applyBorder="1" applyAlignment="1">
      <alignment vertical="center" wrapText="1"/>
    </xf>
    <xf numFmtId="0" fontId="0" fillId="7" borderId="1" xfId="0" applyNumberFormat="1" applyFont="1" applyFill="1" applyBorder="1"/>
    <xf numFmtId="0" fontId="0" fillId="7" borderId="1" xfId="0" applyNumberFormat="1" applyFont="1" applyFill="1" applyBorder="1" applyAlignment="1">
      <alignment wrapText="1"/>
    </xf>
    <xf numFmtId="0" fontId="0" fillId="7" borderId="1" xfId="0" applyNumberFormat="1" applyFont="1" applyFill="1" applyBorder="1" applyAlignment="1">
      <alignment vertical="center" wrapText="1"/>
    </xf>
    <xf numFmtId="0" fontId="0" fillId="7" borderId="2" xfId="0" applyNumberFormat="1" applyFont="1" applyFill="1" applyBorder="1" applyAlignment="1">
      <alignment vertical="center" wrapText="1"/>
    </xf>
    <xf numFmtId="0" fontId="0" fillId="7" borderId="5" xfId="0" applyNumberFormat="1" applyFont="1" applyFill="1" applyBorder="1" applyAlignment="1">
      <alignment vertical="center" wrapText="1"/>
    </xf>
    <xf numFmtId="0" fontId="0" fillId="7" borderId="7" xfId="0" applyNumberFormat="1" applyFont="1" applyFill="1" applyBorder="1" applyAlignment="1">
      <alignment vertical="center" wrapText="1"/>
    </xf>
    <xf numFmtId="0" fontId="0" fillId="7" borderId="10" xfId="0" applyNumberFormat="1" applyFont="1" applyFill="1" applyBorder="1" applyAlignment="1">
      <alignment vertical="center" wrapText="1"/>
    </xf>
    <xf numFmtId="0" fontId="0" fillId="7" borderId="13" xfId="0" applyNumberFormat="1" applyFont="1" applyFill="1" applyBorder="1" applyAlignment="1">
      <alignment vertical="center" wrapText="1"/>
    </xf>
    <xf numFmtId="0" fontId="0" fillId="7" borderId="15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0" fillId="0" borderId="3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vertical="center" wrapText="1"/>
    </xf>
    <xf numFmtId="0" fontId="0" fillId="0" borderId="11" xfId="0" applyNumberFormat="1" applyFont="1" applyFill="1" applyBorder="1" applyAlignment="1">
      <alignment wrapText="1"/>
    </xf>
    <xf numFmtId="0" fontId="0" fillId="0" borderId="12" xfId="0" applyNumberFormat="1" applyFont="1" applyFill="1" applyBorder="1" applyAlignment="1">
      <alignment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3" fillId="4" borderId="12" xfId="0" applyNumberFormat="1" applyFont="1" applyFill="1" applyBorder="1" applyAlignment="1">
      <alignment horizontal="center" vertical="center" wrapText="1"/>
    </xf>
    <xf numFmtId="0" fontId="0" fillId="7" borderId="5" xfId="0" applyNumberFormat="1" applyFont="1" applyFill="1" applyBorder="1"/>
    <xf numFmtId="0" fontId="0" fillId="7" borderId="7" xfId="0" applyNumberFormat="1" applyFont="1" applyFill="1" applyBorder="1"/>
    <xf numFmtId="0" fontId="0" fillId="7" borderId="8" xfId="0" applyNumberFormat="1" applyFont="1" applyFill="1" applyBorder="1"/>
    <xf numFmtId="0" fontId="0" fillId="7" borderId="5" xfId="0" applyNumberFormat="1" applyFont="1" applyFill="1" applyBorder="1" applyAlignment="1">
      <alignment wrapText="1"/>
    </xf>
    <xf numFmtId="0" fontId="0" fillId="7" borderId="7" xfId="0" applyNumberFormat="1" applyFont="1" applyFill="1" applyBorder="1" applyAlignment="1">
      <alignment wrapText="1"/>
    </xf>
    <xf numFmtId="0" fontId="0" fillId="7" borderId="8" xfId="0" applyNumberFormat="1" applyFont="1" applyFill="1" applyBorder="1" applyAlignment="1">
      <alignment wrapText="1"/>
    </xf>
    <xf numFmtId="0" fontId="0" fillId="7" borderId="8" xfId="0" applyNumberFormat="1" applyFont="1" applyFill="1" applyBorder="1" applyAlignment="1">
      <alignment vertical="center" wrapText="1"/>
    </xf>
    <xf numFmtId="0" fontId="0" fillId="7" borderId="13" xfId="0" applyNumberFormat="1" applyFont="1" applyFill="1" applyBorder="1"/>
    <xf numFmtId="0" fontId="0" fillId="7" borderId="15" xfId="0" applyNumberFormat="1" applyFont="1" applyFill="1" applyBorder="1"/>
    <xf numFmtId="0" fontId="0" fillId="7" borderId="16" xfId="0" applyNumberFormat="1" applyFont="1" applyFill="1" applyBorder="1"/>
    <xf numFmtId="0" fontId="0" fillId="7" borderId="13" xfId="0" applyNumberFormat="1" applyFont="1" applyFill="1" applyBorder="1" applyAlignment="1">
      <alignment wrapText="1"/>
    </xf>
    <xf numFmtId="0" fontId="0" fillId="7" borderId="15" xfId="0" applyNumberFormat="1" applyFont="1" applyFill="1" applyBorder="1" applyAlignment="1">
      <alignment wrapText="1"/>
    </xf>
    <xf numFmtId="0" fontId="0" fillId="7" borderId="16" xfId="0" applyNumberFormat="1" applyFont="1" applyFill="1" applyBorder="1" applyAlignment="1">
      <alignment wrapText="1"/>
    </xf>
    <xf numFmtId="0" fontId="0" fillId="7" borderId="16" xfId="0" applyNumberFormat="1" applyFont="1" applyFill="1" applyBorder="1" applyAlignment="1">
      <alignment vertical="center" wrapText="1"/>
    </xf>
    <xf numFmtId="0" fontId="0" fillId="8" borderId="0" xfId="0" applyNumberFormat="1" applyFont="1" applyFill="1" applyBorder="1"/>
    <xf numFmtId="0" fontId="0" fillId="8" borderId="6" xfId="0" applyNumberFormat="1" applyFont="1" applyFill="1" applyBorder="1"/>
    <xf numFmtId="0" fontId="0" fillId="8" borderId="8" xfId="0" applyNumberFormat="1" applyFont="1" applyFill="1" applyBorder="1"/>
    <xf numFmtId="0" fontId="0" fillId="8" borderId="9" xfId="0" applyNumberFormat="1" applyFont="1" applyFill="1" applyBorder="1"/>
    <xf numFmtId="0" fontId="6" fillId="8" borderId="0" xfId="0" applyNumberFormat="1" applyFont="1" applyFill="1" applyBorder="1"/>
    <xf numFmtId="0" fontId="6" fillId="8" borderId="6" xfId="0" applyNumberFormat="1" applyFont="1" applyFill="1" applyBorder="1"/>
    <xf numFmtId="0" fontId="6" fillId="8" borderId="8" xfId="0" applyNumberFormat="1" applyFont="1" applyFill="1" applyBorder="1"/>
    <xf numFmtId="0" fontId="6" fillId="8" borderId="9" xfId="0" applyNumberFormat="1" applyFont="1" applyFill="1" applyBorder="1"/>
    <xf numFmtId="0" fontId="6" fillId="8" borderId="0" xfId="0" applyNumberFormat="1" applyFont="1" applyFill="1" applyBorder="1" applyAlignment="1">
      <alignment wrapText="1"/>
    </xf>
    <xf numFmtId="0" fontId="6" fillId="8" borderId="6" xfId="0" applyNumberFormat="1" applyFont="1" applyFill="1" applyBorder="1" applyAlignment="1">
      <alignment wrapText="1"/>
    </xf>
    <xf numFmtId="0" fontId="6" fillId="8" borderId="8" xfId="0" applyNumberFormat="1" applyFont="1" applyFill="1" applyBorder="1" applyAlignment="1">
      <alignment wrapText="1"/>
    </xf>
    <xf numFmtId="0" fontId="6" fillId="8" borderId="9" xfId="0" applyNumberFormat="1" applyFont="1" applyFill="1" applyBorder="1" applyAlignment="1">
      <alignment wrapText="1"/>
    </xf>
    <xf numFmtId="0" fontId="6" fillId="8" borderId="0" xfId="0" applyNumberFormat="1" applyFont="1" applyFill="1" applyBorder="1" applyAlignment="1">
      <alignment vertical="center" wrapText="1"/>
    </xf>
    <xf numFmtId="0" fontId="6" fillId="8" borderId="6" xfId="0" applyNumberFormat="1" applyFont="1" applyFill="1" applyBorder="1" applyAlignment="1">
      <alignment vertical="center" wrapText="1"/>
    </xf>
    <xf numFmtId="0" fontId="6" fillId="8" borderId="8" xfId="0" applyNumberFormat="1" applyFont="1" applyFill="1" applyBorder="1" applyAlignment="1">
      <alignment vertical="center" wrapText="1"/>
    </xf>
    <xf numFmtId="0" fontId="6" fillId="8" borderId="9" xfId="0" applyNumberFormat="1" applyFont="1" applyFill="1" applyBorder="1" applyAlignment="1">
      <alignment vertical="center" wrapText="1"/>
    </xf>
    <xf numFmtId="0" fontId="0" fillId="8" borderId="1" xfId="0" applyNumberFormat="1" applyFont="1" applyFill="1" applyBorder="1"/>
    <xf numFmtId="0" fontId="0" fillId="8" borderId="14" xfId="0" applyNumberFormat="1" applyFont="1" applyFill="1" applyBorder="1"/>
    <xf numFmtId="0" fontId="0" fillId="8" borderId="16" xfId="0" applyNumberFormat="1" applyFont="1" applyFill="1" applyBorder="1"/>
    <xf numFmtId="0" fontId="0" fillId="8" borderId="17" xfId="0" applyNumberFormat="1" applyFont="1" applyFill="1" applyBorder="1"/>
    <xf numFmtId="0" fontId="6" fillId="8" borderId="1" xfId="0" applyNumberFormat="1" applyFont="1" applyFill="1" applyBorder="1"/>
    <xf numFmtId="0" fontId="6" fillId="8" borderId="14" xfId="0" applyNumberFormat="1" applyFont="1" applyFill="1" applyBorder="1"/>
    <xf numFmtId="0" fontId="6" fillId="8" borderId="16" xfId="0" applyNumberFormat="1" applyFont="1" applyFill="1" applyBorder="1"/>
    <xf numFmtId="0" fontId="6" fillId="8" borderId="17" xfId="0" applyNumberFormat="1" applyFont="1" applyFill="1" applyBorder="1"/>
    <xf numFmtId="0" fontId="6" fillId="8" borderId="1" xfId="0" applyNumberFormat="1" applyFont="1" applyFill="1" applyBorder="1" applyAlignment="1">
      <alignment wrapText="1"/>
    </xf>
    <xf numFmtId="0" fontId="6" fillId="8" borderId="14" xfId="0" applyNumberFormat="1" applyFont="1" applyFill="1" applyBorder="1" applyAlignment="1">
      <alignment wrapText="1"/>
    </xf>
    <xf numFmtId="0" fontId="6" fillId="8" borderId="16" xfId="0" applyNumberFormat="1" applyFont="1" applyFill="1" applyBorder="1" applyAlignment="1">
      <alignment wrapText="1"/>
    </xf>
    <xf numFmtId="0" fontId="6" fillId="8" borderId="17" xfId="0" applyNumberFormat="1" applyFont="1" applyFill="1" applyBorder="1" applyAlignment="1">
      <alignment wrapText="1"/>
    </xf>
    <xf numFmtId="0" fontId="6" fillId="8" borderId="1" xfId="0" applyNumberFormat="1" applyFont="1" applyFill="1" applyBorder="1" applyAlignment="1">
      <alignment vertical="center" wrapText="1"/>
    </xf>
    <xf numFmtId="0" fontId="6" fillId="8" borderId="14" xfId="0" applyNumberFormat="1" applyFont="1" applyFill="1" applyBorder="1" applyAlignment="1">
      <alignment vertical="center" wrapText="1"/>
    </xf>
    <xf numFmtId="0" fontId="6" fillId="8" borderId="16" xfId="0" applyNumberFormat="1" applyFont="1" applyFill="1" applyBorder="1" applyAlignment="1">
      <alignment vertical="center" wrapText="1"/>
    </xf>
    <xf numFmtId="0" fontId="6" fillId="8" borderId="17" xfId="0" applyNumberFormat="1" applyFont="1" applyFill="1" applyBorder="1" applyAlignment="1">
      <alignment vertical="center" wrapText="1"/>
    </xf>
    <xf numFmtId="200" fontId="6" fillId="8" borderId="0" xfId="0" applyNumberFormat="1" applyFont="1" applyFill="1" applyBorder="1" applyAlignment="1">
      <alignment vertical="center" wrapText="1"/>
    </xf>
    <xf numFmtId="200" fontId="6" fillId="8" borderId="6" xfId="0" applyNumberFormat="1" applyFont="1" applyFill="1" applyBorder="1" applyAlignment="1">
      <alignment vertical="center" wrapText="1"/>
    </xf>
    <xf numFmtId="200" fontId="6" fillId="8" borderId="8" xfId="0" applyNumberFormat="1" applyFont="1" applyFill="1" applyBorder="1" applyAlignment="1">
      <alignment vertical="center" wrapText="1"/>
    </xf>
    <xf numFmtId="200" fontId="6" fillId="8" borderId="9" xfId="0" applyNumberFormat="1" applyFont="1" applyFill="1" applyBorder="1" applyAlignment="1">
      <alignment vertical="center" wrapText="1"/>
    </xf>
    <xf numFmtId="200" fontId="6" fillId="8" borderId="1" xfId="0" applyNumberFormat="1" applyFont="1" applyFill="1" applyBorder="1" applyAlignment="1">
      <alignment vertical="center" wrapText="1"/>
    </xf>
    <xf numFmtId="200" fontId="6" fillId="8" borderId="14" xfId="0" applyNumberFormat="1" applyFont="1" applyFill="1" applyBorder="1" applyAlignment="1">
      <alignment vertical="center" wrapText="1"/>
    </xf>
    <xf numFmtId="200" fontId="6" fillId="8" borderId="16" xfId="0" applyNumberFormat="1" applyFont="1" applyFill="1" applyBorder="1" applyAlignment="1">
      <alignment vertical="center" wrapText="1"/>
    </xf>
    <xf numFmtId="200" fontId="6" fillId="8" borderId="17" xfId="0" applyNumberFormat="1" applyFont="1" applyFill="1" applyBorder="1" applyAlignment="1">
      <alignment vertical="center" wrapText="1"/>
    </xf>
    <xf numFmtId="0" fontId="0" fillId="7" borderId="6" xfId="0" applyNumberFormat="1" applyFont="1" applyFill="1" applyBorder="1"/>
    <xf numFmtId="0" fontId="0" fillId="7" borderId="9" xfId="0" applyNumberFormat="1" applyFont="1" applyFill="1" applyBorder="1"/>
    <xf numFmtId="0" fontId="0" fillId="7" borderId="6" xfId="0" applyNumberFormat="1" applyFont="1" applyFill="1" applyBorder="1" applyAlignment="1">
      <alignment wrapText="1"/>
    </xf>
    <xf numFmtId="0" fontId="0" fillId="7" borderId="9" xfId="0" applyNumberFormat="1" applyFont="1" applyFill="1" applyBorder="1" applyAlignment="1">
      <alignment wrapText="1"/>
    </xf>
    <xf numFmtId="0" fontId="0" fillId="7" borderId="6" xfId="0" applyNumberFormat="1" applyFont="1" applyFill="1" applyBorder="1" applyAlignment="1">
      <alignment vertical="center" wrapText="1"/>
    </xf>
    <xf numFmtId="0" fontId="0" fillId="7" borderId="9" xfId="0" applyNumberFormat="1" applyFont="1" applyFill="1" applyBorder="1" applyAlignment="1">
      <alignment vertical="center" wrapText="1"/>
    </xf>
    <xf numFmtId="0" fontId="0" fillId="7" borderId="14" xfId="0" applyNumberFormat="1" applyFont="1" applyFill="1" applyBorder="1"/>
    <xf numFmtId="0" fontId="0" fillId="7" borderId="17" xfId="0" applyNumberFormat="1" applyFont="1" applyFill="1" applyBorder="1"/>
    <xf numFmtId="0" fontId="0" fillId="7" borderId="14" xfId="0" applyNumberFormat="1" applyFont="1" applyFill="1" applyBorder="1" applyAlignment="1">
      <alignment wrapText="1"/>
    </xf>
    <xf numFmtId="0" fontId="0" fillId="7" borderId="17" xfId="0" applyNumberFormat="1" applyFont="1" applyFill="1" applyBorder="1" applyAlignment="1">
      <alignment wrapText="1"/>
    </xf>
    <xf numFmtId="0" fontId="0" fillId="7" borderId="14" xfId="0" applyNumberFormat="1" applyFont="1" applyFill="1" applyBorder="1" applyAlignment="1">
      <alignment vertical="center" wrapText="1"/>
    </xf>
    <xf numFmtId="0" fontId="0" fillId="7" borderId="17" xfId="0" applyNumberFormat="1" applyFont="1" applyFill="1" applyBorder="1" applyAlignment="1">
      <alignment vertical="center" wrapText="1"/>
    </xf>
    <xf numFmtId="201" fontId="0" fillId="0" borderId="0" xfId="0" applyNumberFormat="1" applyFont="1" applyFill="1" applyBorder="1"/>
    <xf numFmtId="201" fontId="0" fillId="0" borderId="1" xfId="0" applyNumberFormat="1" applyFont="1" applyFill="1" applyBorder="1"/>
    <xf numFmtId="202" fontId="0" fillId="0" borderId="0" xfId="0" applyNumberFormat="1" applyFont="1" applyFill="1" applyBorder="1"/>
    <xf numFmtId="202" fontId="0" fillId="0" borderId="1" xfId="0" applyNumberFormat="1" applyFont="1" applyFill="1" applyBorder="1"/>
    <xf numFmtId="0" fontId="0" fillId="0" borderId="2" xfId="0" applyNumberFormat="1" applyFont="1" applyFill="1" applyBorder="1"/>
    <xf numFmtId="201" fontId="0" fillId="0" borderId="8" xfId="0" applyNumberFormat="1" applyFont="1" applyFill="1" applyBorder="1"/>
    <xf numFmtId="202" fontId="0" fillId="0" borderId="8" xfId="0" applyNumberFormat="1" applyFont="1" applyFill="1" applyBorder="1"/>
    <xf numFmtId="0" fontId="0" fillId="0" borderId="10" xfId="0" applyNumberFormat="1" applyFont="1" applyFill="1" applyBorder="1"/>
    <xf numFmtId="201" fontId="0" fillId="0" borderId="16" xfId="0" applyNumberFormat="1" applyFont="1" applyFill="1" applyBorder="1"/>
    <xf numFmtId="202" fontId="0" fillId="0" borderId="16" xfId="0" applyNumberFormat="1" applyFont="1" applyFill="1" applyBorder="1"/>
    <xf numFmtId="0" fontId="0" fillId="4" borderId="2" xfId="0" applyNumberFormat="1" applyFont="1" applyFill="1" applyBorder="1"/>
    <xf numFmtId="0" fontId="0" fillId="4" borderId="3" xfId="0" applyNumberFormat="1" applyFont="1" applyFill="1" applyBorder="1"/>
    <xf numFmtId="0" fontId="0" fillId="4" borderId="4" xfId="0" applyNumberFormat="1" applyFont="1" applyFill="1" applyBorder="1"/>
    <xf numFmtId="0" fontId="3" fillId="4" borderId="2" xfId="0" applyNumberFormat="1" applyFont="1" applyFill="1" applyBorder="1"/>
    <xf numFmtId="0" fontId="3" fillId="4" borderId="3" xfId="0" applyNumberFormat="1" applyFont="1" applyFill="1" applyBorder="1"/>
    <xf numFmtId="0" fontId="3" fillId="4" borderId="4" xfId="0" applyNumberFormat="1" applyFont="1" applyFill="1" applyBorder="1"/>
    <xf numFmtId="0" fontId="3" fillId="4" borderId="2" xfId="0" applyNumberFormat="1" applyFont="1" applyFill="1" applyBorder="1" applyAlignment="1">
      <alignment wrapText="1"/>
    </xf>
    <xf numFmtId="0" fontId="3" fillId="4" borderId="3" xfId="0" applyNumberFormat="1" applyFont="1" applyFill="1" applyBorder="1" applyAlignment="1">
      <alignment wrapText="1"/>
    </xf>
    <xf numFmtId="0" fontId="3" fillId="4" borderId="4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horizontal="center" wrapText="1"/>
    </xf>
    <xf numFmtId="0" fontId="3" fillId="4" borderId="3" xfId="0" applyNumberFormat="1" applyFont="1" applyFill="1" applyBorder="1" applyAlignment="1">
      <alignment horizontal="center" wrapText="1"/>
    </xf>
    <xf numFmtId="0" fontId="3" fillId="4" borderId="4" xfId="0" applyNumberFormat="1" applyFont="1" applyFill="1" applyBorder="1" applyAlignment="1">
      <alignment horizontal="center" wrapText="1"/>
    </xf>
    <xf numFmtId="0" fontId="0" fillId="4" borderId="10" xfId="0" applyNumberFormat="1" applyFont="1" applyFill="1" applyBorder="1"/>
    <xf numFmtId="0" fontId="0" fillId="4" borderId="11" xfId="0" applyNumberFormat="1" applyFont="1" applyFill="1" applyBorder="1"/>
    <xf numFmtId="0" fontId="0" fillId="4" borderId="12" xfId="0" applyNumberFormat="1" applyFont="1" applyFill="1" applyBorder="1"/>
    <xf numFmtId="0" fontId="3" fillId="4" borderId="10" xfId="0" applyNumberFormat="1" applyFont="1" applyFill="1" applyBorder="1"/>
    <xf numFmtId="0" fontId="3" fillId="4" borderId="11" xfId="0" applyNumberFormat="1" applyFont="1" applyFill="1" applyBorder="1"/>
    <xf numFmtId="0" fontId="3" fillId="4" borderId="12" xfId="0" applyNumberFormat="1" applyFont="1" applyFill="1" applyBorder="1"/>
    <xf numFmtId="0" fontId="3" fillId="4" borderId="10" xfId="0" applyNumberFormat="1" applyFont="1" applyFill="1" applyBorder="1" applyAlignment="1">
      <alignment wrapText="1"/>
    </xf>
    <xf numFmtId="0" fontId="3" fillId="4" borderId="11" xfId="0" applyNumberFormat="1" applyFont="1" applyFill="1" applyBorder="1" applyAlignment="1">
      <alignment wrapText="1"/>
    </xf>
    <xf numFmtId="0" fontId="3" fillId="4" borderId="12" xfId="0" applyNumberFormat="1" applyFont="1" applyFill="1" applyBorder="1" applyAlignment="1">
      <alignment wrapText="1"/>
    </xf>
    <xf numFmtId="0" fontId="3" fillId="4" borderId="10" xfId="0" applyNumberFormat="1" applyFont="1" applyFill="1" applyBorder="1" applyAlignment="1">
      <alignment horizontal="center" wrapText="1"/>
    </xf>
    <xf numFmtId="0" fontId="3" fillId="4" borderId="11" xfId="0" applyNumberFormat="1" applyFont="1" applyFill="1" applyBorder="1" applyAlignment="1">
      <alignment horizontal="center" wrapText="1"/>
    </xf>
    <xf numFmtId="0" fontId="3" fillId="4" borderId="12" xfId="0" applyNumberFormat="1" applyFont="1" applyFill="1" applyBorder="1" applyAlignment="1">
      <alignment horizontal="center" wrapText="1"/>
    </xf>
    <xf numFmtId="0" fontId="0" fillId="9" borderId="0" xfId="0" applyNumberFormat="1" applyFont="1" applyFill="1" applyBorder="1"/>
    <xf numFmtId="201" fontId="0" fillId="9" borderId="0" xfId="0" applyNumberFormat="1" applyFont="1" applyFill="1" applyBorder="1"/>
    <xf numFmtId="202" fontId="0" fillId="9" borderId="0" xfId="0" applyNumberFormat="1" applyFont="1" applyFill="1" applyBorder="1"/>
    <xf numFmtId="0" fontId="0" fillId="9" borderId="8" xfId="0" applyNumberFormat="1" applyFont="1" applyFill="1" applyBorder="1"/>
    <xf numFmtId="201" fontId="0" fillId="9" borderId="8" xfId="0" applyNumberFormat="1" applyFont="1" applyFill="1" applyBorder="1"/>
    <xf numFmtId="202" fontId="0" fillId="9" borderId="8" xfId="0" applyNumberFormat="1" applyFont="1" applyFill="1" applyBorder="1"/>
    <xf numFmtId="0" fontId="0" fillId="9" borderId="0" xfId="0" applyNumberFormat="1" applyFont="1" applyFill="1" applyBorder="1" applyAlignment="1">
      <alignment wrapText="1"/>
    </xf>
    <xf numFmtId="201" fontId="0" fillId="9" borderId="0" xfId="0" applyNumberFormat="1" applyFont="1" applyFill="1" applyBorder="1" applyAlignment="1">
      <alignment wrapText="1"/>
    </xf>
    <xf numFmtId="202" fontId="0" fillId="9" borderId="0" xfId="0" applyNumberFormat="1" applyFont="1" applyFill="1" applyBorder="1" applyAlignment="1">
      <alignment wrapText="1"/>
    </xf>
    <xf numFmtId="0" fontId="0" fillId="9" borderId="8" xfId="0" applyNumberFormat="1" applyFont="1" applyFill="1" applyBorder="1" applyAlignment="1">
      <alignment wrapText="1"/>
    </xf>
    <xf numFmtId="201" fontId="0" fillId="9" borderId="8" xfId="0" applyNumberFormat="1" applyFont="1" applyFill="1" applyBorder="1" applyAlignment="1">
      <alignment wrapText="1"/>
    </xf>
    <xf numFmtId="202" fontId="0" fillId="9" borderId="8" xfId="0" applyNumberFormat="1" applyFont="1" applyFill="1" applyBorder="1" applyAlignment="1">
      <alignment wrapText="1"/>
    </xf>
    <xf numFmtId="0" fontId="0" fillId="9" borderId="0" xfId="0" applyNumberFormat="1" applyFont="1" applyFill="1" applyBorder="1" applyAlignment="1">
      <alignment vertical="center" wrapText="1"/>
    </xf>
    <xf numFmtId="201" fontId="0" fillId="9" borderId="0" xfId="0" applyNumberFormat="1" applyFont="1" applyFill="1" applyBorder="1" applyAlignment="1">
      <alignment vertical="center" wrapText="1"/>
    </xf>
    <xf numFmtId="202" fontId="0" fillId="9" borderId="0" xfId="0" applyNumberFormat="1" applyFont="1" applyFill="1" applyBorder="1" applyAlignment="1">
      <alignment vertical="center" wrapText="1"/>
    </xf>
    <xf numFmtId="0" fontId="0" fillId="9" borderId="8" xfId="0" applyNumberFormat="1" applyFont="1" applyFill="1" applyBorder="1" applyAlignment="1">
      <alignment vertical="center" wrapText="1"/>
    </xf>
    <xf numFmtId="201" fontId="0" fillId="9" borderId="8" xfId="0" applyNumberFormat="1" applyFont="1" applyFill="1" applyBorder="1" applyAlignment="1">
      <alignment vertical="center" wrapText="1"/>
    </xf>
    <xf numFmtId="202" fontId="0" fillId="9" borderId="8" xfId="0" applyNumberFormat="1" applyFont="1" applyFill="1" applyBorder="1" applyAlignment="1">
      <alignment vertical="center" wrapText="1"/>
    </xf>
    <xf numFmtId="0" fontId="0" fillId="9" borderId="1" xfId="0" applyNumberFormat="1" applyFont="1" applyFill="1" applyBorder="1"/>
    <xf numFmtId="201" fontId="0" fillId="9" borderId="1" xfId="0" applyNumberFormat="1" applyFont="1" applyFill="1" applyBorder="1"/>
    <xf numFmtId="202" fontId="0" fillId="9" borderId="1" xfId="0" applyNumberFormat="1" applyFont="1" applyFill="1" applyBorder="1"/>
    <xf numFmtId="0" fontId="0" fillId="9" borderId="16" xfId="0" applyNumberFormat="1" applyFont="1" applyFill="1" applyBorder="1"/>
    <xf numFmtId="201" fontId="0" fillId="9" borderId="16" xfId="0" applyNumberFormat="1" applyFont="1" applyFill="1" applyBorder="1"/>
    <xf numFmtId="202" fontId="0" fillId="9" borderId="16" xfId="0" applyNumberFormat="1" applyFont="1" applyFill="1" applyBorder="1"/>
    <xf numFmtId="0" fontId="0" fillId="9" borderId="1" xfId="0" applyNumberFormat="1" applyFont="1" applyFill="1" applyBorder="1" applyAlignment="1">
      <alignment wrapText="1"/>
    </xf>
    <xf numFmtId="201" fontId="0" fillId="9" borderId="1" xfId="0" applyNumberFormat="1" applyFont="1" applyFill="1" applyBorder="1" applyAlignment="1">
      <alignment wrapText="1"/>
    </xf>
    <xf numFmtId="202" fontId="0" fillId="9" borderId="1" xfId="0" applyNumberFormat="1" applyFont="1" applyFill="1" applyBorder="1" applyAlignment="1">
      <alignment wrapText="1"/>
    </xf>
    <xf numFmtId="0" fontId="0" fillId="9" borderId="16" xfId="0" applyNumberFormat="1" applyFont="1" applyFill="1" applyBorder="1" applyAlignment="1">
      <alignment wrapText="1"/>
    </xf>
    <xf numFmtId="201" fontId="0" fillId="9" borderId="16" xfId="0" applyNumberFormat="1" applyFont="1" applyFill="1" applyBorder="1" applyAlignment="1">
      <alignment wrapText="1"/>
    </xf>
    <xf numFmtId="202" fontId="0" fillId="9" borderId="16" xfId="0" applyNumberFormat="1" applyFont="1" applyFill="1" applyBorder="1" applyAlignment="1">
      <alignment wrapText="1"/>
    </xf>
    <xf numFmtId="0" fontId="0" fillId="9" borderId="1" xfId="0" applyNumberFormat="1" applyFont="1" applyFill="1" applyBorder="1" applyAlignment="1">
      <alignment vertical="center" wrapText="1"/>
    </xf>
    <xf numFmtId="201" fontId="0" fillId="9" borderId="1" xfId="0" applyNumberFormat="1" applyFont="1" applyFill="1" applyBorder="1" applyAlignment="1">
      <alignment vertical="center" wrapText="1"/>
    </xf>
    <xf numFmtId="202" fontId="0" fillId="9" borderId="1" xfId="0" applyNumberFormat="1" applyFont="1" applyFill="1" applyBorder="1" applyAlignment="1">
      <alignment vertical="center" wrapText="1"/>
    </xf>
    <xf numFmtId="0" fontId="0" fillId="9" borderId="16" xfId="0" applyNumberFormat="1" applyFont="1" applyFill="1" applyBorder="1" applyAlignment="1">
      <alignment vertical="center" wrapText="1"/>
    </xf>
    <xf numFmtId="201" fontId="0" fillId="9" borderId="16" xfId="0" applyNumberFormat="1" applyFont="1" applyFill="1" applyBorder="1" applyAlignment="1">
      <alignment vertical="center" wrapText="1"/>
    </xf>
    <xf numFmtId="202" fontId="0" fillId="9" borderId="16" xfId="0" applyNumberFormat="1" applyFont="1" applyFill="1" applyBorder="1" applyAlignment="1">
      <alignment vertical="center" wrapText="1"/>
    </xf>
    <xf numFmtId="0" fontId="0" fillId="9" borderId="6" xfId="0" applyNumberFormat="1" applyFont="1" applyFill="1" applyBorder="1"/>
    <xf numFmtId="0" fontId="0" fillId="9" borderId="9" xfId="0" applyNumberFormat="1" applyFont="1" applyFill="1" applyBorder="1"/>
    <xf numFmtId="0" fontId="0" fillId="9" borderId="6" xfId="0" applyNumberFormat="1" applyFont="1" applyFill="1" applyBorder="1" applyAlignment="1">
      <alignment wrapText="1"/>
    </xf>
    <xf numFmtId="0" fontId="0" fillId="9" borderId="9" xfId="0" applyNumberFormat="1" applyFont="1" applyFill="1" applyBorder="1" applyAlignment="1">
      <alignment wrapText="1"/>
    </xf>
    <xf numFmtId="0" fontId="0" fillId="9" borderId="6" xfId="0" applyNumberFormat="1" applyFont="1" applyFill="1" applyBorder="1" applyAlignment="1">
      <alignment vertical="center" wrapText="1"/>
    </xf>
    <xf numFmtId="0" fontId="0" fillId="9" borderId="9" xfId="0" applyNumberFormat="1" applyFont="1" applyFill="1" applyBorder="1" applyAlignment="1">
      <alignment vertical="center" wrapText="1"/>
    </xf>
    <xf numFmtId="0" fontId="0" fillId="9" borderId="14" xfId="0" applyNumberFormat="1" applyFont="1" applyFill="1" applyBorder="1"/>
    <xf numFmtId="0" fontId="0" fillId="9" borderId="17" xfId="0" applyNumberFormat="1" applyFont="1" applyFill="1" applyBorder="1"/>
    <xf numFmtId="0" fontId="0" fillId="9" borderId="14" xfId="0" applyNumberFormat="1" applyFont="1" applyFill="1" applyBorder="1" applyAlignment="1">
      <alignment wrapText="1"/>
    </xf>
    <xf numFmtId="0" fontId="0" fillId="9" borderId="17" xfId="0" applyNumberFormat="1" applyFont="1" applyFill="1" applyBorder="1" applyAlignment="1">
      <alignment wrapText="1"/>
    </xf>
    <xf numFmtId="0" fontId="0" fillId="9" borderId="14" xfId="0" applyNumberFormat="1" applyFont="1" applyFill="1" applyBorder="1" applyAlignment="1">
      <alignment vertical="center" wrapText="1"/>
    </xf>
    <xf numFmtId="0" fontId="0" fillId="9" borderId="17" xfId="0" applyNumberFormat="1" applyFont="1" applyFill="1" applyBorder="1" applyAlignment="1">
      <alignment vertical="center" wrapText="1"/>
    </xf>
    <xf numFmtId="202" fontId="0" fillId="8" borderId="0" xfId="0" applyNumberFormat="1" applyFont="1" applyFill="1" applyBorder="1" applyAlignment="1">
      <alignment vertical="center" wrapText="1"/>
    </xf>
    <xf numFmtId="202" fontId="0" fillId="8" borderId="8" xfId="0" applyNumberFormat="1" applyFont="1" applyFill="1" applyBorder="1" applyAlignment="1">
      <alignment vertical="center" wrapText="1"/>
    </xf>
    <xf numFmtId="202" fontId="6" fillId="8" borderId="0" xfId="0" applyNumberFormat="1" applyFont="1" applyFill="1" applyBorder="1" applyAlignment="1">
      <alignment vertical="center" wrapText="1"/>
    </xf>
    <xf numFmtId="202" fontId="6" fillId="8" borderId="8" xfId="0" applyNumberFormat="1" applyFont="1" applyFill="1" applyBorder="1" applyAlignment="1">
      <alignment vertical="center" wrapText="1"/>
    </xf>
    <xf numFmtId="202" fontId="0" fillId="8" borderId="1" xfId="0" applyNumberFormat="1" applyFont="1" applyFill="1" applyBorder="1" applyAlignment="1">
      <alignment vertical="center" wrapText="1"/>
    </xf>
    <xf numFmtId="202" fontId="0" fillId="8" borderId="16" xfId="0" applyNumberFormat="1" applyFont="1" applyFill="1" applyBorder="1" applyAlignment="1">
      <alignment vertical="center" wrapText="1"/>
    </xf>
    <xf numFmtId="202" fontId="6" fillId="8" borderId="1" xfId="0" applyNumberFormat="1" applyFont="1" applyFill="1" applyBorder="1" applyAlignment="1">
      <alignment vertical="center" wrapText="1"/>
    </xf>
    <xf numFmtId="202" fontId="6" fillId="8" borderId="16" xfId="0" applyNumberFormat="1" applyFont="1" applyFill="1" applyBorder="1" applyAlignment="1">
      <alignment vertical="center" wrapText="1"/>
    </xf>
    <xf numFmtId="203" fontId="0" fillId="0" borderId="0" xfId="0" applyNumberFormat="1" applyFont="1" applyFill="1" applyBorder="1"/>
    <xf numFmtId="203" fontId="0" fillId="0" borderId="1" xfId="0" applyNumberFormat="1" applyFont="1" applyFill="1" applyBorder="1"/>
    <xf numFmtId="203" fontId="0" fillId="0" borderId="8" xfId="0" applyNumberFormat="1" applyFont="1" applyFill="1" applyBorder="1"/>
    <xf numFmtId="203" fontId="0" fillId="0" borderId="16" xfId="0" applyNumberFormat="1" applyFont="1" applyFill="1" applyBorder="1"/>
    <xf numFmtId="203" fontId="0" fillId="9" borderId="0" xfId="0" applyNumberFormat="1" applyFont="1" applyFill="1" applyBorder="1"/>
    <xf numFmtId="203" fontId="0" fillId="9" borderId="8" xfId="0" applyNumberFormat="1" applyFont="1" applyFill="1" applyBorder="1"/>
    <xf numFmtId="203" fontId="0" fillId="9" borderId="0" xfId="0" applyNumberFormat="1" applyFont="1" applyFill="1" applyBorder="1" applyAlignment="1">
      <alignment wrapText="1"/>
    </xf>
    <xf numFmtId="203" fontId="0" fillId="9" borderId="8" xfId="0" applyNumberFormat="1" applyFont="1" applyFill="1" applyBorder="1" applyAlignment="1">
      <alignment wrapText="1"/>
    </xf>
    <xf numFmtId="203" fontId="0" fillId="9" borderId="0" xfId="0" applyNumberFormat="1" applyFont="1" applyFill="1" applyBorder="1" applyAlignment="1">
      <alignment vertical="center" wrapText="1"/>
    </xf>
    <xf numFmtId="203" fontId="0" fillId="9" borderId="8" xfId="0" applyNumberFormat="1" applyFont="1" applyFill="1" applyBorder="1" applyAlignment="1">
      <alignment vertical="center" wrapText="1"/>
    </xf>
    <xf numFmtId="203" fontId="0" fillId="9" borderId="1" xfId="0" applyNumberFormat="1" applyFont="1" applyFill="1" applyBorder="1"/>
    <xf numFmtId="203" fontId="0" fillId="9" borderId="16" xfId="0" applyNumberFormat="1" applyFont="1" applyFill="1" applyBorder="1"/>
    <xf numFmtId="203" fontId="0" fillId="9" borderId="1" xfId="0" applyNumberFormat="1" applyFont="1" applyFill="1" applyBorder="1" applyAlignment="1">
      <alignment wrapText="1"/>
    </xf>
    <xf numFmtId="203" fontId="0" fillId="9" borderId="16" xfId="0" applyNumberFormat="1" applyFont="1" applyFill="1" applyBorder="1" applyAlignment="1">
      <alignment wrapText="1"/>
    </xf>
    <xf numFmtId="203" fontId="0" fillId="9" borderId="1" xfId="0" applyNumberFormat="1" applyFont="1" applyFill="1" applyBorder="1" applyAlignment="1">
      <alignment vertical="center" wrapText="1"/>
    </xf>
    <xf numFmtId="203" fontId="0" fillId="9" borderId="16" xfId="0" applyNumberFormat="1" applyFont="1" applyFill="1" applyBorder="1" applyAlignment="1">
      <alignment vertical="center" wrapText="1"/>
    </xf>
    <xf numFmtId="200" fontId="0" fillId="0" borderId="0" xfId="0" applyNumberFormat="1" applyFont="1" applyFill="1" applyBorder="1"/>
    <xf numFmtId="200" fontId="0" fillId="0" borderId="1" xfId="0" applyNumberFormat="1" applyFont="1" applyFill="1" applyBorder="1"/>
    <xf numFmtId="200" fontId="0" fillId="0" borderId="8" xfId="0" applyNumberFormat="1" applyFont="1" applyFill="1" applyBorder="1"/>
    <xf numFmtId="200" fontId="0" fillId="0" borderId="16" xfId="0" applyNumberFormat="1" applyFont="1" applyFill="1" applyBorder="1"/>
    <xf numFmtId="200" fontId="0" fillId="8" borderId="0" xfId="0" applyNumberFormat="1" applyFont="1" applyFill="1" applyBorder="1"/>
    <xf numFmtId="200" fontId="0" fillId="8" borderId="8" xfId="0" applyNumberFormat="1" applyFont="1" applyFill="1" applyBorder="1"/>
    <xf numFmtId="200" fontId="6" fillId="8" borderId="0" xfId="0" applyNumberFormat="1" applyFont="1" applyFill="1" applyBorder="1"/>
    <xf numFmtId="200" fontId="6" fillId="8" borderId="8" xfId="0" applyNumberFormat="1" applyFont="1" applyFill="1" applyBorder="1"/>
    <xf numFmtId="200" fontId="6" fillId="8" borderId="0" xfId="0" applyNumberFormat="1" applyFont="1" applyFill="1" applyBorder="1" applyAlignment="1">
      <alignment wrapText="1"/>
    </xf>
    <xf numFmtId="200" fontId="6" fillId="8" borderId="8" xfId="0" applyNumberFormat="1" applyFont="1" applyFill="1" applyBorder="1" applyAlignment="1">
      <alignment wrapText="1"/>
    </xf>
    <xf numFmtId="200" fontId="0" fillId="8" borderId="1" xfId="0" applyNumberFormat="1" applyFont="1" applyFill="1" applyBorder="1"/>
    <xf numFmtId="200" fontId="0" fillId="8" borderId="16" xfId="0" applyNumberFormat="1" applyFont="1" applyFill="1" applyBorder="1"/>
    <xf numFmtId="200" fontId="6" fillId="8" borderId="1" xfId="0" applyNumberFormat="1" applyFont="1" applyFill="1" applyBorder="1"/>
    <xf numFmtId="200" fontId="6" fillId="8" borderId="16" xfId="0" applyNumberFormat="1" applyFont="1" applyFill="1" applyBorder="1"/>
    <xf numFmtId="200" fontId="6" fillId="8" borderId="1" xfId="0" applyNumberFormat="1" applyFont="1" applyFill="1" applyBorder="1" applyAlignment="1">
      <alignment wrapText="1"/>
    </xf>
    <xf numFmtId="200" fontId="6" fillId="8" borderId="16" xfId="0" applyNumberFormat="1" applyFont="1" applyFill="1" applyBorder="1" applyAlignment="1">
      <alignment wrapText="1"/>
    </xf>
    <xf numFmtId="204" fontId="0" fillId="0" borderId="0" xfId="0" applyNumberFormat="1" applyFont="1" applyFill="1" applyBorder="1"/>
    <xf numFmtId="204" fontId="0" fillId="0" borderId="1" xfId="0" applyNumberFormat="1" applyFont="1" applyFill="1" applyBorder="1"/>
    <xf numFmtId="204" fontId="0" fillId="0" borderId="6" xfId="0" applyNumberFormat="1" applyFont="1" applyFill="1" applyBorder="1"/>
    <xf numFmtId="204" fontId="0" fillId="0" borderId="9" xfId="0" applyNumberFormat="1" applyFont="1" applyFill="1" applyBorder="1"/>
    <xf numFmtId="204" fontId="0" fillId="0" borderId="14" xfId="0" applyNumberFormat="1" applyFont="1" applyFill="1" applyBorder="1"/>
    <xf numFmtId="204" fontId="0" fillId="0" borderId="17" xfId="0" applyNumberFormat="1" applyFont="1" applyFill="1" applyBorder="1"/>
    <xf numFmtId="200" fontId="0" fillId="9" borderId="0" xfId="0" applyNumberFormat="1" applyFont="1" applyFill="1" applyBorder="1"/>
    <xf numFmtId="200" fontId="0" fillId="9" borderId="8" xfId="0" applyNumberFormat="1" applyFont="1" applyFill="1" applyBorder="1"/>
    <xf numFmtId="200" fontId="0" fillId="9" borderId="0" xfId="0" applyNumberFormat="1" applyFont="1" applyFill="1" applyBorder="1" applyAlignment="1">
      <alignment wrapText="1"/>
    </xf>
    <xf numFmtId="200" fontId="0" fillId="9" borderId="8" xfId="0" applyNumberFormat="1" applyFont="1" applyFill="1" applyBorder="1" applyAlignment="1">
      <alignment wrapText="1"/>
    </xf>
    <xf numFmtId="200" fontId="0" fillId="9" borderId="0" xfId="0" applyNumberFormat="1" applyFont="1" applyFill="1" applyBorder="1" applyAlignment="1">
      <alignment vertical="center" wrapText="1"/>
    </xf>
    <xf numFmtId="200" fontId="0" fillId="9" borderId="8" xfId="0" applyNumberFormat="1" applyFont="1" applyFill="1" applyBorder="1" applyAlignment="1">
      <alignment vertical="center" wrapText="1"/>
    </xf>
    <xf numFmtId="200" fontId="0" fillId="9" borderId="1" xfId="0" applyNumberFormat="1" applyFont="1" applyFill="1" applyBorder="1"/>
    <xf numFmtId="200" fontId="0" fillId="9" borderId="16" xfId="0" applyNumberFormat="1" applyFont="1" applyFill="1" applyBorder="1"/>
    <xf numFmtId="200" fontId="0" fillId="9" borderId="1" xfId="0" applyNumberFormat="1" applyFont="1" applyFill="1" applyBorder="1" applyAlignment="1">
      <alignment wrapText="1"/>
    </xf>
    <xf numFmtId="200" fontId="0" fillId="9" borderId="16" xfId="0" applyNumberFormat="1" applyFont="1" applyFill="1" applyBorder="1" applyAlignment="1">
      <alignment wrapText="1"/>
    </xf>
    <xf numFmtId="200" fontId="0" fillId="9" borderId="1" xfId="0" applyNumberFormat="1" applyFont="1" applyFill="1" applyBorder="1" applyAlignment="1">
      <alignment vertical="center" wrapText="1"/>
    </xf>
    <xf numFmtId="200" fontId="0" fillId="9" borderId="16" xfId="0" applyNumberFormat="1" applyFont="1" applyFill="1" applyBorder="1" applyAlignment="1">
      <alignment vertical="center" wrapText="1"/>
    </xf>
    <xf numFmtId="200" fontId="0" fillId="8" borderId="0" xfId="0" applyNumberFormat="1" applyFont="1" applyFill="1" applyBorder="1" applyAlignment="1">
      <alignment vertical="center" wrapText="1"/>
    </xf>
    <xf numFmtId="200" fontId="0" fillId="8" borderId="8" xfId="0" applyNumberFormat="1" applyFont="1" applyFill="1" applyBorder="1" applyAlignment="1">
      <alignment vertical="center" wrapText="1"/>
    </xf>
    <xf numFmtId="200" fontId="0" fillId="8" borderId="1" xfId="0" applyNumberFormat="1" applyFont="1" applyFill="1" applyBorder="1" applyAlignment="1">
      <alignment vertical="center" wrapText="1"/>
    </xf>
    <xf numFmtId="200" fontId="0" fillId="8" borderId="16" xfId="0" applyNumberFormat="1" applyFont="1" applyFill="1" applyBorder="1" applyAlignment="1">
      <alignment vertical="center" wrapText="1"/>
    </xf>
    <xf numFmtId="204" fontId="0" fillId="8" borderId="6" xfId="0" applyNumberFormat="1" applyFont="1" applyFill="1" applyBorder="1"/>
    <xf numFmtId="204" fontId="0" fillId="8" borderId="9" xfId="0" applyNumberFormat="1" applyFont="1" applyFill="1" applyBorder="1"/>
    <xf numFmtId="204" fontId="6" fillId="8" borderId="6" xfId="0" applyNumberFormat="1" applyFont="1" applyFill="1" applyBorder="1"/>
    <xf numFmtId="204" fontId="6" fillId="8" borderId="9" xfId="0" applyNumberFormat="1" applyFont="1" applyFill="1" applyBorder="1"/>
    <xf numFmtId="204" fontId="6" fillId="8" borderId="6" xfId="0" applyNumberFormat="1" applyFont="1" applyFill="1" applyBorder="1" applyAlignment="1">
      <alignment wrapText="1"/>
    </xf>
    <xf numFmtId="204" fontId="6" fillId="8" borderId="9" xfId="0" applyNumberFormat="1" applyFont="1" applyFill="1" applyBorder="1" applyAlignment="1">
      <alignment wrapText="1"/>
    </xf>
    <xf numFmtId="204" fontId="6" fillId="8" borderId="6" xfId="0" applyNumberFormat="1" applyFont="1" applyFill="1" applyBorder="1" applyAlignment="1">
      <alignment vertical="center" wrapText="1"/>
    </xf>
    <xf numFmtId="204" fontId="6" fillId="8" borderId="9" xfId="0" applyNumberFormat="1" applyFont="1" applyFill="1" applyBorder="1" applyAlignment="1">
      <alignment vertical="center" wrapText="1"/>
    </xf>
    <xf numFmtId="204" fontId="0" fillId="8" borderId="14" xfId="0" applyNumberFormat="1" applyFont="1" applyFill="1" applyBorder="1"/>
    <xf numFmtId="204" fontId="0" fillId="8" borderId="17" xfId="0" applyNumberFormat="1" applyFont="1" applyFill="1" applyBorder="1"/>
    <xf numFmtId="204" fontId="6" fillId="8" borderId="14" xfId="0" applyNumberFormat="1" applyFont="1" applyFill="1" applyBorder="1"/>
    <xf numFmtId="204" fontId="6" fillId="8" borderId="17" xfId="0" applyNumberFormat="1" applyFont="1" applyFill="1" applyBorder="1"/>
    <xf numFmtId="204" fontId="6" fillId="8" borderId="14" xfId="0" applyNumberFormat="1" applyFont="1" applyFill="1" applyBorder="1" applyAlignment="1">
      <alignment wrapText="1"/>
    </xf>
    <xf numFmtId="204" fontId="6" fillId="8" borderId="17" xfId="0" applyNumberFormat="1" applyFont="1" applyFill="1" applyBorder="1" applyAlignment="1">
      <alignment wrapText="1"/>
    </xf>
    <xf numFmtId="204" fontId="6" fillId="8" borderId="14" xfId="0" applyNumberFormat="1" applyFont="1" applyFill="1" applyBorder="1" applyAlignment="1">
      <alignment vertical="center" wrapText="1"/>
    </xf>
    <xf numFmtId="204" fontId="6" fillId="8" borderId="17" xfId="0" applyNumberFormat="1" applyFont="1" applyFill="1" applyBorder="1" applyAlignment="1">
      <alignment vertical="center" wrapText="1"/>
    </xf>
    <xf numFmtId="200" fontId="0" fillId="0" borderId="6" xfId="0" applyNumberFormat="1" applyFont="1" applyFill="1" applyBorder="1"/>
    <xf numFmtId="200" fontId="0" fillId="0" borderId="9" xfId="0" applyNumberFormat="1" applyFont="1" applyFill="1" applyBorder="1"/>
    <xf numFmtId="200" fontId="0" fillId="0" borderId="14" xfId="0" applyNumberFormat="1" applyFont="1" applyFill="1" applyBorder="1"/>
    <xf numFmtId="200" fontId="0" fillId="0" borderId="17" xfId="0" applyNumberFormat="1" applyFont="1" applyFill="1" applyBorder="1"/>
    <xf numFmtId="200" fontId="0" fillId="8" borderId="6" xfId="0" applyNumberFormat="1" applyFont="1" applyFill="1" applyBorder="1"/>
    <xf numFmtId="200" fontId="0" fillId="8" borderId="9" xfId="0" applyNumberFormat="1" applyFont="1" applyFill="1" applyBorder="1"/>
    <xf numFmtId="200" fontId="6" fillId="8" borderId="6" xfId="0" applyNumberFormat="1" applyFont="1" applyFill="1" applyBorder="1"/>
    <xf numFmtId="200" fontId="6" fillId="8" borderId="9" xfId="0" applyNumberFormat="1" applyFont="1" applyFill="1" applyBorder="1"/>
    <xf numFmtId="200" fontId="6" fillId="8" borderId="6" xfId="0" applyNumberFormat="1" applyFont="1" applyFill="1" applyBorder="1" applyAlignment="1">
      <alignment wrapText="1"/>
    </xf>
    <xf numFmtId="200" fontId="6" fillId="8" borderId="9" xfId="0" applyNumberFormat="1" applyFont="1" applyFill="1" applyBorder="1" applyAlignment="1">
      <alignment wrapText="1"/>
    </xf>
    <xf numFmtId="200" fontId="0" fillId="8" borderId="14" xfId="0" applyNumberFormat="1" applyFont="1" applyFill="1" applyBorder="1"/>
    <xf numFmtId="200" fontId="0" fillId="8" borderId="17" xfId="0" applyNumberFormat="1" applyFont="1" applyFill="1" applyBorder="1"/>
    <xf numFmtId="200" fontId="6" fillId="8" borderId="14" xfId="0" applyNumberFormat="1" applyFont="1" applyFill="1" applyBorder="1"/>
    <xf numFmtId="200" fontId="6" fillId="8" borderId="17" xfId="0" applyNumberFormat="1" applyFont="1" applyFill="1" applyBorder="1"/>
    <xf numFmtId="200" fontId="6" fillId="8" borderId="14" xfId="0" applyNumberFormat="1" applyFont="1" applyFill="1" applyBorder="1" applyAlignment="1">
      <alignment wrapText="1"/>
    </xf>
    <xf numFmtId="200" fontId="6" fillId="8" borderId="17" xfId="0" applyNumberFormat="1" applyFont="1" applyFill="1" applyBorder="1" applyAlignment="1">
      <alignment wrapText="1"/>
    </xf>
    <xf numFmtId="205" fontId="0" fillId="0" borderId="0" xfId="0" applyNumberFormat="1" applyFont="1" applyFill="1" applyBorder="1"/>
    <xf numFmtId="205" fontId="0" fillId="0" borderId="1" xfId="0" applyNumberFormat="1" applyFont="1" applyFill="1" applyBorder="1"/>
    <xf numFmtId="205" fontId="0" fillId="0" borderId="8" xfId="0" applyNumberFormat="1" applyFont="1" applyFill="1" applyBorder="1"/>
    <xf numFmtId="205" fontId="0" fillId="0" borderId="16" xfId="0" applyNumberFormat="1" applyFont="1" applyFill="1" applyBorder="1"/>
    <xf numFmtId="205" fontId="0" fillId="9" borderId="0" xfId="0" applyNumberFormat="1" applyFont="1" applyFill="1" applyBorder="1"/>
    <xf numFmtId="205" fontId="0" fillId="9" borderId="8" xfId="0" applyNumberFormat="1" applyFont="1" applyFill="1" applyBorder="1"/>
    <xf numFmtId="205" fontId="0" fillId="9" borderId="0" xfId="0" applyNumberFormat="1" applyFont="1" applyFill="1" applyBorder="1" applyAlignment="1">
      <alignment wrapText="1"/>
    </xf>
    <xf numFmtId="205" fontId="0" fillId="9" borderId="8" xfId="0" applyNumberFormat="1" applyFont="1" applyFill="1" applyBorder="1" applyAlignment="1">
      <alignment wrapText="1"/>
    </xf>
    <xf numFmtId="205" fontId="0" fillId="9" borderId="0" xfId="0" applyNumberFormat="1" applyFont="1" applyFill="1" applyBorder="1" applyAlignment="1">
      <alignment vertical="center" wrapText="1"/>
    </xf>
    <xf numFmtId="205" fontId="0" fillId="9" borderId="8" xfId="0" applyNumberFormat="1" applyFont="1" applyFill="1" applyBorder="1" applyAlignment="1">
      <alignment vertical="center" wrapText="1"/>
    </xf>
    <xf numFmtId="205" fontId="0" fillId="9" borderId="1" xfId="0" applyNumberFormat="1" applyFont="1" applyFill="1" applyBorder="1"/>
    <xf numFmtId="205" fontId="0" fillId="9" borderId="16" xfId="0" applyNumberFormat="1" applyFont="1" applyFill="1" applyBorder="1"/>
    <xf numFmtId="205" fontId="0" fillId="9" borderId="1" xfId="0" applyNumberFormat="1" applyFont="1" applyFill="1" applyBorder="1" applyAlignment="1">
      <alignment wrapText="1"/>
    </xf>
    <xf numFmtId="205" fontId="0" fillId="9" borderId="16" xfId="0" applyNumberFormat="1" applyFont="1" applyFill="1" applyBorder="1" applyAlignment="1">
      <alignment wrapText="1"/>
    </xf>
    <xf numFmtId="205" fontId="0" fillId="9" borderId="1" xfId="0" applyNumberFormat="1" applyFont="1" applyFill="1" applyBorder="1" applyAlignment="1">
      <alignment vertical="center" wrapText="1"/>
    </xf>
    <xf numFmtId="205" fontId="0" fillId="9" borderId="16" xfId="0" applyNumberFormat="1" applyFont="1" applyFill="1" applyBorder="1" applyAlignment="1">
      <alignment vertical="center" wrapText="1"/>
    </xf>
    <xf numFmtId="205" fontId="0" fillId="8" borderId="0" xfId="0" applyNumberFormat="1" applyFont="1" applyFill="1" applyBorder="1"/>
    <xf numFmtId="205" fontId="0" fillId="8" borderId="8" xfId="0" applyNumberFormat="1" applyFont="1" applyFill="1" applyBorder="1"/>
    <xf numFmtId="205" fontId="6" fillId="8" borderId="0" xfId="0" applyNumberFormat="1" applyFont="1" applyFill="1" applyBorder="1"/>
    <xf numFmtId="205" fontId="6" fillId="8" borderId="8" xfId="0" applyNumberFormat="1" applyFont="1" applyFill="1" applyBorder="1"/>
    <xf numFmtId="205" fontId="6" fillId="8" borderId="0" xfId="0" applyNumberFormat="1" applyFont="1" applyFill="1" applyBorder="1" applyAlignment="1">
      <alignment wrapText="1"/>
    </xf>
    <xf numFmtId="205" fontId="6" fillId="8" borderId="8" xfId="0" applyNumberFormat="1" applyFont="1" applyFill="1" applyBorder="1" applyAlignment="1">
      <alignment wrapText="1"/>
    </xf>
    <xf numFmtId="205" fontId="6" fillId="8" borderId="0" xfId="0" applyNumberFormat="1" applyFont="1" applyFill="1" applyBorder="1" applyAlignment="1">
      <alignment vertical="center" wrapText="1"/>
    </xf>
    <xf numFmtId="205" fontId="6" fillId="8" borderId="8" xfId="0" applyNumberFormat="1" applyFont="1" applyFill="1" applyBorder="1" applyAlignment="1">
      <alignment vertical="center" wrapText="1"/>
    </xf>
    <xf numFmtId="205" fontId="0" fillId="8" borderId="1" xfId="0" applyNumberFormat="1" applyFont="1" applyFill="1" applyBorder="1"/>
    <xf numFmtId="205" fontId="0" fillId="8" borderId="16" xfId="0" applyNumberFormat="1" applyFont="1" applyFill="1" applyBorder="1"/>
    <xf numFmtId="205" fontId="6" fillId="8" borderId="1" xfId="0" applyNumberFormat="1" applyFont="1" applyFill="1" applyBorder="1"/>
    <xf numFmtId="205" fontId="6" fillId="8" borderId="16" xfId="0" applyNumberFormat="1" applyFont="1" applyFill="1" applyBorder="1"/>
    <xf numFmtId="205" fontId="6" fillId="8" borderId="1" xfId="0" applyNumberFormat="1" applyFont="1" applyFill="1" applyBorder="1" applyAlignment="1">
      <alignment wrapText="1"/>
    </xf>
    <xf numFmtId="205" fontId="6" fillId="8" borderId="16" xfId="0" applyNumberFormat="1" applyFont="1" applyFill="1" applyBorder="1" applyAlignment="1">
      <alignment wrapText="1"/>
    </xf>
    <xf numFmtId="205" fontId="6" fillId="8" borderId="1" xfId="0" applyNumberFormat="1" applyFont="1" applyFill="1" applyBorder="1" applyAlignment="1">
      <alignment vertical="center" wrapText="1"/>
    </xf>
    <xf numFmtId="205" fontId="6" fillId="8" borderId="16" xfId="0" applyNumberFormat="1" applyFont="1" applyFill="1" applyBorder="1" applyAlignment="1">
      <alignment vertical="center" wrapText="1"/>
    </xf>
    <xf numFmtId="206" fontId="0" fillId="0" borderId="0" xfId="0" applyNumberFormat="1" applyFont="1" applyFill="1" applyBorder="1"/>
    <xf numFmtId="206" fontId="0" fillId="0" borderId="1" xfId="0" applyNumberFormat="1" applyFont="1" applyFill="1" applyBorder="1"/>
    <xf numFmtId="206" fontId="0" fillId="0" borderId="8" xfId="0" applyNumberFormat="1" applyFont="1" applyFill="1" applyBorder="1"/>
    <xf numFmtId="206" fontId="0" fillId="0" borderId="16" xfId="0" applyNumberFormat="1" applyFont="1" applyFill="1" applyBorder="1"/>
    <xf numFmtId="206" fontId="0" fillId="8" borderId="0" xfId="0" applyNumberFormat="1" applyFont="1" applyFill="1" applyBorder="1"/>
    <xf numFmtId="206" fontId="0" fillId="8" borderId="8" xfId="0" applyNumberFormat="1" applyFont="1" applyFill="1" applyBorder="1"/>
    <xf numFmtId="206" fontId="6" fillId="8" borderId="0" xfId="0" applyNumberFormat="1" applyFont="1" applyFill="1" applyBorder="1"/>
    <xf numFmtId="206" fontId="6" fillId="8" borderId="8" xfId="0" applyNumberFormat="1" applyFont="1" applyFill="1" applyBorder="1"/>
    <xf numFmtId="206" fontId="6" fillId="8" borderId="0" xfId="0" applyNumberFormat="1" applyFont="1" applyFill="1" applyBorder="1" applyAlignment="1">
      <alignment wrapText="1"/>
    </xf>
    <xf numFmtId="206" fontId="6" fillId="8" borderId="8" xfId="0" applyNumberFormat="1" applyFont="1" applyFill="1" applyBorder="1" applyAlignment="1">
      <alignment wrapText="1"/>
    </xf>
    <xf numFmtId="206" fontId="6" fillId="8" borderId="0" xfId="0" applyNumberFormat="1" applyFont="1" applyFill="1" applyBorder="1" applyAlignment="1">
      <alignment vertical="center" wrapText="1"/>
    </xf>
    <xf numFmtId="206" fontId="6" fillId="8" borderId="8" xfId="0" applyNumberFormat="1" applyFont="1" applyFill="1" applyBorder="1" applyAlignment="1">
      <alignment vertical="center" wrapText="1"/>
    </xf>
    <xf numFmtId="206" fontId="0" fillId="8" borderId="1" xfId="0" applyNumberFormat="1" applyFont="1" applyFill="1" applyBorder="1"/>
    <xf numFmtId="206" fontId="0" fillId="8" borderId="16" xfId="0" applyNumberFormat="1" applyFont="1" applyFill="1" applyBorder="1"/>
    <xf numFmtId="206" fontId="6" fillId="8" borderId="1" xfId="0" applyNumberFormat="1" applyFont="1" applyFill="1" applyBorder="1"/>
    <xf numFmtId="206" fontId="6" fillId="8" borderId="16" xfId="0" applyNumberFormat="1" applyFont="1" applyFill="1" applyBorder="1"/>
    <xf numFmtId="206" fontId="6" fillId="8" borderId="1" xfId="0" applyNumberFormat="1" applyFont="1" applyFill="1" applyBorder="1" applyAlignment="1">
      <alignment wrapText="1"/>
    </xf>
    <xf numFmtId="206" fontId="6" fillId="8" borderId="16" xfId="0" applyNumberFormat="1" applyFont="1" applyFill="1" applyBorder="1" applyAlignment="1">
      <alignment wrapText="1"/>
    </xf>
    <xf numFmtId="206" fontId="6" fillId="8" borderId="1" xfId="0" applyNumberFormat="1" applyFont="1" applyFill="1" applyBorder="1" applyAlignment="1">
      <alignment vertical="center" wrapText="1"/>
    </xf>
    <xf numFmtId="206" fontId="6" fillId="8" borderId="16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tyles" Target="styles.xml"/><Relationship Id="rId1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20" hidden="0" customWidth="1"/>
    <col min="2" max="2" width="24" hidden="0" customWidth="1"/>
    <col min="3" max="3" width="26" hidden="0" customWidth="1"/>
    <col min="4" max="4" width="28" hidden="0" customWidth="1"/>
    <col min="5" max="5" width="23" hidden="0" customWidth="1"/>
    <col min="6" max="6" width="25" hidden="0" customWidth="1"/>
    <col min="7" max="7" width="15" hidden="0" customWidth="1"/>
    <col min="8" max="8" width="15" hidden="0" customWidth="1"/>
    <col min="9" max="9" width="15" hidden="0" customWidth="1"/>
    <col min="10" max="10" width="15" hidden="0" customWidth="1"/>
  </cols>
  <sheetData>
    <row r="1">
      <c r="A1" s="95" t="inlineStr">
        <is>
          <t>EgoAnchor 实验3正式采集与分析工作簿（v5：30题分层问卷，24名参与者）</t>
        </is>
      </c>
      <c r="B1" s="95"/>
      <c r="C1" s="95"/>
      <c r="D1" s="95"/>
      <c r="E1" s="95"/>
      <c r="F1" s="95"/>
      <c r="G1" s="95"/>
      <c r="H1" s="95"/>
      <c r="I1" s="95"/>
      <c r="J1" s="95"/>
    </row>
    <row r="2">
      <c r="A2" s="46"/>
      <c r="B2" s="46"/>
      <c r="C2" s="46"/>
      <c r="D2" s="46"/>
      <c r="E2" s="46"/>
      <c r="F2" s="46"/>
      <c r="G2" s="46"/>
      <c r="H2" s="46"/>
      <c r="I2" s="46"/>
      <c r="J2" s="46"/>
    </row>
    <row r="3">
      <c r="A3" s="11" t="inlineStr">
        <is>
          <t>本工作簿对应当前实验流程：3个物体 × 2种匿名方法 × 3个任务。问卷采用“验证子量表 + EgoAnchor特异诊断题 + 方法级信任/体验 + 最终偏好与开放反馈”的分层设计。黄色单元格为人工填写；绿色为预设信息；灰色为公式。正式采集开始后不要改变题目、评分端点、顺序平衡或主要分析家族。</t>
        </is>
      </c>
      <c r="B3" s="11"/>
      <c r="C3" s="11"/>
      <c r="D3" s="11"/>
      <c r="E3" s="11"/>
      <c r="F3" s="11"/>
      <c r="G3" s="11"/>
      <c r="H3" s="11"/>
      <c r="I3" s="11"/>
      <c r="J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</row>
    <row r="6">
      <c r="A6" s="46"/>
      <c r="B6" s="46"/>
      <c r="C6" s="46"/>
      <c r="D6" s="46"/>
      <c r="E6" s="46"/>
      <c r="F6" s="46"/>
      <c r="G6" s="46"/>
      <c r="H6" s="46"/>
      <c r="I6" s="46"/>
      <c r="J6" s="46"/>
    </row>
    <row r="7">
      <c r="A7" s="46"/>
      <c r="B7" s="46"/>
      <c r="C7" s="46"/>
      <c r="D7" s="46"/>
      <c r="E7" s="46"/>
      <c r="F7" s="46"/>
      <c r="G7" s="46"/>
      <c r="H7" s="46"/>
      <c r="I7" s="46"/>
      <c r="J7" s="46"/>
    </row>
    <row r="8">
      <c r="A8" s="26" t="inlineStr">
        <is>
          <t>步骤</t>
        </is>
      </c>
      <c r="B8" s="27" t="inlineStr">
        <is>
          <t>实验时点</t>
        </is>
      </c>
      <c r="C8" s="27" t="inlineStr">
        <is>
          <t>填写工作表</t>
        </is>
      </c>
      <c r="D8" s="27" t="inlineStr">
        <is>
          <t>填写内容</t>
        </is>
      </c>
      <c r="E8" s="27" t="inlineStr">
        <is>
          <t>每名参与者产生的数据</t>
        </is>
      </c>
      <c r="F8" s="27" t="inlineStr">
        <is>
          <t>备注</t>
        </is>
      </c>
      <c r="G8" s="96" t="inlineStr">
        <is>
          <t/>
        </is>
      </c>
      <c r="H8" s="96" t="inlineStr">
        <is>
          <t/>
        </is>
      </c>
      <c r="I8" s="96" t="inlineStr">
        <is>
          <t/>
        </is>
      </c>
      <c r="J8" s="97" t="inlineStr">
        <is>
          <t/>
        </is>
      </c>
    </row>
    <row r="9">
      <c r="A9" s="45" t="inlineStr">
        <is>
          <t>0</t>
        </is>
      </c>
      <c r="B9" s="46" t="inlineStr">
        <is>
          <t>参与者到达</t>
        </is>
      </c>
      <c r="C9" s="46" t="inlineStr">
        <is>
          <t>Participants</t>
        </is>
      </c>
      <c r="D9" s="46" t="inlineStr">
        <is>
          <t>同意书、人口学、经验、基线不适</t>
        </is>
      </c>
      <c r="E9" s="46" t="inlineStr">
        <is>
          <t>6个背景题 + 安全基线</t>
        </is>
      </c>
      <c r="F9" s="46" t="inlineStr">
        <is>
          <t>基线安全项不计入30个核心题干</t>
        </is>
      </c>
      <c r="G9" s="46" t="inlineStr">
        <is>
          <t/>
        </is>
      </c>
      <c r="H9" s="46" t="inlineStr">
        <is>
          <t/>
        </is>
      </c>
      <c r="I9" s="46" t="inlineStr">
        <is>
          <t/>
        </is>
      </c>
      <c r="J9" s="47" t="inlineStr">
        <is>
          <t/>
        </is>
      </c>
    </row>
    <row r="10">
      <c r="A10" s="45" t="inlineStr">
        <is>
          <t>1</t>
        </is>
      </c>
      <c r="B10" s="46" t="inlineStr">
        <is>
          <t>每个区块：静止任务后</t>
        </is>
      </c>
      <c r="C10" s="46" t="inlineStr">
        <is>
          <t>TaskRatings</t>
        </is>
      </c>
      <c r="D10" s="46" t="inlineStr">
        <is>
          <t>T1 静止稳定性</t>
        </is>
      </c>
      <c r="E10" s="46" t="inlineStr">
        <is>
          <t>6个评分</t>
        </is>
      </c>
      <c r="F10" s="46" t="inlineStr">
        <is>
          <t>任务后立即填写</t>
        </is>
      </c>
      <c r="G10" s="46" t="inlineStr">
        <is>
          <t/>
        </is>
      </c>
      <c r="H10" s="46" t="inlineStr">
        <is>
          <t/>
        </is>
      </c>
      <c r="I10" s="46" t="inlineStr">
        <is>
          <t/>
        </is>
      </c>
      <c r="J10" s="47" t="inlineStr">
        <is>
          <t/>
        </is>
      </c>
    </row>
    <row r="11">
      <c r="A11" s="45" t="inlineStr">
        <is>
          <t>2</t>
        </is>
      </c>
      <c r="B11" s="46" t="inlineStr">
        <is>
          <t>每个区块：移动任务后</t>
        </is>
      </c>
      <c r="C11" s="46" t="inlineStr">
        <is>
          <t>TaskRatings</t>
        </is>
      </c>
      <c r="D11" s="46" t="inlineStr">
        <is>
          <t>T2 运动附着一致性</t>
        </is>
      </c>
      <c r="E11" s="46" t="inlineStr">
        <is>
          <t>6个评分</t>
        </is>
      </c>
      <c r="F11" s="46" t="inlineStr">
        <is>
          <t>任务后立即填写</t>
        </is>
      </c>
      <c r="G11" s="46" t="inlineStr">
        <is>
          <t/>
        </is>
      </c>
      <c r="H11" s="46" t="inlineStr">
        <is>
          <t/>
        </is>
      </c>
      <c r="I11" s="46" t="inlineStr">
        <is>
          <t/>
        </is>
      </c>
      <c r="J11" s="47" t="inlineStr">
        <is>
          <t/>
        </is>
      </c>
    </row>
    <row r="12">
      <c r="A12" s="45" t="inlineStr">
        <is>
          <t>3</t>
        </is>
      </c>
      <c r="B12" s="46" t="inlineStr">
        <is>
          <t>每个区块：遮挡任务后</t>
        </is>
      </c>
      <c r="C12" s="46" t="inlineStr">
        <is>
          <t>TaskRatings</t>
        </is>
      </c>
      <c r="D12" s="46" t="inlineStr">
        <is>
          <t>T3 遮挡恢复一致性</t>
        </is>
      </c>
      <c r="E12" s="46" t="inlineStr">
        <is>
          <t>6个评分</t>
        </is>
      </c>
      <c r="F12" s="46" t="inlineStr">
        <is>
          <t>任务后立即填写</t>
        </is>
      </c>
      <c r="G12" s="46" t="inlineStr">
        <is>
          <t/>
        </is>
      </c>
      <c r="H12" s="46" t="inlineStr">
        <is>
          <t/>
        </is>
      </c>
      <c r="I12" s="46" t="inlineStr">
        <is>
          <t/>
        </is>
      </c>
      <c r="J12" s="47" t="inlineStr">
        <is>
          <t/>
        </is>
      </c>
    </row>
    <row r="13">
      <c r="A13" s="45" t="inlineStr">
        <is>
          <t>4</t>
        </is>
      </c>
      <c r="B13" s="46" t="inlineStr">
        <is>
          <t>每个方法×物体区块结束</t>
        </is>
      </c>
      <c r="C13" s="46" t="inlineStr">
        <is>
          <t>BlockRatings_AQ</t>
        </is>
      </c>
      <c r="D13" s="46" t="inlineStr">
        <is>
          <t>Embedding Quality 3项 + Interaction Quality 3项</t>
        </is>
      </c>
      <c r="E13" s="46" t="inlineStr">
        <is>
          <t>36个评分</t>
        </is>
      </c>
      <c r="F13" s="46" t="inlineStr">
        <is>
          <t>每区块6项</t>
        </is>
      </c>
      <c r="G13" s="46" t="inlineStr">
        <is>
          <t/>
        </is>
      </c>
      <c r="H13" s="46" t="inlineStr">
        <is>
          <t/>
        </is>
      </c>
      <c r="I13" s="46" t="inlineStr">
        <is>
          <t/>
        </is>
      </c>
      <c r="J13" s="47" t="inlineStr">
        <is>
          <t/>
        </is>
      </c>
    </row>
    <row r="14">
      <c r="A14" s="45" t="inlineStr">
        <is>
          <t>5</t>
        </is>
      </c>
      <c r="B14" s="46" t="inlineStr">
        <is>
          <t>全部6个区块结束</t>
        </is>
      </c>
      <c r="C14" s="46" t="inlineStr">
        <is>
          <t>MethodRatings</t>
        </is>
      </c>
      <c r="D14" s="46" t="inlineStr">
        <is>
          <t>S-TIAS 3项 + CRIQ 3项 + CIQ 2项 + SB1</t>
        </is>
      </c>
      <c r="E14" s="46" t="inlineStr">
        <is>
          <t>18个评分</t>
        </is>
      </c>
      <c r="F14" s="46" t="inlineStr">
        <is>
          <t>按预设A/B顺序分别评价两种方法</t>
        </is>
      </c>
      <c r="G14" s="46" t="inlineStr">
        <is>
          <t/>
        </is>
      </c>
      <c r="H14" s="46" t="inlineStr">
        <is>
          <t/>
        </is>
      </c>
      <c r="I14" s="46" t="inlineStr">
        <is>
          <t/>
        </is>
      </c>
      <c r="J14" s="47" t="inlineStr">
        <is>
          <t/>
        </is>
      </c>
    </row>
    <row r="15">
      <c r="A15" s="48" t="inlineStr">
        <is>
          <t>6</t>
        </is>
      </c>
      <c r="B15" s="49" t="inlineStr">
        <is>
          <t>摘下头显后</t>
        </is>
      </c>
      <c r="C15" s="49" t="inlineStr">
        <is>
          <t>FinalFeedback</t>
        </is>
      </c>
      <c r="D15" s="49" t="inlineStr">
        <is>
          <t>方法选择、偏好强度、区分信心、2个开放题、安全审计</t>
        </is>
      </c>
      <c r="E15" s="49" t="inlineStr">
        <is>
          <t>6个回答</t>
        </is>
      </c>
      <c r="F15" s="49" t="inlineStr">
        <is>
          <t>标签解码在参与者离场后完成</t>
        </is>
      </c>
      <c r="G15" s="49" t="inlineStr">
        <is>
          <t/>
        </is>
      </c>
      <c r="H15" s="49" t="inlineStr">
        <is>
          <t/>
        </is>
      </c>
      <c r="I15" s="49" t="inlineStr">
        <is>
          <t/>
        </is>
      </c>
      <c r="J15" s="50" t="inlineStr">
        <is>
          <t/>
        </is>
      </c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>
      <c r="A18" s="60" t="inlineStr">
        <is>
          <t>计分和分析冻结规则</t>
        </is>
      </c>
      <c r="B18" s="60"/>
      <c r="C18" s="60"/>
      <c r="D18" s="60"/>
      <c r="E18" s="60"/>
      <c r="F18" s="60"/>
      <c r="G18" s="60"/>
      <c r="H18" s="60"/>
      <c r="I18" s="60"/>
      <c r="J18" s="60"/>
    </row>
    <row r="19">
      <c r="A19" s="73" t="inlineStr">
        <is>
          <t>1</t>
        </is>
      </c>
      <c r="B19" s="74" t="inlineStr">
        <is>
          <t>主要结局</t>
        </is>
      </c>
      <c r="C19" s="96" t="inlineStr">
        <is>
          <t>Embedding Quality、Interaction Quality、adapted S-TIAS 三个完整3项结构。</t>
        </is>
      </c>
      <c r="D19" s="96" t="inlineStr">
        <is>
          <t/>
        </is>
      </c>
      <c r="E19" s="96" t="inlineStr">
        <is>
          <t/>
        </is>
      </c>
      <c r="F19" s="96" t="inlineStr">
        <is>
          <t/>
        </is>
      </c>
      <c r="G19" s="96" t="inlineStr">
        <is>
          <t/>
        </is>
      </c>
      <c r="H19" s="96" t="inlineStr">
        <is>
          <t/>
        </is>
      </c>
      <c r="I19" s="96" t="inlineStr">
        <is>
          <t/>
        </is>
      </c>
      <c r="J19" s="97" t="inlineStr">
        <is>
          <t/>
        </is>
      </c>
    </row>
    <row r="20">
      <c r="A20" s="75" t="inlineStr">
        <is>
          <t>2</t>
        </is>
      </c>
      <c r="B20" s="68" t="inlineStr">
        <is>
          <t>机制诊断</t>
        </is>
      </c>
      <c r="C20" s="46" t="inlineStr">
        <is>
          <t>T1静止稳定、T2运动附着、T3恢复一致分别分析，不构造“锚定质量总分”。</t>
        </is>
      </c>
      <c r="D20" s="46" t="inlineStr">
        <is>
          <t/>
        </is>
      </c>
      <c r="E20" s="46" t="inlineStr">
        <is>
          <t/>
        </is>
      </c>
      <c r="F20" s="46" t="inlineStr">
        <is>
          <t/>
        </is>
      </c>
      <c r="G20" s="46" t="inlineStr">
        <is>
          <t/>
        </is>
      </c>
      <c r="H20" s="46" t="inlineStr">
        <is>
          <t/>
        </is>
      </c>
      <c r="I20" s="46" t="inlineStr">
        <is>
          <t/>
        </is>
      </c>
      <c r="J20" s="47" t="inlineStr">
        <is>
          <t/>
        </is>
      </c>
    </row>
    <row r="21">
      <c r="A21" s="75" t="inlineStr">
        <is>
          <t>3</t>
        </is>
      </c>
      <c r="B21" s="68" t="inlineStr">
        <is>
          <t>次要结局</t>
        </is>
      </c>
      <c r="C21" s="46" t="inlineStr">
        <is>
          <t>CR1–CR3、CI1–CI2、SB1分别报告；CRIQ三项均值仅在内部一致性可接受时作补充。</t>
        </is>
      </c>
      <c r="D21" s="46" t="inlineStr">
        <is>
          <t/>
        </is>
      </c>
      <c r="E21" s="46" t="inlineStr">
        <is>
          <t/>
        </is>
      </c>
      <c r="F21" s="46" t="inlineStr">
        <is>
          <t/>
        </is>
      </c>
      <c r="G21" s="46" t="inlineStr">
        <is>
          <t/>
        </is>
      </c>
      <c r="H21" s="46" t="inlineStr">
        <is>
          <t/>
        </is>
      </c>
      <c r="I21" s="46" t="inlineStr">
        <is>
          <t/>
        </is>
      </c>
      <c r="J21" s="47" t="inlineStr">
        <is>
          <t/>
        </is>
      </c>
    </row>
    <row r="22">
      <c r="A22" s="75" t="inlineStr">
        <is>
          <t>4</t>
        </is>
      </c>
      <c r="B22" s="68" t="inlineStr">
        <is>
          <t>内部一致性</t>
        </is>
      </c>
      <c r="C22" s="46" t="inlineStr">
        <is>
          <t>只对EQ、IQ、S-TIAS以及探索性CRIQ三项报告当前样本α/ω；N=24不构成中文版量表验证。</t>
        </is>
      </c>
      <c r="D22" s="46" t="inlineStr">
        <is>
          <t/>
        </is>
      </c>
      <c r="E22" s="46" t="inlineStr">
        <is>
          <t/>
        </is>
      </c>
      <c r="F22" s="46" t="inlineStr">
        <is>
          <t/>
        </is>
      </c>
      <c r="G22" s="46" t="inlineStr">
        <is>
          <t/>
        </is>
      </c>
      <c r="H22" s="46" t="inlineStr">
        <is>
          <t/>
        </is>
      </c>
      <c r="I22" s="46" t="inlineStr">
        <is>
          <t/>
        </is>
      </c>
      <c r="J22" s="47" t="inlineStr">
        <is>
          <t/>
        </is>
      </c>
    </row>
    <row r="23">
      <c r="A23" s="75" t="inlineStr">
        <is>
          <t>5</t>
        </is>
      </c>
      <c r="B23" s="68" t="inlineStr">
        <is>
          <t>统计模型</t>
        </is>
      </c>
      <c r="C23" s="46" t="inlineStr">
        <is>
          <t>EQ/IQ和任务单项优先采用 Method × Object 混合模型；S-TIAS和方法级题采用配对分析。</t>
        </is>
      </c>
      <c r="D23" s="46" t="inlineStr">
        <is>
          <t/>
        </is>
      </c>
      <c r="E23" s="46" t="inlineStr">
        <is>
          <t/>
        </is>
      </c>
      <c r="F23" s="46" t="inlineStr">
        <is>
          <t/>
        </is>
      </c>
      <c r="G23" s="46" t="inlineStr">
        <is>
          <t/>
        </is>
      </c>
      <c r="H23" s="46" t="inlineStr">
        <is>
          <t/>
        </is>
      </c>
      <c r="I23" s="46" t="inlineStr">
        <is>
          <t/>
        </is>
      </c>
      <c r="J23" s="47" t="inlineStr">
        <is>
          <t/>
        </is>
      </c>
    </row>
    <row r="24">
      <c r="A24" s="75" t="inlineStr">
        <is>
          <t>6</t>
        </is>
      </c>
      <c r="B24" s="68" t="inlineStr">
        <is>
          <t>安全边界</t>
        </is>
      </c>
      <c r="C24" s="46" t="inlineStr">
        <is>
          <t>ARSQ/SSQ未作为主要结局；结束不适和运行时日志仅作安全、审计与操纵检验。</t>
        </is>
      </c>
      <c r="D24" s="46" t="inlineStr">
        <is>
          <t/>
        </is>
      </c>
      <c r="E24" s="46" t="inlineStr">
        <is>
          <t/>
        </is>
      </c>
      <c r="F24" s="46" t="inlineStr">
        <is>
          <t/>
        </is>
      </c>
      <c r="G24" s="46" t="inlineStr">
        <is>
          <t/>
        </is>
      </c>
      <c r="H24" s="46" t="inlineStr">
        <is>
          <t/>
        </is>
      </c>
      <c r="I24" s="46" t="inlineStr">
        <is>
          <t/>
        </is>
      </c>
      <c r="J24" s="47" t="inlineStr">
        <is>
          <t/>
        </is>
      </c>
    </row>
    <row r="25">
      <c r="A25" s="76" t="inlineStr">
        <is>
          <t>7</t>
        </is>
      </c>
      <c r="B25" s="77" t="inlineStr">
        <is>
          <t>禁止主张</t>
        </is>
      </c>
      <c r="C25" s="49" t="inlineStr">
        <is>
          <t>不报告任务时间/成功率改善，不声称绝对配准精度，不从实验3推出中介效应。</t>
        </is>
      </c>
      <c r="D25" s="49" t="inlineStr">
        <is>
          <t/>
        </is>
      </c>
      <c r="E25" s="49" t="inlineStr">
        <is>
          <t/>
        </is>
      </c>
      <c r="F25" s="49" t="inlineStr">
        <is>
          <t/>
        </is>
      </c>
      <c r="G25" s="49" t="inlineStr">
        <is>
          <t/>
        </is>
      </c>
      <c r="H25" s="49" t="inlineStr">
        <is>
          <t/>
        </is>
      </c>
      <c r="I25" s="49" t="inlineStr">
        <is>
          <t/>
        </is>
      </c>
      <c r="J25" s="50" t="inlineStr">
        <is>
          <t/>
        </is>
      </c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>
      <c r="A28" s="60" t="inlineStr">
        <is>
          <t>工作表导航</t>
        </is>
      </c>
      <c r="B28" s="60"/>
      <c r="C28" s="60"/>
      <c r="D28" s="60"/>
      <c r="E28" s="60"/>
      <c r="F28" s="60"/>
      <c r="G28" s="60"/>
      <c r="H28" s="60"/>
      <c r="I28" s="60"/>
      <c r="J28" s="60"/>
    </row>
    <row r="29">
      <c r="A29" s="89" t="inlineStr">
        <is>
          <t>Dashboard</t>
        </is>
      </c>
      <c r="B29" s="96" t="inlineStr">
        <is>
          <t>完成度、平衡、缺失值和核心描述统计</t>
        </is>
      </c>
      <c r="C29" s="96" t="inlineStr">
        <is>
          <t/>
        </is>
      </c>
      <c r="D29" s="96" t="inlineStr">
        <is>
          <t/>
        </is>
      </c>
      <c r="E29" s="96" t="inlineStr">
        <is>
          <t/>
        </is>
      </c>
      <c r="F29" s="96" t="inlineStr">
        <is>
          <t/>
        </is>
      </c>
      <c r="G29" s="96" t="inlineStr">
        <is>
          <t/>
        </is>
      </c>
      <c r="H29" s="96" t="inlineStr">
        <is>
          <t/>
        </is>
      </c>
      <c r="I29" s="96" t="inlineStr">
        <is>
          <t/>
        </is>
      </c>
      <c r="J29" s="97" t="inlineStr">
        <is>
          <t/>
        </is>
      </c>
    </row>
    <row r="30">
      <c r="A30" s="90" t="inlineStr">
        <is>
          <t>Questionnaire_Items</t>
        </is>
      </c>
      <c r="B30" s="46" t="inlineStr">
        <is>
          <t>30个核心题目的中英文、来源、量尺、计分与重复次数</t>
        </is>
      </c>
      <c r="C30" s="46" t="inlineStr">
        <is>
          <t/>
        </is>
      </c>
      <c r="D30" s="46" t="inlineStr">
        <is>
          <t/>
        </is>
      </c>
      <c r="E30" s="46" t="inlineStr">
        <is>
          <t/>
        </is>
      </c>
      <c r="F30" s="46" t="inlineStr">
        <is>
          <t/>
        </is>
      </c>
      <c r="G30" s="46" t="inlineStr">
        <is>
          <t/>
        </is>
      </c>
      <c r="H30" s="46" t="inlineStr">
        <is>
          <t/>
        </is>
      </c>
      <c r="I30" s="46" t="inlineStr">
        <is>
          <t/>
        </is>
      </c>
      <c r="J30" s="47" t="inlineStr">
        <is>
          <t/>
        </is>
      </c>
    </row>
    <row r="31">
      <c r="A31" s="90" t="inlineStr">
        <is>
          <t>Participants</t>
        </is>
      </c>
      <c r="B31" s="46" t="inlineStr">
        <is>
          <t>人口学、纳入状态、平衡单元、方法映射和会话时间</t>
        </is>
      </c>
      <c r="C31" s="46" t="inlineStr">
        <is>
          <t/>
        </is>
      </c>
      <c r="D31" s="46" t="inlineStr">
        <is>
          <t/>
        </is>
      </c>
      <c r="E31" s="46" t="inlineStr">
        <is>
          <t/>
        </is>
      </c>
      <c r="F31" s="46" t="inlineStr">
        <is>
          <t/>
        </is>
      </c>
      <c r="G31" s="46" t="inlineStr">
        <is>
          <t/>
        </is>
      </c>
      <c r="H31" s="46" t="inlineStr">
        <is>
          <t/>
        </is>
      </c>
      <c r="I31" s="46" t="inlineStr">
        <is>
          <t/>
        </is>
      </c>
      <c r="J31" s="47" t="inlineStr">
        <is>
          <t/>
        </is>
      </c>
    </row>
    <row r="32">
      <c r="A32" s="90" t="inlineStr">
        <is>
          <t>BlockSchedule</t>
        </is>
      </c>
      <c r="B32" s="46" t="inlineStr">
        <is>
          <t>144个正式区块的物体、标签、条件和阶段时间记录</t>
        </is>
      </c>
      <c r="C32" s="46" t="inlineStr">
        <is>
          <t/>
        </is>
      </c>
      <c r="D32" s="46" t="inlineStr">
        <is>
          <t/>
        </is>
      </c>
      <c r="E32" s="46" t="inlineStr">
        <is>
          <t/>
        </is>
      </c>
      <c r="F32" s="46" t="inlineStr">
        <is>
          <t/>
        </is>
      </c>
      <c r="G32" s="46" t="inlineStr">
        <is>
          <t/>
        </is>
      </c>
      <c r="H32" s="46" t="inlineStr">
        <is>
          <t/>
        </is>
      </c>
      <c r="I32" s="46" t="inlineStr">
        <is>
          <t/>
        </is>
      </c>
      <c r="J32" s="47" t="inlineStr">
        <is>
          <t/>
        </is>
      </c>
    </row>
    <row r="33">
      <c r="A33" s="90" t="inlineStr">
        <is>
          <t>TaskRatings / BlockRatings_AQ / MethodRatings</t>
        </is>
      </c>
      <c r="B33" s="46" t="inlineStr">
        <is>
          <t>三层量化原始数据</t>
        </is>
      </c>
      <c r="C33" s="46" t="inlineStr">
        <is>
          <t/>
        </is>
      </c>
      <c r="D33" s="46" t="inlineStr">
        <is>
          <t/>
        </is>
      </c>
      <c r="E33" s="46" t="inlineStr">
        <is>
          <t/>
        </is>
      </c>
      <c r="F33" s="46" t="inlineStr">
        <is>
          <t/>
        </is>
      </c>
      <c r="G33" s="46" t="inlineStr">
        <is>
          <t/>
        </is>
      </c>
      <c r="H33" s="46" t="inlineStr">
        <is>
          <t/>
        </is>
      </c>
      <c r="I33" s="46" t="inlineStr">
        <is>
          <t/>
        </is>
      </c>
      <c r="J33" s="47" t="inlineStr">
        <is>
          <t/>
        </is>
      </c>
    </row>
    <row r="34">
      <c r="A34" s="90" t="inlineStr">
        <is>
          <t>ParticipantConditionSummary / PairedDifferences</t>
        </is>
      </c>
      <c r="B34" s="46" t="inlineStr">
        <is>
          <t>自动计算的子量表分、参与者条件均值和配对差</t>
        </is>
      </c>
      <c r="C34" s="46" t="inlineStr">
        <is>
          <t/>
        </is>
      </c>
      <c r="D34" s="46" t="inlineStr">
        <is>
          <t/>
        </is>
      </c>
      <c r="E34" s="46" t="inlineStr">
        <is>
          <t/>
        </is>
      </c>
      <c r="F34" s="46" t="inlineStr">
        <is>
          <t/>
        </is>
      </c>
      <c r="G34" s="46" t="inlineStr">
        <is>
          <t/>
        </is>
      </c>
      <c r="H34" s="46" t="inlineStr">
        <is>
          <t/>
        </is>
      </c>
      <c r="I34" s="46" t="inlineStr">
        <is>
          <t/>
        </is>
      </c>
      <c r="J34" s="47" t="inlineStr">
        <is>
          <t/>
        </is>
      </c>
    </row>
    <row r="35">
      <c r="A35" s="90" t="inlineStr">
        <is>
          <t>Reliability / Analysis_Results / Analysis_ByObject</t>
        </is>
      </c>
      <c r="B35" s="46" t="inlineStr">
        <is>
          <t>信度、推断分析和逐物体结果回填</t>
        </is>
      </c>
      <c r="C35" s="46" t="inlineStr">
        <is>
          <t/>
        </is>
      </c>
      <c r="D35" s="46" t="inlineStr">
        <is>
          <t/>
        </is>
      </c>
      <c r="E35" s="46" t="inlineStr">
        <is>
          <t/>
        </is>
      </c>
      <c r="F35" s="46" t="inlineStr">
        <is>
          <t/>
        </is>
      </c>
      <c r="G35" s="46" t="inlineStr">
        <is>
          <t/>
        </is>
      </c>
      <c r="H35" s="46" t="inlineStr">
        <is>
          <t/>
        </is>
      </c>
      <c r="I35" s="46" t="inlineStr">
        <is>
          <t/>
        </is>
      </c>
      <c r="J35" s="47" t="inlineStr">
        <is>
          <t/>
        </is>
      </c>
    </row>
    <row r="36">
      <c r="A36" s="91" t="inlineStr">
        <is>
          <t>QualitativeCoding / Report_Tables</t>
        </is>
      </c>
      <c r="B36" s="49" t="inlineStr">
        <is>
          <t>开放反馈编码和论文汇报表</t>
        </is>
      </c>
      <c r="C36" s="49" t="inlineStr">
        <is>
          <t/>
        </is>
      </c>
      <c r="D36" s="49" t="inlineStr">
        <is>
          <t/>
        </is>
      </c>
      <c r="E36" s="49" t="inlineStr">
        <is>
          <t/>
        </is>
      </c>
      <c r="F36" s="49" t="inlineStr">
        <is>
          <t/>
        </is>
      </c>
      <c r="G36" s="49" t="inlineStr">
        <is>
          <t/>
        </is>
      </c>
      <c r="H36" s="49" t="inlineStr">
        <is>
          <t/>
        </is>
      </c>
      <c r="I36" s="49" t="inlineStr">
        <is>
          <t/>
        </is>
      </c>
      <c r="J36" s="50" t="inlineStr">
        <is>
          <t/>
        </is>
      </c>
    </row>
  </sheetData>
  <mergeCells>
    <mergeCell ref="A1:J1"/>
    <mergeCell ref="A3:J5"/>
    <mergeCell ref="A18:J18"/>
    <mergeCell ref="A28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33" hidden="0" customWidth="1"/>
    <col min="2" max="2" width="14" hidden="0" customWidth="1"/>
    <col min="3" max="3" width="14" hidden="0" customWidth="1"/>
    <col min="4" max="4" width="19" hidden="0" customWidth="1"/>
    <col min="5" max="5" width="4" hidden="0" customWidth="1"/>
    <col min="6" max="6" width="31" hidden="0" customWidth="1"/>
    <col min="7" max="7" width="16" hidden="0" customWidth="1"/>
    <col min="8" max="8" width="16" hidden="0" customWidth="1"/>
  </cols>
  <sheetData>
    <row r="1">
      <c r="A1" s="4" t="inlineStr">
        <is>
          <t>实验3数据完成度与质量控制面板</t>
        </is>
      </c>
      <c r="B1" s="4"/>
      <c r="C1" s="4"/>
      <c r="D1" s="4"/>
      <c r="E1" s="4"/>
      <c r="F1" s="4"/>
      <c r="G1" s="4"/>
      <c r="H1" s="4"/>
    </row>
    <row r="3">
      <c r="A3" s="26" t="inlineStr">
        <is>
          <t>采集完成度</t>
        </is>
      </c>
      <c r="B3" s="27" t="inlineStr">
        <is>
          <t>目标</t>
        </is>
      </c>
      <c r="C3" s="27" t="inlineStr">
        <is>
          <t>当前</t>
        </is>
      </c>
      <c r="D3" s="101" t="inlineStr">
        <is>
          <t>状态</t>
        </is>
      </c>
      <c r="F3" s="26" t="inlineStr">
        <is>
          <t>顺序平衡检查</t>
        </is>
      </c>
      <c r="G3" s="27" t="inlineStr">
        <is>
          <t>计数</t>
        </is>
      </c>
      <c r="H3" s="101" t="inlineStr">
        <is>
          <t>期望</t>
        </is>
      </c>
    </row>
    <row r="4">
      <c r="A4" s="90" t="inlineStr">
        <is>
          <t>计划参与者</t>
        </is>
      </c>
      <c r="B4" s="85" t="n">
        <v>24</v>
      </c>
      <c r="C4" s="129" t="n">
        <f>COUNTA(Participants!A5:A28)</f>
        <v>24</v>
      </c>
      <c r="D4" s="130" t="str">
        <f>IF(C4=B4,"完成","进行中")</f>
        <v>完成</v>
      </c>
      <c r="F4" s="90" t="inlineStr">
        <is>
          <t>首个实际方法：EgoAnchor</t>
        </is>
      </c>
      <c r="G4" s="129" t="n">
        <f>COUNTIF(Participants!X5:X28,"EgoAnchor")</f>
        <v>12</v>
      </c>
      <c r="H4" s="130" t="n">
        <v>12</v>
      </c>
    </row>
    <row r="5">
      <c r="A5" s="90" t="inlineStr">
        <is>
          <t>纳入分析参与者</t>
        </is>
      </c>
      <c r="B5" s="85" t="n">
        <v>24</v>
      </c>
      <c r="C5" s="129" t="n">
        <f>COUNTIF(Participants!B5:B28,"是")</f>
        <v>24</v>
      </c>
      <c r="D5" s="130" t="str">
        <f>IF(C5=B5,"完成","检查排除")</f>
        <v>完成</v>
      </c>
      <c r="F5" s="90" t="inlineStr">
        <is>
          <t>首个实际方法：One-Euro</t>
        </is>
      </c>
      <c r="G5" s="129" t="n">
        <f>COUNTIF(Participants!X5:X28,"One-Euro")</f>
        <v>12</v>
      </c>
      <c r="H5" s="130" t="n">
        <v>12</v>
      </c>
    </row>
    <row r="6">
      <c r="A6" s="90" t="inlineStr">
        <is>
          <t>签署同意</t>
        </is>
      </c>
      <c r="B6" s="85" t="n">
        <v>24</v>
      </c>
      <c r="C6" s="129" t="n">
        <f>COUNTIF(Participants!C5:C28,"是")</f>
        <v>0</v>
      </c>
      <c r="D6" s="130" t="str">
        <f>IF(C6=B6,"完成","缺失")</f>
        <v>缺失</v>
      </c>
      <c r="F6" s="90" t="inlineStr">
        <is>
          <t>方法A映射：EgoAnchor</t>
        </is>
      </c>
      <c r="G6" s="129" t="n">
        <f>COUNTIF(Participants!V5:V28,"EgoAnchor")</f>
        <v>12</v>
      </c>
      <c r="H6" s="130" t="n">
        <v>12</v>
      </c>
    </row>
    <row r="7">
      <c r="A7" s="90" t="inlineStr">
        <is>
          <t>任务评分完整区块</t>
        </is>
      </c>
      <c r="B7" s="85" t="n">
        <v>144</v>
      </c>
      <c r="C7" s="129" t="n">
        <f>COUNTIF(TaskRatings!N5:N148,"完整")</f>
        <v>0</v>
      </c>
      <c r="D7" s="130" t="str">
        <f>IF(C7=B7,"完成","缺失")</f>
        <v>缺失</v>
      </c>
      <c r="F7" s="90" t="inlineStr">
        <is>
          <t>方法A映射：One-Euro</t>
        </is>
      </c>
      <c r="G7" s="129" t="n">
        <f>COUNTIF(Participants!V5:V28,"One-Euro")</f>
        <v>12</v>
      </c>
      <c r="H7" s="130" t="n">
        <v>12</v>
      </c>
    </row>
    <row r="8">
      <c r="A8" s="90" t="inlineStr">
        <is>
          <t>AQ评分完整区块</t>
        </is>
      </c>
      <c r="B8" s="85" t="n">
        <v>144</v>
      </c>
      <c r="C8" s="129" t="n">
        <f>COUNTIF(BlockRatings_AQ!Q5:Q148,"完整")</f>
        <v>0</v>
      </c>
      <c r="D8" s="130" t="str">
        <f>IF(C8=B8,"完成","缺失")</f>
        <v>缺失</v>
      </c>
      <c r="F8" s="90" t="inlineStr">
        <is>
          <t>标签序列S1</t>
        </is>
      </c>
      <c r="G8" s="129" t="n">
        <f>COUNTIF(Participants!Q5:Q28,"S1")</f>
        <v>12</v>
      </c>
      <c r="H8" s="130" t="n">
        <v>12</v>
      </c>
    </row>
    <row r="9">
      <c r="A9" s="90" t="inlineStr">
        <is>
          <t>方法级问卷完整</t>
        </is>
      </c>
      <c r="B9" s="85" t="n">
        <v>48</v>
      </c>
      <c r="C9" s="129" t="n">
        <f>COUNTIF(MethodRatings!Q5:Q52,"完整")</f>
        <v>0</v>
      </c>
      <c r="D9" s="130" t="str">
        <f>IF(C9=B9,"完成","缺失")</f>
        <v>缺失</v>
      </c>
      <c r="F9" s="91" t="inlineStr">
        <is>
          <t>标签序列S2</t>
        </is>
      </c>
      <c r="G9" s="131" t="n">
        <f>COUNTIF(Participants!Q5:Q28,"S2")</f>
        <v>12</v>
      </c>
      <c r="H9" s="132" t="n">
        <v>12</v>
      </c>
    </row>
    <row r="10">
      <c r="A10" s="91" t="inlineStr">
        <is>
          <t>最终反馈完整</t>
        </is>
      </c>
      <c r="B10" s="109" t="n">
        <v>24</v>
      </c>
      <c r="C10" s="131" t="n">
        <f>COUNTIF(FinalFeedback!K5:K28,"完整")</f>
        <v>0</v>
      </c>
      <c r="D10" s="132" t="str">
        <f>IF(C10=B10,"完成","缺失")</f>
        <v>缺失</v>
      </c>
    </row>
    <row r="13">
      <c r="A13" s="26" t="inlineStr">
        <is>
          <t>数据质量检查</t>
        </is>
      </c>
      <c r="B13" s="27" t="inlineStr">
        <is>
          <t>当前值</t>
        </is>
      </c>
      <c r="C13" s="27" t="inlineStr">
        <is>
          <t>可接受标准</t>
        </is>
      </c>
      <c r="D13" s="101" t="inlineStr">
        <is>
          <t>处理</t>
        </is>
      </c>
      <c r="F13" s="26" t="inlineStr">
        <is>
          <t>核心描述统计</t>
        </is>
      </c>
      <c r="G13" s="27" t="inlineStr">
        <is>
          <t>One-Euro均值</t>
        </is>
      </c>
      <c r="H13" s="101" t="inlineStr">
        <is>
          <t>EgoAnchor均值</t>
        </is>
      </c>
    </row>
    <row r="14">
      <c r="A14" s="90" t="inlineStr">
        <is>
          <t>任务评分超出1–7范围</t>
        </is>
      </c>
      <c r="B14" s="129" t="n">
        <f>COUNT(TaskRatings!H5:H148)-COUNTIFS(TaskRatings!H5:H148,"&gt;=1",TaskRatings!H5:H148,"&lt;=7")+COUNT(TaskRatings!J5:J148)-COUNTIFS(TaskRatings!J5:J148,"&gt;=1",TaskRatings!J5:J148,"&lt;=7")+COUNT(TaskRatings!L5:L148)-COUNTIFS(TaskRatings!L5:L148,"&gt;=1",TaskRatings!L5:L148,"&lt;=7")</f>
        <v>0</v>
      </c>
      <c r="C14" s="129" t="n">
        <v>0</v>
      </c>
      <c r="D14" s="130" t="inlineStr">
        <is>
          <t>修正录入</t>
        </is>
      </c>
      <c r="F14" s="90" t="inlineStr">
        <is>
          <t>Embedding Quality</t>
        </is>
      </c>
      <c r="G14" s="149" t="str">
        <f>IF(Analysis_Results!H5="","",Analysis_Results!H5)</f>
      </c>
      <c r="H14" s="150" t="str">
        <f>IF(Analysis_Results!L5="","",Analysis_Results!L5)</f>
      </c>
    </row>
    <row r="15">
      <c r="A15" s="90" t="inlineStr">
        <is>
          <t>AQ评分超出1–7范围</t>
        </is>
      </c>
      <c r="B15" s="129" t="n">
        <f>COUNT(BlockRatings_AQ!H5:J148)-COUNTIFS(BlockRatings_AQ!H5:J148,"&gt;=1",BlockRatings_AQ!H5:J148,"&lt;=7")+COUNT(BlockRatings_AQ!L5:N148)-COUNTIFS(BlockRatings_AQ!L5:N148,"&gt;=1",BlockRatings_AQ!L5:N148,"&lt;=7")</f>
        <v>0</v>
      </c>
      <c r="C15" s="129" t="n">
        <v>0</v>
      </c>
      <c r="D15" s="130" t="inlineStr">
        <is>
          <t>修正录入</t>
        </is>
      </c>
      <c r="F15" s="90" t="inlineStr">
        <is>
          <t>Interaction Quality</t>
        </is>
      </c>
      <c r="G15" s="149" t="str">
        <f>IF(Analysis_Results!H6="","",Analysis_Results!H6)</f>
      </c>
      <c r="H15" s="150" t="str">
        <f>IF(Analysis_Results!L6="","",Analysis_Results!L6)</f>
      </c>
    </row>
    <row r="16">
      <c r="A16" s="90" t="inlineStr">
        <is>
          <t>方法级评分超出1–7范围</t>
        </is>
      </c>
      <c r="B16" s="129" t="n">
        <f>COUNT(MethodRatings!E5:G52)-COUNTIFS(MethodRatings!E5:G52,"&gt;=1",MethodRatings!E5:G52,"&lt;=7")+COUNT(MethodRatings!I5:O52)-COUNTIFS(MethodRatings!I5:O52,"&gt;=1",MethodRatings!I5:O52,"&lt;=7")</f>
        <v>0</v>
      </c>
      <c r="C16" s="129" t="n">
        <v>0</v>
      </c>
      <c r="D16" s="130" t="inlineStr">
        <is>
          <t>修正录入</t>
        </is>
      </c>
      <c r="F16" s="90" t="inlineStr">
        <is>
          <t>S-TIAS Trust</t>
        </is>
      </c>
      <c r="G16" s="149" t="str">
        <f>IF(Analysis_Results!H7="","",Analysis_Results!H7)</f>
      </c>
      <c r="H16" s="150" t="str">
        <f>IF(Analysis_Results!L7="","",Analysis_Results!L7)</f>
      </c>
    </row>
    <row r="17">
      <c r="A17" s="90" t="inlineStr">
        <is>
          <t>无效任务区块</t>
        </is>
      </c>
      <c r="B17" s="129" t="n">
        <f>COUNTIF(TaskRatings!O5:O148,"否")</f>
        <v>0</v>
      </c>
      <c r="C17" s="129" t="n">
        <v>0</v>
      </c>
      <c r="D17" s="130" t="inlineStr">
        <is>
          <t>检查技术事件</t>
        </is>
      </c>
      <c r="F17" s="90" t="inlineStr">
        <is>
          <t>T1 静止稳定</t>
        </is>
      </c>
      <c r="G17" s="149" t="str">
        <f>IF(Analysis_Results!H8="","",Analysis_Results!H8)</f>
      </c>
      <c r="H17" s="150" t="str">
        <f>IF(Analysis_Results!L8="","",Analysis_Results!L8)</f>
      </c>
    </row>
    <row r="18">
      <c r="A18" s="90" t="inlineStr">
        <is>
          <t>无效AQ区块</t>
        </is>
      </c>
      <c r="B18" s="129" t="n">
        <f>COUNTIF(BlockRatings_AQ!R5:R148,"否")</f>
        <v>0</v>
      </c>
      <c r="C18" s="129" t="n">
        <v>0</v>
      </c>
      <c r="D18" s="130" t="inlineStr">
        <is>
          <t>检查技术事件</t>
        </is>
      </c>
      <c r="F18" s="90" t="inlineStr">
        <is>
          <t>T2 运动附着</t>
        </is>
      </c>
      <c r="G18" s="149" t="str">
        <f>IF(Analysis_Results!H9="","",Analysis_Results!H9)</f>
      </c>
      <c r="H18" s="150" t="str">
        <f>IF(Analysis_Results!L9="","",Analysis_Results!L9)</f>
      </c>
    </row>
    <row r="19">
      <c r="A19" s="91" t="inlineStr">
        <is>
          <t>运行时技术问题</t>
        </is>
      </c>
      <c r="B19" s="131" t="n">
        <f>COUNTIF(RuntimeAudit!U5:U148,"&lt;&gt;无")</f>
        <v>0</v>
      </c>
      <c r="C19" s="131" t="n">
        <v>0</v>
      </c>
      <c r="D19" s="132" t="inlineStr">
        <is>
          <t>审计并决定排除</t>
        </is>
      </c>
      <c r="F19" s="91" t="inlineStr">
        <is>
          <t>T3 恢复一致</t>
        </is>
      </c>
      <c r="G19" s="151" t="str">
        <f>IF(Analysis_Results!H10="","",Analysis_Results!H10)</f>
      </c>
      <c r="H19" s="152" t="str">
        <f>IF(Analysis_Results!L10="","",Analysis_Results!L10)</f>
      </c>
    </row>
    <row r="22">
      <c r="A22" s="68" t="inlineStr">
        <is>
          <t>提示：Dashboard 中的均值来自每位参与者在三个物体上的方法级平均。正式推断仍按 Analysis_Results 中的预注册模型执行：区块级量表与任务单项使用 Method × Object 混合模型；方法级量表使用配对分析。</t>
        </is>
      </c>
      <c r="B22" s="68"/>
      <c r="C22" s="68"/>
      <c r="D22" s="68"/>
      <c r="E22" s="68"/>
      <c r="F22" s="68"/>
      <c r="G22" s="68"/>
      <c r="H22" s="68"/>
    </row>
    <row r="23">
      <c r="A23" s="68"/>
      <c r="B23" s="68"/>
      <c r="C23" s="68"/>
      <c r="D23" s="68"/>
      <c r="E23" s="68"/>
      <c r="F23" s="68"/>
      <c r="G23" s="68"/>
      <c r="H23" s="68"/>
    </row>
    <row r="24">
      <c r="A24" s="68"/>
      <c r="B24" s="68"/>
      <c r="C24" s="68"/>
      <c r="D24" s="68"/>
      <c r="E24" s="68"/>
      <c r="F24" s="68"/>
      <c r="G24" s="68"/>
      <c r="H24" s="68"/>
    </row>
  </sheetData>
  <mergeCells>
    <mergeCell ref="A1:H1"/>
    <mergeCell ref="A22:H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RowHeight="15"/>
  <cols>
    <col min="1" max="1" width="11" hidden="0" customWidth="1"/>
    <col min="2" max="2" width="14" hidden="0" customWidth="1"/>
    <col min="3" max="3" width="28" hidden="0" customWidth="1"/>
    <col min="4" max="4" width="20" hidden="0" customWidth="1"/>
    <col min="5" max="5" width="66" hidden="0" customWidth="1"/>
    <col min="6" max="6" width="66" hidden="0" customWidth="1"/>
    <col min="7" max="7" width="24" hidden="0" customWidth="1"/>
    <col min="8" max="8" width="15" hidden="0" customWidth="1"/>
    <col min="9" max="9" width="18" hidden="0" customWidth="1"/>
    <col min="10" max="10" width="44" hidden="0" customWidth="1"/>
    <col min="11" max="11" width="25" hidden="0" customWidth="1"/>
    <col min="12" max="12" width="48" hidden="0" customWidth="1"/>
  </cols>
  <sheetData>
    <row r="1">
      <c r="A1" s="4" t="inlineStr">
        <is>
          <t>30个核心题干：呈现时点、双语措辞、来源、计分与分析地位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68" t="inlineStr">
        <is>
          <t>正式施测前应完成英文原文核对、正向翻译、独立回译和6–8人认知访谈。Augmentation Quality、S-TIAS、CRIQ和CIQ条目均为对象锚定情境适配版本，不能称为未经修改的官方中文版。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5">
      <c r="A5" s="26" t="inlineStr">
        <is>
          <t>Item_ID</t>
        </is>
      </c>
      <c r="B5" s="27" t="inlineStr">
        <is>
          <t>层级</t>
        </is>
      </c>
      <c r="C5" s="27" t="inlineStr">
        <is>
          <t>呈现时点</t>
        </is>
      </c>
      <c r="D5" s="27" t="inlineStr">
        <is>
          <t>简称</t>
        </is>
      </c>
      <c r="E5" s="27" t="inlineStr">
        <is>
          <t>中文题目</t>
        </is>
      </c>
      <c r="F5" s="27" t="inlineStr">
        <is>
          <t>English item</t>
        </is>
      </c>
      <c r="G5" s="27" t="inlineStr">
        <is>
          <t>量尺</t>
        </is>
      </c>
      <c r="H5" s="27" t="inlineStr">
        <is>
          <t>每人重复次数</t>
        </is>
      </c>
      <c r="I5" s="27" t="inlineStr">
        <is>
          <t>分析地位</t>
        </is>
      </c>
      <c r="J5" s="27" t="inlineStr">
        <is>
          <t>来源/属性</t>
        </is>
      </c>
      <c r="K5" s="27" t="inlineStr">
        <is>
          <t>计分</t>
        </is>
      </c>
      <c r="L5" s="101" t="inlineStr">
        <is>
          <t>备注/来源URL</t>
        </is>
      </c>
    </row>
    <row r="6">
      <c r="A6" s="90" t="inlineStr">
        <is>
          <t>B1</t>
        </is>
      </c>
      <c r="B6" s="85" t="inlineStr">
        <is>
          <t>背景</t>
        </is>
      </c>
      <c r="C6" s="85" t="inlineStr">
        <is>
          <t>实验前</t>
        </is>
      </c>
      <c r="D6" s="85" t="inlineStr">
        <is>
          <t>年龄</t>
        </is>
      </c>
      <c r="E6" s="85" t="inlineStr">
        <is>
          <t>你的年龄是？</t>
        </is>
      </c>
      <c r="F6" s="85" t="inlineStr">
        <is>
          <t>What is your age?</t>
        </is>
      </c>
      <c r="G6" s="85" t="inlineStr">
        <is>
          <t>整数</t>
        </is>
      </c>
      <c r="H6" s="85" t="inlineStr">
        <is>
          <t>1次</t>
        </is>
      </c>
      <c r="I6" s="85" t="inlineStr">
        <is>
          <t>背景变量</t>
        </is>
      </c>
      <c r="J6" s="85" t="inlineStr">
        <is>
          <t>研究定制</t>
        </is>
      </c>
      <c r="K6" s="85" t="inlineStr">
        <is>
          <t>不计分</t>
        </is>
      </c>
      <c r="L6" s="161" t="inlineStr">
        <is>
          <t>年龄（岁）</t>
        </is>
      </c>
    </row>
    <row r="7">
      <c r="A7" s="90" t="inlineStr">
        <is>
          <t>B2</t>
        </is>
      </c>
      <c r="B7" s="85" t="inlineStr">
        <is>
          <t>背景</t>
        </is>
      </c>
      <c r="C7" s="85" t="inlineStr">
        <is>
          <t>实验前</t>
        </is>
      </c>
      <c r="D7" s="85" t="inlineStr">
        <is>
          <t>性别</t>
        </is>
      </c>
      <c r="E7" s="85" t="inlineStr">
        <is>
          <t>你的性别是？</t>
        </is>
      </c>
      <c r="F7" s="85" t="inlineStr">
        <is>
          <t>What is your gender?</t>
        </is>
      </c>
      <c r="G7" s="85" t="inlineStr">
        <is>
          <t>分类</t>
        </is>
      </c>
      <c r="H7" s="85" t="inlineStr">
        <is>
          <t>1次</t>
        </is>
      </c>
      <c r="I7" s="85" t="inlineStr">
        <is>
          <t>背景变量</t>
        </is>
      </c>
      <c r="J7" s="85" t="inlineStr">
        <is>
          <t>研究定制</t>
        </is>
      </c>
      <c r="K7" s="85" t="inlineStr">
        <is>
          <t>不计分</t>
        </is>
      </c>
      <c r="L7" s="161" t="inlineStr">
        <is>
          <t>女/男/非二元或其他/不愿透露</t>
        </is>
      </c>
    </row>
    <row r="8">
      <c r="A8" s="90" t="inlineStr">
        <is>
          <t>B3</t>
        </is>
      </c>
      <c r="B8" s="85" t="inlineStr">
        <is>
          <t>背景</t>
        </is>
      </c>
      <c r="C8" s="85" t="inlineStr">
        <is>
          <t>实验前</t>
        </is>
      </c>
      <c r="D8" s="85" t="inlineStr">
        <is>
          <t>主手</t>
        </is>
      </c>
      <c r="E8" s="85" t="inlineStr">
        <is>
          <t>你通常使用哪只手进行精细操作？</t>
        </is>
      </c>
      <c r="F8" s="85" t="inlineStr">
        <is>
          <t>Which hand do you normally use for precise manipulation?</t>
        </is>
      </c>
      <c r="G8" s="85" t="inlineStr">
        <is>
          <t>分类</t>
        </is>
      </c>
      <c r="H8" s="85" t="inlineStr">
        <is>
          <t>1次</t>
        </is>
      </c>
      <c r="I8" s="85" t="inlineStr">
        <is>
          <t>背景变量</t>
        </is>
      </c>
      <c r="J8" s="85" t="inlineStr">
        <is>
          <t>研究定制</t>
        </is>
      </c>
      <c r="K8" s="85" t="inlineStr">
        <is>
          <t>不计分</t>
        </is>
      </c>
      <c r="L8" s="161" t="inlineStr">
        <is>
          <t>右手/左手/双手均可</t>
        </is>
      </c>
    </row>
    <row r="9">
      <c r="A9" s="90" t="inlineStr">
        <is>
          <t>B4</t>
        </is>
      </c>
      <c r="B9" s="85" t="inlineStr">
        <is>
          <t>背景</t>
        </is>
      </c>
      <c r="C9" s="85" t="inlineStr">
        <is>
          <t>实验前</t>
        </is>
      </c>
      <c r="D9" s="85" t="inlineStr">
        <is>
          <t>视力</t>
        </is>
      </c>
      <c r="E9" s="85" t="inlineStr">
        <is>
          <t>你的视力情况是？</t>
        </is>
      </c>
      <c r="F9" s="85" t="inlineStr">
        <is>
          <t>What is your current vision status?</t>
        </is>
      </c>
      <c r="G9" s="85" t="inlineStr">
        <is>
          <t>分类</t>
        </is>
      </c>
      <c r="H9" s="85" t="inlineStr">
        <is>
          <t>1次</t>
        </is>
      </c>
      <c r="I9" s="85" t="inlineStr">
        <is>
          <t>背景变量</t>
        </is>
      </c>
      <c r="J9" s="85" t="inlineStr">
        <is>
          <t>研究定制</t>
        </is>
      </c>
      <c r="K9" s="85" t="inlineStr">
        <is>
          <t>不计分</t>
        </is>
      </c>
      <c r="L9" s="161" t="inlineStr">
        <is>
          <t>正常/矫正后正常/其他</t>
        </is>
      </c>
    </row>
    <row r="10">
      <c r="A10" s="90" t="inlineStr">
        <is>
          <t>B5</t>
        </is>
      </c>
      <c r="B10" s="85" t="inlineStr">
        <is>
          <t>背景</t>
        </is>
      </c>
      <c r="C10" s="85" t="inlineStr">
        <is>
          <t>实验前</t>
        </is>
      </c>
      <c r="D10" s="85" t="inlineStr">
        <is>
          <t>VR/MR经验</t>
        </is>
      </c>
      <c r="E10" s="85" t="inlineStr">
        <is>
          <t>你此前使用 VR 或 MR 设备的频率如何？</t>
        </is>
      </c>
      <c r="F10" s="85" t="inlineStr">
        <is>
          <t>How frequently have you previously used VR or MR devices?</t>
        </is>
      </c>
      <c r="G10" s="85" t="inlineStr">
        <is>
          <t>有序分类</t>
        </is>
      </c>
      <c r="H10" s="85" t="inlineStr">
        <is>
          <t>1次</t>
        </is>
      </c>
      <c r="I10" s="85" t="inlineStr">
        <is>
          <t>背景变量</t>
        </is>
      </c>
      <c r="J10" s="85" t="inlineStr">
        <is>
          <t>研究定制</t>
        </is>
      </c>
      <c r="K10" s="85" t="inlineStr">
        <is>
          <t>不计分</t>
        </is>
      </c>
      <c r="L10" s="161" t="inlineStr">
        <is>
          <t>从未/1–5次/6–20次/超过20次/经常使用</t>
        </is>
      </c>
    </row>
    <row r="11">
      <c r="A11" s="90" t="inlineStr">
        <is>
          <t>B6</t>
        </is>
      </c>
      <c r="B11" s="85" t="inlineStr">
        <is>
          <t>背景</t>
        </is>
      </c>
      <c r="C11" s="85" t="inlineStr">
        <is>
          <t>实验前</t>
        </is>
      </c>
      <c r="D11" s="85" t="inlineStr">
        <is>
          <t>真实物体MR经验</t>
        </is>
      </c>
      <c r="E11" s="85" t="inlineStr">
        <is>
          <t>你此前是否使用过需要操作真实物体的 AR/MR 应用？</t>
        </is>
      </c>
      <c r="F11" s="85" t="inlineStr">
        <is>
          <t>Have you previously used an AR/MR application that required manipulating physical objects?</t>
        </is>
      </c>
      <c r="G11" s="85" t="inlineStr">
        <is>
          <t>有序分类</t>
        </is>
      </c>
      <c r="H11" s="85" t="inlineStr">
        <is>
          <t>1次</t>
        </is>
      </c>
      <c r="I11" s="85" t="inlineStr">
        <is>
          <t>背景变量</t>
        </is>
      </c>
      <c r="J11" s="85" t="inlineStr">
        <is>
          <t>研究定制</t>
        </is>
      </c>
      <c r="K11" s="85" t="inlineStr">
        <is>
          <t>不计分</t>
        </is>
      </c>
      <c r="L11" s="161" t="inlineStr">
        <is>
          <t>从未/1–2次/数次/经常使用</t>
        </is>
      </c>
    </row>
    <row r="12">
      <c r="A12" s="90" t="inlineStr">
        <is>
          <t>T1</t>
        </is>
      </c>
      <c r="B12" s="85" t="inlineStr">
        <is>
          <t>任务即时</t>
        </is>
      </c>
      <c r="C12" s="85" t="inlineStr">
        <is>
          <t>静止任务后</t>
        </is>
      </c>
      <c r="D12" s="85" t="inlineStr">
        <is>
          <t>静止稳定性</t>
        </is>
      </c>
      <c r="E12" s="85" t="inlineStr">
        <is>
          <t>在刚才的静止观察过程中，虚拟内容在真实物体上的位置保持稳定。</t>
        </is>
      </c>
      <c r="F12" s="85" t="inlineStr">
        <is>
          <t>During the static observation, the virtual content remained stable relative to the physical object.</t>
        </is>
      </c>
      <c r="G12" s="85" t="inlineStr">
        <is>
          <t>7点同意度</t>
        </is>
      </c>
      <c r="H12" s="85" t="inlineStr">
        <is>
          <t>6次</t>
        </is>
      </c>
      <c r="I12" s="85" t="inlineStr">
        <is>
          <t>机制诊断</t>
        </is>
      </c>
      <c r="J12" s="85" t="inlineStr">
        <is>
          <t>EgoAnchor研究定制</t>
        </is>
      </c>
      <c r="K12" s="85" t="inlineStr">
        <is>
          <t>单项，不合成</t>
        </is>
      </c>
      <c r="L12" s="161" t="inlineStr">
        <is>
          <t>1=完全不同意；7=完全同意</t>
        </is>
      </c>
    </row>
    <row r="13">
      <c r="A13" s="90" t="inlineStr">
        <is>
          <t>T2</t>
        </is>
      </c>
      <c r="B13" s="85" t="inlineStr">
        <is>
          <t>任务即时</t>
        </is>
      </c>
      <c r="C13" s="85" t="inlineStr">
        <is>
          <t>移动任务后</t>
        </is>
      </c>
      <c r="D13" s="85" t="inlineStr">
        <is>
          <t>运动附着一致性</t>
        </is>
      </c>
      <c r="E13" s="85" t="inlineStr">
        <is>
          <t>在拿起、移动和旋转物体时，虚拟内容始终附着在真实物体上的同一位置。</t>
        </is>
      </c>
      <c r="F13" s="85" t="inlineStr">
        <is>
          <t>While I picked up, moved, and rotated the object, the virtual content remained attached to the same location on the physical object.</t>
        </is>
      </c>
      <c r="G13" s="85" t="inlineStr">
        <is>
          <t>7点同意度</t>
        </is>
      </c>
      <c r="H13" s="85" t="inlineStr">
        <is>
          <t>6次</t>
        </is>
      </c>
      <c r="I13" s="85" t="inlineStr">
        <is>
          <t>机制诊断</t>
        </is>
      </c>
      <c r="J13" s="85" t="inlineStr">
        <is>
          <t>EgoAnchor研究定制</t>
        </is>
      </c>
      <c r="K13" s="85" t="inlineStr">
        <is>
          <t>单项，不合成</t>
        </is>
      </c>
      <c r="L13" s="161" t="inlineStr">
        <is>
          <t>避免与“运动平滑”混淆</t>
        </is>
      </c>
    </row>
    <row r="14">
      <c r="A14" s="90" t="inlineStr">
        <is>
          <t>T3</t>
        </is>
      </c>
      <c r="B14" s="85" t="inlineStr">
        <is>
          <t>任务即时</t>
        </is>
      </c>
      <c r="C14" s="85" t="inlineStr">
        <is>
          <t>遮挡任务后</t>
        </is>
      </c>
      <c r="D14" s="85" t="inlineStr">
        <is>
          <t>遮挡恢复一致性</t>
        </is>
      </c>
      <c r="E14" s="85" t="inlineStr">
        <is>
          <t>遮挡移除后，虚拟内容恢复到了与真实物体一致的位置。</t>
        </is>
      </c>
      <c r="F14" s="85" t="inlineStr">
        <is>
          <t>After the occlusion was removed, the virtual content recovered to a position consistent with the physical object.</t>
        </is>
      </c>
      <c r="G14" s="85" t="inlineStr">
        <is>
          <t>7点同意度</t>
        </is>
      </c>
      <c r="H14" s="85" t="inlineStr">
        <is>
          <t>6次</t>
        </is>
      </c>
      <c r="I14" s="85" t="inlineStr">
        <is>
          <t>机制诊断</t>
        </is>
      </c>
      <c r="J14" s="85" t="inlineStr">
        <is>
          <t>EgoAnchor研究定制</t>
        </is>
      </c>
      <c r="K14" s="85" t="inlineStr">
        <is>
          <t>单项，不合成</t>
        </is>
      </c>
      <c r="L14" s="161" t="inlineStr">
        <is>
          <t>1=完全不同意；7=完全同意</t>
        </is>
      </c>
    </row>
    <row r="15">
      <c r="A15" s="90" t="inlineStr">
        <is>
          <t>EQ1</t>
        </is>
      </c>
      <c r="B15" s="85" t="inlineStr">
        <is>
          <t>区块量表</t>
        </is>
      </c>
      <c r="C15" s="85" t="inlineStr">
        <is>
          <t>每个方法×物体区块后</t>
        </is>
      </c>
      <c r="D15" s="85" t="inlineStr">
        <is>
          <t>虚实融合</t>
        </is>
      </c>
      <c r="E15" s="85" t="inlineStr">
        <is>
          <t>虚拟内容与真实物体及周围现实元素自然地融合在一起。</t>
        </is>
      </c>
      <c r="F15" s="85" t="inlineStr">
        <is>
          <t>The virtual content blended naturally with the physical object and surrounding real-world elements.</t>
        </is>
      </c>
      <c r="G15" s="85" t="inlineStr">
        <is>
          <t>7点同意度</t>
        </is>
      </c>
      <c r="H15" s="85" t="inlineStr">
        <is>
          <t>6次</t>
        </is>
      </c>
      <c r="I15" s="85" t="inlineStr">
        <is>
          <t>主要结局</t>
        </is>
      </c>
      <c r="J15" s="85" t="inlineStr">
        <is>
          <t>改编自 Augmentation Quality: Embedding Quality</t>
        </is>
      </c>
      <c r="K15" s="85" t="inlineStr">
        <is>
          <t>EQ1–EQ3均值</t>
        </is>
      </c>
      <c r="L15" s="161" t="inlineStr">
        <is>
          <t>https://doi.org/10.1007/s11747-025-01108-2</t>
        </is>
      </c>
    </row>
    <row r="16">
      <c r="A16" s="90" t="inlineStr">
        <is>
          <t>EQ2</t>
        </is>
      </c>
      <c r="B16" s="85" t="inlineStr">
        <is>
          <t>区块量表</t>
        </is>
      </c>
      <c r="C16" s="85" t="inlineStr">
        <is>
          <t>每个方法×物体区块后</t>
        </is>
      </c>
      <c r="D16" s="85" t="inlineStr">
        <is>
          <t>空间嵌入</t>
        </is>
      </c>
      <c r="E16" s="85" t="inlineStr">
        <is>
          <t>虚拟内容看起来被恰当地嵌入在真实物体上。</t>
        </is>
      </c>
      <c r="F16" s="85" t="inlineStr">
        <is>
          <t>The virtual content appeared to be appropriately embedded in the physical object.</t>
        </is>
      </c>
      <c r="G16" s="85" t="inlineStr">
        <is>
          <t>7点同意度</t>
        </is>
      </c>
      <c r="H16" s="85" t="inlineStr">
        <is>
          <t>6次</t>
        </is>
      </c>
      <c r="I16" s="85" t="inlineStr">
        <is>
          <t>主要结局</t>
        </is>
      </c>
      <c r="J16" s="85" t="inlineStr">
        <is>
          <t>改编自 Augmentation Quality: Embedding Quality</t>
        </is>
      </c>
      <c r="K16" s="85" t="inlineStr">
        <is>
          <t>EQ1–EQ3均值</t>
        </is>
      </c>
      <c r="L16" s="161" t="inlineStr">
        <is>
          <t>最小语境替换</t>
        </is>
      </c>
    </row>
    <row r="17">
      <c r="A17" s="90" t="inlineStr">
        <is>
          <t>EQ3</t>
        </is>
      </c>
      <c r="B17" s="85" t="inlineStr">
        <is>
          <t>区块量表</t>
        </is>
      </c>
      <c r="C17" s="85" t="inlineStr">
        <is>
          <t>每个方法×物体区块后</t>
        </is>
      </c>
      <c r="D17" s="85" t="inlineStr">
        <is>
          <t>尺度与空间关系</t>
        </is>
      </c>
      <c r="E17" s="85" t="inlineStr">
        <is>
          <t>虚拟内容的尺度和空间关系与真实物体相协调。</t>
        </is>
      </c>
      <c r="F17" s="85" t="inlineStr">
        <is>
          <t>The scale and spatial relationship of the virtual content were appropriate for the physical object.</t>
        </is>
      </c>
      <c r="G17" s="85" t="inlineStr">
        <is>
          <t>7点同意度</t>
        </is>
      </c>
      <c r="H17" s="85" t="inlineStr">
        <is>
          <t>6次</t>
        </is>
      </c>
      <c r="I17" s="85" t="inlineStr">
        <is>
          <t>主要结局</t>
        </is>
      </c>
      <c r="J17" s="85" t="inlineStr">
        <is>
          <t>改编自 Augmentation Quality: Embedding Quality</t>
        </is>
      </c>
      <c r="K17" s="85" t="inlineStr">
        <is>
          <t>EQ1–EQ3均值</t>
        </is>
      </c>
      <c r="L17" s="161" t="inlineStr">
        <is>
          <t>可能出现天花板效应</t>
        </is>
      </c>
    </row>
    <row r="18">
      <c r="A18" s="90" t="inlineStr">
        <is>
          <t>IQ1</t>
        </is>
      </c>
      <c r="B18" s="85" t="inlineStr">
        <is>
          <t>区块量表</t>
        </is>
      </c>
      <c r="C18" s="85" t="inlineStr">
        <is>
          <t>每个方法×物体区块后</t>
        </is>
      </c>
      <c r="D18" s="85" t="inlineStr">
        <is>
          <t>交互直观性</t>
        </is>
      </c>
      <c r="E18" s="85" t="inlineStr">
        <is>
          <t>通过操作真实物体与附着的虚拟内容进行交互是直观的。</t>
        </is>
      </c>
      <c r="F18" s="85" t="inlineStr">
        <is>
          <t>Interacting with the attached virtual content by manipulating the physical object felt intuitive.</t>
        </is>
      </c>
      <c r="G18" s="85" t="inlineStr">
        <is>
          <t>7点同意度</t>
        </is>
      </c>
      <c r="H18" s="85" t="inlineStr">
        <is>
          <t>6次</t>
        </is>
      </c>
      <c r="I18" s="85" t="inlineStr">
        <is>
          <t>主要结局</t>
        </is>
      </c>
      <c r="J18" s="85" t="inlineStr">
        <is>
          <t>改编自 Augmentation Quality: Interaction Quality</t>
        </is>
      </c>
      <c r="K18" s="85" t="inlineStr">
        <is>
          <t>IQ1–IQ3均值</t>
        </is>
      </c>
      <c r="L18" s="161" t="inlineStr">
        <is>
          <t>https://doi.org/10.1007/s11747-025-01108-2</t>
        </is>
      </c>
    </row>
    <row r="19">
      <c r="A19" s="90" t="inlineStr">
        <is>
          <t>IQ2</t>
        </is>
      </c>
      <c r="B19" s="85" t="inlineStr">
        <is>
          <t>区块量表</t>
        </is>
      </c>
      <c r="C19" s="85" t="inlineStr">
        <is>
          <t>每个方法×物体区块后</t>
        </is>
      </c>
      <c r="D19" s="85" t="inlineStr">
        <is>
          <t>响应及时性</t>
        </is>
      </c>
      <c r="E19" s="85" t="inlineStr">
        <is>
          <t>虚拟内容能够及时响应我对真实物体的操作。</t>
        </is>
      </c>
      <c r="F19" s="85" t="inlineStr">
        <is>
          <t>The virtual content responded promptly to my manipulation of the physical object.</t>
        </is>
      </c>
      <c r="G19" s="85" t="inlineStr">
        <is>
          <t>7点同意度</t>
        </is>
      </c>
      <c r="H19" s="85" t="inlineStr">
        <is>
          <t>6次</t>
        </is>
      </c>
      <c r="I19" s="85" t="inlineStr">
        <is>
          <t>主要结局</t>
        </is>
      </c>
      <c r="J19" s="85" t="inlineStr">
        <is>
          <t>改编自 Augmentation Quality: Interaction Quality</t>
        </is>
      </c>
      <c r="K19" s="85" t="inlineStr">
        <is>
          <t>IQ1–IQ3均值</t>
        </is>
      </c>
      <c r="L19" s="161" t="inlineStr">
        <is>
          <t>1=完全不同意；7=完全同意</t>
        </is>
      </c>
    </row>
    <row r="20">
      <c r="A20" s="90" t="inlineStr">
        <is>
          <t>IQ3</t>
        </is>
      </c>
      <c r="B20" s="85" t="inlineStr">
        <is>
          <t>区块量表</t>
        </is>
      </c>
      <c r="C20" s="85" t="inlineStr">
        <is>
          <t>每个方法×物体区块后</t>
        </is>
      </c>
      <c r="D20" s="85" t="inlineStr">
        <is>
          <t>运动平滑性</t>
        </is>
      </c>
      <c r="E20" s="85" t="inlineStr">
        <is>
          <t>虚拟内容在交互过程中随真实物体平滑运动。</t>
        </is>
      </c>
      <c r="F20" s="85" t="inlineStr">
        <is>
          <t>The virtual content moved smoothly with the physical object during the interaction.</t>
        </is>
      </c>
      <c r="G20" s="85" t="inlineStr">
        <is>
          <t>7点同意度</t>
        </is>
      </c>
      <c r="H20" s="85" t="inlineStr">
        <is>
          <t>6次</t>
        </is>
      </c>
      <c r="I20" s="85" t="inlineStr">
        <is>
          <t>主要结局</t>
        </is>
      </c>
      <c r="J20" s="85" t="inlineStr">
        <is>
          <t>改编自 Augmentation Quality: Interaction Quality</t>
        </is>
      </c>
      <c r="K20" s="85" t="inlineStr">
        <is>
          <t>IQ1–IQ3均值</t>
        </is>
      </c>
      <c r="L20" s="161" t="inlineStr">
        <is>
          <t>与T2构念不同：平滑性而非相对附着位置</t>
        </is>
      </c>
    </row>
    <row r="21">
      <c r="A21" s="90" t="inlineStr">
        <is>
          <t>ST1</t>
        </is>
      </c>
      <c r="B21" s="85" t="inlineStr">
        <is>
          <t>方法量表</t>
        </is>
      </c>
      <c r="C21" s="85" t="inlineStr">
        <is>
          <t>全部6区块后，按方法评价</t>
        </is>
      </c>
      <c r="D21" s="85" t="inlineStr">
        <is>
          <t>信心</t>
        </is>
      </c>
      <c r="E21" s="85" t="inlineStr">
        <is>
          <t>我对这种锚定方法有信心。</t>
        </is>
      </c>
      <c r="F21" s="85" t="inlineStr">
        <is>
          <t>I am confident in this anchoring method.</t>
        </is>
      </c>
      <c r="G21" s="85" t="inlineStr">
        <is>
          <t>7点强度/同意度</t>
        </is>
      </c>
      <c r="H21" s="85" t="inlineStr">
        <is>
          <t>2次</t>
        </is>
      </c>
      <c r="I21" s="85" t="inlineStr">
        <is>
          <t>主要结局</t>
        </is>
      </c>
      <c r="J21" s="85" t="inlineStr">
        <is>
          <t>改编 S-TIAS</t>
        </is>
      </c>
      <c r="K21" s="85" t="inlineStr">
        <is>
          <t>ST1–ST3均值</t>
        </is>
      </c>
      <c r="L21" s="161" t="inlineStr">
        <is>
          <t>https://doi.org/10.3389/frai.2025.1582880</t>
        </is>
      </c>
    </row>
    <row r="22">
      <c r="A22" s="90" t="inlineStr">
        <is>
          <t>ST2</t>
        </is>
      </c>
      <c r="B22" s="85" t="inlineStr">
        <is>
          <t>方法量表</t>
        </is>
      </c>
      <c r="C22" s="85" t="inlineStr">
        <is>
          <t>全部6区块后，按方法评价</t>
        </is>
      </c>
      <c r="D22" s="85" t="inlineStr">
        <is>
          <t>可靠性</t>
        </is>
      </c>
      <c r="E22" s="85" t="inlineStr">
        <is>
          <t>我认为这种锚定方法是可靠的。</t>
        </is>
      </c>
      <c r="F22" s="85" t="inlineStr">
        <is>
          <t>This anchoring method is reliable.</t>
        </is>
      </c>
      <c r="G22" s="85" t="inlineStr">
        <is>
          <t>7点强度/同意度</t>
        </is>
      </c>
      <c r="H22" s="85" t="inlineStr">
        <is>
          <t>2次</t>
        </is>
      </c>
      <c r="I22" s="85" t="inlineStr">
        <is>
          <t>主要结局</t>
        </is>
      </c>
      <c r="J22" s="85" t="inlineStr">
        <is>
          <t>改编 S-TIAS</t>
        </is>
      </c>
      <c r="K22" s="85" t="inlineStr">
        <is>
          <t>ST1–ST3均值</t>
        </is>
      </c>
      <c r="L22" s="161" t="inlineStr">
        <is>
          <t>最小替换 system→anchoring method</t>
        </is>
      </c>
    </row>
    <row r="23">
      <c r="A23" s="90" t="inlineStr">
        <is>
          <t>ST3</t>
        </is>
      </c>
      <c r="B23" s="85" t="inlineStr">
        <is>
          <t>方法量表</t>
        </is>
      </c>
      <c r="C23" s="85" t="inlineStr">
        <is>
          <t>全部6区块后，按方法评价</t>
        </is>
      </c>
      <c r="D23" s="85" t="inlineStr">
        <is>
          <t>总体信任</t>
        </is>
      </c>
      <c r="E23" s="85" t="inlineStr">
        <is>
          <t>我可以信任这种锚定方法。</t>
        </is>
      </c>
      <c r="F23" s="85" t="inlineStr">
        <is>
          <t>I can trust this anchoring method.</t>
        </is>
      </c>
      <c r="G23" s="85" t="inlineStr">
        <is>
          <t>7点强度/同意度</t>
        </is>
      </c>
      <c r="H23" s="85" t="inlineStr">
        <is>
          <t>2次</t>
        </is>
      </c>
      <c r="I23" s="85" t="inlineStr">
        <is>
          <t>主要结局</t>
        </is>
      </c>
      <c r="J23" s="85" t="inlineStr">
        <is>
          <t>改编 S-TIAS</t>
        </is>
      </c>
      <c r="K23" s="85" t="inlineStr">
        <is>
          <t>ST1–ST3均值</t>
        </is>
      </c>
      <c r="L23" s="161" t="inlineStr">
        <is>
          <t>当前样本只报告内部一致性</t>
        </is>
      </c>
    </row>
    <row r="24">
      <c r="A24" s="90" t="inlineStr">
        <is>
          <t>CR1</t>
        </is>
      </c>
      <c r="B24" s="85" t="inlineStr">
        <is>
          <t>方法量表</t>
        </is>
      </c>
      <c r="C24" s="85" t="inlineStr">
        <is>
          <t>全部6区块后，按方法评价</t>
        </is>
      </c>
      <c r="D24" s="85" t="inlineStr">
        <is>
          <t>整体合理可信</t>
        </is>
      </c>
      <c r="E24" s="85" t="inlineStr">
        <is>
          <t>综合三个物体的体验，这种虚实交互在多大程度上让你觉得合理可信？</t>
        </is>
      </c>
      <c r="F24" s="85" t="inlineStr">
        <is>
          <t>Across the three objects, to what extent did the physical–virtual interaction feel plausible?</t>
        </is>
      </c>
      <c r="G24" s="85" t="inlineStr">
        <is>
          <t>7点强度</t>
        </is>
      </c>
      <c r="H24" s="85" t="inlineStr">
        <is>
          <t>2次</t>
        </is>
      </c>
      <c r="I24" s="85" t="inlineStr">
        <is>
          <t>次要结局</t>
        </is>
      </c>
      <c r="J24" s="85" t="inlineStr">
        <is>
          <t>改编 CRIQ / SelfBlending应用先例</t>
        </is>
      </c>
      <c r="K24" s="85" t="inlineStr">
        <is>
          <t>CR1–CR3探索性均值</t>
        </is>
      </c>
      <c r="L24" s="161" t="inlineStr">
        <is>
          <t>https://doi.org/10.1109/ISMAR52148.2021.00047</t>
        </is>
      </c>
    </row>
    <row r="25">
      <c r="A25" s="90" t="inlineStr">
        <is>
          <t>CR2</t>
        </is>
      </c>
      <c r="B25" s="85" t="inlineStr">
        <is>
          <t>方法量表</t>
        </is>
      </c>
      <c r="C25" s="85" t="inlineStr">
        <is>
          <t>全部6区块后，按方法评价</t>
        </is>
      </c>
      <c r="D25" s="85" t="inlineStr">
        <is>
          <t>整体同步性</t>
        </is>
      </c>
      <c r="E25" s="85" t="inlineStr">
        <is>
          <t>综合三个物体的体验，真实物体与虚拟内容之间的交互在多大程度上是同步的？</t>
        </is>
      </c>
      <c r="F25" s="85" t="inlineStr">
        <is>
          <t>Across the three objects, to what extent did the interaction between the physical objects and virtual content feel synchronized?</t>
        </is>
      </c>
      <c r="G25" s="85" t="inlineStr">
        <is>
          <t>7点强度</t>
        </is>
      </c>
      <c r="H25" s="85" t="inlineStr">
        <is>
          <t>2次</t>
        </is>
      </c>
      <c r="I25" s="85" t="inlineStr">
        <is>
          <t>次要结局</t>
        </is>
      </c>
      <c r="J25" s="85" t="inlineStr">
        <is>
          <t>改编 CRIQ</t>
        </is>
      </c>
      <c r="K25" s="85" t="inlineStr">
        <is>
          <t>CR1–CR3探索性均值</t>
        </is>
      </c>
      <c r="L25" s="161" t="inlineStr">
        <is>
          <t>不宣称完整验证量表</t>
        </is>
      </c>
    </row>
    <row r="26">
      <c r="A26" s="90" t="inlineStr">
        <is>
          <t>CR3</t>
        </is>
      </c>
      <c r="B26" s="85" t="inlineStr">
        <is>
          <t>方法量表</t>
        </is>
      </c>
      <c r="C26" s="85" t="inlineStr">
        <is>
          <t>全部6区块后，按方法评价</t>
        </is>
      </c>
      <c r="D26" s="85" t="inlineStr">
        <is>
          <t>整体响应性</t>
        </is>
      </c>
      <c r="E26" s="85" t="inlineStr">
        <is>
          <t>综合三个物体的体验，这种方法在多大程度上能够响应你的操作？</t>
        </is>
      </c>
      <c r="F26" s="85" t="inlineStr">
        <is>
          <t>Across the three objects, to what extent did this method respond to your actions?</t>
        </is>
      </c>
      <c r="G26" s="85" t="inlineStr">
        <is>
          <t>7点强度</t>
        </is>
      </c>
      <c r="H26" s="85" t="inlineStr">
        <is>
          <t>2次</t>
        </is>
      </c>
      <c r="I26" s="85" t="inlineStr">
        <is>
          <t>次要结局</t>
        </is>
      </c>
      <c r="J26" s="85" t="inlineStr">
        <is>
          <t>改编 CRIQ</t>
        </is>
      </c>
      <c r="K26" s="85" t="inlineStr">
        <is>
          <t>CR1–CR3探索性均值</t>
        </is>
      </c>
      <c r="L26" s="161" t="inlineStr">
        <is>
          <t>仅在内部一致性可接受时补充均值</t>
        </is>
      </c>
    </row>
    <row r="27">
      <c r="A27" s="90" t="inlineStr">
        <is>
          <t>CI1</t>
        </is>
      </c>
      <c r="B27" s="85" t="inlineStr">
        <is>
          <t>方法量表</t>
        </is>
      </c>
      <c r="C27" s="85" t="inlineStr">
        <is>
          <t>全部6区块后，按方法评价</t>
        </is>
      </c>
      <c r="D27" s="85" t="inlineStr">
        <is>
          <t>现实经验一致</t>
        </is>
      </c>
      <c r="E27" s="85" t="inlineStr">
        <is>
          <t>这种方法下的物体交互与我在现实世界中操作该物体的经验一致。</t>
        </is>
      </c>
      <c r="F27" s="85" t="inlineStr">
        <is>
          <t>The interaction under this method was consistent with my real-world experience of manipulating the object.</t>
        </is>
      </c>
      <c r="G27" s="85" t="inlineStr">
        <is>
          <t>7点同意度</t>
        </is>
      </c>
      <c r="H27" s="85" t="inlineStr">
        <is>
          <t>2次</t>
        </is>
      </c>
      <c r="I27" s="85" t="inlineStr">
        <is>
          <t>次要结局</t>
        </is>
      </c>
      <c r="J27" s="85" t="inlineStr">
        <is>
          <t>改编 CIQ 单项</t>
        </is>
      </c>
      <c r="K27" s="85" t="inlineStr">
        <is>
          <t>单项</t>
        </is>
      </c>
      <c r="L27" s="161" t="inlineStr">
        <is>
          <t>https://doi.org/10.1007/s10055-022-00678-8</t>
        </is>
      </c>
    </row>
    <row r="28">
      <c r="A28" s="90" t="inlineStr">
        <is>
          <t>CI2</t>
        </is>
      </c>
      <c r="B28" s="85" t="inlineStr">
        <is>
          <t>方法量表</t>
        </is>
      </c>
      <c r="C28" s="85" t="inlineStr">
        <is>
          <t>全部6区块后，按方法评价</t>
        </is>
      </c>
      <c r="D28" s="85" t="inlineStr">
        <is>
          <t>行为符合预期</t>
        </is>
      </c>
      <c r="E28" s="85" t="inlineStr">
        <is>
          <t>在静止观察、移动、放置和遮挡恢复过程中，这种锚定方法的行为符合我的预期。</t>
        </is>
      </c>
      <c r="F28" s="85" t="inlineStr">
        <is>
          <t>Across static observation, movement, placement, and occlusion recovery, this anchoring method behaved as I expected.</t>
        </is>
      </c>
      <c r="G28" s="85" t="inlineStr">
        <is>
          <t>7点同意度</t>
        </is>
      </c>
      <c r="H28" s="85" t="inlineStr">
        <is>
          <t>2次</t>
        </is>
      </c>
      <c r="I28" s="85" t="inlineStr">
        <is>
          <t>次要结局</t>
        </is>
      </c>
      <c r="J28" s="85" t="inlineStr">
        <is>
          <t>改编 CIQ 单项</t>
        </is>
      </c>
      <c r="K28" s="85" t="inlineStr">
        <is>
          <t>单项</t>
        </is>
      </c>
      <c r="L28" s="161" t="inlineStr">
        <is>
          <t>不能合并为CIQ总分</t>
        </is>
      </c>
    </row>
    <row r="29">
      <c r="A29" s="90" t="inlineStr">
        <is>
          <t>SB1</t>
        </is>
      </c>
      <c r="B29" s="85" t="inlineStr">
        <is>
          <t>方法量表</t>
        </is>
      </c>
      <c r="C29" s="85" t="inlineStr">
        <is>
          <t>全部6区块后，按方法评价</t>
        </is>
      </c>
      <c r="D29" s="85" t="inlineStr">
        <is>
          <t>稳定—响应平衡</t>
        </is>
      </c>
      <c r="E29" s="85" t="inlineStr">
        <is>
          <t>综合三个物体的体验，这种方法在锚点稳定性与响应及时性之间取得了合适的平衡。</t>
        </is>
      </c>
      <c r="F29" s="85" t="inlineStr">
        <is>
          <t>Across the three objects, this method achieved an appropriate balance between anchor stability and responsiveness.</t>
        </is>
      </c>
      <c r="G29" s="85" t="inlineStr">
        <is>
          <t>7点同意度</t>
        </is>
      </c>
      <c r="H29" s="85" t="inlineStr">
        <is>
          <t>2次</t>
        </is>
      </c>
      <c r="I29" s="85" t="inlineStr">
        <is>
          <t>次要结局</t>
        </is>
      </c>
      <c r="J29" s="85" t="inlineStr">
        <is>
          <t>研究定制总结项</t>
        </is>
      </c>
      <c r="K29" s="85" t="inlineStr">
        <is>
          <t>单项</t>
        </is>
      </c>
      <c r="L29" s="161" t="inlineStr">
        <is>
          <t>双构念总结项，不作为主要结局</t>
        </is>
      </c>
    </row>
    <row r="30">
      <c r="A30" s="90" t="inlineStr">
        <is>
          <t>F1</t>
        </is>
      </c>
      <c r="B30" s="85" t="inlineStr">
        <is>
          <t>最终比较</t>
        </is>
      </c>
      <c r="C30" s="85" t="inlineStr">
        <is>
          <t>实验结束</t>
        </is>
      </c>
      <c r="D30" s="85" t="inlineStr">
        <is>
          <t>最终方法选择</t>
        </is>
      </c>
      <c r="E30" s="85" t="inlineStr">
        <is>
          <t>如果需要在实际混合现实应用中使用一种对象锚定方法，你会选择哪一种？</t>
        </is>
      </c>
      <c r="F30" s="85" t="inlineStr">
        <is>
          <t>If you had to use one object-anchoring method in an actual mixed-reality application, which would you choose?</t>
        </is>
      </c>
      <c r="G30" s="85" t="inlineStr">
        <is>
          <t>分类</t>
        </is>
      </c>
      <c r="H30" s="85" t="inlineStr">
        <is>
          <t>1次</t>
        </is>
      </c>
      <c r="I30" s="85" t="inlineStr">
        <is>
          <t>次要/偏好</t>
        </is>
      </c>
      <c r="J30" s="85" t="inlineStr">
        <is>
          <t>研究定制</t>
        </is>
      </c>
      <c r="K30" s="85" t="inlineStr">
        <is>
          <t>方法A/方法B/无明显偏好</t>
        </is>
      </c>
      <c r="L30" s="161" t="inlineStr">
        <is>
          <t>参与者回答后解码</t>
        </is>
      </c>
    </row>
    <row r="31">
      <c r="A31" s="90" t="inlineStr">
        <is>
          <t>F2</t>
        </is>
      </c>
      <c r="B31" s="85" t="inlineStr">
        <is>
          <t>最终比较</t>
        </is>
      </c>
      <c r="C31" s="85" t="inlineStr">
        <is>
          <t>实验结束</t>
        </is>
      </c>
      <c r="D31" s="85" t="inlineStr">
        <is>
          <t>偏好强度</t>
        </is>
      </c>
      <c r="E31" s="85" t="inlineStr">
        <is>
          <t>你的选择有多明确？</t>
        </is>
      </c>
      <c r="F31" s="85" t="inlineStr">
        <is>
          <t>How strong was your preference?</t>
        </is>
      </c>
      <c r="G31" s="85" t="inlineStr">
        <is>
          <t>7点强度</t>
        </is>
      </c>
      <c r="H31" s="85" t="inlineStr">
        <is>
          <t>1次</t>
        </is>
      </c>
      <c r="I31" s="85" t="inlineStr">
        <is>
          <t>次要/偏好</t>
        </is>
      </c>
      <c r="J31" s="85" t="inlineStr">
        <is>
          <t>研究定制</t>
        </is>
      </c>
      <c r="K31" s="85" t="inlineStr">
        <is>
          <t>单项</t>
        </is>
      </c>
      <c r="L31" s="161" t="inlineStr">
        <is>
          <t>1=非常轻微；7=非常明确</t>
        </is>
      </c>
    </row>
    <row r="32">
      <c r="A32" s="90" t="inlineStr">
        <is>
          <t>F3</t>
        </is>
      </c>
      <c r="B32" s="85" t="inlineStr">
        <is>
          <t>最终比较</t>
        </is>
      </c>
      <c r="C32" s="85" t="inlineStr">
        <is>
          <t>实验结束</t>
        </is>
      </c>
      <c r="D32" s="85" t="inlineStr">
        <is>
          <t>区分信心</t>
        </is>
      </c>
      <c r="E32" s="85" t="inlineStr">
        <is>
          <t>你有多大信心认为自己能够感受到两种方法之间的差异？</t>
        </is>
      </c>
      <c r="F32" s="85" t="inlineStr">
        <is>
          <t>How confident are you that you could perceive a difference between the two methods?</t>
        </is>
      </c>
      <c r="G32" s="85" t="inlineStr">
        <is>
          <t>7点强度</t>
        </is>
      </c>
      <c r="H32" s="85" t="inlineStr">
        <is>
          <t>1次</t>
        </is>
      </c>
      <c r="I32" s="85" t="inlineStr">
        <is>
          <t>次要/操纵理解</t>
        </is>
      </c>
      <c r="J32" s="85" t="inlineStr">
        <is>
          <t>研究定制</t>
        </is>
      </c>
      <c r="K32" s="85" t="inlineStr">
        <is>
          <t>单项</t>
        </is>
      </c>
      <c r="L32" s="161" t="inlineStr">
        <is>
          <t>1=完全没有信心；7=非常有信心</t>
        </is>
      </c>
    </row>
    <row r="33">
      <c r="A33" s="90" t="inlineStr">
        <is>
          <t>F4</t>
        </is>
      </c>
      <c r="B33" s="85" t="inlineStr">
        <is>
          <t>最终比较</t>
        </is>
      </c>
      <c r="C33" s="85" t="inlineStr">
        <is>
          <t>实验结束</t>
        </is>
      </c>
      <c r="D33" s="85" t="inlineStr">
        <is>
          <t>最明显区别</t>
        </is>
      </c>
      <c r="E33" s="85" t="inlineStr">
        <is>
          <t>你认为两种锚定方法之间最明显的区别是什么？</t>
        </is>
      </c>
      <c r="F33" s="85" t="inlineStr">
        <is>
          <t>What was the most noticeable difference between the two anchoring methods?</t>
        </is>
      </c>
      <c r="G33" s="85" t="inlineStr">
        <is>
          <t>开放文本</t>
        </is>
      </c>
      <c r="H33" s="85" t="inlineStr">
        <is>
          <t>1次</t>
        </is>
      </c>
      <c r="I33" s="85" t="inlineStr">
        <is>
          <t>定性</t>
        </is>
      </c>
      <c r="J33" s="85" t="inlineStr">
        <is>
          <t>研究定制</t>
        </is>
      </c>
      <c r="K33" s="85" t="inlineStr">
        <is>
          <t>主题编码</t>
        </is>
      </c>
      <c r="L33" s="161" t="inlineStr">
        <is>
          <t>不限制长度</t>
        </is>
      </c>
    </row>
    <row r="34">
      <c r="A34" s="90" t="inlineStr">
        <is>
          <t>F5</t>
        </is>
      </c>
      <c r="B34" s="85" t="inlineStr">
        <is>
          <t>最终比较</t>
        </is>
      </c>
      <c r="C34" s="85" t="inlineStr">
        <is>
          <t>实验结束</t>
        </is>
      </c>
      <c r="D34" s="85" t="inlineStr">
        <is>
          <t>信任破坏因素</t>
        </is>
      </c>
      <c r="E34" s="85" t="inlineStr">
        <is>
          <t>在使用附着于真实物体的虚拟内容时，什么现象最容易使你不再信任这个锚点？</t>
        </is>
      </c>
      <c r="F34" s="85" t="inlineStr">
        <is>
          <t>What behavior would most easily make you distrust a virtual anchor attached to a physical object?</t>
        </is>
      </c>
      <c r="G34" s="85" t="inlineStr">
        <is>
          <t>开放文本</t>
        </is>
      </c>
      <c r="H34" s="85" t="inlineStr">
        <is>
          <t>1次</t>
        </is>
      </c>
      <c r="I34" s="85" t="inlineStr">
        <is>
          <t>定性</t>
        </is>
      </c>
      <c r="J34" s="85" t="inlineStr">
        <is>
          <t>研究定制</t>
        </is>
      </c>
      <c r="K34" s="85" t="inlineStr">
        <is>
          <t>主题编码</t>
        </is>
      </c>
      <c r="L34" s="161" t="inlineStr">
        <is>
          <t>预设+开放编码</t>
        </is>
      </c>
    </row>
    <row r="35">
      <c r="A35" s="91" t="inlineStr">
        <is>
          <t>F6</t>
        </is>
      </c>
      <c r="B35" s="109" t="inlineStr">
        <is>
          <t>最终比较</t>
        </is>
      </c>
      <c r="C35" s="109" t="inlineStr">
        <is>
          <t>实验结束</t>
        </is>
      </c>
      <c r="D35" s="109" t="inlineStr">
        <is>
          <t>结束不适</t>
        </is>
      </c>
      <c r="E35" s="109" t="inlineStr">
        <is>
          <t>与实验开始前相比，你目前是否感到额外的不适？</t>
        </is>
      </c>
      <c r="F35" s="109" t="inlineStr">
        <is>
          <t>Compared with before the experiment, are you currently experiencing any additional discomfort?</t>
        </is>
      </c>
      <c r="G35" s="109" t="inlineStr">
        <is>
          <t>分类</t>
        </is>
      </c>
      <c r="H35" s="109" t="inlineStr">
        <is>
          <t>1次</t>
        </is>
      </c>
      <c r="I35" s="109" t="inlineStr">
        <is>
          <t>安全审计</t>
        </is>
      </c>
      <c r="J35" s="109" t="inlineStr">
        <is>
          <t>研究定制</t>
        </is>
      </c>
      <c r="K35" s="109" t="inlineStr">
        <is>
          <t>不作条件比较</t>
        </is>
      </c>
      <c r="L35" s="162" t="inlineStr">
        <is>
          <t>无/轻微/中等/明显/中止</t>
        </is>
      </c>
    </row>
  </sheetData>
  <mergeCells>
    <mergeCell ref="A1:L1"/>
    <mergeCell ref="A2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16" hidden="0" customWidth="1"/>
    <col min="2" max="2" width="12" hidden="0" customWidth="1"/>
    <col min="3" max="3" width="12" hidden="0" customWidth="1"/>
    <col min="4" max="4" width="9" hidden="0" customWidth="1"/>
    <col min="5" max="5" width="15" hidden="0" customWidth="1"/>
    <col min="6" max="6" width="12" hidden="0" customWidth="1"/>
    <col min="7" max="7" width="17" hidden="0" customWidth="1"/>
    <col min="8" max="8" width="22" hidden="0" customWidth="1"/>
    <col min="9" max="9" width="23" hidden="0" customWidth="1"/>
    <col min="10" max="10" width="15" hidden="0" customWidth="1"/>
    <col min="11" max="11" width="28" hidden="0" customWidth="1"/>
    <col min="12" max="12" width="20" hidden="0" customWidth="1"/>
    <col min="13" max="13" width="20" hidden="0" customWidth="1"/>
    <col min="14" max="14" width="15" hidden="0" customWidth="1"/>
    <col min="15" max="15" width="20" hidden="0" customWidth="1"/>
    <col min="16" max="16" width="12" hidden="0" customWidth="1"/>
    <col min="17" max="17" width="12" hidden="0" customWidth="1"/>
    <col min="18" max="18" width="16" hidden="0" customWidth="1"/>
    <col min="19" max="19" width="16" hidden="0" customWidth="1"/>
    <col min="20" max="20" width="16" hidden="0" customWidth="1"/>
    <col min="21" max="21" width="24" hidden="0" customWidth="1"/>
    <col min="22" max="22" width="18" hidden="0" customWidth="1"/>
    <col min="23" max="23" width="18" hidden="0" customWidth="1"/>
    <col min="24" max="24" width="18" hidden="0" customWidth="1"/>
    <col min="25" max="25" width="20" hidden="0" customWidth="1"/>
    <col min="26" max="26" width="23" hidden="0" customWidth="1"/>
    <col min="27" max="27" width="35" hidden="0" customWidth="1"/>
  </cols>
  <sheetData>
    <row r="1">
      <c r="A1" s="4" t="inlineStr">
        <is>
          <t>参与者信息、会话记录与平衡分配（24名）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8" t="inlineStr">
        <is>
          <t>黄色列由实验员填写；绿色列为预设平衡信息；灰色列为公式。方法A/B映射仅供实验员使用，不能向参与者展示。方法级问卷顺序由标签序列平衡：S1为A→B，S2为B→A。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</row>
    <row r="4">
      <c r="A4" s="26" t="inlineStr">
        <is>
          <t>Participant_ID</t>
        </is>
      </c>
      <c r="B4" s="27" t="inlineStr">
        <is>
          <t>纳入分析</t>
        </is>
      </c>
      <c r="C4" s="27" t="inlineStr">
        <is>
          <t>签署同意</t>
        </is>
      </c>
      <c r="D4" s="27" t="inlineStr">
        <is>
          <t>年龄</t>
        </is>
      </c>
      <c r="E4" s="27" t="inlineStr">
        <is>
          <t>性别</t>
        </is>
      </c>
      <c r="F4" s="27" t="inlineStr">
        <is>
          <t>主手</t>
        </is>
      </c>
      <c r="G4" s="27" t="inlineStr">
        <is>
          <t>视力情况</t>
        </is>
      </c>
      <c r="H4" s="27" t="inlineStr">
        <is>
          <t>VR/MR经验</t>
        </is>
      </c>
      <c r="I4" s="27" t="inlineStr">
        <is>
          <t>真实物体MR经验</t>
        </is>
      </c>
      <c r="J4" s="27" t="inlineStr">
        <is>
          <t>基线不适</t>
        </is>
      </c>
      <c r="K4" s="27" t="inlineStr">
        <is>
          <t>基线备注</t>
        </is>
      </c>
      <c r="L4" s="27" t="inlineStr">
        <is>
          <t>会话开始</t>
        </is>
      </c>
      <c r="M4" s="27" t="inlineStr">
        <is>
          <t>会话结束</t>
        </is>
      </c>
      <c r="N4" s="27" t="inlineStr">
        <is>
          <t>会话时长_min</t>
        </is>
      </c>
      <c r="O4" s="27" t="inlineStr">
        <is>
          <t>平衡单元</t>
        </is>
      </c>
      <c r="P4" s="27" t="inlineStr">
        <is>
          <t>物体排列ID</t>
        </is>
      </c>
      <c r="Q4" s="27" t="inlineStr">
        <is>
          <t>标签序列</t>
        </is>
      </c>
      <c r="R4" s="27" t="inlineStr">
        <is>
          <t>物体1</t>
        </is>
      </c>
      <c r="S4" s="27" t="inlineStr">
        <is>
          <t>物体2</t>
        </is>
      </c>
      <c r="T4" s="27" t="inlineStr">
        <is>
          <t>物体3</t>
        </is>
      </c>
      <c r="U4" s="27" t="inlineStr">
        <is>
          <t>区块内标签顺序</t>
        </is>
      </c>
      <c r="V4" s="27" t="inlineStr">
        <is>
          <t>方法A=（保密）</t>
        </is>
      </c>
      <c r="W4" s="27" t="inlineStr">
        <is>
          <t>方法B=（保密）</t>
        </is>
      </c>
      <c r="X4" s="27" t="inlineStr">
        <is>
          <t>首个实际方法</t>
        </is>
      </c>
      <c r="Y4" s="27" t="inlineStr">
        <is>
          <t>方法级问卷顺序</t>
        </is>
      </c>
      <c r="Z4" s="27" t="inlineStr">
        <is>
          <t>退出/技术问题</t>
        </is>
      </c>
      <c r="AA4" s="101" t="inlineStr">
        <is>
          <t>备注</t>
        </is>
      </c>
    </row>
    <row r="5">
      <c r="A5" s="90" t="inlineStr">
        <is>
          <t>P001</t>
        </is>
      </c>
      <c r="B5" s="215" t="inlineStr">
        <is>
          <t>是</t>
        </is>
      </c>
      <c r="C5" s="215" t="inlineStr">
        <is>
          <t/>
        </is>
      </c>
      <c r="D5" s="215"/>
      <c r="E5" s="215" t="inlineStr">
        <is>
          <t/>
        </is>
      </c>
      <c r="F5" s="215" t="inlineStr">
        <is>
          <t/>
        </is>
      </c>
      <c r="G5" s="215" t="inlineStr">
        <is>
          <t/>
        </is>
      </c>
      <c r="H5" s="215" t="inlineStr">
        <is>
          <t/>
        </is>
      </c>
      <c r="I5" s="215" t="inlineStr">
        <is>
          <t/>
        </is>
      </c>
      <c r="J5" s="215" t="inlineStr">
        <is>
          <t/>
        </is>
      </c>
      <c r="K5" s="215" t="inlineStr">
        <is>
          <t/>
        </is>
      </c>
      <c r="L5" s="216" t="inlineStr">
        <is>
          <t/>
        </is>
      </c>
      <c r="M5" s="216" t="inlineStr">
        <is>
          <t/>
        </is>
      </c>
      <c r="N5" s="253" t="str">
        <f>IF(AND(L5&lt;&gt;"",M5&lt;&gt;""),(M5-L5)*1440,"")</f>
      </c>
      <c r="O5" s="85" t="inlineStr">
        <is>
          <t>P1-S1-EA</t>
        </is>
      </c>
      <c r="P5" s="85" t="n">
        <v>1</v>
      </c>
      <c r="Q5" s="85" t="inlineStr">
        <is>
          <t>S1</t>
        </is>
      </c>
      <c r="R5" s="85" t="inlineStr">
        <is>
          <t>鼠标</t>
        </is>
      </c>
      <c r="S5" s="85" t="inlineStr">
        <is>
          <t>固定订书机</t>
        </is>
      </c>
      <c r="T5" s="85" t="inlineStr">
        <is>
          <t>游戏手柄</t>
        </is>
      </c>
      <c r="U5" s="85" t="inlineStr">
        <is>
          <t>A-B / B-A / A-B</t>
        </is>
      </c>
      <c r="V5" s="85" t="inlineStr">
        <is>
          <t>EgoAnchor</t>
        </is>
      </c>
      <c r="W5" s="85" t="inlineStr">
        <is>
          <t>One-Euro</t>
        </is>
      </c>
      <c r="X5" s="85" t="inlineStr">
        <is>
          <t>EgoAnchor</t>
        </is>
      </c>
      <c r="Y5" s="85" t="inlineStr">
        <is>
          <t>方法A → 方法B</t>
        </is>
      </c>
      <c r="Z5" s="215" t="inlineStr">
        <is>
          <t>无</t>
        </is>
      </c>
      <c r="AA5" s="243" t="inlineStr">
        <is>
          <t/>
        </is>
      </c>
    </row>
    <row r="6">
      <c r="A6" s="90" t="inlineStr">
        <is>
          <t>P002</t>
        </is>
      </c>
      <c r="B6" s="215" t="inlineStr">
        <is>
          <t>是</t>
        </is>
      </c>
      <c r="C6" s="215" t="inlineStr">
        <is>
          <t/>
        </is>
      </c>
      <c r="D6" s="215"/>
      <c r="E6" s="215" t="inlineStr">
        <is>
          <t/>
        </is>
      </c>
      <c r="F6" s="215" t="inlineStr">
        <is>
          <t/>
        </is>
      </c>
      <c r="G6" s="215" t="inlineStr">
        <is>
          <t/>
        </is>
      </c>
      <c r="H6" s="215" t="inlineStr">
        <is>
          <t/>
        </is>
      </c>
      <c r="I6" s="215" t="inlineStr">
        <is>
          <t/>
        </is>
      </c>
      <c r="J6" s="215" t="inlineStr">
        <is>
          <t/>
        </is>
      </c>
      <c r="K6" s="215" t="inlineStr">
        <is>
          <t/>
        </is>
      </c>
      <c r="L6" s="216" t="inlineStr">
        <is>
          <t/>
        </is>
      </c>
      <c r="M6" s="216" t="inlineStr">
        <is>
          <t/>
        </is>
      </c>
      <c r="N6" s="253" t="str">
        <f>IF(AND(L6&lt;&gt;"",M6&lt;&gt;""),(M6-L6)*1440,"")</f>
      </c>
      <c r="O6" s="85" t="inlineStr">
        <is>
          <t>P2-S1-EA</t>
        </is>
      </c>
      <c r="P6" s="85" t="n">
        <v>2</v>
      </c>
      <c r="Q6" s="85" t="inlineStr">
        <is>
          <t>S1</t>
        </is>
      </c>
      <c r="R6" s="85" t="inlineStr">
        <is>
          <t>鼠标</t>
        </is>
      </c>
      <c r="S6" s="85" t="inlineStr">
        <is>
          <t>游戏手柄</t>
        </is>
      </c>
      <c r="T6" s="85" t="inlineStr">
        <is>
          <t>固定订书机</t>
        </is>
      </c>
      <c r="U6" s="85" t="inlineStr">
        <is>
          <t>A-B / B-A / A-B</t>
        </is>
      </c>
      <c r="V6" s="85" t="inlineStr">
        <is>
          <t>EgoAnchor</t>
        </is>
      </c>
      <c r="W6" s="85" t="inlineStr">
        <is>
          <t>One-Euro</t>
        </is>
      </c>
      <c r="X6" s="85" t="inlineStr">
        <is>
          <t>EgoAnchor</t>
        </is>
      </c>
      <c r="Y6" s="85" t="inlineStr">
        <is>
          <t>方法A → 方法B</t>
        </is>
      </c>
      <c r="Z6" s="215" t="inlineStr">
        <is>
          <t>无</t>
        </is>
      </c>
      <c r="AA6" s="243" t="inlineStr">
        <is>
          <t/>
        </is>
      </c>
    </row>
    <row r="7">
      <c r="A7" s="90" t="inlineStr">
        <is>
          <t>P003</t>
        </is>
      </c>
      <c r="B7" s="215" t="inlineStr">
        <is>
          <t>是</t>
        </is>
      </c>
      <c r="C7" s="215" t="inlineStr">
        <is>
          <t/>
        </is>
      </c>
      <c r="D7" s="215"/>
      <c r="E7" s="215" t="inlineStr">
        <is>
          <t/>
        </is>
      </c>
      <c r="F7" s="215" t="inlineStr">
        <is>
          <t/>
        </is>
      </c>
      <c r="G7" s="215" t="inlineStr">
        <is>
          <t/>
        </is>
      </c>
      <c r="H7" s="215" t="inlineStr">
        <is>
          <t/>
        </is>
      </c>
      <c r="I7" s="215" t="inlineStr">
        <is>
          <t/>
        </is>
      </c>
      <c r="J7" s="215" t="inlineStr">
        <is>
          <t/>
        </is>
      </c>
      <c r="K7" s="215" t="inlineStr">
        <is>
          <t/>
        </is>
      </c>
      <c r="L7" s="216" t="inlineStr">
        <is>
          <t/>
        </is>
      </c>
      <c r="M7" s="216" t="inlineStr">
        <is>
          <t/>
        </is>
      </c>
      <c r="N7" s="253" t="str">
        <f>IF(AND(L7&lt;&gt;"",M7&lt;&gt;""),(M7-L7)*1440,"")</f>
      </c>
      <c r="O7" s="85" t="inlineStr">
        <is>
          <t>P3-S1-EA</t>
        </is>
      </c>
      <c r="P7" s="85" t="n">
        <v>3</v>
      </c>
      <c r="Q7" s="85" t="inlineStr">
        <is>
          <t>S1</t>
        </is>
      </c>
      <c r="R7" s="85" t="inlineStr">
        <is>
          <t>固定订书机</t>
        </is>
      </c>
      <c r="S7" s="85" t="inlineStr">
        <is>
          <t>鼠标</t>
        </is>
      </c>
      <c r="T7" s="85" t="inlineStr">
        <is>
          <t>游戏手柄</t>
        </is>
      </c>
      <c r="U7" s="85" t="inlineStr">
        <is>
          <t>A-B / B-A / A-B</t>
        </is>
      </c>
      <c r="V7" s="85" t="inlineStr">
        <is>
          <t>EgoAnchor</t>
        </is>
      </c>
      <c r="W7" s="85" t="inlineStr">
        <is>
          <t>One-Euro</t>
        </is>
      </c>
      <c r="X7" s="85" t="inlineStr">
        <is>
          <t>EgoAnchor</t>
        </is>
      </c>
      <c r="Y7" s="85" t="inlineStr">
        <is>
          <t>方法A → 方法B</t>
        </is>
      </c>
      <c r="Z7" s="215" t="inlineStr">
        <is>
          <t>无</t>
        </is>
      </c>
      <c r="AA7" s="243" t="inlineStr">
        <is>
          <t/>
        </is>
      </c>
    </row>
    <row r="8">
      <c r="A8" s="90" t="inlineStr">
        <is>
          <t>P004</t>
        </is>
      </c>
      <c r="B8" s="215" t="inlineStr">
        <is>
          <t>是</t>
        </is>
      </c>
      <c r="C8" s="215" t="inlineStr">
        <is>
          <t/>
        </is>
      </c>
      <c r="D8" s="215"/>
      <c r="E8" s="215" t="inlineStr">
        <is>
          <t/>
        </is>
      </c>
      <c r="F8" s="215" t="inlineStr">
        <is>
          <t/>
        </is>
      </c>
      <c r="G8" s="215" t="inlineStr">
        <is>
          <t/>
        </is>
      </c>
      <c r="H8" s="215" t="inlineStr">
        <is>
          <t/>
        </is>
      </c>
      <c r="I8" s="215" t="inlineStr">
        <is>
          <t/>
        </is>
      </c>
      <c r="J8" s="215" t="inlineStr">
        <is>
          <t/>
        </is>
      </c>
      <c r="K8" s="215" t="inlineStr">
        <is>
          <t/>
        </is>
      </c>
      <c r="L8" s="216" t="inlineStr">
        <is>
          <t/>
        </is>
      </c>
      <c r="M8" s="216" t="inlineStr">
        <is>
          <t/>
        </is>
      </c>
      <c r="N8" s="253" t="str">
        <f>IF(AND(L8&lt;&gt;"",M8&lt;&gt;""),(M8-L8)*1440,"")</f>
      </c>
      <c r="O8" s="85" t="inlineStr">
        <is>
          <t>P4-S1-EA</t>
        </is>
      </c>
      <c r="P8" s="85" t="n">
        <v>4</v>
      </c>
      <c r="Q8" s="85" t="inlineStr">
        <is>
          <t>S1</t>
        </is>
      </c>
      <c r="R8" s="85" t="inlineStr">
        <is>
          <t>固定订书机</t>
        </is>
      </c>
      <c r="S8" s="85" t="inlineStr">
        <is>
          <t>游戏手柄</t>
        </is>
      </c>
      <c r="T8" s="85" t="inlineStr">
        <is>
          <t>鼠标</t>
        </is>
      </c>
      <c r="U8" s="85" t="inlineStr">
        <is>
          <t>A-B / B-A / A-B</t>
        </is>
      </c>
      <c r="V8" s="85" t="inlineStr">
        <is>
          <t>EgoAnchor</t>
        </is>
      </c>
      <c r="W8" s="85" t="inlineStr">
        <is>
          <t>One-Euro</t>
        </is>
      </c>
      <c r="X8" s="85" t="inlineStr">
        <is>
          <t>EgoAnchor</t>
        </is>
      </c>
      <c r="Y8" s="85" t="inlineStr">
        <is>
          <t>方法A → 方法B</t>
        </is>
      </c>
      <c r="Z8" s="215" t="inlineStr">
        <is>
          <t>无</t>
        </is>
      </c>
      <c r="AA8" s="243" t="inlineStr">
        <is>
          <t/>
        </is>
      </c>
    </row>
    <row r="9">
      <c r="A9" s="90" t="inlineStr">
        <is>
          <t>P005</t>
        </is>
      </c>
      <c r="B9" s="215" t="inlineStr">
        <is>
          <t>是</t>
        </is>
      </c>
      <c r="C9" s="215" t="inlineStr">
        <is>
          <t/>
        </is>
      </c>
      <c r="D9" s="215"/>
      <c r="E9" s="215" t="inlineStr">
        <is>
          <t/>
        </is>
      </c>
      <c r="F9" s="215" t="inlineStr">
        <is>
          <t/>
        </is>
      </c>
      <c r="G9" s="215" t="inlineStr">
        <is>
          <t/>
        </is>
      </c>
      <c r="H9" s="215" t="inlineStr">
        <is>
          <t/>
        </is>
      </c>
      <c r="I9" s="215" t="inlineStr">
        <is>
          <t/>
        </is>
      </c>
      <c r="J9" s="215" t="inlineStr">
        <is>
          <t/>
        </is>
      </c>
      <c r="K9" s="215" t="inlineStr">
        <is>
          <t/>
        </is>
      </c>
      <c r="L9" s="216" t="inlineStr">
        <is>
          <t/>
        </is>
      </c>
      <c r="M9" s="216" t="inlineStr">
        <is>
          <t/>
        </is>
      </c>
      <c r="N9" s="253" t="str">
        <f>IF(AND(L9&lt;&gt;"",M9&lt;&gt;""),(M9-L9)*1440,"")</f>
      </c>
      <c r="O9" s="85" t="inlineStr">
        <is>
          <t>P5-S1-EA</t>
        </is>
      </c>
      <c r="P9" s="85" t="n">
        <v>5</v>
      </c>
      <c r="Q9" s="85" t="inlineStr">
        <is>
          <t>S1</t>
        </is>
      </c>
      <c r="R9" s="85" t="inlineStr">
        <is>
          <t>游戏手柄</t>
        </is>
      </c>
      <c r="S9" s="85" t="inlineStr">
        <is>
          <t>鼠标</t>
        </is>
      </c>
      <c r="T9" s="85" t="inlineStr">
        <is>
          <t>固定订书机</t>
        </is>
      </c>
      <c r="U9" s="85" t="inlineStr">
        <is>
          <t>A-B / B-A / A-B</t>
        </is>
      </c>
      <c r="V9" s="85" t="inlineStr">
        <is>
          <t>EgoAnchor</t>
        </is>
      </c>
      <c r="W9" s="85" t="inlineStr">
        <is>
          <t>One-Euro</t>
        </is>
      </c>
      <c r="X9" s="85" t="inlineStr">
        <is>
          <t>EgoAnchor</t>
        </is>
      </c>
      <c r="Y9" s="85" t="inlineStr">
        <is>
          <t>方法A → 方法B</t>
        </is>
      </c>
      <c r="Z9" s="215" t="inlineStr">
        <is>
          <t>无</t>
        </is>
      </c>
      <c r="AA9" s="243" t="inlineStr">
        <is>
          <t/>
        </is>
      </c>
    </row>
    <row r="10">
      <c r="A10" s="90" t="inlineStr">
        <is>
          <t>P006</t>
        </is>
      </c>
      <c r="B10" s="215" t="inlineStr">
        <is>
          <t>是</t>
        </is>
      </c>
      <c r="C10" s="215" t="inlineStr">
        <is>
          <t/>
        </is>
      </c>
      <c r="D10" s="215"/>
      <c r="E10" s="215" t="inlineStr">
        <is>
          <t/>
        </is>
      </c>
      <c r="F10" s="215" t="inlineStr">
        <is>
          <t/>
        </is>
      </c>
      <c r="G10" s="215" t="inlineStr">
        <is>
          <t/>
        </is>
      </c>
      <c r="H10" s="215" t="inlineStr">
        <is>
          <t/>
        </is>
      </c>
      <c r="I10" s="215" t="inlineStr">
        <is>
          <t/>
        </is>
      </c>
      <c r="J10" s="215" t="inlineStr">
        <is>
          <t/>
        </is>
      </c>
      <c r="K10" s="215" t="inlineStr">
        <is>
          <t/>
        </is>
      </c>
      <c r="L10" s="216" t="inlineStr">
        <is>
          <t/>
        </is>
      </c>
      <c r="M10" s="216" t="inlineStr">
        <is>
          <t/>
        </is>
      </c>
      <c r="N10" s="253" t="str">
        <f>IF(AND(L10&lt;&gt;"",M10&lt;&gt;""),(M10-L10)*1440,"")</f>
      </c>
      <c r="O10" s="85" t="inlineStr">
        <is>
          <t>P6-S1-EA</t>
        </is>
      </c>
      <c r="P10" s="85" t="n">
        <v>6</v>
      </c>
      <c r="Q10" s="85" t="inlineStr">
        <is>
          <t>S1</t>
        </is>
      </c>
      <c r="R10" s="85" t="inlineStr">
        <is>
          <t>游戏手柄</t>
        </is>
      </c>
      <c r="S10" s="85" t="inlineStr">
        <is>
          <t>固定订书机</t>
        </is>
      </c>
      <c r="T10" s="85" t="inlineStr">
        <is>
          <t>鼠标</t>
        </is>
      </c>
      <c r="U10" s="85" t="inlineStr">
        <is>
          <t>A-B / B-A / A-B</t>
        </is>
      </c>
      <c r="V10" s="85" t="inlineStr">
        <is>
          <t>EgoAnchor</t>
        </is>
      </c>
      <c r="W10" s="85" t="inlineStr">
        <is>
          <t>One-Euro</t>
        </is>
      </c>
      <c r="X10" s="85" t="inlineStr">
        <is>
          <t>EgoAnchor</t>
        </is>
      </c>
      <c r="Y10" s="85" t="inlineStr">
        <is>
          <t>方法A → 方法B</t>
        </is>
      </c>
      <c r="Z10" s="215" t="inlineStr">
        <is>
          <t>无</t>
        </is>
      </c>
      <c r="AA10" s="243" t="inlineStr">
        <is>
          <t/>
        </is>
      </c>
    </row>
    <row r="11">
      <c r="A11" s="90" t="inlineStr">
        <is>
          <t>P007</t>
        </is>
      </c>
      <c r="B11" s="215" t="inlineStr">
        <is>
          <t>是</t>
        </is>
      </c>
      <c r="C11" s="215" t="inlineStr">
        <is>
          <t/>
        </is>
      </c>
      <c r="D11" s="215"/>
      <c r="E11" s="215" t="inlineStr">
        <is>
          <t/>
        </is>
      </c>
      <c r="F11" s="215" t="inlineStr">
        <is>
          <t/>
        </is>
      </c>
      <c r="G11" s="215" t="inlineStr">
        <is>
          <t/>
        </is>
      </c>
      <c r="H11" s="215" t="inlineStr">
        <is>
          <t/>
        </is>
      </c>
      <c r="I11" s="215" t="inlineStr">
        <is>
          <t/>
        </is>
      </c>
      <c r="J11" s="215" t="inlineStr">
        <is>
          <t/>
        </is>
      </c>
      <c r="K11" s="215" t="inlineStr">
        <is>
          <t/>
        </is>
      </c>
      <c r="L11" s="216" t="inlineStr">
        <is>
          <t/>
        </is>
      </c>
      <c r="M11" s="216" t="inlineStr">
        <is>
          <t/>
        </is>
      </c>
      <c r="N11" s="253" t="str">
        <f>IF(AND(L11&lt;&gt;"",M11&lt;&gt;""),(M11-L11)*1440,"")</f>
      </c>
      <c r="O11" s="85" t="inlineStr">
        <is>
          <t>P1-S2-EA</t>
        </is>
      </c>
      <c r="P11" s="85" t="n">
        <v>1</v>
      </c>
      <c r="Q11" s="85" t="inlineStr">
        <is>
          <t>S2</t>
        </is>
      </c>
      <c r="R11" s="85" t="inlineStr">
        <is>
          <t>鼠标</t>
        </is>
      </c>
      <c r="S11" s="85" t="inlineStr">
        <is>
          <t>固定订书机</t>
        </is>
      </c>
      <c r="T11" s="85" t="inlineStr">
        <is>
          <t>游戏手柄</t>
        </is>
      </c>
      <c r="U11" s="85" t="inlineStr">
        <is>
          <t>B-A / A-B / B-A</t>
        </is>
      </c>
      <c r="V11" s="85" t="inlineStr">
        <is>
          <t>EgoAnchor</t>
        </is>
      </c>
      <c r="W11" s="85" t="inlineStr">
        <is>
          <t>One-Euro</t>
        </is>
      </c>
      <c r="X11" s="85" t="inlineStr">
        <is>
          <t>One-Euro</t>
        </is>
      </c>
      <c r="Y11" s="85" t="inlineStr">
        <is>
          <t>方法B → 方法A</t>
        </is>
      </c>
      <c r="Z11" s="215" t="inlineStr">
        <is>
          <t>无</t>
        </is>
      </c>
      <c r="AA11" s="243" t="inlineStr">
        <is>
          <t/>
        </is>
      </c>
    </row>
    <row r="12">
      <c r="A12" s="90" t="inlineStr">
        <is>
          <t>P008</t>
        </is>
      </c>
      <c r="B12" s="215" t="inlineStr">
        <is>
          <t>是</t>
        </is>
      </c>
      <c r="C12" s="215" t="inlineStr">
        <is>
          <t/>
        </is>
      </c>
      <c r="D12" s="215"/>
      <c r="E12" s="215" t="inlineStr">
        <is>
          <t/>
        </is>
      </c>
      <c r="F12" s="215" t="inlineStr">
        <is>
          <t/>
        </is>
      </c>
      <c r="G12" s="215" t="inlineStr">
        <is>
          <t/>
        </is>
      </c>
      <c r="H12" s="215" t="inlineStr">
        <is>
          <t/>
        </is>
      </c>
      <c r="I12" s="215" t="inlineStr">
        <is>
          <t/>
        </is>
      </c>
      <c r="J12" s="215" t="inlineStr">
        <is>
          <t/>
        </is>
      </c>
      <c r="K12" s="215" t="inlineStr">
        <is>
          <t/>
        </is>
      </c>
      <c r="L12" s="216" t="inlineStr">
        <is>
          <t/>
        </is>
      </c>
      <c r="M12" s="216" t="inlineStr">
        <is>
          <t/>
        </is>
      </c>
      <c r="N12" s="253" t="str">
        <f>IF(AND(L12&lt;&gt;"",M12&lt;&gt;""),(M12-L12)*1440,"")</f>
      </c>
      <c r="O12" s="85" t="inlineStr">
        <is>
          <t>P2-S2-EA</t>
        </is>
      </c>
      <c r="P12" s="85" t="n">
        <v>2</v>
      </c>
      <c r="Q12" s="85" t="inlineStr">
        <is>
          <t>S2</t>
        </is>
      </c>
      <c r="R12" s="85" t="inlineStr">
        <is>
          <t>鼠标</t>
        </is>
      </c>
      <c r="S12" s="85" t="inlineStr">
        <is>
          <t>游戏手柄</t>
        </is>
      </c>
      <c r="T12" s="85" t="inlineStr">
        <is>
          <t>固定订书机</t>
        </is>
      </c>
      <c r="U12" s="85" t="inlineStr">
        <is>
          <t>B-A / A-B / B-A</t>
        </is>
      </c>
      <c r="V12" s="85" t="inlineStr">
        <is>
          <t>EgoAnchor</t>
        </is>
      </c>
      <c r="W12" s="85" t="inlineStr">
        <is>
          <t>One-Euro</t>
        </is>
      </c>
      <c r="X12" s="85" t="inlineStr">
        <is>
          <t>One-Euro</t>
        </is>
      </c>
      <c r="Y12" s="85" t="inlineStr">
        <is>
          <t>方法B → 方法A</t>
        </is>
      </c>
      <c r="Z12" s="215" t="inlineStr">
        <is>
          <t>无</t>
        </is>
      </c>
      <c r="AA12" s="243" t="inlineStr">
        <is>
          <t/>
        </is>
      </c>
    </row>
    <row r="13">
      <c r="A13" s="90" t="inlineStr">
        <is>
          <t>P009</t>
        </is>
      </c>
      <c r="B13" s="215" t="inlineStr">
        <is>
          <t>是</t>
        </is>
      </c>
      <c r="C13" s="215" t="inlineStr">
        <is>
          <t/>
        </is>
      </c>
      <c r="D13" s="215"/>
      <c r="E13" s="215" t="inlineStr">
        <is>
          <t/>
        </is>
      </c>
      <c r="F13" s="215" t="inlineStr">
        <is>
          <t/>
        </is>
      </c>
      <c r="G13" s="215" t="inlineStr">
        <is>
          <t/>
        </is>
      </c>
      <c r="H13" s="215" t="inlineStr">
        <is>
          <t/>
        </is>
      </c>
      <c r="I13" s="215" t="inlineStr">
        <is>
          <t/>
        </is>
      </c>
      <c r="J13" s="215" t="inlineStr">
        <is>
          <t/>
        </is>
      </c>
      <c r="K13" s="215" t="inlineStr">
        <is>
          <t/>
        </is>
      </c>
      <c r="L13" s="216" t="inlineStr">
        <is>
          <t/>
        </is>
      </c>
      <c r="M13" s="216" t="inlineStr">
        <is>
          <t/>
        </is>
      </c>
      <c r="N13" s="253" t="str">
        <f>IF(AND(L13&lt;&gt;"",M13&lt;&gt;""),(M13-L13)*1440,"")</f>
      </c>
      <c r="O13" s="85" t="inlineStr">
        <is>
          <t>P3-S2-EA</t>
        </is>
      </c>
      <c r="P13" s="85" t="n">
        <v>3</v>
      </c>
      <c r="Q13" s="85" t="inlineStr">
        <is>
          <t>S2</t>
        </is>
      </c>
      <c r="R13" s="85" t="inlineStr">
        <is>
          <t>固定订书机</t>
        </is>
      </c>
      <c r="S13" s="85" t="inlineStr">
        <is>
          <t>鼠标</t>
        </is>
      </c>
      <c r="T13" s="85" t="inlineStr">
        <is>
          <t>游戏手柄</t>
        </is>
      </c>
      <c r="U13" s="85" t="inlineStr">
        <is>
          <t>B-A / A-B / B-A</t>
        </is>
      </c>
      <c r="V13" s="85" t="inlineStr">
        <is>
          <t>EgoAnchor</t>
        </is>
      </c>
      <c r="W13" s="85" t="inlineStr">
        <is>
          <t>One-Euro</t>
        </is>
      </c>
      <c r="X13" s="85" t="inlineStr">
        <is>
          <t>One-Euro</t>
        </is>
      </c>
      <c r="Y13" s="85" t="inlineStr">
        <is>
          <t>方法B → 方法A</t>
        </is>
      </c>
      <c r="Z13" s="215" t="inlineStr">
        <is>
          <t>无</t>
        </is>
      </c>
      <c r="AA13" s="243" t="inlineStr">
        <is>
          <t/>
        </is>
      </c>
    </row>
    <row r="14">
      <c r="A14" s="90" t="inlineStr">
        <is>
          <t>P010</t>
        </is>
      </c>
      <c r="B14" s="215" t="inlineStr">
        <is>
          <t>是</t>
        </is>
      </c>
      <c r="C14" s="215" t="inlineStr">
        <is>
          <t/>
        </is>
      </c>
      <c r="D14" s="215"/>
      <c r="E14" s="215" t="inlineStr">
        <is>
          <t/>
        </is>
      </c>
      <c r="F14" s="215" t="inlineStr">
        <is>
          <t/>
        </is>
      </c>
      <c r="G14" s="215" t="inlineStr">
        <is>
          <t/>
        </is>
      </c>
      <c r="H14" s="215" t="inlineStr">
        <is>
          <t/>
        </is>
      </c>
      <c r="I14" s="215" t="inlineStr">
        <is>
          <t/>
        </is>
      </c>
      <c r="J14" s="215" t="inlineStr">
        <is>
          <t/>
        </is>
      </c>
      <c r="K14" s="215" t="inlineStr">
        <is>
          <t/>
        </is>
      </c>
      <c r="L14" s="216" t="inlineStr">
        <is>
          <t/>
        </is>
      </c>
      <c r="M14" s="216" t="inlineStr">
        <is>
          <t/>
        </is>
      </c>
      <c r="N14" s="253" t="str">
        <f>IF(AND(L14&lt;&gt;"",M14&lt;&gt;""),(M14-L14)*1440,"")</f>
      </c>
      <c r="O14" s="85" t="inlineStr">
        <is>
          <t>P4-S2-EA</t>
        </is>
      </c>
      <c r="P14" s="85" t="n">
        <v>4</v>
      </c>
      <c r="Q14" s="85" t="inlineStr">
        <is>
          <t>S2</t>
        </is>
      </c>
      <c r="R14" s="85" t="inlineStr">
        <is>
          <t>固定订书机</t>
        </is>
      </c>
      <c r="S14" s="85" t="inlineStr">
        <is>
          <t>游戏手柄</t>
        </is>
      </c>
      <c r="T14" s="85" t="inlineStr">
        <is>
          <t>鼠标</t>
        </is>
      </c>
      <c r="U14" s="85" t="inlineStr">
        <is>
          <t>B-A / A-B / B-A</t>
        </is>
      </c>
      <c r="V14" s="85" t="inlineStr">
        <is>
          <t>EgoAnchor</t>
        </is>
      </c>
      <c r="W14" s="85" t="inlineStr">
        <is>
          <t>One-Euro</t>
        </is>
      </c>
      <c r="X14" s="85" t="inlineStr">
        <is>
          <t>One-Euro</t>
        </is>
      </c>
      <c r="Y14" s="85" t="inlineStr">
        <is>
          <t>方法B → 方法A</t>
        </is>
      </c>
      <c r="Z14" s="215" t="inlineStr">
        <is>
          <t>无</t>
        </is>
      </c>
      <c r="AA14" s="243" t="inlineStr">
        <is>
          <t/>
        </is>
      </c>
    </row>
    <row r="15">
      <c r="A15" s="90" t="inlineStr">
        <is>
          <t>P011</t>
        </is>
      </c>
      <c r="B15" s="215" t="inlineStr">
        <is>
          <t>是</t>
        </is>
      </c>
      <c r="C15" s="215" t="inlineStr">
        <is>
          <t/>
        </is>
      </c>
      <c r="D15" s="215"/>
      <c r="E15" s="215" t="inlineStr">
        <is>
          <t/>
        </is>
      </c>
      <c r="F15" s="215" t="inlineStr">
        <is>
          <t/>
        </is>
      </c>
      <c r="G15" s="215" t="inlineStr">
        <is>
          <t/>
        </is>
      </c>
      <c r="H15" s="215" t="inlineStr">
        <is>
          <t/>
        </is>
      </c>
      <c r="I15" s="215" t="inlineStr">
        <is>
          <t/>
        </is>
      </c>
      <c r="J15" s="215" t="inlineStr">
        <is>
          <t/>
        </is>
      </c>
      <c r="K15" s="215" t="inlineStr">
        <is>
          <t/>
        </is>
      </c>
      <c r="L15" s="216" t="inlineStr">
        <is>
          <t/>
        </is>
      </c>
      <c r="M15" s="216" t="inlineStr">
        <is>
          <t/>
        </is>
      </c>
      <c r="N15" s="253" t="str">
        <f>IF(AND(L15&lt;&gt;"",M15&lt;&gt;""),(M15-L15)*1440,"")</f>
      </c>
      <c r="O15" s="85" t="inlineStr">
        <is>
          <t>P5-S2-EA</t>
        </is>
      </c>
      <c r="P15" s="85" t="n">
        <v>5</v>
      </c>
      <c r="Q15" s="85" t="inlineStr">
        <is>
          <t>S2</t>
        </is>
      </c>
      <c r="R15" s="85" t="inlineStr">
        <is>
          <t>游戏手柄</t>
        </is>
      </c>
      <c r="S15" s="85" t="inlineStr">
        <is>
          <t>鼠标</t>
        </is>
      </c>
      <c r="T15" s="85" t="inlineStr">
        <is>
          <t>固定订书机</t>
        </is>
      </c>
      <c r="U15" s="85" t="inlineStr">
        <is>
          <t>B-A / A-B / B-A</t>
        </is>
      </c>
      <c r="V15" s="85" t="inlineStr">
        <is>
          <t>EgoAnchor</t>
        </is>
      </c>
      <c r="W15" s="85" t="inlineStr">
        <is>
          <t>One-Euro</t>
        </is>
      </c>
      <c r="X15" s="85" t="inlineStr">
        <is>
          <t>One-Euro</t>
        </is>
      </c>
      <c r="Y15" s="85" t="inlineStr">
        <is>
          <t>方法B → 方法A</t>
        </is>
      </c>
      <c r="Z15" s="215" t="inlineStr">
        <is>
          <t>无</t>
        </is>
      </c>
      <c r="AA15" s="243" t="inlineStr">
        <is>
          <t/>
        </is>
      </c>
    </row>
    <row r="16">
      <c r="A16" s="90" t="inlineStr">
        <is>
          <t>P012</t>
        </is>
      </c>
      <c r="B16" s="215" t="inlineStr">
        <is>
          <t>是</t>
        </is>
      </c>
      <c r="C16" s="215" t="inlineStr">
        <is>
          <t/>
        </is>
      </c>
      <c r="D16" s="215"/>
      <c r="E16" s="215" t="inlineStr">
        <is>
          <t/>
        </is>
      </c>
      <c r="F16" s="215" t="inlineStr">
        <is>
          <t/>
        </is>
      </c>
      <c r="G16" s="215" t="inlineStr">
        <is>
          <t/>
        </is>
      </c>
      <c r="H16" s="215" t="inlineStr">
        <is>
          <t/>
        </is>
      </c>
      <c r="I16" s="215" t="inlineStr">
        <is>
          <t/>
        </is>
      </c>
      <c r="J16" s="215" t="inlineStr">
        <is>
          <t/>
        </is>
      </c>
      <c r="K16" s="215" t="inlineStr">
        <is>
          <t/>
        </is>
      </c>
      <c r="L16" s="216" t="inlineStr">
        <is>
          <t/>
        </is>
      </c>
      <c r="M16" s="216" t="inlineStr">
        <is>
          <t/>
        </is>
      </c>
      <c r="N16" s="253" t="str">
        <f>IF(AND(L16&lt;&gt;"",M16&lt;&gt;""),(M16-L16)*1440,"")</f>
      </c>
      <c r="O16" s="85" t="inlineStr">
        <is>
          <t>P6-S2-EA</t>
        </is>
      </c>
      <c r="P16" s="85" t="n">
        <v>6</v>
      </c>
      <c r="Q16" s="85" t="inlineStr">
        <is>
          <t>S2</t>
        </is>
      </c>
      <c r="R16" s="85" t="inlineStr">
        <is>
          <t>游戏手柄</t>
        </is>
      </c>
      <c r="S16" s="85" t="inlineStr">
        <is>
          <t>固定订书机</t>
        </is>
      </c>
      <c r="T16" s="85" t="inlineStr">
        <is>
          <t>鼠标</t>
        </is>
      </c>
      <c r="U16" s="85" t="inlineStr">
        <is>
          <t>B-A / A-B / B-A</t>
        </is>
      </c>
      <c r="V16" s="85" t="inlineStr">
        <is>
          <t>EgoAnchor</t>
        </is>
      </c>
      <c r="W16" s="85" t="inlineStr">
        <is>
          <t>One-Euro</t>
        </is>
      </c>
      <c r="X16" s="85" t="inlineStr">
        <is>
          <t>One-Euro</t>
        </is>
      </c>
      <c r="Y16" s="85" t="inlineStr">
        <is>
          <t>方法B → 方法A</t>
        </is>
      </c>
      <c r="Z16" s="215" t="inlineStr">
        <is>
          <t>无</t>
        </is>
      </c>
      <c r="AA16" s="243" t="inlineStr">
        <is>
          <t/>
        </is>
      </c>
    </row>
    <row r="17">
      <c r="A17" s="90" t="inlineStr">
        <is>
          <t>P013</t>
        </is>
      </c>
      <c r="B17" s="215" t="inlineStr">
        <is>
          <t>是</t>
        </is>
      </c>
      <c r="C17" s="215" t="inlineStr">
        <is>
          <t/>
        </is>
      </c>
      <c r="D17" s="215"/>
      <c r="E17" s="215" t="inlineStr">
        <is>
          <t/>
        </is>
      </c>
      <c r="F17" s="215" t="inlineStr">
        <is>
          <t/>
        </is>
      </c>
      <c r="G17" s="215" t="inlineStr">
        <is>
          <t/>
        </is>
      </c>
      <c r="H17" s="215" t="inlineStr">
        <is>
          <t/>
        </is>
      </c>
      <c r="I17" s="215" t="inlineStr">
        <is>
          <t/>
        </is>
      </c>
      <c r="J17" s="215" t="inlineStr">
        <is>
          <t/>
        </is>
      </c>
      <c r="K17" s="215" t="inlineStr">
        <is>
          <t/>
        </is>
      </c>
      <c r="L17" s="216" t="inlineStr">
        <is>
          <t/>
        </is>
      </c>
      <c r="M17" s="216" t="inlineStr">
        <is>
          <t/>
        </is>
      </c>
      <c r="N17" s="253" t="str">
        <f>IF(AND(L17&lt;&gt;"",M17&lt;&gt;""),(M17-L17)*1440,"")</f>
      </c>
      <c r="O17" s="85" t="inlineStr">
        <is>
          <t>P1-S1-OE</t>
        </is>
      </c>
      <c r="P17" s="85" t="n">
        <v>1</v>
      </c>
      <c r="Q17" s="85" t="inlineStr">
        <is>
          <t>S1</t>
        </is>
      </c>
      <c r="R17" s="85" t="inlineStr">
        <is>
          <t>鼠标</t>
        </is>
      </c>
      <c r="S17" s="85" t="inlineStr">
        <is>
          <t>固定订书机</t>
        </is>
      </c>
      <c r="T17" s="85" t="inlineStr">
        <is>
          <t>游戏手柄</t>
        </is>
      </c>
      <c r="U17" s="85" t="inlineStr">
        <is>
          <t>A-B / B-A / A-B</t>
        </is>
      </c>
      <c r="V17" s="85" t="inlineStr">
        <is>
          <t>One-Euro</t>
        </is>
      </c>
      <c r="W17" s="85" t="inlineStr">
        <is>
          <t>EgoAnchor</t>
        </is>
      </c>
      <c r="X17" s="85" t="inlineStr">
        <is>
          <t>One-Euro</t>
        </is>
      </c>
      <c r="Y17" s="85" t="inlineStr">
        <is>
          <t>方法A → 方法B</t>
        </is>
      </c>
      <c r="Z17" s="215" t="inlineStr">
        <is>
          <t>无</t>
        </is>
      </c>
      <c r="AA17" s="243" t="inlineStr">
        <is>
          <t/>
        </is>
      </c>
    </row>
    <row r="18">
      <c r="A18" s="90" t="inlineStr">
        <is>
          <t>P014</t>
        </is>
      </c>
      <c r="B18" s="215" t="inlineStr">
        <is>
          <t>是</t>
        </is>
      </c>
      <c r="C18" s="215" t="inlineStr">
        <is>
          <t/>
        </is>
      </c>
      <c r="D18" s="215"/>
      <c r="E18" s="215" t="inlineStr">
        <is>
          <t/>
        </is>
      </c>
      <c r="F18" s="215" t="inlineStr">
        <is>
          <t/>
        </is>
      </c>
      <c r="G18" s="215" t="inlineStr">
        <is>
          <t/>
        </is>
      </c>
      <c r="H18" s="215" t="inlineStr">
        <is>
          <t/>
        </is>
      </c>
      <c r="I18" s="215" t="inlineStr">
        <is>
          <t/>
        </is>
      </c>
      <c r="J18" s="215" t="inlineStr">
        <is>
          <t/>
        </is>
      </c>
      <c r="K18" s="215" t="inlineStr">
        <is>
          <t/>
        </is>
      </c>
      <c r="L18" s="216" t="inlineStr">
        <is>
          <t/>
        </is>
      </c>
      <c r="M18" s="216" t="inlineStr">
        <is>
          <t/>
        </is>
      </c>
      <c r="N18" s="253" t="str">
        <f>IF(AND(L18&lt;&gt;"",M18&lt;&gt;""),(M18-L18)*1440,"")</f>
      </c>
      <c r="O18" s="85" t="inlineStr">
        <is>
          <t>P2-S1-OE</t>
        </is>
      </c>
      <c r="P18" s="85" t="n">
        <v>2</v>
      </c>
      <c r="Q18" s="85" t="inlineStr">
        <is>
          <t>S1</t>
        </is>
      </c>
      <c r="R18" s="85" t="inlineStr">
        <is>
          <t>鼠标</t>
        </is>
      </c>
      <c r="S18" s="85" t="inlineStr">
        <is>
          <t>游戏手柄</t>
        </is>
      </c>
      <c r="T18" s="85" t="inlineStr">
        <is>
          <t>固定订书机</t>
        </is>
      </c>
      <c r="U18" s="85" t="inlineStr">
        <is>
          <t>A-B / B-A / A-B</t>
        </is>
      </c>
      <c r="V18" s="85" t="inlineStr">
        <is>
          <t>One-Euro</t>
        </is>
      </c>
      <c r="W18" s="85" t="inlineStr">
        <is>
          <t>EgoAnchor</t>
        </is>
      </c>
      <c r="X18" s="85" t="inlineStr">
        <is>
          <t>One-Euro</t>
        </is>
      </c>
      <c r="Y18" s="85" t="inlineStr">
        <is>
          <t>方法A → 方法B</t>
        </is>
      </c>
      <c r="Z18" s="215" t="inlineStr">
        <is>
          <t>无</t>
        </is>
      </c>
      <c r="AA18" s="243" t="inlineStr">
        <is>
          <t/>
        </is>
      </c>
    </row>
    <row r="19">
      <c r="A19" s="90" t="inlineStr">
        <is>
          <t>P015</t>
        </is>
      </c>
      <c r="B19" s="215" t="inlineStr">
        <is>
          <t>是</t>
        </is>
      </c>
      <c r="C19" s="215" t="inlineStr">
        <is>
          <t/>
        </is>
      </c>
      <c r="D19" s="215"/>
      <c r="E19" s="215" t="inlineStr">
        <is>
          <t/>
        </is>
      </c>
      <c r="F19" s="215" t="inlineStr">
        <is>
          <t/>
        </is>
      </c>
      <c r="G19" s="215" t="inlineStr">
        <is>
          <t/>
        </is>
      </c>
      <c r="H19" s="215" t="inlineStr">
        <is>
          <t/>
        </is>
      </c>
      <c r="I19" s="215" t="inlineStr">
        <is>
          <t/>
        </is>
      </c>
      <c r="J19" s="215" t="inlineStr">
        <is>
          <t/>
        </is>
      </c>
      <c r="K19" s="215" t="inlineStr">
        <is>
          <t/>
        </is>
      </c>
      <c r="L19" s="216" t="inlineStr">
        <is>
          <t/>
        </is>
      </c>
      <c r="M19" s="216" t="inlineStr">
        <is>
          <t/>
        </is>
      </c>
      <c r="N19" s="253" t="str">
        <f>IF(AND(L19&lt;&gt;"",M19&lt;&gt;""),(M19-L19)*1440,"")</f>
      </c>
      <c r="O19" s="85" t="inlineStr">
        <is>
          <t>P3-S1-OE</t>
        </is>
      </c>
      <c r="P19" s="85" t="n">
        <v>3</v>
      </c>
      <c r="Q19" s="85" t="inlineStr">
        <is>
          <t>S1</t>
        </is>
      </c>
      <c r="R19" s="85" t="inlineStr">
        <is>
          <t>固定订书机</t>
        </is>
      </c>
      <c r="S19" s="85" t="inlineStr">
        <is>
          <t>鼠标</t>
        </is>
      </c>
      <c r="T19" s="85" t="inlineStr">
        <is>
          <t>游戏手柄</t>
        </is>
      </c>
      <c r="U19" s="85" t="inlineStr">
        <is>
          <t>A-B / B-A / A-B</t>
        </is>
      </c>
      <c r="V19" s="85" t="inlineStr">
        <is>
          <t>One-Euro</t>
        </is>
      </c>
      <c r="W19" s="85" t="inlineStr">
        <is>
          <t>EgoAnchor</t>
        </is>
      </c>
      <c r="X19" s="85" t="inlineStr">
        <is>
          <t>One-Euro</t>
        </is>
      </c>
      <c r="Y19" s="85" t="inlineStr">
        <is>
          <t>方法A → 方法B</t>
        </is>
      </c>
      <c r="Z19" s="215" t="inlineStr">
        <is>
          <t>无</t>
        </is>
      </c>
      <c r="AA19" s="243" t="inlineStr">
        <is>
          <t/>
        </is>
      </c>
    </row>
    <row r="20">
      <c r="A20" s="90" t="inlineStr">
        <is>
          <t>P016</t>
        </is>
      </c>
      <c r="B20" s="215" t="inlineStr">
        <is>
          <t>是</t>
        </is>
      </c>
      <c r="C20" s="215" t="inlineStr">
        <is>
          <t/>
        </is>
      </c>
      <c r="D20" s="215"/>
      <c r="E20" s="215" t="inlineStr">
        <is>
          <t/>
        </is>
      </c>
      <c r="F20" s="215" t="inlineStr">
        <is>
          <t/>
        </is>
      </c>
      <c r="G20" s="215" t="inlineStr">
        <is>
          <t/>
        </is>
      </c>
      <c r="H20" s="215" t="inlineStr">
        <is>
          <t/>
        </is>
      </c>
      <c r="I20" s="215" t="inlineStr">
        <is>
          <t/>
        </is>
      </c>
      <c r="J20" s="215" t="inlineStr">
        <is>
          <t/>
        </is>
      </c>
      <c r="K20" s="215" t="inlineStr">
        <is>
          <t/>
        </is>
      </c>
      <c r="L20" s="216" t="inlineStr">
        <is>
          <t/>
        </is>
      </c>
      <c r="M20" s="216" t="inlineStr">
        <is>
          <t/>
        </is>
      </c>
      <c r="N20" s="253" t="str">
        <f>IF(AND(L20&lt;&gt;"",M20&lt;&gt;""),(M20-L20)*1440,"")</f>
      </c>
      <c r="O20" s="85" t="inlineStr">
        <is>
          <t>P4-S1-OE</t>
        </is>
      </c>
      <c r="P20" s="85" t="n">
        <v>4</v>
      </c>
      <c r="Q20" s="85" t="inlineStr">
        <is>
          <t>S1</t>
        </is>
      </c>
      <c r="R20" s="85" t="inlineStr">
        <is>
          <t>固定订书机</t>
        </is>
      </c>
      <c r="S20" s="85" t="inlineStr">
        <is>
          <t>游戏手柄</t>
        </is>
      </c>
      <c r="T20" s="85" t="inlineStr">
        <is>
          <t>鼠标</t>
        </is>
      </c>
      <c r="U20" s="85" t="inlineStr">
        <is>
          <t>A-B / B-A / A-B</t>
        </is>
      </c>
      <c r="V20" s="85" t="inlineStr">
        <is>
          <t>One-Euro</t>
        </is>
      </c>
      <c r="W20" s="85" t="inlineStr">
        <is>
          <t>EgoAnchor</t>
        </is>
      </c>
      <c r="X20" s="85" t="inlineStr">
        <is>
          <t>One-Euro</t>
        </is>
      </c>
      <c r="Y20" s="85" t="inlineStr">
        <is>
          <t>方法A → 方法B</t>
        </is>
      </c>
      <c r="Z20" s="215" t="inlineStr">
        <is>
          <t>无</t>
        </is>
      </c>
      <c r="AA20" s="243" t="inlineStr">
        <is>
          <t/>
        </is>
      </c>
    </row>
    <row r="21">
      <c r="A21" s="90" t="inlineStr">
        <is>
          <t>P017</t>
        </is>
      </c>
      <c r="B21" s="215" t="inlineStr">
        <is>
          <t>是</t>
        </is>
      </c>
      <c r="C21" s="215" t="inlineStr">
        <is>
          <t/>
        </is>
      </c>
      <c r="D21" s="215"/>
      <c r="E21" s="215" t="inlineStr">
        <is>
          <t/>
        </is>
      </c>
      <c r="F21" s="215" t="inlineStr">
        <is>
          <t/>
        </is>
      </c>
      <c r="G21" s="215" t="inlineStr">
        <is>
          <t/>
        </is>
      </c>
      <c r="H21" s="215" t="inlineStr">
        <is>
          <t/>
        </is>
      </c>
      <c r="I21" s="215" t="inlineStr">
        <is>
          <t/>
        </is>
      </c>
      <c r="J21" s="215" t="inlineStr">
        <is>
          <t/>
        </is>
      </c>
      <c r="K21" s="215" t="inlineStr">
        <is>
          <t/>
        </is>
      </c>
      <c r="L21" s="216" t="inlineStr">
        <is>
          <t/>
        </is>
      </c>
      <c r="M21" s="216" t="inlineStr">
        <is>
          <t/>
        </is>
      </c>
      <c r="N21" s="253" t="str">
        <f>IF(AND(L21&lt;&gt;"",M21&lt;&gt;""),(M21-L21)*1440,"")</f>
      </c>
      <c r="O21" s="85" t="inlineStr">
        <is>
          <t>P5-S1-OE</t>
        </is>
      </c>
      <c r="P21" s="85" t="n">
        <v>5</v>
      </c>
      <c r="Q21" s="85" t="inlineStr">
        <is>
          <t>S1</t>
        </is>
      </c>
      <c r="R21" s="85" t="inlineStr">
        <is>
          <t>游戏手柄</t>
        </is>
      </c>
      <c r="S21" s="85" t="inlineStr">
        <is>
          <t>鼠标</t>
        </is>
      </c>
      <c r="T21" s="85" t="inlineStr">
        <is>
          <t>固定订书机</t>
        </is>
      </c>
      <c r="U21" s="85" t="inlineStr">
        <is>
          <t>A-B / B-A / A-B</t>
        </is>
      </c>
      <c r="V21" s="85" t="inlineStr">
        <is>
          <t>One-Euro</t>
        </is>
      </c>
      <c r="W21" s="85" t="inlineStr">
        <is>
          <t>EgoAnchor</t>
        </is>
      </c>
      <c r="X21" s="85" t="inlineStr">
        <is>
          <t>One-Euro</t>
        </is>
      </c>
      <c r="Y21" s="85" t="inlineStr">
        <is>
          <t>方法A → 方法B</t>
        </is>
      </c>
      <c r="Z21" s="215" t="inlineStr">
        <is>
          <t>无</t>
        </is>
      </c>
      <c r="AA21" s="243" t="inlineStr">
        <is>
          <t/>
        </is>
      </c>
    </row>
    <row r="22">
      <c r="A22" s="90" t="inlineStr">
        <is>
          <t>P018</t>
        </is>
      </c>
      <c r="B22" s="215" t="inlineStr">
        <is>
          <t>是</t>
        </is>
      </c>
      <c r="C22" s="215" t="inlineStr">
        <is>
          <t/>
        </is>
      </c>
      <c r="D22" s="215"/>
      <c r="E22" s="215" t="inlineStr">
        <is>
          <t/>
        </is>
      </c>
      <c r="F22" s="215" t="inlineStr">
        <is>
          <t/>
        </is>
      </c>
      <c r="G22" s="215" t="inlineStr">
        <is>
          <t/>
        </is>
      </c>
      <c r="H22" s="215" t="inlineStr">
        <is>
          <t/>
        </is>
      </c>
      <c r="I22" s="215" t="inlineStr">
        <is>
          <t/>
        </is>
      </c>
      <c r="J22" s="215" t="inlineStr">
        <is>
          <t/>
        </is>
      </c>
      <c r="K22" s="215" t="inlineStr">
        <is>
          <t/>
        </is>
      </c>
      <c r="L22" s="216" t="inlineStr">
        <is>
          <t/>
        </is>
      </c>
      <c r="M22" s="216" t="inlineStr">
        <is>
          <t/>
        </is>
      </c>
      <c r="N22" s="253" t="str">
        <f>IF(AND(L22&lt;&gt;"",M22&lt;&gt;""),(M22-L22)*1440,"")</f>
      </c>
      <c r="O22" s="85" t="inlineStr">
        <is>
          <t>P6-S1-OE</t>
        </is>
      </c>
      <c r="P22" s="85" t="n">
        <v>6</v>
      </c>
      <c r="Q22" s="85" t="inlineStr">
        <is>
          <t>S1</t>
        </is>
      </c>
      <c r="R22" s="85" t="inlineStr">
        <is>
          <t>游戏手柄</t>
        </is>
      </c>
      <c r="S22" s="85" t="inlineStr">
        <is>
          <t>固定订书机</t>
        </is>
      </c>
      <c r="T22" s="85" t="inlineStr">
        <is>
          <t>鼠标</t>
        </is>
      </c>
      <c r="U22" s="85" t="inlineStr">
        <is>
          <t>A-B / B-A / A-B</t>
        </is>
      </c>
      <c r="V22" s="85" t="inlineStr">
        <is>
          <t>One-Euro</t>
        </is>
      </c>
      <c r="W22" s="85" t="inlineStr">
        <is>
          <t>EgoAnchor</t>
        </is>
      </c>
      <c r="X22" s="85" t="inlineStr">
        <is>
          <t>One-Euro</t>
        </is>
      </c>
      <c r="Y22" s="85" t="inlineStr">
        <is>
          <t>方法A → 方法B</t>
        </is>
      </c>
      <c r="Z22" s="215" t="inlineStr">
        <is>
          <t>无</t>
        </is>
      </c>
      <c r="AA22" s="243" t="inlineStr">
        <is>
          <t/>
        </is>
      </c>
    </row>
    <row r="23">
      <c r="A23" s="90" t="inlineStr">
        <is>
          <t>P019</t>
        </is>
      </c>
      <c r="B23" s="215" t="inlineStr">
        <is>
          <t>是</t>
        </is>
      </c>
      <c r="C23" s="215" t="inlineStr">
        <is>
          <t/>
        </is>
      </c>
      <c r="D23" s="215"/>
      <c r="E23" s="215" t="inlineStr">
        <is>
          <t/>
        </is>
      </c>
      <c r="F23" s="215" t="inlineStr">
        <is>
          <t/>
        </is>
      </c>
      <c r="G23" s="215" t="inlineStr">
        <is>
          <t/>
        </is>
      </c>
      <c r="H23" s="215" t="inlineStr">
        <is>
          <t/>
        </is>
      </c>
      <c r="I23" s="215" t="inlineStr">
        <is>
          <t/>
        </is>
      </c>
      <c r="J23" s="215" t="inlineStr">
        <is>
          <t/>
        </is>
      </c>
      <c r="K23" s="215" t="inlineStr">
        <is>
          <t/>
        </is>
      </c>
      <c r="L23" s="216" t="inlineStr">
        <is>
          <t/>
        </is>
      </c>
      <c r="M23" s="216" t="inlineStr">
        <is>
          <t/>
        </is>
      </c>
      <c r="N23" s="253" t="str">
        <f>IF(AND(L23&lt;&gt;"",M23&lt;&gt;""),(M23-L23)*1440,"")</f>
      </c>
      <c r="O23" s="85" t="inlineStr">
        <is>
          <t>P1-S2-OE</t>
        </is>
      </c>
      <c r="P23" s="85" t="n">
        <v>1</v>
      </c>
      <c r="Q23" s="85" t="inlineStr">
        <is>
          <t>S2</t>
        </is>
      </c>
      <c r="R23" s="85" t="inlineStr">
        <is>
          <t>鼠标</t>
        </is>
      </c>
      <c r="S23" s="85" t="inlineStr">
        <is>
          <t>固定订书机</t>
        </is>
      </c>
      <c r="T23" s="85" t="inlineStr">
        <is>
          <t>游戏手柄</t>
        </is>
      </c>
      <c r="U23" s="85" t="inlineStr">
        <is>
          <t>B-A / A-B / B-A</t>
        </is>
      </c>
      <c r="V23" s="85" t="inlineStr">
        <is>
          <t>One-Euro</t>
        </is>
      </c>
      <c r="W23" s="85" t="inlineStr">
        <is>
          <t>EgoAnchor</t>
        </is>
      </c>
      <c r="X23" s="85" t="inlineStr">
        <is>
          <t>EgoAnchor</t>
        </is>
      </c>
      <c r="Y23" s="85" t="inlineStr">
        <is>
          <t>方法B → 方法A</t>
        </is>
      </c>
      <c r="Z23" s="215" t="inlineStr">
        <is>
          <t>无</t>
        </is>
      </c>
      <c r="AA23" s="243" t="inlineStr">
        <is>
          <t/>
        </is>
      </c>
    </row>
    <row r="24">
      <c r="A24" s="90" t="inlineStr">
        <is>
          <t>P020</t>
        </is>
      </c>
      <c r="B24" s="215" t="inlineStr">
        <is>
          <t>是</t>
        </is>
      </c>
      <c r="C24" s="215" t="inlineStr">
        <is>
          <t/>
        </is>
      </c>
      <c r="D24" s="215"/>
      <c r="E24" s="215" t="inlineStr">
        <is>
          <t/>
        </is>
      </c>
      <c r="F24" s="215" t="inlineStr">
        <is>
          <t/>
        </is>
      </c>
      <c r="G24" s="215" t="inlineStr">
        <is>
          <t/>
        </is>
      </c>
      <c r="H24" s="215" t="inlineStr">
        <is>
          <t/>
        </is>
      </c>
      <c r="I24" s="215" t="inlineStr">
        <is>
          <t/>
        </is>
      </c>
      <c r="J24" s="215" t="inlineStr">
        <is>
          <t/>
        </is>
      </c>
      <c r="K24" s="215" t="inlineStr">
        <is>
          <t/>
        </is>
      </c>
      <c r="L24" s="216" t="inlineStr">
        <is>
          <t/>
        </is>
      </c>
      <c r="M24" s="216" t="inlineStr">
        <is>
          <t/>
        </is>
      </c>
      <c r="N24" s="253" t="str">
        <f>IF(AND(L24&lt;&gt;"",M24&lt;&gt;""),(M24-L24)*1440,"")</f>
      </c>
      <c r="O24" s="85" t="inlineStr">
        <is>
          <t>P2-S2-OE</t>
        </is>
      </c>
      <c r="P24" s="85" t="n">
        <v>2</v>
      </c>
      <c r="Q24" s="85" t="inlineStr">
        <is>
          <t>S2</t>
        </is>
      </c>
      <c r="R24" s="85" t="inlineStr">
        <is>
          <t>鼠标</t>
        </is>
      </c>
      <c r="S24" s="85" t="inlineStr">
        <is>
          <t>游戏手柄</t>
        </is>
      </c>
      <c r="T24" s="85" t="inlineStr">
        <is>
          <t>固定订书机</t>
        </is>
      </c>
      <c r="U24" s="85" t="inlineStr">
        <is>
          <t>B-A / A-B / B-A</t>
        </is>
      </c>
      <c r="V24" s="85" t="inlineStr">
        <is>
          <t>One-Euro</t>
        </is>
      </c>
      <c r="W24" s="85" t="inlineStr">
        <is>
          <t>EgoAnchor</t>
        </is>
      </c>
      <c r="X24" s="85" t="inlineStr">
        <is>
          <t>EgoAnchor</t>
        </is>
      </c>
      <c r="Y24" s="85" t="inlineStr">
        <is>
          <t>方法B → 方法A</t>
        </is>
      </c>
      <c r="Z24" s="215" t="inlineStr">
        <is>
          <t>无</t>
        </is>
      </c>
      <c r="AA24" s="243" t="inlineStr">
        <is>
          <t/>
        </is>
      </c>
    </row>
    <row r="25">
      <c r="A25" s="90" t="inlineStr">
        <is>
          <t>P021</t>
        </is>
      </c>
      <c r="B25" s="215" t="inlineStr">
        <is>
          <t>是</t>
        </is>
      </c>
      <c r="C25" s="215" t="inlineStr">
        <is>
          <t/>
        </is>
      </c>
      <c r="D25" s="215"/>
      <c r="E25" s="215" t="inlineStr">
        <is>
          <t/>
        </is>
      </c>
      <c r="F25" s="215" t="inlineStr">
        <is>
          <t/>
        </is>
      </c>
      <c r="G25" s="215" t="inlineStr">
        <is>
          <t/>
        </is>
      </c>
      <c r="H25" s="215" t="inlineStr">
        <is>
          <t/>
        </is>
      </c>
      <c r="I25" s="215" t="inlineStr">
        <is>
          <t/>
        </is>
      </c>
      <c r="J25" s="215" t="inlineStr">
        <is>
          <t/>
        </is>
      </c>
      <c r="K25" s="215" t="inlineStr">
        <is>
          <t/>
        </is>
      </c>
      <c r="L25" s="216" t="inlineStr">
        <is>
          <t/>
        </is>
      </c>
      <c r="M25" s="216" t="inlineStr">
        <is>
          <t/>
        </is>
      </c>
      <c r="N25" s="253" t="str">
        <f>IF(AND(L25&lt;&gt;"",M25&lt;&gt;""),(M25-L25)*1440,"")</f>
      </c>
      <c r="O25" s="85" t="inlineStr">
        <is>
          <t>P3-S2-OE</t>
        </is>
      </c>
      <c r="P25" s="85" t="n">
        <v>3</v>
      </c>
      <c r="Q25" s="85" t="inlineStr">
        <is>
          <t>S2</t>
        </is>
      </c>
      <c r="R25" s="85" t="inlineStr">
        <is>
          <t>固定订书机</t>
        </is>
      </c>
      <c r="S25" s="85" t="inlineStr">
        <is>
          <t>鼠标</t>
        </is>
      </c>
      <c r="T25" s="85" t="inlineStr">
        <is>
          <t>游戏手柄</t>
        </is>
      </c>
      <c r="U25" s="85" t="inlineStr">
        <is>
          <t>B-A / A-B / B-A</t>
        </is>
      </c>
      <c r="V25" s="85" t="inlineStr">
        <is>
          <t>One-Euro</t>
        </is>
      </c>
      <c r="W25" s="85" t="inlineStr">
        <is>
          <t>EgoAnchor</t>
        </is>
      </c>
      <c r="X25" s="85" t="inlineStr">
        <is>
          <t>EgoAnchor</t>
        </is>
      </c>
      <c r="Y25" s="85" t="inlineStr">
        <is>
          <t>方法B → 方法A</t>
        </is>
      </c>
      <c r="Z25" s="215" t="inlineStr">
        <is>
          <t>无</t>
        </is>
      </c>
      <c r="AA25" s="243" t="inlineStr">
        <is>
          <t/>
        </is>
      </c>
    </row>
    <row r="26">
      <c r="A26" s="90" t="inlineStr">
        <is>
          <t>P022</t>
        </is>
      </c>
      <c r="B26" s="215" t="inlineStr">
        <is>
          <t>是</t>
        </is>
      </c>
      <c r="C26" s="215" t="inlineStr">
        <is>
          <t/>
        </is>
      </c>
      <c r="D26" s="215"/>
      <c r="E26" s="215" t="inlineStr">
        <is>
          <t/>
        </is>
      </c>
      <c r="F26" s="215" t="inlineStr">
        <is>
          <t/>
        </is>
      </c>
      <c r="G26" s="215" t="inlineStr">
        <is>
          <t/>
        </is>
      </c>
      <c r="H26" s="215" t="inlineStr">
        <is>
          <t/>
        </is>
      </c>
      <c r="I26" s="215" t="inlineStr">
        <is>
          <t/>
        </is>
      </c>
      <c r="J26" s="215" t="inlineStr">
        <is>
          <t/>
        </is>
      </c>
      <c r="K26" s="215" t="inlineStr">
        <is>
          <t/>
        </is>
      </c>
      <c r="L26" s="216" t="inlineStr">
        <is>
          <t/>
        </is>
      </c>
      <c r="M26" s="216" t="inlineStr">
        <is>
          <t/>
        </is>
      </c>
      <c r="N26" s="253" t="str">
        <f>IF(AND(L26&lt;&gt;"",M26&lt;&gt;""),(M26-L26)*1440,"")</f>
      </c>
      <c r="O26" s="85" t="inlineStr">
        <is>
          <t>P4-S2-OE</t>
        </is>
      </c>
      <c r="P26" s="85" t="n">
        <v>4</v>
      </c>
      <c r="Q26" s="85" t="inlineStr">
        <is>
          <t>S2</t>
        </is>
      </c>
      <c r="R26" s="85" t="inlineStr">
        <is>
          <t>固定订书机</t>
        </is>
      </c>
      <c r="S26" s="85" t="inlineStr">
        <is>
          <t>游戏手柄</t>
        </is>
      </c>
      <c r="T26" s="85" t="inlineStr">
        <is>
          <t>鼠标</t>
        </is>
      </c>
      <c r="U26" s="85" t="inlineStr">
        <is>
          <t>B-A / A-B / B-A</t>
        </is>
      </c>
      <c r="V26" s="85" t="inlineStr">
        <is>
          <t>One-Euro</t>
        </is>
      </c>
      <c r="W26" s="85" t="inlineStr">
        <is>
          <t>EgoAnchor</t>
        </is>
      </c>
      <c r="X26" s="85" t="inlineStr">
        <is>
          <t>EgoAnchor</t>
        </is>
      </c>
      <c r="Y26" s="85" t="inlineStr">
        <is>
          <t>方法B → 方法A</t>
        </is>
      </c>
      <c r="Z26" s="215" t="inlineStr">
        <is>
          <t>无</t>
        </is>
      </c>
      <c r="AA26" s="243" t="inlineStr">
        <is>
          <t/>
        </is>
      </c>
    </row>
    <row r="27">
      <c r="A27" s="90" t="inlineStr">
        <is>
          <t>P023</t>
        </is>
      </c>
      <c r="B27" s="215" t="inlineStr">
        <is>
          <t>是</t>
        </is>
      </c>
      <c r="C27" s="215" t="inlineStr">
        <is>
          <t/>
        </is>
      </c>
      <c r="D27" s="215"/>
      <c r="E27" s="215" t="inlineStr">
        <is>
          <t/>
        </is>
      </c>
      <c r="F27" s="215" t="inlineStr">
        <is>
          <t/>
        </is>
      </c>
      <c r="G27" s="215" t="inlineStr">
        <is>
          <t/>
        </is>
      </c>
      <c r="H27" s="215" t="inlineStr">
        <is>
          <t/>
        </is>
      </c>
      <c r="I27" s="215" t="inlineStr">
        <is>
          <t/>
        </is>
      </c>
      <c r="J27" s="215" t="inlineStr">
        <is>
          <t/>
        </is>
      </c>
      <c r="K27" s="215" t="inlineStr">
        <is>
          <t/>
        </is>
      </c>
      <c r="L27" s="216" t="inlineStr">
        <is>
          <t/>
        </is>
      </c>
      <c r="M27" s="216" t="inlineStr">
        <is>
          <t/>
        </is>
      </c>
      <c r="N27" s="253" t="str">
        <f>IF(AND(L27&lt;&gt;"",M27&lt;&gt;""),(M27-L27)*1440,"")</f>
      </c>
      <c r="O27" s="85" t="inlineStr">
        <is>
          <t>P5-S2-OE</t>
        </is>
      </c>
      <c r="P27" s="85" t="n">
        <v>5</v>
      </c>
      <c r="Q27" s="85" t="inlineStr">
        <is>
          <t>S2</t>
        </is>
      </c>
      <c r="R27" s="85" t="inlineStr">
        <is>
          <t>游戏手柄</t>
        </is>
      </c>
      <c r="S27" s="85" t="inlineStr">
        <is>
          <t>鼠标</t>
        </is>
      </c>
      <c r="T27" s="85" t="inlineStr">
        <is>
          <t>固定订书机</t>
        </is>
      </c>
      <c r="U27" s="85" t="inlineStr">
        <is>
          <t>B-A / A-B / B-A</t>
        </is>
      </c>
      <c r="V27" s="85" t="inlineStr">
        <is>
          <t>One-Euro</t>
        </is>
      </c>
      <c r="W27" s="85" t="inlineStr">
        <is>
          <t>EgoAnchor</t>
        </is>
      </c>
      <c r="X27" s="85" t="inlineStr">
        <is>
          <t>EgoAnchor</t>
        </is>
      </c>
      <c r="Y27" s="85" t="inlineStr">
        <is>
          <t>方法B → 方法A</t>
        </is>
      </c>
      <c r="Z27" s="215" t="inlineStr">
        <is>
          <t>无</t>
        </is>
      </c>
      <c r="AA27" s="243" t="inlineStr">
        <is>
          <t/>
        </is>
      </c>
    </row>
    <row r="28">
      <c r="A28" s="91" t="inlineStr">
        <is>
          <t>P024</t>
        </is>
      </c>
      <c r="B28" s="218" t="inlineStr">
        <is>
          <t>是</t>
        </is>
      </c>
      <c r="C28" s="218" t="inlineStr">
        <is>
          <t/>
        </is>
      </c>
      <c r="D28" s="218"/>
      <c r="E28" s="218" t="inlineStr">
        <is>
          <t/>
        </is>
      </c>
      <c r="F28" s="218" t="inlineStr">
        <is>
          <t/>
        </is>
      </c>
      <c r="G28" s="218" t="inlineStr">
        <is>
          <t/>
        </is>
      </c>
      <c r="H28" s="218" t="inlineStr">
        <is>
          <t/>
        </is>
      </c>
      <c r="I28" s="218" t="inlineStr">
        <is>
          <t/>
        </is>
      </c>
      <c r="J28" s="218" t="inlineStr">
        <is>
          <t/>
        </is>
      </c>
      <c r="K28" s="218" t="inlineStr">
        <is>
          <t/>
        </is>
      </c>
      <c r="L28" s="219" t="inlineStr">
        <is>
          <t/>
        </is>
      </c>
      <c r="M28" s="219" t="inlineStr">
        <is>
          <t/>
        </is>
      </c>
      <c r="N28" s="254" t="str">
        <f>IF(AND(L28&lt;&gt;"",M28&lt;&gt;""),(M28-L28)*1440,"")</f>
      </c>
      <c r="O28" s="109" t="inlineStr">
        <is>
          <t>P6-S2-OE</t>
        </is>
      </c>
      <c r="P28" s="109" t="n">
        <v>6</v>
      </c>
      <c r="Q28" s="109" t="inlineStr">
        <is>
          <t>S2</t>
        </is>
      </c>
      <c r="R28" s="109" t="inlineStr">
        <is>
          <t>游戏手柄</t>
        </is>
      </c>
      <c r="S28" s="109" t="inlineStr">
        <is>
          <t>固定订书机</t>
        </is>
      </c>
      <c r="T28" s="109" t="inlineStr">
        <is>
          <t>鼠标</t>
        </is>
      </c>
      <c r="U28" s="109" t="inlineStr">
        <is>
          <t>B-A / A-B / B-A</t>
        </is>
      </c>
      <c r="V28" s="109" t="inlineStr">
        <is>
          <t>One-Euro</t>
        </is>
      </c>
      <c r="W28" s="109" t="inlineStr">
        <is>
          <t>EgoAnchor</t>
        </is>
      </c>
      <c r="X28" s="109" t="inlineStr">
        <is>
          <t>EgoAnchor</t>
        </is>
      </c>
      <c r="Y28" s="109" t="inlineStr">
        <is>
          <t>方法B → 方法A</t>
        </is>
      </c>
      <c r="Z28" s="218" t="inlineStr">
        <is>
          <t>无</t>
        </is>
      </c>
      <c r="AA28" s="244" t="inlineStr">
        <is>
          <t/>
        </is>
      </c>
    </row>
  </sheetData>
  <mergeCells>
    <mergeCell ref="A1:AA1"/>
    <mergeCell ref="A2:A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16" hidden="0" customWidth="1"/>
    <col min="2" max="2" width="11" hidden="0" customWidth="1"/>
    <col min="3" max="3" width="20" hidden="0" customWidth="1"/>
    <col min="4" max="4" width="16" hidden="0" customWidth="1"/>
    <col min="5" max="5" width="17" hidden="0" customWidth="1"/>
    <col min="6" max="6" width="17" hidden="0" customWidth="1"/>
    <col min="7" max="7" width="14" hidden="0" customWidth="1"/>
    <col min="8" max="8" width="17" hidden="0" customWidth="1"/>
    <col min="9" max="9" width="18" hidden="0" customWidth="1"/>
    <col min="10" max="10" width="18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6" hidden="0" customWidth="1"/>
    <col min="16" max="16" width="16" hidden="0" customWidth="1"/>
    <col min="17" max="17" width="14" hidden="0" customWidth="1"/>
    <col min="18" max="18" width="14" hidden="0" customWidth="1"/>
    <col min="19" max="19" width="14" hidden="0" customWidth="1"/>
    <col min="20" max="20" width="16" hidden="0" customWidth="1"/>
    <col min="21" max="21" width="16" hidden="0" customWidth="1"/>
    <col min="22" max="22" width="34" hidden="0" customWidth="1"/>
  </cols>
  <sheetData>
    <row r="1">
      <c r="A1" s="4" t="inlineStr">
        <is>
          <t>正式区块顺序与阶段时间记录（144个区块）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68" t="inlineStr">
        <is>
          <t>每个区块依次完成：静止观察 → T1 → 拿起/移动/旋转/放置 → T2 → 遮挡/恢复 → T3 → AQ六项。Block_Complete 由 TaskRatings 和 BlockRatings_AQ 的完成标记自动生成。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</row>
    <row r="4">
      <c r="A4" s="26" t="inlineStr">
        <is>
          <t>Participant_ID</t>
        </is>
      </c>
      <c r="B4" s="27" t="inlineStr">
        <is>
          <t>Block_Index</t>
        </is>
      </c>
      <c r="C4" s="27" t="inlineStr">
        <is>
          <t>平衡单元</t>
        </is>
      </c>
      <c r="D4" s="27" t="inlineStr">
        <is>
          <t>Object_Position</t>
        </is>
      </c>
      <c r="E4" s="27" t="inlineStr">
        <is>
          <t>Object</t>
        </is>
      </c>
      <c r="F4" s="27" t="inlineStr">
        <is>
          <t>Object_Key</t>
        </is>
      </c>
      <c r="G4" s="27" t="inlineStr">
        <is>
          <t>Shown_Label</t>
        </is>
      </c>
      <c r="H4" s="27" t="inlineStr">
        <is>
          <t>Condition</t>
        </is>
      </c>
      <c r="I4" s="27" t="inlineStr">
        <is>
          <t>Cond_Pos_In_Object</t>
        </is>
      </c>
      <c r="J4" s="27" t="inlineStr">
        <is>
          <t>Method_Exposure_No</t>
        </is>
      </c>
      <c r="K4" s="27" t="inlineStr">
        <is>
          <t>Static_Start</t>
        </is>
      </c>
      <c r="L4" s="27" t="inlineStr">
        <is>
          <t>Static_End</t>
        </is>
      </c>
      <c r="M4" s="27" t="inlineStr">
        <is>
          <t>Move_Start</t>
        </is>
      </c>
      <c r="N4" s="27" t="inlineStr">
        <is>
          <t>Move_End</t>
        </is>
      </c>
      <c r="O4" s="27" t="inlineStr">
        <is>
          <t>Occlusion_Start</t>
        </is>
      </c>
      <c r="P4" s="27" t="inlineStr">
        <is>
          <t>Occlusion_End</t>
        </is>
      </c>
      <c r="Q4" s="27" t="inlineStr">
        <is>
          <t>AQ_Start</t>
        </is>
      </c>
      <c r="R4" s="27" t="inlineStr">
        <is>
          <t>AQ_End</t>
        </is>
      </c>
      <c r="S4" s="27" t="inlineStr">
        <is>
          <t>Block_End</t>
        </is>
      </c>
      <c r="T4" s="27" t="inlineStr">
        <is>
          <t>Operator</t>
        </is>
      </c>
      <c r="U4" s="27" t="inlineStr">
        <is>
          <t>Block_Complete</t>
        </is>
      </c>
      <c r="V4" s="101" t="inlineStr">
        <is>
          <t>Notes</t>
        </is>
      </c>
    </row>
    <row r="5">
      <c r="A5" s="90" t="inlineStr">
        <is>
          <t>P001</t>
        </is>
      </c>
      <c r="B5" s="85" t="n">
        <v>1</v>
      </c>
      <c r="C5" s="85" t="inlineStr">
        <is>
          <t>P1-S1-EA</t>
        </is>
      </c>
      <c r="D5" s="85" t="n">
        <v>1</v>
      </c>
      <c r="E5" s="85" t="inlineStr">
        <is>
          <t>鼠标</t>
        </is>
      </c>
      <c r="F5" s="85" t="inlineStr">
        <is>
          <t>blue_mouse</t>
        </is>
      </c>
      <c r="G5" s="85" t="inlineStr">
        <is>
          <t>方法A</t>
        </is>
      </c>
      <c r="H5" s="85" t="inlineStr">
        <is>
          <t>EgoAnchor</t>
        </is>
      </c>
      <c r="I5" s="85" t="n">
        <v>1</v>
      </c>
      <c r="J5" s="85" t="n">
        <v>1</v>
      </c>
      <c r="K5" s="267" t="inlineStr">
        <is>
          <t/>
        </is>
      </c>
      <c r="L5" s="267" t="inlineStr">
        <is>
          <t/>
        </is>
      </c>
      <c r="M5" s="267" t="inlineStr">
        <is>
          <t/>
        </is>
      </c>
      <c r="N5" s="267" t="inlineStr">
        <is>
          <t/>
        </is>
      </c>
      <c r="O5" s="267" t="inlineStr">
        <is>
          <t/>
        </is>
      </c>
      <c r="P5" s="267" t="inlineStr">
        <is>
          <t/>
        </is>
      </c>
      <c r="Q5" s="267" t="inlineStr">
        <is>
          <t/>
        </is>
      </c>
      <c r="R5" s="267" t="inlineStr">
        <is>
          <t/>
        </is>
      </c>
      <c r="S5" s="267" t="inlineStr">
        <is>
          <t/>
        </is>
      </c>
      <c r="T5" s="215" t="inlineStr">
        <is>
          <t/>
        </is>
      </c>
      <c r="U5" s="129" t="str">
        <f>IF(AND(TaskRatings!N5="完整",BlockRatings_AQ!Q5="完整"),"完整","未完成")</f>
        <v>未完成</v>
      </c>
      <c r="V5" s="243" t="inlineStr">
        <is>
          <t/>
        </is>
      </c>
    </row>
    <row r="6">
      <c r="A6" s="90" t="inlineStr">
        <is>
          <t>P001</t>
        </is>
      </c>
      <c r="B6" s="85" t="n">
        <v>2</v>
      </c>
      <c r="C6" s="85" t="inlineStr">
        <is>
          <t>P1-S1-EA</t>
        </is>
      </c>
      <c r="D6" s="85" t="n">
        <v>1</v>
      </c>
      <c r="E6" s="85" t="inlineStr">
        <is>
          <t>鼠标</t>
        </is>
      </c>
      <c r="F6" s="85" t="inlineStr">
        <is>
          <t>blue_mouse</t>
        </is>
      </c>
      <c r="G6" s="85" t="inlineStr">
        <is>
          <t>方法B</t>
        </is>
      </c>
      <c r="H6" s="85" t="inlineStr">
        <is>
          <t>One-Euro</t>
        </is>
      </c>
      <c r="I6" s="85" t="n">
        <v>2</v>
      </c>
      <c r="J6" s="85" t="n">
        <v>1</v>
      </c>
      <c r="K6" s="267" t="inlineStr">
        <is>
          <t/>
        </is>
      </c>
      <c r="L6" s="267" t="inlineStr">
        <is>
          <t/>
        </is>
      </c>
      <c r="M6" s="267" t="inlineStr">
        <is>
          <t/>
        </is>
      </c>
      <c r="N6" s="267" t="inlineStr">
        <is>
          <t/>
        </is>
      </c>
      <c r="O6" s="267" t="inlineStr">
        <is>
          <t/>
        </is>
      </c>
      <c r="P6" s="267" t="inlineStr">
        <is>
          <t/>
        </is>
      </c>
      <c r="Q6" s="267" t="inlineStr">
        <is>
          <t/>
        </is>
      </c>
      <c r="R6" s="267" t="inlineStr">
        <is>
          <t/>
        </is>
      </c>
      <c r="S6" s="267" t="inlineStr">
        <is>
          <t/>
        </is>
      </c>
      <c r="T6" s="215" t="inlineStr">
        <is>
          <t/>
        </is>
      </c>
      <c r="U6" s="129" t="str">
        <f>IF(AND(TaskRatings!N6="完整",BlockRatings_AQ!Q6="完整"),"完整","未完成")</f>
        <v>未完成</v>
      </c>
      <c r="V6" s="243" t="inlineStr">
        <is>
          <t/>
        </is>
      </c>
    </row>
    <row r="7">
      <c r="A7" s="90" t="inlineStr">
        <is>
          <t>P001</t>
        </is>
      </c>
      <c r="B7" s="85" t="n">
        <v>3</v>
      </c>
      <c r="C7" s="85" t="inlineStr">
        <is>
          <t>P1-S1-EA</t>
        </is>
      </c>
      <c r="D7" s="85" t="n">
        <v>2</v>
      </c>
      <c r="E7" s="85" t="inlineStr">
        <is>
          <t>固定订书机</t>
        </is>
      </c>
      <c r="F7" s="85" t="inlineStr">
        <is>
          <t>stapler</t>
        </is>
      </c>
      <c r="G7" s="85" t="inlineStr">
        <is>
          <t>方法B</t>
        </is>
      </c>
      <c r="H7" s="85" t="inlineStr">
        <is>
          <t>One-Euro</t>
        </is>
      </c>
      <c r="I7" s="85" t="n">
        <v>1</v>
      </c>
      <c r="J7" s="85" t="n">
        <v>2</v>
      </c>
      <c r="K7" s="267" t="inlineStr">
        <is>
          <t/>
        </is>
      </c>
      <c r="L7" s="267" t="inlineStr">
        <is>
          <t/>
        </is>
      </c>
      <c r="M7" s="267" t="inlineStr">
        <is>
          <t/>
        </is>
      </c>
      <c r="N7" s="267" t="inlineStr">
        <is>
          <t/>
        </is>
      </c>
      <c r="O7" s="267" t="inlineStr">
        <is>
          <t/>
        </is>
      </c>
      <c r="P7" s="267" t="inlineStr">
        <is>
          <t/>
        </is>
      </c>
      <c r="Q7" s="267" t="inlineStr">
        <is>
          <t/>
        </is>
      </c>
      <c r="R7" s="267" t="inlineStr">
        <is>
          <t/>
        </is>
      </c>
      <c r="S7" s="267" t="inlineStr">
        <is>
          <t/>
        </is>
      </c>
      <c r="T7" s="215" t="inlineStr">
        <is>
          <t/>
        </is>
      </c>
      <c r="U7" s="129" t="str">
        <f>IF(AND(TaskRatings!N7="完整",BlockRatings_AQ!Q7="完整"),"完整","未完成")</f>
        <v>未完成</v>
      </c>
      <c r="V7" s="243" t="inlineStr">
        <is>
          <t/>
        </is>
      </c>
    </row>
    <row r="8">
      <c r="A8" s="90" t="inlineStr">
        <is>
          <t>P001</t>
        </is>
      </c>
      <c r="B8" s="85" t="n">
        <v>4</v>
      </c>
      <c r="C8" s="85" t="inlineStr">
        <is>
          <t>P1-S1-EA</t>
        </is>
      </c>
      <c r="D8" s="85" t="n">
        <v>2</v>
      </c>
      <c r="E8" s="85" t="inlineStr">
        <is>
          <t>固定订书机</t>
        </is>
      </c>
      <c r="F8" s="85" t="inlineStr">
        <is>
          <t>stapler</t>
        </is>
      </c>
      <c r="G8" s="85" t="inlineStr">
        <is>
          <t>方法A</t>
        </is>
      </c>
      <c r="H8" s="85" t="inlineStr">
        <is>
          <t>EgoAnchor</t>
        </is>
      </c>
      <c r="I8" s="85" t="n">
        <v>2</v>
      </c>
      <c r="J8" s="85" t="n">
        <v>2</v>
      </c>
      <c r="K8" s="267" t="inlineStr">
        <is>
          <t/>
        </is>
      </c>
      <c r="L8" s="267" t="inlineStr">
        <is>
          <t/>
        </is>
      </c>
      <c r="M8" s="267" t="inlineStr">
        <is>
          <t/>
        </is>
      </c>
      <c r="N8" s="267" t="inlineStr">
        <is>
          <t/>
        </is>
      </c>
      <c r="O8" s="267" t="inlineStr">
        <is>
          <t/>
        </is>
      </c>
      <c r="P8" s="267" t="inlineStr">
        <is>
          <t/>
        </is>
      </c>
      <c r="Q8" s="267" t="inlineStr">
        <is>
          <t/>
        </is>
      </c>
      <c r="R8" s="267" t="inlineStr">
        <is>
          <t/>
        </is>
      </c>
      <c r="S8" s="267" t="inlineStr">
        <is>
          <t/>
        </is>
      </c>
      <c r="T8" s="215" t="inlineStr">
        <is>
          <t/>
        </is>
      </c>
      <c r="U8" s="129" t="str">
        <f>IF(AND(TaskRatings!N8="完整",BlockRatings_AQ!Q8="完整"),"完整","未完成")</f>
        <v>未完成</v>
      </c>
      <c r="V8" s="243" t="inlineStr">
        <is>
          <t/>
        </is>
      </c>
    </row>
    <row r="9">
      <c r="A9" s="90" t="inlineStr">
        <is>
          <t>P001</t>
        </is>
      </c>
      <c r="B9" s="85" t="n">
        <v>5</v>
      </c>
      <c r="C9" s="85" t="inlineStr">
        <is>
          <t>P1-S1-EA</t>
        </is>
      </c>
      <c r="D9" s="85" t="n">
        <v>3</v>
      </c>
      <c r="E9" s="85" t="inlineStr">
        <is>
          <t>游戏手柄</t>
        </is>
      </c>
      <c r="F9" s="85" t="inlineStr">
        <is>
          <t>gamepad</t>
        </is>
      </c>
      <c r="G9" s="85" t="inlineStr">
        <is>
          <t>方法A</t>
        </is>
      </c>
      <c r="H9" s="85" t="inlineStr">
        <is>
          <t>EgoAnchor</t>
        </is>
      </c>
      <c r="I9" s="85" t="n">
        <v>1</v>
      </c>
      <c r="J9" s="85" t="n">
        <v>3</v>
      </c>
      <c r="K9" s="267" t="inlineStr">
        <is>
          <t/>
        </is>
      </c>
      <c r="L9" s="267" t="inlineStr">
        <is>
          <t/>
        </is>
      </c>
      <c r="M9" s="267" t="inlineStr">
        <is>
          <t/>
        </is>
      </c>
      <c r="N9" s="267" t="inlineStr">
        <is>
          <t/>
        </is>
      </c>
      <c r="O9" s="267" t="inlineStr">
        <is>
          <t/>
        </is>
      </c>
      <c r="P9" s="267" t="inlineStr">
        <is>
          <t/>
        </is>
      </c>
      <c r="Q9" s="267" t="inlineStr">
        <is>
          <t/>
        </is>
      </c>
      <c r="R9" s="267" t="inlineStr">
        <is>
          <t/>
        </is>
      </c>
      <c r="S9" s="267" t="inlineStr">
        <is>
          <t/>
        </is>
      </c>
      <c r="T9" s="215" t="inlineStr">
        <is>
          <t/>
        </is>
      </c>
      <c r="U9" s="129" t="str">
        <f>IF(AND(TaskRatings!N9="完整",BlockRatings_AQ!Q9="完整"),"完整","未完成")</f>
        <v>未完成</v>
      </c>
      <c r="V9" s="243" t="inlineStr">
        <is>
          <t/>
        </is>
      </c>
    </row>
    <row r="10">
      <c r="A10" s="90" t="inlineStr">
        <is>
          <t>P001</t>
        </is>
      </c>
      <c r="B10" s="85" t="n">
        <v>6</v>
      </c>
      <c r="C10" s="85" t="inlineStr">
        <is>
          <t>P1-S1-EA</t>
        </is>
      </c>
      <c r="D10" s="85" t="n">
        <v>3</v>
      </c>
      <c r="E10" s="85" t="inlineStr">
        <is>
          <t>游戏手柄</t>
        </is>
      </c>
      <c r="F10" s="85" t="inlineStr">
        <is>
          <t>gamepad</t>
        </is>
      </c>
      <c r="G10" s="85" t="inlineStr">
        <is>
          <t>方法B</t>
        </is>
      </c>
      <c r="H10" s="85" t="inlineStr">
        <is>
          <t>One-Euro</t>
        </is>
      </c>
      <c r="I10" s="85" t="n">
        <v>2</v>
      </c>
      <c r="J10" s="85" t="n">
        <v>3</v>
      </c>
      <c r="K10" s="267" t="inlineStr">
        <is>
          <t/>
        </is>
      </c>
      <c r="L10" s="267" t="inlineStr">
        <is>
          <t/>
        </is>
      </c>
      <c r="M10" s="267" t="inlineStr">
        <is>
          <t/>
        </is>
      </c>
      <c r="N10" s="267" t="inlineStr">
        <is>
          <t/>
        </is>
      </c>
      <c r="O10" s="267" t="inlineStr">
        <is>
          <t/>
        </is>
      </c>
      <c r="P10" s="267" t="inlineStr">
        <is>
          <t/>
        </is>
      </c>
      <c r="Q10" s="267" t="inlineStr">
        <is>
          <t/>
        </is>
      </c>
      <c r="R10" s="267" t="inlineStr">
        <is>
          <t/>
        </is>
      </c>
      <c r="S10" s="267" t="inlineStr">
        <is>
          <t/>
        </is>
      </c>
      <c r="T10" s="215" t="inlineStr">
        <is>
          <t/>
        </is>
      </c>
      <c r="U10" s="129" t="str">
        <f>IF(AND(TaskRatings!N10="完整",BlockRatings_AQ!Q10="完整"),"完整","未完成")</f>
        <v>未完成</v>
      </c>
      <c r="V10" s="243" t="inlineStr">
        <is>
          <t/>
        </is>
      </c>
    </row>
    <row r="11">
      <c r="A11" s="90" t="inlineStr">
        <is>
          <t>P002</t>
        </is>
      </c>
      <c r="B11" s="85" t="n">
        <v>1</v>
      </c>
      <c r="C11" s="85" t="inlineStr">
        <is>
          <t>P2-S1-EA</t>
        </is>
      </c>
      <c r="D11" s="85" t="n">
        <v>1</v>
      </c>
      <c r="E11" s="85" t="inlineStr">
        <is>
          <t>鼠标</t>
        </is>
      </c>
      <c r="F11" s="85" t="inlineStr">
        <is>
          <t>blue_mouse</t>
        </is>
      </c>
      <c r="G11" s="85" t="inlineStr">
        <is>
          <t>方法A</t>
        </is>
      </c>
      <c r="H11" s="85" t="inlineStr">
        <is>
          <t>EgoAnchor</t>
        </is>
      </c>
      <c r="I11" s="85" t="n">
        <v>1</v>
      </c>
      <c r="J11" s="85" t="n">
        <v>1</v>
      </c>
      <c r="K11" s="267" t="inlineStr">
        <is>
          <t/>
        </is>
      </c>
      <c r="L11" s="267" t="inlineStr">
        <is>
          <t/>
        </is>
      </c>
      <c r="M11" s="267" t="inlineStr">
        <is>
          <t/>
        </is>
      </c>
      <c r="N11" s="267" t="inlineStr">
        <is>
          <t/>
        </is>
      </c>
      <c r="O11" s="267" t="inlineStr">
        <is>
          <t/>
        </is>
      </c>
      <c r="P11" s="267" t="inlineStr">
        <is>
          <t/>
        </is>
      </c>
      <c r="Q11" s="267" t="inlineStr">
        <is>
          <t/>
        </is>
      </c>
      <c r="R11" s="267" t="inlineStr">
        <is>
          <t/>
        </is>
      </c>
      <c r="S11" s="267" t="inlineStr">
        <is>
          <t/>
        </is>
      </c>
      <c r="T11" s="215" t="inlineStr">
        <is>
          <t/>
        </is>
      </c>
      <c r="U11" s="129" t="str">
        <f>IF(AND(TaskRatings!N11="完整",BlockRatings_AQ!Q11="完整"),"完整","未完成")</f>
        <v>未完成</v>
      </c>
      <c r="V11" s="243" t="inlineStr">
        <is>
          <t/>
        </is>
      </c>
    </row>
    <row r="12">
      <c r="A12" s="90" t="inlineStr">
        <is>
          <t>P002</t>
        </is>
      </c>
      <c r="B12" s="85" t="n">
        <v>2</v>
      </c>
      <c r="C12" s="85" t="inlineStr">
        <is>
          <t>P2-S1-EA</t>
        </is>
      </c>
      <c r="D12" s="85" t="n">
        <v>1</v>
      </c>
      <c r="E12" s="85" t="inlineStr">
        <is>
          <t>鼠标</t>
        </is>
      </c>
      <c r="F12" s="85" t="inlineStr">
        <is>
          <t>blue_mouse</t>
        </is>
      </c>
      <c r="G12" s="85" t="inlineStr">
        <is>
          <t>方法B</t>
        </is>
      </c>
      <c r="H12" s="85" t="inlineStr">
        <is>
          <t>One-Euro</t>
        </is>
      </c>
      <c r="I12" s="85" t="n">
        <v>2</v>
      </c>
      <c r="J12" s="85" t="n">
        <v>1</v>
      </c>
      <c r="K12" s="267" t="inlineStr">
        <is>
          <t/>
        </is>
      </c>
      <c r="L12" s="267" t="inlineStr">
        <is>
          <t/>
        </is>
      </c>
      <c r="M12" s="267" t="inlineStr">
        <is>
          <t/>
        </is>
      </c>
      <c r="N12" s="267" t="inlineStr">
        <is>
          <t/>
        </is>
      </c>
      <c r="O12" s="267" t="inlineStr">
        <is>
          <t/>
        </is>
      </c>
      <c r="P12" s="267" t="inlineStr">
        <is>
          <t/>
        </is>
      </c>
      <c r="Q12" s="267" t="inlineStr">
        <is>
          <t/>
        </is>
      </c>
      <c r="R12" s="267" t="inlineStr">
        <is>
          <t/>
        </is>
      </c>
      <c r="S12" s="267" t="inlineStr">
        <is>
          <t/>
        </is>
      </c>
      <c r="T12" s="215" t="inlineStr">
        <is>
          <t/>
        </is>
      </c>
      <c r="U12" s="129" t="str">
        <f>IF(AND(TaskRatings!N12="完整",BlockRatings_AQ!Q12="完整"),"完整","未完成")</f>
        <v>未完成</v>
      </c>
      <c r="V12" s="243" t="inlineStr">
        <is>
          <t/>
        </is>
      </c>
    </row>
    <row r="13">
      <c r="A13" s="90" t="inlineStr">
        <is>
          <t>P002</t>
        </is>
      </c>
      <c r="B13" s="85" t="n">
        <v>3</v>
      </c>
      <c r="C13" s="85" t="inlineStr">
        <is>
          <t>P2-S1-EA</t>
        </is>
      </c>
      <c r="D13" s="85" t="n">
        <v>2</v>
      </c>
      <c r="E13" s="85" t="inlineStr">
        <is>
          <t>游戏手柄</t>
        </is>
      </c>
      <c r="F13" s="85" t="inlineStr">
        <is>
          <t>gamepad</t>
        </is>
      </c>
      <c r="G13" s="85" t="inlineStr">
        <is>
          <t>方法B</t>
        </is>
      </c>
      <c r="H13" s="85" t="inlineStr">
        <is>
          <t>One-Euro</t>
        </is>
      </c>
      <c r="I13" s="85" t="n">
        <v>1</v>
      </c>
      <c r="J13" s="85" t="n">
        <v>2</v>
      </c>
      <c r="K13" s="267" t="inlineStr">
        <is>
          <t/>
        </is>
      </c>
      <c r="L13" s="267" t="inlineStr">
        <is>
          <t/>
        </is>
      </c>
      <c r="M13" s="267" t="inlineStr">
        <is>
          <t/>
        </is>
      </c>
      <c r="N13" s="267" t="inlineStr">
        <is>
          <t/>
        </is>
      </c>
      <c r="O13" s="267" t="inlineStr">
        <is>
          <t/>
        </is>
      </c>
      <c r="P13" s="267" t="inlineStr">
        <is>
          <t/>
        </is>
      </c>
      <c r="Q13" s="267" t="inlineStr">
        <is>
          <t/>
        </is>
      </c>
      <c r="R13" s="267" t="inlineStr">
        <is>
          <t/>
        </is>
      </c>
      <c r="S13" s="267" t="inlineStr">
        <is>
          <t/>
        </is>
      </c>
      <c r="T13" s="215" t="inlineStr">
        <is>
          <t/>
        </is>
      </c>
      <c r="U13" s="129" t="str">
        <f>IF(AND(TaskRatings!N13="完整",BlockRatings_AQ!Q13="完整"),"完整","未完成")</f>
        <v>未完成</v>
      </c>
      <c r="V13" s="243" t="inlineStr">
        <is>
          <t/>
        </is>
      </c>
    </row>
    <row r="14">
      <c r="A14" s="90" t="inlineStr">
        <is>
          <t>P002</t>
        </is>
      </c>
      <c r="B14" s="85" t="n">
        <v>4</v>
      </c>
      <c r="C14" s="85" t="inlineStr">
        <is>
          <t>P2-S1-EA</t>
        </is>
      </c>
      <c r="D14" s="85" t="n">
        <v>2</v>
      </c>
      <c r="E14" s="85" t="inlineStr">
        <is>
          <t>游戏手柄</t>
        </is>
      </c>
      <c r="F14" s="85" t="inlineStr">
        <is>
          <t>gamepad</t>
        </is>
      </c>
      <c r="G14" s="85" t="inlineStr">
        <is>
          <t>方法A</t>
        </is>
      </c>
      <c r="H14" s="85" t="inlineStr">
        <is>
          <t>EgoAnchor</t>
        </is>
      </c>
      <c r="I14" s="85" t="n">
        <v>2</v>
      </c>
      <c r="J14" s="85" t="n">
        <v>2</v>
      </c>
      <c r="K14" s="267" t="inlineStr">
        <is>
          <t/>
        </is>
      </c>
      <c r="L14" s="267" t="inlineStr">
        <is>
          <t/>
        </is>
      </c>
      <c r="M14" s="267" t="inlineStr">
        <is>
          <t/>
        </is>
      </c>
      <c r="N14" s="267" t="inlineStr">
        <is>
          <t/>
        </is>
      </c>
      <c r="O14" s="267" t="inlineStr">
        <is>
          <t/>
        </is>
      </c>
      <c r="P14" s="267" t="inlineStr">
        <is>
          <t/>
        </is>
      </c>
      <c r="Q14" s="267" t="inlineStr">
        <is>
          <t/>
        </is>
      </c>
      <c r="R14" s="267" t="inlineStr">
        <is>
          <t/>
        </is>
      </c>
      <c r="S14" s="267" t="inlineStr">
        <is>
          <t/>
        </is>
      </c>
      <c r="T14" s="215" t="inlineStr">
        <is>
          <t/>
        </is>
      </c>
      <c r="U14" s="129" t="str">
        <f>IF(AND(TaskRatings!N14="完整",BlockRatings_AQ!Q14="完整"),"完整","未完成")</f>
        <v>未完成</v>
      </c>
      <c r="V14" s="243" t="inlineStr">
        <is>
          <t/>
        </is>
      </c>
    </row>
    <row r="15">
      <c r="A15" s="90" t="inlineStr">
        <is>
          <t>P002</t>
        </is>
      </c>
      <c r="B15" s="85" t="n">
        <v>5</v>
      </c>
      <c r="C15" s="85" t="inlineStr">
        <is>
          <t>P2-S1-EA</t>
        </is>
      </c>
      <c r="D15" s="85" t="n">
        <v>3</v>
      </c>
      <c r="E15" s="85" t="inlineStr">
        <is>
          <t>固定订书机</t>
        </is>
      </c>
      <c r="F15" s="85" t="inlineStr">
        <is>
          <t>stapler</t>
        </is>
      </c>
      <c r="G15" s="85" t="inlineStr">
        <is>
          <t>方法A</t>
        </is>
      </c>
      <c r="H15" s="85" t="inlineStr">
        <is>
          <t>EgoAnchor</t>
        </is>
      </c>
      <c r="I15" s="85" t="n">
        <v>1</v>
      </c>
      <c r="J15" s="85" t="n">
        <v>3</v>
      </c>
      <c r="K15" s="267" t="inlineStr">
        <is>
          <t/>
        </is>
      </c>
      <c r="L15" s="267" t="inlineStr">
        <is>
          <t/>
        </is>
      </c>
      <c r="M15" s="267" t="inlineStr">
        <is>
          <t/>
        </is>
      </c>
      <c r="N15" s="267" t="inlineStr">
        <is>
          <t/>
        </is>
      </c>
      <c r="O15" s="267" t="inlineStr">
        <is>
          <t/>
        </is>
      </c>
      <c r="P15" s="267" t="inlineStr">
        <is>
          <t/>
        </is>
      </c>
      <c r="Q15" s="267" t="inlineStr">
        <is>
          <t/>
        </is>
      </c>
      <c r="R15" s="267" t="inlineStr">
        <is>
          <t/>
        </is>
      </c>
      <c r="S15" s="267" t="inlineStr">
        <is>
          <t/>
        </is>
      </c>
      <c r="T15" s="215" t="inlineStr">
        <is>
          <t/>
        </is>
      </c>
      <c r="U15" s="129" t="str">
        <f>IF(AND(TaskRatings!N15="完整",BlockRatings_AQ!Q15="完整"),"完整","未完成")</f>
        <v>未完成</v>
      </c>
      <c r="V15" s="243" t="inlineStr">
        <is>
          <t/>
        </is>
      </c>
    </row>
    <row r="16">
      <c r="A16" s="90" t="inlineStr">
        <is>
          <t>P002</t>
        </is>
      </c>
      <c r="B16" s="85" t="n">
        <v>6</v>
      </c>
      <c r="C16" s="85" t="inlineStr">
        <is>
          <t>P2-S1-EA</t>
        </is>
      </c>
      <c r="D16" s="85" t="n">
        <v>3</v>
      </c>
      <c r="E16" s="85" t="inlineStr">
        <is>
          <t>固定订书机</t>
        </is>
      </c>
      <c r="F16" s="85" t="inlineStr">
        <is>
          <t>stapler</t>
        </is>
      </c>
      <c r="G16" s="85" t="inlineStr">
        <is>
          <t>方法B</t>
        </is>
      </c>
      <c r="H16" s="85" t="inlineStr">
        <is>
          <t>One-Euro</t>
        </is>
      </c>
      <c r="I16" s="85" t="n">
        <v>2</v>
      </c>
      <c r="J16" s="85" t="n">
        <v>3</v>
      </c>
      <c r="K16" s="267" t="inlineStr">
        <is>
          <t/>
        </is>
      </c>
      <c r="L16" s="267" t="inlineStr">
        <is>
          <t/>
        </is>
      </c>
      <c r="M16" s="267" t="inlineStr">
        <is>
          <t/>
        </is>
      </c>
      <c r="N16" s="267" t="inlineStr">
        <is>
          <t/>
        </is>
      </c>
      <c r="O16" s="267" t="inlineStr">
        <is>
          <t/>
        </is>
      </c>
      <c r="P16" s="267" t="inlineStr">
        <is>
          <t/>
        </is>
      </c>
      <c r="Q16" s="267" t="inlineStr">
        <is>
          <t/>
        </is>
      </c>
      <c r="R16" s="267" t="inlineStr">
        <is>
          <t/>
        </is>
      </c>
      <c r="S16" s="267" t="inlineStr">
        <is>
          <t/>
        </is>
      </c>
      <c r="T16" s="215" t="inlineStr">
        <is>
          <t/>
        </is>
      </c>
      <c r="U16" s="129" t="str">
        <f>IF(AND(TaskRatings!N16="完整",BlockRatings_AQ!Q16="完整"),"完整","未完成")</f>
        <v>未完成</v>
      </c>
      <c r="V16" s="243" t="inlineStr">
        <is>
          <t/>
        </is>
      </c>
    </row>
    <row r="17">
      <c r="A17" s="90" t="inlineStr">
        <is>
          <t>P003</t>
        </is>
      </c>
      <c r="B17" s="85" t="n">
        <v>1</v>
      </c>
      <c r="C17" s="85" t="inlineStr">
        <is>
          <t>P3-S1-EA</t>
        </is>
      </c>
      <c r="D17" s="85" t="n">
        <v>1</v>
      </c>
      <c r="E17" s="85" t="inlineStr">
        <is>
          <t>固定订书机</t>
        </is>
      </c>
      <c r="F17" s="85" t="inlineStr">
        <is>
          <t>stapler</t>
        </is>
      </c>
      <c r="G17" s="85" t="inlineStr">
        <is>
          <t>方法A</t>
        </is>
      </c>
      <c r="H17" s="85" t="inlineStr">
        <is>
          <t>EgoAnchor</t>
        </is>
      </c>
      <c r="I17" s="85" t="n">
        <v>1</v>
      </c>
      <c r="J17" s="85" t="n">
        <v>1</v>
      </c>
      <c r="K17" s="267" t="inlineStr">
        <is>
          <t/>
        </is>
      </c>
      <c r="L17" s="267" t="inlineStr">
        <is>
          <t/>
        </is>
      </c>
      <c r="M17" s="267" t="inlineStr">
        <is>
          <t/>
        </is>
      </c>
      <c r="N17" s="267" t="inlineStr">
        <is>
          <t/>
        </is>
      </c>
      <c r="O17" s="267" t="inlineStr">
        <is>
          <t/>
        </is>
      </c>
      <c r="P17" s="267" t="inlineStr">
        <is>
          <t/>
        </is>
      </c>
      <c r="Q17" s="267" t="inlineStr">
        <is>
          <t/>
        </is>
      </c>
      <c r="R17" s="267" t="inlineStr">
        <is>
          <t/>
        </is>
      </c>
      <c r="S17" s="267" t="inlineStr">
        <is>
          <t/>
        </is>
      </c>
      <c r="T17" s="215" t="inlineStr">
        <is>
          <t/>
        </is>
      </c>
      <c r="U17" s="129" t="str">
        <f>IF(AND(TaskRatings!N17="完整",BlockRatings_AQ!Q17="完整"),"完整","未完成")</f>
        <v>未完成</v>
      </c>
      <c r="V17" s="243" t="inlineStr">
        <is>
          <t/>
        </is>
      </c>
    </row>
    <row r="18">
      <c r="A18" s="90" t="inlineStr">
        <is>
          <t>P003</t>
        </is>
      </c>
      <c r="B18" s="85" t="n">
        <v>2</v>
      </c>
      <c r="C18" s="85" t="inlineStr">
        <is>
          <t>P3-S1-EA</t>
        </is>
      </c>
      <c r="D18" s="85" t="n">
        <v>1</v>
      </c>
      <c r="E18" s="85" t="inlineStr">
        <is>
          <t>固定订书机</t>
        </is>
      </c>
      <c r="F18" s="85" t="inlineStr">
        <is>
          <t>stapler</t>
        </is>
      </c>
      <c r="G18" s="85" t="inlineStr">
        <is>
          <t>方法B</t>
        </is>
      </c>
      <c r="H18" s="85" t="inlineStr">
        <is>
          <t>One-Euro</t>
        </is>
      </c>
      <c r="I18" s="85" t="n">
        <v>2</v>
      </c>
      <c r="J18" s="85" t="n">
        <v>1</v>
      </c>
      <c r="K18" s="267" t="inlineStr">
        <is>
          <t/>
        </is>
      </c>
      <c r="L18" s="267" t="inlineStr">
        <is>
          <t/>
        </is>
      </c>
      <c r="M18" s="267" t="inlineStr">
        <is>
          <t/>
        </is>
      </c>
      <c r="N18" s="267" t="inlineStr">
        <is>
          <t/>
        </is>
      </c>
      <c r="O18" s="267" t="inlineStr">
        <is>
          <t/>
        </is>
      </c>
      <c r="P18" s="267" t="inlineStr">
        <is>
          <t/>
        </is>
      </c>
      <c r="Q18" s="267" t="inlineStr">
        <is>
          <t/>
        </is>
      </c>
      <c r="R18" s="267" t="inlineStr">
        <is>
          <t/>
        </is>
      </c>
      <c r="S18" s="267" t="inlineStr">
        <is>
          <t/>
        </is>
      </c>
      <c r="T18" s="215" t="inlineStr">
        <is>
          <t/>
        </is>
      </c>
      <c r="U18" s="129" t="str">
        <f>IF(AND(TaskRatings!N18="完整",BlockRatings_AQ!Q18="完整"),"完整","未完成")</f>
        <v>未完成</v>
      </c>
      <c r="V18" s="243" t="inlineStr">
        <is>
          <t/>
        </is>
      </c>
    </row>
    <row r="19">
      <c r="A19" s="90" t="inlineStr">
        <is>
          <t>P003</t>
        </is>
      </c>
      <c r="B19" s="85" t="n">
        <v>3</v>
      </c>
      <c r="C19" s="85" t="inlineStr">
        <is>
          <t>P3-S1-EA</t>
        </is>
      </c>
      <c r="D19" s="85" t="n">
        <v>2</v>
      </c>
      <c r="E19" s="85" t="inlineStr">
        <is>
          <t>鼠标</t>
        </is>
      </c>
      <c r="F19" s="85" t="inlineStr">
        <is>
          <t>blue_mouse</t>
        </is>
      </c>
      <c r="G19" s="85" t="inlineStr">
        <is>
          <t>方法B</t>
        </is>
      </c>
      <c r="H19" s="85" t="inlineStr">
        <is>
          <t>One-Euro</t>
        </is>
      </c>
      <c r="I19" s="85" t="n">
        <v>1</v>
      </c>
      <c r="J19" s="85" t="n">
        <v>2</v>
      </c>
      <c r="K19" s="267" t="inlineStr">
        <is>
          <t/>
        </is>
      </c>
      <c r="L19" s="267" t="inlineStr">
        <is>
          <t/>
        </is>
      </c>
      <c r="M19" s="267" t="inlineStr">
        <is>
          <t/>
        </is>
      </c>
      <c r="N19" s="267" t="inlineStr">
        <is>
          <t/>
        </is>
      </c>
      <c r="O19" s="267" t="inlineStr">
        <is>
          <t/>
        </is>
      </c>
      <c r="P19" s="267" t="inlineStr">
        <is>
          <t/>
        </is>
      </c>
      <c r="Q19" s="267" t="inlineStr">
        <is>
          <t/>
        </is>
      </c>
      <c r="R19" s="267" t="inlineStr">
        <is>
          <t/>
        </is>
      </c>
      <c r="S19" s="267" t="inlineStr">
        <is>
          <t/>
        </is>
      </c>
      <c r="T19" s="215" t="inlineStr">
        <is>
          <t/>
        </is>
      </c>
      <c r="U19" s="129" t="str">
        <f>IF(AND(TaskRatings!N19="完整",BlockRatings_AQ!Q19="完整"),"完整","未完成")</f>
        <v>未完成</v>
      </c>
      <c r="V19" s="243" t="inlineStr">
        <is>
          <t/>
        </is>
      </c>
    </row>
    <row r="20">
      <c r="A20" s="90" t="inlineStr">
        <is>
          <t>P003</t>
        </is>
      </c>
      <c r="B20" s="85" t="n">
        <v>4</v>
      </c>
      <c r="C20" s="85" t="inlineStr">
        <is>
          <t>P3-S1-EA</t>
        </is>
      </c>
      <c r="D20" s="85" t="n">
        <v>2</v>
      </c>
      <c r="E20" s="85" t="inlineStr">
        <is>
          <t>鼠标</t>
        </is>
      </c>
      <c r="F20" s="85" t="inlineStr">
        <is>
          <t>blue_mouse</t>
        </is>
      </c>
      <c r="G20" s="85" t="inlineStr">
        <is>
          <t>方法A</t>
        </is>
      </c>
      <c r="H20" s="85" t="inlineStr">
        <is>
          <t>EgoAnchor</t>
        </is>
      </c>
      <c r="I20" s="85" t="n">
        <v>2</v>
      </c>
      <c r="J20" s="85" t="n">
        <v>2</v>
      </c>
      <c r="K20" s="267" t="inlineStr">
        <is>
          <t/>
        </is>
      </c>
      <c r="L20" s="267" t="inlineStr">
        <is>
          <t/>
        </is>
      </c>
      <c r="M20" s="267" t="inlineStr">
        <is>
          <t/>
        </is>
      </c>
      <c r="N20" s="267" t="inlineStr">
        <is>
          <t/>
        </is>
      </c>
      <c r="O20" s="267" t="inlineStr">
        <is>
          <t/>
        </is>
      </c>
      <c r="P20" s="267" t="inlineStr">
        <is>
          <t/>
        </is>
      </c>
      <c r="Q20" s="267" t="inlineStr">
        <is>
          <t/>
        </is>
      </c>
      <c r="R20" s="267" t="inlineStr">
        <is>
          <t/>
        </is>
      </c>
      <c r="S20" s="267" t="inlineStr">
        <is>
          <t/>
        </is>
      </c>
      <c r="T20" s="215" t="inlineStr">
        <is>
          <t/>
        </is>
      </c>
      <c r="U20" s="129" t="str">
        <f>IF(AND(TaskRatings!N20="完整",BlockRatings_AQ!Q20="完整"),"完整","未完成")</f>
        <v>未完成</v>
      </c>
      <c r="V20" s="243" t="inlineStr">
        <is>
          <t/>
        </is>
      </c>
    </row>
    <row r="21">
      <c r="A21" s="90" t="inlineStr">
        <is>
          <t>P003</t>
        </is>
      </c>
      <c r="B21" s="85" t="n">
        <v>5</v>
      </c>
      <c r="C21" s="85" t="inlineStr">
        <is>
          <t>P3-S1-EA</t>
        </is>
      </c>
      <c r="D21" s="85" t="n">
        <v>3</v>
      </c>
      <c r="E21" s="85" t="inlineStr">
        <is>
          <t>游戏手柄</t>
        </is>
      </c>
      <c r="F21" s="85" t="inlineStr">
        <is>
          <t>gamepad</t>
        </is>
      </c>
      <c r="G21" s="85" t="inlineStr">
        <is>
          <t>方法A</t>
        </is>
      </c>
      <c r="H21" s="85" t="inlineStr">
        <is>
          <t>EgoAnchor</t>
        </is>
      </c>
      <c r="I21" s="85" t="n">
        <v>1</v>
      </c>
      <c r="J21" s="85" t="n">
        <v>3</v>
      </c>
      <c r="K21" s="267" t="inlineStr">
        <is>
          <t/>
        </is>
      </c>
      <c r="L21" s="267" t="inlineStr">
        <is>
          <t/>
        </is>
      </c>
      <c r="M21" s="267" t="inlineStr">
        <is>
          <t/>
        </is>
      </c>
      <c r="N21" s="267" t="inlineStr">
        <is>
          <t/>
        </is>
      </c>
      <c r="O21" s="267" t="inlineStr">
        <is>
          <t/>
        </is>
      </c>
      <c r="P21" s="267" t="inlineStr">
        <is>
          <t/>
        </is>
      </c>
      <c r="Q21" s="267" t="inlineStr">
        <is>
          <t/>
        </is>
      </c>
      <c r="R21" s="267" t="inlineStr">
        <is>
          <t/>
        </is>
      </c>
      <c r="S21" s="267" t="inlineStr">
        <is>
          <t/>
        </is>
      </c>
      <c r="T21" s="215" t="inlineStr">
        <is>
          <t/>
        </is>
      </c>
      <c r="U21" s="129" t="str">
        <f>IF(AND(TaskRatings!N21="完整",BlockRatings_AQ!Q21="完整"),"完整","未完成")</f>
        <v>未完成</v>
      </c>
      <c r="V21" s="243" t="inlineStr">
        <is>
          <t/>
        </is>
      </c>
    </row>
    <row r="22">
      <c r="A22" s="90" t="inlineStr">
        <is>
          <t>P003</t>
        </is>
      </c>
      <c r="B22" s="85" t="n">
        <v>6</v>
      </c>
      <c r="C22" s="85" t="inlineStr">
        <is>
          <t>P3-S1-EA</t>
        </is>
      </c>
      <c r="D22" s="85" t="n">
        <v>3</v>
      </c>
      <c r="E22" s="85" t="inlineStr">
        <is>
          <t>游戏手柄</t>
        </is>
      </c>
      <c r="F22" s="85" t="inlineStr">
        <is>
          <t>gamepad</t>
        </is>
      </c>
      <c r="G22" s="85" t="inlineStr">
        <is>
          <t>方法B</t>
        </is>
      </c>
      <c r="H22" s="85" t="inlineStr">
        <is>
          <t>One-Euro</t>
        </is>
      </c>
      <c r="I22" s="85" t="n">
        <v>2</v>
      </c>
      <c r="J22" s="85" t="n">
        <v>3</v>
      </c>
      <c r="K22" s="267" t="inlineStr">
        <is>
          <t/>
        </is>
      </c>
      <c r="L22" s="267" t="inlineStr">
        <is>
          <t/>
        </is>
      </c>
      <c r="M22" s="267" t="inlineStr">
        <is>
          <t/>
        </is>
      </c>
      <c r="N22" s="267" t="inlineStr">
        <is>
          <t/>
        </is>
      </c>
      <c r="O22" s="267" t="inlineStr">
        <is>
          <t/>
        </is>
      </c>
      <c r="P22" s="267" t="inlineStr">
        <is>
          <t/>
        </is>
      </c>
      <c r="Q22" s="267" t="inlineStr">
        <is>
          <t/>
        </is>
      </c>
      <c r="R22" s="267" t="inlineStr">
        <is>
          <t/>
        </is>
      </c>
      <c r="S22" s="267" t="inlineStr">
        <is>
          <t/>
        </is>
      </c>
      <c r="T22" s="215" t="inlineStr">
        <is>
          <t/>
        </is>
      </c>
      <c r="U22" s="129" t="str">
        <f>IF(AND(TaskRatings!N22="完整",BlockRatings_AQ!Q22="完整"),"完整","未完成")</f>
        <v>未完成</v>
      </c>
      <c r="V22" s="243" t="inlineStr">
        <is>
          <t/>
        </is>
      </c>
    </row>
    <row r="23">
      <c r="A23" s="90" t="inlineStr">
        <is>
          <t>P004</t>
        </is>
      </c>
      <c r="B23" s="85" t="n">
        <v>1</v>
      </c>
      <c r="C23" s="85" t="inlineStr">
        <is>
          <t>P4-S1-EA</t>
        </is>
      </c>
      <c r="D23" s="85" t="n">
        <v>1</v>
      </c>
      <c r="E23" s="85" t="inlineStr">
        <is>
          <t>固定订书机</t>
        </is>
      </c>
      <c r="F23" s="85" t="inlineStr">
        <is>
          <t>stapler</t>
        </is>
      </c>
      <c r="G23" s="85" t="inlineStr">
        <is>
          <t>方法A</t>
        </is>
      </c>
      <c r="H23" s="85" t="inlineStr">
        <is>
          <t>EgoAnchor</t>
        </is>
      </c>
      <c r="I23" s="85" t="n">
        <v>1</v>
      </c>
      <c r="J23" s="85" t="n">
        <v>1</v>
      </c>
      <c r="K23" s="267" t="inlineStr">
        <is>
          <t/>
        </is>
      </c>
      <c r="L23" s="267" t="inlineStr">
        <is>
          <t/>
        </is>
      </c>
      <c r="M23" s="267" t="inlineStr">
        <is>
          <t/>
        </is>
      </c>
      <c r="N23" s="267" t="inlineStr">
        <is>
          <t/>
        </is>
      </c>
      <c r="O23" s="267" t="inlineStr">
        <is>
          <t/>
        </is>
      </c>
      <c r="P23" s="267" t="inlineStr">
        <is>
          <t/>
        </is>
      </c>
      <c r="Q23" s="267" t="inlineStr">
        <is>
          <t/>
        </is>
      </c>
      <c r="R23" s="267" t="inlineStr">
        <is>
          <t/>
        </is>
      </c>
      <c r="S23" s="267" t="inlineStr">
        <is>
          <t/>
        </is>
      </c>
      <c r="T23" s="215" t="inlineStr">
        <is>
          <t/>
        </is>
      </c>
      <c r="U23" s="129" t="str">
        <f>IF(AND(TaskRatings!N23="完整",BlockRatings_AQ!Q23="完整"),"完整","未完成")</f>
        <v>未完成</v>
      </c>
      <c r="V23" s="243" t="inlineStr">
        <is>
          <t/>
        </is>
      </c>
    </row>
    <row r="24">
      <c r="A24" s="90" t="inlineStr">
        <is>
          <t>P004</t>
        </is>
      </c>
      <c r="B24" s="85" t="n">
        <v>2</v>
      </c>
      <c r="C24" s="85" t="inlineStr">
        <is>
          <t>P4-S1-EA</t>
        </is>
      </c>
      <c r="D24" s="85" t="n">
        <v>1</v>
      </c>
      <c r="E24" s="85" t="inlineStr">
        <is>
          <t>固定订书机</t>
        </is>
      </c>
      <c r="F24" s="85" t="inlineStr">
        <is>
          <t>stapler</t>
        </is>
      </c>
      <c r="G24" s="85" t="inlineStr">
        <is>
          <t>方法B</t>
        </is>
      </c>
      <c r="H24" s="85" t="inlineStr">
        <is>
          <t>One-Euro</t>
        </is>
      </c>
      <c r="I24" s="85" t="n">
        <v>2</v>
      </c>
      <c r="J24" s="85" t="n">
        <v>1</v>
      </c>
      <c r="K24" s="267" t="inlineStr">
        <is>
          <t/>
        </is>
      </c>
      <c r="L24" s="267" t="inlineStr">
        <is>
          <t/>
        </is>
      </c>
      <c r="M24" s="267" t="inlineStr">
        <is>
          <t/>
        </is>
      </c>
      <c r="N24" s="267" t="inlineStr">
        <is>
          <t/>
        </is>
      </c>
      <c r="O24" s="267" t="inlineStr">
        <is>
          <t/>
        </is>
      </c>
      <c r="P24" s="267" t="inlineStr">
        <is>
          <t/>
        </is>
      </c>
      <c r="Q24" s="267" t="inlineStr">
        <is>
          <t/>
        </is>
      </c>
      <c r="R24" s="267" t="inlineStr">
        <is>
          <t/>
        </is>
      </c>
      <c r="S24" s="267" t="inlineStr">
        <is>
          <t/>
        </is>
      </c>
      <c r="T24" s="215" t="inlineStr">
        <is>
          <t/>
        </is>
      </c>
      <c r="U24" s="129" t="str">
        <f>IF(AND(TaskRatings!N24="完整",BlockRatings_AQ!Q24="完整"),"完整","未完成")</f>
        <v>未完成</v>
      </c>
      <c r="V24" s="243" t="inlineStr">
        <is>
          <t/>
        </is>
      </c>
    </row>
    <row r="25">
      <c r="A25" s="90" t="inlineStr">
        <is>
          <t>P004</t>
        </is>
      </c>
      <c r="B25" s="85" t="n">
        <v>3</v>
      </c>
      <c r="C25" s="85" t="inlineStr">
        <is>
          <t>P4-S1-EA</t>
        </is>
      </c>
      <c r="D25" s="85" t="n">
        <v>2</v>
      </c>
      <c r="E25" s="85" t="inlineStr">
        <is>
          <t>游戏手柄</t>
        </is>
      </c>
      <c r="F25" s="85" t="inlineStr">
        <is>
          <t>gamepad</t>
        </is>
      </c>
      <c r="G25" s="85" t="inlineStr">
        <is>
          <t>方法B</t>
        </is>
      </c>
      <c r="H25" s="85" t="inlineStr">
        <is>
          <t>One-Euro</t>
        </is>
      </c>
      <c r="I25" s="85" t="n">
        <v>1</v>
      </c>
      <c r="J25" s="85" t="n">
        <v>2</v>
      </c>
      <c r="K25" s="267" t="inlineStr">
        <is>
          <t/>
        </is>
      </c>
      <c r="L25" s="267" t="inlineStr">
        <is>
          <t/>
        </is>
      </c>
      <c r="M25" s="267" t="inlineStr">
        <is>
          <t/>
        </is>
      </c>
      <c r="N25" s="267" t="inlineStr">
        <is>
          <t/>
        </is>
      </c>
      <c r="O25" s="267" t="inlineStr">
        <is>
          <t/>
        </is>
      </c>
      <c r="P25" s="267" t="inlineStr">
        <is>
          <t/>
        </is>
      </c>
      <c r="Q25" s="267" t="inlineStr">
        <is>
          <t/>
        </is>
      </c>
      <c r="R25" s="267" t="inlineStr">
        <is>
          <t/>
        </is>
      </c>
      <c r="S25" s="267" t="inlineStr">
        <is>
          <t/>
        </is>
      </c>
      <c r="T25" s="215" t="inlineStr">
        <is>
          <t/>
        </is>
      </c>
      <c r="U25" s="129" t="str">
        <f>IF(AND(TaskRatings!N25="完整",BlockRatings_AQ!Q25="完整"),"完整","未完成")</f>
        <v>未完成</v>
      </c>
      <c r="V25" s="243" t="inlineStr">
        <is>
          <t/>
        </is>
      </c>
    </row>
    <row r="26">
      <c r="A26" s="90" t="inlineStr">
        <is>
          <t>P004</t>
        </is>
      </c>
      <c r="B26" s="85" t="n">
        <v>4</v>
      </c>
      <c r="C26" s="85" t="inlineStr">
        <is>
          <t>P4-S1-EA</t>
        </is>
      </c>
      <c r="D26" s="85" t="n">
        <v>2</v>
      </c>
      <c r="E26" s="85" t="inlineStr">
        <is>
          <t>游戏手柄</t>
        </is>
      </c>
      <c r="F26" s="85" t="inlineStr">
        <is>
          <t>gamepad</t>
        </is>
      </c>
      <c r="G26" s="85" t="inlineStr">
        <is>
          <t>方法A</t>
        </is>
      </c>
      <c r="H26" s="85" t="inlineStr">
        <is>
          <t>EgoAnchor</t>
        </is>
      </c>
      <c r="I26" s="85" t="n">
        <v>2</v>
      </c>
      <c r="J26" s="85" t="n">
        <v>2</v>
      </c>
      <c r="K26" s="267" t="inlineStr">
        <is>
          <t/>
        </is>
      </c>
      <c r="L26" s="267" t="inlineStr">
        <is>
          <t/>
        </is>
      </c>
      <c r="M26" s="267" t="inlineStr">
        <is>
          <t/>
        </is>
      </c>
      <c r="N26" s="267" t="inlineStr">
        <is>
          <t/>
        </is>
      </c>
      <c r="O26" s="267" t="inlineStr">
        <is>
          <t/>
        </is>
      </c>
      <c r="P26" s="267" t="inlineStr">
        <is>
          <t/>
        </is>
      </c>
      <c r="Q26" s="267" t="inlineStr">
        <is>
          <t/>
        </is>
      </c>
      <c r="R26" s="267" t="inlineStr">
        <is>
          <t/>
        </is>
      </c>
      <c r="S26" s="267" t="inlineStr">
        <is>
          <t/>
        </is>
      </c>
      <c r="T26" s="215" t="inlineStr">
        <is>
          <t/>
        </is>
      </c>
      <c r="U26" s="129" t="str">
        <f>IF(AND(TaskRatings!N26="完整",BlockRatings_AQ!Q26="完整"),"完整","未完成")</f>
        <v>未完成</v>
      </c>
      <c r="V26" s="243" t="inlineStr">
        <is>
          <t/>
        </is>
      </c>
    </row>
    <row r="27">
      <c r="A27" s="90" t="inlineStr">
        <is>
          <t>P004</t>
        </is>
      </c>
      <c r="B27" s="85" t="n">
        <v>5</v>
      </c>
      <c r="C27" s="85" t="inlineStr">
        <is>
          <t>P4-S1-EA</t>
        </is>
      </c>
      <c r="D27" s="85" t="n">
        <v>3</v>
      </c>
      <c r="E27" s="85" t="inlineStr">
        <is>
          <t>鼠标</t>
        </is>
      </c>
      <c r="F27" s="85" t="inlineStr">
        <is>
          <t>blue_mouse</t>
        </is>
      </c>
      <c r="G27" s="85" t="inlineStr">
        <is>
          <t>方法A</t>
        </is>
      </c>
      <c r="H27" s="85" t="inlineStr">
        <is>
          <t>EgoAnchor</t>
        </is>
      </c>
      <c r="I27" s="85" t="n">
        <v>1</v>
      </c>
      <c r="J27" s="85" t="n">
        <v>3</v>
      </c>
      <c r="K27" s="267" t="inlineStr">
        <is>
          <t/>
        </is>
      </c>
      <c r="L27" s="267" t="inlineStr">
        <is>
          <t/>
        </is>
      </c>
      <c r="M27" s="267" t="inlineStr">
        <is>
          <t/>
        </is>
      </c>
      <c r="N27" s="267" t="inlineStr">
        <is>
          <t/>
        </is>
      </c>
      <c r="O27" s="267" t="inlineStr">
        <is>
          <t/>
        </is>
      </c>
      <c r="P27" s="267" t="inlineStr">
        <is>
          <t/>
        </is>
      </c>
      <c r="Q27" s="267" t="inlineStr">
        <is>
          <t/>
        </is>
      </c>
      <c r="R27" s="267" t="inlineStr">
        <is>
          <t/>
        </is>
      </c>
      <c r="S27" s="267" t="inlineStr">
        <is>
          <t/>
        </is>
      </c>
      <c r="T27" s="215" t="inlineStr">
        <is>
          <t/>
        </is>
      </c>
      <c r="U27" s="129" t="str">
        <f>IF(AND(TaskRatings!N27="完整",BlockRatings_AQ!Q27="完整"),"完整","未完成")</f>
        <v>未完成</v>
      </c>
      <c r="V27" s="243" t="inlineStr">
        <is>
          <t/>
        </is>
      </c>
    </row>
    <row r="28">
      <c r="A28" s="90" t="inlineStr">
        <is>
          <t>P004</t>
        </is>
      </c>
      <c r="B28" s="85" t="n">
        <v>6</v>
      </c>
      <c r="C28" s="85" t="inlineStr">
        <is>
          <t>P4-S1-EA</t>
        </is>
      </c>
      <c r="D28" s="85" t="n">
        <v>3</v>
      </c>
      <c r="E28" s="85" t="inlineStr">
        <is>
          <t>鼠标</t>
        </is>
      </c>
      <c r="F28" s="85" t="inlineStr">
        <is>
          <t>blue_mouse</t>
        </is>
      </c>
      <c r="G28" s="85" t="inlineStr">
        <is>
          <t>方法B</t>
        </is>
      </c>
      <c r="H28" s="85" t="inlineStr">
        <is>
          <t>One-Euro</t>
        </is>
      </c>
      <c r="I28" s="85" t="n">
        <v>2</v>
      </c>
      <c r="J28" s="85" t="n">
        <v>3</v>
      </c>
      <c r="K28" s="267" t="inlineStr">
        <is>
          <t/>
        </is>
      </c>
      <c r="L28" s="267" t="inlineStr">
        <is>
          <t/>
        </is>
      </c>
      <c r="M28" s="267" t="inlineStr">
        <is>
          <t/>
        </is>
      </c>
      <c r="N28" s="267" t="inlineStr">
        <is>
          <t/>
        </is>
      </c>
      <c r="O28" s="267" t="inlineStr">
        <is>
          <t/>
        </is>
      </c>
      <c r="P28" s="267" t="inlineStr">
        <is>
          <t/>
        </is>
      </c>
      <c r="Q28" s="267" t="inlineStr">
        <is>
          <t/>
        </is>
      </c>
      <c r="R28" s="267" t="inlineStr">
        <is>
          <t/>
        </is>
      </c>
      <c r="S28" s="267" t="inlineStr">
        <is>
          <t/>
        </is>
      </c>
      <c r="T28" s="215" t="inlineStr">
        <is>
          <t/>
        </is>
      </c>
      <c r="U28" s="129" t="str">
        <f>IF(AND(TaskRatings!N28="完整",BlockRatings_AQ!Q28="完整"),"完整","未完成")</f>
        <v>未完成</v>
      </c>
      <c r="V28" s="243" t="inlineStr">
        <is>
          <t/>
        </is>
      </c>
    </row>
    <row r="29">
      <c r="A29" s="90" t="inlineStr">
        <is>
          <t>P005</t>
        </is>
      </c>
      <c r="B29" s="85" t="n">
        <v>1</v>
      </c>
      <c r="C29" s="85" t="inlineStr">
        <is>
          <t>P5-S1-EA</t>
        </is>
      </c>
      <c r="D29" s="85" t="n">
        <v>1</v>
      </c>
      <c r="E29" s="85" t="inlineStr">
        <is>
          <t>游戏手柄</t>
        </is>
      </c>
      <c r="F29" s="85" t="inlineStr">
        <is>
          <t>gamepad</t>
        </is>
      </c>
      <c r="G29" s="85" t="inlineStr">
        <is>
          <t>方法A</t>
        </is>
      </c>
      <c r="H29" s="85" t="inlineStr">
        <is>
          <t>EgoAnchor</t>
        </is>
      </c>
      <c r="I29" s="85" t="n">
        <v>1</v>
      </c>
      <c r="J29" s="85" t="n">
        <v>1</v>
      </c>
      <c r="K29" s="267" t="inlineStr">
        <is>
          <t/>
        </is>
      </c>
      <c r="L29" s="267" t="inlineStr">
        <is>
          <t/>
        </is>
      </c>
      <c r="M29" s="267" t="inlineStr">
        <is>
          <t/>
        </is>
      </c>
      <c r="N29" s="267" t="inlineStr">
        <is>
          <t/>
        </is>
      </c>
      <c r="O29" s="267" t="inlineStr">
        <is>
          <t/>
        </is>
      </c>
      <c r="P29" s="267" t="inlineStr">
        <is>
          <t/>
        </is>
      </c>
      <c r="Q29" s="267" t="inlineStr">
        <is>
          <t/>
        </is>
      </c>
      <c r="R29" s="267" t="inlineStr">
        <is>
          <t/>
        </is>
      </c>
      <c r="S29" s="267" t="inlineStr">
        <is>
          <t/>
        </is>
      </c>
      <c r="T29" s="215" t="inlineStr">
        <is>
          <t/>
        </is>
      </c>
      <c r="U29" s="129" t="str">
        <f>IF(AND(TaskRatings!N29="完整",BlockRatings_AQ!Q29="完整"),"完整","未完成")</f>
        <v>未完成</v>
      </c>
      <c r="V29" s="243" t="inlineStr">
        <is>
          <t/>
        </is>
      </c>
    </row>
    <row r="30">
      <c r="A30" s="90" t="inlineStr">
        <is>
          <t>P005</t>
        </is>
      </c>
      <c r="B30" s="85" t="n">
        <v>2</v>
      </c>
      <c r="C30" s="85" t="inlineStr">
        <is>
          <t>P5-S1-EA</t>
        </is>
      </c>
      <c r="D30" s="85" t="n">
        <v>1</v>
      </c>
      <c r="E30" s="85" t="inlineStr">
        <is>
          <t>游戏手柄</t>
        </is>
      </c>
      <c r="F30" s="85" t="inlineStr">
        <is>
          <t>gamepad</t>
        </is>
      </c>
      <c r="G30" s="85" t="inlineStr">
        <is>
          <t>方法B</t>
        </is>
      </c>
      <c r="H30" s="85" t="inlineStr">
        <is>
          <t>One-Euro</t>
        </is>
      </c>
      <c r="I30" s="85" t="n">
        <v>2</v>
      </c>
      <c r="J30" s="85" t="n">
        <v>1</v>
      </c>
      <c r="K30" s="267" t="inlineStr">
        <is>
          <t/>
        </is>
      </c>
      <c r="L30" s="267" t="inlineStr">
        <is>
          <t/>
        </is>
      </c>
      <c r="M30" s="267" t="inlineStr">
        <is>
          <t/>
        </is>
      </c>
      <c r="N30" s="267" t="inlineStr">
        <is>
          <t/>
        </is>
      </c>
      <c r="O30" s="267" t="inlineStr">
        <is>
          <t/>
        </is>
      </c>
      <c r="P30" s="267" t="inlineStr">
        <is>
          <t/>
        </is>
      </c>
      <c r="Q30" s="267" t="inlineStr">
        <is>
          <t/>
        </is>
      </c>
      <c r="R30" s="267" t="inlineStr">
        <is>
          <t/>
        </is>
      </c>
      <c r="S30" s="267" t="inlineStr">
        <is>
          <t/>
        </is>
      </c>
      <c r="T30" s="215" t="inlineStr">
        <is>
          <t/>
        </is>
      </c>
      <c r="U30" s="129" t="str">
        <f>IF(AND(TaskRatings!N30="完整",BlockRatings_AQ!Q30="完整"),"完整","未完成")</f>
        <v>未完成</v>
      </c>
      <c r="V30" s="243" t="inlineStr">
        <is>
          <t/>
        </is>
      </c>
    </row>
    <row r="31">
      <c r="A31" s="90" t="inlineStr">
        <is>
          <t>P005</t>
        </is>
      </c>
      <c r="B31" s="85" t="n">
        <v>3</v>
      </c>
      <c r="C31" s="85" t="inlineStr">
        <is>
          <t>P5-S1-EA</t>
        </is>
      </c>
      <c r="D31" s="85" t="n">
        <v>2</v>
      </c>
      <c r="E31" s="85" t="inlineStr">
        <is>
          <t>鼠标</t>
        </is>
      </c>
      <c r="F31" s="85" t="inlineStr">
        <is>
          <t>blue_mouse</t>
        </is>
      </c>
      <c r="G31" s="85" t="inlineStr">
        <is>
          <t>方法B</t>
        </is>
      </c>
      <c r="H31" s="85" t="inlineStr">
        <is>
          <t>One-Euro</t>
        </is>
      </c>
      <c r="I31" s="85" t="n">
        <v>1</v>
      </c>
      <c r="J31" s="85" t="n">
        <v>2</v>
      </c>
      <c r="K31" s="267" t="inlineStr">
        <is>
          <t/>
        </is>
      </c>
      <c r="L31" s="267" t="inlineStr">
        <is>
          <t/>
        </is>
      </c>
      <c r="M31" s="267" t="inlineStr">
        <is>
          <t/>
        </is>
      </c>
      <c r="N31" s="267" t="inlineStr">
        <is>
          <t/>
        </is>
      </c>
      <c r="O31" s="267" t="inlineStr">
        <is>
          <t/>
        </is>
      </c>
      <c r="P31" s="267" t="inlineStr">
        <is>
          <t/>
        </is>
      </c>
      <c r="Q31" s="267" t="inlineStr">
        <is>
          <t/>
        </is>
      </c>
      <c r="R31" s="267" t="inlineStr">
        <is>
          <t/>
        </is>
      </c>
      <c r="S31" s="267" t="inlineStr">
        <is>
          <t/>
        </is>
      </c>
      <c r="T31" s="215" t="inlineStr">
        <is>
          <t/>
        </is>
      </c>
      <c r="U31" s="129" t="str">
        <f>IF(AND(TaskRatings!N31="完整",BlockRatings_AQ!Q31="完整"),"完整","未完成")</f>
        <v>未完成</v>
      </c>
      <c r="V31" s="243" t="inlineStr">
        <is>
          <t/>
        </is>
      </c>
    </row>
    <row r="32">
      <c r="A32" s="90" t="inlineStr">
        <is>
          <t>P005</t>
        </is>
      </c>
      <c r="B32" s="85" t="n">
        <v>4</v>
      </c>
      <c r="C32" s="85" t="inlineStr">
        <is>
          <t>P5-S1-EA</t>
        </is>
      </c>
      <c r="D32" s="85" t="n">
        <v>2</v>
      </c>
      <c r="E32" s="85" t="inlineStr">
        <is>
          <t>鼠标</t>
        </is>
      </c>
      <c r="F32" s="85" t="inlineStr">
        <is>
          <t>blue_mouse</t>
        </is>
      </c>
      <c r="G32" s="85" t="inlineStr">
        <is>
          <t>方法A</t>
        </is>
      </c>
      <c r="H32" s="85" t="inlineStr">
        <is>
          <t>EgoAnchor</t>
        </is>
      </c>
      <c r="I32" s="85" t="n">
        <v>2</v>
      </c>
      <c r="J32" s="85" t="n">
        <v>2</v>
      </c>
      <c r="K32" s="267" t="inlineStr">
        <is>
          <t/>
        </is>
      </c>
      <c r="L32" s="267" t="inlineStr">
        <is>
          <t/>
        </is>
      </c>
      <c r="M32" s="267" t="inlineStr">
        <is>
          <t/>
        </is>
      </c>
      <c r="N32" s="267" t="inlineStr">
        <is>
          <t/>
        </is>
      </c>
      <c r="O32" s="267" t="inlineStr">
        <is>
          <t/>
        </is>
      </c>
      <c r="P32" s="267" t="inlineStr">
        <is>
          <t/>
        </is>
      </c>
      <c r="Q32" s="267" t="inlineStr">
        <is>
          <t/>
        </is>
      </c>
      <c r="R32" s="267" t="inlineStr">
        <is>
          <t/>
        </is>
      </c>
      <c r="S32" s="267" t="inlineStr">
        <is>
          <t/>
        </is>
      </c>
      <c r="T32" s="215" t="inlineStr">
        <is>
          <t/>
        </is>
      </c>
      <c r="U32" s="129" t="str">
        <f>IF(AND(TaskRatings!N32="完整",BlockRatings_AQ!Q32="完整"),"完整","未完成")</f>
        <v>未完成</v>
      </c>
      <c r="V32" s="243" t="inlineStr">
        <is>
          <t/>
        </is>
      </c>
    </row>
    <row r="33">
      <c r="A33" s="90" t="inlineStr">
        <is>
          <t>P005</t>
        </is>
      </c>
      <c r="B33" s="85" t="n">
        <v>5</v>
      </c>
      <c r="C33" s="85" t="inlineStr">
        <is>
          <t>P5-S1-EA</t>
        </is>
      </c>
      <c r="D33" s="85" t="n">
        <v>3</v>
      </c>
      <c r="E33" s="85" t="inlineStr">
        <is>
          <t>固定订书机</t>
        </is>
      </c>
      <c r="F33" s="85" t="inlineStr">
        <is>
          <t>stapler</t>
        </is>
      </c>
      <c r="G33" s="85" t="inlineStr">
        <is>
          <t>方法A</t>
        </is>
      </c>
      <c r="H33" s="85" t="inlineStr">
        <is>
          <t>EgoAnchor</t>
        </is>
      </c>
      <c r="I33" s="85" t="n">
        <v>1</v>
      </c>
      <c r="J33" s="85" t="n">
        <v>3</v>
      </c>
      <c r="K33" s="267" t="inlineStr">
        <is>
          <t/>
        </is>
      </c>
      <c r="L33" s="267" t="inlineStr">
        <is>
          <t/>
        </is>
      </c>
      <c r="M33" s="267" t="inlineStr">
        <is>
          <t/>
        </is>
      </c>
      <c r="N33" s="267" t="inlineStr">
        <is>
          <t/>
        </is>
      </c>
      <c r="O33" s="267" t="inlineStr">
        <is>
          <t/>
        </is>
      </c>
      <c r="P33" s="267" t="inlineStr">
        <is>
          <t/>
        </is>
      </c>
      <c r="Q33" s="267" t="inlineStr">
        <is>
          <t/>
        </is>
      </c>
      <c r="R33" s="267" t="inlineStr">
        <is>
          <t/>
        </is>
      </c>
      <c r="S33" s="267" t="inlineStr">
        <is>
          <t/>
        </is>
      </c>
      <c r="T33" s="215" t="inlineStr">
        <is>
          <t/>
        </is>
      </c>
      <c r="U33" s="129" t="str">
        <f>IF(AND(TaskRatings!N33="完整",BlockRatings_AQ!Q33="完整"),"完整","未完成")</f>
        <v>未完成</v>
      </c>
      <c r="V33" s="243" t="inlineStr">
        <is>
          <t/>
        </is>
      </c>
    </row>
    <row r="34">
      <c r="A34" s="90" t="inlineStr">
        <is>
          <t>P005</t>
        </is>
      </c>
      <c r="B34" s="85" t="n">
        <v>6</v>
      </c>
      <c r="C34" s="85" t="inlineStr">
        <is>
          <t>P5-S1-EA</t>
        </is>
      </c>
      <c r="D34" s="85" t="n">
        <v>3</v>
      </c>
      <c r="E34" s="85" t="inlineStr">
        <is>
          <t>固定订书机</t>
        </is>
      </c>
      <c r="F34" s="85" t="inlineStr">
        <is>
          <t>stapler</t>
        </is>
      </c>
      <c r="G34" s="85" t="inlineStr">
        <is>
          <t>方法B</t>
        </is>
      </c>
      <c r="H34" s="85" t="inlineStr">
        <is>
          <t>One-Euro</t>
        </is>
      </c>
      <c r="I34" s="85" t="n">
        <v>2</v>
      </c>
      <c r="J34" s="85" t="n">
        <v>3</v>
      </c>
      <c r="K34" s="267" t="inlineStr">
        <is>
          <t/>
        </is>
      </c>
      <c r="L34" s="267" t="inlineStr">
        <is>
          <t/>
        </is>
      </c>
      <c r="M34" s="267" t="inlineStr">
        <is>
          <t/>
        </is>
      </c>
      <c r="N34" s="267" t="inlineStr">
        <is>
          <t/>
        </is>
      </c>
      <c r="O34" s="267" t="inlineStr">
        <is>
          <t/>
        </is>
      </c>
      <c r="P34" s="267" t="inlineStr">
        <is>
          <t/>
        </is>
      </c>
      <c r="Q34" s="267" t="inlineStr">
        <is>
          <t/>
        </is>
      </c>
      <c r="R34" s="267" t="inlineStr">
        <is>
          <t/>
        </is>
      </c>
      <c r="S34" s="267" t="inlineStr">
        <is>
          <t/>
        </is>
      </c>
      <c r="T34" s="215" t="inlineStr">
        <is>
          <t/>
        </is>
      </c>
      <c r="U34" s="129" t="str">
        <f>IF(AND(TaskRatings!N34="完整",BlockRatings_AQ!Q34="完整"),"完整","未完成")</f>
        <v>未完成</v>
      </c>
      <c r="V34" s="243" t="inlineStr">
        <is>
          <t/>
        </is>
      </c>
    </row>
    <row r="35">
      <c r="A35" s="90" t="inlineStr">
        <is>
          <t>P006</t>
        </is>
      </c>
      <c r="B35" s="85" t="n">
        <v>1</v>
      </c>
      <c r="C35" s="85" t="inlineStr">
        <is>
          <t>P6-S1-EA</t>
        </is>
      </c>
      <c r="D35" s="85" t="n">
        <v>1</v>
      </c>
      <c r="E35" s="85" t="inlineStr">
        <is>
          <t>游戏手柄</t>
        </is>
      </c>
      <c r="F35" s="85" t="inlineStr">
        <is>
          <t>gamepad</t>
        </is>
      </c>
      <c r="G35" s="85" t="inlineStr">
        <is>
          <t>方法A</t>
        </is>
      </c>
      <c r="H35" s="85" t="inlineStr">
        <is>
          <t>EgoAnchor</t>
        </is>
      </c>
      <c r="I35" s="85" t="n">
        <v>1</v>
      </c>
      <c r="J35" s="85" t="n">
        <v>1</v>
      </c>
      <c r="K35" s="267" t="inlineStr">
        <is>
          <t/>
        </is>
      </c>
      <c r="L35" s="267" t="inlineStr">
        <is>
          <t/>
        </is>
      </c>
      <c r="M35" s="267" t="inlineStr">
        <is>
          <t/>
        </is>
      </c>
      <c r="N35" s="267" t="inlineStr">
        <is>
          <t/>
        </is>
      </c>
      <c r="O35" s="267" t="inlineStr">
        <is>
          <t/>
        </is>
      </c>
      <c r="P35" s="267" t="inlineStr">
        <is>
          <t/>
        </is>
      </c>
      <c r="Q35" s="267" t="inlineStr">
        <is>
          <t/>
        </is>
      </c>
      <c r="R35" s="267" t="inlineStr">
        <is>
          <t/>
        </is>
      </c>
      <c r="S35" s="267" t="inlineStr">
        <is>
          <t/>
        </is>
      </c>
      <c r="T35" s="215" t="inlineStr">
        <is>
          <t/>
        </is>
      </c>
      <c r="U35" s="129" t="str">
        <f>IF(AND(TaskRatings!N35="完整",BlockRatings_AQ!Q35="完整"),"完整","未完成")</f>
        <v>未完成</v>
      </c>
      <c r="V35" s="243" t="inlineStr">
        <is>
          <t/>
        </is>
      </c>
    </row>
    <row r="36">
      <c r="A36" s="90" t="inlineStr">
        <is>
          <t>P006</t>
        </is>
      </c>
      <c r="B36" s="85" t="n">
        <v>2</v>
      </c>
      <c r="C36" s="85" t="inlineStr">
        <is>
          <t>P6-S1-EA</t>
        </is>
      </c>
      <c r="D36" s="85" t="n">
        <v>1</v>
      </c>
      <c r="E36" s="85" t="inlineStr">
        <is>
          <t>游戏手柄</t>
        </is>
      </c>
      <c r="F36" s="85" t="inlineStr">
        <is>
          <t>gamepad</t>
        </is>
      </c>
      <c r="G36" s="85" t="inlineStr">
        <is>
          <t>方法B</t>
        </is>
      </c>
      <c r="H36" s="85" t="inlineStr">
        <is>
          <t>One-Euro</t>
        </is>
      </c>
      <c r="I36" s="85" t="n">
        <v>2</v>
      </c>
      <c r="J36" s="85" t="n">
        <v>1</v>
      </c>
      <c r="K36" s="267" t="inlineStr">
        <is>
          <t/>
        </is>
      </c>
      <c r="L36" s="267" t="inlineStr">
        <is>
          <t/>
        </is>
      </c>
      <c r="M36" s="267" t="inlineStr">
        <is>
          <t/>
        </is>
      </c>
      <c r="N36" s="267" t="inlineStr">
        <is>
          <t/>
        </is>
      </c>
      <c r="O36" s="267" t="inlineStr">
        <is>
          <t/>
        </is>
      </c>
      <c r="P36" s="267" t="inlineStr">
        <is>
          <t/>
        </is>
      </c>
      <c r="Q36" s="267" t="inlineStr">
        <is>
          <t/>
        </is>
      </c>
      <c r="R36" s="267" t="inlineStr">
        <is>
          <t/>
        </is>
      </c>
      <c r="S36" s="267" t="inlineStr">
        <is>
          <t/>
        </is>
      </c>
      <c r="T36" s="215" t="inlineStr">
        <is>
          <t/>
        </is>
      </c>
      <c r="U36" s="129" t="str">
        <f>IF(AND(TaskRatings!N36="完整",BlockRatings_AQ!Q36="完整"),"完整","未完成")</f>
        <v>未完成</v>
      </c>
      <c r="V36" s="243" t="inlineStr">
        <is>
          <t/>
        </is>
      </c>
    </row>
    <row r="37">
      <c r="A37" s="90" t="inlineStr">
        <is>
          <t>P006</t>
        </is>
      </c>
      <c r="B37" s="85" t="n">
        <v>3</v>
      </c>
      <c r="C37" s="85" t="inlineStr">
        <is>
          <t>P6-S1-EA</t>
        </is>
      </c>
      <c r="D37" s="85" t="n">
        <v>2</v>
      </c>
      <c r="E37" s="85" t="inlineStr">
        <is>
          <t>固定订书机</t>
        </is>
      </c>
      <c r="F37" s="85" t="inlineStr">
        <is>
          <t>stapler</t>
        </is>
      </c>
      <c r="G37" s="85" t="inlineStr">
        <is>
          <t>方法B</t>
        </is>
      </c>
      <c r="H37" s="85" t="inlineStr">
        <is>
          <t>One-Euro</t>
        </is>
      </c>
      <c r="I37" s="85" t="n">
        <v>1</v>
      </c>
      <c r="J37" s="85" t="n">
        <v>2</v>
      </c>
      <c r="K37" s="267" t="inlineStr">
        <is>
          <t/>
        </is>
      </c>
      <c r="L37" s="267" t="inlineStr">
        <is>
          <t/>
        </is>
      </c>
      <c r="M37" s="267" t="inlineStr">
        <is>
          <t/>
        </is>
      </c>
      <c r="N37" s="267" t="inlineStr">
        <is>
          <t/>
        </is>
      </c>
      <c r="O37" s="267" t="inlineStr">
        <is>
          <t/>
        </is>
      </c>
      <c r="P37" s="267" t="inlineStr">
        <is>
          <t/>
        </is>
      </c>
      <c r="Q37" s="267" t="inlineStr">
        <is>
          <t/>
        </is>
      </c>
      <c r="R37" s="267" t="inlineStr">
        <is>
          <t/>
        </is>
      </c>
      <c r="S37" s="267" t="inlineStr">
        <is>
          <t/>
        </is>
      </c>
      <c r="T37" s="215" t="inlineStr">
        <is>
          <t/>
        </is>
      </c>
      <c r="U37" s="129" t="str">
        <f>IF(AND(TaskRatings!N37="完整",BlockRatings_AQ!Q37="完整"),"完整","未完成")</f>
        <v>未完成</v>
      </c>
      <c r="V37" s="243" t="inlineStr">
        <is>
          <t/>
        </is>
      </c>
    </row>
    <row r="38">
      <c r="A38" s="90" t="inlineStr">
        <is>
          <t>P006</t>
        </is>
      </c>
      <c r="B38" s="85" t="n">
        <v>4</v>
      </c>
      <c r="C38" s="85" t="inlineStr">
        <is>
          <t>P6-S1-EA</t>
        </is>
      </c>
      <c r="D38" s="85" t="n">
        <v>2</v>
      </c>
      <c r="E38" s="85" t="inlineStr">
        <is>
          <t>固定订书机</t>
        </is>
      </c>
      <c r="F38" s="85" t="inlineStr">
        <is>
          <t>stapler</t>
        </is>
      </c>
      <c r="G38" s="85" t="inlineStr">
        <is>
          <t>方法A</t>
        </is>
      </c>
      <c r="H38" s="85" t="inlineStr">
        <is>
          <t>EgoAnchor</t>
        </is>
      </c>
      <c r="I38" s="85" t="n">
        <v>2</v>
      </c>
      <c r="J38" s="85" t="n">
        <v>2</v>
      </c>
      <c r="K38" s="267" t="inlineStr">
        <is>
          <t/>
        </is>
      </c>
      <c r="L38" s="267" t="inlineStr">
        <is>
          <t/>
        </is>
      </c>
      <c r="M38" s="267" t="inlineStr">
        <is>
          <t/>
        </is>
      </c>
      <c r="N38" s="267" t="inlineStr">
        <is>
          <t/>
        </is>
      </c>
      <c r="O38" s="267" t="inlineStr">
        <is>
          <t/>
        </is>
      </c>
      <c r="P38" s="267" t="inlineStr">
        <is>
          <t/>
        </is>
      </c>
      <c r="Q38" s="267" t="inlineStr">
        <is>
          <t/>
        </is>
      </c>
      <c r="R38" s="267" t="inlineStr">
        <is>
          <t/>
        </is>
      </c>
      <c r="S38" s="267" t="inlineStr">
        <is>
          <t/>
        </is>
      </c>
      <c r="T38" s="215" t="inlineStr">
        <is>
          <t/>
        </is>
      </c>
      <c r="U38" s="129" t="str">
        <f>IF(AND(TaskRatings!N38="完整",BlockRatings_AQ!Q38="完整"),"完整","未完成")</f>
        <v>未完成</v>
      </c>
      <c r="V38" s="243" t="inlineStr">
        <is>
          <t/>
        </is>
      </c>
    </row>
    <row r="39">
      <c r="A39" s="90" t="inlineStr">
        <is>
          <t>P006</t>
        </is>
      </c>
      <c r="B39" s="85" t="n">
        <v>5</v>
      </c>
      <c r="C39" s="85" t="inlineStr">
        <is>
          <t>P6-S1-EA</t>
        </is>
      </c>
      <c r="D39" s="85" t="n">
        <v>3</v>
      </c>
      <c r="E39" s="85" t="inlineStr">
        <is>
          <t>鼠标</t>
        </is>
      </c>
      <c r="F39" s="85" t="inlineStr">
        <is>
          <t>blue_mouse</t>
        </is>
      </c>
      <c r="G39" s="85" t="inlineStr">
        <is>
          <t>方法A</t>
        </is>
      </c>
      <c r="H39" s="85" t="inlineStr">
        <is>
          <t>EgoAnchor</t>
        </is>
      </c>
      <c r="I39" s="85" t="n">
        <v>1</v>
      </c>
      <c r="J39" s="85" t="n">
        <v>3</v>
      </c>
      <c r="K39" s="267" t="inlineStr">
        <is>
          <t/>
        </is>
      </c>
      <c r="L39" s="267" t="inlineStr">
        <is>
          <t/>
        </is>
      </c>
      <c r="M39" s="267" t="inlineStr">
        <is>
          <t/>
        </is>
      </c>
      <c r="N39" s="267" t="inlineStr">
        <is>
          <t/>
        </is>
      </c>
      <c r="O39" s="267" t="inlineStr">
        <is>
          <t/>
        </is>
      </c>
      <c r="P39" s="267" t="inlineStr">
        <is>
          <t/>
        </is>
      </c>
      <c r="Q39" s="267" t="inlineStr">
        <is>
          <t/>
        </is>
      </c>
      <c r="R39" s="267" t="inlineStr">
        <is>
          <t/>
        </is>
      </c>
      <c r="S39" s="267" t="inlineStr">
        <is>
          <t/>
        </is>
      </c>
      <c r="T39" s="215" t="inlineStr">
        <is>
          <t/>
        </is>
      </c>
      <c r="U39" s="129" t="str">
        <f>IF(AND(TaskRatings!N39="完整",BlockRatings_AQ!Q39="完整"),"完整","未完成")</f>
        <v>未完成</v>
      </c>
      <c r="V39" s="243" t="inlineStr">
        <is>
          <t/>
        </is>
      </c>
    </row>
    <row r="40">
      <c r="A40" s="90" t="inlineStr">
        <is>
          <t>P006</t>
        </is>
      </c>
      <c r="B40" s="85" t="n">
        <v>6</v>
      </c>
      <c r="C40" s="85" t="inlineStr">
        <is>
          <t>P6-S1-EA</t>
        </is>
      </c>
      <c r="D40" s="85" t="n">
        <v>3</v>
      </c>
      <c r="E40" s="85" t="inlineStr">
        <is>
          <t>鼠标</t>
        </is>
      </c>
      <c r="F40" s="85" t="inlineStr">
        <is>
          <t>blue_mouse</t>
        </is>
      </c>
      <c r="G40" s="85" t="inlineStr">
        <is>
          <t>方法B</t>
        </is>
      </c>
      <c r="H40" s="85" t="inlineStr">
        <is>
          <t>One-Euro</t>
        </is>
      </c>
      <c r="I40" s="85" t="n">
        <v>2</v>
      </c>
      <c r="J40" s="85" t="n">
        <v>3</v>
      </c>
      <c r="K40" s="267" t="inlineStr">
        <is>
          <t/>
        </is>
      </c>
      <c r="L40" s="267" t="inlineStr">
        <is>
          <t/>
        </is>
      </c>
      <c r="M40" s="267" t="inlineStr">
        <is>
          <t/>
        </is>
      </c>
      <c r="N40" s="267" t="inlineStr">
        <is>
          <t/>
        </is>
      </c>
      <c r="O40" s="267" t="inlineStr">
        <is>
          <t/>
        </is>
      </c>
      <c r="P40" s="267" t="inlineStr">
        <is>
          <t/>
        </is>
      </c>
      <c r="Q40" s="267" t="inlineStr">
        <is>
          <t/>
        </is>
      </c>
      <c r="R40" s="267" t="inlineStr">
        <is>
          <t/>
        </is>
      </c>
      <c r="S40" s="267" t="inlineStr">
        <is>
          <t/>
        </is>
      </c>
      <c r="T40" s="215" t="inlineStr">
        <is>
          <t/>
        </is>
      </c>
      <c r="U40" s="129" t="str">
        <f>IF(AND(TaskRatings!N40="完整",BlockRatings_AQ!Q40="完整"),"完整","未完成")</f>
        <v>未完成</v>
      </c>
      <c r="V40" s="243" t="inlineStr">
        <is>
          <t/>
        </is>
      </c>
    </row>
    <row r="41">
      <c r="A41" s="90" t="inlineStr">
        <is>
          <t>P007</t>
        </is>
      </c>
      <c r="B41" s="85" t="n">
        <v>1</v>
      </c>
      <c r="C41" s="85" t="inlineStr">
        <is>
          <t>P1-S2-EA</t>
        </is>
      </c>
      <c r="D41" s="85" t="n">
        <v>1</v>
      </c>
      <c r="E41" s="85" t="inlineStr">
        <is>
          <t>鼠标</t>
        </is>
      </c>
      <c r="F41" s="85" t="inlineStr">
        <is>
          <t>blue_mouse</t>
        </is>
      </c>
      <c r="G41" s="85" t="inlineStr">
        <is>
          <t>方法B</t>
        </is>
      </c>
      <c r="H41" s="85" t="inlineStr">
        <is>
          <t>One-Euro</t>
        </is>
      </c>
      <c r="I41" s="85" t="n">
        <v>1</v>
      </c>
      <c r="J41" s="85" t="n">
        <v>1</v>
      </c>
      <c r="K41" s="267" t="inlineStr">
        <is>
          <t/>
        </is>
      </c>
      <c r="L41" s="267" t="inlineStr">
        <is>
          <t/>
        </is>
      </c>
      <c r="M41" s="267" t="inlineStr">
        <is>
          <t/>
        </is>
      </c>
      <c r="N41" s="267" t="inlineStr">
        <is>
          <t/>
        </is>
      </c>
      <c r="O41" s="267" t="inlineStr">
        <is>
          <t/>
        </is>
      </c>
      <c r="P41" s="267" t="inlineStr">
        <is>
          <t/>
        </is>
      </c>
      <c r="Q41" s="267" t="inlineStr">
        <is>
          <t/>
        </is>
      </c>
      <c r="R41" s="267" t="inlineStr">
        <is>
          <t/>
        </is>
      </c>
      <c r="S41" s="267" t="inlineStr">
        <is>
          <t/>
        </is>
      </c>
      <c r="T41" s="215" t="inlineStr">
        <is>
          <t/>
        </is>
      </c>
      <c r="U41" s="129" t="str">
        <f>IF(AND(TaskRatings!N41="完整",BlockRatings_AQ!Q41="完整"),"完整","未完成")</f>
        <v>未完成</v>
      </c>
      <c r="V41" s="243" t="inlineStr">
        <is>
          <t/>
        </is>
      </c>
    </row>
    <row r="42">
      <c r="A42" s="90" t="inlineStr">
        <is>
          <t>P007</t>
        </is>
      </c>
      <c r="B42" s="85" t="n">
        <v>2</v>
      </c>
      <c r="C42" s="85" t="inlineStr">
        <is>
          <t>P1-S2-EA</t>
        </is>
      </c>
      <c r="D42" s="85" t="n">
        <v>1</v>
      </c>
      <c r="E42" s="85" t="inlineStr">
        <is>
          <t>鼠标</t>
        </is>
      </c>
      <c r="F42" s="85" t="inlineStr">
        <is>
          <t>blue_mouse</t>
        </is>
      </c>
      <c r="G42" s="85" t="inlineStr">
        <is>
          <t>方法A</t>
        </is>
      </c>
      <c r="H42" s="85" t="inlineStr">
        <is>
          <t>EgoAnchor</t>
        </is>
      </c>
      <c r="I42" s="85" t="n">
        <v>2</v>
      </c>
      <c r="J42" s="85" t="n">
        <v>1</v>
      </c>
      <c r="K42" s="267" t="inlineStr">
        <is>
          <t/>
        </is>
      </c>
      <c r="L42" s="267" t="inlineStr">
        <is>
          <t/>
        </is>
      </c>
      <c r="M42" s="267" t="inlineStr">
        <is>
          <t/>
        </is>
      </c>
      <c r="N42" s="267" t="inlineStr">
        <is>
          <t/>
        </is>
      </c>
      <c r="O42" s="267" t="inlineStr">
        <is>
          <t/>
        </is>
      </c>
      <c r="P42" s="267" t="inlineStr">
        <is>
          <t/>
        </is>
      </c>
      <c r="Q42" s="267" t="inlineStr">
        <is>
          <t/>
        </is>
      </c>
      <c r="R42" s="267" t="inlineStr">
        <is>
          <t/>
        </is>
      </c>
      <c r="S42" s="267" t="inlineStr">
        <is>
          <t/>
        </is>
      </c>
      <c r="T42" s="215" t="inlineStr">
        <is>
          <t/>
        </is>
      </c>
      <c r="U42" s="129" t="str">
        <f>IF(AND(TaskRatings!N42="完整",BlockRatings_AQ!Q42="完整"),"完整","未完成")</f>
        <v>未完成</v>
      </c>
      <c r="V42" s="243" t="inlineStr">
        <is>
          <t/>
        </is>
      </c>
    </row>
    <row r="43">
      <c r="A43" s="90" t="inlineStr">
        <is>
          <t>P007</t>
        </is>
      </c>
      <c r="B43" s="85" t="n">
        <v>3</v>
      </c>
      <c r="C43" s="85" t="inlineStr">
        <is>
          <t>P1-S2-EA</t>
        </is>
      </c>
      <c r="D43" s="85" t="n">
        <v>2</v>
      </c>
      <c r="E43" s="85" t="inlineStr">
        <is>
          <t>固定订书机</t>
        </is>
      </c>
      <c r="F43" s="85" t="inlineStr">
        <is>
          <t>stapler</t>
        </is>
      </c>
      <c r="G43" s="85" t="inlineStr">
        <is>
          <t>方法A</t>
        </is>
      </c>
      <c r="H43" s="85" t="inlineStr">
        <is>
          <t>EgoAnchor</t>
        </is>
      </c>
      <c r="I43" s="85" t="n">
        <v>1</v>
      </c>
      <c r="J43" s="85" t="n">
        <v>2</v>
      </c>
      <c r="K43" s="267" t="inlineStr">
        <is>
          <t/>
        </is>
      </c>
      <c r="L43" s="267" t="inlineStr">
        <is>
          <t/>
        </is>
      </c>
      <c r="M43" s="267" t="inlineStr">
        <is>
          <t/>
        </is>
      </c>
      <c r="N43" s="267" t="inlineStr">
        <is>
          <t/>
        </is>
      </c>
      <c r="O43" s="267" t="inlineStr">
        <is>
          <t/>
        </is>
      </c>
      <c r="P43" s="267" t="inlineStr">
        <is>
          <t/>
        </is>
      </c>
      <c r="Q43" s="267" t="inlineStr">
        <is>
          <t/>
        </is>
      </c>
      <c r="R43" s="267" t="inlineStr">
        <is>
          <t/>
        </is>
      </c>
      <c r="S43" s="267" t="inlineStr">
        <is>
          <t/>
        </is>
      </c>
      <c r="T43" s="215" t="inlineStr">
        <is>
          <t/>
        </is>
      </c>
      <c r="U43" s="129" t="str">
        <f>IF(AND(TaskRatings!N43="完整",BlockRatings_AQ!Q43="完整"),"完整","未完成")</f>
        <v>未完成</v>
      </c>
      <c r="V43" s="243" t="inlineStr">
        <is>
          <t/>
        </is>
      </c>
    </row>
    <row r="44">
      <c r="A44" s="90" t="inlineStr">
        <is>
          <t>P007</t>
        </is>
      </c>
      <c r="B44" s="85" t="n">
        <v>4</v>
      </c>
      <c r="C44" s="85" t="inlineStr">
        <is>
          <t>P1-S2-EA</t>
        </is>
      </c>
      <c r="D44" s="85" t="n">
        <v>2</v>
      </c>
      <c r="E44" s="85" t="inlineStr">
        <is>
          <t>固定订书机</t>
        </is>
      </c>
      <c r="F44" s="85" t="inlineStr">
        <is>
          <t>stapler</t>
        </is>
      </c>
      <c r="G44" s="85" t="inlineStr">
        <is>
          <t>方法B</t>
        </is>
      </c>
      <c r="H44" s="85" t="inlineStr">
        <is>
          <t>One-Euro</t>
        </is>
      </c>
      <c r="I44" s="85" t="n">
        <v>2</v>
      </c>
      <c r="J44" s="85" t="n">
        <v>2</v>
      </c>
      <c r="K44" s="267" t="inlineStr">
        <is>
          <t/>
        </is>
      </c>
      <c r="L44" s="267" t="inlineStr">
        <is>
          <t/>
        </is>
      </c>
      <c r="M44" s="267" t="inlineStr">
        <is>
          <t/>
        </is>
      </c>
      <c r="N44" s="267" t="inlineStr">
        <is>
          <t/>
        </is>
      </c>
      <c r="O44" s="267" t="inlineStr">
        <is>
          <t/>
        </is>
      </c>
      <c r="P44" s="267" t="inlineStr">
        <is>
          <t/>
        </is>
      </c>
      <c r="Q44" s="267" t="inlineStr">
        <is>
          <t/>
        </is>
      </c>
      <c r="R44" s="267" t="inlineStr">
        <is>
          <t/>
        </is>
      </c>
      <c r="S44" s="267" t="inlineStr">
        <is>
          <t/>
        </is>
      </c>
      <c r="T44" s="215" t="inlineStr">
        <is>
          <t/>
        </is>
      </c>
      <c r="U44" s="129" t="str">
        <f>IF(AND(TaskRatings!N44="完整",BlockRatings_AQ!Q44="完整"),"完整","未完成")</f>
        <v>未完成</v>
      </c>
      <c r="V44" s="243" t="inlineStr">
        <is>
          <t/>
        </is>
      </c>
    </row>
    <row r="45">
      <c r="A45" s="90" t="inlineStr">
        <is>
          <t>P007</t>
        </is>
      </c>
      <c r="B45" s="85" t="n">
        <v>5</v>
      </c>
      <c r="C45" s="85" t="inlineStr">
        <is>
          <t>P1-S2-EA</t>
        </is>
      </c>
      <c r="D45" s="85" t="n">
        <v>3</v>
      </c>
      <c r="E45" s="85" t="inlineStr">
        <is>
          <t>游戏手柄</t>
        </is>
      </c>
      <c r="F45" s="85" t="inlineStr">
        <is>
          <t>gamepad</t>
        </is>
      </c>
      <c r="G45" s="85" t="inlineStr">
        <is>
          <t>方法B</t>
        </is>
      </c>
      <c r="H45" s="85" t="inlineStr">
        <is>
          <t>One-Euro</t>
        </is>
      </c>
      <c r="I45" s="85" t="n">
        <v>1</v>
      </c>
      <c r="J45" s="85" t="n">
        <v>3</v>
      </c>
      <c r="K45" s="267" t="inlineStr">
        <is>
          <t/>
        </is>
      </c>
      <c r="L45" s="267" t="inlineStr">
        <is>
          <t/>
        </is>
      </c>
      <c r="M45" s="267" t="inlineStr">
        <is>
          <t/>
        </is>
      </c>
      <c r="N45" s="267" t="inlineStr">
        <is>
          <t/>
        </is>
      </c>
      <c r="O45" s="267" t="inlineStr">
        <is>
          <t/>
        </is>
      </c>
      <c r="P45" s="267" t="inlineStr">
        <is>
          <t/>
        </is>
      </c>
      <c r="Q45" s="267" t="inlineStr">
        <is>
          <t/>
        </is>
      </c>
      <c r="R45" s="267" t="inlineStr">
        <is>
          <t/>
        </is>
      </c>
      <c r="S45" s="267" t="inlineStr">
        <is>
          <t/>
        </is>
      </c>
      <c r="T45" s="215" t="inlineStr">
        <is>
          <t/>
        </is>
      </c>
      <c r="U45" s="129" t="str">
        <f>IF(AND(TaskRatings!N45="完整",BlockRatings_AQ!Q45="完整"),"完整","未完成")</f>
        <v>未完成</v>
      </c>
      <c r="V45" s="243" t="inlineStr">
        <is>
          <t/>
        </is>
      </c>
    </row>
    <row r="46">
      <c r="A46" s="90" t="inlineStr">
        <is>
          <t>P007</t>
        </is>
      </c>
      <c r="B46" s="85" t="n">
        <v>6</v>
      </c>
      <c r="C46" s="85" t="inlineStr">
        <is>
          <t>P1-S2-EA</t>
        </is>
      </c>
      <c r="D46" s="85" t="n">
        <v>3</v>
      </c>
      <c r="E46" s="85" t="inlineStr">
        <is>
          <t>游戏手柄</t>
        </is>
      </c>
      <c r="F46" s="85" t="inlineStr">
        <is>
          <t>gamepad</t>
        </is>
      </c>
      <c r="G46" s="85" t="inlineStr">
        <is>
          <t>方法A</t>
        </is>
      </c>
      <c r="H46" s="85" t="inlineStr">
        <is>
          <t>EgoAnchor</t>
        </is>
      </c>
      <c r="I46" s="85" t="n">
        <v>2</v>
      </c>
      <c r="J46" s="85" t="n">
        <v>3</v>
      </c>
      <c r="K46" s="267" t="inlineStr">
        <is>
          <t/>
        </is>
      </c>
      <c r="L46" s="267" t="inlineStr">
        <is>
          <t/>
        </is>
      </c>
      <c r="M46" s="267" t="inlineStr">
        <is>
          <t/>
        </is>
      </c>
      <c r="N46" s="267" t="inlineStr">
        <is>
          <t/>
        </is>
      </c>
      <c r="O46" s="267" t="inlineStr">
        <is>
          <t/>
        </is>
      </c>
      <c r="P46" s="267" t="inlineStr">
        <is>
          <t/>
        </is>
      </c>
      <c r="Q46" s="267" t="inlineStr">
        <is>
          <t/>
        </is>
      </c>
      <c r="R46" s="267" t="inlineStr">
        <is>
          <t/>
        </is>
      </c>
      <c r="S46" s="267" t="inlineStr">
        <is>
          <t/>
        </is>
      </c>
      <c r="T46" s="215" t="inlineStr">
        <is>
          <t/>
        </is>
      </c>
      <c r="U46" s="129" t="str">
        <f>IF(AND(TaskRatings!N46="完整",BlockRatings_AQ!Q46="完整"),"完整","未完成")</f>
        <v>未完成</v>
      </c>
      <c r="V46" s="243" t="inlineStr">
        <is>
          <t/>
        </is>
      </c>
    </row>
    <row r="47">
      <c r="A47" s="90" t="inlineStr">
        <is>
          <t>P008</t>
        </is>
      </c>
      <c r="B47" s="85" t="n">
        <v>1</v>
      </c>
      <c r="C47" s="85" t="inlineStr">
        <is>
          <t>P2-S2-EA</t>
        </is>
      </c>
      <c r="D47" s="85" t="n">
        <v>1</v>
      </c>
      <c r="E47" s="85" t="inlineStr">
        <is>
          <t>鼠标</t>
        </is>
      </c>
      <c r="F47" s="85" t="inlineStr">
        <is>
          <t>blue_mouse</t>
        </is>
      </c>
      <c r="G47" s="85" t="inlineStr">
        <is>
          <t>方法B</t>
        </is>
      </c>
      <c r="H47" s="85" t="inlineStr">
        <is>
          <t>One-Euro</t>
        </is>
      </c>
      <c r="I47" s="85" t="n">
        <v>1</v>
      </c>
      <c r="J47" s="85" t="n">
        <v>1</v>
      </c>
      <c r="K47" s="267" t="inlineStr">
        <is>
          <t/>
        </is>
      </c>
      <c r="L47" s="267" t="inlineStr">
        <is>
          <t/>
        </is>
      </c>
      <c r="M47" s="267" t="inlineStr">
        <is>
          <t/>
        </is>
      </c>
      <c r="N47" s="267" t="inlineStr">
        <is>
          <t/>
        </is>
      </c>
      <c r="O47" s="267" t="inlineStr">
        <is>
          <t/>
        </is>
      </c>
      <c r="P47" s="267" t="inlineStr">
        <is>
          <t/>
        </is>
      </c>
      <c r="Q47" s="267" t="inlineStr">
        <is>
          <t/>
        </is>
      </c>
      <c r="R47" s="267" t="inlineStr">
        <is>
          <t/>
        </is>
      </c>
      <c r="S47" s="267" t="inlineStr">
        <is>
          <t/>
        </is>
      </c>
      <c r="T47" s="215" t="inlineStr">
        <is>
          <t/>
        </is>
      </c>
      <c r="U47" s="129" t="str">
        <f>IF(AND(TaskRatings!N47="完整",BlockRatings_AQ!Q47="完整"),"完整","未完成")</f>
        <v>未完成</v>
      </c>
      <c r="V47" s="243" t="inlineStr">
        <is>
          <t/>
        </is>
      </c>
    </row>
    <row r="48">
      <c r="A48" s="90" t="inlineStr">
        <is>
          <t>P008</t>
        </is>
      </c>
      <c r="B48" s="85" t="n">
        <v>2</v>
      </c>
      <c r="C48" s="85" t="inlineStr">
        <is>
          <t>P2-S2-EA</t>
        </is>
      </c>
      <c r="D48" s="85" t="n">
        <v>1</v>
      </c>
      <c r="E48" s="85" t="inlineStr">
        <is>
          <t>鼠标</t>
        </is>
      </c>
      <c r="F48" s="85" t="inlineStr">
        <is>
          <t>blue_mouse</t>
        </is>
      </c>
      <c r="G48" s="85" t="inlineStr">
        <is>
          <t>方法A</t>
        </is>
      </c>
      <c r="H48" s="85" t="inlineStr">
        <is>
          <t>EgoAnchor</t>
        </is>
      </c>
      <c r="I48" s="85" t="n">
        <v>2</v>
      </c>
      <c r="J48" s="85" t="n">
        <v>1</v>
      </c>
      <c r="K48" s="267" t="inlineStr">
        <is>
          <t/>
        </is>
      </c>
      <c r="L48" s="267" t="inlineStr">
        <is>
          <t/>
        </is>
      </c>
      <c r="M48" s="267" t="inlineStr">
        <is>
          <t/>
        </is>
      </c>
      <c r="N48" s="267" t="inlineStr">
        <is>
          <t/>
        </is>
      </c>
      <c r="O48" s="267" t="inlineStr">
        <is>
          <t/>
        </is>
      </c>
      <c r="P48" s="267" t="inlineStr">
        <is>
          <t/>
        </is>
      </c>
      <c r="Q48" s="267" t="inlineStr">
        <is>
          <t/>
        </is>
      </c>
      <c r="R48" s="267" t="inlineStr">
        <is>
          <t/>
        </is>
      </c>
      <c r="S48" s="267" t="inlineStr">
        <is>
          <t/>
        </is>
      </c>
      <c r="T48" s="215" t="inlineStr">
        <is>
          <t/>
        </is>
      </c>
      <c r="U48" s="129" t="str">
        <f>IF(AND(TaskRatings!N48="完整",BlockRatings_AQ!Q48="完整"),"完整","未完成")</f>
        <v>未完成</v>
      </c>
      <c r="V48" s="243" t="inlineStr">
        <is>
          <t/>
        </is>
      </c>
    </row>
    <row r="49">
      <c r="A49" s="90" t="inlineStr">
        <is>
          <t>P008</t>
        </is>
      </c>
      <c r="B49" s="85" t="n">
        <v>3</v>
      </c>
      <c r="C49" s="85" t="inlineStr">
        <is>
          <t>P2-S2-EA</t>
        </is>
      </c>
      <c r="D49" s="85" t="n">
        <v>2</v>
      </c>
      <c r="E49" s="85" t="inlineStr">
        <is>
          <t>游戏手柄</t>
        </is>
      </c>
      <c r="F49" s="85" t="inlineStr">
        <is>
          <t>gamepad</t>
        </is>
      </c>
      <c r="G49" s="85" t="inlineStr">
        <is>
          <t>方法A</t>
        </is>
      </c>
      <c r="H49" s="85" t="inlineStr">
        <is>
          <t>EgoAnchor</t>
        </is>
      </c>
      <c r="I49" s="85" t="n">
        <v>1</v>
      </c>
      <c r="J49" s="85" t="n">
        <v>2</v>
      </c>
      <c r="K49" s="267" t="inlineStr">
        <is>
          <t/>
        </is>
      </c>
      <c r="L49" s="267" t="inlineStr">
        <is>
          <t/>
        </is>
      </c>
      <c r="M49" s="267" t="inlineStr">
        <is>
          <t/>
        </is>
      </c>
      <c r="N49" s="267" t="inlineStr">
        <is>
          <t/>
        </is>
      </c>
      <c r="O49" s="267" t="inlineStr">
        <is>
          <t/>
        </is>
      </c>
      <c r="P49" s="267" t="inlineStr">
        <is>
          <t/>
        </is>
      </c>
      <c r="Q49" s="267" t="inlineStr">
        <is>
          <t/>
        </is>
      </c>
      <c r="R49" s="267" t="inlineStr">
        <is>
          <t/>
        </is>
      </c>
      <c r="S49" s="267" t="inlineStr">
        <is>
          <t/>
        </is>
      </c>
      <c r="T49" s="215" t="inlineStr">
        <is>
          <t/>
        </is>
      </c>
      <c r="U49" s="129" t="str">
        <f>IF(AND(TaskRatings!N49="完整",BlockRatings_AQ!Q49="完整"),"完整","未完成")</f>
        <v>未完成</v>
      </c>
      <c r="V49" s="243" t="inlineStr">
        <is>
          <t/>
        </is>
      </c>
    </row>
    <row r="50">
      <c r="A50" s="90" t="inlineStr">
        <is>
          <t>P008</t>
        </is>
      </c>
      <c r="B50" s="85" t="n">
        <v>4</v>
      </c>
      <c r="C50" s="85" t="inlineStr">
        <is>
          <t>P2-S2-EA</t>
        </is>
      </c>
      <c r="D50" s="85" t="n">
        <v>2</v>
      </c>
      <c r="E50" s="85" t="inlineStr">
        <is>
          <t>游戏手柄</t>
        </is>
      </c>
      <c r="F50" s="85" t="inlineStr">
        <is>
          <t>gamepad</t>
        </is>
      </c>
      <c r="G50" s="85" t="inlineStr">
        <is>
          <t>方法B</t>
        </is>
      </c>
      <c r="H50" s="85" t="inlineStr">
        <is>
          <t>One-Euro</t>
        </is>
      </c>
      <c r="I50" s="85" t="n">
        <v>2</v>
      </c>
      <c r="J50" s="85" t="n">
        <v>2</v>
      </c>
      <c r="K50" s="267" t="inlineStr">
        <is>
          <t/>
        </is>
      </c>
      <c r="L50" s="267" t="inlineStr">
        <is>
          <t/>
        </is>
      </c>
      <c r="M50" s="267" t="inlineStr">
        <is>
          <t/>
        </is>
      </c>
      <c r="N50" s="267" t="inlineStr">
        <is>
          <t/>
        </is>
      </c>
      <c r="O50" s="267" t="inlineStr">
        <is>
          <t/>
        </is>
      </c>
      <c r="P50" s="267" t="inlineStr">
        <is>
          <t/>
        </is>
      </c>
      <c r="Q50" s="267" t="inlineStr">
        <is>
          <t/>
        </is>
      </c>
      <c r="R50" s="267" t="inlineStr">
        <is>
          <t/>
        </is>
      </c>
      <c r="S50" s="267" t="inlineStr">
        <is>
          <t/>
        </is>
      </c>
      <c r="T50" s="215" t="inlineStr">
        <is>
          <t/>
        </is>
      </c>
      <c r="U50" s="129" t="str">
        <f>IF(AND(TaskRatings!N50="完整",BlockRatings_AQ!Q50="完整"),"完整","未完成")</f>
        <v>未完成</v>
      </c>
      <c r="V50" s="243" t="inlineStr">
        <is>
          <t/>
        </is>
      </c>
    </row>
    <row r="51">
      <c r="A51" s="90" t="inlineStr">
        <is>
          <t>P008</t>
        </is>
      </c>
      <c r="B51" s="85" t="n">
        <v>5</v>
      </c>
      <c r="C51" s="85" t="inlineStr">
        <is>
          <t>P2-S2-EA</t>
        </is>
      </c>
      <c r="D51" s="85" t="n">
        <v>3</v>
      </c>
      <c r="E51" s="85" t="inlineStr">
        <is>
          <t>固定订书机</t>
        </is>
      </c>
      <c r="F51" s="85" t="inlineStr">
        <is>
          <t>stapler</t>
        </is>
      </c>
      <c r="G51" s="85" t="inlineStr">
        <is>
          <t>方法B</t>
        </is>
      </c>
      <c r="H51" s="85" t="inlineStr">
        <is>
          <t>One-Euro</t>
        </is>
      </c>
      <c r="I51" s="85" t="n">
        <v>1</v>
      </c>
      <c r="J51" s="85" t="n">
        <v>3</v>
      </c>
      <c r="K51" s="267" t="inlineStr">
        <is>
          <t/>
        </is>
      </c>
      <c r="L51" s="267" t="inlineStr">
        <is>
          <t/>
        </is>
      </c>
      <c r="M51" s="267" t="inlineStr">
        <is>
          <t/>
        </is>
      </c>
      <c r="N51" s="267" t="inlineStr">
        <is>
          <t/>
        </is>
      </c>
      <c r="O51" s="267" t="inlineStr">
        <is>
          <t/>
        </is>
      </c>
      <c r="P51" s="267" t="inlineStr">
        <is>
          <t/>
        </is>
      </c>
      <c r="Q51" s="267" t="inlineStr">
        <is>
          <t/>
        </is>
      </c>
      <c r="R51" s="267" t="inlineStr">
        <is>
          <t/>
        </is>
      </c>
      <c r="S51" s="267" t="inlineStr">
        <is>
          <t/>
        </is>
      </c>
      <c r="T51" s="215" t="inlineStr">
        <is>
          <t/>
        </is>
      </c>
      <c r="U51" s="129" t="str">
        <f>IF(AND(TaskRatings!N51="完整",BlockRatings_AQ!Q51="完整"),"完整","未完成")</f>
        <v>未完成</v>
      </c>
      <c r="V51" s="243" t="inlineStr">
        <is>
          <t/>
        </is>
      </c>
    </row>
    <row r="52">
      <c r="A52" s="90" t="inlineStr">
        <is>
          <t>P008</t>
        </is>
      </c>
      <c r="B52" s="85" t="n">
        <v>6</v>
      </c>
      <c r="C52" s="85" t="inlineStr">
        <is>
          <t>P2-S2-EA</t>
        </is>
      </c>
      <c r="D52" s="85" t="n">
        <v>3</v>
      </c>
      <c r="E52" s="85" t="inlineStr">
        <is>
          <t>固定订书机</t>
        </is>
      </c>
      <c r="F52" s="85" t="inlineStr">
        <is>
          <t>stapler</t>
        </is>
      </c>
      <c r="G52" s="85" t="inlineStr">
        <is>
          <t>方法A</t>
        </is>
      </c>
      <c r="H52" s="85" t="inlineStr">
        <is>
          <t>EgoAnchor</t>
        </is>
      </c>
      <c r="I52" s="85" t="n">
        <v>2</v>
      </c>
      <c r="J52" s="85" t="n">
        <v>3</v>
      </c>
      <c r="K52" s="267" t="inlineStr">
        <is>
          <t/>
        </is>
      </c>
      <c r="L52" s="267" t="inlineStr">
        <is>
          <t/>
        </is>
      </c>
      <c r="M52" s="267" t="inlineStr">
        <is>
          <t/>
        </is>
      </c>
      <c r="N52" s="267" t="inlineStr">
        <is>
          <t/>
        </is>
      </c>
      <c r="O52" s="267" t="inlineStr">
        <is>
          <t/>
        </is>
      </c>
      <c r="P52" s="267" t="inlineStr">
        <is>
          <t/>
        </is>
      </c>
      <c r="Q52" s="267" t="inlineStr">
        <is>
          <t/>
        </is>
      </c>
      <c r="R52" s="267" t="inlineStr">
        <is>
          <t/>
        </is>
      </c>
      <c r="S52" s="267" t="inlineStr">
        <is>
          <t/>
        </is>
      </c>
      <c r="T52" s="215" t="inlineStr">
        <is>
          <t/>
        </is>
      </c>
      <c r="U52" s="129" t="str">
        <f>IF(AND(TaskRatings!N52="完整",BlockRatings_AQ!Q52="完整"),"完整","未完成")</f>
        <v>未完成</v>
      </c>
      <c r="V52" s="243" t="inlineStr">
        <is>
          <t/>
        </is>
      </c>
    </row>
    <row r="53">
      <c r="A53" s="90" t="inlineStr">
        <is>
          <t>P009</t>
        </is>
      </c>
      <c r="B53" s="85" t="n">
        <v>1</v>
      </c>
      <c r="C53" s="85" t="inlineStr">
        <is>
          <t>P3-S2-EA</t>
        </is>
      </c>
      <c r="D53" s="85" t="n">
        <v>1</v>
      </c>
      <c r="E53" s="85" t="inlineStr">
        <is>
          <t>固定订书机</t>
        </is>
      </c>
      <c r="F53" s="85" t="inlineStr">
        <is>
          <t>stapler</t>
        </is>
      </c>
      <c r="G53" s="85" t="inlineStr">
        <is>
          <t>方法B</t>
        </is>
      </c>
      <c r="H53" s="85" t="inlineStr">
        <is>
          <t>One-Euro</t>
        </is>
      </c>
      <c r="I53" s="85" t="n">
        <v>1</v>
      </c>
      <c r="J53" s="85" t="n">
        <v>1</v>
      </c>
      <c r="K53" s="267" t="inlineStr">
        <is>
          <t/>
        </is>
      </c>
      <c r="L53" s="267" t="inlineStr">
        <is>
          <t/>
        </is>
      </c>
      <c r="M53" s="267" t="inlineStr">
        <is>
          <t/>
        </is>
      </c>
      <c r="N53" s="267" t="inlineStr">
        <is>
          <t/>
        </is>
      </c>
      <c r="O53" s="267" t="inlineStr">
        <is>
          <t/>
        </is>
      </c>
      <c r="P53" s="267" t="inlineStr">
        <is>
          <t/>
        </is>
      </c>
      <c r="Q53" s="267" t="inlineStr">
        <is>
          <t/>
        </is>
      </c>
      <c r="R53" s="267" t="inlineStr">
        <is>
          <t/>
        </is>
      </c>
      <c r="S53" s="267" t="inlineStr">
        <is>
          <t/>
        </is>
      </c>
      <c r="T53" s="215" t="inlineStr">
        <is>
          <t/>
        </is>
      </c>
      <c r="U53" s="129" t="str">
        <f>IF(AND(TaskRatings!N53="完整",BlockRatings_AQ!Q53="完整"),"完整","未完成")</f>
        <v>未完成</v>
      </c>
      <c r="V53" s="243" t="inlineStr">
        <is>
          <t/>
        </is>
      </c>
    </row>
    <row r="54">
      <c r="A54" s="90" t="inlineStr">
        <is>
          <t>P009</t>
        </is>
      </c>
      <c r="B54" s="85" t="n">
        <v>2</v>
      </c>
      <c r="C54" s="85" t="inlineStr">
        <is>
          <t>P3-S2-EA</t>
        </is>
      </c>
      <c r="D54" s="85" t="n">
        <v>1</v>
      </c>
      <c r="E54" s="85" t="inlineStr">
        <is>
          <t>固定订书机</t>
        </is>
      </c>
      <c r="F54" s="85" t="inlineStr">
        <is>
          <t>stapler</t>
        </is>
      </c>
      <c r="G54" s="85" t="inlineStr">
        <is>
          <t>方法A</t>
        </is>
      </c>
      <c r="H54" s="85" t="inlineStr">
        <is>
          <t>EgoAnchor</t>
        </is>
      </c>
      <c r="I54" s="85" t="n">
        <v>2</v>
      </c>
      <c r="J54" s="85" t="n">
        <v>1</v>
      </c>
      <c r="K54" s="267" t="inlineStr">
        <is>
          <t/>
        </is>
      </c>
      <c r="L54" s="267" t="inlineStr">
        <is>
          <t/>
        </is>
      </c>
      <c r="M54" s="267" t="inlineStr">
        <is>
          <t/>
        </is>
      </c>
      <c r="N54" s="267" t="inlineStr">
        <is>
          <t/>
        </is>
      </c>
      <c r="O54" s="267" t="inlineStr">
        <is>
          <t/>
        </is>
      </c>
      <c r="P54" s="267" t="inlineStr">
        <is>
          <t/>
        </is>
      </c>
      <c r="Q54" s="267" t="inlineStr">
        <is>
          <t/>
        </is>
      </c>
      <c r="R54" s="267" t="inlineStr">
        <is>
          <t/>
        </is>
      </c>
      <c r="S54" s="267" t="inlineStr">
        <is>
          <t/>
        </is>
      </c>
      <c r="T54" s="215" t="inlineStr">
        <is>
          <t/>
        </is>
      </c>
      <c r="U54" s="129" t="str">
        <f>IF(AND(TaskRatings!N54="完整",BlockRatings_AQ!Q54="完整"),"完整","未完成")</f>
        <v>未完成</v>
      </c>
      <c r="V54" s="243" t="inlineStr">
        <is>
          <t/>
        </is>
      </c>
    </row>
    <row r="55">
      <c r="A55" s="90" t="inlineStr">
        <is>
          <t>P009</t>
        </is>
      </c>
      <c r="B55" s="85" t="n">
        <v>3</v>
      </c>
      <c r="C55" s="85" t="inlineStr">
        <is>
          <t>P3-S2-EA</t>
        </is>
      </c>
      <c r="D55" s="85" t="n">
        <v>2</v>
      </c>
      <c r="E55" s="85" t="inlineStr">
        <is>
          <t>鼠标</t>
        </is>
      </c>
      <c r="F55" s="85" t="inlineStr">
        <is>
          <t>blue_mouse</t>
        </is>
      </c>
      <c r="G55" s="85" t="inlineStr">
        <is>
          <t>方法A</t>
        </is>
      </c>
      <c r="H55" s="85" t="inlineStr">
        <is>
          <t>EgoAnchor</t>
        </is>
      </c>
      <c r="I55" s="85" t="n">
        <v>1</v>
      </c>
      <c r="J55" s="85" t="n">
        <v>2</v>
      </c>
      <c r="K55" s="267" t="inlineStr">
        <is>
          <t/>
        </is>
      </c>
      <c r="L55" s="267" t="inlineStr">
        <is>
          <t/>
        </is>
      </c>
      <c r="M55" s="267" t="inlineStr">
        <is>
          <t/>
        </is>
      </c>
      <c r="N55" s="267" t="inlineStr">
        <is>
          <t/>
        </is>
      </c>
      <c r="O55" s="267" t="inlineStr">
        <is>
          <t/>
        </is>
      </c>
      <c r="P55" s="267" t="inlineStr">
        <is>
          <t/>
        </is>
      </c>
      <c r="Q55" s="267" t="inlineStr">
        <is>
          <t/>
        </is>
      </c>
      <c r="R55" s="267" t="inlineStr">
        <is>
          <t/>
        </is>
      </c>
      <c r="S55" s="267" t="inlineStr">
        <is>
          <t/>
        </is>
      </c>
      <c r="T55" s="215" t="inlineStr">
        <is>
          <t/>
        </is>
      </c>
      <c r="U55" s="129" t="str">
        <f>IF(AND(TaskRatings!N55="完整",BlockRatings_AQ!Q55="完整"),"完整","未完成")</f>
        <v>未完成</v>
      </c>
      <c r="V55" s="243" t="inlineStr">
        <is>
          <t/>
        </is>
      </c>
    </row>
    <row r="56">
      <c r="A56" s="90" t="inlineStr">
        <is>
          <t>P009</t>
        </is>
      </c>
      <c r="B56" s="85" t="n">
        <v>4</v>
      </c>
      <c r="C56" s="85" t="inlineStr">
        <is>
          <t>P3-S2-EA</t>
        </is>
      </c>
      <c r="D56" s="85" t="n">
        <v>2</v>
      </c>
      <c r="E56" s="85" t="inlineStr">
        <is>
          <t>鼠标</t>
        </is>
      </c>
      <c r="F56" s="85" t="inlineStr">
        <is>
          <t>blue_mouse</t>
        </is>
      </c>
      <c r="G56" s="85" t="inlineStr">
        <is>
          <t>方法B</t>
        </is>
      </c>
      <c r="H56" s="85" t="inlineStr">
        <is>
          <t>One-Euro</t>
        </is>
      </c>
      <c r="I56" s="85" t="n">
        <v>2</v>
      </c>
      <c r="J56" s="85" t="n">
        <v>2</v>
      </c>
      <c r="K56" s="267" t="inlineStr">
        <is>
          <t/>
        </is>
      </c>
      <c r="L56" s="267" t="inlineStr">
        <is>
          <t/>
        </is>
      </c>
      <c r="M56" s="267" t="inlineStr">
        <is>
          <t/>
        </is>
      </c>
      <c r="N56" s="267" t="inlineStr">
        <is>
          <t/>
        </is>
      </c>
      <c r="O56" s="267" t="inlineStr">
        <is>
          <t/>
        </is>
      </c>
      <c r="P56" s="267" t="inlineStr">
        <is>
          <t/>
        </is>
      </c>
      <c r="Q56" s="267" t="inlineStr">
        <is>
          <t/>
        </is>
      </c>
      <c r="R56" s="267" t="inlineStr">
        <is>
          <t/>
        </is>
      </c>
      <c r="S56" s="267" t="inlineStr">
        <is>
          <t/>
        </is>
      </c>
      <c r="T56" s="215" t="inlineStr">
        <is>
          <t/>
        </is>
      </c>
      <c r="U56" s="129" t="str">
        <f>IF(AND(TaskRatings!N56="完整",BlockRatings_AQ!Q56="完整"),"完整","未完成")</f>
        <v>未完成</v>
      </c>
      <c r="V56" s="243" t="inlineStr">
        <is>
          <t/>
        </is>
      </c>
    </row>
    <row r="57">
      <c r="A57" s="90" t="inlineStr">
        <is>
          <t>P009</t>
        </is>
      </c>
      <c r="B57" s="85" t="n">
        <v>5</v>
      </c>
      <c r="C57" s="85" t="inlineStr">
        <is>
          <t>P3-S2-EA</t>
        </is>
      </c>
      <c r="D57" s="85" t="n">
        <v>3</v>
      </c>
      <c r="E57" s="85" t="inlineStr">
        <is>
          <t>游戏手柄</t>
        </is>
      </c>
      <c r="F57" s="85" t="inlineStr">
        <is>
          <t>gamepad</t>
        </is>
      </c>
      <c r="G57" s="85" t="inlineStr">
        <is>
          <t>方法B</t>
        </is>
      </c>
      <c r="H57" s="85" t="inlineStr">
        <is>
          <t>One-Euro</t>
        </is>
      </c>
      <c r="I57" s="85" t="n">
        <v>1</v>
      </c>
      <c r="J57" s="85" t="n">
        <v>3</v>
      </c>
      <c r="K57" s="267" t="inlineStr">
        <is>
          <t/>
        </is>
      </c>
      <c r="L57" s="267" t="inlineStr">
        <is>
          <t/>
        </is>
      </c>
      <c r="M57" s="267" t="inlineStr">
        <is>
          <t/>
        </is>
      </c>
      <c r="N57" s="267" t="inlineStr">
        <is>
          <t/>
        </is>
      </c>
      <c r="O57" s="267" t="inlineStr">
        <is>
          <t/>
        </is>
      </c>
      <c r="P57" s="267" t="inlineStr">
        <is>
          <t/>
        </is>
      </c>
      <c r="Q57" s="267" t="inlineStr">
        <is>
          <t/>
        </is>
      </c>
      <c r="R57" s="267" t="inlineStr">
        <is>
          <t/>
        </is>
      </c>
      <c r="S57" s="267" t="inlineStr">
        <is>
          <t/>
        </is>
      </c>
      <c r="T57" s="215" t="inlineStr">
        <is>
          <t/>
        </is>
      </c>
      <c r="U57" s="129" t="str">
        <f>IF(AND(TaskRatings!N57="完整",BlockRatings_AQ!Q57="完整"),"完整","未完成")</f>
        <v>未完成</v>
      </c>
      <c r="V57" s="243" t="inlineStr">
        <is>
          <t/>
        </is>
      </c>
    </row>
    <row r="58">
      <c r="A58" s="90" t="inlineStr">
        <is>
          <t>P009</t>
        </is>
      </c>
      <c r="B58" s="85" t="n">
        <v>6</v>
      </c>
      <c r="C58" s="85" t="inlineStr">
        <is>
          <t>P3-S2-EA</t>
        </is>
      </c>
      <c r="D58" s="85" t="n">
        <v>3</v>
      </c>
      <c r="E58" s="85" t="inlineStr">
        <is>
          <t>游戏手柄</t>
        </is>
      </c>
      <c r="F58" s="85" t="inlineStr">
        <is>
          <t>gamepad</t>
        </is>
      </c>
      <c r="G58" s="85" t="inlineStr">
        <is>
          <t>方法A</t>
        </is>
      </c>
      <c r="H58" s="85" t="inlineStr">
        <is>
          <t>EgoAnchor</t>
        </is>
      </c>
      <c r="I58" s="85" t="n">
        <v>2</v>
      </c>
      <c r="J58" s="85" t="n">
        <v>3</v>
      </c>
      <c r="K58" s="267" t="inlineStr">
        <is>
          <t/>
        </is>
      </c>
      <c r="L58" s="267" t="inlineStr">
        <is>
          <t/>
        </is>
      </c>
      <c r="M58" s="267" t="inlineStr">
        <is>
          <t/>
        </is>
      </c>
      <c r="N58" s="267" t="inlineStr">
        <is>
          <t/>
        </is>
      </c>
      <c r="O58" s="267" t="inlineStr">
        <is>
          <t/>
        </is>
      </c>
      <c r="P58" s="267" t="inlineStr">
        <is>
          <t/>
        </is>
      </c>
      <c r="Q58" s="267" t="inlineStr">
        <is>
          <t/>
        </is>
      </c>
      <c r="R58" s="267" t="inlineStr">
        <is>
          <t/>
        </is>
      </c>
      <c r="S58" s="267" t="inlineStr">
        <is>
          <t/>
        </is>
      </c>
      <c r="T58" s="215" t="inlineStr">
        <is>
          <t/>
        </is>
      </c>
      <c r="U58" s="129" t="str">
        <f>IF(AND(TaskRatings!N58="完整",BlockRatings_AQ!Q58="完整"),"完整","未完成")</f>
        <v>未完成</v>
      </c>
      <c r="V58" s="243" t="inlineStr">
        <is>
          <t/>
        </is>
      </c>
    </row>
    <row r="59">
      <c r="A59" s="90" t="inlineStr">
        <is>
          <t>P010</t>
        </is>
      </c>
      <c r="B59" s="85" t="n">
        <v>1</v>
      </c>
      <c r="C59" s="85" t="inlineStr">
        <is>
          <t>P4-S2-EA</t>
        </is>
      </c>
      <c r="D59" s="85" t="n">
        <v>1</v>
      </c>
      <c r="E59" s="85" t="inlineStr">
        <is>
          <t>固定订书机</t>
        </is>
      </c>
      <c r="F59" s="85" t="inlineStr">
        <is>
          <t>stapler</t>
        </is>
      </c>
      <c r="G59" s="85" t="inlineStr">
        <is>
          <t>方法B</t>
        </is>
      </c>
      <c r="H59" s="85" t="inlineStr">
        <is>
          <t>One-Euro</t>
        </is>
      </c>
      <c r="I59" s="85" t="n">
        <v>1</v>
      </c>
      <c r="J59" s="85" t="n">
        <v>1</v>
      </c>
      <c r="K59" s="267" t="inlineStr">
        <is>
          <t/>
        </is>
      </c>
      <c r="L59" s="267" t="inlineStr">
        <is>
          <t/>
        </is>
      </c>
      <c r="M59" s="267" t="inlineStr">
        <is>
          <t/>
        </is>
      </c>
      <c r="N59" s="267" t="inlineStr">
        <is>
          <t/>
        </is>
      </c>
      <c r="O59" s="267" t="inlineStr">
        <is>
          <t/>
        </is>
      </c>
      <c r="P59" s="267" t="inlineStr">
        <is>
          <t/>
        </is>
      </c>
      <c r="Q59" s="267" t="inlineStr">
        <is>
          <t/>
        </is>
      </c>
      <c r="R59" s="267" t="inlineStr">
        <is>
          <t/>
        </is>
      </c>
      <c r="S59" s="267" t="inlineStr">
        <is>
          <t/>
        </is>
      </c>
      <c r="T59" s="215" t="inlineStr">
        <is>
          <t/>
        </is>
      </c>
      <c r="U59" s="129" t="str">
        <f>IF(AND(TaskRatings!N59="完整",BlockRatings_AQ!Q59="完整"),"完整","未完成")</f>
        <v>未完成</v>
      </c>
      <c r="V59" s="243" t="inlineStr">
        <is>
          <t/>
        </is>
      </c>
    </row>
    <row r="60">
      <c r="A60" s="90" t="inlineStr">
        <is>
          <t>P010</t>
        </is>
      </c>
      <c r="B60" s="85" t="n">
        <v>2</v>
      </c>
      <c r="C60" s="85" t="inlineStr">
        <is>
          <t>P4-S2-EA</t>
        </is>
      </c>
      <c r="D60" s="85" t="n">
        <v>1</v>
      </c>
      <c r="E60" s="85" t="inlineStr">
        <is>
          <t>固定订书机</t>
        </is>
      </c>
      <c r="F60" s="85" t="inlineStr">
        <is>
          <t>stapler</t>
        </is>
      </c>
      <c r="G60" s="85" t="inlineStr">
        <is>
          <t>方法A</t>
        </is>
      </c>
      <c r="H60" s="85" t="inlineStr">
        <is>
          <t>EgoAnchor</t>
        </is>
      </c>
      <c r="I60" s="85" t="n">
        <v>2</v>
      </c>
      <c r="J60" s="85" t="n">
        <v>1</v>
      </c>
      <c r="K60" s="267" t="inlineStr">
        <is>
          <t/>
        </is>
      </c>
      <c r="L60" s="267" t="inlineStr">
        <is>
          <t/>
        </is>
      </c>
      <c r="M60" s="267" t="inlineStr">
        <is>
          <t/>
        </is>
      </c>
      <c r="N60" s="267" t="inlineStr">
        <is>
          <t/>
        </is>
      </c>
      <c r="O60" s="267" t="inlineStr">
        <is>
          <t/>
        </is>
      </c>
      <c r="P60" s="267" t="inlineStr">
        <is>
          <t/>
        </is>
      </c>
      <c r="Q60" s="267" t="inlineStr">
        <is>
          <t/>
        </is>
      </c>
      <c r="R60" s="267" t="inlineStr">
        <is>
          <t/>
        </is>
      </c>
      <c r="S60" s="267" t="inlineStr">
        <is>
          <t/>
        </is>
      </c>
      <c r="T60" s="215" t="inlineStr">
        <is>
          <t/>
        </is>
      </c>
      <c r="U60" s="129" t="str">
        <f>IF(AND(TaskRatings!N60="完整",BlockRatings_AQ!Q60="完整"),"完整","未完成")</f>
        <v>未完成</v>
      </c>
      <c r="V60" s="243" t="inlineStr">
        <is>
          <t/>
        </is>
      </c>
    </row>
    <row r="61">
      <c r="A61" s="90" t="inlineStr">
        <is>
          <t>P010</t>
        </is>
      </c>
      <c r="B61" s="85" t="n">
        <v>3</v>
      </c>
      <c r="C61" s="85" t="inlineStr">
        <is>
          <t>P4-S2-EA</t>
        </is>
      </c>
      <c r="D61" s="85" t="n">
        <v>2</v>
      </c>
      <c r="E61" s="85" t="inlineStr">
        <is>
          <t>游戏手柄</t>
        </is>
      </c>
      <c r="F61" s="85" t="inlineStr">
        <is>
          <t>gamepad</t>
        </is>
      </c>
      <c r="G61" s="85" t="inlineStr">
        <is>
          <t>方法A</t>
        </is>
      </c>
      <c r="H61" s="85" t="inlineStr">
        <is>
          <t>EgoAnchor</t>
        </is>
      </c>
      <c r="I61" s="85" t="n">
        <v>1</v>
      </c>
      <c r="J61" s="85" t="n">
        <v>2</v>
      </c>
      <c r="K61" s="267" t="inlineStr">
        <is>
          <t/>
        </is>
      </c>
      <c r="L61" s="267" t="inlineStr">
        <is>
          <t/>
        </is>
      </c>
      <c r="M61" s="267" t="inlineStr">
        <is>
          <t/>
        </is>
      </c>
      <c r="N61" s="267" t="inlineStr">
        <is>
          <t/>
        </is>
      </c>
      <c r="O61" s="267" t="inlineStr">
        <is>
          <t/>
        </is>
      </c>
      <c r="P61" s="267" t="inlineStr">
        <is>
          <t/>
        </is>
      </c>
      <c r="Q61" s="267" t="inlineStr">
        <is>
          <t/>
        </is>
      </c>
      <c r="R61" s="267" t="inlineStr">
        <is>
          <t/>
        </is>
      </c>
      <c r="S61" s="267" t="inlineStr">
        <is>
          <t/>
        </is>
      </c>
      <c r="T61" s="215" t="inlineStr">
        <is>
          <t/>
        </is>
      </c>
      <c r="U61" s="129" t="str">
        <f>IF(AND(TaskRatings!N61="完整",BlockRatings_AQ!Q61="完整"),"完整","未完成")</f>
        <v>未完成</v>
      </c>
      <c r="V61" s="243" t="inlineStr">
        <is>
          <t/>
        </is>
      </c>
    </row>
    <row r="62">
      <c r="A62" s="90" t="inlineStr">
        <is>
          <t>P010</t>
        </is>
      </c>
      <c r="B62" s="85" t="n">
        <v>4</v>
      </c>
      <c r="C62" s="85" t="inlineStr">
        <is>
          <t>P4-S2-EA</t>
        </is>
      </c>
      <c r="D62" s="85" t="n">
        <v>2</v>
      </c>
      <c r="E62" s="85" t="inlineStr">
        <is>
          <t>游戏手柄</t>
        </is>
      </c>
      <c r="F62" s="85" t="inlineStr">
        <is>
          <t>gamepad</t>
        </is>
      </c>
      <c r="G62" s="85" t="inlineStr">
        <is>
          <t>方法B</t>
        </is>
      </c>
      <c r="H62" s="85" t="inlineStr">
        <is>
          <t>One-Euro</t>
        </is>
      </c>
      <c r="I62" s="85" t="n">
        <v>2</v>
      </c>
      <c r="J62" s="85" t="n">
        <v>2</v>
      </c>
      <c r="K62" s="267" t="inlineStr">
        <is>
          <t/>
        </is>
      </c>
      <c r="L62" s="267" t="inlineStr">
        <is>
          <t/>
        </is>
      </c>
      <c r="M62" s="267" t="inlineStr">
        <is>
          <t/>
        </is>
      </c>
      <c r="N62" s="267" t="inlineStr">
        <is>
          <t/>
        </is>
      </c>
      <c r="O62" s="267" t="inlineStr">
        <is>
          <t/>
        </is>
      </c>
      <c r="P62" s="267" t="inlineStr">
        <is>
          <t/>
        </is>
      </c>
      <c r="Q62" s="267" t="inlineStr">
        <is>
          <t/>
        </is>
      </c>
      <c r="R62" s="267" t="inlineStr">
        <is>
          <t/>
        </is>
      </c>
      <c r="S62" s="267" t="inlineStr">
        <is>
          <t/>
        </is>
      </c>
      <c r="T62" s="215" t="inlineStr">
        <is>
          <t/>
        </is>
      </c>
      <c r="U62" s="129" t="str">
        <f>IF(AND(TaskRatings!N62="完整",BlockRatings_AQ!Q62="完整"),"完整","未完成")</f>
        <v>未完成</v>
      </c>
      <c r="V62" s="243" t="inlineStr">
        <is>
          <t/>
        </is>
      </c>
    </row>
    <row r="63">
      <c r="A63" s="90" t="inlineStr">
        <is>
          <t>P010</t>
        </is>
      </c>
      <c r="B63" s="85" t="n">
        <v>5</v>
      </c>
      <c r="C63" s="85" t="inlineStr">
        <is>
          <t>P4-S2-EA</t>
        </is>
      </c>
      <c r="D63" s="85" t="n">
        <v>3</v>
      </c>
      <c r="E63" s="85" t="inlineStr">
        <is>
          <t>鼠标</t>
        </is>
      </c>
      <c r="F63" s="85" t="inlineStr">
        <is>
          <t>blue_mouse</t>
        </is>
      </c>
      <c r="G63" s="85" t="inlineStr">
        <is>
          <t>方法B</t>
        </is>
      </c>
      <c r="H63" s="85" t="inlineStr">
        <is>
          <t>One-Euro</t>
        </is>
      </c>
      <c r="I63" s="85" t="n">
        <v>1</v>
      </c>
      <c r="J63" s="85" t="n">
        <v>3</v>
      </c>
      <c r="K63" s="267" t="inlineStr">
        <is>
          <t/>
        </is>
      </c>
      <c r="L63" s="267" t="inlineStr">
        <is>
          <t/>
        </is>
      </c>
      <c r="M63" s="267" t="inlineStr">
        <is>
          <t/>
        </is>
      </c>
      <c r="N63" s="267" t="inlineStr">
        <is>
          <t/>
        </is>
      </c>
      <c r="O63" s="267" t="inlineStr">
        <is>
          <t/>
        </is>
      </c>
      <c r="P63" s="267" t="inlineStr">
        <is>
          <t/>
        </is>
      </c>
      <c r="Q63" s="267" t="inlineStr">
        <is>
          <t/>
        </is>
      </c>
      <c r="R63" s="267" t="inlineStr">
        <is>
          <t/>
        </is>
      </c>
      <c r="S63" s="267" t="inlineStr">
        <is>
          <t/>
        </is>
      </c>
      <c r="T63" s="215" t="inlineStr">
        <is>
          <t/>
        </is>
      </c>
      <c r="U63" s="129" t="str">
        <f>IF(AND(TaskRatings!N63="完整",BlockRatings_AQ!Q63="完整"),"完整","未完成")</f>
        <v>未完成</v>
      </c>
      <c r="V63" s="243" t="inlineStr">
        <is>
          <t/>
        </is>
      </c>
    </row>
    <row r="64">
      <c r="A64" s="90" t="inlineStr">
        <is>
          <t>P010</t>
        </is>
      </c>
      <c r="B64" s="85" t="n">
        <v>6</v>
      </c>
      <c r="C64" s="85" t="inlineStr">
        <is>
          <t>P4-S2-EA</t>
        </is>
      </c>
      <c r="D64" s="85" t="n">
        <v>3</v>
      </c>
      <c r="E64" s="85" t="inlineStr">
        <is>
          <t>鼠标</t>
        </is>
      </c>
      <c r="F64" s="85" t="inlineStr">
        <is>
          <t>blue_mouse</t>
        </is>
      </c>
      <c r="G64" s="85" t="inlineStr">
        <is>
          <t>方法A</t>
        </is>
      </c>
      <c r="H64" s="85" t="inlineStr">
        <is>
          <t>EgoAnchor</t>
        </is>
      </c>
      <c r="I64" s="85" t="n">
        <v>2</v>
      </c>
      <c r="J64" s="85" t="n">
        <v>3</v>
      </c>
      <c r="K64" s="267" t="inlineStr">
        <is>
          <t/>
        </is>
      </c>
      <c r="L64" s="267" t="inlineStr">
        <is>
          <t/>
        </is>
      </c>
      <c r="M64" s="267" t="inlineStr">
        <is>
          <t/>
        </is>
      </c>
      <c r="N64" s="267" t="inlineStr">
        <is>
          <t/>
        </is>
      </c>
      <c r="O64" s="267" t="inlineStr">
        <is>
          <t/>
        </is>
      </c>
      <c r="P64" s="267" t="inlineStr">
        <is>
          <t/>
        </is>
      </c>
      <c r="Q64" s="267" t="inlineStr">
        <is>
          <t/>
        </is>
      </c>
      <c r="R64" s="267" t="inlineStr">
        <is>
          <t/>
        </is>
      </c>
      <c r="S64" s="267" t="inlineStr">
        <is>
          <t/>
        </is>
      </c>
      <c r="T64" s="215" t="inlineStr">
        <is>
          <t/>
        </is>
      </c>
      <c r="U64" s="129" t="str">
        <f>IF(AND(TaskRatings!N64="完整",BlockRatings_AQ!Q64="完整"),"完整","未完成")</f>
        <v>未完成</v>
      </c>
      <c r="V64" s="243" t="inlineStr">
        <is>
          <t/>
        </is>
      </c>
    </row>
    <row r="65">
      <c r="A65" s="90" t="inlineStr">
        <is>
          <t>P011</t>
        </is>
      </c>
      <c r="B65" s="85" t="n">
        <v>1</v>
      </c>
      <c r="C65" s="85" t="inlineStr">
        <is>
          <t>P5-S2-EA</t>
        </is>
      </c>
      <c r="D65" s="85" t="n">
        <v>1</v>
      </c>
      <c r="E65" s="85" t="inlineStr">
        <is>
          <t>游戏手柄</t>
        </is>
      </c>
      <c r="F65" s="85" t="inlineStr">
        <is>
          <t>gamepad</t>
        </is>
      </c>
      <c r="G65" s="85" t="inlineStr">
        <is>
          <t>方法B</t>
        </is>
      </c>
      <c r="H65" s="85" t="inlineStr">
        <is>
          <t>One-Euro</t>
        </is>
      </c>
      <c r="I65" s="85" t="n">
        <v>1</v>
      </c>
      <c r="J65" s="85" t="n">
        <v>1</v>
      </c>
      <c r="K65" s="267" t="inlineStr">
        <is>
          <t/>
        </is>
      </c>
      <c r="L65" s="267" t="inlineStr">
        <is>
          <t/>
        </is>
      </c>
      <c r="M65" s="267" t="inlineStr">
        <is>
          <t/>
        </is>
      </c>
      <c r="N65" s="267" t="inlineStr">
        <is>
          <t/>
        </is>
      </c>
      <c r="O65" s="267" t="inlineStr">
        <is>
          <t/>
        </is>
      </c>
      <c r="P65" s="267" t="inlineStr">
        <is>
          <t/>
        </is>
      </c>
      <c r="Q65" s="267" t="inlineStr">
        <is>
          <t/>
        </is>
      </c>
      <c r="R65" s="267" t="inlineStr">
        <is>
          <t/>
        </is>
      </c>
      <c r="S65" s="267" t="inlineStr">
        <is>
          <t/>
        </is>
      </c>
      <c r="T65" s="215" t="inlineStr">
        <is>
          <t/>
        </is>
      </c>
      <c r="U65" s="129" t="str">
        <f>IF(AND(TaskRatings!N65="完整",BlockRatings_AQ!Q65="完整"),"完整","未完成")</f>
        <v>未完成</v>
      </c>
      <c r="V65" s="243" t="inlineStr">
        <is>
          <t/>
        </is>
      </c>
    </row>
    <row r="66">
      <c r="A66" s="90" t="inlineStr">
        <is>
          <t>P011</t>
        </is>
      </c>
      <c r="B66" s="85" t="n">
        <v>2</v>
      </c>
      <c r="C66" s="85" t="inlineStr">
        <is>
          <t>P5-S2-EA</t>
        </is>
      </c>
      <c r="D66" s="85" t="n">
        <v>1</v>
      </c>
      <c r="E66" s="85" t="inlineStr">
        <is>
          <t>游戏手柄</t>
        </is>
      </c>
      <c r="F66" s="85" t="inlineStr">
        <is>
          <t>gamepad</t>
        </is>
      </c>
      <c r="G66" s="85" t="inlineStr">
        <is>
          <t>方法A</t>
        </is>
      </c>
      <c r="H66" s="85" t="inlineStr">
        <is>
          <t>EgoAnchor</t>
        </is>
      </c>
      <c r="I66" s="85" t="n">
        <v>2</v>
      </c>
      <c r="J66" s="85" t="n">
        <v>1</v>
      </c>
      <c r="K66" s="267" t="inlineStr">
        <is>
          <t/>
        </is>
      </c>
      <c r="L66" s="267" t="inlineStr">
        <is>
          <t/>
        </is>
      </c>
      <c r="M66" s="267" t="inlineStr">
        <is>
          <t/>
        </is>
      </c>
      <c r="N66" s="267" t="inlineStr">
        <is>
          <t/>
        </is>
      </c>
      <c r="O66" s="267" t="inlineStr">
        <is>
          <t/>
        </is>
      </c>
      <c r="P66" s="267" t="inlineStr">
        <is>
          <t/>
        </is>
      </c>
      <c r="Q66" s="267" t="inlineStr">
        <is>
          <t/>
        </is>
      </c>
      <c r="R66" s="267" t="inlineStr">
        <is>
          <t/>
        </is>
      </c>
      <c r="S66" s="267" t="inlineStr">
        <is>
          <t/>
        </is>
      </c>
      <c r="T66" s="215" t="inlineStr">
        <is>
          <t/>
        </is>
      </c>
      <c r="U66" s="129" t="str">
        <f>IF(AND(TaskRatings!N66="完整",BlockRatings_AQ!Q66="完整"),"完整","未完成")</f>
        <v>未完成</v>
      </c>
      <c r="V66" s="243" t="inlineStr">
        <is>
          <t/>
        </is>
      </c>
    </row>
    <row r="67">
      <c r="A67" s="90" t="inlineStr">
        <is>
          <t>P011</t>
        </is>
      </c>
      <c r="B67" s="85" t="n">
        <v>3</v>
      </c>
      <c r="C67" s="85" t="inlineStr">
        <is>
          <t>P5-S2-EA</t>
        </is>
      </c>
      <c r="D67" s="85" t="n">
        <v>2</v>
      </c>
      <c r="E67" s="85" t="inlineStr">
        <is>
          <t>鼠标</t>
        </is>
      </c>
      <c r="F67" s="85" t="inlineStr">
        <is>
          <t>blue_mouse</t>
        </is>
      </c>
      <c r="G67" s="85" t="inlineStr">
        <is>
          <t>方法A</t>
        </is>
      </c>
      <c r="H67" s="85" t="inlineStr">
        <is>
          <t>EgoAnchor</t>
        </is>
      </c>
      <c r="I67" s="85" t="n">
        <v>1</v>
      </c>
      <c r="J67" s="85" t="n">
        <v>2</v>
      </c>
      <c r="K67" s="267" t="inlineStr">
        <is>
          <t/>
        </is>
      </c>
      <c r="L67" s="267" t="inlineStr">
        <is>
          <t/>
        </is>
      </c>
      <c r="M67" s="267" t="inlineStr">
        <is>
          <t/>
        </is>
      </c>
      <c r="N67" s="267" t="inlineStr">
        <is>
          <t/>
        </is>
      </c>
      <c r="O67" s="267" t="inlineStr">
        <is>
          <t/>
        </is>
      </c>
      <c r="P67" s="267" t="inlineStr">
        <is>
          <t/>
        </is>
      </c>
      <c r="Q67" s="267" t="inlineStr">
        <is>
          <t/>
        </is>
      </c>
      <c r="R67" s="267" t="inlineStr">
        <is>
          <t/>
        </is>
      </c>
      <c r="S67" s="267" t="inlineStr">
        <is>
          <t/>
        </is>
      </c>
      <c r="T67" s="215" t="inlineStr">
        <is>
          <t/>
        </is>
      </c>
      <c r="U67" s="129" t="str">
        <f>IF(AND(TaskRatings!N67="完整",BlockRatings_AQ!Q67="完整"),"完整","未完成")</f>
        <v>未完成</v>
      </c>
      <c r="V67" s="243" t="inlineStr">
        <is>
          <t/>
        </is>
      </c>
    </row>
    <row r="68">
      <c r="A68" s="90" t="inlineStr">
        <is>
          <t>P011</t>
        </is>
      </c>
      <c r="B68" s="85" t="n">
        <v>4</v>
      </c>
      <c r="C68" s="85" t="inlineStr">
        <is>
          <t>P5-S2-EA</t>
        </is>
      </c>
      <c r="D68" s="85" t="n">
        <v>2</v>
      </c>
      <c r="E68" s="85" t="inlineStr">
        <is>
          <t>鼠标</t>
        </is>
      </c>
      <c r="F68" s="85" t="inlineStr">
        <is>
          <t>blue_mouse</t>
        </is>
      </c>
      <c r="G68" s="85" t="inlineStr">
        <is>
          <t>方法B</t>
        </is>
      </c>
      <c r="H68" s="85" t="inlineStr">
        <is>
          <t>One-Euro</t>
        </is>
      </c>
      <c r="I68" s="85" t="n">
        <v>2</v>
      </c>
      <c r="J68" s="85" t="n">
        <v>2</v>
      </c>
      <c r="K68" s="267" t="inlineStr">
        <is>
          <t/>
        </is>
      </c>
      <c r="L68" s="267" t="inlineStr">
        <is>
          <t/>
        </is>
      </c>
      <c r="M68" s="267" t="inlineStr">
        <is>
          <t/>
        </is>
      </c>
      <c r="N68" s="267" t="inlineStr">
        <is>
          <t/>
        </is>
      </c>
      <c r="O68" s="267" t="inlineStr">
        <is>
          <t/>
        </is>
      </c>
      <c r="P68" s="267" t="inlineStr">
        <is>
          <t/>
        </is>
      </c>
      <c r="Q68" s="267" t="inlineStr">
        <is>
          <t/>
        </is>
      </c>
      <c r="R68" s="267" t="inlineStr">
        <is>
          <t/>
        </is>
      </c>
      <c r="S68" s="267" t="inlineStr">
        <is>
          <t/>
        </is>
      </c>
      <c r="T68" s="215" t="inlineStr">
        <is>
          <t/>
        </is>
      </c>
      <c r="U68" s="129" t="str">
        <f>IF(AND(TaskRatings!N68="完整",BlockRatings_AQ!Q68="完整"),"完整","未完成")</f>
        <v>未完成</v>
      </c>
      <c r="V68" s="243" t="inlineStr">
        <is>
          <t/>
        </is>
      </c>
    </row>
    <row r="69">
      <c r="A69" s="90" t="inlineStr">
        <is>
          <t>P011</t>
        </is>
      </c>
      <c r="B69" s="85" t="n">
        <v>5</v>
      </c>
      <c r="C69" s="85" t="inlineStr">
        <is>
          <t>P5-S2-EA</t>
        </is>
      </c>
      <c r="D69" s="85" t="n">
        <v>3</v>
      </c>
      <c r="E69" s="85" t="inlineStr">
        <is>
          <t>固定订书机</t>
        </is>
      </c>
      <c r="F69" s="85" t="inlineStr">
        <is>
          <t>stapler</t>
        </is>
      </c>
      <c r="G69" s="85" t="inlineStr">
        <is>
          <t>方法B</t>
        </is>
      </c>
      <c r="H69" s="85" t="inlineStr">
        <is>
          <t>One-Euro</t>
        </is>
      </c>
      <c r="I69" s="85" t="n">
        <v>1</v>
      </c>
      <c r="J69" s="85" t="n">
        <v>3</v>
      </c>
      <c r="K69" s="267" t="inlineStr">
        <is>
          <t/>
        </is>
      </c>
      <c r="L69" s="267" t="inlineStr">
        <is>
          <t/>
        </is>
      </c>
      <c r="M69" s="267" t="inlineStr">
        <is>
          <t/>
        </is>
      </c>
      <c r="N69" s="267" t="inlineStr">
        <is>
          <t/>
        </is>
      </c>
      <c r="O69" s="267" t="inlineStr">
        <is>
          <t/>
        </is>
      </c>
      <c r="P69" s="267" t="inlineStr">
        <is>
          <t/>
        </is>
      </c>
      <c r="Q69" s="267" t="inlineStr">
        <is>
          <t/>
        </is>
      </c>
      <c r="R69" s="267" t="inlineStr">
        <is>
          <t/>
        </is>
      </c>
      <c r="S69" s="267" t="inlineStr">
        <is>
          <t/>
        </is>
      </c>
      <c r="T69" s="215" t="inlineStr">
        <is>
          <t/>
        </is>
      </c>
      <c r="U69" s="129" t="str">
        <f>IF(AND(TaskRatings!N69="完整",BlockRatings_AQ!Q69="完整"),"完整","未完成")</f>
        <v>未完成</v>
      </c>
      <c r="V69" s="243" t="inlineStr">
        <is>
          <t/>
        </is>
      </c>
    </row>
    <row r="70">
      <c r="A70" s="90" t="inlineStr">
        <is>
          <t>P011</t>
        </is>
      </c>
      <c r="B70" s="85" t="n">
        <v>6</v>
      </c>
      <c r="C70" s="85" t="inlineStr">
        <is>
          <t>P5-S2-EA</t>
        </is>
      </c>
      <c r="D70" s="85" t="n">
        <v>3</v>
      </c>
      <c r="E70" s="85" t="inlineStr">
        <is>
          <t>固定订书机</t>
        </is>
      </c>
      <c r="F70" s="85" t="inlineStr">
        <is>
          <t>stapler</t>
        </is>
      </c>
      <c r="G70" s="85" t="inlineStr">
        <is>
          <t>方法A</t>
        </is>
      </c>
      <c r="H70" s="85" t="inlineStr">
        <is>
          <t>EgoAnchor</t>
        </is>
      </c>
      <c r="I70" s="85" t="n">
        <v>2</v>
      </c>
      <c r="J70" s="85" t="n">
        <v>3</v>
      </c>
      <c r="K70" s="267" t="inlineStr">
        <is>
          <t/>
        </is>
      </c>
      <c r="L70" s="267" t="inlineStr">
        <is>
          <t/>
        </is>
      </c>
      <c r="M70" s="267" t="inlineStr">
        <is>
          <t/>
        </is>
      </c>
      <c r="N70" s="267" t="inlineStr">
        <is>
          <t/>
        </is>
      </c>
      <c r="O70" s="267" t="inlineStr">
        <is>
          <t/>
        </is>
      </c>
      <c r="P70" s="267" t="inlineStr">
        <is>
          <t/>
        </is>
      </c>
      <c r="Q70" s="267" t="inlineStr">
        <is>
          <t/>
        </is>
      </c>
      <c r="R70" s="267" t="inlineStr">
        <is>
          <t/>
        </is>
      </c>
      <c r="S70" s="267" t="inlineStr">
        <is>
          <t/>
        </is>
      </c>
      <c r="T70" s="215" t="inlineStr">
        <is>
          <t/>
        </is>
      </c>
      <c r="U70" s="129" t="str">
        <f>IF(AND(TaskRatings!N70="完整",BlockRatings_AQ!Q70="完整"),"完整","未完成")</f>
        <v>未完成</v>
      </c>
      <c r="V70" s="243" t="inlineStr">
        <is>
          <t/>
        </is>
      </c>
    </row>
    <row r="71">
      <c r="A71" s="90" t="inlineStr">
        <is>
          <t>P012</t>
        </is>
      </c>
      <c r="B71" s="85" t="n">
        <v>1</v>
      </c>
      <c r="C71" s="85" t="inlineStr">
        <is>
          <t>P6-S2-EA</t>
        </is>
      </c>
      <c r="D71" s="85" t="n">
        <v>1</v>
      </c>
      <c r="E71" s="85" t="inlineStr">
        <is>
          <t>游戏手柄</t>
        </is>
      </c>
      <c r="F71" s="85" t="inlineStr">
        <is>
          <t>gamepad</t>
        </is>
      </c>
      <c r="G71" s="85" t="inlineStr">
        <is>
          <t>方法B</t>
        </is>
      </c>
      <c r="H71" s="85" t="inlineStr">
        <is>
          <t>One-Euro</t>
        </is>
      </c>
      <c r="I71" s="85" t="n">
        <v>1</v>
      </c>
      <c r="J71" s="85" t="n">
        <v>1</v>
      </c>
      <c r="K71" s="267" t="inlineStr">
        <is>
          <t/>
        </is>
      </c>
      <c r="L71" s="267" t="inlineStr">
        <is>
          <t/>
        </is>
      </c>
      <c r="M71" s="267" t="inlineStr">
        <is>
          <t/>
        </is>
      </c>
      <c r="N71" s="267" t="inlineStr">
        <is>
          <t/>
        </is>
      </c>
      <c r="O71" s="267" t="inlineStr">
        <is>
          <t/>
        </is>
      </c>
      <c r="P71" s="267" t="inlineStr">
        <is>
          <t/>
        </is>
      </c>
      <c r="Q71" s="267" t="inlineStr">
        <is>
          <t/>
        </is>
      </c>
      <c r="R71" s="267" t="inlineStr">
        <is>
          <t/>
        </is>
      </c>
      <c r="S71" s="267" t="inlineStr">
        <is>
          <t/>
        </is>
      </c>
      <c r="T71" s="215" t="inlineStr">
        <is>
          <t/>
        </is>
      </c>
      <c r="U71" s="129" t="str">
        <f>IF(AND(TaskRatings!N71="完整",BlockRatings_AQ!Q71="完整"),"完整","未完成")</f>
        <v>未完成</v>
      </c>
      <c r="V71" s="243" t="inlineStr">
        <is>
          <t/>
        </is>
      </c>
    </row>
    <row r="72">
      <c r="A72" s="90" t="inlineStr">
        <is>
          <t>P012</t>
        </is>
      </c>
      <c r="B72" s="85" t="n">
        <v>2</v>
      </c>
      <c r="C72" s="85" t="inlineStr">
        <is>
          <t>P6-S2-EA</t>
        </is>
      </c>
      <c r="D72" s="85" t="n">
        <v>1</v>
      </c>
      <c r="E72" s="85" t="inlineStr">
        <is>
          <t>游戏手柄</t>
        </is>
      </c>
      <c r="F72" s="85" t="inlineStr">
        <is>
          <t>gamepad</t>
        </is>
      </c>
      <c r="G72" s="85" t="inlineStr">
        <is>
          <t>方法A</t>
        </is>
      </c>
      <c r="H72" s="85" t="inlineStr">
        <is>
          <t>EgoAnchor</t>
        </is>
      </c>
      <c r="I72" s="85" t="n">
        <v>2</v>
      </c>
      <c r="J72" s="85" t="n">
        <v>1</v>
      </c>
      <c r="K72" s="267" t="inlineStr">
        <is>
          <t/>
        </is>
      </c>
      <c r="L72" s="267" t="inlineStr">
        <is>
          <t/>
        </is>
      </c>
      <c r="M72" s="267" t="inlineStr">
        <is>
          <t/>
        </is>
      </c>
      <c r="N72" s="267" t="inlineStr">
        <is>
          <t/>
        </is>
      </c>
      <c r="O72" s="267" t="inlineStr">
        <is>
          <t/>
        </is>
      </c>
      <c r="P72" s="267" t="inlineStr">
        <is>
          <t/>
        </is>
      </c>
      <c r="Q72" s="267" t="inlineStr">
        <is>
          <t/>
        </is>
      </c>
      <c r="R72" s="267" t="inlineStr">
        <is>
          <t/>
        </is>
      </c>
      <c r="S72" s="267" t="inlineStr">
        <is>
          <t/>
        </is>
      </c>
      <c r="T72" s="215" t="inlineStr">
        <is>
          <t/>
        </is>
      </c>
      <c r="U72" s="129" t="str">
        <f>IF(AND(TaskRatings!N72="完整",BlockRatings_AQ!Q72="完整"),"完整","未完成")</f>
        <v>未完成</v>
      </c>
      <c r="V72" s="243" t="inlineStr">
        <is>
          <t/>
        </is>
      </c>
    </row>
    <row r="73">
      <c r="A73" s="90" t="inlineStr">
        <is>
          <t>P012</t>
        </is>
      </c>
      <c r="B73" s="85" t="n">
        <v>3</v>
      </c>
      <c r="C73" s="85" t="inlineStr">
        <is>
          <t>P6-S2-EA</t>
        </is>
      </c>
      <c r="D73" s="85" t="n">
        <v>2</v>
      </c>
      <c r="E73" s="85" t="inlineStr">
        <is>
          <t>固定订书机</t>
        </is>
      </c>
      <c r="F73" s="85" t="inlineStr">
        <is>
          <t>stapler</t>
        </is>
      </c>
      <c r="G73" s="85" t="inlineStr">
        <is>
          <t>方法A</t>
        </is>
      </c>
      <c r="H73" s="85" t="inlineStr">
        <is>
          <t>EgoAnchor</t>
        </is>
      </c>
      <c r="I73" s="85" t="n">
        <v>1</v>
      </c>
      <c r="J73" s="85" t="n">
        <v>2</v>
      </c>
      <c r="K73" s="267" t="inlineStr">
        <is>
          <t/>
        </is>
      </c>
      <c r="L73" s="267" t="inlineStr">
        <is>
          <t/>
        </is>
      </c>
      <c r="M73" s="267" t="inlineStr">
        <is>
          <t/>
        </is>
      </c>
      <c r="N73" s="267" t="inlineStr">
        <is>
          <t/>
        </is>
      </c>
      <c r="O73" s="267" t="inlineStr">
        <is>
          <t/>
        </is>
      </c>
      <c r="P73" s="267" t="inlineStr">
        <is>
          <t/>
        </is>
      </c>
      <c r="Q73" s="267" t="inlineStr">
        <is>
          <t/>
        </is>
      </c>
      <c r="R73" s="267" t="inlineStr">
        <is>
          <t/>
        </is>
      </c>
      <c r="S73" s="267" t="inlineStr">
        <is>
          <t/>
        </is>
      </c>
      <c r="T73" s="215" t="inlineStr">
        <is>
          <t/>
        </is>
      </c>
      <c r="U73" s="129" t="str">
        <f>IF(AND(TaskRatings!N73="完整",BlockRatings_AQ!Q73="完整"),"完整","未完成")</f>
        <v>未完成</v>
      </c>
      <c r="V73" s="243" t="inlineStr">
        <is>
          <t/>
        </is>
      </c>
    </row>
    <row r="74">
      <c r="A74" s="90" t="inlineStr">
        <is>
          <t>P012</t>
        </is>
      </c>
      <c r="B74" s="85" t="n">
        <v>4</v>
      </c>
      <c r="C74" s="85" t="inlineStr">
        <is>
          <t>P6-S2-EA</t>
        </is>
      </c>
      <c r="D74" s="85" t="n">
        <v>2</v>
      </c>
      <c r="E74" s="85" t="inlineStr">
        <is>
          <t>固定订书机</t>
        </is>
      </c>
      <c r="F74" s="85" t="inlineStr">
        <is>
          <t>stapler</t>
        </is>
      </c>
      <c r="G74" s="85" t="inlineStr">
        <is>
          <t>方法B</t>
        </is>
      </c>
      <c r="H74" s="85" t="inlineStr">
        <is>
          <t>One-Euro</t>
        </is>
      </c>
      <c r="I74" s="85" t="n">
        <v>2</v>
      </c>
      <c r="J74" s="85" t="n">
        <v>2</v>
      </c>
      <c r="K74" s="267" t="inlineStr">
        <is>
          <t/>
        </is>
      </c>
      <c r="L74" s="267" t="inlineStr">
        <is>
          <t/>
        </is>
      </c>
      <c r="M74" s="267" t="inlineStr">
        <is>
          <t/>
        </is>
      </c>
      <c r="N74" s="267" t="inlineStr">
        <is>
          <t/>
        </is>
      </c>
      <c r="O74" s="267" t="inlineStr">
        <is>
          <t/>
        </is>
      </c>
      <c r="P74" s="267" t="inlineStr">
        <is>
          <t/>
        </is>
      </c>
      <c r="Q74" s="267" t="inlineStr">
        <is>
          <t/>
        </is>
      </c>
      <c r="R74" s="267" t="inlineStr">
        <is>
          <t/>
        </is>
      </c>
      <c r="S74" s="267" t="inlineStr">
        <is>
          <t/>
        </is>
      </c>
      <c r="T74" s="215" t="inlineStr">
        <is>
          <t/>
        </is>
      </c>
      <c r="U74" s="129" t="str">
        <f>IF(AND(TaskRatings!N74="完整",BlockRatings_AQ!Q74="完整"),"完整","未完成")</f>
        <v>未完成</v>
      </c>
      <c r="V74" s="243" t="inlineStr">
        <is>
          <t/>
        </is>
      </c>
    </row>
    <row r="75">
      <c r="A75" s="90" t="inlineStr">
        <is>
          <t>P012</t>
        </is>
      </c>
      <c r="B75" s="85" t="n">
        <v>5</v>
      </c>
      <c r="C75" s="85" t="inlineStr">
        <is>
          <t>P6-S2-EA</t>
        </is>
      </c>
      <c r="D75" s="85" t="n">
        <v>3</v>
      </c>
      <c r="E75" s="85" t="inlineStr">
        <is>
          <t>鼠标</t>
        </is>
      </c>
      <c r="F75" s="85" t="inlineStr">
        <is>
          <t>blue_mouse</t>
        </is>
      </c>
      <c r="G75" s="85" t="inlineStr">
        <is>
          <t>方法B</t>
        </is>
      </c>
      <c r="H75" s="85" t="inlineStr">
        <is>
          <t>One-Euro</t>
        </is>
      </c>
      <c r="I75" s="85" t="n">
        <v>1</v>
      </c>
      <c r="J75" s="85" t="n">
        <v>3</v>
      </c>
      <c r="K75" s="267" t="inlineStr">
        <is>
          <t/>
        </is>
      </c>
      <c r="L75" s="267" t="inlineStr">
        <is>
          <t/>
        </is>
      </c>
      <c r="M75" s="267" t="inlineStr">
        <is>
          <t/>
        </is>
      </c>
      <c r="N75" s="267" t="inlineStr">
        <is>
          <t/>
        </is>
      </c>
      <c r="O75" s="267" t="inlineStr">
        <is>
          <t/>
        </is>
      </c>
      <c r="P75" s="267" t="inlineStr">
        <is>
          <t/>
        </is>
      </c>
      <c r="Q75" s="267" t="inlineStr">
        <is>
          <t/>
        </is>
      </c>
      <c r="R75" s="267" t="inlineStr">
        <is>
          <t/>
        </is>
      </c>
      <c r="S75" s="267" t="inlineStr">
        <is>
          <t/>
        </is>
      </c>
      <c r="T75" s="215" t="inlineStr">
        <is>
          <t/>
        </is>
      </c>
      <c r="U75" s="129" t="str">
        <f>IF(AND(TaskRatings!N75="完整",BlockRatings_AQ!Q75="完整"),"完整","未完成")</f>
        <v>未完成</v>
      </c>
      <c r="V75" s="243" t="inlineStr">
        <is>
          <t/>
        </is>
      </c>
    </row>
    <row r="76">
      <c r="A76" s="90" t="inlineStr">
        <is>
          <t>P012</t>
        </is>
      </c>
      <c r="B76" s="85" t="n">
        <v>6</v>
      </c>
      <c r="C76" s="85" t="inlineStr">
        <is>
          <t>P6-S2-EA</t>
        </is>
      </c>
      <c r="D76" s="85" t="n">
        <v>3</v>
      </c>
      <c r="E76" s="85" t="inlineStr">
        <is>
          <t>鼠标</t>
        </is>
      </c>
      <c r="F76" s="85" t="inlineStr">
        <is>
          <t>blue_mouse</t>
        </is>
      </c>
      <c r="G76" s="85" t="inlineStr">
        <is>
          <t>方法A</t>
        </is>
      </c>
      <c r="H76" s="85" t="inlineStr">
        <is>
          <t>EgoAnchor</t>
        </is>
      </c>
      <c r="I76" s="85" t="n">
        <v>2</v>
      </c>
      <c r="J76" s="85" t="n">
        <v>3</v>
      </c>
      <c r="K76" s="267" t="inlineStr">
        <is>
          <t/>
        </is>
      </c>
      <c r="L76" s="267" t="inlineStr">
        <is>
          <t/>
        </is>
      </c>
      <c r="M76" s="267" t="inlineStr">
        <is>
          <t/>
        </is>
      </c>
      <c r="N76" s="267" t="inlineStr">
        <is>
          <t/>
        </is>
      </c>
      <c r="O76" s="267" t="inlineStr">
        <is>
          <t/>
        </is>
      </c>
      <c r="P76" s="267" t="inlineStr">
        <is>
          <t/>
        </is>
      </c>
      <c r="Q76" s="267" t="inlineStr">
        <is>
          <t/>
        </is>
      </c>
      <c r="R76" s="267" t="inlineStr">
        <is>
          <t/>
        </is>
      </c>
      <c r="S76" s="267" t="inlineStr">
        <is>
          <t/>
        </is>
      </c>
      <c r="T76" s="215" t="inlineStr">
        <is>
          <t/>
        </is>
      </c>
      <c r="U76" s="129" t="str">
        <f>IF(AND(TaskRatings!N76="完整",BlockRatings_AQ!Q76="完整"),"完整","未完成")</f>
        <v>未完成</v>
      </c>
      <c r="V76" s="243" t="inlineStr">
        <is>
          <t/>
        </is>
      </c>
    </row>
    <row r="77">
      <c r="A77" s="90" t="inlineStr">
        <is>
          <t>P013</t>
        </is>
      </c>
      <c r="B77" s="85" t="n">
        <v>1</v>
      </c>
      <c r="C77" s="85" t="inlineStr">
        <is>
          <t>P1-S1-OE</t>
        </is>
      </c>
      <c r="D77" s="85" t="n">
        <v>1</v>
      </c>
      <c r="E77" s="85" t="inlineStr">
        <is>
          <t>鼠标</t>
        </is>
      </c>
      <c r="F77" s="85" t="inlineStr">
        <is>
          <t>blue_mouse</t>
        </is>
      </c>
      <c r="G77" s="85" t="inlineStr">
        <is>
          <t>方法A</t>
        </is>
      </c>
      <c r="H77" s="85" t="inlineStr">
        <is>
          <t>One-Euro</t>
        </is>
      </c>
      <c r="I77" s="85" t="n">
        <v>1</v>
      </c>
      <c r="J77" s="85" t="n">
        <v>1</v>
      </c>
      <c r="K77" s="267" t="inlineStr">
        <is>
          <t/>
        </is>
      </c>
      <c r="L77" s="267" t="inlineStr">
        <is>
          <t/>
        </is>
      </c>
      <c r="M77" s="267" t="inlineStr">
        <is>
          <t/>
        </is>
      </c>
      <c r="N77" s="267" t="inlineStr">
        <is>
          <t/>
        </is>
      </c>
      <c r="O77" s="267" t="inlineStr">
        <is>
          <t/>
        </is>
      </c>
      <c r="P77" s="267" t="inlineStr">
        <is>
          <t/>
        </is>
      </c>
      <c r="Q77" s="267" t="inlineStr">
        <is>
          <t/>
        </is>
      </c>
      <c r="R77" s="267" t="inlineStr">
        <is>
          <t/>
        </is>
      </c>
      <c r="S77" s="267" t="inlineStr">
        <is>
          <t/>
        </is>
      </c>
      <c r="T77" s="215" t="inlineStr">
        <is>
          <t/>
        </is>
      </c>
      <c r="U77" s="129" t="str">
        <f>IF(AND(TaskRatings!N77="完整",BlockRatings_AQ!Q77="完整"),"完整","未完成")</f>
        <v>未完成</v>
      </c>
      <c r="V77" s="243" t="inlineStr">
        <is>
          <t/>
        </is>
      </c>
    </row>
    <row r="78">
      <c r="A78" s="90" t="inlineStr">
        <is>
          <t>P013</t>
        </is>
      </c>
      <c r="B78" s="85" t="n">
        <v>2</v>
      </c>
      <c r="C78" s="85" t="inlineStr">
        <is>
          <t>P1-S1-OE</t>
        </is>
      </c>
      <c r="D78" s="85" t="n">
        <v>1</v>
      </c>
      <c r="E78" s="85" t="inlineStr">
        <is>
          <t>鼠标</t>
        </is>
      </c>
      <c r="F78" s="85" t="inlineStr">
        <is>
          <t>blue_mouse</t>
        </is>
      </c>
      <c r="G78" s="85" t="inlineStr">
        <is>
          <t>方法B</t>
        </is>
      </c>
      <c r="H78" s="85" t="inlineStr">
        <is>
          <t>EgoAnchor</t>
        </is>
      </c>
      <c r="I78" s="85" t="n">
        <v>2</v>
      </c>
      <c r="J78" s="85" t="n">
        <v>1</v>
      </c>
      <c r="K78" s="267" t="inlineStr">
        <is>
          <t/>
        </is>
      </c>
      <c r="L78" s="267" t="inlineStr">
        <is>
          <t/>
        </is>
      </c>
      <c r="M78" s="267" t="inlineStr">
        <is>
          <t/>
        </is>
      </c>
      <c r="N78" s="267" t="inlineStr">
        <is>
          <t/>
        </is>
      </c>
      <c r="O78" s="267" t="inlineStr">
        <is>
          <t/>
        </is>
      </c>
      <c r="P78" s="267" t="inlineStr">
        <is>
          <t/>
        </is>
      </c>
      <c r="Q78" s="267" t="inlineStr">
        <is>
          <t/>
        </is>
      </c>
      <c r="R78" s="267" t="inlineStr">
        <is>
          <t/>
        </is>
      </c>
      <c r="S78" s="267" t="inlineStr">
        <is>
          <t/>
        </is>
      </c>
      <c r="T78" s="215" t="inlineStr">
        <is>
          <t/>
        </is>
      </c>
      <c r="U78" s="129" t="str">
        <f>IF(AND(TaskRatings!N78="完整",BlockRatings_AQ!Q78="完整"),"完整","未完成")</f>
        <v>未完成</v>
      </c>
      <c r="V78" s="243" t="inlineStr">
        <is>
          <t/>
        </is>
      </c>
    </row>
    <row r="79">
      <c r="A79" s="90" t="inlineStr">
        <is>
          <t>P013</t>
        </is>
      </c>
      <c r="B79" s="85" t="n">
        <v>3</v>
      </c>
      <c r="C79" s="85" t="inlineStr">
        <is>
          <t>P1-S1-OE</t>
        </is>
      </c>
      <c r="D79" s="85" t="n">
        <v>2</v>
      </c>
      <c r="E79" s="85" t="inlineStr">
        <is>
          <t>固定订书机</t>
        </is>
      </c>
      <c r="F79" s="85" t="inlineStr">
        <is>
          <t>stapler</t>
        </is>
      </c>
      <c r="G79" s="85" t="inlineStr">
        <is>
          <t>方法B</t>
        </is>
      </c>
      <c r="H79" s="85" t="inlineStr">
        <is>
          <t>EgoAnchor</t>
        </is>
      </c>
      <c r="I79" s="85" t="n">
        <v>1</v>
      </c>
      <c r="J79" s="85" t="n">
        <v>2</v>
      </c>
      <c r="K79" s="267" t="inlineStr">
        <is>
          <t/>
        </is>
      </c>
      <c r="L79" s="267" t="inlineStr">
        <is>
          <t/>
        </is>
      </c>
      <c r="M79" s="267" t="inlineStr">
        <is>
          <t/>
        </is>
      </c>
      <c r="N79" s="267" t="inlineStr">
        <is>
          <t/>
        </is>
      </c>
      <c r="O79" s="267" t="inlineStr">
        <is>
          <t/>
        </is>
      </c>
      <c r="P79" s="267" t="inlineStr">
        <is>
          <t/>
        </is>
      </c>
      <c r="Q79" s="267" t="inlineStr">
        <is>
          <t/>
        </is>
      </c>
      <c r="R79" s="267" t="inlineStr">
        <is>
          <t/>
        </is>
      </c>
      <c r="S79" s="267" t="inlineStr">
        <is>
          <t/>
        </is>
      </c>
      <c r="T79" s="215" t="inlineStr">
        <is>
          <t/>
        </is>
      </c>
      <c r="U79" s="129" t="str">
        <f>IF(AND(TaskRatings!N79="完整",BlockRatings_AQ!Q79="完整"),"完整","未完成")</f>
        <v>未完成</v>
      </c>
      <c r="V79" s="243" t="inlineStr">
        <is>
          <t/>
        </is>
      </c>
    </row>
    <row r="80">
      <c r="A80" s="90" t="inlineStr">
        <is>
          <t>P013</t>
        </is>
      </c>
      <c r="B80" s="85" t="n">
        <v>4</v>
      </c>
      <c r="C80" s="85" t="inlineStr">
        <is>
          <t>P1-S1-OE</t>
        </is>
      </c>
      <c r="D80" s="85" t="n">
        <v>2</v>
      </c>
      <c r="E80" s="85" t="inlineStr">
        <is>
          <t>固定订书机</t>
        </is>
      </c>
      <c r="F80" s="85" t="inlineStr">
        <is>
          <t>stapler</t>
        </is>
      </c>
      <c r="G80" s="85" t="inlineStr">
        <is>
          <t>方法A</t>
        </is>
      </c>
      <c r="H80" s="85" t="inlineStr">
        <is>
          <t>One-Euro</t>
        </is>
      </c>
      <c r="I80" s="85" t="n">
        <v>2</v>
      </c>
      <c r="J80" s="85" t="n">
        <v>2</v>
      </c>
      <c r="K80" s="267" t="inlineStr">
        <is>
          <t/>
        </is>
      </c>
      <c r="L80" s="267" t="inlineStr">
        <is>
          <t/>
        </is>
      </c>
      <c r="M80" s="267" t="inlineStr">
        <is>
          <t/>
        </is>
      </c>
      <c r="N80" s="267" t="inlineStr">
        <is>
          <t/>
        </is>
      </c>
      <c r="O80" s="267" t="inlineStr">
        <is>
          <t/>
        </is>
      </c>
      <c r="P80" s="267" t="inlineStr">
        <is>
          <t/>
        </is>
      </c>
      <c r="Q80" s="267" t="inlineStr">
        <is>
          <t/>
        </is>
      </c>
      <c r="R80" s="267" t="inlineStr">
        <is>
          <t/>
        </is>
      </c>
      <c r="S80" s="267" t="inlineStr">
        <is>
          <t/>
        </is>
      </c>
      <c r="T80" s="215" t="inlineStr">
        <is>
          <t/>
        </is>
      </c>
      <c r="U80" s="129" t="str">
        <f>IF(AND(TaskRatings!N80="完整",BlockRatings_AQ!Q80="完整"),"完整","未完成")</f>
        <v>未完成</v>
      </c>
      <c r="V80" s="243" t="inlineStr">
        <is>
          <t/>
        </is>
      </c>
    </row>
    <row r="81">
      <c r="A81" s="90" t="inlineStr">
        <is>
          <t>P013</t>
        </is>
      </c>
      <c r="B81" s="85" t="n">
        <v>5</v>
      </c>
      <c r="C81" s="85" t="inlineStr">
        <is>
          <t>P1-S1-OE</t>
        </is>
      </c>
      <c r="D81" s="85" t="n">
        <v>3</v>
      </c>
      <c r="E81" s="85" t="inlineStr">
        <is>
          <t>游戏手柄</t>
        </is>
      </c>
      <c r="F81" s="85" t="inlineStr">
        <is>
          <t>gamepad</t>
        </is>
      </c>
      <c r="G81" s="85" t="inlineStr">
        <is>
          <t>方法A</t>
        </is>
      </c>
      <c r="H81" s="85" t="inlineStr">
        <is>
          <t>One-Euro</t>
        </is>
      </c>
      <c r="I81" s="85" t="n">
        <v>1</v>
      </c>
      <c r="J81" s="85" t="n">
        <v>3</v>
      </c>
      <c r="K81" s="267" t="inlineStr">
        <is>
          <t/>
        </is>
      </c>
      <c r="L81" s="267" t="inlineStr">
        <is>
          <t/>
        </is>
      </c>
      <c r="M81" s="267" t="inlineStr">
        <is>
          <t/>
        </is>
      </c>
      <c r="N81" s="267" t="inlineStr">
        <is>
          <t/>
        </is>
      </c>
      <c r="O81" s="267" t="inlineStr">
        <is>
          <t/>
        </is>
      </c>
      <c r="P81" s="267" t="inlineStr">
        <is>
          <t/>
        </is>
      </c>
      <c r="Q81" s="267" t="inlineStr">
        <is>
          <t/>
        </is>
      </c>
      <c r="R81" s="267" t="inlineStr">
        <is>
          <t/>
        </is>
      </c>
      <c r="S81" s="267" t="inlineStr">
        <is>
          <t/>
        </is>
      </c>
      <c r="T81" s="215" t="inlineStr">
        <is>
          <t/>
        </is>
      </c>
      <c r="U81" s="129" t="str">
        <f>IF(AND(TaskRatings!N81="完整",BlockRatings_AQ!Q81="完整"),"完整","未完成")</f>
        <v>未完成</v>
      </c>
      <c r="V81" s="243" t="inlineStr">
        <is>
          <t/>
        </is>
      </c>
    </row>
    <row r="82">
      <c r="A82" s="90" t="inlineStr">
        <is>
          <t>P013</t>
        </is>
      </c>
      <c r="B82" s="85" t="n">
        <v>6</v>
      </c>
      <c r="C82" s="85" t="inlineStr">
        <is>
          <t>P1-S1-OE</t>
        </is>
      </c>
      <c r="D82" s="85" t="n">
        <v>3</v>
      </c>
      <c r="E82" s="85" t="inlineStr">
        <is>
          <t>游戏手柄</t>
        </is>
      </c>
      <c r="F82" s="85" t="inlineStr">
        <is>
          <t>gamepad</t>
        </is>
      </c>
      <c r="G82" s="85" t="inlineStr">
        <is>
          <t>方法B</t>
        </is>
      </c>
      <c r="H82" s="85" t="inlineStr">
        <is>
          <t>EgoAnchor</t>
        </is>
      </c>
      <c r="I82" s="85" t="n">
        <v>2</v>
      </c>
      <c r="J82" s="85" t="n">
        <v>3</v>
      </c>
      <c r="K82" s="267" t="inlineStr">
        <is>
          <t/>
        </is>
      </c>
      <c r="L82" s="267" t="inlineStr">
        <is>
          <t/>
        </is>
      </c>
      <c r="M82" s="267" t="inlineStr">
        <is>
          <t/>
        </is>
      </c>
      <c r="N82" s="267" t="inlineStr">
        <is>
          <t/>
        </is>
      </c>
      <c r="O82" s="267" t="inlineStr">
        <is>
          <t/>
        </is>
      </c>
      <c r="P82" s="267" t="inlineStr">
        <is>
          <t/>
        </is>
      </c>
      <c r="Q82" s="267" t="inlineStr">
        <is>
          <t/>
        </is>
      </c>
      <c r="R82" s="267" t="inlineStr">
        <is>
          <t/>
        </is>
      </c>
      <c r="S82" s="267" t="inlineStr">
        <is>
          <t/>
        </is>
      </c>
      <c r="T82" s="215" t="inlineStr">
        <is>
          <t/>
        </is>
      </c>
      <c r="U82" s="129" t="str">
        <f>IF(AND(TaskRatings!N82="完整",BlockRatings_AQ!Q82="完整"),"完整","未完成")</f>
        <v>未完成</v>
      </c>
      <c r="V82" s="243" t="inlineStr">
        <is>
          <t/>
        </is>
      </c>
    </row>
    <row r="83">
      <c r="A83" s="90" t="inlineStr">
        <is>
          <t>P014</t>
        </is>
      </c>
      <c r="B83" s="85" t="n">
        <v>1</v>
      </c>
      <c r="C83" s="85" t="inlineStr">
        <is>
          <t>P2-S1-OE</t>
        </is>
      </c>
      <c r="D83" s="85" t="n">
        <v>1</v>
      </c>
      <c r="E83" s="85" t="inlineStr">
        <is>
          <t>鼠标</t>
        </is>
      </c>
      <c r="F83" s="85" t="inlineStr">
        <is>
          <t>blue_mouse</t>
        </is>
      </c>
      <c r="G83" s="85" t="inlineStr">
        <is>
          <t>方法A</t>
        </is>
      </c>
      <c r="H83" s="85" t="inlineStr">
        <is>
          <t>One-Euro</t>
        </is>
      </c>
      <c r="I83" s="85" t="n">
        <v>1</v>
      </c>
      <c r="J83" s="85" t="n">
        <v>1</v>
      </c>
      <c r="K83" s="267" t="inlineStr">
        <is>
          <t/>
        </is>
      </c>
      <c r="L83" s="267" t="inlineStr">
        <is>
          <t/>
        </is>
      </c>
      <c r="M83" s="267" t="inlineStr">
        <is>
          <t/>
        </is>
      </c>
      <c r="N83" s="267" t="inlineStr">
        <is>
          <t/>
        </is>
      </c>
      <c r="O83" s="267" t="inlineStr">
        <is>
          <t/>
        </is>
      </c>
      <c r="P83" s="267" t="inlineStr">
        <is>
          <t/>
        </is>
      </c>
      <c r="Q83" s="267" t="inlineStr">
        <is>
          <t/>
        </is>
      </c>
      <c r="R83" s="267" t="inlineStr">
        <is>
          <t/>
        </is>
      </c>
      <c r="S83" s="267" t="inlineStr">
        <is>
          <t/>
        </is>
      </c>
      <c r="T83" s="215" t="inlineStr">
        <is>
          <t/>
        </is>
      </c>
      <c r="U83" s="129" t="str">
        <f>IF(AND(TaskRatings!N83="完整",BlockRatings_AQ!Q83="完整"),"完整","未完成")</f>
        <v>未完成</v>
      </c>
      <c r="V83" s="243" t="inlineStr">
        <is>
          <t/>
        </is>
      </c>
    </row>
    <row r="84">
      <c r="A84" s="90" t="inlineStr">
        <is>
          <t>P014</t>
        </is>
      </c>
      <c r="B84" s="85" t="n">
        <v>2</v>
      </c>
      <c r="C84" s="85" t="inlineStr">
        <is>
          <t>P2-S1-OE</t>
        </is>
      </c>
      <c r="D84" s="85" t="n">
        <v>1</v>
      </c>
      <c r="E84" s="85" t="inlineStr">
        <is>
          <t>鼠标</t>
        </is>
      </c>
      <c r="F84" s="85" t="inlineStr">
        <is>
          <t>blue_mouse</t>
        </is>
      </c>
      <c r="G84" s="85" t="inlineStr">
        <is>
          <t>方法B</t>
        </is>
      </c>
      <c r="H84" s="85" t="inlineStr">
        <is>
          <t>EgoAnchor</t>
        </is>
      </c>
      <c r="I84" s="85" t="n">
        <v>2</v>
      </c>
      <c r="J84" s="85" t="n">
        <v>1</v>
      </c>
      <c r="K84" s="267" t="inlineStr">
        <is>
          <t/>
        </is>
      </c>
      <c r="L84" s="267" t="inlineStr">
        <is>
          <t/>
        </is>
      </c>
      <c r="M84" s="267" t="inlineStr">
        <is>
          <t/>
        </is>
      </c>
      <c r="N84" s="267" t="inlineStr">
        <is>
          <t/>
        </is>
      </c>
      <c r="O84" s="267" t="inlineStr">
        <is>
          <t/>
        </is>
      </c>
      <c r="P84" s="267" t="inlineStr">
        <is>
          <t/>
        </is>
      </c>
      <c r="Q84" s="267" t="inlineStr">
        <is>
          <t/>
        </is>
      </c>
      <c r="R84" s="267" t="inlineStr">
        <is>
          <t/>
        </is>
      </c>
      <c r="S84" s="267" t="inlineStr">
        <is>
          <t/>
        </is>
      </c>
      <c r="T84" s="215" t="inlineStr">
        <is>
          <t/>
        </is>
      </c>
      <c r="U84" s="129" t="str">
        <f>IF(AND(TaskRatings!N84="完整",BlockRatings_AQ!Q84="完整"),"完整","未完成")</f>
        <v>未完成</v>
      </c>
      <c r="V84" s="243" t="inlineStr">
        <is>
          <t/>
        </is>
      </c>
    </row>
    <row r="85">
      <c r="A85" s="90" t="inlineStr">
        <is>
          <t>P014</t>
        </is>
      </c>
      <c r="B85" s="85" t="n">
        <v>3</v>
      </c>
      <c r="C85" s="85" t="inlineStr">
        <is>
          <t>P2-S1-OE</t>
        </is>
      </c>
      <c r="D85" s="85" t="n">
        <v>2</v>
      </c>
      <c r="E85" s="85" t="inlineStr">
        <is>
          <t>游戏手柄</t>
        </is>
      </c>
      <c r="F85" s="85" t="inlineStr">
        <is>
          <t>gamepad</t>
        </is>
      </c>
      <c r="G85" s="85" t="inlineStr">
        <is>
          <t>方法B</t>
        </is>
      </c>
      <c r="H85" s="85" t="inlineStr">
        <is>
          <t>EgoAnchor</t>
        </is>
      </c>
      <c r="I85" s="85" t="n">
        <v>1</v>
      </c>
      <c r="J85" s="85" t="n">
        <v>2</v>
      </c>
      <c r="K85" s="267" t="inlineStr">
        <is>
          <t/>
        </is>
      </c>
      <c r="L85" s="267" t="inlineStr">
        <is>
          <t/>
        </is>
      </c>
      <c r="M85" s="267" t="inlineStr">
        <is>
          <t/>
        </is>
      </c>
      <c r="N85" s="267" t="inlineStr">
        <is>
          <t/>
        </is>
      </c>
      <c r="O85" s="267" t="inlineStr">
        <is>
          <t/>
        </is>
      </c>
      <c r="P85" s="267" t="inlineStr">
        <is>
          <t/>
        </is>
      </c>
      <c r="Q85" s="267" t="inlineStr">
        <is>
          <t/>
        </is>
      </c>
      <c r="R85" s="267" t="inlineStr">
        <is>
          <t/>
        </is>
      </c>
      <c r="S85" s="267" t="inlineStr">
        <is>
          <t/>
        </is>
      </c>
      <c r="T85" s="215" t="inlineStr">
        <is>
          <t/>
        </is>
      </c>
      <c r="U85" s="129" t="str">
        <f>IF(AND(TaskRatings!N85="完整",BlockRatings_AQ!Q85="完整"),"完整","未完成")</f>
        <v>未完成</v>
      </c>
      <c r="V85" s="243" t="inlineStr">
        <is>
          <t/>
        </is>
      </c>
    </row>
    <row r="86">
      <c r="A86" s="90" t="inlineStr">
        <is>
          <t>P014</t>
        </is>
      </c>
      <c r="B86" s="85" t="n">
        <v>4</v>
      </c>
      <c r="C86" s="85" t="inlineStr">
        <is>
          <t>P2-S1-OE</t>
        </is>
      </c>
      <c r="D86" s="85" t="n">
        <v>2</v>
      </c>
      <c r="E86" s="85" t="inlineStr">
        <is>
          <t>游戏手柄</t>
        </is>
      </c>
      <c r="F86" s="85" t="inlineStr">
        <is>
          <t>gamepad</t>
        </is>
      </c>
      <c r="G86" s="85" t="inlineStr">
        <is>
          <t>方法A</t>
        </is>
      </c>
      <c r="H86" s="85" t="inlineStr">
        <is>
          <t>One-Euro</t>
        </is>
      </c>
      <c r="I86" s="85" t="n">
        <v>2</v>
      </c>
      <c r="J86" s="85" t="n">
        <v>2</v>
      </c>
      <c r="K86" s="267" t="inlineStr">
        <is>
          <t/>
        </is>
      </c>
      <c r="L86" s="267" t="inlineStr">
        <is>
          <t/>
        </is>
      </c>
      <c r="M86" s="267" t="inlineStr">
        <is>
          <t/>
        </is>
      </c>
      <c r="N86" s="267" t="inlineStr">
        <is>
          <t/>
        </is>
      </c>
      <c r="O86" s="267" t="inlineStr">
        <is>
          <t/>
        </is>
      </c>
      <c r="P86" s="267" t="inlineStr">
        <is>
          <t/>
        </is>
      </c>
      <c r="Q86" s="267" t="inlineStr">
        <is>
          <t/>
        </is>
      </c>
      <c r="R86" s="267" t="inlineStr">
        <is>
          <t/>
        </is>
      </c>
      <c r="S86" s="267" t="inlineStr">
        <is>
          <t/>
        </is>
      </c>
      <c r="T86" s="215" t="inlineStr">
        <is>
          <t/>
        </is>
      </c>
      <c r="U86" s="129" t="str">
        <f>IF(AND(TaskRatings!N86="完整",BlockRatings_AQ!Q86="完整"),"完整","未完成")</f>
        <v>未完成</v>
      </c>
      <c r="V86" s="243" t="inlineStr">
        <is>
          <t/>
        </is>
      </c>
    </row>
    <row r="87">
      <c r="A87" s="90" t="inlineStr">
        <is>
          <t>P014</t>
        </is>
      </c>
      <c r="B87" s="85" t="n">
        <v>5</v>
      </c>
      <c r="C87" s="85" t="inlineStr">
        <is>
          <t>P2-S1-OE</t>
        </is>
      </c>
      <c r="D87" s="85" t="n">
        <v>3</v>
      </c>
      <c r="E87" s="85" t="inlineStr">
        <is>
          <t>固定订书机</t>
        </is>
      </c>
      <c r="F87" s="85" t="inlineStr">
        <is>
          <t>stapler</t>
        </is>
      </c>
      <c r="G87" s="85" t="inlineStr">
        <is>
          <t>方法A</t>
        </is>
      </c>
      <c r="H87" s="85" t="inlineStr">
        <is>
          <t>One-Euro</t>
        </is>
      </c>
      <c r="I87" s="85" t="n">
        <v>1</v>
      </c>
      <c r="J87" s="85" t="n">
        <v>3</v>
      </c>
      <c r="K87" s="267" t="inlineStr">
        <is>
          <t/>
        </is>
      </c>
      <c r="L87" s="267" t="inlineStr">
        <is>
          <t/>
        </is>
      </c>
      <c r="M87" s="267" t="inlineStr">
        <is>
          <t/>
        </is>
      </c>
      <c r="N87" s="267" t="inlineStr">
        <is>
          <t/>
        </is>
      </c>
      <c r="O87" s="267" t="inlineStr">
        <is>
          <t/>
        </is>
      </c>
      <c r="P87" s="267" t="inlineStr">
        <is>
          <t/>
        </is>
      </c>
      <c r="Q87" s="267" t="inlineStr">
        <is>
          <t/>
        </is>
      </c>
      <c r="R87" s="267" t="inlineStr">
        <is>
          <t/>
        </is>
      </c>
      <c r="S87" s="267" t="inlineStr">
        <is>
          <t/>
        </is>
      </c>
      <c r="T87" s="215" t="inlineStr">
        <is>
          <t/>
        </is>
      </c>
      <c r="U87" s="129" t="str">
        <f>IF(AND(TaskRatings!N87="完整",BlockRatings_AQ!Q87="完整"),"完整","未完成")</f>
        <v>未完成</v>
      </c>
      <c r="V87" s="243" t="inlineStr">
        <is>
          <t/>
        </is>
      </c>
    </row>
    <row r="88">
      <c r="A88" s="90" t="inlineStr">
        <is>
          <t>P014</t>
        </is>
      </c>
      <c r="B88" s="85" t="n">
        <v>6</v>
      </c>
      <c r="C88" s="85" t="inlineStr">
        <is>
          <t>P2-S1-OE</t>
        </is>
      </c>
      <c r="D88" s="85" t="n">
        <v>3</v>
      </c>
      <c r="E88" s="85" t="inlineStr">
        <is>
          <t>固定订书机</t>
        </is>
      </c>
      <c r="F88" s="85" t="inlineStr">
        <is>
          <t>stapler</t>
        </is>
      </c>
      <c r="G88" s="85" t="inlineStr">
        <is>
          <t>方法B</t>
        </is>
      </c>
      <c r="H88" s="85" t="inlineStr">
        <is>
          <t>EgoAnchor</t>
        </is>
      </c>
      <c r="I88" s="85" t="n">
        <v>2</v>
      </c>
      <c r="J88" s="85" t="n">
        <v>3</v>
      </c>
      <c r="K88" s="267" t="inlineStr">
        <is>
          <t/>
        </is>
      </c>
      <c r="L88" s="267" t="inlineStr">
        <is>
          <t/>
        </is>
      </c>
      <c r="M88" s="267" t="inlineStr">
        <is>
          <t/>
        </is>
      </c>
      <c r="N88" s="267" t="inlineStr">
        <is>
          <t/>
        </is>
      </c>
      <c r="O88" s="267" t="inlineStr">
        <is>
          <t/>
        </is>
      </c>
      <c r="P88" s="267" t="inlineStr">
        <is>
          <t/>
        </is>
      </c>
      <c r="Q88" s="267" t="inlineStr">
        <is>
          <t/>
        </is>
      </c>
      <c r="R88" s="267" t="inlineStr">
        <is>
          <t/>
        </is>
      </c>
      <c r="S88" s="267" t="inlineStr">
        <is>
          <t/>
        </is>
      </c>
      <c r="T88" s="215" t="inlineStr">
        <is>
          <t/>
        </is>
      </c>
      <c r="U88" s="129" t="str">
        <f>IF(AND(TaskRatings!N88="完整",BlockRatings_AQ!Q88="完整"),"完整","未完成")</f>
        <v>未完成</v>
      </c>
      <c r="V88" s="243" t="inlineStr">
        <is>
          <t/>
        </is>
      </c>
    </row>
    <row r="89">
      <c r="A89" s="90" t="inlineStr">
        <is>
          <t>P015</t>
        </is>
      </c>
      <c r="B89" s="85" t="n">
        <v>1</v>
      </c>
      <c r="C89" s="85" t="inlineStr">
        <is>
          <t>P3-S1-OE</t>
        </is>
      </c>
      <c r="D89" s="85" t="n">
        <v>1</v>
      </c>
      <c r="E89" s="85" t="inlineStr">
        <is>
          <t>固定订书机</t>
        </is>
      </c>
      <c r="F89" s="85" t="inlineStr">
        <is>
          <t>stapler</t>
        </is>
      </c>
      <c r="G89" s="85" t="inlineStr">
        <is>
          <t>方法A</t>
        </is>
      </c>
      <c r="H89" s="85" t="inlineStr">
        <is>
          <t>One-Euro</t>
        </is>
      </c>
      <c r="I89" s="85" t="n">
        <v>1</v>
      </c>
      <c r="J89" s="85" t="n">
        <v>1</v>
      </c>
      <c r="K89" s="267" t="inlineStr">
        <is>
          <t/>
        </is>
      </c>
      <c r="L89" s="267" t="inlineStr">
        <is>
          <t/>
        </is>
      </c>
      <c r="M89" s="267" t="inlineStr">
        <is>
          <t/>
        </is>
      </c>
      <c r="N89" s="267" t="inlineStr">
        <is>
          <t/>
        </is>
      </c>
      <c r="O89" s="267" t="inlineStr">
        <is>
          <t/>
        </is>
      </c>
      <c r="P89" s="267" t="inlineStr">
        <is>
          <t/>
        </is>
      </c>
      <c r="Q89" s="267" t="inlineStr">
        <is>
          <t/>
        </is>
      </c>
      <c r="R89" s="267" t="inlineStr">
        <is>
          <t/>
        </is>
      </c>
      <c r="S89" s="267" t="inlineStr">
        <is>
          <t/>
        </is>
      </c>
      <c r="T89" s="215" t="inlineStr">
        <is>
          <t/>
        </is>
      </c>
      <c r="U89" s="129" t="str">
        <f>IF(AND(TaskRatings!N89="完整",BlockRatings_AQ!Q89="完整"),"完整","未完成")</f>
        <v>未完成</v>
      </c>
      <c r="V89" s="243" t="inlineStr">
        <is>
          <t/>
        </is>
      </c>
    </row>
    <row r="90">
      <c r="A90" s="90" t="inlineStr">
        <is>
          <t>P015</t>
        </is>
      </c>
      <c r="B90" s="85" t="n">
        <v>2</v>
      </c>
      <c r="C90" s="85" t="inlineStr">
        <is>
          <t>P3-S1-OE</t>
        </is>
      </c>
      <c r="D90" s="85" t="n">
        <v>1</v>
      </c>
      <c r="E90" s="85" t="inlineStr">
        <is>
          <t>固定订书机</t>
        </is>
      </c>
      <c r="F90" s="85" t="inlineStr">
        <is>
          <t>stapler</t>
        </is>
      </c>
      <c r="G90" s="85" t="inlineStr">
        <is>
          <t>方法B</t>
        </is>
      </c>
      <c r="H90" s="85" t="inlineStr">
        <is>
          <t>EgoAnchor</t>
        </is>
      </c>
      <c r="I90" s="85" t="n">
        <v>2</v>
      </c>
      <c r="J90" s="85" t="n">
        <v>1</v>
      </c>
      <c r="K90" s="267" t="inlineStr">
        <is>
          <t/>
        </is>
      </c>
      <c r="L90" s="267" t="inlineStr">
        <is>
          <t/>
        </is>
      </c>
      <c r="M90" s="267" t="inlineStr">
        <is>
          <t/>
        </is>
      </c>
      <c r="N90" s="267" t="inlineStr">
        <is>
          <t/>
        </is>
      </c>
      <c r="O90" s="267" t="inlineStr">
        <is>
          <t/>
        </is>
      </c>
      <c r="P90" s="267" t="inlineStr">
        <is>
          <t/>
        </is>
      </c>
      <c r="Q90" s="267" t="inlineStr">
        <is>
          <t/>
        </is>
      </c>
      <c r="R90" s="267" t="inlineStr">
        <is>
          <t/>
        </is>
      </c>
      <c r="S90" s="267" t="inlineStr">
        <is>
          <t/>
        </is>
      </c>
      <c r="T90" s="215" t="inlineStr">
        <is>
          <t/>
        </is>
      </c>
      <c r="U90" s="129" t="str">
        <f>IF(AND(TaskRatings!N90="完整",BlockRatings_AQ!Q90="完整"),"完整","未完成")</f>
        <v>未完成</v>
      </c>
      <c r="V90" s="243" t="inlineStr">
        <is>
          <t/>
        </is>
      </c>
    </row>
    <row r="91">
      <c r="A91" s="90" t="inlineStr">
        <is>
          <t>P015</t>
        </is>
      </c>
      <c r="B91" s="85" t="n">
        <v>3</v>
      </c>
      <c r="C91" s="85" t="inlineStr">
        <is>
          <t>P3-S1-OE</t>
        </is>
      </c>
      <c r="D91" s="85" t="n">
        <v>2</v>
      </c>
      <c r="E91" s="85" t="inlineStr">
        <is>
          <t>鼠标</t>
        </is>
      </c>
      <c r="F91" s="85" t="inlineStr">
        <is>
          <t>blue_mouse</t>
        </is>
      </c>
      <c r="G91" s="85" t="inlineStr">
        <is>
          <t>方法B</t>
        </is>
      </c>
      <c r="H91" s="85" t="inlineStr">
        <is>
          <t>EgoAnchor</t>
        </is>
      </c>
      <c r="I91" s="85" t="n">
        <v>1</v>
      </c>
      <c r="J91" s="85" t="n">
        <v>2</v>
      </c>
      <c r="K91" s="267" t="inlineStr">
        <is>
          <t/>
        </is>
      </c>
      <c r="L91" s="267" t="inlineStr">
        <is>
          <t/>
        </is>
      </c>
      <c r="M91" s="267" t="inlineStr">
        <is>
          <t/>
        </is>
      </c>
      <c r="N91" s="267" t="inlineStr">
        <is>
          <t/>
        </is>
      </c>
      <c r="O91" s="267" t="inlineStr">
        <is>
          <t/>
        </is>
      </c>
      <c r="P91" s="267" t="inlineStr">
        <is>
          <t/>
        </is>
      </c>
      <c r="Q91" s="267" t="inlineStr">
        <is>
          <t/>
        </is>
      </c>
      <c r="R91" s="267" t="inlineStr">
        <is>
          <t/>
        </is>
      </c>
      <c r="S91" s="267" t="inlineStr">
        <is>
          <t/>
        </is>
      </c>
      <c r="T91" s="215" t="inlineStr">
        <is>
          <t/>
        </is>
      </c>
      <c r="U91" s="129" t="str">
        <f>IF(AND(TaskRatings!N91="完整",BlockRatings_AQ!Q91="完整"),"完整","未完成")</f>
        <v>未完成</v>
      </c>
      <c r="V91" s="243" t="inlineStr">
        <is>
          <t/>
        </is>
      </c>
    </row>
    <row r="92">
      <c r="A92" s="90" t="inlineStr">
        <is>
          <t>P015</t>
        </is>
      </c>
      <c r="B92" s="85" t="n">
        <v>4</v>
      </c>
      <c r="C92" s="85" t="inlineStr">
        <is>
          <t>P3-S1-OE</t>
        </is>
      </c>
      <c r="D92" s="85" t="n">
        <v>2</v>
      </c>
      <c r="E92" s="85" t="inlineStr">
        <is>
          <t>鼠标</t>
        </is>
      </c>
      <c r="F92" s="85" t="inlineStr">
        <is>
          <t>blue_mouse</t>
        </is>
      </c>
      <c r="G92" s="85" t="inlineStr">
        <is>
          <t>方法A</t>
        </is>
      </c>
      <c r="H92" s="85" t="inlineStr">
        <is>
          <t>One-Euro</t>
        </is>
      </c>
      <c r="I92" s="85" t="n">
        <v>2</v>
      </c>
      <c r="J92" s="85" t="n">
        <v>2</v>
      </c>
      <c r="K92" s="267" t="inlineStr">
        <is>
          <t/>
        </is>
      </c>
      <c r="L92" s="267" t="inlineStr">
        <is>
          <t/>
        </is>
      </c>
      <c r="M92" s="267" t="inlineStr">
        <is>
          <t/>
        </is>
      </c>
      <c r="N92" s="267" t="inlineStr">
        <is>
          <t/>
        </is>
      </c>
      <c r="O92" s="267" t="inlineStr">
        <is>
          <t/>
        </is>
      </c>
      <c r="P92" s="267" t="inlineStr">
        <is>
          <t/>
        </is>
      </c>
      <c r="Q92" s="267" t="inlineStr">
        <is>
          <t/>
        </is>
      </c>
      <c r="R92" s="267" t="inlineStr">
        <is>
          <t/>
        </is>
      </c>
      <c r="S92" s="267" t="inlineStr">
        <is>
          <t/>
        </is>
      </c>
      <c r="T92" s="215" t="inlineStr">
        <is>
          <t/>
        </is>
      </c>
      <c r="U92" s="129" t="str">
        <f>IF(AND(TaskRatings!N92="完整",BlockRatings_AQ!Q92="完整"),"完整","未完成")</f>
        <v>未完成</v>
      </c>
      <c r="V92" s="243" t="inlineStr">
        <is>
          <t/>
        </is>
      </c>
    </row>
    <row r="93">
      <c r="A93" s="90" t="inlineStr">
        <is>
          <t>P015</t>
        </is>
      </c>
      <c r="B93" s="85" t="n">
        <v>5</v>
      </c>
      <c r="C93" s="85" t="inlineStr">
        <is>
          <t>P3-S1-OE</t>
        </is>
      </c>
      <c r="D93" s="85" t="n">
        <v>3</v>
      </c>
      <c r="E93" s="85" t="inlineStr">
        <is>
          <t>游戏手柄</t>
        </is>
      </c>
      <c r="F93" s="85" t="inlineStr">
        <is>
          <t>gamepad</t>
        </is>
      </c>
      <c r="G93" s="85" t="inlineStr">
        <is>
          <t>方法A</t>
        </is>
      </c>
      <c r="H93" s="85" t="inlineStr">
        <is>
          <t>One-Euro</t>
        </is>
      </c>
      <c r="I93" s="85" t="n">
        <v>1</v>
      </c>
      <c r="J93" s="85" t="n">
        <v>3</v>
      </c>
      <c r="K93" s="267" t="inlineStr">
        <is>
          <t/>
        </is>
      </c>
      <c r="L93" s="267" t="inlineStr">
        <is>
          <t/>
        </is>
      </c>
      <c r="M93" s="267" t="inlineStr">
        <is>
          <t/>
        </is>
      </c>
      <c r="N93" s="267" t="inlineStr">
        <is>
          <t/>
        </is>
      </c>
      <c r="O93" s="267" t="inlineStr">
        <is>
          <t/>
        </is>
      </c>
      <c r="P93" s="267" t="inlineStr">
        <is>
          <t/>
        </is>
      </c>
      <c r="Q93" s="267" t="inlineStr">
        <is>
          <t/>
        </is>
      </c>
      <c r="R93" s="267" t="inlineStr">
        <is>
          <t/>
        </is>
      </c>
      <c r="S93" s="267" t="inlineStr">
        <is>
          <t/>
        </is>
      </c>
      <c r="T93" s="215" t="inlineStr">
        <is>
          <t/>
        </is>
      </c>
      <c r="U93" s="129" t="str">
        <f>IF(AND(TaskRatings!N93="完整",BlockRatings_AQ!Q93="完整"),"完整","未完成")</f>
        <v>未完成</v>
      </c>
      <c r="V93" s="243" t="inlineStr">
        <is>
          <t/>
        </is>
      </c>
    </row>
    <row r="94">
      <c r="A94" s="90" t="inlineStr">
        <is>
          <t>P015</t>
        </is>
      </c>
      <c r="B94" s="85" t="n">
        <v>6</v>
      </c>
      <c r="C94" s="85" t="inlineStr">
        <is>
          <t>P3-S1-OE</t>
        </is>
      </c>
      <c r="D94" s="85" t="n">
        <v>3</v>
      </c>
      <c r="E94" s="85" t="inlineStr">
        <is>
          <t>游戏手柄</t>
        </is>
      </c>
      <c r="F94" s="85" t="inlineStr">
        <is>
          <t>gamepad</t>
        </is>
      </c>
      <c r="G94" s="85" t="inlineStr">
        <is>
          <t>方法B</t>
        </is>
      </c>
      <c r="H94" s="85" t="inlineStr">
        <is>
          <t>EgoAnchor</t>
        </is>
      </c>
      <c r="I94" s="85" t="n">
        <v>2</v>
      </c>
      <c r="J94" s="85" t="n">
        <v>3</v>
      </c>
      <c r="K94" s="267" t="inlineStr">
        <is>
          <t/>
        </is>
      </c>
      <c r="L94" s="267" t="inlineStr">
        <is>
          <t/>
        </is>
      </c>
      <c r="M94" s="267" t="inlineStr">
        <is>
          <t/>
        </is>
      </c>
      <c r="N94" s="267" t="inlineStr">
        <is>
          <t/>
        </is>
      </c>
      <c r="O94" s="267" t="inlineStr">
        <is>
          <t/>
        </is>
      </c>
      <c r="P94" s="267" t="inlineStr">
        <is>
          <t/>
        </is>
      </c>
      <c r="Q94" s="267" t="inlineStr">
        <is>
          <t/>
        </is>
      </c>
      <c r="R94" s="267" t="inlineStr">
        <is>
          <t/>
        </is>
      </c>
      <c r="S94" s="267" t="inlineStr">
        <is>
          <t/>
        </is>
      </c>
      <c r="T94" s="215" t="inlineStr">
        <is>
          <t/>
        </is>
      </c>
      <c r="U94" s="129" t="str">
        <f>IF(AND(TaskRatings!N94="完整",BlockRatings_AQ!Q94="完整"),"完整","未完成")</f>
        <v>未完成</v>
      </c>
      <c r="V94" s="243" t="inlineStr">
        <is>
          <t/>
        </is>
      </c>
    </row>
    <row r="95">
      <c r="A95" s="90" t="inlineStr">
        <is>
          <t>P016</t>
        </is>
      </c>
      <c r="B95" s="85" t="n">
        <v>1</v>
      </c>
      <c r="C95" s="85" t="inlineStr">
        <is>
          <t>P4-S1-OE</t>
        </is>
      </c>
      <c r="D95" s="85" t="n">
        <v>1</v>
      </c>
      <c r="E95" s="85" t="inlineStr">
        <is>
          <t>固定订书机</t>
        </is>
      </c>
      <c r="F95" s="85" t="inlineStr">
        <is>
          <t>stapler</t>
        </is>
      </c>
      <c r="G95" s="85" t="inlineStr">
        <is>
          <t>方法A</t>
        </is>
      </c>
      <c r="H95" s="85" t="inlineStr">
        <is>
          <t>One-Euro</t>
        </is>
      </c>
      <c r="I95" s="85" t="n">
        <v>1</v>
      </c>
      <c r="J95" s="85" t="n">
        <v>1</v>
      </c>
      <c r="K95" s="267" t="inlineStr">
        <is>
          <t/>
        </is>
      </c>
      <c r="L95" s="267" t="inlineStr">
        <is>
          <t/>
        </is>
      </c>
      <c r="M95" s="267" t="inlineStr">
        <is>
          <t/>
        </is>
      </c>
      <c r="N95" s="267" t="inlineStr">
        <is>
          <t/>
        </is>
      </c>
      <c r="O95" s="267" t="inlineStr">
        <is>
          <t/>
        </is>
      </c>
      <c r="P95" s="267" t="inlineStr">
        <is>
          <t/>
        </is>
      </c>
      <c r="Q95" s="267" t="inlineStr">
        <is>
          <t/>
        </is>
      </c>
      <c r="R95" s="267" t="inlineStr">
        <is>
          <t/>
        </is>
      </c>
      <c r="S95" s="267" t="inlineStr">
        <is>
          <t/>
        </is>
      </c>
      <c r="T95" s="215" t="inlineStr">
        <is>
          <t/>
        </is>
      </c>
      <c r="U95" s="129" t="str">
        <f>IF(AND(TaskRatings!N95="完整",BlockRatings_AQ!Q95="完整"),"完整","未完成")</f>
        <v>未完成</v>
      </c>
      <c r="V95" s="243" t="inlineStr">
        <is>
          <t/>
        </is>
      </c>
    </row>
    <row r="96">
      <c r="A96" s="90" t="inlineStr">
        <is>
          <t>P016</t>
        </is>
      </c>
      <c r="B96" s="85" t="n">
        <v>2</v>
      </c>
      <c r="C96" s="85" t="inlineStr">
        <is>
          <t>P4-S1-OE</t>
        </is>
      </c>
      <c r="D96" s="85" t="n">
        <v>1</v>
      </c>
      <c r="E96" s="85" t="inlineStr">
        <is>
          <t>固定订书机</t>
        </is>
      </c>
      <c r="F96" s="85" t="inlineStr">
        <is>
          <t>stapler</t>
        </is>
      </c>
      <c r="G96" s="85" t="inlineStr">
        <is>
          <t>方法B</t>
        </is>
      </c>
      <c r="H96" s="85" t="inlineStr">
        <is>
          <t>EgoAnchor</t>
        </is>
      </c>
      <c r="I96" s="85" t="n">
        <v>2</v>
      </c>
      <c r="J96" s="85" t="n">
        <v>1</v>
      </c>
      <c r="K96" s="267" t="inlineStr">
        <is>
          <t/>
        </is>
      </c>
      <c r="L96" s="267" t="inlineStr">
        <is>
          <t/>
        </is>
      </c>
      <c r="M96" s="267" t="inlineStr">
        <is>
          <t/>
        </is>
      </c>
      <c r="N96" s="267" t="inlineStr">
        <is>
          <t/>
        </is>
      </c>
      <c r="O96" s="267" t="inlineStr">
        <is>
          <t/>
        </is>
      </c>
      <c r="P96" s="267" t="inlineStr">
        <is>
          <t/>
        </is>
      </c>
      <c r="Q96" s="267" t="inlineStr">
        <is>
          <t/>
        </is>
      </c>
      <c r="R96" s="267" t="inlineStr">
        <is>
          <t/>
        </is>
      </c>
      <c r="S96" s="267" t="inlineStr">
        <is>
          <t/>
        </is>
      </c>
      <c r="T96" s="215" t="inlineStr">
        <is>
          <t/>
        </is>
      </c>
      <c r="U96" s="129" t="str">
        <f>IF(AND(TaskRatings!N96="完整",BlockRatings_AQ!Q96="完整"),"完整","未完成")</f>
        <v>未完成</v>
      </c>
      <c r="V96" s="243" t="inlineStr">
        <is>
          <t/>
        </is>
      </c>
    </row>
    <row r="97">
      <c r="A97" s="90" t="inlineStr">
        <is>
          <t>P016</t>
        </is>
      </c>
      <c r="B97" s="85" t="n">
        <v>3</v>
      </c>
      <c r="C97" s="85" t="inlineStr">
        <is>
          <t>P4-S1-OE</t>
        </is>
      </c>
      <c r="D97" s="85" t="n">
        <v>2</v>
      </c>
      <c r="E97" s="85" t="inlineStr">
        <is>
          <t>游戏手柄</t>
        </is>
      </c>
      <c r="F97" s="85" t="inlineStr">
        <is>
          <t>gamepad</t>
        </is>
      </c>
      <c r="G97" s="85" t="inlineStr">
        <is>
          <t>方法B</t>
        </is>
      </c>
      <c r="H97" s="85" t="inlineStr">
        <is>
          <t>EgoAnchor</t>
        </is>
      </c>
      <c r="I97" s="85" t="n">
        <v>1</v>
      </c>
      <c r="J97" s="85" t="n">
        <v>2</v>
      </c>
      <c r="K97" s="267" t="inlineStr">
        <is>
          <t/>
        </is>
      </c>
      <c r="L97" s="267" t="inlineStr">
        <is>
          <t/>
        </is>
      </c>
      <c r="M97" s="267" t="inlineStr">
        <is>
          <t/>
        </is>
      </c>
      <c r="N97" s="267" t="inlineStr">
        <is>
          <t/>
        </is>
      </c>
      <c r="O97" s="267" t="inlineStr">
        <is>
          <t/>
        </is>
      </c>
      <c r="P97" s="267" t="inlineStr">
        <is>
          <t/>
        </is>
      </c>
      <c r="Q97" s="267" t="inlineStr">
        <is>
          <t/>
        </is>
      </c>
      <c r="R97" s="267" t="inlineStr">
        <is>
          <t/>
        </is>
      </c>
      <c r="S97" s="267" t="inlineStr">
        <is>
          <t/>
        </is>
      </c>
      <c r="T97" s="215" t="inlineStr">
        <is>
          <t/>
        </is>
      </c>
      <c r="U97" s="129" t="str">
        <f>IF(AND(TaskRatings!N97="完整",BlockRatings_AQ!Q97="完整"),"完整","未完成")</f>
        <v>未完成</v>
      </c>
      <c r="V97" s="243" t="inlineStr">
        <is>
          <t/>
        </is>
      </c>
    </row>
    <row r="98">
      <c r="A98" s="90" t="inlineStr">
        <is>
          <t>P016</t>
        </is>
      </c>
      <c r="B98" s="85" t="n">
        <v>4</v>
      </c>
      <c r="C98" s="85" t="inlineStr">
        <is>
          <t>P4-S1-OE</t>
        </is>
      </c>
      <c r="D98" s="85" t="n">
        <v>2</v>
      </c>
      <c r="E98" s="85" t="inlineStr">
        <is>
          <t>游戏手柄</t>
        </is>
      </c>
      <c r="F98" s="85" t="inlineStr">
        <is>
          <t>gamepad</t>
        </is>
      </c>
      <c r="G98" s="85" t="inlineStr">
        <is>
          <t>方法A</t>
        </is>
      </c>
      <c r="H98" s="85" t="inlineStr">
        <is>
          <t>One-Euro</t>
        </is>
      </c>
      <c r="I98" s="85" t="n">
        <v>2</v>
      </c>
      <c r="J98" s="85" t="n">
        <v>2</v>
      </c>
      <c r="K98" s="267" t="inlineStr">
        <is>
          <t/>
        </is>
      </c>
      <c r="L98" s="267" t="inlineStr">
        <is>
          <t/>
        </is>
      </c>
      <c r="M98" s="267" t="inlineStr">
        <is>
          <t/>
        </is>
      </c>
      <c r="N98" s="267" t="inlineStr">
        <is>
          <t/>
        </is>
      </c>
      <c r="O98" s="267" t="inlineStr">
        <is>
          <t/>
        </is>
      </c>
      <c r="P98" s="267" t="inlineStr">
        <is>
          <t/>
        </is>
      </c>
      <c r="Q98" s="267" t="inlineStr">
        <is>
          <t/>
        </is>
      </c>
      <c r="R98" s="267" t="inlineStr">
        <is>
          <t/>
        </is>
      </c>
      <c r="S98" s="267" t="inlineStr">
        <is>
          <t/>
        </is>
      </c>
      <c r="T98" s="215" t="inlineStr">
        <is>
          <t/>
        </is>
      </c>
      <c r="U98" s="129" t="str">
        <f>IF(AND(TaskRatings!N98="完整",BlockRatings_AQ!Q98="完整"),"完整","未完成")</f>
        <v>未完成</v>
      </c>
      <c r="V98" s="243" t="inlineStr">
        <is>
          <t/>
        </is>
      </c>
    </row>
    <row r="99">
      <c r="A99" s="90" t="inlineStr">
        <is>
          <t>P016</t>
        </is>
      </c>
      <c r="B99" s="85" t="n">
        <v>5</v>
      </c>
      <c r="C99" s="85" t="inlineStr">
        <is>
          <t>P4-S1-OE</t>
        </is>
      </c>
      <c r="D99" s="85" t="n">
        <v>3</v>
      </c>
      <c r="E99" s="85" t="inlineStr">
        <is>
          <t>鼠标</t>
        </is>
      </c>
      <c r="F99" s="85" t="inlineStr">
        <is>
          <t>blue_mouse</t>
        </is>
      </c>
      <c r="G99" s="85" t="inlineStr">
        <is>
          <t>方法A</t>
        </is>
      </c>
      <c r="H99" s="85" t="inlineStr">
        <is>
          <t>One-Euro</t>
        </is>
      </c>
      <c r="I99" s="85" t="n">
        <v>1</v>
      </c>
      <c r="J99" s="85" t="n">
        <v>3</v>
      </c>
      <c r="K99" s="267" t="inlineStr">
        <is>
          <t/>
        </is>
      </c>
      <c r="L99" s="267" t="inlineStr">
        <is>
          <t/>
        </is>
      </c>
      <c r="M99" s="267" t="inlineStr">
        <is>
          <t/>
        </is>
      </c>
      <c r="N99" s="267" t="inlineStr">
        <is>
          <t/>
        </is>
      </c>
      <c r="O99" s="267" t="inlineStr">
        <is>
          <t/>
        </is>
      </c>
      <c r="P99" s="267" t="inlineStr">
        <is>
          <t/>
        </is>
      </c>
      <c r="Q99" s="267" t="inlineStr">
        <is>
          <t/>
        </is>
      </c>
      <c r="R99" s="267" t="inlineStr">
        <is>
          <t/>
        </is>
      </c>
      <c r="S99" s="267" t="inlineStr">
        <is>
          <t/>
        </is>
      </c>
      <c r="T99" s="215" t="inlineStr">
        <is>
          <t/>
        </is>
      </c>
      <c r="U99" s="129" t="str">
        <f>IF(AND(TaskRatings!N99="完整",BlockRatings_AQ!Q99="完整"),"完整","未完成")</f>
        <v>未完成</v>
      </c>
      <c r="V99" s="243" t="inlineStr">
        <is>
          <t/>
        </is>
      </c>
    </row>
    <row r="100">
      <c r="A100" s="90" t="inlineStr">
        <is>
          <t>P016</t>
        </is>
      </c>
      <c r="B100" s="85" t="n">
        <v>6</v>
      </c>
      <c r="C100" s="85" t="inlineStr">
        <is>
          <t>P4-S1-OE</t>
        </is>
      </c>
      <c r="D100" s="85" t="n">
        <v>3</v>
      </c>
      <c r="E100" s="85" t="inlineStr">
        <is>
          <t>鼠标</t>
        </is>
      </c>
      <c r="F100" s="85" t="inlineStr">
        <is>
          <t>blue_mouse</t>
        </is>
      </c>
      <c r="G100" s="85" t="inlineStr">
        <is>
          <t>方法B</t>
        </is>
      </c>
      <c r="H100" s="85" t="inlineStr">
        <is>
          <t>EgoAnchor</t>
        </is>
      </c>
      <c r="I100" s="85" t="n">
        <v>2</v>
      </c>
      <c r="J100" s="85" t="n">
        <v>3</v>
      </c>
      <c r="K100" s="267" t="inlineStr">
        <is>
          <t/>
        </is>
      </c>
      <c r="L100" s="267" t="inlineStr">
        <is>
          <t/>
        </is>
      </c>
      <c r="M100" s="267" t="inlineStr">
        <is>
          <t/>
        </is>
      </c>
      <c r="N100" s="267" t="inlineStr">
        <is>
          <t/>
        </is>
      </c>
      <c r="O100" s="267" t="inlineStr">
        <is>
          <t/>
        </is>
      </c>
      <c r="P100" s="267" t="inlineStr">
        <is>
          <t/>
        </is>
      </c>
      <c r="Q100" s="267" t="inlineStr">
        <is>
          <t/>
        </is>
      </c>
      <c r="R100" s="267" t="inlineStr">
        <is>
          <t/>
        </is>
      </c>
      <c r="S100" s="267" t="inlineStr">
        <is>
          <t/>
        </is>
      </c>
      <c r="T100" s="215" t="inlineStr">
        <is>
          <t/>
        </is>
      </c>
      <c r="U100" s="129" t="str">
        <f>IF(AND(TaskRatings!N100="完整",BlockRatings_AQ!Q100="完整"),"完整","未完成")</f>
        <v>未完成</v>
      </c>
      <c r="V100" s="243" t="inlineStr">
        <is>
          <t/>
        </is>
      </c>
    </row>
    <row r="101">
      <c r="A101" s="90" t="inlineStr">
        <is>
          <t>P017</t>
        </is>
      </c>
      <c r="B101" s="85" t="n">
        <v>1</v>
      </c>
      <c r="C101" s="85" t="inlineStr">
        <is>
          <t>P5-S1-OE</t>
        </is>
      </c>
      <c r="D101" s="85" t="n">
        <v>1</v>
      </c>
      <c r="E101" s="85" t="inlineStr">
        <is>
          <t>游戏手柄</t>
        </is>
      </c>
      <c r="F101" s="85" t="inlineStr">
        <is>
          <t>gamepad</t>
        </is>
      </c>
      <c r="G101" s="85" t="inlineStr">
        <is>
          <t>方法A</t>
        </is>
      </c>
      <c r="H101" s="85" t="inlineStr">
        <is>
          <t>One-Euro</t>
        </is>
      </c>
      <c r="I101" s="85" t="n">
        <v>1</v>
      </c>
      <c r="J101" s="85" t="n">
        <v>1</v>
      </c>
      <c r="K101" s="267" t="inlineStr">
        <is>
          <t/>
        </is>
      </c>
      <c r="L101" s="267" t="inlineStr">
        <is>
          <t/>
        </is>
      </c>
      <c r="M101" s="267" t="inlineStr">
        <is>
          <t/>
        </is>
      </c>
      <c r="N101" s="267" t="inlineStr">
        <is>
          <t/>
        </is>
      </c>
      <c r="O101" s="267" t="inlineStr">
        <is>
          <t/>
        </is>
      </c>
      <c r="P101" s="267" t="inlineStr">
        <is>
          <t/>
        </is>
      </c>
      <c r="Q101" s="267" t="inlineStr">
        <is>
          <t/>
        </is>
      </c>
      <c r="R101" s="267" t="inlineStr">
        <is>
          <t/>
        </is>
      </c>
      <c r="S101" s="267" t="inlineStr">
        <is>
          <t/>
        </is>
      </c>
      <c r="T101" s="215" t="inlineStr">
        <is>
          <t/>
        </is>
      </c>
      <c r="U101" s="129" t="str">
        <f>IF(AND(TaskRatings!N101="完整",BlockRatings_AQ!Q101="完整"),"完整","未完成")</f>
        <v>未完成</v>
      </c>
      <c r="V101" s="243" t="inlineStr">
        <is>
          <t/>
        </is>
      </c>
    </row>
    <row r="102">
      <c r="A102" s="90" t="inlineStr">
        <is>
          <t>P017</t>
        </is>
      </c>
      <c r="B102" s="85" t="n">
        <v>2</v>
      </c>
      <c r="C102" s="85" t="inlineStr">
        <is>
          <t>P5-S1-OE</t>
        </is>
      </c>
      <c r="D102" s="85" t="n">
        <v>1</v>
      </c>
      <c r="E102" s="85" t="inlineStr">
        <is>
          <t>游戏手柄</t>
        </is>
      </c>
      <c r="F102" s="85" t="inlineStr">
        <is>
          <t>gamepad</t>
        </is>
      </c>
      <c r="G102" s="85" t="inlineStr">
        <is>
          <t>方法B</t>
        </is>
      </c>
      <c r="H102" s="85" t="inlineStr">
        <is>
          <t>EgoAnchor</t>
        </is>
      </c>
      <c r="I102" s="85" t="n">
        <v>2</v>
      </c>
      <c r="J102" s="85" t="n">
        <v>1</v>
      </c>
      <c r="K102" s="267" t="inlineStr">
        <is>
          <t/>
        </is>
      </c>
      <c r="L102" s="267" t="inlineStr">
        <is>
          <t/>
        </is>
      </c>
      <c r="M102" s="267" t="inlineStr">
        <is>
          <t/>
        </is>
      </c>
      <c r="N102" s="267" t="inlineStr">
        <is>
          <t/>
        </is>
      </c>
      <c r="O102" s="267" t="inlineStr">
        <is>
          <t/>
        </is>
      </c>
      <c r="P102" s="267" t="inlineStr">
        <is>
          <t/>
        </is>
      </c>
      <c r="Q102" s="267" t="inlineStr">
        <is>
          <t/>
        </is>
      </c>
      <c r="R102" s="267" t="inlineStr">
        <is>
          <t/>
        </is>
      </c>
      <c r="S102" s="267" t="inlineStr">
        <is>
          <t/>
        </is>
      </c>
      <c r="T102" s="215" t="inlineStr">
        <is>
          <t/>
        </is>
      </c>
      <c r="U102" s="129" t="str">
        <f>IF(AND(TaskRatings!N102="完整",BlockRatings_AQ!Q102="完整"),"完整","未完成")</f>
        <v>未完成</v>
      </c>
      <c r="V102" s="243" t="inlineStr">
        <is>
          <t/>
        </is>
      </c>
    </row>
    <row r="103">
      <c r="A103" s="90" t="inlineStr">
        <is>
          <t>P017</t>
        </is>
      </c>
      <c r="B103" s="85" t="n">
        <v>3</v>
      </c>
      <c r="C103" s="85" t="inlineStr">
        <is>
          <t>P5-S1-OE</t>
        </is>
      </c>
      <c r="D103" s="85" t="n">
        <v>2</v>
      </c>
      <c r="E103" s="85" t="inlineStr">
        <is>
          <t>鼠标</t>
        </is>
      </c>
      <c r="F103" s="85" t="inlineStr">
        <is>
          <t>blue_mouse</t>
        </is>
      </c>
      <c r="G103" s="85" t="inlineStr">
        <is>
          <t>方法B</t>
        </is>
      </c>
      <c r="H103" s="85" t="inlineStr">
        <is>
          <t>EgoAnchor</t>
        </is>
      </c>
      <c r="I103" s="85" t="n">
        <v>1</v>
      </c>
      <c r="J103" s="85" t="n">
        <v>2</v>
      </c>
      <c r="K103" s="267" t="inlineStr">
        <is>
          <t/>
        </is>
      </c>
      <c r="L103" s="267" t="inlineStr">
        <is>
          <t/>
        </is>
      </c>
      <c r="M103" s="267" t="inlineStr">
        <is>
          <t/>
        </is>
      </c>
      <c r="N103" s="267" t="inlineStr">
        <is>
          <t/>
        </is>
      </c>
      <c r="O103" s="267" t="inlineStr">
        <is>
          <t/>
        </is>
      </c>
      <c r="P103" s="267" t="inlineStr">
        <is>
          <t/>
        </is>
      </c>
      <c r="Q103" s="267" t="inlineStr">
        <is>
          <t/>
        </is>
      </c>
      <c r="R103" s="267" t="inlineStr">
        <is>
          <t/>
        </is>
      </c>
      <c r="S103" s="267" t="inlineStr">
        <is>
          <t/>
        </is>
      </c>
      <c r="T103" s="215" t="inlineStr">
        <is>
          <t/>
        </is>
      </c>
      <c r="U103" s="129" t="str">
        <f>IF(AND(TaskRatings!N103="完整",BlockRatings_AQ!Q103="完整"),"完整","未完成")</f>
        <v>未完成</v>
      </c>
      <c r="V103" s="243" t="inlineStr">
        <is>
          <t/>
        </is>
      </c>
    </row>
    <row r="104">
      <c r="A104" s="90" t="inlineStr">
        <is>
          <t>P017</t>
        </is>
      </c>
      <c r="B104" s="85" t="n">
        <v>4</v>
      </c>
      <c r="C104" s="85" t="inlineStr">
        <is>
          <t>P5-S1-OE</t>
        </is>
      </c>
      <c r="D104" s="85" t="n">
        <v>2</v>
      </c>
      <c r="E104" s="85" t="inlineStr">
        <is>
          <t>鼠标</t>
        </is>
      </c>
      <c r="F104" s="85" t="inlineStr">
        <is>
          <t>blue_mouse</t>
        </is>
      </c>
      <c r="G104" s="85" t="inlineStr">
        <is>
          <t>方法A</t>
        </is>
      </c>
      <c r="H104" s="85" t="inlineStr">
        <is>
          <t>One-Euro</t>
        </is>
      </c>
      <c r="I104" s="85" t="n">
        <v>2</v>
      </c>
      <c r="J104" s="85" t="n">
        <v>2</v>
      </c>
      <c r="K104" s="267" t="inlineStr">
        <is>
          <t/>
        </is>
      </c>
      <c r="L104" s="267" t="inlineStr">
        <is>
          <t/>
        </is>
      </c>
      <c r="M104" s="267" t="inlineStr">
        <is>
          <t/>
        </is>
      </c>
      <c r="N104" s="267" t="inlineStr">
        <is>
          <t/>
        </is>
      </c>
      <c r="O104" s="267" t="inlineStr">
        <is>
          <t/>
        </is>
      </c>
      <c r="P104" s="267" t="inlineStr">
        <is>
          <t/>
        </is>
      </c>
      <c r="Q104" s="267" t="inlineStr">
        <is>
          <t/>
        </is>
      </c>
      <c r="R104" s="267" t="inlineStr">
        <is>
          <t/>
        </is>
      </c>
      <c r="S104" s="267" t="inlineStr">
        <is>
          <t/>
        </is>
      </c>
      <c r="T104" s="215" t="inlineStr">
        <is>
          <t/>
        </is>
      </c>
      <c r="U104" s="129" t="str">
        <f>IF(AND(TaskRatings!N104="完整",BlockRatings_AQ!Q104="完整"),"完整","未完成")</f>
        <v>未完成</v>
      </c>
      <c r="V104" s="243" t="inlineStr">
        <is>
          <t/>
        </is>
      </c>
    </row>
    <row r="105">
      <c r="A105" s="90" t="inlineStr">
        <is>
          <t>P017</t>
        </is>
      </c>
      <c r="B105" s="85" t="n">
        <v>5</v>
      </c>
      <c r="C105" s="85" t="inlineStr">
        <is>
          <t>P5-S1-OE</t>
        </is>
      </c>
      <c r="D105" s="85" t="n">
        <v>3</v>
      </c>
      <c r="E105" s="85" t="inlineStr">
        <is>
          <t>固定订书机</t>
        </is>
      </c>
      <c r="F105" s="85" t="inlineStr">
        <is>
          <t>stapler</t>
        </is>
      </c>
      <c r="G105" s="85" t="inlineStr">
        <is>
          <t>方法A</t>
        </is>
      </c>
      <c r="H105" s="85" t="inlineStr">
        <is>
          <t>One-Euro</t>
        </is>
      </c>
      <c r="I105" s="85" t="n">
        <v>1</v>
      </c>
      <c r="J105" s="85" t="n">
        <v>3</v>
      </c>
      <c r="K105" s="267" t="inlineStr">
        <is>
          <t/>
        </is>
      </c>
      <c r="L105" s="267" t="inlineStr">
        <is>
          <t/>
        </is>
      </c>
      <c r="M105" s="267" t="inlineStr">
        <is>
          <t/>
        </is>
      </c>
      <c r="N105" s="267" t="inlineStr">
        <is>
          <t/>
        </is>
      </c>
      <c r="O105" s="267" t="inlineStr">
        <is>
          <t/>
        </is>
      </c>
      <c r="P105" s="267" t="inlineStr">
        <is>
          <t/>
        </is>
      </c>
      <c r="Q105" s="267" t="inlineStr">
        <is>
          <t/>
        </is>
      </c>
      <c r="R105" s="267" t="inlineStr">
        <is>
          <t/>
        </is>
      </c>
      <c r="S105" s="267" t="inlineStr">
        <is>
          <t/>
        </is>
      </c>
      <c r="T105" s="215" t="inlineStr">
        <is>
          <t/>
        </is>
      </c>
      <c r="U105" s="129" t="str">
        <f>IF(AND(TaskRatings!N105="完整",BlockRatings_AQ!Q105="完整"),"完整","未完成")</f>
        <v>未完成</v>
      </c>
      <c r="V105" s="243" t="inlineStr">
        <is>
          <t/>
        </is>
      </c>
    </row>
    <row r="106">
      <c r="A106" s="90" t="inlineStr">
        <is>
          <t>P017</t>
        </is>
      </c>
      <c r="B106" s="85" t="n">
        <v>6</v>
      </c>
      <c r="C106" s="85" t="inlineStr">
        <is>
          <t>P5-S1-OE</t>
        </is>
      </c>
      <c r="D106" s="85" t="n">
        <v>3</v>
      </c>
      <c r="E106" s="85" t="inlineStr">
        <is>
          <t>固定订书机</t>
        </is>
      </c>
      <c r="F106" s="85" t="inlineStr">
        <is>
          <t>stapler</t>
        </is>
      </c>
      <c r="G106" s="85" t="inlineStr">
        <is>
          <t>方法B</t>
        </is>
      </c>
      <c r="H106" s="85" t="inlineStr">
        <is>
          <t>EgoAnchor</t>
        </is>
      </c>
      <c r="I106" s="85" t="n">
        <v>2</v>
      </c>
      <c r="J106" s="85" t="n">
        <v>3</v>
      </c>
      <c r="K106" s="267" t="inlineStr">
        <is>
          <t/>
        </is>
      </c>
      <c r="L106" s="267" t="inlineStr">
        <is>
          <t/>
        </is>
      </c>
      <c r="M106" s="267" t="inlineStr">
        <is>
          <t/>
        </is>
      </c>
      <c r="N106" s="267" t="inlineStr">
        <is>
          <t/>
        </is>
      </c>
      <c r="O106" s="267" t="inlineStr">
        <is>
          <t/>
        </is>
      </c>
      <c r="P106" s="267" t="inlineStr">
        <is>
          <t/>
        </is>
      </c>
      <c r="Q106" s="267" t="inlineStr">
        <is>
          <t/>
        </is>
      </c>
      <c r="R106" s="267" t="inlineStr">
        <is>
          <t/>
        </is>
      </c>
      <c r="S106" s="267" t="inlineStr">
        <is>
          <t/>
        </is>
      </c>
      <c r="T106" s="215" t="inlineStr">
        <is>
          <t/>
        </is>
      </c>
      <c r="U106" s="129" t="str">
        <f>IF(AND(TaskRatings!N106="完整",BlockRatings_AQ!Q106="完整"),"完整","未完成")</f>
        <v>未完成</v>
      </c>
      <c r="V106" s="243" t="inlineStr">
        <is>
          <t/>
        </is>
      </c>
    </row>
    <row r="107">
      <c r="A107" s="90" t="inlineStr">
        <is>
          <t>P018</t>
        </is>
      </c>
      <c r="B107" s="85" t="n">
        <v>1</v>
      </c>
      <c r="C107" s="85" t="inlineStr">
        <is>
          <t>P6-S1-OE</t>
        </is>
      </c>
      <c r="D107" s="85" t="n">
        <v>1</v>
      </c>
      <c r="E107" s="85" t="inlineStr">
        <is>
          <t>游戏手柄</t>
        </is>
      </c>
      <c r="F107" s="85" t="inlineStr">
        <is>
          <t>gamepad</t>
        </is>
      </c>
      <c r="G107" s="85" t="inlineStr">
        <is>
          <t>方法A</t>
        </is>
      </c>
      <c r="H107" s="85" t="inlineStr">
        <is>
          <t>One-Euro</t>
        </is>
      </c>
      <c r="I107" s="85" t="n">
        <v>1</v>
      </c>
      <c r="J107" s="85" t="n">
        <v>1</v>
      </c>
      <c r="K107" s="267" t="inlineStr">
        <is>
          <t/>
        </is>
      </c>
      <c r="L107" s="267" t="inlineStr">
        <is>
          <t/>
        </is>
      </c>
      <c r="M107" s="267" t="inlineStr">
        <is>
          <t/>
        </is>
      </c>
      <c r="N107" s="267" t="inlineStr">
        <is>
          <t/>
        </is>
      </c>
      <c r="O107" s="267" t="inlineStr">
        <is>
          <t/>
        </is>
      </c>
      <c r="P107" s="267" t="inlineStr">
        <is>
          <t/>
        </is>
      </c>
      <c r="Q107" s="267" t="inlineStr">
        <is>
          <t/>
        </is>
      </c>
      <c r="R107" s="267" t="inlineStr">
        <is>
          <t/>
        </is>
      </c>
      <c r="S107" s="267" t="inlineStr">
        <is>
          <t/>
        </is>
      </c>
      <c r="T107" s="215" t="inlineStr">
        <is>
          <t/>
        </is>
      </c>
      <c r="U107" s="129" t="str">
        <f>IF(AND(TaskRatings!N107="完整",BlockRatings_AQ!Q107="完整"),"完整","未完成")</f>
        <v>未完成</v>
      </c>
      <c r="V107" s="243" t="inlineStr">
        <is>
          <t/>
        </is>
      </c>
    </row>
    <row r="108">
      <c r="A108" s="90" t="inlineStr">
        <is>
          <t>P018</t>
        </is>
      </c>
      <c r="B108" s="85" t="n">
        <v>2</v>
      </c>
      <c r="C108" s="85" t="inlineStr">
        <is>
          <t>P6-S1-OE</t>
        </is>
      </c>
      <c r="D108" s="85" t="n">
        <v>1</v>
      </c>
      <c r="E108" s="85" t="inlineStr">
        <is>
          <t>游戏手柄</t>
        </is>
      </c>
      <c r="F108" s="85" t="inlineStr">
        <is>
          <t>gamepad</t>
        </is>
      </c>
      <c r="G108" s="85" t="inlineStr">
        <is>
          <t>方法B</t>
        </is>
      </c>
      <c r="H108" s="85" t="inlineStr">
        <is>
          <t>EgoAnchor</t>
        </is>
      </c>
      <c r="I108" s="85" t="n">
        <v>2</v>
      </c>
      <c r="J108" s="85" t="n">
        <v>1</v>
      </c>
      <c r="K108" s="267" t="inlineStr">
        <is>
          <t/>
        </is>
      </c>
      <c r="L108" s="267" t="inlineStr">
        <is>
          <t/>
        </is>
      </c>
      <c r="M108" s="267" t="inlineStr">
        <is>
          <t/>
        </is>
      </c>
      <c r="N108" s="267" t="inlineStr">
        <is>
          <t/>
        </is>
      </c>
      <c r="O108" s="267" t="inlineStr">
        <is>
          <t/>
        </is>
      </c>
      <c r="P108" s="267" t="inlineStr">
        <is>
          <t/>
        </is>
      </c>
      <c r="Q108" s="267" t="inlineStr">
        <is>
          <t/>
        </is>
      </c>
      <c r="R108" s="267" t="inlineStr">
        <is>
          <t/>
        </is>
      </c>
      <c r="S108" s="267" t="inlineStr">
        <is>
          <t/>
        </is>
      </c>
      <c r="T108" s="215" t="inlineStr">
        <is>
          <t/>
        </is>
      </c>
      <c r="U108" s="129" t="str">
        <f>IF(AND(TaskRatings!N108="完整",BlockRatings_AQ!Q108="完整"),"完整","未完成")</f>
        <v>未完成</v>
      </c>
      <c r="V108" s="243" t="inlineStr">
        <is>
          <t/>
        </is>
      </c>
    </row>
    <row r="109">
      <c r="A109" s="90" t="inlineStr">
        <is>
          <t>P018</t>
        </is>
      </c>
      <c r="B109" s="85" t="n">
        <v>3</v>
      </c>
      <c r="C109" s="85" t="inlineStr">
        <is>
          <t>P6-S1-OE</t>
        </is>
      </c>
      <c r="D109" s="85" t="n">
        <v>2</v>
      </c>
      <c r="E109" s="85" t="inlineStr">
        <is>
          <t>固定订书机</t>
        </is>
      </c>
      <c r="F109" s="85" t="inlineStr">
        <is>
          <t>stapler</t>
        </is>
      </c>
      <c r="G109" s="85" t="inlineStr">
        <is>
          <t>方法B</t>
        </is>
      </c>
      <c r="H109" s="85" t="inlineStr">
        <is>
          <t>EgoAnchor</t>
        </is>
      </c>
      <c r="I109" s="85" t="n">
        <v>1</v>
      </c>
      <c r="J109" s="85" t="n">
        <v>2</v>
      </c>
      <c r="K109" s="267" t="inlineStr">
        <is>
          <t/>
        </is>
      </c>
      <c r="L109" s="267" t="inlineStr">
        <is>
          <t/>
        </is>
      </c>
      <c r="M109" s="267" t="inlineStr">
        <is>
          <t/>
        </is>
      </c>
      <c r="N109" s="267" t="inlineStr">
        <is>
          <t/>
        </is>
      </c>
      <c r="O109" s="267" t="inlineStr">
        <is>
          <t/>
        </is>
      </c>
      <c r="P109" s="267" t="inlineStr">
        <is>
          <t/>
        </is>
      </c>
      <c r="Q109" s="267" t="inlineStr">
        <is>
          <t/>
        </is>
      </c>
      <c r="R109" s="267" t="inlineStr">
        <is>
          <t/>
        </is>
      </c>
      <c r="S109" s="267" t="inlineStr">
        <is>
          <t/>
        </is>
      </c>
      <c r="T109" s="215" t="inlineStr">
        <is>
          <t/>
        </is>
      </c>
      <c r="U109" s="129" t="str">
        <f>IF(AND(TaskRatings!N109="完整",BlockRatings_AQ!Q109="完整"),"完整","未完成")</f>
        <v>未完成</v>
      </c>
      <c r="V109" s="243" t="inlineStr">
        <is>
          <t/>
        </is>
      </c>
    </row>
    <row r="110">
      <c r="A110" s="90" t="inlineStr">
        <is>
          <t>P018</t>
        </is>
      </c>
      <c r="B110" s="85" t="n">
        <v>4</v>
      </c>
      <c r="C110" s="85" t="inlineStr">
        <is>
          <t>P6-S1-OE</t>
        </is>
      </c>
      <c r="D110" s="85" t="n">
        <v>2</v>
      </c>
      <c r="E110" s="85" t="inlineStr">
        <is>
          <t>固定订书机</t>
        </is>
      </c>
      <c r="F110" s="85" t="inlineStr">
        <is>
          <t>stapler</t>
        </is>
      </c>
      <c r="G110" s="85" t="inlineStr">
        <is>
          <t>方法A</t>
        </is>
      </c>
      <c r="H110" s="85" t="inlineStr">
        <is>
          <t>One-Euro</t>
        </is>
      </c>
      <c r="I110" s="85" t="n">
        <v>2</v>
      </c>
      <c r="J110" s="85" t="n">
        <v>2</v>
      </c>
      <c r="K110" s="267" t="inlineStr">
        <is>
          <t/>
        </is>
      </c>
      <c r="L110" s="267" t="inlineStr">
        <is>
          <t/>
        </is>
      </c>
      <c r="M110" s="267" t="inlineStr">
        <is>
          <t/>
        </is>
      </c>
      <c r="N110" s="267" t="inlineStr">
        <is>
          <t/>
        </is>
      </c>
      <c r="O110" s="267" t="inlineStr">
        <is>
          <t/>
        </is>
      </c>
      <c r="P110" s="267" t="inlineStr">
        <is>
          <t/>
        </is>
      </c>
      <c r="Q110" s="267" t="inlineStr">
        <is>
          <t/>
        </is>
      </c>
      <c r="R110" s="267" t="inlineStr">
        <is>
          <t/>
        </is>
      </c>
      <c r="S110" s="267" t="inlineStr">
        <is>
          <t/>
        </is>
      </c>
      <c r="T110" s="215" t="inlineStr">
        <is>
          <t/>
        </is>
      </c>
      <c r="U110" s="129" t="str">
        <f>IF(AND(TaskRatings!N110="完整",BlockRatings_AQ!Q110="完整"),"完整","未完成")</f>
        <v>未完成</v>
      </c>
      <c r="V110" s="243" t="inlineStr">
        <is>
          <t/>
        </is>
      </c>
    </row>
    <row r="111">
      <c r="A111" s="90" t="inlineStr">
        <is>
          <t>P018</t>
        </is>
      </c>
      <c r="B111" s="85" t="n">
        <v>5</v>
      </c>
      <c r="C111" s="85" t="inlineStr">
        <is>
          <t>P6-S1-OE</t>
        </is>
      </c>
      <c r="D111" s="85" t="n">
        <v>3</v>
      </c>
      <c r="E111" s="85" t="inlineStr">
        <is>
          <t>鼠标</t>
        </is>
      </c>
      <c r="F111" s="85" t="inlineStr">
        <is>
          <t>blue_mouse</t>
        </is>
      </c>
      <c r="G111" s="85" t="inlineStr">
        <is>
          <t>方法A</t>
        </is>
      </c>
      <c r="H111" s="85" t="inlineStr">
        <is>
          <t>One-Euro</t>
        </is>
      </c>
      <c r="I111" s="85" t="n">
        <v>1</v>
      </c>
      <c r="J111" s="85" t="n">
        <v>3</v>
      </c>
      <c r="K111" s="267" t="inlineStr">
        <is>
          <t/>
        </is>
      </c>
      <c r="L111" s="267" t="inlineStr">
        <is>
          <t/>
        </is>
      </c>
      <c r="M111" s="267" t="inlineStr">
        <is>
          <t/>
        </is>
      </c>
      <c r="N111" s="267" t="inlineStr">
        <is>
          <t/>
        </is>
      </c>
      <c r="O111" s="267" t="inlineStr">
        <is>
          <t/>
        </is>
      </c>
      <c r="P111" s="267" t="inlineStr">
        <is>
          <t/>
        </is>
      </c>
      <c r="Q111" s="267" t="inlineStr">
        <is>
          <t/>
        </is>
      </c>
      <c r="R111" s="267" t="inlineStr">
        <is>
          <t/>
        </is>
      </c>
      <c r="S111" s="267" t="inlineStr">
        <is>
          <t/>
        </is>
      </c>
      <c r="T111" s="215" t="inlineStr">
        <is>
          <t/>
        </is>
      </c>
      <c r="U111" s="129" t="str">
        <f>IF(AND(TaskRatings!N111="完整",BlockRatings_AQ!Q111="完整"),"完整","未完成")</f>
        <v>未完成</v>
      </c>
      <c r="V111" s="243" t="inlineStr">
        <is>
          <t/>
        </is>
      </c>
    </row>
    <row r="112">
      <c r="A112" s="90" t="inlineStr">
        <is>
          <t>P018</t>
        </is>
      </c>
      <c r="B112" s="85" t="n">
        <v>6</v>
      </c>
      <c r="C112" s="85" t="inlineStr">
        <is>
          <t>P6-S1-OE</t>
        </is>
      </c>
      <c r="D112" s="85" t="n">
        <v>3</v>
      </c>
      <c r="E112" s="85" t="inlineStr">
        <is>
          <t>鼠标</t>
        </is>
      </c>
      <c r="F112" s="85" t="inlineStr">
        <is>
          <t>blue_mouse</t>
        </is>
      </c>
      <c r="G112" s="85" t="inlineStr">
        <is>
          <t>方法B</t>
        </is>
      </c>
      <c r="H112" s="85" t="inlineStr">
        <is>
          <t>EgoAnchor</t>
        </is>
      </c>
      <c r="I112" s="85" t="n">
        <v>2</v>
      </c>
      <c r="J112" s="85" t="n">
        <v>3</v>
      </c>
      <c r="K112" s="267" t="inlineStr">
        <is>
          <t/>
        </is>
      </c>
      <c r="L112" s="267" t="inlineStr">
        <is>
          <t/>
        </is>
      </c>
      <c r="M112" s="267" t="inlineStr">
        <is>
          <t/>
        </is>
      </c>
      <c r="N112" s="267" t="inlineStr">
        <is>
          <t/>
        </is>
      </c>
      <c r="O112" s="267" t="inlineStr">
        <is>
          <t/>
        </is>
      </c>
      <c r="P112" s="267" t="inlineStr">
        <is>
          <t/>
        </is>
      </c>
      <c r="Q112" s="267" t="inlineStr">
        <is>
          <t/>
        </is>
      </c>
      <c r="R112" s="267" t="inlineStr">
        <is>
          <t/>
        </is>
      </c>
      <c r="S112" s="267" t="inlineStr">
        <is>
          <t/>
        </is>
      </c>
      <c r="T112" s="215" t="inlineStr">
        <is>
          <t/>
        </is>
      </c>
      <c r="U112" s="129" t="str">
        <f>IF(AND(TaskRatings!N112="完整",BlockRatings_AQ!Q112="完整"),"完整","未完成")</f>
        <v>未完成</v>
      </c>
      <c r="V112" s="243" t="inlineStr">
        <is>
          <t/>
        </is>
      </c>
    </row>
    <row r="113">
      <c r="A113" s="90" t="inlineStr">
        <is>
          <t>P019</t>
        </is>
      </c>
      <c r="B113" s="85" t="n">
        <v>1</v>
      </c>
      <c r="C113" s="85" t="inlineStr">
        <is>
          <t>P1-S2-OE</t>
        </is>
      </c>
      <c r="D113" s="85" t="n">
        <v>1</v>
      </c>
      <c r="E113" s="85" t="inlineStr">
        <is>
          <t>鼠标</t>
        </is>
      </c>
      <c r="F113" s="85" t="inlineStr">
        <is>
          <t>blue_mouse</t>
        </is>
      </c>
      <c r="G113" s="85" t="inlineStr">
        <is>
          <t>方法B</t>
        </is>
      </c>
      <c r="H113" s="85" t="inlineStr">
        <is>
          <t>EgoAnchor</t>
        </is>
      </c>
      <c r="I113" s="85" t="n">
        <v>1</v>
      </c>
      <c r="J113" s="85" t="n">
        <v>1</v>
      </c>
      <c r="K113" s="267" t="inlineStr">
        <is>
          <t/>
        </is>
      </c>
      <c r="L113" s="267" t="inlineStr">
        <is>
          <t/>
        </is>
      </c>
      <c r="M113" s="267" t="inlineStr">
        <is>
          <t/>
        </is>
      </c>
      <c r="N113" s="267" t="inlineStr">
        <is>
          <t/>
        </is>
      </c>
      <c r="O113" s="267" t="inlineStr">
        <is>
          <t/>
        </is>
      </c>
      <c r="P113" s="267" t="inlineStr">
        <is>
          <t/>
        </is>
      </c>
      <c r="Q113" s="267" t="inlineStr">
        <is>
          <t/>
        </is>
      </c>
      <c r="R113" s="267" t="inlineStr">
        <is>
          <t/>
        </is>
      </c>
      <c r="S113" s="267" t="inlineStr">
        <is>
          <t/>
        </is>
      </c>
      <c r="T113" s="215" t="inlineStr">
        <is>
          <t/>
        </is>
      </c>
      <c r="U113" s="129" t="str">
        <f>IF(AND(TaskRatings!N113="完整",BlockRatings_AQ!Q113="完整"),"完整","未完成")</f>
        <v>未完成</v>
      </c>
      <c r="V113" s="243" t="inlineStr">
        <is>
          <t/>
        </is>
      </c>
    </row>
    <row r="114">
      <c r="A114" s="90" t="inlineStr">
        <is>
          <t>P019</t>
        </is>
      </c>
      <c r="B114" s="85" t="n">
        <v>2</v>
      </c>
      <c r="C114" s="85" t="inlineStr">
        <is>
          <t>P1-S2-OE</t>
        </is>
      </c>
      <c r="D114" s="85" t="n">
        <v>1</v>
      </c>
      <c r="E114" s="85" t="inlineStr">
        <is>
          <t>鼠标</t>
        </is>
      </c>
      <c r="F114" s="85" t="inlineStr">
        <is>
          <t>blue_mouse</t>
        </is>
      </c>
      <c r="G114" s="85" t="inlineStr">
        <is>
          <t>方法A</t>
        </is>
      </c>
      <c r="H114" s="85" t="inlineStr">
        <is>
          <t>One-Euro</t>
        </is>
      </c>
      <c r="I114" s="85" t="n">
        <v>2</v>
      </c>
      <c r="J114" s="85" t="n">
        <v>1</v>
      </c>
      <c r="K114" s="267" t="inlineStr">
        <is>
          <t/>
        </is>
      </c>
      <c r="L114" s="267" t="inlineStr">
        <is>
          <t/>
        </is>
      </c>
      <c r="M114" s="267" t="inlineStr">
        <is>
          <t/>
        </is>
      </c>
      <c r="N114" s="267" t="inlineStr">
        <is>
          <t/>
        </is>
      </c>
      <c r="O114" s="267" t="inlineStr">
        <is>
          <t/>
        </is>
      </c>
      <c r="P114" s="267" t="inlineStr">
        <is>
          <t/>
        </is>
      </c>
      <c r="Q114" s="267" t="inlineStr">
        <is>
          <t/>
        </is>
      </c>
      <c r="R114" s="267" t="inlineStr">
        <is>
          <t/>
        </is>
      </c>
      <c r="S114" s="267" t="inlineStr">
        <is>
          <t/>
        </is>
      </c>
      <c r="T114" s="215" t="inlineStr">
        <is>
          <t/>
        </is>
      </c>
      <c r="U114" s="129" t="str">
        <f>IF(AND(TaskRatings!N114="完整",BlockRatings_AQ!Q114="完整"),"完整","未完成")</f>
        <v>未完成</v>
      </c>
      <c r="V114" s="243" t="inlineStr">
        <is>
          <t/>
        </is>
      </c>
    </row>
    <row r="115">
      <c r="A115" s="90" t="inlineStr">
        <is>
          <t>P019</t>
        </is>
      </c>
      <c r="B115" s="85" t="n">
        <v>3</v>
      </c>
      <c r="C115" s="85" t="inlineStr">
        <is>
          <t>P1-S2-OE</t>
        </is>
      </c>
      <c r="D115" s="85" t="n">
        <v>2</v>
      </c>
      <c r="E115" s="85" t="inlineStr">
        <is>
          <t>固定订书机</t>
        </is>
      </c>
      <c r="F115" s="85" t="inlineStr">
        <is>
          <t>stapler</t>
        </is>
      </c>
      <c r="G115" s="85" t="inlineStr">
        <is>
          <t>方法A</t>
        </is>
      </c>
      <c r="H115" s="85" t="inlineStr">
        <is>
          <t>One-Euro</t>
        </is>
      </c>
      <c r="I115" s="85" t="n">
        <v>1</v>
      </c>
      <c r="J115" s="85" t="n">
        <v>2</v>
      </c>
      <c r="K115" s="267" t="inlineStr">
        <is>
          <t/>
        </is>
      </c>
      <c r="L115" s="267" t="inlineStr">
        <is>
          <t/>
        </is>
      </c>
      <c r="M115" s="267" t="inlineStr">
        <is>
          <t/>
        </is>
      </c>
      <c r="N115" s="267" t="inlineStr">
        <is>
          <t/>
        </is>
      </c>
      <c r="O115" s="267" t="inlineStr">
        <is>
          <t/>
        </is>
      </c>
      <c r="P115" s="267" t="inlineStr">
        <is>
          <t/>
        </is>
      </c>
      <c r="Q115" s="267" t="inlineStr">
        <is>
          <t/>
        </is>
      </c>
      <c r="R115" s="267" t="inlineStr">
        <is>
          <t/>
        </is>
      </c>
      <c r="S115" s="267" t="inlineStr">
        <is>
          <t/>
        </is>
      </c>
      <c r="T115" s="215" t="inlineStr">
        <is>
          <t/>
        </is>
      </c>
      <c r="U115" s="129" t="str">
        <f>IF(AND(TaskRatings!N115="完整",BlockRatings_AQ!Q115="完整"),"完整","未完成")</f>
        <v>未完成</v>
      </c>
      <c r="V115" s="243" t="inlineStr">
        <is>
          <t/>
        </is>
      </c>
    </row>
    <row r="116">
      <c r="A116" s="90" t="inlineStr">
        <is>
          <t>P019</t>
        </is>
      </c>
      <c r="B116" s="85" t="n">
        <v>4</v>
      </c>
      <c r="C116" s="85" t="inlineStr">
        <is>
          <t>P1-S2-OE</t>
        </is>
      </c>
      <c r="D116" s="85" t="n">
        <v>2</v>
      </c>
      <c r="E116" s="85" t="inlineStr">
        <is>
          <t>固定订书机</t>
        </is>
      </c>
      <c r="F116" s="85" t="inlineStr">
        <is>
          <t>stapler</t>
        </is>
      </c>
      <c r="G116" s="85" t="inlineStr">
        <is>
          <t>方法B</t>
        </is>
      </c>
      <c r="H116" s="85" t="inlineStr">
        <is>
          <t>EgoAnchor</t>
        </is>
      </c>
      <c r="I116" s="85" t="n">
        <v>2</v>
      </c>
      <c r="J116" s="85" t="n">
        <v>2</v>
      </c>
      <c r="K116" s="267" t="inlineStr">
        <is>
          <t/>
        </is>
      </c>
      <c r="L116" s="267" t="inlineStr">
        <is>
          <t/>
        </is>
      </c>
      <c r="M116" s="267" t="inlineStr">
        <is>
          <t/>
        </is>
      </c>
      <c r="N116" s="267" t="inlineStr">
        <is>
          <t/>
        </is>
      </c>
      <c r="O116" s="267" t="inlineStr">
        <is>
          <t/>
        </is>
      </c>
      <c r="P116" s="267" t="inlineStr">
        <is>
          <t/>
        </is>
      </c>
      <c r="Q116" s="267" t="inlineStr">
        <is>
          <t/>
        </is>
      </c>
      <c r="R116" s="267" t="inlineStr">
        <is>
          <t/>
        </is>
      </c>
      <c r="S116" s="267" t="inlineStr">
        <is>
          <t/>
        </is>
      </c>
      <c r="T116" s="215" t="inlineStr">
        <is>
          <t/>
        </is>
      </c>
      <c r="U116" s="129" t="str">
        <f>IF(AND(TaskRatings!N116="完整",BlockRatings_AQ!Q116="完整"),"完整","未完成")</f>
        <v>未完成</v>
      </c>
      <c r="V116" s="243" t="inlineStr">
        <is>
          <t/>
        </is>
      </c>
    </row>
    <row r="117">
      <c r="A117" s="90" t="inlineStr">
        <is>
          <t>P019</t>
        </is>
      </c>
      <c r="B117" s="85" t="n">
        <v>5</v>
      </c>
      <c r="C117" s="85" t="inlineStr">
        <is>
          <t>P1-S2-OE</t>
        </is>
      </c>
      <c r="D117" s="85" t="n">
        <v>3</v>
      </c>
      <c r="E117" s="85" t="inlineStr">
        <is>
          <t>游戏手柄</t>
        </is>
      </c>
      <c r="F117" s="85" t="inlineStr">
        <is>
          <t>gamepad</t>
        </is>
      </c>
      <c r="G117" s="85" t="inlineStr">
        <is>
          <t>方法B</t>
        </is>
      </c>
      <c r="H117" s="85" t="inlineStr">
        <is>
          <t>EgoAnchor</t>
        </is>
      </c>
      <c r="I117" s="85" t="n">
        <v>1</v>
      </c>
      <c r="J117" s="85" t="n">
        <v>3</v>
      </c>
      <c r="K117" s="267" t="inlineStr">
        <is>
          <t/>
        </is>
      </c>
      <c r="L117" s="267" t="inlineStr">
        <is>
          <t/>
        </is>
      </c>
      <c r="M117" s="267" t="inlineStr">
        <is>
          <t/>
        </is>
      </c>
      <c r="N117" s="267" t="inlineStr">
        <is>
          <t/>
        </is>
      </c>
      <c r="O117" s="267" t="inlineStr">
        <is>
          <t/>
        </is>
      </c>
      <c r="P117" s="267" t="inlineStr">
        <is>
          <t/>
        </is>
      </c>
      <c r="Q117" s="267" t="inlineStr">
        <is>
          <t/>
        </is>
      </c>
      <c r="R117" s="267" t="inlineStr">
        <is>
          <t/>
        </is>
      </c>
      <c r="S117" s="267" t="inlineStr">
        <is>
          <t/>
        </is>
      </c>
      <c r="T117" s="215" t="inlineStr">
        <is>
          <t/>
        </is>
      </c>
      <c r="U117" s="129" t="str">
        <f>IF(AND(TaskRatings!N117="完整",BlockRatings_AQ!Q117="完整"),"完整","未完成")</f>
        <v>未完成</v>
      </c>
      <c r="V117" s="243" t="inlineStr">
        <is>
          <t/>
        </is>
      </c>
    </row>
    <row r="118">
      <c r="A118" s="90" t="inlineStr">
        <is>
          <t>P019</t>
        </is>
      </c>
      <c r="B118" s="85" t="n">
        <v>6</v>
      </c>
      <c r="C118" s="85" t="inlineStr">
        <is>
          <t>P1-S2-OE</t>
        </is>
      </c>
      <c r="D118" s="85" t="n">
        <v>3</v>
      </c>
      <c r="E118" s="85" t="inlineStr">
        <is>
          <t>游戏手柄</t>
        </is>
      </c>
      <c r="F118" s="85" t="inlineStr">
        <is>
          <t>gamepad</t>
        </is>
      </c>
      <c r="G118" s="85" t="inlineStr">
        <is>
          <t>方法A</t>
        </is>
      </c>
      <c r="H118" s="85" t="inlineStr">
        <is>
          <t>One-Euro</t>
        </is>
      </c>
      <c r="I118" s="85" t="n">
        <v>2</v>
      </c>
      <c r="J118" s="85" t="n">
        <v>3</v>
      </c>
      <c r="K118" s="267" t="inlineStr">
        <is>
          <t/>
        </is>
      </c>
      <c r="L118" s="267" t="inlineStr">
        <is>
          <t/>
        </is>
      </c>
      <c r="M118" s="267" t="inlineStr">
        <is>
          <t/>
        </is>
      </c>
      <c r="N118" s="267" t="inlineStr">
        <is>
          <t/>
        </is>
      </c>
      <c r="O118" s="267" t="inlineStr">
        <is>
          <t/>
        </is>
      </c>
      <c r="P118" s="267" t="inlineStr">
        <is>
          <t/>
        </is>
      </c>
      <c r="Q118" s="267" t="inlineStr">
        <is>
          <t/>
        </is>
      </c>
      <c r="R118" s="267" t="inlineStr">
        <is>
          <t/>
        </is>
      </c>
      <c r="S118" s="267" t="inlineStr">
        <is>
          <t/>
        </is>
      </c>
      <c r="T118" s="215" t="inlineStr">
        <is>
          <t/>
        </is>
      </c>
      <c r="U118" s="129" t="str">
        <f>IF(AND(TaskRatings!N118="完整",BlockRatings_AQ!Q118="完整"),"完整","未完成")</f>
        <v>未完成</v>
      </c>
      <c r="V118" s="243" t="inlineStr">
        <is>
          <t/>
        </is>
      </c>
    </row>
    <row r="119">
      <c r="A119" s="90" t="inlineStr">
        <is>
          <t>P020</t>
        </is>
      </c>
      <c r="B119" s="85" t="n">
        <v>1</v>
      </c>
      <c r="C119" s="85" t="inlineStr">
        <is>
          <t>P2-S2-OE</t>
        </is>
      </c>
      <c r="D119" s="85" t="n">
        <v>1</v>
      </c>
      <c r="E119" s="85" t="inlineStr">
        <is>
          <t>鼠标</t>
        </is>
      </c>
      <c r="F119" s="85" t="inlineStr">
        <is>
          <t>blue_mouse</t>
        </is>
      </c>
      <c r="G119" s="85" t="inlineStr">
        <is>
          <t>方法B</t>
        </is>
      </c>
      <c r="H119" s="85" t="inlineStr">
        <is>
          <t>EgoAnchor</t>
        </is>
      </c>
      <c r="I119" s="85" t="n">
        <v>1</v>
      </c>
      <c r="J119" s="85" t="n">
        <v>1</v>
      </c>
      <c r="K119" s="267" t="inlineStr">
        <is>
          <t/>
        </is>
      </c>
      <c r="L119" s="267" t="inlineStr">
        <is>
          <t/>
        </is>
      </c>
      <c r="M119" s="267" t="inlineStr">
        <is>
          <t/>
        </is>
      </c>
      <c r="N119" s="267" t="inlineStr">
        <is>
          <t/>
        </is>
      </c>
      <c r="O119" s="267" t="inlineStr">
        <is>
          <t/>
        </is>
      </c>
      <c r="P119" s="267" t="inlineStr">
        <is>
          <t/>
        </is>
      </c>
      <c r="Q119" s="267" t="inlineStr">
        <is>
          <t/>
        </is>
      </c>
      <c r="R119" s="267" t="inlineStr">
        <is>
          <t/>
        </is>
      </c>
      <c r="S119" s="267" t="inlineStr">
        <is>
          <t/>
        </is>
      </c>
      <c r="T119" s="215" t="inlineStr">
        <is>
          <t/>
        </is>
      </c>
      <c r="U119" s="129" t="str">
        <f>IF(AND(TaskRatings!N119="完整",BlockRatings_AQ!Q119="完整"),"完整","未完成")</f>
        <v>未完成</v>
      </c>
      <c r="V119" s="243" t="inlineStr">
        <is>
          <t/>
        </is>
      </c>
    </row>
    <row r="120">
      <c r="A120" s="90" t="inlineStr">
        <is>
          <t>P020</t>
        </is>
      </c>
      <c r="B120" s="85" t="n">
        <v>2</v>
      </c>
      <c r="C120" s="85" t="inlineStr">
        <is>
          <t>P2-S2-OE</t>
        </is>
      </c>
      <c r="D120" s="85" t="n">
        <v>1</v>
      </c>
      <c r="E120" s="85" t="inlineStr">
        <is>
          <t>鼠标</t>
        </is>
      </c>
      <c r="F120" s="85" t="inlineStr">
        <is>
          <t>blue_mouse</t>
        </is>
      </c>
      <c r="G120" s="85" t="inlineStr">
        <is>
          <t>方法A</t>
        </is>
      </c>
      <c r="H120" s="85" t="inlineStr">
        <is>
          <t>One-Euro</t>
        </is>
      </c>
      <c r="I120" s="85" t="n">
        <v>2</v>
      </c>
      <c r="J120" s="85" t="n">
        <v>1</v>
      </c>
      <c r="K120" s="267" t="inlineStr">
        <is>
          <t/>
        </is>
      </c>
      <c r="L120" s="267" t="inlineStr">
        <is>
          <t/>
        </is>
      </c>
      <c r="M120" s="267" t="inlineStr">
        <is>
          <t/>
        </is>
      </c>
      <c r="N120" s="267" t="inlineStr">
        <is>
          <t/>
        </is>
      </c>
      <c r="O120" s="267" t="inlineStr">
        <is>
          <t/>
        </is>
      </c>
      <c r="P120" s="267" t="inlineStr">
        <is>
          <t/>
        </is>
      </c>
      <c r="Q120" s="267" t="inlineStr">
        <is>
          <t/>
        </is>
      </c>
      <c r="R120" s="267" t="inlineStr">
        <is>
          <t/>
        </is>
      </c>
      <c r="S120" s="267" t="inlineStr">
        <is>
          <t/>
        </is>
      </c>
      <c r="T120" s="215" t="inlineStr">
        <is>
          <t/>
        </is>
      </c>
      <c r="U120" s="129" t="str">
        <f>IF(AND(TaskRatings!N120="完整",BlockRatings_AQ!Q120="完整"),"完整","未完成")</f>
        <v>未完成</v>
      </c>
      <c r="V120" s="243" t="inlineStr">
        <is>
          <t/>
        </is>
      </c>
    </row>
    <row r="121">
      <c r="A121" s="90" t="inlineStr">
        <is>
          <t>P020</t>
        </is>
      </c>
      <c r="B121" s="85" t="n">
        <v>3</v>
      </c>
      <c r="C121" s="85" t="inlineStr">
        <is>
          <t>P2-S2-OE</t>
        </is>
      </c>
      <c r="D121" s="85" t="n">
        <v>2</v>
      </c>
      <c r="E121" s="85" t="inlineStr">
        <is>
          <t>游戏手柄</t>
        </is>
      </c>
      <c r="F121" s="85" t="inlineStr">
        <is>
          <t>gamepad</t>
        </is>
      </c>
      <c r="G121" s="85" t="inlineStr">
        <is>
          <t>方法A</t>
        </is>
      </c>
      <c r="H121" s="85" t="inlineStr">
        <is>
          <t>One-Euro</t>
        </is>
      </c>
      <c r="I121" s="85" t="n">
        <v>1</v>
      </c>
      <c r="J121" s="85" t="n">
        <v>2</v>
      </c>
      <c r="K121" s="267" t="inlineStr">
        <is>
          <t/>
        </is>
      </c>
      <c r="L121" s="267" t="inlineStr">
        <is>
          <t/>
        </is>
      </c>
      <c r="M121" s="267" t="inlineStr">
        <is>
          <t/>
        </is>
      </c>
      <c r="N121" s="267" t="inlineStr">
        <is>
          <t/>
        </is>
      </c>
      <c r="O121" s="267" t="inlineStr">
        <is>
          <t/>
        </is>
      </c>
      <c r="P121" s="267" t="inlineStr">
        <is>
          <t/>
        </is>
      </c>
      <c r="Q121" s="267" t="inlineStr">
        <is>
          <t/>
        </is>
      </c>
      <c r="R121" s="267" t="inlineStr">
        <is>
          <t/>
        </is>
      </c>
      <c r="S121" s="267" t="inlineStr">
        <is>
          <t/>
        </is>
      </c>
      <c r="T121" s="215" t="inlineStr">
        <is>
          <t/>
        </is>
      </c>
      <c r="U121" s="129" t="str">
        <f>IF(AND(TaskRatings!N121="完整",BlockRatings_AQ!Q121="完整"),"完整","未完成")</f>
        <v>未完成</v>
      </c>
      <c r="V121" s="243" t="inlineStr">
        <is>
          <t/>
        </is>
      </c>
    </row>
    <row r="122">
      <c r="A122" s="90" t="inlineStr">
        <is>
          <t>P020</t>
        </is>
      </c>
      <c r="B122" s="85" t="n">
        <v>4</v>
      </c>
      <c r="C122" s="85" t="inlineStr">
        <is>
          <t>P2-S2-OE</t>
        </is>
      </c>
      <c r="D122" s="85" t="n">
        <v>2</v>
      </c>
      <c r="E122" s="85" t="inlineStr">
        <is>
          <t>游戏手柄</t>
        </is>
      </c>
      <c r="F122" s="85" t="inlineStr">
        <is>
          <t>gamepad</t>
        </is>
      </c>
      <c r="G122" s="85" t="inlineStr">
        <is>
          <t>方法B</t>
        </is>
      </c>
      <c r="H122" s="85" t="inlineStr">
        <is>
          <t>EgoAnchor</t>
        </is>
      </c>
      <c r="I122" s="85" t="n">
        <v>2</v>
      </c>
      <c r="J122" s="85" t="n">
        <v>2</v>
      </c>
      <c r="K122" s="267" t="inlineStr">
        <is>
          <t/>
        </is>
      </c>
      <c r="L122" s="267" t="inlineStr">
        <is>
          <t/>
        </is>
      </c>
      <c r="M122" s="267" t="inlineStr">
        <is>
          <t/>
        </is>
      </c>
      <c r="N122" s="267" t="inlineStr">
        <is>
          <t/>
        </is>
      </c>
      <c r="O122" s="267" t="inlineStr">
        <is>
          <t/>
        </is>
      </c>
      <c r="P122" s="267" t="inlineStr">
        <is>
          <t/>
        </is>
      </c>
      <c r="Q122" s="267" t="inlineStr">
        <is>
          <t/>
        </is>
      </c>
      <c r="R122" s="267" t="inlineStr">
        <is>
          <t/>
        </is>
      </c>
      <c r="S122" s="267" t="inlineStr">
        <is>
          <t/>
        </is>
      </c>
      <c r="T122" s="215" t="inlineStr">
        <is>
          <t/>
        </is>
      </c>
      <c r="U122" s="129" t="str">
        <f>IF(AND(TaskRatings!N122="完整",BlockRatings_AQ!Q122="完整"),"完整","未完成")</f>
        <v>未完成</v>
      </c>
      <c r="V122" s="243" t="inlineStr">
        <is>
          <t/>
        </is>
      </c>
    </row>
    <row r="123">
      <c r="A123" s="90" t="inlineStr">
        <is>
          <t>P020</t>
        </is>
      </c>
      <c r="B123" s="85" t="n">
        <v>5</v>
      </c>
      <c r="C123" s="85" t="inlineStr">
        <is>
          <t>P2-S2-OE</t>
        </is>
      </c>
      <c r="D123" s="85" t="n">
        <v>3</v>
      </c>
      <c r="E123" s="85" t="inlineStr">
        <is>
          <t>固定订书机</t>
        </is>
      </c>
      <c r="F123" s="85" t="inlineStr">
        <is>
          <t>stapler</t>
        </is>
      </c>
      <c r="G123" s="85" t="inlineStr">
        <is>
          <t>方法B</t>
        </is>
      </c>
      <c r="H123" s="85" t="inlineStr">
        <is>
          <t>EgoAnchor</t>
        </is>
      </c>
      <c r="I123" s="85" t="n">
        <v>1</v>
      </c>
      <c r="J123" s="85" t="n">
        <v>3</v>
      </c>
      <c r="K123" s="267" t="inlineStr">
        <is>
          <t/>
        </is>
      </c>
      <c r="L123" s="267" t="inlineStr">
        <is>
          <t/>
        </is>
      </c>
      <c r="M123" s="267" t="inlineStr">
        <is>
          <t/>
        </is>
      </c>
      <c r="N123" s="267" t="inlineStr">
        <is>
          <t/>
        </is>
      </c>
      <c r="O123" s="267" t="inlineStr">
        <is>
          <t/>
        </is>
      </c>
      <c r="P123" s="267" t="inlineStr">
        <is>
          <t/>
        </is>
      </c>
      <c r="Q123" s="267" t="inlineStr">
        <is>
          <t/>
        </is>
      </c>
      <c r="R123" s="267" t="inlineStr">
        <is>
          <t/>
        </is>
      </c>
      <c r="S123" s="267" t="inlineStr">
        <is>
          <t/>
        </is>
      </c>
      <c r="T123" s="215" t="inlineStr">
        <is>
          <t/>
        </is>
      </c>
      <c r="U123" s="129" t="str">
        <f>IF(AND(TaskRatings!N123="完整",BlockRatings_AQ!Q123="完整"),"完整","未完成")</f>
        <v>未完成</v>
      </c>
      <c r="V123" s="243" t="inlineStr">
        <is>
          <t/>
        </is>
      </c>
    </row>
    <row r="124">
      <c r="A124" s="90" t="inlineStr">
        <is>
          <t>P020</t>
        </is>
      </c>
      <c r="B124" s="85" t="n">
        <v>6</v>
      </c>
      <c r="C124" s="85" t="inlineStr">
        <is>
          <t>P2-S2-OE</t>
        </is>
      </c>
      <c r="D124" s="85" t="n">
        <v>3</v>
      </c>
      <c r="E124" s="85" t="inlineStr">
        <is>
          <t>固定订书机</t>
        </is>
      </c>
      <c r="F124" s="85" t="inlineStr">
        <is>
          <t>stapler</t>
        </is>
      </c>
      <c r="G124" s="85" t="inlineStr">
        <is>
          <t>方法A</t>
        </is>
      </c>
      <c r="H124" s="85" t="inlineStr">
        <is>
          <t>One-Euro</t>
        </is>
      </c>
      <c r="I124" s="85" t="n">
        <v>2</v>
      </c>
      <c r="J124" s="85" t="n">
        <v>3</v>
      </c>
      <c r="K124" s="267" t="inlineStr">
        <is>
          <t/>
        </is>
      </c>
      <c r="L124" s="267" t="inlineStr">
        <is>
          <t/>
        </is>
      </c>
      <c r="M124" s="267" t="inlineStr">
        <is>
          <t/>
        </is>
      </c>
      <c r="N124" s="267" t="inlineStr">
        <is>
          <t/>
        </is>
      </c>
      <c r="O124" s="267" t="inlineStr">
        <is>
          <t/>
        </is>
      </c>
      <c r="P124" s="267" t="inlineStr">
        <is>
          <t/>
        </is>
      </c>
      <c r="Q124" s="267" t="inlineStr">
        <is>
          <t/>
        </is>
      </c>
      <c r="R124" s="267" t="inlineStr">
        <is>
          <t/>
        </is>
      </c>
      <c r="S124" s="267" t="inlineStr">
        <is>
          <t/>
        </is>
      </c>
      <c r="T124" s="215" t="inlineStr">
        <is>
          <t/>
        </is>
      </c>
      <c r="U124" s="129" t="str">
        <f>IF(AND(TaskRatings!N124="完整",BlockRatings_AQ!Q124="完整"),"完整","未完成")</f>
        <v>未完成</v>
      </c>
      <c r="V124" s="243" t="inlineStr">
        <is>
          <t/>
        </is>
      </c>
    </row>
    <row r="125">
      <c r="A125" s="90" t="inlineStr">
        <is>
          <t>P021</t>
        </is>
      </c>
      <c r="B125" s="85" t="n">
        <v>1</v>
      </c>
      <c r="C125" s="85" t="inlineStr">
        <is>
          <t>P3-S2-OE</t>
        </is>
      </c>
      <c r="D125" s="85" t="n">
        <v>1</v>
      </c>
      <c r="E125" s="85" t="inlineStr">
        <is>
          <t>固定订书机</t>
        </is>
      </c>
      <c r="F125" s="85" t="inlineStr">
        <is>
          <t>stapler</t>
        </is>
      </c>
      <c r="G125" s="85" t="inlineStr">
        <is>
          <t>方法B</t>
        </is>
      </c>
      <c r="H125" s="85" t="inlineStr">
        <is>
          <t>EgoAnchor</t>
        </is>
      </c>
      <c r="I125" s="85" t="n">
        <v>1</v>
      </c>
      <c r="J125" s="85" t="n">
        <v>1</v>
      </c>
      <c r="K125" s="267" t="inlineStr">
        <is>
          <t/>
        </is>
      </c>
      <c r="L125" s="267" t="inlineStr">
        <is>
          <t/>
        </is>
      </c>
      <c r="M125" s="267" t="inlineStr">
        <is>
          <t/>
        </is>
      </c>
      <c r="N125" s="267" t="inlineStr">
        <is>
          <t/>
        </is>
      </c>
      <c r="O125" s="267" t="inlineStr">
        <is>
          <t/>
        </is>
      </c>
      <c r="P125" s="267" t="inlineStr">
        <is>
          <t/>
        </is>
      </c>
      <c r="Q125" s="267" t="inlineStr">
        <is>
          <t/>
        </is>
      </c>
      <c r="R125" s="267" t="inlineStr">
        <is>
          <t/>
        </is>
      </c>
      <c r="S125" s="267" t="inlineStr">
        <is>
          <t/>
        </is>
      </c>
      <c r="T125" s="215" t="inlineStr">
        <is>
          <t/>
        </is>
      </c>
      <c r="U125" s="129" t="str">
        <f>IF(AND(TaskRatings!N125="完整",BlockRatings_AQ!Q125="完整"),"完整","未完成")</f>
        <v>未完成</v>
      </c>
      <c r="V125" s="243" t="inlineStr">
        <is>
          <t/>
        </is>
      </c>
    </row>
    <row r="126">
      <c r="A126" s="90" t="inlineStr">
        <is>
          <t>P021</t>
        </is>
      </c>
      <c r="B126" s="85" t="n">
        <v>2</v>
      </c>
      <c r="C126" s="85" t="inlineStr">
        <is>
          <t>P3-S2-OE</t>
        </is>
      </c>
      <c r="D126" s="85" t="n">
        <v>1</v>
      </c>
      <c r="E126" s="85" t="inlineStr">
        <is>
          <t>固定订书机</t>
        </is>
      </c>
      <c r="F126" s="85" t="inlineStr">
        <is>
          <t>stapler</t>
        </is>
      </c>
      <c r="G126" s="85" t="inlineStr">
        <is>
          <t>方法A</t>
        </is>
      </c>
      <c r="H126" s="85" t="inlineStr">
        <is>
          <t>One-Euro</t>
        </is>
      </c>
      <c r="I126" s="85" t="n">
        <v>2</v>
      </c>
      <c r="J126" s="85" t="n">
        <v>1</v>
      </c>
      <c r="K126" s="267" t="inlineStr">
        <is>
          <t/>
        </is>
      </c>
      <c r="L126" s="267" t="inlineStr">
        <is>
          <t/>
        </is>
      </c>
      <c r="M126" s="267" t="inlineStr">
        <is>
          <t/>
        </is>
      </c>
      <c r="N126" s="267" t="inlineStr">
        <is>
          <t/>
        </is>
      </c>
      <c r="O126" s="267" t="inlineStr">
        <is>
          <t/>
        </is>
      </c>
      <c r="P126" s="267" t="inlineStr">
        <is>
          <t/>
        </is>
      </c>
      <c r="Q126" s="267" t="inlineStr">
        <is>
          <t/>
        </is>
      </c>
      <c r="R126" s="267" t="inlineStr">
        <is>
          <t/>
        </is>
      </c>
      <c r="S126" s="267" t="inlineStr">
        <is>
          <t/>
        </is>
      </c>
      <c r="T126" s="215" t="inlineStr">
        <is>
          <t/>
        </is>
      </c>
      <c r="U126" s="129" t="str">
        <f>IF(AND(TaskRatings!N126="完整",BlockRatings_AQ!Q126="完整"),"完整","未完成")</f>
        <v>未完成</v>
      </c>
      <c r="V126" s="243" t="inlineStr">
        <is>
          <t/>
        </is>
      </c>
    </row>
    <row r="127">
      <c r="A127" s="90" t="inlineStr">
        <is>
          <t>P021</t>
        </is>
      </c>
      <c r="B127" s="85" t="n">
        <v>3</v>
      </c>
      <c r="C127" s="85" t="inlineStr">
        <is>
          <t>P3-S2-OE</t>
        </is>
      </c>
      <c r="D127" s="85" t="n">
        <v>2</v>
      </c>
      <c r="E127" s="85" t="inlineStr">
        <is>
          <t>鼠标</t>
        </is>
      </c>
      <c r="F127" s="85" t="inlineStr">
        <is>
          <t>blue_mouse</t>
        </is>
      </c>
      <c r="G127" s="85" t="inlineStr">
        <is>
          <t>方法A</t>
        </is>
      </c>
      <c r="H127" s="85" t="inlineStr">
        <is>
          <t>One-Euro</t>
        </is>
      </c>
      <c r="I127" s="85" t="n">
        <v>1</v>
      </c>
      <c r="J127" s="85" t="n">
        <v>2</v>
      </c>
      <c r="K127" s="267" t="inlineStr">
        <is>
          <t/>
        </is>
      </c>
      <c r="L127" s="267" t="inlineStr">
        <is>
          <t/>
        </is>
      </c>
      <c r="M127" s="267" t="inlineStr">
        <is>
          <t/>
        </is>
      </c>
      <c r="N127" s="267" t="inlineStr">
        <is>
          <t/>
        </is>
      </c>
      <c r="O127" s="267" t="inlineStr">
        <is>
          <t/>
        </is>
      </c>
      <c r="P127" s="267" t="inlineStr">
        <is>
          <t/>
        </is>
      </c>
      <c r="Q127" s="267" t="inlineStr">
        <is>
          <t/>
        </is>
      </c>
      <c r="R127" s="267" t="inlineStr">
        <is>
          <t/>
        </is>
      </c>
      <c r="S127" s="267" t="inlineStr">
        <is>
          <t/>
        </is>
      </c>
      <c r="T127" s="215" t="inlineStr">
        <is>
          <t/>
        </is>
      </c>
      <c r="U127" s="129" t="str">
        <f>IF(AND(TaskRatings!N127="完整",BlockRatings_AQ!Q127="完整"),"完整","未完成")</f>
        <v>未完成</v>
      </c>
      <c r="V127" s="243" t="inlineStr">
        <is>
          <t/>
        </is>
      </c>
    </row>
    <row r="128">
      <c r="A128" s="90" t="inlineStr">
        <is>
          <t>P021</t>
        </is>
      </c>
      <c r="B128" s="85" t="n">
        <v>4</v>
      </c>
      <c r="C128" s="85" t="inlineStr">
        <is>
          <t>P3-S2-OE</t>
        </is>
      </c>
      <c r="D128" s="85" t="n">
        <v>2</v>
      </c>
      <c r="E128" s="85" t="inlineStr">
        <is>
          <t>鼠标</t>
        </is>
      </c>
      <c r="F128" s="85" t="inlineStr">
        <is>
          <t>blue_mouse</t>
        </is>
      </c>
      <c r="G128" s="85" t="inlineStr">
        <is>
          <t>方法B</t>
        </is>
      </c>
      <c r="H128" s="85" t="inlineStr">
        <is>
          <t>EgoAnchor</t>
        </is>
      </c>
      <c r="I128" s="85" t="n">
        <v>2</v>
      </c>
      <c r="J128" s="85" t="n">
        <v>2</v>
      </c>
      <c r="K128" s="267" t="inlineStr">
        <is>
          <t/>
        </is>
      </c>
      <c r="L128" s="267" t="inlineStr">
        <is>
          <t/>
        </is>
      </c>
      <c r="M128" s="267" t="inlineStr">
        <is>
          <t/>
        </is>
      </c>
      <c r="N128" s="267" t="inlineStr">
        <is>
          <t/>
        </is>
      </c>
      <c r="O128" s="267" t="inlineStr">
        <is>
          <t/>
        </is>
      </c>
      <c r="P128" s="267" t="inlineStr">
        <is>
          <t/>
        </is>
      </c>
      <c r="Q128" s="267" t="inlineStr">
        <is>
          <t/>
        </is>
      </c>
      <c r="R128" s="267" t="inlineStr">
        <is>
          <t/>
        </is>
      </c>
      <c r="S128" s="267" t="inlineStr">
        <is>
          <t/>
        </is>
      </c>
      <c r="T128" s="215" t="inlineStr">
        <is>
          <t/>
        </is>
      </c>
      <c r="U128" s="129" t="str">
        <f>IF(AND(TaskRatings!N128="完整",BlockRatings_AQ!Q128="完整"),"完整","未完成")</f>
        <v>未完成</v>
      </c>
      <c r="V128" s="243" t="inlineStr">
        <is>
          <t/>
        </is>
      </c>
    </row>
    <row r="129">
      <c r="A129" s="90" t="inlineStr">
        <is>
          <t>P021</t>
        </is>
      </c>
      <c r="B129" s="85" t="n">
        <v>5</v>
      </c>
      <c r="C129" s="85" t="inlineStr">
        <is>
          <t>P3-S2-OE</t>
        </is>
      </c>
      <c r="D129" s="85" t="n">
        <v>3</v>
      </c>
      <c r="E129" s="85" t="inlineStr">
        <is>
          <t>游戏手柄</t>
        </is>
      </c>
      <c r="F129" s="85" t="inlineStr">
        <is>
          <t>gamepad</t>
        </is>
      </c>
      <c r="G129" s="85" t="inlineStr">
        <is>
          <t>方法B</t>
        </is>
      </c>
      <c r="H129" s="85" t="inlineStr">
        <is>
          <t>EgoAnchor</t>
        </is>
      </c>
      <c r="I129" s="85" t="n">
        <v>1</v>
      </c>
      <c r="J129" s="85" t="n">
        <v>3</v>
      </c>
      <c r="K129" s="267" t="inlineStr">
        <is>
          <t/>
        </is>
      </c>
      <c r="L129" s="267" t="inlineStr">
        <is>
          <t/>
        </is>
      </c>
      <c r="M129" s="267" t="inlineStr">
        <is>
          <t/>
        </is>
      </c>
      <c r="N129" s="267" t="inlineStr">
        <is>
          <t/>
        </is>
      </c>
      <c r="O129" s="267" t="inlineStr">
        <is>
          <t/>
        </is>
      </c>
      <c r="P129" s="267" t="inlineStr">
        <is>
          <t/>
        </is>
      </c>
      <c r="Q129" s="267" t="inlineStr">
        <is>
          <t/>
        </is>
      </c>
      <c r="R129" s="267" t="inlineStr">
        <is>
          <t/>
        </is>
      </c>
      <c r="S129" s="267" t="inlineStr">
        <is>
          <t/>
        </is>
      </c>
      <c r="T129" s="215" t="inlineStr">
        <is>
          <t/>
        </is>
      </c>
      <c r="U129" s="129" t="str">
        <f>IF(AND(TaskRatings!N129="完整",BlockRatings_AQ!Q129="完整"),"完整","未完成")</f>
        <v>未完成</v>
      </c>
      <c r="V129" s="243" t="inlineStr">
        <is>
          <t/>
        </is>
      </c>
    </row>
    <row r="130">
      <c r="A130" s="90" t="inlineStr">
        <is>
          <t>P021</t>
        </is>
      </c>
      <c r="B130" s="85" t="n">
        <v>6</v>
      </c>
      <c r="C130" s="85" t="inlineStr">
        <is>
          <t>P3-S2-OE</t>
        </is>
      </c>
      <c r="D130" s="85" t="n">
        <v>3</v>
      </c>
      <c r="E130" s="85" t="inlineStr">
        <is>
          <t>游戏手柄</t>
        </is>
      </c>
      <c r="F130" s="85" t="inlineStr">
        <is>
          <t>gamepad</t>
        </is>
      </c>
      <c r="G130" s="85" t="inlineStr">
        <is>
          <t>方法A</t>
        </is>
      </c>
      <c r="H130" s="85" t="inlineStr">
        <is>
          <t>One-Euro</t>
        </is>
      </c>
      <c r="I130" s="85" t="n">
        <v>2</v>
      </c>
      <c r="J130" s="85" t="n">
        <v>3</v>
      </c>
      <c r="K130" s="267" t="inlineStr">
        <is>
          <t/>
        </is>
      </c>
      <c r="L130" s="267" t="inlineStr">
        <is>
          <t/>
        </is>
      </c>
      <c r="M130" s="267" t="inlineStr">
        <is>
          <t/>
        </is>
      </c>
      <c r="N130" s="267" t="inlineStr">
        <is>
          <t/>
        </is>
      </c>
      <c r="O130" s="267" t="inlineStr">
        <is>
          <t/>
        </is>
      </c>
      <c r="P130" s="267" t="inlineStr">
        <is>
          <t/>
        </is>
      </c>
      <c r="Q130" s="267" t="inlineStr">
        <is>
          <t/>
        </is>
      </c>
      <c r="R130" s="267" t="inlineStr">
        <is>
          <t/>
        </is>
      </c>
      <c r="S130" s="267" t="inlineStr">
        <is>
          <t/>
        </is>
      </c>
      <c r="T130" s="215" t="inlineStr">
        <is>
          <t/>
        </is>
      </c>
      <c r="U130" s="129" t="str">
        <f>IF(AND(TaskRatings!N130="完整",BlockRatings_AQ!Q130="完整"),"完整","未完成")</f>
        <v>未完成</v>
      </c>
      <c r="V130" s="243" t="inlineStr">
        <is>
          <t/>
        </is>
      </c>
    </row>
    <row r="131">
      <c r="A131" s="90" t="inlineStr">
        <is>
          <t>P022</t>
        </is>
      </c>
      <c r="B131" s="85" t="n">
        <v>1</v>
      </c>
      <c r="C131" s="85" t="inlineStr">
        <is>
          <t>P4-S2-OE</t>
        </is>
      </c>
      <c r="D131" s="85" t="n">
        <v>1</v>
      </c>
      <c r="E131" s="85" t="inlineStr">
        <is>
          <t>固定订书机</t>
        </is>
      </c>
      <c r="F131" s="85" t="inlineStr">
        <is>
          <t>stapler</t>
        </is>
      </c>
      <c r="G131" s="85" t="inlineStr">
        <is>
          <t>方法B</t>
        </is>
      </c>
      <c r="H131" s="85" t="inlineStr">
        <is>
          <t>EgoAnchor</t>
        </is>
      </c>
      <c r="I131" s="85" t="n">
        <v>1</v>
      </c>
      <c r="J131" s="85" t="n">
        <v>1</v>
      </c>
      <c r="K131" s="267" t="inlineStr">
        <is>
          <t/>
        </is>
      </c>
      <c r="L131" s="267" t="inlineStr">
        <is>
          <t/>
        </is>
      </c>
      <c r="M131" s="267" t="inlineStr">
        <is>
          <t/>
        </is>
      </c>
      <c r="N131" s="267" t="inlineStr">
        <is>
          <t/>
        </is>
      </c>
      <c r="O131" s="267" t="inlineStr">
        <is>
          <t/>
        </is>
      </c>
      <c r="P131" s="267" t="inlineStr">
        <is>
          <t/>
        </is>
      </c>
      <c r="Q131" s="267" t="inlineStr">
        <is>
          <t/>
        </is>
      </c>
      <c r="R131" s="267" t="inlineStr">
        <is>
          <t/>
        </is>
      </c>
      <c r="S131" s="267" t="inlineStr">
        <is>
          <t/>
        </is>
      </c>
      <c r="T131" s="215" t="inlineStr">
        <is>
          <t/>
        </is>
      </c>
      <c r="U131" s="129" t="str">
        <f>IF(AND(TaskRatings!N131="完整",BlockRatings_AQ!Q131="完整"),"完整","未完成")</f>
        <v>未完成</v>
      </c>
      <c r="V131" s="243" t="inlineStr">
        <is>
          <t/>
        </is>
      </c>
    </row>
    <row r="132">
      <c r="A132" s="90" t="inlineStr">
        <is>
          <t>P022</t>
        </is>
      </c>
      <c r="B132" s="85" t="n">
        <v>2</v>
      </c>
      <c r="C132" s="85" t="inlineStr">
        <is>
          <t>P4-S2-OE</t>
        </is>
      </c>
      <c r="D132" s="85" t="n">
        <v>1</v>
      </c>
      <c r="E132" s="85" t="inlineStr">
        <is>
          <t>固定订书机</t>
        </is>
      </c>
      <c r="F132" s="85" t="inlineStr">
        <is>
          <t>stapler</t>
        </is>
      </c>
      <c r="G132" s="85" t="inlineStr">
        <is>
          <t>方法A</t>
        </is>
      </c>
      <c r="H132" s="85" t="inlineStr">
        <is>
          <t>One-Euro</t>
        </is>
      </c>
      <c r="I132" s="85" t="n">
        <v>2</v>
      </c>
      <c r="J132" s="85" t="n">
        <v>1</v>
      </c>
      <c r="K132" s="267" t="inlineStr">
        <is>
          <t/>
        </is>
      </c>
      <c r="L132" s="267" t="inlineStr">
        <is>
          <t/>
        </is>
      </c>
      <c r="M132" s="267" t="inlineStr">
        <is>
          <t/>
        </is>
      </c>
      <c r="N132" s="267" t="inlineStr">
        <is>
          <t/>
        </is>
      </c>
      <c r="O132" s="267" t="inlineStr">
        <is>
          <t/>
        </is>
      </c>
      <c r="P132" s="267" t="inlineStr">
        <is>
          <t/>
        </is>
      </c>
      <c r="Q132" s="267" t="inlineStr">
        <is>
          <t/>
        </is>
      </c>
      <c r="R132" s="267" t="inlineStr">
        <is>
          <t/>
        </is>
      </c>
      <c r="S132" s="267" t="inlineStr">
        <is>
          <t/>
        </is>
      </c>
      <c r="T132" s="215" t="inlineStr">
        <is>
          <t/>
        </is>
      </c>
      <c r="U132" s="129" t="str">
        <f>IF(AND(TaskRatings!N132="完整",BlockRatings_AQ!Q132="完整"),"完整","未完成")</f>
        <v>未完成</v>
      </c>
      <c r="V132" s="243" t="inlineStr">
        <is>
          <t/>
        </is>
      </c>
    </row>
    <row r="133">
      <c r="A133" s="90" t="inlineStr">
        <is>
          <t>P022</t>
        </is>
      </c>
      <c r="B133" s="85" t="n">
        <v>3</v>
      </c>
      <c r="C133" s="85" t="inlineStr">
        <is>
          <t>P4-S2-OE</t>
        </is>
      </c>
      <c r="D133" s="85" t="n">
        <v>2</v>
      </c>
      <c r="E133" s="85" t="inlineStr">
        <is>
          <t>游戏手柄</t>
        </is>
      </c>
      <c r="F133" s="85" t="inlineStr">
        <is>
          <t>gamepad</t>
        </is>
      </c>
      <c r="G133" s="85" t="inlineStr">
        <is>
          <t>方法A</t>
        </is>
      </c>
      <c r="H133" s="85" t="inlineStr">
        <is>
          <t>One-Euro</t>
        </is>
      </c>
      <c r="I133" s="85" t="n">
        <v>1</v>
      </c>
      <c r="J133" s="85" t="n">
        <v>2</v>
      </c>
      <c r="K133" s="267" t="inlineStr">
        <is>
          <t/>
        </is>
      </c>
      <c r="L133" s="267" t="inlineStr">
        <is>
          <t/>
        </is>
      </c>
      <c r="M133" s="267" t="inlineStr">
        <is>
          <t/>
        </is>
      </c>
      <c r="N133" s="267" t="inlineStr">
        <is>
          <t/>
        </is>
      </c>
      <c r="O133" s="267" t="inlineStr">
        <is>
          <t/>
        </is>
      </c>
      <c r="P133" s="267" t="inlineStr">
        <is>
          <t/>
        </is>
      </c>
      <c r="Q133" s="267" t="inlineStr">
        <is>
          <t/>
        </is>
      </c>
      <c r="R133" s="267" t="inlineStr">
        <is>
          <t/>
        </is>
      </c>
      <c r="S133" s="267" t="inlineStr">
        <is>
          <t/>
        </is>
      </c>
      <c r="T133" s="215" t="inlineStr">
        <is>
          <t/>
        </is>
      </c>
      <c r="U133" s="129" t="str">
        <f>IF(AND(TaskRatings!N133="完整",BlockRatings_AQ!Q133="完整"),"完整","未完成")</f>
        <v>未完成</v>
      </c>
      <c r="V133" s="243" t="inlineStr">
        <is>
          <t/>
        </is>
      </c>
    </row>
    <row r="134">
      <c r="A134" s="90" t="inlineStr">
        <is>
          <t>P022</t>
        </is>
      </c>
      <c r="B134" s="85" t="n">
        <v>4</v>
      </c>
      <c r="C134" s="85" t="inlineStr">
        <is>
          <t>P4-S2-OE</t>
        </is>
      </c>
      <c r="D134" s="85" t="n">
        <v>2</v>
      </c>
      <c r="E134" s="85" t="inlineStr">
        <is>
          <t>游戏手柄</t>
        </is>
      </c>
      <c r="F134" s="85" t="inlineStr">
        <is>
          <t>gamepad</t>
        </is>
      </c>
      <c r="G134" s="85" t="inlineStr">
        <is>
          <t>方法B</t>
        </is>
      </c>
      <c r="H134" s="85" t="inlineStr">
        <is>
          <t>EgoAnchor</t>
        </is>
      </c>
      <c r="I134" s="85" t="n">
        <v>2</v>
      </c>
      <c r="J134" s="85" t="n">
        <v>2</v>
      </c>
      <c r="K134" s="267" t="inlineStr">
        <is>
          <t/>
        </is>
      </c>
      <c r="L134" s="267" t="inlineStr">
        <is>
          <t/>
        </is>
      </c>
      <c r="M134" s="267" t="inlineStr">
        <is>
          <t/>
        </is>
      </c>
      <c r="N134" s="267" t="inlineStr">
        <is>
          <t/>
        </is>
      </c>
      <c r="O134" s="267" t="inlineStr">
        <is>
          <t/>
        </is>
      </c>
      <c r="P134" s="267" t="inlineStr">
        <is>
          <t/>
        </is>
      </c>
      <c r="Q134" s="267" t="inlineStr">
        <is>
          <t/>
        </is>
      </c>
      <c r="R134" s="267" t="inlineStr">
        <is>
          <t/>
        </is>
      </c>
      <c r="S134" s="267" t="inlineStr">
        <is>
          <t/>
        </is>
      </c>
      <c r="T134" s="215" t="inlineStr">
        <is>
          <t/>
        </is>
      </c>
      <c r="U134" s="129" t="str">
        <f>IF(AND(TaskRatings!N134="完整",BlockRatings_AQ!Q134="完整"),"完整","未完成")</f>
        <v>未完成</v>
      </c>
      <c r="V134" s="243" t="inlineStr">
        <is>
          <t/>
        </is>
      </c>
    </row>
    <row r="135">
      <c r="A135" s="90" t="inlineStr">
        <is>
          <t>P022</t>
        </is>
      </c>
      <c r="B135" s="85" t="n">
        <v>5</v>
      </c>
      <c r="C135" s="85" t="inlineStr">
        <is>
          <t>P4-S2-OE</t>
        </is>
      </c>
      <c r="D135" s="85" t="n">
        <v>3</v>
      </c>
      <c r="E135" s="85" t="inlineStr">
        <is>
          <t>鼠标</t>
        </is>
      </c>
      <c r="F135" s="85" t="inlineStr">
        <is>
          <t>blue_mouse</t>
        </is>
      </c>
      <c r="G135" s="85" t="inlineStr">
        <is>
          <t>方法B</t>
        </is>
      </c>
      <c r="H135" s="85" t="inlineStr">
        <is>
          <t>EgoAnchor</t>
        </is>
      </c>
      <c r="I135" s="85" t="n">
        <v>1</v>
      </c>
      <c r="J135" s="85" t="n">
        <v>3</v>
      </c>
      <c r="K135" s="267" t="inlineStr">
        <is>
          <t/>
        </is>
      </c>
      <c r="L135" s="267" t="inlineStr">
        <is>
          <t/>
        </is>
      </c>
      <c r="M135" s="267" t="inlineStr">
        <is>
          <t/>
        </is>
      </c>
      <c r="N135" s="267" t="inlineStr">
        <is>
          <t/>
        </is>
      </c>
      <c r="O135" s="267" t="inlineStr">
        <is>
          <t/>
        </is>
      </c>
      <c r="P135" s="267" t="inlineStr">
        <is>
          <t/>
        </is>
      </c>
      <c r="Q135" s="267" t="inlineStr">
        <is>
          <t/>
        </is>
      </c>
      <c r="R135" s="267" t="inlineStr">
        <is>
          <t/>
        </is>
      </c>
      <c r="S135" s="267" t="inlineStr">
        <is>
          <t/>
        </is>
      </c>
      <c r="T135" s="215" t="inlineStr">
        <is>
          <t/>
        </is>
      </c>
      <c r="U135" s="129" t="str">
        <f>IF(AND(TaskRatings!N135="完整",BlockRatings_AQ!Q135="完整"),"完整","未完成")</f>
        <v>未完成</v>
      </c>
      <c r="V135" s="243" t="inlineStr">
        <is>
          <t/>
        </is>
      </c>
    </row>
    <row r="136">
      <c r="A136" s="90" t="inlineStr">
        <is>
          <t>P022</t>
        </is>
      </c>
      <c r="B136" s="85" t="n">
        <v>6</v>
      </c>
      <c r="C136" s="85" t="inlineStr">
        <is>
          <t>P4-S2-OE</t>
        </is>
      </c>
      <c r="D136" s="85" t="n">
        <v>3</v>
      </c>
      <c r="E136" s="85" t="inlineStr">
        <is>
          <t>鼠标</t>
        </is>
      </c>
      <c r="F136" s="85" t="inlineStr">
        <is>
          <t>blue_mouse</t>
        </is>
      </c>
      <c r="G136" s="85" t="inlineStr">
        <is>
          <t>方法A</t>
        </is>
      </c>
      <c r="H136" s="85" t="inlineStr">
        <is>
          <t>One-Euro</t>
        </is>
      </c>
      <c r="I136" s="85" t="n">
        <v>2</v>
      </c>
      <c r="J136" s="85" t="n">
        <v>3</v>
      </c>
      <c r="K136" s="267" t="inlineStr">
        <is>
          <t/>
        </is>
      </c>
      <c r="L136" s="267" t="inlineStr">
        <is>
          <t/>
        </is>
      </c>
      <c r="M136" s="267" t="inlineStr">
        <is>
          <t/>
        </is>
      </c>
      <c r="N136" s="267" t="inlineStr">
        <is>
          <t/>
        </is>
      </c>
      <c r="O136" s="267" t="inlineStr">
        <is>
          <t/>
        </is>
      </c>
      <c r="P136" s="267" t="inlineStr">
        <is>
          <t/>
        </is>
      </c>
      <c r="Q136" s="267" t="inlineStr">
        <is>
          <t/>
        </is>
      </c>
      <c r="R136" s="267" t="inlineStr">
        <is>
          <t/>
        </is>
      </c>
      <c r="S136" s="267" t="inlineStr">
        <is>
          <t/>
        </is>
      </c>
      <c r="T136" s="215" t="inlineStr">
        <is>
          <t/>
        </is>
      </c>
      <c r="U136" s="129" t="str">
        <f>IF(AND(TaskRatings!N136="完整",BlockRatings_AQ!Q136="完整"),"完整","未完成")</f>
        <v>未完成</v>
      </c>
      <c r="V136" s="243" t="inlineStr">
        <is>
          <t/>
        </is>
      </c>
    </row>
    <row r="137">
      <c r="A137" s="90" t="inlineStr">
        <is>
          <t>P023</t>
        </is>
      </c>
      <c r="B137" s="85" t="n">
        <v>1</v>
      </c>
      <c r="C137" s="85" t="inlineStr">
        <is>
          <t>P5-S2-OE</t>
        </is>
      </c>
      <c r="D137" s="85" t="n">
        <v>1</v>
      </c>
      <c r="E137" s="85" t="inlineStr">
        <is>
          <t>游戏手柄</t>
        </is>
      </c>
      <c r="F137" s="85" t="inlineStr">
        <is>
          <t>gamepad</t>
        </is>
      </c>
      <c r="G137" s="85" t="inlineStr">
        <is>
          <t>方法B</t>
        </is>
      </c>
      <c r="H137" s="85" t="inlineStr">
        <is>
          <t>EgoAnchor</t>
        </is>
      </c>
      <c r="I137" s="85" t="n">
        <v>1</v>
      </c>
      <c r="J137" s="85" t="n">
        <v>1</v>
      </c>
      <c r="K137" s="267" t="inlineStr">
        <is>
          <t/>
        </is>
      </c>
      <c r="L137" s="267" t="inlineStr">
        <is>
          <t/>
        </is>
      </c>
      <c r="M137" s="267" t="inlineStr">
        <is>
          <t/>
        </is>
      </c>
      <c r="N137" s="267" t="inlineStr">
        <is>
          <t/>
        </is>
      </c>
      <c r="O137" s="267" t="inlineStr">
        <is>
          <t/>
        </is>
      </c>
      <c r="P137" s="267" t="inlineStr">
        <is>
          <t/>
        </is>
      </c>
      <c r="Q137" s="267" t="inlineStr">
        <is>
          <t/>
        </is>
      </c>
      <c r="R137" s="267" t="inlineStr">
        <is>
          <t/>
        </is>
      </c>
      <c r="S137" s="267" t="inlineStr">
        <is>
          <t/>
        </is>
      </c>
      <c r="T137" s="215" t="inlineStr">
        <is>
          <t/>
        </is>
      </c>
      <c r="U137" s="129" t="str">
        <f>IF(AND(TaskRatings!N137="完整",BlockRatings_AQ!Q137="完整"),"完整","未完成")</f>
        <v>未完成</v>
      </c>
      <c r="V137" s="243" t="inlineStr">
        <is>
          <t/>
        </is>
      </c>
    </row>
    <row r="138">
      <c r="A138" s="90" t="inlineStr">
        <is>
          <t>P023</t>
        </is>
      </c>
      <c r="B138" s="85" t="n">
        <v>2</v>
      </c>
      <c r="C138" s="85" t="inlineStr">
        <is>
          <t>P5-S2-OE</t>
        </is>
      </c>
      <c r="D138" s="85" t="n">
        <v>1</v>
      </c>
      <c r="E138" s="85" t="inlineStr">
        <is>
          <t>游戏手柄</t>
        </is>
      </c>
      <c r="F138" s="85" t="inlineStr">
        <is>
          <t>gamepad</t>
        </is>
      </c>
      <c r="G138" s="85" t="inlineStr">
        <is>
          <t>方法A</t>
        </is>
      </c>
      <c r="H138" s="85" t="inlineStr">
        <is>
          <t>One-Euro</t>
        </is>
      </c>
      <c r="I138" s="85" t="n">
        <v>2</v>
      </c>
      <c r="J138" s="85" t="n">
        <v>1</v>
      </c>
      <c r="K138" s="267" t="inlineStr">
        <is>
          <t/>
        </is>
      </c>
      <c r="L138" s="267" t="inlineStr">
        <is>
          <t/>
        </is>
      </c>
      <c r="M138" s="267" t="inlineStr">
        <is>
          <t/>
        </is>
      </c>
      <c r="N138" s="267" t="inlineStr">
        <is>
          <t/>
        </is>
      </c>
      <c r="O138" s="267" t="inlineStr">
        <is>
          <t/>
        </is>
      </c>
      <c r="P138" s="267" t="inlineStr">
        <is>
          <t/>
        </is>
      </c>
      <c r="Q138" s="267" t="inlineStr">
        <is>
          <t/>
        </is>
      </c>
      <c r="R138" s="267" t="inlineStr">
        <is>
          <t/>
        </is>
      </c>
      <c r="S138" s="267" t="inlineStr">
        <is>
          <t/>
        </is>
      </c>
      <c r="T138" s="215" t="inlineStr">
        <is>
          <t/>
        </is>
      </c>
      <c r="U138" s="129" t="str">
        <f>IF(AND(TaskRatings!N138="完整",BlockRatings_AQ!Q138="完整"),"完整","未完成")</f>
        <v>未完成</v>
      </c>
      <c r="V138" s="243" t="inlineStr">
        <is>
          <t/>
        </is>
      </c>
    </row>
    <row r="139">
      <c r="A139" s="90" t="inlineStr">
        <is>
          <t>P023</t>
        </is>
      </c>
      <c r="B139" s="85" t="n">
        <v>3</v>
      </c>
      <c r="C139" s="85" t="inlineStr">
        <is>
          <t>P5-S2-OE</t>
        </is>
      </c>
      <c r="D139" s="85" t="n">
        <v>2</v>
      </c>
      <c r="E139" s="85" t="inlineStr">
        <is>
          <t>鼠标</t>
        </is>
      </c>
      <c r="F139" s="85" t="inlineStr">
        <is>
          <t>blue_mouse</t>
        </is>
      </c>
      <c r="G139" s="85" t="inlineStr">
        <is>
          <t>方法A</t>
        </is>
      </c>
      <c r="H139" s="85" t="inlineStr">
        <is>
          <t>One-Euro</t>
        </is>
      </c>
      <c r="I139" s="85" t="n">
        <v>1</v>
      </c>
      <c r="J139" s="85" t="n">
        <v>2</v>
      </c>
      <c r="K139" s="267" t="inlineStr">
        <is>
          <t/>
        </is>
      </c>
      <c r="L139" s="267" t="inlineStr">
        <is>
          <t/>
        </is>
      </c>
      <c r="M139" s="267" t="inlineStr">
        <is>
          <t/>
        </is>
      </c>
      <c r="N139" s="267" t="inlineStr">
        <is>
          <t/>
        </is>
      </c>
      <c r="O139" s="267" t="inlineStr">
        <is>
          <t/>
        </is>
      </c>
      <c r="P139" s="267" t="inlineStr">
        <is>
          <t/>
        </is>
      </c>
      <c r="Q139" s="267" t="inlineStr">
        <is>
          <t/>
        </is>
      </c>
      <c r="R139" s="267" t="inlineStr">
        <is>
          <t/>
        </is>
      </c>
      <c r="S139" s="267" t="inlineStr">
        <is>
          <t/>
        </is>
      </c>
      <c r="T139" s="215" t="inlineStr">
        <is>
          <t/>
        </is>
      </c>
      <c r="U139" s="129" t="str">
        <f>IF(AND(TaskRatings!N139="完整",BlockRatings_AQ!Q139="完整"),"完整","未完成")</f>
        <v>未完成</v>
      </c>
      <c r="V139" s="243" t="inlineStr">
        <is>
          <t/>
        </is>
      </c>
    </row>
    <row r="140">
      <c r="A140" s="90" t="inlineStr">
        <is>
          <t>P023</t>
        </is>
      </c>
      <c r="B140" s="85" t="n">
        <v>4</v>
      </c>
      <c r="C140" s="85" t="inlineStr">
        <is>
          <t>P5-S2-OE</t>
        </is>
      </c>
      <c r="D140" s="85" t="n">
        <v>2</v>
      </c>
      <c r="E140" s="85" t="inlineStr">
        <is>
          <t>鼠标</t>
        </is>
      </c>
      <c r="F140" s="85" t="inlineStr">
        <is>
          <t>blue_mouse</t>
        </is>
      </c>
      <c r="G140" s="85" t="inlineStr">
        <is>
          <t>方法B</t>
        </is>
      </c>
      <c r="H140" s="85" t="inlineStr">
        <is>
          <t>EgoAnchor</t>
        </is>
      </c>
      <c r="I140" s="85" t="n">
        <v>2</v>
      </c>
      <c r="J140" s="85" t="n">
        <v>2</v>
      </c>
      <c r="K140" s="267" t="inlineStr">
        <is>
          <t/>
        </is>
      </c>
      <c r="L140" s="267" t="inlineStr">
        <is>
          <t/>
        </is>
      </c>
      <c r="M140" s="267" t="inlineStr">
        <is>
          <t/>
        </is>
      </c>
      <c r="N140" s="267" t="inlineStr">
        <is>
          <t/>
        </is>
      </c>
      <c r="O140" s="267" t="inlineStr">
        <is>
          <t/>
        </is>
      </c>
      <c r="P140" s="267" t="inlineStr">
        <is>
          <t/>
        </is>
      </c>
      <c r="Q140" s="267" t="inlineStr">
        <is>
          <t/>
        </is>
      </c>
      <c r="R140" s="267" t="inlineStr">
        <is>
          <t/>
        </is>
      </c>
      <c r="S140" s="267" t="inlineStr">
        <is>
          <t/>
        </is>
      </c>
      <c r="T140" s="215" t="inlineStr">
        <is>
          <t/>
        </is>
      </c>
      <c r="U140" s="129" t="str">
        <f>IF(AND(TaskRatings!N140="完整",BlockRatings_AQ!Q140="完整"),"完整","未完成")</f>
        <v>未完成</v>
      </c>
      <c r="V140" s="243" t="inlineStr">
        <is>
          <t/>
        </is>
      </c>
    </row>
    <row r="141">
      <c r="A141" s="90" t="inlineStr">
        <is>
          <t>P023</t>
        </is>
      </c>
      <c r="B141" s="85" t="n">
        <v>5</v>
      </c>
      <c r="C141" s="85" t="inlineStr">
        <is>
          <t>P5-S2-OE</t>
        </is>
      </c>
      <c r="D141" s="85" t="n">
        <v>3</v>
      </c>
      <c r="E141" s="85" t="inlineStr">
        <is>
          <t>固定订书机</t>
        </is>
      </c>
      <c r="F141" s="85" t="inlineStr">
        <is>
          <t>stapler</t>
        </is>
      </c>
      <c r="G141" s="85" t="inlineStr">
        <is>
          <t>方法B</t>
        </is>
      </c>
      <c r="H141" s="85" t="inlineStr">
        <is>
          <t>EgoAnchor</t>
        </is>
      </c>
      <c r="I141" s="85" t="n">
        <v>1</v>
      </c>
      <c r="J141" s="85" t="n">
        <v>3</v>
      </c>
      <c r="K141" s="267" t="inlineStr">
        <is>
          <t/>
        </is>
      </c>
      <c r="L141" s="267" t="inlineStr">
        <is>
          <t/>
        </is>
      </c>
      <c r="M141" s="267" t="inlineStr">
        <is>
          <t/>
        </is>
      </c>
      <c r="N141" s="267" t="inlineStr">
        <is>
          <t/>
        </is>
      </c>
      <c r="O141" s="267" t="inlineStr">
        <is>
          <t/>
        </is>
      </c>
      <c r="P141" s="267" t="inlineStr">
        <is>
          <t/>
        </is>
      </c>
      <c r="Q141" s="267" t="inlineStr">
        <is>
          <t/>
        </is>
      </c>
      <c r="R141" s="267" t="inlineStr">
        <is>
          <t/>
        </is>
      </c>
      <c r="S141" s="267" t="inlineStr">
        <is>
          <t/>
        </is>
      </c>
      <c r="T141" s="215" t="inlineStr">
        <is>
          <t/>
        </is>
      </c>
      <c r="U141" s="129" t="str">
        <f>IF(AND(TaskRatings!N141="完整",BlockRatings_AQ!Q141="完整"),"完整","未完成")</f>
        <v>未完成</v>
      </c>
      <c r="V141" s="243" t="inlineStr">
        <is>
          <t/>
        </is>
      </c>
    </row>
    <row r="142">
      <c r="A142" s="90" t="inlineStr">
        <is>
          <t>P023</t>
        </is>
      </c>
      <c r="B142" s="85" t="n">
        <v>6</v>
      </c>
      <c r="C142" s="85" t="inlineStr">
        <is>
          <t>P5-S2-OE</t>
        </is>
      </c>
      <c r="D142" s="85" t="n">
        <v>3</v>
      </c>
      <c r="E142" s="85" t="inlineStr">
        <is>
          <t>固定订书机</t>
        </is>
      </c>
      <c r="F142" s="85" t="inlineStr">
        <is>
          <t>stapler</t>
        </is>
      </c>
      <c r="G142" s="85" t="inlineStr">
        <is>
          <t>方法A</t>
        </is>
      </c>
      <c r="H142" s="85" t="inlineStr">
        <is>
          <t>One-Euro</t>
        </is>
      </c>
      <c r="I142" s="85" t="n">
        <v>2</v>
      </c>
      <c r="J142" s="85" t="n">
        <v>3</v>
      </c>
      <c r="K142" s="267" t="inlineStr">
        <is>
          <t/>
        </is>
      </c>
      <c r="L142" s="267" t="inlineStr">
        <is>
          <t/>
        </is>
      </c>
      <c r="M142" s="267" t="inlineStr">
        <is>
          <t/>
        </is>
      </c>
      <c r="N142" s="267" t="inlineStr">
        <is>
          <t/>
        </is>
      </c>
      <c r="O142" s="267" t="inlineStr">
        <is>
          <t/>
        </is>
      </c>
      <c r="P142" s="267" t="inlineStr">
        <is>
          <t/>
        </is>
      </c>
      <c r="Q142" s="267" t="inlineStr">
        <is>
          <t/>
        </is>
      </c>
      <c r="R142" s="267" t="inlineStr">
        <is>
          <t/>
        </is>
      </c>
      <c r="S142" s="267" t="inlineStr">
        <is>
          <t/>
        </is>
      </c>
      <c r="T142" s="215" t="inlineStr">
        <is>
          <t/>
        </is>
      </c>
      <c r="U142" s="129" t="str">
        <f>IF(AND(TaskRatings!N142="完整",BlockRatings_AQ!Q142="完整"),"完整","未完成")</f>
        <v>未完成</v>
      </c>
      <c r="V142" s="243" t="inlineStr">
        <is>
          <t/>
        </is>
      </c>
    </row>
    <row r="143">
      <c r="A143" s="90" t="inlineStr">
        <is>
          <t>P024</t>
        </is>
      </c>
      <c r="B143" s="85" t="n">
        <v>1</v>
      </c>
      <c r="C143" s="85" t="inlineStr">
        <is>
          <t>P6-S2-OE</t>
        </is>
      </c>
      <c r="D143" s="85" t="n">
        <v>1</v>
      </c>
      <c r="E143" s="85" t="inlineStr">
        <is>
          <t>游戏手柄</t>
        </is>
      </c>
      <c r="F143" s="85" t="inlineStr">
        <is>
          <t>gamepad</t>
        </is>
      </c>
      <c r="G143" s="85" t="inlineStr">
        <is>
          <t>方法B</t>
        </is>
      </c>
      <c r="H143" s="85" t="inlineStr">
        <is>
          <t>EgoAnchor</t>
        </is>
      </c>
      <c r="I143" s="85" t="n">
        <v>1</v>
      </c>
      <c r="J143" s="85" t="n">
        <v>1</v>
      </c>
      <c r="K143" s="267" t="inlineStr">
        <is>
          <t/>
        </is>
      </c>
      <c r="L143" s="267" t="inlineStr">
        <is>
          <t/>
        </is>
      </c>
      <c r="M143" s="267" t="inlineStr">
        <is>
          <t/>
        </is>
      </c>
      <c r="N143" s="267" t="inlineStr">
        <is>
          <t/>
        </is>
      </c>
      <c r="O143" s="267" t="inlineStr">
        <is>
          <t/>
        </is>
      </c>
      <c r="P143" s="267" t="inlineStr">
        <is>
          <t/>
        </is>
      </c>
      <c r="Q143" s="267" t="inlineStr">
        <is>
          <t/>
        </is>
      </c>
      <c r="R143" s="267" t="inlineStr">
        <is>
          <t/>
        </is>
      </c>
      <c r="S143" s="267" t="inlineStr">
        <is>
          <t/>
        </is>
      </c>
      <c r="T143" s="215" t="inlineStr">
        <is>
          <t/>
        </is>
      </c>
      <c r="U143" s="129" t="str">
        <f>IF(AND(TaskRatings!N143="完整",BlockRatings_AQ!Q143="完整"),"完整","未完成")</f>
        <v>未完成</v>
      </c>
      <c r="V143" s="243" t="inlineStr">
        <is>
          <t/>
        </is>
      </c>
    </row>
    <row r="144">
      <c r="A144" s="90" t="inlineStr">
        <is>
          <t>P024</t>
        </is>
      </c>
      <c r="B144" s="85" t="n">
        <v>2</v>
      </c>
      <c r="C144" s="85" t="inlineStr">
        <is>
          <t>P6-S2-OE</t>
        </is>
      </c>
      <c r="D144" s="85" t="n">
        <v>1</v>
      </c>
      <c r="E144" s="85" t="inlineStr">
        <is>
          <t>游戏手柄</t>
        </is>
      </c>
      <c r="F144" s="85" t="inlineStr">
        <is>
          <t>gamepad</t>
        </is>
      </c>
      <c r="G144" s="85" t="inlineStr">
        <is>
          <t>方法A</t>
        </is>
      </c>
      <c r="H144" s="85" t="inlineStr">
        <is>
          <t>One-Euro</t>
        </is>
      </c>
      <c r="I144" s="85" t="n">
        <v>2</v>
      </c>
      <c r="J144" s="85" t="n">
        <v>1</v>
      </c>
      <c r="K144" s="267" t="inlineStr">
        <is>
          <t/>
        </is>
      </c>
      <c r="L144" s="267" t="inlineStr">
        <is>
          <t/>
        </is>
      </c>
      <c r="M144" s="267" t="inlineStr">
        <is>
          <t/>
        </is>
      </c>
      <c r="N144" s="267" t="inlineStr">
        <is>
          <t/>
        </is>
      </c>
      <c r="O144" s="267" t="inlineStr">
        <is>
          <t/>
        </is>
      </c>
      <c r="P144" s="267" t="inlineStr">
        <is>
          <t/>
        </is>
      </c>
      <c r="Q144" s="267" t="inlineStr">
        <is>
          <t/>
        </is>
      </c>
      <c r="R144" s="267" t="inlineStr">
        <is>
          <t/>
        </is>
      </c>
      <c r="S144" s="267" t="inlineStr">
        <is>
          <t/>
        </is>
      </c>
      <c r="T144" s="215" t="inlineStr">
        <is>
          <t/>
        </is>
      </c>
      <c r="U144" s="129" t="str">
        <f>IF(AND(TaskRatings!N144="完整",BlockRatings_AQ!Q144="完整"),"完整","未完成")</f>
        <v>未完成</v>
      </c>
      <c r="V144" s="243" t="inlineStr">
        <is>
          <t/>
        </is>
      </c>
    </row>
    <row r="145">
      <c r="A145" s="90" t="inlineStr">
        <is>
          <t>P024</t>
        </is>
      </c>
      <c r="B145" s="85" t="n">
        <v>3</v>
      </c>
      <c r="C145" s="85" t="inlineStr">
        <is>
          <t>P6-S2-OE</t>
        </is>
      </c>
      <c r="D145" s="85" t="n">
        <v>2</v>
      </c>
      <c r="E145" s="85" t="inlineStr">
        <is>
          <t>固定订书机</t>
        </is>
      </c>
      <c r="F145" s="85" t="inlineStr">
        <is>
          <t>stapler</t>
        </is>
      </c>
      <c r="G145" s="85" t="inlineStr">
        <is>
          <t>方法A</t>
        </is>
      </c>
      <c r="H145" s="85" t="inlineStr">
        <is>
          <t>One-Euro</t>
        </is>
      </c>
      <c r="I145" s="85" t="n">
        <v>1</v>
      </c>
      <c r="J145" s="85" t="n">
        <v>2</v>
      </c>
      <c r="K145" s="267" t="inlineStr">
        <is>
          <t/>
        </is>
      </c>
      <c r="L145" s="267" t="inlineStr">
        <is>
          <t/>
        </is>
      </c>
      <c r="M145" s="267" t="inlineStr">
        <is>
          <t/>
        </is>
      </c>
      <c r="N145" s="267" t="inlineStr">
        <is>
          <t/>
        </is>
      </c>
      <c r="O145" s="267" t="inlineStr">
        <is>
          <t/>
        </is>
      </c>
      <c r="P145" s="267" t="inlineStr">
        <is>
          <t/>
        </is>
      </c>
      <c r="Q145" s="267" t="inlineStr">
        <is>
          <t/>
        </is>
      </c>
      <c r="R145" s="267" t="inlineStr">
        <is>
          <t/>
        </is>
      </c>
      <c r="S145" s="267" t="inlineStr">
        <is>
          <t/>
        </is>
      </c>
      <c r="T145" s="215" t="inlineStr">
        <is>
          <t/>
        </is>
      </c>
      <c r="U145" s="129" t="str">
        <f>IF(AND(TaskRatings!N145="完整",BlockRatings_AQ!Q145="完整"),"完整","未完成")</f>
        <v>未完成</v>
      </c>
      <c r="V145" s="243" t="inlineStr">
        <is>
          <t/>
        </is>
      </c>
    </row>
    <row r="146">
      <c r="A146" s="90" t="inlineStr">
        <is>
          <t>P024</t>
        </is>
      </c>
      <c r="B146" s="85" t="n">
        <v>4</v>
      </c>
      <c r="C146" s="85" t="inlineStr">
        <is>
          <t>P6-S2-OE</t>
        </is>
      </c>
      <c r="D146" s="85" t="n">
        <v>2</v>
      </c>
      <c r="E146" s="85" t="inlineStr">
        <is>
          <t>固定订书机</t>
        </is>
      </c>
      <c r="F146" s="85" t="inlineStr">
        <is>
          <t>stapler</t>
        </is>
      </c>
      <c r="G146" s="85" t="inlineStr">
        <is>
          <t>方法B</t>
        </is>
      </c>
      <c r="H146" s="85" t="inlineStr">
        <is>
          <t>EgoAnchor</t>
        </is>
      </c>
      <c r="I146" s="85" t="n">
        <v>2</v>
      </c>
      <c r="J146" s="85" t="n">
        <v>2</v>
      </c>
      <c r="K146" s="267" t="inlineStr">
        <is>
          <t/>
        </is>
      </c>
      <c r="L146" s="267" t="inlineStr">
        <is>
          <t/>
        </is>
      </c>
      <c r="M146" s="267" t="inlineStr">
        <is>
          <t/>
        </is>
      </c>
      <c r="N146" s="267" t="inlineStr">
        <is>
          <t/>
        </is>
      </c>
      <c r="O146" s="267" t="inlineStr">
        <is>
          <t/>
        </is>
      </c>
      <c r="P146" s="267" t="inlineStr">
        <is>
          <t/>
        </is>
      </c>
      <c r="Q146" s="267" t="inlineStr">
        <is>
          <t/>
        </is>
      </c>
      <c r="R146" s="267" t="inlineStr">
        <is>
          <t/>
        </is>
      </c>
      <c r="S146" s="267" t="inlineStr">
        <is>
          <t/>
        </is>
      </c>
      <c r="T146" s="215" t="inlineStr">
        <is>
          <t/>
        </is>
      </c>
      <c r="U146" s="129" t="str">
        <f>IF(AND(TaskRatings!N146="完整",BlockRatings_AQ!Q146="完整"),"完整","未完成")</f>
        <v>未完成</v>
      </c>
      <c r="V146" s="243" t="inlineStr">
        <is>
          <t/>
        </is>
      </c>
    </row>
    <row r="147">
      <c r="A147" s="90" t="inlineStr">
        <is>
          <t>P024</t>
        </is>
      </c>
      <c r="B147" s="85" t="n">
        <v>5</v>
      </c>
      <c r="C147" s="85" t="inlineStr">
        <is>
          <t>P6-S2-OE</t>
        </is>
      </c>
      <c r="D147" s="85" t="n">
        <v>3</v>
      </c>
      <c r="E147" s="85" t="inlineStr">
        <is>
          <t>鼠标</t>
        </is>
      </c>
      <c r="F147" s="85" t="inlineStr">
        <is>
          <t>blue_mouse</t>
        </is>
      </c>
      <c r="G147" s="85" t="inlineStr">
        <is>
          <t>方法B</t>
        </is>
      </c>
      <c r="H147" s="85" t="inlineStr">
        <is>
          <t>EgoAnchor</t>
        </is>
      </c>
      <c r="I147" s="85" t="n">
        <v>1</v>
      </c>
      <c r="J147" s="85" t="n">
        <v>3</v>
      </c>
      <c r="K147" s="267" t="inlineStr">
        <is>
          <t/>
        </is>
      </c>
      <c r="L147" s="267" t="inlineStr">
        <is>
          <t/>
        </is>
      </c>
      <c r="M147" s="267" t="inlineStr">
        <is>
          <t/>
        </is>
      </c>
      <c r="N147" s="267" t="inlineStr">
        <is>
          <t/>
        </is>
      </c>
      <c r="O147" s="267" t="inlineStr">
        <is>
          <t/>
        </is>
      </c>
      <c r="P147" s="267" t="inlineStr">
        <is>
          <t/>
        </is>
      </c>
      <c r="Q147" s="267" t="inlineStr">
        <is>
          <t/>
        </is>
      </c>
      <c r="R147" s="267" t="inlineStr">
        <is>
          <t/>
        </is>
      </c>
      <c r="S147" s="267" t="inlineStr">
        <is>
          <t/>
        </is>
      </c>
      <c r="T147" s="215" t="inlineStr">
        <is>
          <t/>
        </is>
      </c>
      <c r="U147" s="129" t="str">
        <f>IF(AND(TaskRatings!N147="完整",BlockRatings_AQ!Q147="完整"),"完整","未完成")</f>
        <v>未完成</v>
      </c>
      <c r="V147" s="243" t="inlineStr">
        <is>
          <t/>
        </is>
      </c>
    </row>
    <row r="148">
      <c r="A148" s="91" t="inlineStr">
        <is>
          <t>P024</t>
        </is>
      </c>
      <c r="B148" s="109" t="n">
        <v>6</v>
      </c>
      <c r="C148" s="109" t="inlineStr">
        <is>
          <t>P6-S2-OE</t>
        </is>
      </c>
      <c r="D148" s="109" t="n">
        <v>3</v>
      </c>
      <c r="E148" s="109" t="inlineStr">
        <is>
          <t>鼠标</t>
        </is>
      </c>
      <c r="F148" s="109" t="inlineStr">
        <is>
          <t>blue_mouse</t>
        </is>
      </c>
      <c r="G148" s="109" t="inlineStr">
        <is>
          <t>方法A</t>
        </is>
      </c>
      <c r="H148" s="109" t="inlineStr">
        <is>
          <t>One-Euro</t>
        </is>
      </c>
      <c r="I148" s="109" t="n">
        <v>2</v>
      </c>
      <c r="J148" s="109" t="n">
        <v>3</v>
      </c>
      <c r="K148" s="268" t="inlineStr">
        <is>
          <t/>
        </is>
      </c>
      <c r="L148" s="268" t="inlineStr">
        <is>
          <t/>
        </is>
      </c>
      <c r="M148" s="268" t="inlineStr">
        <is>
          <t/>
        </is>
      </c>
      <c r="N148" s="268" t="inlineStr">
        <is>
          <t/>
        </is>
      </c>
      <c r="O148" s="268" t="inlineStr">
        <is>
          <t/>
        </is>
      </c>
      <c r="P148" s="268" t="inlineStr">
        <is>
          <t/>
        </is>
      </c>
      <c r="Q148" s="268" t="inlineStr">
        <is>
          <t/>
        </is>
      </c>
      <c r="R148" s="268" t="inlineStr">
        <is>
          <t/>
        </is>
      </c>
      <c r="S148" s="268" t="inlineStr">
        <is>
          <t/>
        </is>
      </c>
      <c r="T148" s="218" t="inlineStr">
        <is>
          <t/>
        </is>
      </c>
      <c r="U148" s="131" t="str">
        <f>IF(AND(TaskRatings!N148="完整",BlockRatings_AQ!Q148="完整"),"完整","未完成")</f>
        <v>未完成</v>
      </c>
      <c r="V148" s="244" t="inlineStr">
        <is>
          <t/>
        </is>
      </c>
    </row>
  </sheetData>
  <mergeCells>
    <mergeCell ref="A1:V1"/>
    <mergeCell ref="A2:V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RowHeight="15"/>
  <cols>
    <col min="1" max="1" width="16" hidden="0" customWidth="1"/>
    <col min="2" max="2" width="11" hidden="0" customWidth="1"/>
    <col min="3" max="3" width="16" hidden="0" customWidth="1"/>
    <col min="4" max="4" width="17" hidden="0" customWidth="1"/>
    <col min="5" max="5" width="14" hidden="0" customWidth="1"/>
    <col min="6" max="6" width="17" hidden="0" customWidth="1"/>
    <col min="7" max="7" width="12" hidden="0" customWidth="1"/>
    <col min="8" max="8" width="22" hidden="0" customWidth="1"/>
    <col min="9" max="9" width="16" hidden="0" customWidth="1"/>
    <col min="10" max="10" width="24" hidden="0" customWidth="1"/>
    <col min="11" max="11" width="16" hidden="0" customWidth="1"/>
    <col min="12" max="12" width="25" hidden="0" customWidth="1"/>
    <col min="13" max="13" width="16" hidden="0" customWidth="1"/>
    <col min="14" max="14" width="17" hidden="0" customWidth="1"/>
    <col min="15" max="15" width="14" hidden="0" customWidth="1"/>
    <col min="16" max="16" width="19" hidden="0" customWidth="1"/>
    <col min="17" max="17" width="21" hidden="0" customWidth="1"/>
    <col min="18" max="18" width="35" hidden="0" customWidth="1"/>
  </cols>
  <sheetData>
    <row r="1">
      <c r="A1" s="4" t="inlineStr">
        <is>
          <t>任务后即时评分：静止、运动附着与遮挡恢复（每位参与者6行）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68" t="inlineStr">
        <is>
          <t>T1、T2、T3分别在对应任务结束后立即填写，取1–7整数。T2测量虚拟内容相对于真实物体的附着位置是否一致，不等同于AQ中的运动平滑性。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</row>
    <row r="4">
      <c r="A4" s="26" t="inlineStr">
        <is>
          <t>Participant_ID</t>
        </is>
      </c>
      <c r="B4" s="27" t="inlineStr">
        <is>
          <t>Block_Index</t>
        </is>
      </c>
      <c r="C4" s="27" t="inlineStr">
        <is>
          <t>Object_Position</t>
        </is>
      </c>
      <c r="D4" s="27" t="inlineStr">
        <is>
          <t>Object</t>
        </is>
      </c>
      <c r="E4" s="27" t="inlineStr">
        <is>
          <t>Shown_Label</t>
        </is>
      </c>
      <c r="F4" s="27" t="inlineStr">
        <is>
          <t>Condition</t>
        </is>
      </c>
      <c r="G4" s="27" t="inlineStr">
        <is>
          <t>Cond_Pos</t>
        </is>
      </c>
      <c r="H4" s="27" t="inlineStr">
        <is>
          <t>T1_Static_Stability</t>
        </is>
      </c>
      <c r="I4" s="27" t="inlineStr">
        <is>
          <t>T1_Answer_Time</t>
        </is>
      </c>
      <c r="J4" s="27" t="inlineStr">
        <is>
          <t>T2_Motion_Attachment</t>
        </is>
      </c>
      <c r="K4" s="27" t="inlineStr">
        <is>
          <t>T2_Answer_Time</t>
        </is>
      </c>
      <c r="L4" s="27" t="inlineStr">
        <is>
          <t>T3_Recovery_Consistency</t>
        </is>
      </c>
      <c r="M4" s="27" t="inlineStr">
        <is>
          <t>T3_Answer_Time</t>
        </is>
      </c>
      <c r="N4" s="27" t="inlineStr">
        <is>
          <t>Rating_Complete</t>
        </is>
      </c>
      <c r="O4" s="27" t="inlineStr">
        <is>
          <t>Block_Valid</t>
        </is>
      </c>
      <c r="P4" s="27" t="inlineStr">
        <is>
          <t>Participant_Included</t>
        </is>
      </c>
      <c r="Q4" s="27" t="inlineStr">
        <is>
          <t>Technical_Issue</t>
        </is>
      </c>
      <c r="R4" s="101" t="inlineStr">
        <is>
          <t>Notes</t>
        </is>
      </c>
    </row>
    <row r="5">
      <c r="A5" s="90" t="inlineStr">
        <is>
          <t>P001</t>
        </is>
      </c>
      <c r="B5" s="85" t="n">
        <v>1</v>
      </c>
      <c r="C5" s="85" t="n">
        <v>1</v>
      </c>
      <c r="D5" s="85" t="inlineStr">
        <is>
          <t>鼠标</t>
        </is>
      </c>
      <c r="E5" s="85" t="inlineStr">
        <is>
          <t>方法A</t>
        </is>
      </c>
      <c r="F5" s="85" t="inlineStr">
        <is>
          <t>EgoAnchor</t>
        </is>
      </c>
      <c r="G5" s="85" t="n">
        <v>1</v>
      </c>
      <c r="H5" s="215"/>
      <c r="I5" s="267" t="inlineStr">
        <is>
          <t/>
        </is>
      </c>
      <c r="J5" s="215"/>
      <c r="K5" s="267" t="inlineStr">
        <is>
          <t/>
        </is>
      </c>
      <c r="L5" s="215"/>
      <c r="M5" s="267" t="inlineStr">
        <is>
          <t/>
        </is>
      </c>
      <c r="N5" s="129" t="str">
        <f>IF(COUNT(H5,J5,L5)=3,"完整","缺失")</f>
        <v>缺失</v>
      </c>
      <c r="O5" s="215" t="inlineStr">
        <is>
          <t>是</t>
        </is>
      </c>
      <c r="P5" s="85" t="inlineStr">
        <is>
          <t>是</t>
        </is>
      </c>
      <c r="Q5" s="215" t="inlineStr">
        <is>
          <t>无</t>
        </is>
      </c>
      <c r="R5" s="243" t="inlineStr">
        <is>
          <t/>
        </is>
      </c>
    </row>
    <row r="6">
      <c r="A6" s="90" t="inlineStr">
        <is>
          <t>P001</t>
        </is>
      </c>
      <c r="B6" s="85" t="n">
        <v>2</v>
      </c>
      <c r="C6" s="85" t="n">
        <v>1</v>
      </c>
      <c r="D6" s="85" t="inlineStr">
        <is>
          <t>鼠标</t>
        </is>
      </c>
      <c r="E6" s="85" t="inlineStr">
        <is>
          <t>方法B</t>
        </is>
      </c>
      <c r="F6" s="85" t="inlineStr">
        <is>
          <t>One-Euro</t>
        </is>
      </c>
      <c r="G6" s="85" t="n">
        <v>2</v>
      </c>
      <c r="H6" s="215"/>
      <c r="I6" s="267" t="inlineStr">
        <is>
          <t/>
        </is>
      </c>
      <c r="J6" s="215"/>
      <c r="K6" s="267" t="inlineStr">
        <is>
          <t/>
        </is>
      </c>
      <c r="L6" s="215"/>
      <c r="M6" s="267" t="inlineStr">
        <is>
          <t/>
        </is>
      </c>
      <c r="N6" s="129" t="str">
        <f>IF(COUNT(H6,J6,L6)=3,"完整","缺失")</f>
        <v>缺失</v>
      </c>
      <c r="O6" s="215" t="inlineStr">
        <is>
          <t>是</t>
        </is>
      </c>
      <c r="P6" s="85" t="inlineStr">
        <is>
          <t>是</t>
        </is>
      </c>
      <c r="Q6" s="215" t="inlineStr">
        <is>
          <t>无</t>
        </is>
      </c>
      <c r="R6" s="243" t="inlineStr">
        <is>
          <t/>
        </is>
      </c>
    </row>
    <row r="7">
      <c r="A7" s="90" t="inlineStr">
        <is>
          <t>P001</t>
        </is>
      </c>
      <c r="B7" s="85" t="n">
        <v>3</v>
      </c>
      <c r="C7" s="85" t="n">
        <v>2</v>
      </c>
      <c r="D7" s="85" t="inlineStr">
        <is>
          <t>固定订书机</t>
        </is>
      </c>
      <c r="E7" s="85" t="inlineStr">
        <is>
          <t>方法B</t>
        </is>
      </c>
      <c r="F7" s="85" t="inlineStr">
        <is>
          <t>One-Euro</t>
        </is>
      </c>
      <c r="G7" s="85" t="n">
        <v>1</v>
      </c>
      <c r="H7" s="215"/>
      <c r="I7" s="267" t="inlineStr">
        <is>
          <t/>
        </is>
      </c>
      <c r="J7" s="215"/>
      <c r="K7" s="267" t="inlineStr">
        <is>
          <t/>
        </is>
      </c>
      <c r="L7" s="215"/>
      <c r="M7" s="267" t="inlineStr">
        <is>
          <t/>
        </is>
      </c>
      <c r="N7" s="129" t="str">
        <f>IF(COUNT(H7,J7,L7)=3,"完整","缺失")</f>
        <v>缺失</v>
      </c>
      <c r="O7" s="215" t="inlineStr">
        <is>
          <t>是</t>
        </is>
      </c>
      <c r="P7" s="85" t="inlineStr">
        <is>
          <t>是</t>
        </is>
      </c>
      <c r="Q7" s="215" t="inlineStr">
        <is>
          <t>无</t>
        </is>
      </c>
      <c r="R7" s="243" t="inlineStr">
        <is>
          <t/>
        </is>
      </c>
    </row>
    <row r="8">
      <c r="A8" s="90" t="inlineStr">
        <is>
          <t>P001</t>
        </is>
      </c>
      <c r="B8" s="85" t="n">
        <v>4</v>
      </c>
      <c r="C8" s="85" t="n">
        <v>2</v>
      </c>
      <c r="D8" s="85" t="inlineStr">
        <is>
          <t>固定订书机</t>
        </is>
      </c>
      <c r="E8" s="85" t="inlineStr">
        <is>
          <t>方法A</t>
        </is>
      </c>
      <c r="F8" s="85" t="inlineStr">
        <is>
          <t>EgoAnchor</t>
        </is>
      </c>
      <c r="G8" s="85" t="n">
        <v>2</v>
      </c>
      <c r="H8" s="215"/>
      <c r="I8" s="267" t="inlineStr">
        <is>
          <t/>
        </is>
      </c>
      <c r="J8" s="215"/>
      <c r="K8" s="267" t="inlineStr">
        <is>
          <t/>
        </is>
      </c>
      <c r="L8" s="215"/>
      <c r="M8" s="267" t="inlineStr">
        <is>
          <t/>
        </is>
      </c>
      <c r="N8" s="129" t="str">
        <f>IF(COUNT(H8,J8,L8)=3,"完整","缺失")</f>
        <v>缺失</v>
      </c>
      <c r="O8" s="215" t="inlineStr">
        <is>
          <t>是</t>
        </is>
      </c>
      <c r="P8" s="85" t="inlineStr">
        <is>
          <t>是</t>
        </is>
      </c>
      <c r="Q8" s="215" t="inlineStr">
        <is>
          <t>无</t>
        </is>
      </c>
      <c r="R8" s="243" t="inlineStr">
        <is>
          <t/>
        </is>
      </c>
    </row>
    <row r="9">
      <c r="A9" s="90" t="inlineStr">
        <is>
          <t>P001</t>
        </is>
      </c>
      <c r="B9" s="85" t="n">
        <v>5</v>
      </c>
      <c r="C9" s="85" t="n">
        <v>3</v>
      </c>
      <c r="D9" s="85" t="inlineStr">
        <is>
          <t>游戏手柄</t>
        </is>
      </c>
      <c r="E9" s="85" t="inlineStr">
        <is>
          <t>方法A</t>
        </is>
      </c>
      <c r="F9" s="85" t="inlineStr">
        <is>
          <t>EgoAnchor</t>
        </is>
      </c>
      <c r="G9" s="85" t="n">
        <v>1</v>
      </c>
      <c r="H9" s="215"/>
      <c r="I9" s="267" t="inlineStr">
        <is>
          <t/>
        </is>
      </c>
      <c r="J9" s="215"/>
      <c r="K9" s="267" t="inlineStr">
        <is>
          <t/>
        </is>
      </c>
      <c r="L9" s="215"/>
      <c r="M9" s="267" t="inlineStr">
        <is>
          <t/>
        </is>
      </c>
      <c r="N9" s="129" t="str">
        <f>IF(COUNT(H9,J9,L9)=3,"完整","缺失")</f>
        <v>缺失</v>
      </c>
      <c r="O9" s="215" t="inlineStr">
        <is>
          <t>是</t>
        </is>
      </c>
      <c r="P9" s="85" t="inlineStr">
        <is>
          <t>是</t>
        </is>
      </c>
      <c r="Q9" s="215" t="inlineStr">
        <is>
          <t>无</t>
        </is>
      </c>
      <c r="R9" s="243" t="inlineStr">
        <is>
          <t/>
        </is>
      </c>
    </row>
    <row r="10">
      <c r="A10" s="90" t="inlineStr">
        <is>
          <t>P001</t>
        </is>
      </c>
      <c r="B10" s="85" t="n">
        <v>6</v>
      </c>
      <c r="C10" s="85" t="n">
        <v>3</v>
      </c>
      <c r="D10" s="85" t="inlineStr">
        <is>
          <t>游戏手柄</t>
        </is>
      </c>
      <c r="E10" s="85" t="inlineStr">
        <is>
          <t>方法B</t>
        </is>
      </c>
      <c r="F10" s="85" t="inlineStr">
        <is>
          <t>One-Euro</t>
        </is>
      </c>
      <c r="G10" s="85" t="n">
        <v>2</v>
      </c>
      <c r="H10" s="215"/>
      <c r="I10" s="267" t="inlineStr">
        <is>
          <t/>
        </is>
      </c>
      <c r="J10" s="215"/>
      <c r="K10" s="267" t="inlineStr">
        <is>
          <t/>
        </is>
      </c>
      <c r="L10" s="215"/>
      <c r="M10" s="267" t="inlineStr">
        <is>
          <t/>
        </is>
      </c>
      <c r="N10" s="129" t="str">
        <f>IF(COUNT(H10,J10,L10)=3,"完整","缺失")</f>
        <v>缺失</v>
      </c>
      <c r="O10" s="215" t="inlineStr">
        <is>
          <t>是</t>
        </is>
      </c>
      <c r="P10" s="85" t="inlineStr">
        <is>
          <t>是</t>
        </is>
      </c>
      <c r="Q10" s="215" t="inlineStr">
        <is>
          <t>无</t>
        </is>
      </c>
      <c r="R10" s="243" t="inlineStr">
        <is>
          <t/>
        </is>
      </c>
    </row>
    <row r="11">
      <c r="A11" s="90" t="inlineStr">
        <is>
          <t>P002</t>
        </is>
      </c>
      <c r="B11" s="85" t="n">
        <v>1</v>
      </c>
      <c r="C11" s="85" t="n">
        <v>1</v>
      </c>
      <c r="D11" s="85" t="inlineStr">
        <is>
          <t>鼠标</t>
        </is>
      </c>
      <c r="E11" s="85" t="inlineStr">
        <is>
          <t>方法A</t>
        </is>
      </c>
      <c r="F11" s="85" t="inlineStr">
        <is>
          <t>EgoAnchor</t>
        </is>
      </c>
      <c r="G11" s="85" t="n">
        <v>1</v>
      </c>
      <c r="H11" s="215"/>
      <c r="I11" s="267" t="inlineStr">
        <is>
          <t/>
        </is>
      </c>
      <c r="J11" s="215"/>
      <c r="K11" s="267" t="inlineStr">
        <is>
          <t/>
        </is>
      </c>
      <c r="L11" s="215"/>
      <c r="M11" s="267" t="inlineStr">
        <is>
          <t/>
        </is>
      </c>
      <c r="N11" s="129" t="str">
        <f>IF(COUNT(H11,J11,L11)=3,"完整","缺失")</f>
        <v>缺失</v>
      </c>
      <c r="O11" s="215" t="inlineStr">
        <is>
          <t>是</t>
        </is>
      </c>
      <c r="P11" s="85" t="inlineStr">
        <is>
          <t>是</t>
        </is>
      </c>
      <c r="Q11" s="215" t="inlineStr">
        <is>
          <t>无</t>
        </is>
      </c>
      <c r="R11" s="243" t="inlineStr">
        <is>
          <t/>
        </is>
      </c>
    </row>
    <row r="12">
      <c r="A12" s="90" t="inlineStr">
        <is>
          <t>P002</t>
        </is>
      </c>
      <c r="B12" s="85" t="n">
        <v>2</v>
      </c>
      <c r="C12" s="85" t="n">
        <v>1</v>
      </c>
      <c r="D12" s="85" t="inlineStr">
        <is>
          <t>鼠标</t>
        </is>
      </c>
      <c r="E12" s="85" t="inlineStr">
        <is>
          <t>方法B</t>
        </is>
      </c>
      <c r="F12" s="85" t="inlineStr">
        <is>
          <t>One-Euro</t>
        </is>
      </c>
      <c r="G12" s="85" t="n">
        <v>2</v>
      </c>
      <c r="H12" s="215"/>
      <c r="I12" s="267" t="inlineStr">
        <is>
          <t/>
        </is>
      </c>
      <c r="J12" s="215"/>
      <c r="K12" s="267" t="inlineStr">
        <is>
          <t/>
        </is>
      </c>
      <c r="L12" s="215"/>
      <c r="M12" s="267" t="inlineStr">
        <is>
          <t/>
        </is>
      </c>
      <c r="N12" s="129" t="str">
        <f>IF(COUNT(H12,J12,L12)=3,"完整","缺失")</f>
        <v>缺失</v>
      </c>
      <c r="O12" s="215" t="inlineStr">
        <is>
          <t>是</t>
        </is>
      </c>
      <c r="P12" s="85" t="inlineStr">
        <is>
          <t>是</t>
        </is>
      </c>
      <c r="Q12" s="215" t="inlineStr">
        <is>
          <t>无</t>
        </is>
      </c>
      <c r="R12" s="243" t="inlineStr">
        <is>
          <t/>
        </is>
      </c>
    </row>
    <row r="13">
      <c r="A13" s="90" t="inlineStr">
        <is>
          <t>P002</t>
        </is>
      </c>
      <c r="B13" s="85" t="n">
        <v>3</v>
      </c>
      <c r="C13" s="85" t="n">
        <v>2</v>
      </c>
      <c r="D13" s="85" t="inlineStr">
        <is>
          <t>游戏手柄</t>
        </is>
      </c>
      <c r="E13" s="85" t="inlineStr">
        <is>
          <t>方法B</t>
        </is>
      </c>
      <c r="F13" s="85" t="inlineStr">
        <is>
          <t>One-Euro</t>
        </is>
      </c>
      <c r="G13" s="85" t="n">
        <v>1</v>
      </c>
      <c r="H13" s="215"/>
      <c r="I13" s="267" t="inlineStr">
        <is>
          <t/>
        </is>
      </c>
      <c r="J13" s="215"/>
      <c r="K13" s="267" t="inlineStr">
        <is>
          <t/>
        </is>
      </c>
      <c r="L13" s="215"/>
      <c r="M13" s="267" t="inlineStr">
        <is>
          <t/>
        </is>
      </c>
      <c r="N13" s="129" t="str">
        <f>IF(COUNT(H13,J13,L13)=3,"完整","缺失")</f>
        <v>缺失</v>
      </c>
      <c r="O13" s="215" t="inlineStr">
        <is>
          <t>是</t>
        </is>
      </c>
      <c r="P13" s="85" t="inlineStr">
        <is>
          <t>是</t>
        </is>
      </c>
      <c r="Q13" s="215" t="inlineStr">
        <is>
          <t>无</t>
        </is>
      </c>
      <c r="R13" s="243" t="inlineStr">
        <is>
          <t/>
        </is>
      </c>
    </row>
    <row r="14">
      <c r="A14" s="90" t="inlineStr">
        <is>
          <t>P002</t>
        </is>
      </c>
      <c r="B14" s="85" t="n">
        <v>4</v>
      </c>
      <c r="C14" s="85" t="n">
        <v>2</v>
      </c>
      <c r="D14" s="85" t="inlineStr">
        <is>
          <t>游戏手柄</t>
        </is>
      </c>
      <c r="E14" s="85" t="inlineStr">
        <is>
          <t>方法A</t>
        </is>
      </c>
      <c r="F14" s="85" t="inlineStr">
        <is>
          <t>EgoAnchor</t>
        </is>
      </c>
      <c r="G14" s="85" t="n">
        <v>2</v>
      </c>
      <c r="H14" s="215"/>
      <c r="I14" s="267" t="inlineStr">
        <is>
          <t/>
        </is>
      </c>
      <c r="J14" s="215"/>
      <c r="K14" s="267" t="inlineStr">
        <is>
          <t/>
        </is>
      </c>
      <c r="L14" s="215"/>
      <c r="M14" s="267" t="inlineStr">
        <is>
          <t/>
        </is>
      </c>
      <c r="N14" s="129" t="str">
        <f>IF(COUNT(H14,J14,L14)=3,"完整","缺失")</f>
        <v>缺失</v>
      </c>
      <c r="O14" s="215" t="inlineStr">
        <is>
          <t>是</t>
        </is>
      </c>
      <c r="P14" s="85" t="inlineStr">
        <is>
          <t>是</t>
        </is>
      </c>
      <c r="Q14" s="215" t="inlineStr">
        <is>
          <t>无</t>
        </is>
      </c>
      <c r="R14" s="243" t="inlineStr">
        <is>
          <t/>
        </is>
      </c>
    </row>
    <row r="15">
      <c r="A15" s="90" t="inlineStr">
        <is>
          <t>P002</t>
        </is>
      </c>
      <c r="B15" s="85" t="n">
        <v>5</v>
      </c>
      <c r="C15" s="85" t="n">
        <v>3</v>
      </c>
      <c r="D15" s="85" t="inlineStr">
        <is>
          <t>固定订书机</t>
        </is>
      </c>
      <c r="E15" s="85" t="inlineStr">
        <is>
          <t>方法A</t>
        </is>
      </c>
      <c r="F15" s="85" t="inlineStr">
        <is>
          <t>EgoAnchor</t>
        </is>
      </c>
      <c r="G15" s="85" t="n">
        <v>1</v>
      </c>
      <c r="H15" s="215"/>
      <c r="I15" s="267" t="inlineStr">
        <is>
          <t/>
        </is>
      </c>
      <c r="J15" s="215"/>
      <c r="K15" s="267" t="inlineStr">
        <is>
          <t/>
        </is>
      </c>
      <c r="L15" s="215"/>
      <c r="M15" s="267" t="inlineStr">
        <is>
          <t/>
        </is>
      </c>
      <c r="N15" s="129" t="str">
        <f>IF(COUNT(H15,J15,L15)=3,"完整","缺失")</f>
        <v>缺失</v>
      </c>
      <c r="O15" s="215" t="inlineStr">
        <is>
          <t>是</t>
        </is>
      </c>
      <c r="P15" s="85" t="inlineStr">
        <is>
          <t>是</t>
        </is>
      </c>
      <c r="Q15" s="215" t="inlineStr">
        <is>
          <t>无</t>
        </is>
      </c>
      <c r="R15" s="243" t="inlineStr">
        <is>
          <t/>
        </is>
      </c>
    </row>
    <row r="16">
      <c r="A16" s="90" t="inlineStr">
        <is>
          <t>P002</t>
        </is>
      </c>
      <c r="B16" s="85" t="n">
        <v>6</v>
      </c>
      <c r="C16" s="85" t="n">
        <v>3</v>
      </c>
      <c r="D16" s="85" t="inlineStr">
        <is>
          <t>固定订书机</t>
        </is>
      </c>
      <c r="E16" s="85" t="inlineStr">
        <is>
          <t>方法B</t>
        </is>
      </c>
      <c r="F16" s="85" t="inlineStr">
        <is>
          <t>One-Euro</t>
        </is>
      </c>
      <c r="G16" s="85" t="n">
        <v>2</v>
      </c>
      <c r="H16" s="215"/>
      <c r="I16" s="267" t="inlineStr">
        <is>
          <t/>
        </is>
      </c>
      <c r="J16" s="215"/>
      <c r="K16" s="267" t="inlineStr">
        <is>
          <t/>
        </is>
      </c>
      <c r="L16" s="215"/>
      <c r="M16" s="267" t="inlineStr">
        <is>
          <t/>
        </is>
      </c>
      <c r="N16" s="129" t="str">
        <f>IF(COUNT(H16,J16,L16)=3,"完整","缺失")</f>
        <v>缺失</v>
      </c>
      <c r="O16" s="215" t="inlineStr">
        <is>
          <t>是</t>
        </is>
      </c>
      <c r="P16" s="85" t="inlineStr">
        <is>
          <t>是</t>
        </is>
      </c>
      <c r="Q16" s="215" t="inlineStr">
        <is>
          <t>无</t>
        </is>
      </c>
      <c r="R16" s="243" t="inlineStr">
        <is>
          <t/>
        </is>
      </c>
    </row>
    <row r="17">
      <c r="A17" s="90" t="inlineStr">
        <is>
          <t>P003</t>
        </is>
      </c>
      <c r="B17" s="85" t="n">
        <v>1</v>
      </c>
      <c r="C17" s="85" t="n">
        <v>1</v>
      </c>
      <c r="D17" s="85" t="inlineStr">
        <is>
          <t>固定订书机</t>
        </is>
      </c>
      <c r="E17" s="85" t="inlineStr">
        <is>
          <t>方法A</t>
        </is>
      </c>
      <c r="F17" s="85" t="inlineStr">
        <is>
          <t>EgoAnchor</t>
        </is>
      </c>
      <c r="G17" s="85" t="n">
        <v>1</v>
      </c>
      <c r="H17" s="215"/>
      <c r="I17" s="267" t="inlineStr">
        <is>
          <t/>
        </is>
      </c>
      <c r="J17" s="215"/>
      <c r="K17" s="267" t="inlineStr">
        <is>
          <t/>
        </is>
      </c>
      <c r="L17" s="215"/>
      <c r="M17" s="267" t="inlineStr">
        <is>
          <t/>
        </is>
      </c>
      <c r="N17" s="129" t="str">
        <f>IF(COUNT(H17,J17,L17)=3,"完整","缺失")</f>
        <v>缺失</v>
      </c>
      <c r="O17" s="215" t="inlineStr">
        <is>
          <t>是</t>
        </is>
      </c>
      <c r="P17" s="85" t="inlineStr">
        <is>
          <t>是</t>
        </is>
      </c>
      <c r="Q17" s="215" t="inlineStr">
        <is>
          <t>无</t>
        </is>
      </c>
      <c r="R17" s="243" t="inlineStr">
        <is>
          <t/>
        </is>
      </c>
    </row>
    <row r="18">
      <c r="A18" s="90" t="inlineStr">
        <is>
          <t>P003</t>
        </is>
      </c>
      <c r="B18" s="85" t="n">
        <v>2</v>
      </c>
      <c r="C18" s="85" t="n">
        <v>1</v>
      </c>
      <c r="D18" s="85" t="inlineStr">
        <is>
          <t>固定订书机</t>
        </is>
      </c>
      <c r="E18" s="85" t="inlineStr">
        <is>
          <t>方法B</t>
        </is>
      </c>
      <c r="F18" s="85" t="inlineStr">
        <is>
          <t>One-Euro</t>
        </is>
      </c>
      <c r="G18" s="85" t="n">
        <v>2</v>
      </c>
      <c r="H18" s="215"/>
      <c r="I18" s="267" t="inlineStr">
        <is>
          <t/>
        </is>
      </c>
      <c r="J18" s="215"/>
      <c r="K18" s="267" t="inlineStr">
        <is>
          <t/>
        </is>
      </c>
      <c r="L18" s="215"/>
      <c r="M18" s="267" t="inlineStr">
        <is>
          <t/>
        </is>
      </c>
      <c r="N18" s="129" t="str">
        <f>IF(COUNT(H18,J18,L18)=3,"完整","缺失")</f>
        <v>缺失</v>
      </c>
      <c r="O18" s="215" t="inlineStr">
        <is>
          <t>是</t>
        </is>
      </c>
      <c r="P18" s="85" t="inlineStr">
        <is>
          <t>是</t>
        </is>
      </c>
      <c r="Q18" s="215" t="inlineStr">
        <is>
          <t>无</t>
        </is>
      </c>
      <c r="R18" s="243" t="inlineStr">
        <is>
          <t/>
        </is>
      </c>
    </row>
    <row r="19">
      <c r="A19" s="90" t="inlineStr">
        <is>
          <t>P003</t>
        </is>
      </c>
      <c r="B19" s="85" t="n">
        <v>3</v>
      </c>
      <c r="C19" s="85" t="n">
        <v>2</v>
      </c>
      <c r="D19" s="85" t="inlineStr">
        <is>
          <t>鼠标</t>
        </is>
      </c>
      <c r="E19" s="85" t="inlineStr">
        <is>
          <t>方法B</t>
        </is>
      </c>
      <c r="F19" s="85" t="inlineStr">
        <is>
          <t>One-Euro</t>
        </is>
      </c>
      <c r="G19" s="85" t="n">
        <v>1</v>
      </c>
      <c r="H19" s="215"/>
      <c r="I19" s="267" t="inlineStr">
        <is>
          <t/>
        </is>
      </c>
      <c r="J19" s="215"/>
      <c r="K19" s="267" t="inlineStr">
        <is>
          <t/>
        </is>
      </c>
      <c r="L19" s="215"/>
      <c r="M19" s="267" t="inlineStr">
        <is>
          <t/>
        </is>
      </c>
      <c r="N19" s="129" t="str">
        <f>IF(COUNT(H19,J19,L19)=3,"完整","缺失")</f>
        <v>缺失</v>
      </c>
      <c r="O19" s="215" t="inlineStr">
        <is>
          <t>是</t>
        </is>
      </c>
      <c r="P19" s="85" t="inlineStr">
        <is>
          <t>是</t>
        </is>
      </c>
      <c r="Q19" s="215" t="inlineStr">
        <is>
          <t>无</t>
        </is>
      </c>
      <c r="R19" s="243" t="inlineStr">
        <is>
          <t/>
        </is>
      </c>
    </row>
    <row r="20">
      <c r="A20" s="90" t="inlineStr">
        <is>
          <t>P003</t>
        </is>
      </c>
      <c r="B20" s="85" t="n">
        <v>4</v>
      </c>
      <c r="C20" s="85" t="n">
        <v>2</v>
      </c>
      <c r="D20" s="85" t="inlineStr">
        <is>
          <t>鼠标</t>
        </is>
      </c>
      <c r="E20" s="85" t="inlineStr">
        <is>
          <t>方法A</t>
        </is>
      </c>
      <c r="F20" s="85" t="inlineStr">
        <is>
          <t>EgoAnchor</t>
        </is>
      </c>
      <c r="G20" s="85" t="n">
        <v>2</v>
      </c>
      <c r="H20" s="215"/>
      <c r="I20" s="267" t="inlineStr">
        <is>
          <t/>
        </is>
      </c>
      <c r="J20" s="215"/>
      <c r="K20" s="267" t="inlineStr">
        <is>
          <t/>
        </is>
      </c>
      <c r="L20" s="215"/>
      <c r="M20" s="267" t="inlineStr">
        <is>
          <t/>
        </is>
      </c>
      <c r="N20" s="129" t="str">
        <f>IF(COUNT(H20,J20,L20)=3,"完整","缺失")</f>
        <v>缺失</v>
      </c>
      <c r="O20" s="215" t="inlineStr">
        <is>
          <t>是</t>
        </is>
      </c>
      <c r="P20" s="85" t="inlineStr">
        <is>
          <t>是</t>
        </is>
      </c>
      <c r="Q20" s="215" t="inlineStr">
        <is>
          <t>无</t>
        </is>
      </c>
      <c r="R20" s="243" t="inlineStr">
        <is>
          <t/>
        </is>
      </c>
    </row>
    <row r="21">
      <c r="A21" s="90" t="inlineStr">
        <is>
          <t>P003</t>
        </is>
      </c>
      <c r="B21" s="85" t="n">
        <v>5</v>
      </c>
      <c r="C21" s="85" t="n">
        <v>3</v>
      </c>
      <c r="D21" s="85" t="inlineStr">
        <is>
          <t>游戏手柄</t>
        </is>
      </c>
      <c r="E21" s="85" t="inlineStr">
        <is>
          <t>方法A</t>
        </is>
      </c>
      <c r="F21" s="85" t="inlineStr">
        <is>
          <t>EgoAnchor</t>
        </is>
      </c>
      <c r="G21" s="85" t="n">
        <v>1</v>
      </c>
      <c r="H21" s="215"/>
      <c r="I21" s="267" t="inlineStr">
        <is>
          <t/>
        </is>
      </c>
      <c r="J21" s="215"/>
      <c r="K21" s="267" t="inlineStr">
        <is>
          <t/>
        </is>
      </c>
      <c r="L21" s="215"/>
      <c r="M21" s="267" t="inlineStr">
        <is>
          <t/>
        </is>
      </c>
      <c r="N21" s="129" t="str">
        <f>IF(COUNT(H21,J21,L21)=3,"完整","缺失")</f>
        <v>缺失</v>
      </c>
      <c r="O21" s="215" t="inlineStr">
        <is>
          <t>是</t>
        </is>
      </c>
      <c r="P21" s="85" t="inlineStr">
        <is>
          <t>是</t>
        </is>
      </c>
      <c r="Q21" s="215" t="inlineStr">
        <is>
          <t>无</t>
        </is>
      </c>
      <c r="R21" s="243" t="inlineStr">
        <is>
          <t/>
        </is>
      </c>
    </row>
    <row r="22">
      <c r="A22" s="90" t="inlineStr">
        <is>
          <t>P003</t>
        </is>
      </c>
      <c r="B22" s="85" t="n">
        <v>6</v>
      </c>
      <c r="C22" s="85" t="n">
        <v>3</v>
      </c>
      <c r="D22" s="85" t="inlineStr">
        <is>
          <t>游戏手柄</t>
        </is>
      </c>
      <c r="E22" s="85" t="inlineStr">
        <is>
          <t>方法B</t>
        </is>
      </c>
      <c r="F22" s="85" t="inlineStr">
        <is>
          <t>One-Euro</t>
        </is>
      </c>
      <c r="G22" s="85" t="n">
        <v>2</v>
      </c>
      <c r="H22" s="215"/>
      <c r="I22" s="267" t="inlineStr">
        <is>
          <t/>
        </is>
      </c>
      <c r="J22" s="215"/>
      <c r="K22" s="267" t="inlineStr">
        <is>
          <t/>
        </is>
      </c>
      <c r="L22" s="215"/>
      <c r="M22" s="267" t="inlineStr">
        <is>
          <t/>
        </is>
      </c>
      <c r="N22" s="129" t="str">
        <f>IF(COUNT(H22,J22,L22)=3,"完整","缺失")</f>
        <v>缺失</v>
      </c>
      <c r="O22" s="215" t="inlineStr">
        <is>
          <t>是</t>
        </is>
      </c>
      <c r="P22" s="85" t="inlineStr">
        <is>
          <t>是</t>
        </is>
      </c>
      <c r="Q22" s="215" t="inlineStr">
        <is>
          <t>无</t>
        </is>
      </c>
      <c r="R22" s="243" t="inlineStr">
        <is>
          <t/>
        </is>
      </c>
    </row>
    <row r="23">
      <c r="A23" s="90" t="inlineStr">
        <is>
          <t>P004</t>
        </is>
      </c>
      <c r="B23" s="85" t="n">
        <v>1</v>
      </c>
      <c r="C23" s="85" t="n">
        <v>1</v>
      </c>
      <c r="D23" s="85" t="inlineStr">
        <is>
          <t>固定订书机</t>
        </is>
      </c>
      <c r="E23" s="85" t="inlineStr">
        <is>
          <t>方法A</t>
        </is>
      </c>
      <c r="F23" s="85" t="inlineStr">
        <is>
          <t>EgoAnchor</t>
        </is>
      </c>
      <c r="G23" s="85" t="n">
        <v>1</v>
      </c>
      <c r="H23" s="215"/>
      <c r="I23" s="267" t="inlineStr">
        <is>
          <t/>
        </is>
      </c>
      <c r="J23" s="215"/>
      <c r="K23" s="267" t="inlineStr">
        <is>
          <t/>
        </is>
      </c>
      <c r="L23" s="215"/>
      <c r="M23" s="267" t="inlineStr">
        <is>
          <t/>
        </is>
      </c>
      <c r="N23" s="129" t="str">
        <f>IF(COUNT(H23,J23,L23)=3,"完整","缺失")</f>
        <v>缺失</v>
      </c>
      <c r="O23" s="215" t="inlineStr">
        <is>
          <t>是</t>
        </is>
      </c>
      <c r="P23" s="85" t="inlineStr">
        <is>
          <t>是</t>
        </is>
      </c>
      <c r="Q23" s="215" t="inlineStr">
        <is>
          <t>无</t>
        </is>
      </c>
      <c r="R23" s="243" t="inlineStr">
        <is>
          <t/>
        </is>
      </c>
    </row>
    <row r="24">
      <c r="A24" s="90" t="inlineStr">
        <is>
          <t>P004</t>
        </is>
      </c>
      <c r="B24" s="85" t="n">
        <v>2</v>
      </c>
      <c r="C24" s="85" t="n">
        <v>1</v>
      </c>
      <c r="D24" s="85" t="inlineStr">
        <is>
          <t>固定订书机</t>
        </is>
      </c>
      <c r="E24" s="85" t="inlineStr">
        <is>
          <t>方法B</t>
        </is>
      </c>
      <c r="F24" s="85" t="inlineStr">
        <is>
          <t>One-Euro</t>
        </is>
      </c>
      <c r="G24" s="85" t="n">
        <v>2</v>
      </c>
      <c r="H24" s="215"/>
      <c r="I24" s="267" t="inlineStr">
        <is>
          <t/>
        </is>
      </c>
      <c r="J24" s="215"/>
      <c r="K24" s="267" t="inlineStr">
        <is>
          <t/>
        </is>
      </c>
      <c r="L24" s="215"/>
      <c r="M24" s="267" t="inlineStr">
        <is>
          <t/>
        </is>
      </c>
      <c r="N24" s="129" t="str">
        <f>IF(COUNT(H24,J24,L24)=3,"完整","缺失")</f>
        <v>缺失</v>
      </c>
      <c r="O24" s="215" t="inlineStr">
        <is>
          <t>是</t>
        </is>
      </c>
      <c r="P24" s="85" t="inlineStr">
        <is>
          <t>是</t>
        </is>
      </c>
      <c r="Q24" s="215" t="inlineStr">
        <is>
          <t>无</t>
        </is>
      </c>
      <c r="R24" s="243" t="inlineStr">
        <is>
          <t/>
        </is>
      </c>
    </row>
    <row r="25">
      <c r="A25" s="90" t="inlineStr">
        <is>
          <t>P004</t>
        </is>
      </c>
      <c r="B25" s="85" t="n">
        <v>3</v>
      </c>
      <c r="C25" s="85" t="n">
        <v>2</v>
      </c>
      <c r="D25" s="85" t="inlineStr">
        <is>
          <t>游戏手柄</t>
        </is>
      </c>
      <c r="E25" s="85" t="inlineStr">
        <is>
          <t>方法B</t>
        </is>
      </c>
      <c r="F25" s="85" t="inlineStr">
        <is>
          <t>One-Euro</t>
        </is>
      </c>
      <c r="G25" s="85" t="n">
        <v>1</v>
      </c>
      <c r="H25" s="215"/>
      <c r="I25" s="267" t="inlineStr">
        <is>
          <t/>
        </is>
      </c>
      <c r="J25" s="215"/>
      <c r="K25" s="267" t="inlineStr">
        <is>
          <t/>
        </is>
      </c>
      <c r="L25" s="215"/>
      <c r="M25" s="267" t="inlineStr">
        <is>
          <t/>
        </is>
      </c>
      <c r="N25" s="129" t="str">
        <f>IF(COUNT(H25,J25,L25)=3,"完整","缺失")</f>
        <v>缺失</v>
      </c>
      <c r="O25" s="215" t="inlineStr">
        <is>
          <t>是</t>
        </is>
      </c>
      <c r="P25" s="85" t="inlineStr">
        <is>
          <t>是</t>
        </is>
      </c>
      <c r="Q25" s="215" t="inlineStr">
        <is>
          <t>无</t>
        </is>
      </c>
      <c r="R25" s="243" t="inlineStr">
        <is>
          <t/>
        </is>
      </c>
    </row>
    <row r="26">
      <c r="A26" s="90" t="inlineStr">
        <is>
          <t>P004</t>
        </is>
      </c>
      <c r="B26" s="85" t="n">
        <v>4</v>
      </c>
      <c r="C26" s="85" t="n">
        <v>2</v>
      </c>
      <c r="D26" s="85" t="inlineStr">
        <is>
          <t>游戏手柄</t>
        </is>
      </c>
      <c r="E26" s="85" t="inlineStr">
        <is>
          <t>方法A</t>
        </is>
      </c>
      <c r="F26" s="85" t="inlineStr">
        <is>
          <t>EgoAnchor</t>
        </is>
      </c>
      <c r="G26" s="85" t="n">
        <v>2</v>
      </c>
      <c r="H26" s="215"/>
      <c r="I26" s="267" t="inlineStr">
        <is>
          <t/>
        </is>
      </c>
      <c r="J26" s="215"/>
      <c r="K26" s="267" t="inlineStr">
        <is>
          <t/>
        </is>
      </c>
      <c r="L26" s="215"/>
      <c r="M26" s="267" t="inlineStr">
        <is>
          <t/>
        </is>
      </c>
      <c r="N26" s="129" t="str">
        <f>IF(COUNT(H26,J26,L26)=3,"完整","缺失")</f>
        <v>缺失</v>
      </c>
      <c r="O26" s="215" t="inlineStr">
        <is>
          <t>是</t>
        </is>
      </c>
      <c r="P26" s="85" t="inlineStr">
        <is>
          <t>是</t>
        </is>
      </c>
      <c r="Q26" s="215" t="inlineStr">
        <is>
          <t>无</t>
        </is>
      </c>
      <c r="R26" s="243" t="inlineStr">
        <is>
          <t/>
        </is>
      </c>
    </row>
    <row r="27">
      <c r="A27" s="90" t="inlineStr">
        <is>
          <t>P004</t>
        </is>
      </c>
      <c r="B27" s="85" t="n">
        <v>5</v>
      </c>
      <c r="C27" s="85" t="n">
        <v>3</v>
      </c>
      <c r="D27" s="85" t="inlineStr">
        <is>
          <t>鼠标</t>
        </is>
      </c>
      <c r="E27" s="85" t="inlineStr">
        <is>
          <t>方法A</t>
        </is>
      </c>
      <c r="F27" s="85" t="inlineStr">
        <is>
          <t>EgoAnchor</t>
        </is>
      </c>
      <c r="G27" s="85" t="n">
        <v>1</v>
      </c>
      <c r="H27" s="215"/>
      <c r="I27" s="267" t="inlineStr">
        <is>
          <t/>
        </is>
      </c>
      <c r="J27" s="215"/>
      <c r="K27" s="267" t="inlineStr">
        <is>
          <t/>
        </is>
      </c>
      <c r="L27" s="215"/>
      <c r="M27" s="267" t="inlineStr">
        <is>
          <t/>
        </is>
      </c>
      <c r="N27" s="129" t="str">
        <f>IF(COUNT(H27,J27,L27)=3,"完整","缺失")</f>
        <v>缺失</v>
      </c>
      <c r="O27" s="215" t="inlineStr">
        <is>
          <t>是</t>
        </is>
      </c>
      <c r="P27" s="85" t="inlineStr">
        <is>
          <t>是</t>
        </is>
      </c>
      <c r="Q27" s="215" t="inlineStr">
        <is>
          <t>无</t>
        </is>
      </c>
      <c r="R27" s="243" t="inlineStr">
        <is>
          <t/>
        </is>
      </c>
    </row>
    <row r="28">
      <c r="A28" s="90" t="inlineStr">
        <is>
          <t>P004</t>
        </is>
      </c>
      <c r="B28" s="85" t="n">
        <v>6</v>
      </c>
      <c r="C28" s="85" t="n">
        <v>3</v>
      </c>
      <c r="D28" s="85" t="inlineStr">
        <is>
          <t>鼠标</t>
        </is>
      </c>
      <c r="E28" s="85" t="inlineStr">
        <is>
          <t>方法B</t>
        </is>
      </c>
      <c r="F28" s="85" t="inlineStr">
        <is>
          <t>One-Euro</t>
        </is>
      </c>
      <c r="G28" s="85" t="n">
        <v>2</v>
      </c>
      <c r="H28" s="215"/>
      <c r="I28" s="267" t="inlineStr">
        <is>
          <t/>
        </is>
      </c>
      <c r="J28" s="215"/>
      <c r="K28" s="267" t="inlineStr">
        <is>
          <t/>
        </is>
      </c>
      <c r="L28" s="215"/>
      <c r="M28" s="267" t="inlineStr">
        <is>
          <t/>
        </is>
      </c>
      <c r="N28" s="129" t="str">
        <f>IF(COUNT(H28,J28,L28)=3,"完整","缺失")</f>
        <v>缺失</v>
      </c>
      <c r="O28" s="215" t="inlineStr">
        <is>
          <t>是</t>
        </is>
      </c>
      <c r="P28" s="85" t="inlineStr">
        <is>
          <t>是</t>
        </is>
      </c>
      <c r="Q28" s="215" t="inlineStr">
        <is>
          <t>无</t>
        </is>
      </c>
      <c r="R28" s="243" t="inlineStr">
        <is>
          <t/>
        </is>
      </c>
    </row>
    <row r="29">
      <c r="A29" s="90" t="inlineStr">
        <is>
          <t>P005</t>
        </is>
      </c>
      <c r="B29" s="85" t="n">
        <v>1</v>
      </c>
      <c r="C29" s="85" t="n">
        <v>1</v>
      </c>
      <c r="D29" s="85" t="inlineStr">
        <is>
          <t>游戏手柄</t>
        </is>
      </c>
      <c r="E29" s="85" t="inlineStr">
        <is>
          <t>方法A</t>
        </is>
      </c>
      <c r="F29" s="85" t="inlineStr">
        <is>
          <t>EgoAnchor</t>
        </is>
      </c>
      <c r="G29" s="85" t="n">
        <v>1</v>
      </c>
      <c r="H29" s="215"/>
      <c r="I29" s="267" t="inlineStr">
        <is>
          <t/>
        </is>
      </c>
      <c r="J29" s="215"/>
      <c r="K29" s="267" t="inlineStr">
        <is>
          <t/>
        </is>
      </c>
      <c r="L29" s="215"/>
      <c r="M29" s="267" t="inlineStr">
        <is>
          <t/>
        </is>
      </c>
      <c r="N29" s="129" t="str">
        <f>IF(COUNT(H29,J29,L29)=3,"完整","缺失")</f>
        <v>缺失</v>
      </c>
      <c r="O29" s="215" t="inlineStr">
        <is>
          <t>是</t>
        </is>
      </c>
      <c r="P29" s="85" t="inlineStr">
        <is>
          <t>是</t>
        </is>
      </c>
      <c r="Q29" s="215" t="inlineStr">
        <is>
          <t>无</t>
        </is>
      </c>
      <c r="R29" s="243" t="inlineStr">
        <is>
          <t/>
        </is>
      </c>
    </row>
    <row r="30">
      <c r="A30" s="90" t="inlineStr">
        <is>
          <t>P005</t>
        </is>
      </c>
      <c r="B30" s="85" t="n">
        <v>2</v>
      </c>
      <c r="C30" s="85" t="n">
        <v>1</v>
      </c>
      <c r="D30" s="85" t="inlineStr">
        <is>
          <t>游戏手柄</t>
        </is>
      </c>
      <c r="E30" s="85" t="inlineStr">
        <is>
          <t>方法B</t>
        </is>
      </c>
      <c r="F30" s="85" t="inlineStr">
        <is>
          <t>One-Euro</t>
        </is>
      </c>
      <c r="G30" s="85" t="n">
        <v>2</v>
      </c>
      <c r="H30" s="215"/>
      <c r="I30" s="267" t="inlineStr">
        <is>
          <t/>
        </is>
      </c>
      <c r="J30" s="215"/>
      <c r="K30" s="267" t="inlineStr">
        <is>
          <t/>
        </is>
      </c>
      <c r="L30" s="215"/>
      <c r="M30" s="267" t="inlineStr">
        <is>
          <t/>
        </is>
      </c>
      <c r="N30" s="129" t="str">
        <f>IF(COUNT(H30,J30,L30)=3,"完整","缺失")</f>
        <v>缺失</v>
      </c>
      <c r="O30" s="215" t="inlineStr">
        <is>
          <t>是</t>
        </is>
      </c>
      <c r="P30" s="85" t="inlineStr">
        <is>
          <t>是</t>
        </is>
      </c>
      <c r="Q30" s="215" t="inlineStr">
        <is>
          <t>无</t>
        </is>
      </c>
      <c r="R30" s="243" t="inlineStr">
        <is>
          <t/>
        </is>
      </c>
    </row>
    <row r="31">
      <c r="A31" s="90" t="inlineStr">
        <is>
          <t>P005</t>
        </is>
      </c>
      <c r="B31" s="85" t="n">
        <v>3</v>
      </c>
      <c r="C31" s="85" t="n">
        <v>2</v>
      </c>
      <c r="D31" s="85" t="inlineStr">
        <is>
          <t>鼠标</t>
        </is>
      </c>
      <c r="E31" s="85" t="inlineStr">
        <is>
          <t>方法B</t>
        </is>
      </c>
      <c r="F31" s="85" t="inlineStr">
        <is>
          <t>One-Euro</t>
        </is>
      </c>
      <c r="G31" s="85" t="n">
        <v>1</v>
      </c>
      <c r="H31" s="215"/>
      <c r="I31" s="267" t="inlineStr">
        <is>
          <t/>
        </is>
      </c>
      <c r="J31" s="215"/>
      <c r="K31" s="267" t="inlineStr">
        <is>
          <t/>
        </is>
      </c>
      <c r="L31" s="215"/>
      <c r="M31" s="267" t="inlineStr">
        <is>
          <t/>
        </is>
      </c>
      <c r="N31" s="129" t="str">
        <f>IF(COUNT(H31,J31,L31)=3,"完整","缺失")</f>
        <v>缺失</v>
      </c>
      <c r="O31" s="215" t="inlineStr">
        <is>
          <t>是</t>
        </is>
      </c>
      <c r="P31" s="85" t="inlineStr">
        <is>
          <t>是</t>
        </is>
      </c>
      <c r="Q31" s="215" t="inlineStr">
        <is>
          <t>无</t>
        </is>
      </c>
      <c r="R31" s="243" t="inlineStr">
        <is>
          <t/>
        </is>
      </c>
    </row>
    <row r="32">
      <c r="A32" s="90" t="inlineStr">
        <is>
          <t>P005</t>
        </is>
      </c>
      <c r="B32" s="85" t="n">
        <v>4</v>
      </c>
      <c r="C32" s="85" t="n">
        <v>2</v>
      </c>
      <c r="D32" s="85" t="inlineStr">
        <is>
          <t>鼠标</t>
        </is>
      </c>
      <c r="E32" s="85" t="inlineStr">
        <is>
          <t>方法A</t>
        </is>
      </c>
      <c r="F32" s="85" t="inlineStr">
        <is>
          <t>EgoAnchor</t>
        </is>
      </c>
      <c r="G32" s="85" t="n">
        <v>2</v>
      </c>
      <c r="H32" s="215"/>
      <c r="I32" s="267" t="inlineStr">
        <is>
          <t/>
        </is>
      </c>
      <c r="J32" s="215"/>
      <c r="K32" s="267" t="inlineStr">
        <is>
          <t/>
        </is>
      </c>
      <c r="L32" s="215"/>
      <c r="M32" s="267" t="inlineStr">
        <is>
          <t/>
        </is>
      </c>
      <c r="N32" s="129" t="str">
        <f>IF(COUNT(H32,J32,L32)=3,"完整","缺失")</f>
        <v>缺失</v>
      </c>
      <c r="O32" s="215" t="inlineStr">
        <is>
          <t>是</t>
        </is>
      </c>
      <c r="P32" s="85" t="inlineStr">
        <is>
          <t>是</t>
        </is>
      </c>
      <c r="Q32" s="215" t="inlineStr">
        <is>
          <t>无</t>
        </is>
      </c>
      <c r="R32" s="243" t="inlineStr">
        <is>
          <t/>
        </is>
      </c>
    </row>
    <row r="33">
      <c r="A33" s="90" t="inlineStr">
        <is>
          <t>P005</t>
        </is>
      </c>
      <c r="B33" s="85" t="n">
        <v>5</v>
      </c>
      <c r="C33" s="85" t="n">
        <v>3</v>
      </c>
      <c r="D33" s="85" t="inlineStr">
        <is>
          <t>固定订书机</t>
        </is>
      </c>
      <c r="E33" s="85" t="inlineStr">
        <is>
          <t>方法A</t>
        </is>
      </c>
      <c r="F33" s="85" t="inlineStr">
        <is>
          <t>EgoAnchor</t>
        </is>
      </c>
      <c r="G33" s="85" t="n">
        <v>1</v>
      </c>
      <c r="H33" s="215"/>
      <c r="I33" s="267" t="inlineStr">
        <is>
          <t/>
        </is>
      </c>
      <c r="J33" s="215"/>
      <c r="K33" s="267" t="inlineStr">
        <is>
          <t/>
        </is>
      </c>
      <c r="L33" s="215"/>
      <c r="M33" s="267" t="inlineStr">
        <is>
          <t/>
        </is>
      </c>
      <c r="N33" s="129" t="str">
        <f>IF(COUNT(H33,J33,L33)=3,"完整","缺失")</f>
        <v>缺失</v>
      </c>
      <c r="O33" s="215" t="inlineStr">
        <is>
          <t>是</t>
        </is>
      </c>
      <c r="P33" s="85" t="inlineStr">
        <is>
          <t>是</t>
        </is>
      </c>
      <c r="Q33" s="215" t="inlineStr">
        <is>
          <t>无</t>
        </is>
      </c>
      <c r="R33" s="243" t="inlineStr">
        <is>
          <t/>
        </is>
      </c>
    </row>
    <row r="34">
      <c r="A34" s="90" t="inlineStr">
        <is>
          <t>P005</t>
        </is>
      </c>
      <c r="B34" s="85" t="n">
        <v>6</v>
      </c>
      <c r="C34" s="85" t="n">
        <v>3</v>
      </c>
      <c r="D34" s="85" t="inlineStr">
        <is>
          <t>固定订书机</t>
        </is>
      </c>
      <c r="E34" s="85" t="inlineStr">
        <is>
          <t>方法B</t>
        </is>
      </c>
      <c r="F34" s="85" t="inlineStr">
        <is>
          <t>One-Euro</t>
        </is>
      </c>
      <c r="G34" s="85" t="n">
        <v>2</v>
      </c>
      <c r="H34" s="215"/>
      <c r="I34" s="267" t="inlineStr">
        <is>
          <t/>
        </is>
      </c>
      <c r="J34" s="215"/>
      <c r="K34" s="267" t="inlineStr">
        <is>
          <t/>
        </is>
      </c>
      <c r="L34" s="215"/>
      <c r="M34" s="267" t="inlineStr">
        <is>
          <t/>
        </is>
      </c>
      <c r="N34" s="129" t="str">
        <f>IF(COUNT(H34,J34,L34)=3,"完整","缺失")</f>
        <v>缺失</v>
      </c>
      <c r="O34" s="215" t="inlineStr">
        <is>
          <t>是</t>
        </is>
      </c>
      <c r="P34" s="85" t="inlineStr">
        <is>
          <t>是</t>
        </is>
      </c>
      <c r="Q34" s="215" t="inlineStr">
        <is>
          <t>无</t>
        </is>
      </c>
      <c r="R34" s="243" t="inlineStr">
        <is>
          <t/>
        </is>
      </c>
    </row>
    <row r="35">
      <c r="A35" s="90" t="inlineStr">
        <is>
          <t>P006</t>
        </is>
      </c>
      <c r="B35" s="85" t="n">
        <v>1</v>
      </c>
      <c r="C35" s="85" t="n">
        <v>1</v>
      </c>
      <c r="D35" s="85" t="inlineStr">
        <is>
          <t>游戏手柄</t>
        </is>
      </c>
      <c r="E35" s="85" t="inlineStr">
        <is>
          <t>方法A</t>
        </is>
      </c>
      <c r="F35" s="85" t="inlineStr">
        <is>
          <t>EgoAnchor</t>
        </is>
      </c>
      <c r="G35" s="85" t="n">
        <v>1</v>
      </c>
      <c r="H35" s="215"/>
      <c r="I35" s="267" t="inlineStr">
        <is>
          <t/>
        </is>
      </c>
      <c r="J35" s="215"/>
      <c r="K35" s="267" t="inlineStr">
        <is>
          <t/>
        </is>
      </c>
      <c r="L35" s="215"/>
      <c r="M35" s="267" t="inlineStr">
        <is>
          <t/>
        </is>
      </c>
      <c r="N35" s="129" t="str">
        <f>IF(COUNT(H35,J35,L35)=3,"完整","缺失")</f>
        <v>缺失</v>
      </c>
      <c r="O35" s="215" t="inlineStr">
        <is>
          <t>是</t>
        </is>
      </c>
      <c r="P35" s="85" t="inlineStr">
        <is>
          <t>是</t>
        </is>
      </c>
      <c r="Q35" s="215" t="inlineStr">
        <is>
          <t>无</t>
        </is>
      </c>
      <c r="R35" s="243" t="inlineStr">
        <is>
          <t/>
        </is>
      </c>
    </row>
    <row r="36">
      <c r="A36" s="90" t="inlineStr">
        <is>
          <t>P006</t>
        </is>
      </c>
      <c r="B36" s="85" t="n">
        <v>2</v>
      </c>
      <c r="C36" s="85" t="n">
        <v>1</v>
      </c>
      <c r="D36" s="85" t="inlineStr">
        <is>
          <t>游戏手柄</t>
        </is>
      </c>
      <c r="E36" s="85" t="inlineStr">
        <is>
          <t>方法B</t>
        </is>
      </c>
      <c r="F36" s="85" t="inlineStr">
        <is>
          <t>One-Euro</t>
        </is>
      </c>
      <c r="G36" s="85" t="n">
        <v>2</v>
      </c>
      <c r="H36" s="215"/>
      <c r="I36" s="267" t="inlineStr">
        <is>
          <t/>
        </is>
      </c>
      <c r="J36" s="215"/>
      <c r="K36" s="267" t="inlineStr">
        <is>
          <t/>
        </is>
      </c>
      <c r="L36" s="215"/>
      <c r="M36" s="267" t="inlineStr">
        <is>
          <t/>
        </is>
      </c>
      <c r="N36" s="129" t="str">
        <f>IF(COUNT(H36,J36,L36)=3,"完整","缺失")</f>
        <v>缺失</v>
      </c>
      <c r="O36" s="215" t="inlineStr">
        <is>
          <t>是</t>
        </is>
      </c>
      <c r="P36" s="85" t="inlineStr">
        <is>
          <t>是</t>
        </is>
      </c>
      <c r="Q36" s="215" t="inlineStr">
        <is>
          <t>无</t>
        </is>
      </c>
      <c r="R36" s="243" t="inlineStr">
        <is>
          <t/>
        </is>
      </c>
    </row>
    <row r="37">
      <c r="A37" s="90" t="inlineStr">
        <is>
          <t>P006</t>
        </is>
      </c>
      <c r="B37" s="85" t="n">
        <v>3</v>
      </c>
      <c r="C37" s="85" t="n">
        <v>2</v>
      </c>
      <c r="D37" s="85" t="inlineStr">
        <is>
          <t>固定订书机</t>
        </is>
      </c>
      <c r="E37" s="85" t="inlineStr">
        <is>
          <t>方法B</t>
        </is>
      </c>
      <c r="F37" s="85" t="inlineStr">
        <is>
          <t>One-Euro</t>
        </is>
      </c>
      <c r="G37" s="85" t="n">
        <v>1</v>
      </c>
      <c r="H37" s="215"/>
      <c r="I37" s="267" t="inlineStr">
        <is>
          <t/>
        </is>
      </c>
      <c r="J37" s="215"/>
      <c r="K37" s="267" t="inlineStr">
        <is>
          <t/>
        </is>
      </c>
      <c r="L37" s="215"/>
      <c r="M37" s="267" t="inlineStr">
        <is>
          <t/>
        </is>
      </c>
      <c r="N37" s="129" t="str">
        <f>IF(COUNT(H37,J37,L37)=3,"完整","缺失")</f>
        <v>缺失</v>
      </c>
      <c r="O37" s="215" t="inlineStr">
        <is>
          <t>是</t>
        </is>
      </c>
      <c r="P37" s="85" t="inlineStr">
        <is>
          <t>是</t>
        </is>
      </c>
      <c r="Q37" s="215" t="inlineStr">
        <is>
          <t>无</t>
        </is>
      </c>
      <c r="R37" s="243" t="inlineStr">
        <is>
          <t/>
        </is>
      </c>
    </row>
    <row r="38">
      <c r="A38" s="90" t="inlineStr">
        <is>
          <t>P006</t>
        </is>
      </c>
      <c r="B38" s="85" t="n">
        <v>4</v>
      </c>
      <c r="C38" s="85" t="n">
        <v>2</v>
      </c>
      <c r="D38" s="85" t="inlineStr">
        <is>
          <t>固定订书机</t>
        </is>
      </c>
      <c r="E38" s="85" t="inlineStr">
        <is>
          <t>方法A</t>
        </is>
      </c>
      <c r="F38" s="85" t="inlineStr">
        <is>
          <t>EgoAnchor</t>
        </is>
      </c>
      <c r="G38" s="85" t="n">
        <v>2</v>
      </c>
      <c r="H38" s="215"/>
      <c r="I38" s="267" t="inlineStr">
        <is>
          <t/>
        </is>
      </c>
      <c r="J38" s="215"/>
      <c r="K38" s="267" t="inlineStr">
        <is>
          <t/>
        </is>
      </c>
      <c r="L38" s="215"/>
      <c r="M38" s="267" t="inlineStr">
        <is>
          <t/>
        </is>
      </c>
      <c r="N38" s="129" t="str">
        <f>IF(COUNT(H38,J38,L38)=3,"完整","缺失")</f>
        <v>缺失</v>
      </c>
      <c r="O38" s="215" t="inlineStr">
        <is>
          <t>是</t>
        </is>
      </c>
      <c r="P38" s="85" t="inlineStr">
        <is>
          <t>是</t>
        </is>
      </c>
      <c r="Q38" s="215" t="inlineStr">
        <is>
          <t>无</t>
        </is>
      </c>
      <c r="R38" s="243" t="inlineStr">
        <is>
          <t/>
        </is>
      </c>
    </row>
    <row r="39">
      <c r="A39" s="90" t="inlineStr">
        <is>
          <t>P006</t>
        </is>
      </c>
      <c r="B39" s="85" t="n">
        <v>5</v>
      </c>
      <c r="C39" s="85" t="n">
        <v>3</v>
      </c>
      <c r="D39" s="85" t="inlineStr">
        <is>
          <t>鼠标</t>
        </is>
      </c>
      <c r="E39" s="85" t="inlineStr">
        <is>
          <t>方法A</t>
        </is>
      </c>
      <c r="F39" s="85" t="inlineStr">
        <is>
          <t>EgoAnchor</t>
        </is>
      </c>
      <c r="G39" s="85" t="n">
        <v>1</v>
      </c>
      <c r="H39" s="215"/>
      <c r="I39" s="267" t="inlineStr">
        <is>
          <t/>
        </is>
      </c>
      <c r="J39" s="215"/>
      <c r="K39" s="267" t="inlineStr">
        <is>
          <t/>
        </is>
      </c>
      <c r="L39" s="215"/>
      <c r="M39" s="267" t="inlineStr">
        <is>
          <t/>
        </is>
      </c>
      <c r="N39" s="129" t="str">
        <f>IF(COUNT(H39,J39,L39)=3,"完整","缺失")</f>
        <v>缺失</v>
      </c>
      <c r="O39" s="215" t="inlineStr">
        <is>
          <t>是</t>
        </is>
      </c>
      <c r="P39" s="85" t="inlineStr">
        <is>
          <t>是</t>
        </is>
      </c>
      <c r="Q39" s="215" t="inlineStr">
        <is>
          <t>无</t>
        </is>
      </c>
      <c r="R39" s="243" t="inlineStr">
        <is>
          <t/>
        </is>
      </c>
    </row>
    <row r="40">
      <c r="A40" s="90" t="inlineStr">
        <is>
          <t>P006</t>
        </is>
      </c>
      <c r="B40" s="85" t="n">
        <v>6</v>
      </c>
      <c r="C40" s="85" t="n">
        <v>3</v>
      </c>
      <c r="D40" s="85" t="inlineStr">
        <is>
          <t>鼠标</t>
        </is>
      </c>
      <c r="E40" s="85" t="inlineStr">
        <is>
          <t>方法B</t>
        </is>
      </c>
      <c r="F40" s="85" t="inlineStr">
        <is>
          <t>One-Euro</t>
        </is>
      </c>
      <c r="G40" s="85" t="n">
        <v>2</v>
      </c>
      <c r="H40" s="215"/>
      <c r="I40" s="267" t="inlineStr">
        <is>
          <t/>
        </is>
      </c>
      <c r="J40" s="215"/>
      <c r="K40" s="267" t="inlineStr">
        <is>
          <t/>
        </is>
      </c>
      <c r="L40" s="215"/>
      <c r="M40" s="267" t="inlineStr">
        <is>
          <t/>
        </is>
      </c>
      <c r="N40" s="129" t="str">
        <f>IF(COUNT(H40,J40,L40)=3,"完整","缺失")</f>
        <v>缺失</v>
      </c>
      <c r="O40" s="215" t="inlineStr">
        <is>
          <t>是</t>
        </is>
      </c>
      <c r="P40" s="85" t="inlineStr">
        <is>
          <t>是</t>
        </is>
      </c>
      <c r="Q40" s="215" t="inlineStr">
        <is>
          <t>无</t>
        </is>
      </c>
      <c r="R40" s="243" t="inlineStr">
        <is>
          <t/>
        </is>
      </c>
    </row>
    <row r="41">
      <c r="A41" s="90" t="inlineStr">
        <is>
          <t>P007</t>
        </is>
      </c>
      <c r="B41" s="85" t="n">
        <v>1</v>
      </c>
      <c r="C41" s="85" t="n">
        <v>1</v>
      </c>
      <c r="D41" s="85" t="inlineStr">
        <is>
          <t>鼠标</t>
        </is>
      </c>
      <c r="E41" s="85" t="inlineStr">
        <is>
          <t>方法B</t>
        </is>
      </c>
      <c r="F41" s="85" t="inlineStr">
        <is>
          <t>One-Euro</t>
        </is>
      </c>
      <c r="G41" s="85" t="n">
        <v>1</v>
      </c>
      <c r="H41" s="215"/>
      <c r="I41" s="267" t="inlineStr">
        <is>
          <t/>
        </is>
      </c>
      <c r="J41" s="215"/>
      <c r="K41" s="267" t="inlineStr">
        <is>
          <t/>
        </is>
      </c>
      <c r="L41" s="215"/>
      <c r="M41" s="267" t="inlineStr">
        <is>
          <t/>
        </is>
      </c>
      <c r="N41" s="129" t="str">
        <f>IF(COUNT(H41,J41,L41)=3,"完整","缺失")</f>
        <v>缺失</v>
      </c>
      <c r="O41" s="215" t="inlineStr">
        <is>
          <t>是</t>
        </is>
      </c>
      <c r="P41" s="85" t="inlineStr">
        <is>
          <t>是</t>
        </is>
      </c>
      <c r="Q41" s="215" t="inlineStr">
        <is>
          <t>无</t>
        </is>
      </c>
      <c r="R41" s="243" t="inlineStr">
        <is>
          <t/>
        </is>
      </c>
    </row>
    <row r="42">
      <c r="A42" s="90" t="inlineStr">
        <is>
          <t>P007</t>
        </is>
      </c>
      <c r="B42" s="85" t="n">
        <v>2</v>
      </c>
      <c r="C42" s="85" t="n">
        <v>1</v>
      </c>
      <c r="D42" s="85" t="inlineStr">
        <is>
          <t>鼠标</t>
        </is>
      </c>
      <c r="E42" s="85" t="inlineStr">
        <is>
          <t>方法A</t>
        </is>
      </c>
      <c r="F42" s="85" t="inlineStr">
        <is>
          <t>EgoAnchor</t>
        </is>
      </c>
      <c r="G42" s="85" t="n">
        <v>2</v>
      </c>
      <c r="H42" s="215"/>
      <c r="I42" s="267" t="inlineStr">
        <is>
          <t/>
        </is>
      </c>
      <c r="J42" s="215"/>
      <c r="K42" s="267" t="inlineStr">
        <is>
          <t/>
        </is>
      </c>
      <c r="L42" s="215"/>
      <c r="M42" s="267" t="inlineStr">
        <is>
          <t/>
        </is>
      </c>
      <c r="N42" s="129" t="str">
        <f>IF(COUNT(H42,J42,L42)=3,"完整","缺失")</f>
        <v>缺失</v>
      </c>
      <c r="O42" s="215" t="inlineStr">
        <is>
          <t>是</t>
        </is>
      </c>
      <c r="P42" s="85" t="inlineStr">
        <is>
          <t>是</t>
        </is>
      </c>
      <c r="Q42" s="215" t="inlineStr">
        <is>
          <t>无</t>
        </is>
      </c>
      <c r="R42" s="243" t="inlineStr">
        <is>
          <t/>
        </is>
      </c>
    </row>
    <row r="43">
      <c r="A43" s="90" t="inlineStr">
        <is>
          <t>P007</t>
        </is>
      </c>
      <c r="B43" s="85" t="n">
        <v>3</v>
      </c>
      <c r="C43" s="85" t="n">
        <v>2</v>
      </c>
      <c r="D43" s="85" t="inlineStr">
        <is>
          <t>固定订书机</t>
        </is>
      </c>
      <c r="E43" s="85" t="inlineStr">
        <is>
          <t>方法A</t>
        </is>
      </c>
      <c r="F43" s="85" t="inlineStr">
        <is>
          <t>EgoAnchor</t>
        </is>
      </c>
      <c r="G43" s="85" t="n">
        <v>1</v>
      </c>
      <c r="H43" s="215"/>
      <c r="I43" s="267" t="inlineStr">
        <is>
          <t/>
        </is>
      </c>
      <c r="J43" s="215"/>
      <c r="K43" s="267" t="inlineStr">
        <is>
          <t/>
        </is>
      </c>
      <c r="L43" s="215"/>
      <c r="M43" s="267" t="inlineStr">
        <is>
          <t/>
        </is>
      </c>
      <c r="N43" s="129" t="str">
        <f>IF(COUNT(H43,J43,L43)=3,"完整","缺失")</f>
        <v>缺失</v>
      </c>
      <c r="O43" s="215" t="inlineStr">
        <is>
          <t>是</t>
        </is>
      </c>
      <c r="P43" s="85" t="inlineStr">
        <is>
          <t>是</t>
        </is>
      </c>
      <c r="Q43" s="215" t="inlineStr">
        <is>
          <t>无</t>
        </is>
      </c>
      <c r="R43" s="243" t="inlineStr">
        <is>
          <t/>
        </is>
      </c>
    </row>
    <row r="44">
      <c r="A44" s="90" t="inlineStr">
        <is>
          <t>P007</t>
        </is>
      </c>
      <c r="B44" s="85" t="n">
        <v>4</v>
      </c>
      <c r="C44" s="85" t="n">
        <v>2</v>
      </c>
      <c r="D44" s="85" t="inlineStr">
        <is>
          <t>固定订书机</t>
        </is>
      </c>
      <c r="E44" s="85" t="inlineStr">
        <is>
          <t>方法B</t>
        </is>
      </c>
      <c r="F44" s="85" t="inlineStr">
        <is>
          <t>One-Euro</t>
        </is>
      </c>
      <c r="G44" s="85" t="n">
        <v>2</v>
      </c>
      <c r="H44" s="215"/>
      <c r="I44" s="267" t="inlineStr">
        <is>
          <t/>
        </is>
      </c>
      <c r="J44" s="215"/>
      <c r="K44" s="267" t="inlineStr">
        <is>
          <t/>
        </is>
      </c>
      <c r="L44" s="215"/>
      <c r="M44" s="267" t="inlineStr">
        <is>
          <t/>
        </is>
      </c>
      <c r="N44" s="129" t="str">
        <f>IF(COUNT(H44,J44,L44)=3,"完整","缺失")</f>
        <v>缺失</v>
      </c>
      <c r="O44" s="215" t="inlineStr">
        <is>
          <t>是</t>
        </is>
      </c>
      <c r="P44" s="85" t="inlineStr">
        <is>
          <t>是</t>
        </is>
      </c>
      <c r="Q44" s="215" t="inlineStr">
        <is>
          <t>无</t>
        </is>
      </c>
      <c r="R44" s="243" t="inlineStr">
        <is>
          <t/>
        </is>
      </c>
    </row>
    <row r="45">
      <c r="A45" s="90" t="inlineStr">
        <is>
          <t>P007</t>
        </is>
      </c>
      <c r="B45" s="85" t="n">
        <v>5</v>
      </c>
      <c r="C45" s="85" t="n">
        <v>3</v>
      </c>
      <c r="D45" s="85" t="inlineStr">
        <is>
          <t>游戏手柄</t>
        </is>
      </c>
      <c r="E45" s="85" t="inlineStr">
        <is>
          <t>方法B</t>
        </is>
      </c>
      <c r="F45" s="85" t="inlineStr">
        <is>
          <t>One-Euro</t>
        </is>
      </c>
      <c r="G45" s="85" t="n">
        <v>1</v>
      </c>
      <c r="H45" s="215"/>
      <c r="I45" s="267" t="inlineStr">
        <is>
          <t/>
        </is>
      </c>
      <c r="J45" s="215"/>
      <c r="K45" s="267" t="inlineStr">
        <is>
          <t/>
        </is>
      </c>
      <c r="L45" s="215"/>
      <c r="M45" s="267" t="inlineStr">
        <is>
          <t/>
        </is>
      </c>
      <c r="N45" s="129" t="str">
        <f>IF(COUNT(H45,J45,L45)=3,"完整","缺失")</f>
        <v>缺失</v>
      </c>
      <c r="O45" s="215" t="inlineStr">
        <is>
          <t>是</t>
        </is>
      </c>
      <c r="P45" s="85" t="inlineStr">
        <is>
          <t>是</t>
        </is>
      </c>
      <c r="Q45" s="215" t="inlineStr">
        <is>
          <t>无</t>
        </is>
      </c>
      <c r="R45" s="243" t="inlineStr">
        <is>
          <t/>
        </is>
      </c>
    </row>
    <row r="46">
      <c r="A46" s="90" t="inlineStr">
        <is>
          <t>P007</t>
        </is>
      </c>
      <c r="B46" s="85" t="n">
        <v>6</v>
      </c>
      <c r="C46" s="85" t="n">
        <v>3</v>
      </c>
      <c r="D46" s="85" t="inlineStr">
        <is>
          <t>游戏手柄</t>
        </is>
      </c>
      <c r="E46" s="85" t="inlineStr">
        <is>
          <t>方法A</t>
        </is>
      </c>
      <c r="F46" s="85" t="inlineStr">
        <is>
          <t>EgoAnchor</t>
        </is>
      </c>
      <c r="G46" s="85" t="n">
        <v>2</v>
      </c>
      <c r="H46" s="215"/>
      <c r="I46" s="267" t="inlineStr">
        <is>
          <t/>
        </is>
      </c>
      <c r="J46" s="215"/>
      <c r="K46" s="267" t="inlineStr">
        <is>
          <t/>
        </is>
      </c>
      <c r="L46" s="215"/>
      <c r="M46" s="267" t="inlineStr">
        <is>
          <t/>
        </is>
      </c>
      <c r="N46" s="129" t="str">
        <f>IF(COUNT(H46,J46,L46)=3,"完整","缺失")</f>
        <v>缺失</v>
      </c>
      <c r="O46" s="215" t="inlineStr">
        <is>
          <t>是</t>
        </is>
      </c>
      <c r="P46" s="85" t="inlineStr">
        <is>
          <t>是</t>
        </is>
      </c>
      <c r="Q46" s="215" t="inlineStr">
        <is>
          <t>无</t>
        </is>
      </c>
      <c r="R46" s="243" t="inlineStr">
        <is>
          <t/>
        </is>
      </c>
    </row>
    <row r="47">
      <c r="A47" s="90" t="inlineStr">
        <is>
          <t>P008</t>
        </is>
      </c>
      <c r="B47" s="85" t="n">
        <v>1</v>
      </c>
      <c r="C47" s="85" t="n">
        <v>1</v>
      </c>
      <c r="D47" s="85" t="inlineStr">
        <is>
          <t>鼠标</t>
        </is>
      </c>
      <c r="E47" s="85" t="inlineStr">
        <is>
          <t>方法B</t>
        </is>
      </c>
      <c r="F47" s="85" t="inlineStr">
        <is>
          <t>One-Euro</t>
        </is>
      </c>
      <c r="G47" s="85" t="n">
        <v>1</v>
      </c>
      <c r="H47" s="215"/>
      <c r="I47" s="267" t="inlineStr">
        <is>
          <t/>
        </is>
      </c>
      <c r="J47" s="215"/>
      <c r="K47" s="267" t="inlineStr">
        <is>
          <t/>
        </is>
      </c>
      <c r="L47" s="215"/>
      <c r="M47" s="267" t="inlineStr">
        <is>
          <t/>
        </is>
      </c>
      <c r="N47" s="129" t="str">
        <f>IF(COUNT(H47,J47,L47)=3,"完整","缺失")</f>
        <v>缺失</v>
      </c>
      <c r="O47" s="215" t="inlineStr">
        <is>
          <t>是</t>
        </is>
      </c>
      <c r="P47" s="85" t="inlineStr">
        <is>
          <t>是</t>
        </is>
      </c>
      <c r="Q47" s="215" t="inlineStr">
        <is>
          <t>无</t>
        </is>
      </c>
      <c r="R47" s="243" t="inlineStr">
        <is>
          <t/>
        </is>
      </c>
    </row>
    <row r="48">
      <c r="A48" s="90" t="inlineStr">
        <is>
          <t>P008</t>
        </is>
      </c>
      <c r="B48" s="85" t="n">
        <v>2</v>
      </c>
      <c r="C48" s="85" t="n">
        <v>1</v>
      </c>
      <c r="D48" s="85" t="inlineStr">
        <is>
          <t>鼠标</t>
        </is>
      </c>
      <c r="E48" s="85" t="inlineStr">
        <is>
          <t>方法A</t>
        </is>
      </c>
      <c r="F48" s="85" t="inlineStr">
        <is>
          <t>EgoAnchor</t>
        </is>
      </c>
      <c r="G48" s="85" t="n">
        <v>2</v>
      </c>
      <c r="H48" s="215"/>
      <c r="I48" s="267" t="inlineStr">
        <is>
          <t/>
        </is>
      </c>
      <c r="J48" s="215"/>
      <c r="K48" s="267" t="inlineStr">
        <is>
          <t/>
        </is>
      </c>
      <c r="L48" s="215"/>
      <c r="M48" s="267" t="inlineStr">
        <is>
          <t/>
        </is>
      </c>
      <c r="N48" s="129" t="str">
        <f>IF(COUNT(H48,J48,L48)=3,"完整","缺失")</f>
        <v>缺失</v>
      </c>
      <c r="O48" s="215" t="inlineStr">
        <is>
          <t>是</t>
        </is>
      </c>
      <c r="P48" s="85" t="inlineStr">
        <is>
          <t>是</t>
        </is>
      </c>
      <c r="Q48" s="215" t="inlineStr">
        <is>
          <t>无</t>
        </is>
      </c>
      <c r="R48" s="243" t="inlineStr">
        <is>
          <t/>
        </is>
      </c>
    </row>
    <row r="49">
      <c r="A49" s="90" t="inlineStr">
        <is>
          <t>P008</t>
        </is>
      </c>
      <c r="B49" s="85" t="n">
        <v>3</v>
      </c>
      <c r="C49" s="85" t="n">
        <v>2</v>
      </c>
      <c r="D49" s="85" t="inlineStr">
        <is>
          <t>游戏手柄</t>
        </is>
      </c>
      <c r="E49" s="85" t="inlineStr">
        <is>
          <t>方法A</t>
        </is>
      </c>
      <c r="F49" s="85" t="inlineStr">
        <is>
          <t>EgoAnchor</t>
        </is>
      </c>
      <c r="G49" s="85" t="n">
        <v>1</v>
      </c>
      <c r="H49" s="215"/>
      <c r="I49" s="267" t="inlineStr">
        <is>
          <t/>
        </is>
      </c>
      <c r="J49" s="215"/>
      <c r="K49" s="267" t="inlineStr">
        <is>
          <t/>
        </is>
      </c>
      <c r="L49" s="215"/>
      <c r="M49" s="267" t="inlineStr">
        <is>
          <t/>
        </is>
      </c>
      <c r="N49" s="129" t="str">
        <f>IF(COUNT(H49,J49,L49)=3,"完整","缺失")</f>
        <v>缺失</v>
      </c>
      <c r="O49" s="215" t="inlineStr">
        <is>
          <t>是</t>
        </is>
      </c>
      <c r="P49" s="85" t="inlineStr">
        <is>
          <t>是</t>
        </is>
      </c>
      <c r="Q49" s="215" t="inlineStr">
        <is>
          <t>无</t>
        </is>
      </c>
      <c r="R49" s="243" t="inlineStr">
        <is>
          <t/>
        </is>
      </c>
    </row>
    <row r="50">
      <c r="A50" s="90" t="inlineStr">
        <is>
          <t>P008</t>
        </is>
      </c>
      <c r="B50" s="85" t="n">
        <v>4</v>
      </c>
      <c r="C50" s="85" t="n">
        <v>2</v>
      </c>
      <c r="D50" s="85" t="inlineStr">
        <is>
          <t>游戏手柄</t>
        </is>
      </c>
      <c r="E50" s="85" t="inlineStr">
        <is>
          <t>方法B</t>
        </is>
      </c>
      <c r="F50" s="85" t="inlineStr">
        <is>
          <t>One-Euro</t>
        </is>
      </c>
      <c r="G50" s="85" t="n">
        <v>2</v>
      </c>
      <c r="H50" s="215"/>
      <c r="I50" s="267" t="inlineStr">
        <is>
          <t/>
        </is>
      </c>
      <c r="J50" s="215"/>
      <c r="K50" s="267" t="inlineStr">
        <is>
          <t/>
        </is>
      </c>
      <c r="L50" s="215"/>
      <c r="M50" s="267" t="inlineStr">
        <is>
          <t/>
        </is>
      </c>
      <c r="N50" s="129" t="str">
        <f>IF(COUNT(H50,J50,L50)=3,"完整","缺失")</f>
        <v>缺失</v>
      </c>
      <c r="O50" s="215" t="inlineStr">
        <is>
          <t>是</t>
        </is>
      </c>
      <c r="P50" s="85" t="inlineStr">
        <is>
          <t>是</t>
        </is>
      </c>
      <c r="Q50" s="215" t="inlineStr">
        <is>
          <t>无</t>
        </is>
      </c>
      <c r="R50" s="243" t="inlineStr">
        <is>
          <t/>
        </is>
      </c>
    </row>
    <row r="51">
      <c r="A51" s="90" t="inlineStr">
        <is>
          <t>P008</t>
        </is>
      </c>
      <c r="B51" s="85" t="n">
        <v>5</v>
      </c>
      <c r="C51" s="85" t="n">
        <v>3</v>
      </c>
      <c r="D51" s="85" t="inlineStr">
        <is>
          <t>固定订书机</t>
        </is>
      </c>
      <c r="E51" s="85" t="inlineStr">
        <is>
          <t>方法B</t>
        </is>
      </c>
      <c r="F51" s="85" t="inlineStr">
        <is>
          <t>One-Euro</t>
        </is>
      </c>
      <c r="G51" s="85" t="n">
        <v>1</v>
      </c>
      <c r="H51" s="215"/>
      <c r="I51" s="267" t="inlineStr">
        <is>
          <t/>
        </is>
      </c>
      <c r="J51" s="215"/>
      <c r="K51" s="267" t="inlineStr">
        <is>
          <t/>
        </is>
      </c>
      <c r="L51" s="215"/>
      <c r="M51" s="267" t="inlineStr">
        <is>
          <t/>
        </is>
      </c>
      <c r="N51" s="129" t="str">
        <f>IF(COUNT(H51,J51,L51)=3,"完整","缺失")</f>
        <v>缺失</v>
      </c>
      <c r="O51" s="215" t="inlineStr">
        <is>
          <t>是</t>
        </is>
      </c>
      <c r="P51" s="85" t="inlineStr">
        <is>
          <t>是</t>
        </is>
      </c>
      <c r="Q51" s="215" t="inlineStr">
        <is>
          <t>无</t>
        </is>
      </c>
      <c r="R51" s="243" t="inlineStr">
        <is>
          <t/>
        </is>
      </c>
    </row>
    <row r="52">
      <c r="A52" s="90" t="inlineStr">
        <is>
          <t>P008</t>
        </is>
      </c>
      <c r="B52" s="85" t="n">
        <v>6</v>
      </c>
      <c r="C52" s="85" t="n">
        <v>3</v>
      </c>
      <c r="D52" s="85" t="inlineStr">
        <is>
          <t>固定订书机</t>
        </is>
      </c>
      <c r="E52" s="85" t="inlineStr">
        <is>
          <t>方法A</t>
        </is>
      </c>
      <c r="F52" s="85" t="inlineStr">
        <is>
          <t>EgoAnchor</t>
        </is>
      </c>
      <c r="G52" s="85" t="n">
        <v>2</v>
      </c>
      <c r="H52" s="215"/>
      <c r="I52" s="267" t="inlineStr">
        <is>
          <t/>
        </is>
      </c>
      <c r="J52" s="215"/>
      <c r="K52" s="267" t="inlineStr">
        <is>
          <t/>
        </is>
      </c>
      <c r="L52" s="215"/>
      <c r="M52" s="267" t="inlineStr">
        <is>
          <t/>
        </is>
      </c>
      <c r="N52" s="129" t="str">
        <f>IF(COUNT(H52,J52,L52)=3,"完整","缺失")</f>
        <v>缺失</v>
      </c>
      <c r="O52" s="215" t="inlineStr">
        <is>
          <t>是</t>
        </is>
      </c>
      <c r="P52" s="85" t="inlineStr">
        <is>
          <t>是</t>
        </is>
      </c>
      <c r="Q52" s="215" t="inlineStr">
        <is>
          <t>无</t>
        </is>
      </c>
      <c r="R52" s="243" t="inlineStr">
        <is>
          <t/>
        </is>
      </c>
    </row>
    <row r="53">
      <c r="A53" s="90" t="inlineStr">
        <is>
          <t>P009</t>
        </is>
      </c>
      <c r="B53" s="85" t="n">
        <v>1</v>
      </c>
      <c r="C53" s="85" t="n">
        <v>1</v>
      </c>
      <c r="D53" s="85" t="inlineStr">
        <is>
          <t>固定订书机</t>
        </is>
      </c>
      <c r="E53" s="85" t="inlineStr">
        <is>
          <t>方法B</t>
        </is>
      </c>
      <c r="F53" s="85" t="inlineStr">
        <is>
          <t>One-Euro</t>
        </is>
      </c>
      <c r="G53" s="85" t="n">
        <v>1</v>
      </c>
      <c r="H53" s="215"/>
      <c r="I53" s="267" t="inlineStr">
        <is>
          <t/>
        </is>
      </c>
      <c r="J53" s="215"/>
      <c r="K53" s="267" t="inlineStr">
        <is>
          <t/>
        </is>
      </c>
      <c r="L53" s="215"/>
      <c r="M53" s="267" t="inlineStr">
        <is>
          <t/>
        </is>
      </c>
      <c r="N53" s="129" t="str">
        <f>IF(COUNT(H53,J53,L53)=3,"完整","缺失")</f>
        <v>缺失</v>
      </c>
      <c r="O53" s="215" t="inlineStr">
        <is>
          <t>是</t>
        </is>
      </c>
      <c r="P53" s="85" t="inlineStr">
        <is>
          <t>是</t>
        </is>
      </c>
      <c r="Q53" s="215" t="inlineStr">
        <is>
          <t>无</t>
        </is>
      </c>
      <c r="R53" s="243" t="inlineStr">
        <is>
          <t/>
        </is>
      </c>
    </row>
    <row r="54">
      <c r="A54" s="90" t="inlineStr">
        <is>
          <t>P009</t>
        </is>
      </c>
      <c r="B54" s="85" t="n">
        <v>2</v>
      </c>
      <c r="C54" s="85" t="n">
        <v>1</v>
      </c>
      <c r="D54" s="85" t="inlineStr">
        <is>
          <t>固定订书机</t>
        </is>
      </c>
      <c r="E54" s="85" t="inlineStr">
        <is>
          <t>方法A</t>
        </is>
      </c>
      <c r="F54" s="85" t="inlineStr">
        <is>
          <t>EgoAnchor</t>
        </is>
      </c>
      <c r="G54" s="85" t="n">
        <v>2</v>
      </c>
      <c r="H54" s="215"/>
      <c r="I54" s="267" t="inlineStr">
        <is>
          <t/>
        </is>
      </c>
      <c r="J54" s="215"/>
      <c r="K54" s="267" t="inlineStr">
        <is>
          <t/>
        </is>
      </c>
      <c r="L54" s="215"/>
      <c r="M54" s="267" t="inlineStr">
        <is>
          <t/>
        </is>
      </c>
      <c r="N54" s="129" t="str">
        <f>IF(COUNT(H54,J54,L54)=3,"完整","缺失")</f>
        <v>缺失</v>
      </c>
      <c r="O54" s="215" t="inlineStr">
        <is>
          <t>是</t>
        </is>
      </c>
      <c r="P54" s="85" t="inlineStr">
        <is>
          <t>是</t>
        </is>
      </c>
      <c r="Q54" s="215" t="inlineStr">
        <is>
          <t>无</t>
        </is>
      </c>
      <c r="R54" s="243" t="inlineStr">
        <is>
          <t/>
        </is>
      </c>
    </row>
    <row r="55">
      <c r="A55" s="90" t="inlineStr">
        <is>
          <t>P009</t>
        </is>
      </c>
      <c r="B55" s="85" t="n">
        <v>3</v>
      </c>
      <c r="C55" s="85" t="n">
        <v>2</v>
      </c>
      <c r="D55" s="85" t="inlineStr">
        <is>
          <t>鼠标</t>
        </is>
      </c>
      <c r="E55" s="85" t="inlineStr">
        <is>
          <t>方法A</t>
        </is>
      </c>
      <c r="F55" s="85" t="inlineStr">
        <is>
          <t>EgoAnchor</t>
        </is>
      </c>
      <c r="G55" s="85" t="n">
        <v>1</v>
      </c>
      <c r="H55" s="215"/>
      <c r="I55" s="267" t="inlineStr">
        <is>
          <t/>
        </is>
      </c>
      <c r="J55" s="215"/>
      <c r="K55" s="267" t="inlineStr">
        <is>
          <t/>
        </is>
      </c>
      <c r="L55" s="215"/>
      <c r="M55" s="267" t="inlineStr">
        <is>
          <t/>
        </is>
      </c>
      <c r="N55" s="129" t="str">
        <f>IF(COUNT(H55,J55,L55)=3,"完整","缺失")</f>
        <v>缺失</v>
      </c>
      <c r="O55" s="215" t="inlineStr">
        <is>
          <t>是</t>
        </is>
      </c>
      <c r="P55" s="85" t="inlineStr">
        <is>
          <t>是</t>
        </is>
      </c>
      <c r="Q55" s="215" t="inlineStr">
        <is>
          <t>无</t>
        </is>
      </c>
      <c r="R55" s="243" t="inlineStr">
        <is>
          <t/>
        </is>
      </c>
    </row>
    <row r="56">
      <c r="A56" s="90" t="inlineStr">
        <is>
          <t>P009</t>
        </is>
      </c>
      <c r="B56" s="85" t="n">
        <v>4</v>
      </c>
      <c r="C56" s="85" t="n">
        <v>2</v>
      </c>
      <c r="D56" s="85" t="inlineStr">
        <is>
          <t>鼠标</t>
        </is>
      </c>
      <c r="E56" s="85" t="inlineStr">
        <is>
          <t>方法B</t>
        </is>
      </c>
      <c r="F56" s="85" t="inlineStr">
        <is>
          <t>One-Euro</t>
        </is>
      </c>
      <c r="G56" s="85" t="n">
        <v>2</v>
      </c>
      <c r="H56" s="215"/>
      <c r="I56" s="267" t="inlineStr">
        <is>
          <t/>
        </is>
      </c>
      <c r="J56" s="215"/>
      <c r="K56" s="267" t="inlineStr">
        <is>
          <t/>
        </is>
      </c>
      <c r="L56" s="215"/>
      <c r="M56" s="267" t="inlineStr">
        <is>
          <t/>
        </is>
      </c>
      <c r="N56" s="129" t="str">
        <f>IF(COUNT(H56,J56,L56)=3,"完整","缺失")</f>
        <v>缺失</v>
      </c>
      <c r="O56" s="215" t="inlineStr">
        <is>
          <t>是</t>
        </is>
      </c>
      <c r="P56" s="85" t="inlineStr">
        <is>
          <t>是</t>
        </is>
      </c>
      <c r="Q56" s="215" t="inlineStr">
        <is>
          <t>无</t>
        </is>
      </c>
      <c r="R56" s="243" t="inlineStr">
        <is>
          <t/>
        </is>
      </c>
    </row>
    <row r="57">
      <c r="A57" s="90" t="inlineStr">
        <is>
          <t>P009</t>
        </is>
      </c>
      <c r="B57" s="85" t="n">
        <v>5</v>
      </c>
      <c r="C57" s="85" t="n">
        <v>3</v>
      </c>
      <c r="D57" s="85" t="inlineStr">
        <is>
          <t>游戏手柄</t>
        </is>
      </c>
      <c r="E57" s="85" t="inlineStr">
        <is>
          <t>方法B</t>
        </is>
      </c>
      <c r="F57" s="85" t="inlineStr">
        <is>
          <t>One-Euro</t>
        </is>
      </c>
      <c r="G57" s="85" t="n">
        <v>1</v>
      </c>
      <c r="H57" s="215"/>
      <c r="I57" s="267" t="inlineStr">
        <is>
          <t/>
        </is>
      </c>
      <c r="J57" s="215"/>
      <c r="K57" s="267" t="inlineStr">
        <is>
          <t/>
        </is>
      </c>
      <c r="L57" s="215"/>
      <c r="M57" s="267" t="inlineStr">
        <is>
          <t/>
        </is>
      </c>
      <c r="N57" s="129" t="str">
        <f>IF(COUNT(H57,J57,L57)=3,"完整","缺失")</f>
        <v>缺失</v>
      </c>
      <c r="O57" s="215" t="inlineStr">
        <is>
          <t>是</t>
        </is>
      </c>
      <c r="P57" s="85" t="inlineStr">
        <is>
          <t>是</t>
        </is>
      </c>
      <c r="Q57" s="215" t="inlineStr">
        <is>
          <t>无</t>
        </is>
      </c>
      <c r="R57" s="243" t="inlineStr">
        <is>
          <t/>
        </is>
      </c>
    </row>
    <row r="58">
      <c r="A58" s="90" t="inlineStr">
        <is>
          <t>P009</t>
        </is>
      </c>
      <c r="B58" s="85" t="n">
        <v>6</v>
      </c>
      <c r="C58" s="85" t="n">
        <v>3</v>
      </c>
      <c r="D58" s="85" t="inlineStr">
        <is>
          <t>游戏手柄</t>
        </is>
      </c>
      <c r="E58" s="85" t="inlineStr">
        <is>
          <t>方法A</t>
        </is>
      </c>
      <c r="F58" s="85" t="inlineStr">
        <is>
          <t>EgoAnchor</t>
        </is>
      </c>
      <c r="G58" s="85" t="n">
        <v>2</v>
      </c>
      <c r="H58" s="215"/>
      <c r="I58" s="267" t="inlineStr">
        <is>
          <t/>
        </is>
      </c>
      <c r="J58" s="215"/>
      <c r="K58" s="267" t="inlineStr">
        <is>
          <t/>
        </is>
      </c>
      <c r="L58" s="215"/>
      <c r="M58" s="267" t="inlineStr">
        <is>
          <t/>
        </is>
      </c>
      <c r="N58" s="129" t="str">
        <f>IF(COUNT(H58,J58,L58)=3,"完整","缺失")</f>
        <v>缺失</v>
      </c>
      <c r="O58" s="215" t="inlineStr">
        <is>
          <t>是</t>
        </is>
      </c>
      <c r="P58" s="85" t="inlineStr">
        <is>
          <t>是</t>
        </is>
      </c>
      <c r="Q58" s="215" t="inlineStr">
        <is>
          <t>无</t>
        </is>
      </c>
      <c r="R58" s="243" t="inlineStr">
        <is>
          <t/>
        </is>
      </c>
    </row>
    <row r="59">
      <c r="A59" s="90" t="inlineStr">
        <is>
          <t>P010</t>
        </is>
      </c>
      <c r="B59" s="85" t="n">
        <v>1</v>
      </c>
      <c r="C59" s="85" t="n">
        <v>1</v>
      </c>
      <c r="D59" s="85" t="inlineStr">
        <is>
          <t>固定订书机</t>
        </is>
      </c>
      <c r="E59" s="85" t="inlineStr">
        <is>
          <t>方法B</t>
        </is>
      </c>
      <c r="F59" s="85" t="inlineStr">
        <is>
          <t>One-Euro</t>
        </is>
      </c>
      <c r="G59" s="85" t="n">
        <v>1</v>
      </c>
      <c r="H59" s="215"/>
      <c r="I59" s="267" t="inlineStr">
        <is>
          <t/>
        </is>
      </c>
      <c r="J59" s="215"/>
      <c r="K59" s="267" t="inlineStr">
        <is>
          <t/>
        </is>
      </c>
      <c r="L59" s="215"/>
      <c r="M59" s="267" t="inlineStr">
        <is>
          <t/>
        </is>
      </c>
      <c r="N59" s="129" t="str">
        <f>IF(COUNT(H59,J59,L59)=3,"完整","缺失")</f>
        <v>缺失</v>
      </c>
      <c r="O59" s="215" t="inlineStr">
        <is>
          <t>是</t>
        </is>
      </c>
      <c r="P59" s="85" t="inlineStr">
        <is>
          <t>是</t>
        </is>
      </c>
      <c r="Q59" s="215" t="inlineStr">
        <is>
          <t>无</t>
        </is>
      </c>
      <c r="R59" s="243" t="inlineStr">
        <is>
          <t/>
        </is>
      </c>
    </row>
    <row r="60">
      <c r="A60" s="90" t="inlineStr">
        <is>
          <t>P010</t>
        </is>
      </c>
      <c r="B60" s="85" t="n">
        <v>2</v>
      </c>
      <c r="C60" s="85" t="n">
        <v>1</v>
      </c>
      <c r="D60" s="85" t="inlineStr">
        <is>
          <t>固定订书机</t>
        </is>
      </c>
      <c r="E60" s="85" t="inlineStr">
        <is>
          <t>方法A</t>
        </is>
      </c>
      <c r="F60" s="85" t="inlineStr">
        <is>
          <t>EgoAnchor</t>
        </is>
      </c>
      <c r="G60" s="85" t="n">
        <v>2</v>
      </c>
      <c r="H60" s="215"/>
      <c r="I60" s="267" t="inlineStr">
        <is>
          <t/>
        </is>
      </c>
      <c r="J60" s="215"/>
      <c r="K60" s="267" t="inlineStr">
        <is>
          <t/>
        </is>
      </c>
      <c r="L60" s="215"/>
      <c r="M60" s="267" t="inlineStr">
        <is>
          <t/>
        </is>
      </c>
      <c r="N60" s="129" t="str">
        <f>IF(COUNT(H60,J60,L60)=3,"完整","缺失")</f>
        <v>缺失</v>
      </c>
      <c r="O60" s="215" t="inlineStr">
        <is>
          <t>是</t>
        </is>
      </c>
      <c r="P60" s="85" t="inlineStr">
        <is>
          <t>是</t>
        </is>
      </c>
      <c r="Q60" s="215" t="inlineStr">
        <is>
          <t>无</t>
        </is>
      </c>
      <c r="R60" s="243" t="inlineStr">
        <is>
          <t/>
        </is>
      </c>
    </row>
    <row r="61">
      <c r="A61" s="90" t="inlineStr">
        <is>
          <t>P010</t>
        </is>
      </c>
      <c r="B61" s="85" t="n">
        <v>3</v>
      </c>
      <c r="C61" s="85" t="n">
        <v>2</v>
      </c>
      <c r="D61" s="85" t="inlineStr">
        <is>
          <t>游戏手柄</t>
        </is>
      </c>
      <c r="E61" s="85" t="inlineStr">
        <is>
          <t>方法A</t>
        </is>
      </c>
      <c r="F61" s="85" t="inlineStr">
        <is>
          <t>EgoAnchor</t>
        </is>
      </c>
      <c r="G61" s="85" t="n">
        <v>1</v>
      </c>
      <c r="H61" s="215"/>
      <c r="I61" s="267" t="inlineStr">
        <is>
          <t/>
        </is>
      </c>
      <c r="J61" s="215"/>
      <c r="K61" s="267" t="inlineStr">
        <is>
          <t/>
        </is>
      </c>
      <c r="L61" s="215"/>
      <c r="M61" s="267" t="inlineStr">
        <is>
          <t/>
        </is>
      </c>
      <c r="N61" s="129" t="str">
        <f>IF(COUNT(H61,J61,L61)=3,"完整","缺失")</f>
        <v>缺失</v>
      </c>
      <c r="O61" s="215" t="inlineStr">
        <is>
          <t>是</t>
        </is>
      </c>
      <c r="P61" s="85" t="inlineStr">
        <is>
          <t>是</t>
        </is>
      </c>
      <c r="Q61" s="215" t="inlineStr">
        <is>
          <t>无</t>
        </is>
      </c>
      <c r="R61" s="243" t="inlineStr">
        <is>
          <t/>
        </is>
      </c>
    </row>
    <row r="62">
      <c r="A62" s="90" t="inlineStr">
        <is>
          <t>P010</t>
        </is>
      </c>
      <c r="B62" s="85" t="n">
        <v>4</v>
      </c>
      <c r="C62" s="85" t="n">
        <v>2</v>
      </c>
      <c r="D62" s="85" t="inlineStr">
        <is>
          <t>游戏手柄</t>
        </is>
      </c>
      <c r="E62" s="85" t="inlineStr">
        <is>
          <t>方法B</t>
        </is>
      </c>
      <c r="F62" s="85" t="inlineStr">
        <is>
          <t>One-Euro</t>
        </is>
      </c>
      <c r="G62" s="85" t="n">
        <v>2</v>
      </c>
      <c r="H62" s="215"/>
      <c r="I62" s="267" t="inlineStr">
        <is>
          <t/>
        </is>
      </c>
      <c r="J62" s="215"/>
      <c r="K62" s="267" t="inlineStr">
        <is>
          <t/>
        </is>
      </c>
      <c r="L62" s="215"/>
      <c r="M62" s="267" t="inlineStr">
        <is>
          <t/>
        </is>
      </c>
      <c r="N62" s="129" t="str">
        <f>IF(COUNT(H62,J62,L62)=3,"完整","缺失")</f>
        <v>缺失</v>
      </c>
      <c r="O62" s="215" t="inlineStr">
        <is>
          <t>是</t>
        </is>
      </c>
      <c r="P62" s="85" t="inlineStr">
        <is>
          <t>是</t>
        </is>
      </c>
      <c r="Q62" s="215" t="inlineStr">
        <is>
          <t>无</t>
        </is>
      </c>
      <c r="R62" s="243" t="inlineStr">
        <is>
          <t/>
        </is>
      </c>
    </row>
    <row r="63">
      <c r="A63" s="90" t="inlineStr">
        <is>
          <t>P010</t>
        </is>
      </c>
      <c r="B63" s="85" t="n">
        <v>5</v>
      </c>
      <c r="C63" s="85" t="n">
        <v>3</v>
      </c>
      <c r="D63" s="85" t="inlineStr">
        <is>
          <t>鼠标</t>
        </is>
      </c>
      <c r="E63" s="85" t="inlineStr">
        <is>
          <t>方法B</t>
        </is>
      </c>
      <c r="F63" s="85" t="inlineStr">
        <is>
          <t>One-Euro</t>
        </is>
      </c>
      <c r="G63" s="85" t="n">
        <v>1</v>
      </c>
      <c r="H63" s="215"/>
      <c r="I63" s="267" t="inlineStr">
        <is>
          <t/>
        </is>
      </c>
      <c r="J63" s="215"/>
      <c r="K63" s="267" t="inlineStr">
        <is>
          <t/>
        </is>
      </c>
      <c r="L63" s="215"/>
      <c r="M63" s="267" t="inlineStr">
        <is>
          <t/>
        </is>
      </c>
      <c r="N63" s="129" t="str">
        <f>IF(COUNT(H63,J63,L63)=3,"完整","缺失")</f>
        <v>缺失</v>
      </c>
      <c r="O63" s="215" t="inlineStr">
        <is>
          <t>是</t>
        </is>
      </c>
      <c r="P63" s="85" t="inlineStr">
        <is>
          <t>是</t>
        </is>
      </c>
      <c r="Q63" s="215" t="inlineStr">
        <is>
          <t>无</t>
        </is>
      </c>
      <c r="R63" s="243" t="inlineStr">
        <is>
          <t/>
        </is>
      </c>
    </row>
    <row r="64">
      <c r="A64" s="90" t="inlineStr">
        <is>
          <t>P010</t>
        </is>
      </c>
      <c r="B64" s="85" t="n">
        <v>6</v>
      </c>
      <c r="C64" s="85" t="n">
        <v>3</v>
      </c>
      <c r="D64" s="85" t="inlineStr">
        <is>
          <t>鼠标</t>
        </is>
      </c>
      <c r="E64" s="85" t="inlineStr">
        <is>
          <t>方法A</t>
        </is>
      </c>
      <c r="F64" s="85" t="inlineStr">
        <is>
          <t>EgoAnchor</t>
        </is>
      </c>
      <c r="G64" s="85" t="n">
        <v>2</v>
      </c>
      <c r="H64" s="215"/>
      <c r="I64" s="267" t="inlineStr">
        <is>
          <t/>
        </is>
      </c>
      <c r="J64" s="215"/>
      <c r="K64" s="267" t="inlineStr">
        <is>
          <t/>
        </is>
      </c>
      <c r="L64" s="215"/>
      <c r="M64" s="267" t="inlineStr">
        <is>
          <t/>
        </is>
      </c>
      <c r="N64" s="129" t="str">
        <f>IF(COUNT(H64,J64,L64)=3,"完整","缺失")</f>
        <v>缺失</v>
      </c>
      <c r="O64" s="215" t="inlineStr">
        <is>
          <t>是</t>
        </is>
      </c>
      <c r="P64" s="85" t="inlineStr">
        <is>
          <t>是</t>
        </is>
      </c>
      <c r="Q64" s="215" t="inlineStr">
        <is>
          <t>无</t>
        </is>
      </c>
      <c r="R64" s="243" t="inlineStr">
        <is>
          <t/>
        </is>
      </c>
    </row>
    <row r="65">
      <c r="A65" s="90" t="inlineStr">
        <is>
          <t>P011</t>
        </is>
      </c>
      <c r="B65" s="85" t="n">
        <v>1</v>
      </c>
      <c r="C65" s="85" t="n">
        <v>1</v>
      </c>
      <c r="D65" s="85" t="inlineStr">
        <is>
          <t>游戏手柄</t>
        </is>
      </c>
      <c r="E65" s="85" t="inlineStr">
        <is>
          <t>方法B</t>
        </is>
      </c>
      <c r="F65" s="85" t="inlineStr">
        <is>
          <t>One-Euro</t>
        </is>
      </c>
      <c r="G65" s="85" t="n">
        <v>1</v>
      </c>
      <c r="H65" s="215"/>
      <c r="I65" s="267" t="inlineStr">
        <is>
          <t/>
        </is>
      </c>
      <c r="J65" s="215"/>
      <c r="K65" s="267" t="inlineStr">
        <is>
          <t/>
        </is>
      </c>
      <c r="L65" s="215"/>
      <c r="M65" s="267" t="inlineStr">
        <is>
          <t/>
        </is>
      </c>
      <c r="N65" s="129" t="str">
        <f>IF(COUNT(H65,J65,L65)=3,"完整","缺失")</f>
        <v>缺失</v>
      </c>
      <c r="O65" s="215" t="inlineStr">
        <is>
          <t>是</t>
        </is>
      </c>
      <c r="P65" s="85" t="inlineStr">
        <is>
          <t>是</t>
        </is>
      </c>
      <c r="Q65" s="215" t="inlineStr">
        <is>
          <t>无</t>
        </is>
      </c>
      <c r="R65" s="243" t="inlineStr">
        <is>
          <t/>
        </is>
      </c>
    </row>
    <row r="66">
      <c r="A66" s="90" t="inlineStr">
        <is>
          <t>P011</t>
        </is>
      </c>
      <c r="B66" s="85" t="n">
        <v>2</v>
      </c>
      <c r="C66" s="85" t="n">
        <v>1</v>
      </c>
      <c r="D66" s="85" t="inlineStr">
        <is>
          <t>游戏手柄</t>
        </is>
      </c>
      <c r="E66" s="85" t="inlineStr">
        <is>
          <t>方法A</t>
        </is>
      </c>
      <c r="F66" s="85" t="inlineStr">
        <is>
          <t>EgoAnchor</t>
        </is>
      </c>
      <c r="G66" s="85" t="n">
        <v>2</v>
      </c>
      <c r="H66" s="215"/>
      <c r="I66" s="267" t="inlineStr">
        <is>
          <t/>
        </is>
      </c>
      <c r="J66" s="215"/>
      <c r="K66" s="267" t="inlineStr">
        <is>
          <t/>
        </is>
      </c>
      <c r="L66" s="215"/>
      <c r="M66" s="267" t="inlineStr">
        <is>
          <t/>
        </is>
      </c>
      <c r="N66" s="129" t="str">
        <f>IF(COUNT(H66,J66,L66)=3,"完整","缺失")</f>
        <v>缺失</v>
      </c>
      <c r="O66" s="215" t="inlineStr">
        <is>
          <t>是</t>
        </is>
      </c>
      <c r="P66" s="85" t="inlineStr">
        <is>
          <t>是</t>
        </is>
      </c>
      <c r="Q66" s="215" t="inlineStr">
        <is>
          <t>无</t>
        </is>
      </c>
      <c r="R66" s="243" t="inlineStr">
        <is>
          <t/>
        </is>
      </c>
    </row>
    <row r="67">
      <c r="A67" s="90" t="inlineStr">
        <is>
          <t>P011</t>
        </is>
      </c>
      <c r="B67" s="85" t="n">
        <v>3</v>
      </c>
      <c r="C67" s="85" t="n">
        <v>2</v>
      </c>
      <c r="D67" s="85" t="inlineStr">
        <is>
          <t>鼠标</t>
        </is>
      </c>
      <c r="E67" s="85" t="inlineStr">
        <is>
          <t>方法A</t>
        </is>
      </c>
      <c r="F67" s="85" t="inlineStr">
        <is>
          <t>EgoAnchor</t>
        </is>
      </c>
      <c r="G67" s="85" t="n">
        <v>1</v>
      </c>
      <c r="H67" s="215"/>
      <c r="I67" s="267" t="inlineStr">
        <is>
          <t/>
        </is>
      </c>
      <c r="J67" s="215"/>
      <c r="K67" s="267" t="inlineStr">
        <is>
          <t/>
        </is>
      </c>
      <c r="L67" s="215"/>
      <c r="M67" s="267" t="inlineStr">
        <is>
          <t/>
        </is>
      </c>
      <c r="N67" s="129" t="str">
        <f>IF(COUNT(H67,J67,L67)=3,"完整","缺失")</f>
        <v>缺失</v>
      </c>
      <c r="O67" s="215" t="inlineStr">
        <is>
          <t>是</t>
        </is>
      </c>
      <c r="P67" s="85" t="inlineStr">
        <is>
          <t>是</t>
        </is>
      </c>
      <c r="Q67" s="215" t="inlineStr">
        <is>
          <t>无</t>
        </is>
      </c>
      <c r="R67" s="243" t="inlineStr">
        <is>
          <t/>
        </is>
      </c>
    </row>
    <row r="68">
      <c r="A68" s="90" t="inlineStr">
        <is>
          <t>P011</t>
        </is>
      </c>
      <c r="B68" s="85" t="n">
        <v>4</v>
      </c>
      <c r="C68" s="85" t="n">
        <v>2</v>
      </c>
      <c r="D68" s="85" t="inlineStr">
        <is>
          <t>鼠标</t>
        </is>
      </c>
      <c r="E68" s="85" t="inlineStr">
        <is>
          <t>方法B</t>
        </is>
      </c>
      <c r="F68" s="85" t="inlineStr">
        <is>
          <t>One-Euro</t>
        </is>
      </c>
      <c r="G68" s="85" t="n">
        <v>2</v>
      </c>
      <c r="H68" s="215"/>
      <c r="I68" s="267" t="inlineStr">
        <is>
          <t/>
        </is>
      </c>
      <c r="J68" s="215"/>
      <c r="K68" s="267" t="inlineStr">
        <is>
          <t/>
        </is>
      </c>
      <c r="L68" s="215"/>
      <c r="M68" s="267" t="inlineStr">
        <is>
          <t/>
        </is>
      </c>
      <c r="N68" s="129" t="str">
        <f>IF(COUNT(H68,J68,L68)=3,"完整","缺失")</f>
        <v>缺失</v>
      </c>
      <c r="O68" s="215" t="inlineStr">
        <is>
          <t>是</t>
        </is>
      </c>
      <c r="P68" s="85" t="inlineStr">
        <is>
          <t>是</t>
        </is>
      </c>
      <c r="Q68" s="215" t="inlineStr">
        <is>
          <t>无</t>
        </is>
      </c>
      <c r="R68" s="243" t="inlineStr">
        <is>
          <t/>
        </is>
      </c>
    </row>
    <row r="69">
      <c r="A69" s="90" t="inlineStr">
        <is>
          <t>P011</t>
        </is>
      </c>
      <c r="B69" s="85" t="n">
        <v>5</v>
      </c>
      <c r="C69" s="85" t="n">
        <v>3</v>
      </c>
      <c r="D69" s="85" t="inlineStr">
        <is>
          <t>固定订书机</t>
        </is>
      </c>
      <c r="E69" s="85" t="inlineStr">
        <is>
          <t>方法B</t>
        </is>
      </c>
      <c r="F69" s="85" t="inlineStr">
        <is>
          <t>One-Euro</t>
        </is>
      </c>
      <c r="G69" s="85" t="n">
        <v>1</v>
      </c>
      <c r="H69" s="215"/>
      <c r="I69" s="267" t="inlineStr">
        <is>
          <t/>
        </is>
      </c>
      <c r="J69" s="215"/>
      <c r="K69" s="267" t="inlineStr">
        <is>
          <t/>
        </is>
      </c>
      <c r="L69" s="215"/>
      <c r="M69" s="267" t="inlineStr">
        <is>
          <t/>
        </is>
      </c>
      <c r="N69" s="129" t="str">
        <f>IF(COUNT(H69,J69,L69)=3,"完整","缺失")</f>
        <v>缺失</v>
      </c>
      <c r="O69" s="215" t="inlineStr">
        <is>
          <t>是</t>
        </is>
      </c>
      <c r="P69" s="85" t="inlineStr">
        <is>
          <t>是</t>
        </is>
      </c>
      <c r="Q69" s="215" t="inlineStr">
        <is>
          <t>无</t>
        </is>
      </c>
      <c r="R69" s="243" t="inlineStr">
        <is>
          <t/>
        </is>
      </c>
    </row>
    <row r="70">
      <c r="A70" s="90" t="inlineStr">
        <is>
          <t>P011</t>
        </is>
      </c>
      <c r="B70" s="85" t="n">
        <v>6</v>
      </c>
      <c r="C70" s="85" t="n">
        <v>3</v>
      </c>
      <c r="D70" s="85" t="inlineStr">
        <is>
          <t>固定订书机</t>
        </is>
      </c>
      <c r="E70" s="85" t="inlineStr">
        <is>
          <t>方法A</t>
        </is>
      </c>
      <c r="F70" s="85" t="inlineStr">
        <is>
          <t>EgoAnchor</t>
        </is>
      </c>
      <c r="G70" s="85" t="n">
        <v>2</v>
      </c>
      <c r="H70" s="215"/>
      <c r="I70" s="267" t="inlineStr">
        <is>
          <t/>
        </is>
      </c>
      <c r="J70" s="215"/>
      <c r="K70" s="267" t="inlineStr">
        <is>
          <t/>
        </is>
      </c>
      <c r="L70" s="215"/>
      <c r="M70" s="267" t="inlineStr">
        <is>
          <t/>
        </is>
      </c>
      <c r="N70" s="129" t="str">
        <f>IF(COUNT(H70,J70,L70)=3,"完整","缺失")</f>
        <v>缺失</v>
      </c>
      <c r="O70" s="215" t="inlineStr">
        <is>
          <t>是</t>
        </is>
      </c>
      <c r="P70" s="85" t="inlineStr">
        <is>
          <t>是</t>
        </is>
      </c>
      <c r="Q70" s="215" t="inlineStr">
        <is>
          <t>无</t>
        </is>
      </c>
      <c r="R70" s="243" t="inlineStr">
        <is>
          <t/>
        </is>
      </c>
    </row>
    <row r="71">
      <c r="A71" s="90" t="inlineStr">
        <is>
          <t>P012</t>
        </is>
      </c>
      <c r="B71" s="85" t="n">
        <v>1</v>
      </c>
      <c r="C71" s="85" t="n">
        <v>1</v>
      </c>
      <c r="D71" s="85" t="inlineStr">
        <is>
          <t>游戏手柄</t>
        </is>
      </c>
      <c r="E71" s="85" t="inlineStr">
        <is>
          <t>方法B</t>
        </is>
      </c>
      <c r="F71" s="85" t="inlineStr">
        <is>
          <t>One-Euro</t>
        </is>
      </c>
      <c r="G71" s="85" t="n">
        <v>1</v>
      </c>
      <c r="H71" s="215"/>
      <c r="I71" s="267" t="inlineStr">
        <is>
          <t/>
        </is>
      </c>
      <c r="J71" s="215"/>
      <c r="K71" s="267" t="inlineStr">
        <is>
          <t/>
        </is>
      </c>
      <c r="L71" s="215"/>
      <c r="M71" s="267" t="inlineStr">
        <is>
          <t/>
        </is>
      </c>
      <c r="N71" s="129" t="str">
        <f>IF(COUNT(H71,J71,L71)=3,"完整","缺失")</f>
        <v>缺失</v>
      </c>
      <c r="O71" s="215" t="inlineStr">
        <is>
          <t>是</t>
        </is>
      </c>
      <c r="P71" s="85" t="inlineStr">
        <is>
          <t>是</t>
        </is>
      </c>
      <c r="Q71" s="215" t="inlineStr">
        <is>
          <t>无</t>
        </is>
      </c>
      <c r="R71" s="243" t="inlineStr">
        <is>
          <t/>
        </is>
      </c>
    </row>
    <row r="72">
      <c r="A72" s="90" t="inlineStr">
        <is>
          <t>P012</t>
        </is>
      </c>
      <c r="B72" s="85" t="n">
        <v>2</v>
      </c>
      <c r="C72" s="85" t="n">
        <v>1</v>
      </c>
      <c r="D72" s="85" t="inlineStr">
        <is>
          <t>游戏手柄</t>
        </is>
      </c>
      <c r="E72" s="85" t="inlineStr">
        <is>
          <t>方法A</t>
        </is>
      </c>
      <c r="F72" s="85" t="inlineStr">
        <is>
          <t>EgoAnchor</t>
        </is>
      </c>
      <c r="G72" s="85" t="n">
        <v>2</v>
      </c>
      <c r="H72" s="215"/>
      <c r="I72" s="267" t="inlineStr">
        <is>
          <t/>
        </is>
      </c>
      <c r="J72" s="215"/>
      <c r="K72" s="267" t="inlineStr">
        <is>
          <t/>
        </is>
      </c>
      <c r="L72" s="215"/>
      <c r="M72" s="267" t="inlineStr">
        <is>
          <t/>
        </is>
      </c>
      <c r="N72" s="129" t="str">
        <f>IF(COUNT(H72,J72,L72)=3,"完整","缺失")</f>
        <v>缺失</v>
      </c>
      <c r="O72" s="215" t="inlineStr">
        <is>
          <t>是</t>
        </is>
      </c>
      <c r="P72" s="85" t="inlineStr">
        <is>
          <t>是</t>
        </is>
      </c>
      <c r="Q72" s="215" t="inlineStr">
        <is>
          <t>无</t>
        </is>
      </c>
      <c r="R72" s="243" t="inlineStr">
        <is>
          <t/>
        </is>
      </c>
    </row>
    <row r="73">
      <c r="A73" s="90" t="inlineStr">
        <is>
          <t>P012</t>
        </is>
      </c>
      <c r="B73" s="85" t="n">
        <v>3</v>
      </c>
      <c r="C73" s="85" t="n">
        <v>2</v>
      </c>
      <c r="D73" s="85" t="inlineStr">
        <is>
          <t>固定订书机</t>
        </is>
      </c>
      <c r="E73" s="85" t="inlineStr">
        <is>
          <t>方法A</t>
        </is>
      </c>
      <c r="F73" s="85" t="inlineStr">
        <is>
          <t>EgoAnchor</t>
        </is>
      </c>
      <c r="G73" s="85" t="n">
        <v>1</v>
      </c>
      <c r="H73" s="215"/>
      <c r="I73" s="267" t="inlineStr">
        <is>
          <t/>
        </is>
      </c>
      <c r="J73" s="215"/>
      <c r="K73" s="267" t="inlineStr">
        <is>
          <t/>
        </is>
      </c>
      <c r="L73" s="215"/>
      <c r="M73" s="267" t="inlineStr">
        <is>
          <t/>
        </is>
      </c>
      <c r="N73" s="129" t="str">
        <f>IF(COUNT(H73,J73,L73)=3,"完整","缺失")</f>
        <v>缺失</v>
      </c>
      <c r="O73" s="215" t="inlineStr">
        <is>
          <t>是</t>
        </is>
      </c>
      <c r="P73" s="85" t="inlineStr">
        <is>
          <t>是</t>
        </is>
      </c>
      <c r="Q73" s="215" t="inlineStr">
        <is>
          <t>无</t>
        </is>
      </c>
      <c r="R73" s="243" t="inlineStr">
        <is>
          <t/>
        </is>
      </c>
    </row>
    <row r="74">
      <c r="A74" s="90" t="inlineStr">
        <is>
          <t>P012</t>
        </is>
      </c>
      <c r="B74" s="85" t="n">
        <v>4</v>
      </c>
      <c r="C74" s="85" t="n">
        <v>2</v>
      </c>
      <c r="D74" s="85" t="inlineStr">
        <is>
          <t>固定订书机</t>
        </is>
      </c>
      <c r="E74" s="85" t="inlineStr">
        <is>
          <t>方法B</t>
        </is>
      </c>
      <c r="F74" s="85" t="inlineStr">
        <is>
          <t>One-Euro</t>
        </is>
      </c>
      <c r="G74" s="85" t="n">
        <v>2</v>
      </c>
      <c r="H74" s="215"/>
      <c r="I74" s="267" t="inlineStr">
        <is>
          <t/>
        </is>
      </c>
      <c r="J74" s="215"/>
      <c r="K74" s="267" t="inlineStr">
        <is>
          <t/>
        </is>
      </c>
      <c r="L74" s="215"/>
      <c r="M74" s="267" t="inlineStr">
        <is>
          <t/>
        </is>
      </c>
      <c r="N74" s="129" t="str">
        <f>IF(COUNT(H74,J74,L74)=3,"完整","缺失")</f>
        <v>缺失</v>
      </c>
      <c r="O74" s="215" t="inlineStr">
        <is>
          <t>是</t>
        </is>
      </c>
      <c r="P74" s="85" t="inlineStr">
        <is>
          <t>是</t>
        </is>
      </c>
      <c r="Q74" s="215" t="inlineStr">
        <is>
          <t>无</t>
        </is>
      </c>
      <c r="R74" s="243" t="inlineStr">
        <is>
          <t/>
        </is>
      </c>
    </row>
    <row r="75">
      <c r="A75" s="90" t="inlineStr">
        <is>
          <t>P012</t>
        </is>
      </c>
      <c r="B75" s="85" t="n">
        <v>5</v>
      </c>
      <c r="C75" s="85" t="n">
        <v>3</v>
      </c>
      <c r="D75" s="85" t="inlineStr">
        <is>
          <t>鼠标</t>
        </is>
      </c>
      <c r="E75" s="85" t="inlineStr">
        <is>
          <t>方法B</t>
        </is>
      </c>
      <c r="F75" s="85" t="inlineStr">
        <is>
          <t>One-Euro</t>
        </is>
      </c>
      <c r="G75" s="85" t="n">
        <v>1</v>
      </c>
      <c r="H75" s="215"/>
      <c r="I75" s="267" t="inlineStr">
        <is>
          <t/>
        </is>
      </c>
      <c r="J75" s="215"/>
      <c r="K75" s="267" t="inlineStr">
        <is>
          <t/>
        </is>
      </c>
      <c r="L75" s="215"/>
      <c r="M75" s="267" t="inlineStr">
        <is>
          <t/>
        </is>
      </c>
      <c r="N75" s="129" t="str">
        <f>IF(COUNT(H75,J75,L75)=3,"完整","缺失")</f>
        <v>缺失</v>
      </c>
      <c r="O75" s="215" t="inlineStr">
        <is>
          <t>是</t>
        </is>
      </c>
      <c r="P75" s="85" t="inlineStr">
        <is>
          <t>是</t>
        </is>
      </c>
      <c r="Q75" s="215" t="inlineStr">
        <is>
          <t>无</t>
        </is>
      </c>
      <c r="R75" s="243" t="inlineStr">
        <is>
          <t/>
        </is>
      </c>
    </row>
    <row r="76">
      <c r="A76" s="90" t="inlineStr">
        <is>
          <t>P012</t>
        </is>
      </c>
      <c r="B76" s="85" t="n">
        <v>6</v>
      </c>
      <c r="C76" s="85" t="n">
        <v>3</v>
      </c>
      <c r="D76" s="85" t="inlineStr">
        <is>
          <t>鼠标</t>
        </is>
      </c>
      <c r="E76" s="85" t="inlineStr">
        <is>
          <t>方法A</t>
        </is>
      </c>
      <c r="F76" s="85" t="inlineStr">
        <is>
          <t>EgoAnchor</t>
        </is>
      </c>
      <c r="G76" s="85" t="n">
        <v>2</v>
      </c>
      <c r="H76" s="215"/>
      <c r="I76" s="267" t="inlineStr">
        <is>
          <t/>
        </is>
      </c>
      <c r="J76" s="215"/>
      <c r="K76" s="267" t="inlineStr">
        <is>
          <t/>
        </is>
      </c>
      <c r="L76" s="215"/>
      <c r="M76" s="267" t="inlineStr">
        <is>
          <t/>
        </is>
      </c>
      <c r="N76" s="129" t="str">
        <f>IF(COUNT(H76,J76,L76)=3,"完整","缺失")</f>
        <v>缺失</v>
      </c>
      <c r="O76" s="215" t="inlineStr">
        <is>
          <t>是</t>
        </is>
      </c>
      <c r="P76" s="85" t="inlineStr">
        <is>
          <t>是</t>
        </is>
      </c>
      <c r="Q76" s="215" t="inlineStr">
        <is>
          <t>无</t>
        </is>
      </c>
      <c r="R76" s="243" t="inlineStr">
        <is>
          <t/>
        </is>
      </c>
    </row>
    <row r="77">
      <c r="A77" s="90" t="inlineStr">
        <is>
          <t>P013</t>
        </is>
      </c>
      <c r="B77" s="85" t="n">
        <v>1</v>
      </c>
      <c r="C77" s="85" t="n">
        <v>1</v>
      </c>
      <c r="D77" s="85" t="inlineStr">
        <is>
          <t>鼠标</t>
        </is>
      </c>
      <c r="E77" s="85" t="inlineStr">
        <is>
          <t>方法A</t>
        </is>
      </c>
      <c r="F77" s="85" t="inlineStr">
        <is>
          <t>One-Euro</t>
        </is>
      </c>
      <c r="G77" s="85" t="n">
        <v>1</v>
      </c>
      <c r="H77" s="215"/>
      <c r="I77" s="267" t="inlineStr">
        <is>
          <t/>
        </is>
      </c>
      <c r="J77" s="215"/>
      <c r="K77" s="267" t="inlineStr">
        <is>
          <t/>
        </is>
      </c>
      <c r="L77" s="215"/>
      <c r="M77" s="267" t="inlineStr">
        <is>
          <t/>
        </is>
      </c>
      <c r="N77" s="129" t="str">
        <f>IF(COUNT(H77,J77,L77)=3,"完整","缺失")</f>
        <v>缺失</v>
      </c>
      <c r="O77" s="215" t="inlineStr">
        <is>
          <t>是</t>
        </is>
      </c>
      <c r="P77" s="85" t="inlineStr">
        <is>
          <t>是</t>
        </is>
      </c>
      <c r="Q77" s="215" t="inlineStr">
        <is>
          <t>无</t>
        </is>
      </c>
      <c r="R77" s="243" t="inlineStr">
        <is>
          <t/>
        </is>
      </c>
    </row>
    <row r="78">
      <c r="A78" s="90" t="inlineStr">
        <is>
          <t>P013</t>
        </is>
      </c>
      <c r="B78" s="85" t="n">
        <v>2</v>
      </c>
      <c r="C78" s="85" t="n">
        <v>1</v>
      </c>
      <c r="D78" s="85" t="inlineStr">
        <is>
          <t>鼠标</t>
        </is>
      </c>
      <c r="E78" s="85" t="inlineStr">
        <is>
          <t>方法B</t>
        </is>
      </c>
      <c r="F78" s="85" t="inlineStr">
        <is>
          <t>EgoAnchor</t>
        </is>
      </c>
      <c r="G78" s="85" t="n">
        <v>2</v>
      </c>
      <c r="H78" s="215"/>
      <c r="I78" s="267" t="inlineStr">
        <is>
          <t/>
        </is>
      </c>
      <c r="J78" s="215"/>
      <c r="K78" s="267" t="inlineStr">
        <is>
          <t/>
        </is>
      </c>
      <c r="L78" s="215"/>
      <c r="M78" s="267" t="inlineStr">
        <is>
          <t/>
        </is>
      </c>
      <c r="N78" s="129" t="str">
        <f>IF(COUNT(H78,J78,L78)=3,"完整","缺失")</f>
        <v>缺失</v>
      </c>
      <c r="O78" s="215" t="inlineStr">
        <is>
          <t>是</t>
        </is>
      </c>
      <c r="P78" s="85" t="inlineStr">
        <is>
          <t>是</t>
        </is>
      </c>
      <c r="Q78" s="215" t="inlineStr">
        <is>
          <t>无</t>
        </is>
      </c>
      <c r="R78" s="243" t="inlineStr">
        <is>
          <t/>
        </is>
      </c>
    </row>
    <row r="79">
      <c r="A79" s="90" t="inlineStr">
        <is>
          <t>P013</t>
        </is>
      </c>
      <c r="B79" s="85" t="n">
        <v>3</v>
      </c>
      <c r="C79" s="85" t="n">
        <v>2</v>
      </c>
      <c r="D79" s="85" t="inlineStr">
        <is>
          <t>固定订书机</t>
        </is>
      </c>
      <c r="E79" s="85" t="inlineStr">
        <is>
          <t>方法B</t>
        </is>
      </c>
      <c r="F79" s="85" t="inlineStr">
        <is>
          <t>EgoAnchor</t>
        </is>
      </c>
      <c r="G79" s="85" t="n">
        <v>1</v>
      </c>
      <c r="H79" s="215"/>
      <c r="I79" s="267" t="inlineStr">
        <is>
          <t/>
        </is>
      </c>
      <c r="J79" s="215"/>
      <c r="K79" s="267" t="inlineStr">
        <is>
          <t/>
        </is>
      </c>
      <c r="L79" s="215"/>
      <c r="M79" s="267" t="inlineStr">
        <is>
          <t/>
        </is>
      </c>
      <c r="N79" s="129" t="str">
        <f>IF(COUNT(H79,J79,L79)=3,"完整","缺失")</f>
        <v>缺失</v>
      </c>
      <c r="O79" s="215" t="inlineStr">
        <is>
          <t>是</t>
        </is>
      </c>
      <c r="P79" s="85" t="inlineStr">
        <is>
          <t>是</t>
        </is>
      </c>
      <c r="Q79" s="215" t="inlineStr">
        <is>
          <t>无</t>
        </is>
      </c>
      <c r="R79" s="243" t="inlineStr">
        <is>
          <t/>
        </is>
      </c>
    </row>
    <row r="80">
      <c r="A80" s="90" t="inlineStr">
        <is>
          <t>P013</t>
        </is>
      </c>
      <c r="B80" s="85" t="n">
        <v>4</v>
      </c>
      <c r="C80" s="85" t="n">
        <v>2</v>
      </c>
      <c r="D80" s="85" t="inlineStr">
        <is>
          <t>固定订书机</t>
        </is>
      </c>
      <c r="E80" s="85" t="inlineStr">
        <is>
          <t>方法A</t>
        </is>
      </c>
      <c r="F80" s="85" t="inlineStr">
        <is>
          <t>One-Euro</t>
        </is>
      </c>
      <c r="G80" s="85" t="n">
        <v>2</v>
      </c>
      <c r="H80" s="215"/>
      <c r="I80" s="267" t="inlineStr">
        <is>
          <t/>
        </is>
      </c>
      <c r="J80" s="215"/>
      <c r="K80" s="267" t="inlineStr">
        <is>
          <t/>
        </is>
      </c>
      <c r="L80" s="215"/>
      <c r="M80" s="267" t="inlineStr">
        <is>
          <t/>
        </is>
      </c>
      <c r="N80" s="129" t="str">
        <f>IF(COUNT(H80,J80,L80)=3,"完整","缺失")</f>
        <v>缺失</v>
      </c>
      <c r="O80" s="215" t="inlineStr">
        <is>
          <t>是</t>
        </is>
      </c>
      <c r="P80" s="85" t="inlineStr">
        <is>
          <t>是</t>
        </is>
      </c>
      <c r="Q80" s="215" t="inlineStr">
        <is>
          <t>无</t>
        </is>
      </c>
      <c r="R80" s="243" t="inlineStr">
        <is>
          <t/>
        </is>
      </c>
    </row>
    <row r="81">
      <c r="A81" s="90" t="inlineStr">
        <is>
          <t>P013</t>
        </is>
      </c>
      <c r="B81" s="85" t="n">
        <v>5</v>
      </c>
      <c r="C81" s="85" t="n">
        <v>3</v>
      </c>
      <c r="D81" s="85" t="inlineStr">
        <is>
          <t>游戏手柄</t>
        </is>
      </c>
      <c r="E81" s="85" t="inlineStr">
        <is>
          <t>方法A</t>
        </is>
      </c>
      <c r="F81" s="85" t="inlineStr">
        <is>
          <t>One-Euro</t>
        </is>
      </c>
      <c r="G81" s="85" t="n">
        <v>1</v>
      </c>
      <c r="H81" s="215"/>
      <c r="I81" s="267" t="inlineStr">
        <is>
          <t/>
        </is>
      </c>
      <c r="J81" s="215"/>
      <c r="K81" s="267" t="inlineStr">
        <is>
          <t/>
        </is>
      </c>
      <c r="L81" s="215"/>
      <c r="M81" s="267" t="inlineStr">
        <is>
          <t/>
        </is>
      </c>
      <c r="N81" s="129" t="str">
        <f>IF(COUNT(H81,J81,L81)=3,"完整","缺失")</f>
        <v>缺失</v>
      </c>
      <c r="O81" s="215" t="inlineStr">
        <is>
          <t>是</t>
        </is>
      </c>
      <c r="P81" s="85" t="inlineStr">
        <is>
          <t>是</t>
        </is>
      </c>
      <c r="Q81" s="215" t="inlineStr">
        <is>
          <t>无</t>
        </is>
      </c>
      <c r="R81" s="243" t="inlineStr">
        <is>
          <t/>
        </is>
      </c>
    </row>
    <row r="82">
      <c r="A82" s="90" t="inlineStr">
        <is>
          <t>P013</t>
        </is>
      </c>
      <c r="B82" s="85" t="n">
        <v>6</v>
      </c>
      <c r="C82" s="85" t="n">
        <v>3</v>
      </c>
      <c r="D82" s="85" t="inlineStr">
        <is>
          <t>游戏手柄</t>
        </is>
      </c>
      <c r="E82" s="85" t="inlineStr">
        <is>
          <t>方法B</t>
        </is>
      </c>
      <c r="F82" s="85" t="inlineStr">
        <is>
          <t>EgoAnchor</t>
        </is>
      </c>
      <c r="G82" s="85" t="n">
        <v>2</v>
      </c>
      <c r="H82" s="215"/>
      <c r="I82" s="267" t="inlineStr">
        <is>
          <t/>
        </is>
      </c>
      <c r="J82" s="215"/>
      <c r="K82" s="267" t="inlineStr">
        <is>
          <t/>
        </is>
      </c>
      <c r="L82" s="215"/>
      <c r="M82" s="267" t="inlineStr">
        <is>
          <t/>
        </is>
      </c>
      <c r="N82" s="129" t="str">
        <f>IF(COUNT(H82,J82,L82)=3,"完整","缺失")</f>
        <v>缺失</v>
      </c>
      <c r="O82" s="215" t="inlineStr">
        <is>
          <t>是</t>
        </is>
      </c>
      <c r="P82" s="85" t="inlineStr">
        <is>
          <t>是</t>
        </is>
      </c>
      <c r="Q82" s="215" t="inlineStr">
        <is>
          <t>无</t>
        </is>
      </c>
      <c r="R82" s="243" t="inlineStr">
        <is>
          <t/>
        </is>
      </c>
    </row>
    <row r="83">
      <c r="A83" s="90" t="inlineStr">
        <is>
          <t>P014</t>
        </is>
      </c>
      <c r="B83" s="85" t="n">
        <v>1</v>
      </c>
      <c r="C83" s="85" t="n">
        <v>1</v>
      </c>
      <c r="D83" s="85" t="inlineStr">
        <is>
          <t>鼠标</t>
        </is>
      </c>
      <c r="E83" s="85" t="inlineStr">
        <is>
          <t>方法A</t>
        </is>
      </c>
      <c r="F83" s="85" t="inlineStr">
        <is>
          <t>One-Euro</t>
        </is>
      </c>
      <c r="G83" s="85" t="n">
        <v>1</v>
      </c>
      <c r="H83" s="215"/>
      <c r="I83" s="267" t="inlineStr">
        <is>
          <t/>
        </is>
      </c>
      <c r="J83" s="215"/>
      <c r="K83" s="267" t="inlineStr">
        <is>
          <t/>
        </is>
      </c>
      <c r="L83" s="215"/>
      <c r="M83" s="267" t="inlineStr">
        <is>
          <t/>
        </is>
      </c>
      <c r="N83" s="129" t="str">
        <f>IF(COUNT(H83,J83,L83)=3,"完整","缺失")</f>
        <v>缺失</v>
      </c>
      <c r="O83" s="215" t="inlineStr">
        <is>
          <t>是</t>
        </is>
      </c>
      <c r="P83" s="85" t="inlineStr">
        <is>
          <t>是</t>
        </is>
      </c>
      <c r="Q83" s="215" t="inlineStr">
        <is>
          <t>无</t>
        </is>
      </c>
      <c r="R83" s="243" t="inlineStr">
        <is>
          <t/>
        </is>
      </c>
    </row>
    <row r="84">
      <c r="A84" s="90" t="inlineStr">
        <is>
          <t>P014</t>
        </is>
      </c>
      <c r="B84" s="85" t="n">
        <v>2</v>
      </c>
      <c r="C84" s="85" t="n">
        <v>1</v>
      </c>
      <c r="D84" s="85" t="inlineStr">
        <is>
          <t>鼠标</t>
        </is>
      </c>
      <c r="E84" s="85" t="inlineStr">
        <is>
          <t>方法B</t>
        </is>
      </c>
      <c r="F84" s="85" t="inlineStr">
        <is>
          <t>EgoAnchor</t>
        </is>
      </c>
      <c r="G84" s="85" t="n">
        <v>2</v>
      </c>
      <c r="H84" s="215"/>
      <c r="I84" s="267" t="inlineStr">
        <is>
          <t/>
        </is>
      </c>
      <c r="J84" s="215"/>
      <c r="K84" s="267" t="inlineStr">
        <is>
          <t/>
        </is>
      </c>
      <c r="L84" s="215"/>
      <c r="M84" s="267" t="inlineStr">
        <is>
          <t/>
        </is>
      </c>
      <c r="N84" s="129" t="str">
        <f>IF(COUNT(H84,J84,L84)=3,"完整","缺失")</f>
        <v>缺失</v>
      </c>
      <c r="O84" s="215" t="inlineStr">
        <is>
          <t>是</t>
        </is>
      </c>
      <c r="P84" s="85" t="inlineStr">
        <is>
          <t>是</t>
        </is>
      </c>
      <c r="Q84" s="215" t="inlineStr">
        <is>
          <t>无</t>
        </is>
      </c>
      <c r="R84" s="243" t="inlineStr">
        <is>
          <t/>
        </is>
      </c>
    </row>
    <row r="85">
      <c r="A85" s="90" t="inlineStr">
        <is>
          <t>P014</t>
        </is>
      </c>
      <c r="B85" s="85" t="n">
        <v>3</v>
      </c>
      <c r="C85" s="85" t="n">
        <v>2</v>
      </c>
      <c r="D85" s="85" t="inlineStr">
        <is>
          <t>游戏手柄</t>
        </is>
      </c>
      <c r="E85" s="85" t="inlineStr">
        <is>
          <t>方法B</t>
        </is>
      </c>
      <c r="F85" s="85" t="inlineStr">
        <is>
          <t>EgoAnchor</t>
        </is>
      </c>
      <c r="G85" s="85" t="n">
        <v>1</v>
      </c>
      <c r="H85" s="215"/>
      <c r="I85" s="267" t="inlineStr">
        <is>
          <t/>
        </is>
      </c>
      <c r="J85" s="215"/>
      <c r="K85" s="267" t="inlineStr">
        <is>
          <t/>
        </is>
      </c>
      <c r="L85" s="215"/>
      <c r="M85" s="267" t="inlineStr">
        <is>
          <t/>
        </is>
      </c>
      <c r="N85" s="129" t="str">
        <f>IF(COUNT(H85,J85,L85)=3,"完整","缺失")</f>
        <v>缺失</v>
      </c>
      <c r="O85" s="215" t="inlineStr">
        <is>
          <t>是</t>
        </is>
      </c>
      <c r="P85" s="85" t="inlineStr">
        <is>
          <t>是</t>
        </is>
      </c>
      <c r="Q85" s="215" t="inlineStr">
        <is>
          <t>无</t>
        </is>
      </c>
      <c r="R85" s="243" t="inlineStr">
        <is>
          <t/>
        </is>
      </c>
    </row>
    <row r="86">
      <c r="A86" s="90" t="inlineStr">
        <is>
          <t>P014</t>
        </is>
      </c>
      <c r="B86" s="85" t="n">
        <v>4</v>
      </c>
      <c r="C86" s="85" t="n">
        <v>2</v>
      </c>
      <c r="D86" s="85" t="inlineStr">
        <is>
          <t>游戏手柄</t>
        </is>
      </c>
      <c r="E86" s="85" t="inlineStr">
        <is>
          <t>方法A</t>
        </is>
      </c>
      <c r="F86" s="85" t="inlineStr">
        <is>
          <t>One-Euro</t>
        </is>
      </c>
      <c r="G86" s="85" t="n">
        <v>2</v>
      </c>
      <c r="H86" s="215"/>
      <c r="I86" s="267" t="inlineStr">
        <is>
          <t/>
        </is>
      </c>
      <c r="J86" s="215"/>
      <c r="K86" s="267" t="inlineStr">
        <is>
          <t/>
        </is>
      </c>
      <c r="L86" s="215"/>
      <c r="M86" s="267" t="inlineStr">
        <is>
          <t/>
        </is>
      </c>
      <c r="N86" s="129" t="str">
        <f>IF(COUNT(H86,J86,L86)=3,"完整","缺失")</f>
        <v>缺失</v>
      </c>
      <c r="O86" s="215" t="inlineStr">
        <is>
          <t>是</t>
        </is>
      </c>
      <c r="P86" s="85" t="inlineStr">
        <is>
          <t>是</t>
        </is>
      </c>
      <c r="Q86" s="215" t="inlineStr">
        <is>
          <t>无</t>
        </is>
      </c>
      <c r="R86" s="243" t="inlineStr">
        <is>
          <t/>
        </is>
      </c>
    </row>
    <row r="87">
      <c r="A87" s="90" t="inlineStr">
        <is>
          <t>P014</t>
        </is>
      </c>
      <c r="B87" s="85" t="n">
        <v>5</v>
      </c>
      <c r="C87" s="85" t="n">
        <v>3</v>
      </c>
      <c r="D87" s="85" t="inlineStr">
        <is>
          <t>固定订书机</t>
        </is>
      </c>
      <c r="E87" s="85" t="inlineStr">
        <is>
          <t>方法A</t>
        </is>
      </c>
      <c r="F87" s="85" t="inlineStr">
        <is>
          <t>One-Euro</t>
        </is>
      </c>
      <c r="G87" s="85" t="n">
        <v>1</v>
      </c>
      <c r="H87" s="215"/>
      <c r="I87" s="267" t="inlineStr">
        <is>
          <t/>
        </is>
      </c>
      <c r="J87" s="215"/>
      <c r="K87" s="267" t="inlineStr">
        <is>
          <t/>
        </is>
      </c>
      <c r="L87" s="215"/>
      <c r="M87" s="267" t="inlineStr">
        <is>
          <t/>
        </is>
      </c>
      <c r="N87" s="129" t="str">
        <f>IF(COUNT(H87,J87,L87)=3,"完整","缺失")</f>
        <v>缺失</v>
      </c>
      <c r="O87" s="215" t="inlineStr">
        <is>
          <t>是</t>
        </is>
      </c>
      <c r="P87" s="85" t="inlineStr">
        <is>
          <t>是</t>
        </is>
      </c>
      <c r="Q87" s="215" t="inlineStr">
        <is>
          <t>无</t>
        </is>
      </c>
      <c r="R87" s="243" t="inlineStr">
        <is>
          <t/>
        </is>
      </c>
    </row>
    <row r="88">
      <c r="A88" s="90" t="inlineStr">
        <is>
          <t>P014</t>
        </is>
      </c>
      <c r="B88" s="85" t="n">
        <v>6</v>
      </c>
      <c r="C88" s="85" t="n">
        <v>3</v>
      </c>
      <c r="D88" s="85" t="inlineStr">
        <is>
          <t>固定订书机</t>
        </is>
      </c>
      <c r="E88" s="85" t="inlineStr">
        <is>
          <t>方法B</t>
        </is>
      </c>
      <c r="F88" s="85" t="inlineStr">
        <is>
          <t>EgoAnchor</t>
        </is>
      </c>
      <c r="G88" s="85" t="n">
        <v>2</v>
      </c>
      <c r="H88" s="215"/>
      <c r="I88" s="267" t="inlineStr">
        <is>
          <t/>
        </is>
      </c>
      <c r="J88" s="215"/>
      <c r="K88" s="267" t="inlineStr">
        <is>
          <t/>
        </is>
      </c>
      <c r="L88" s="215"/>
      <c r="M88" s="267" t="inlineStr">
        <is>
          <t/>
        </is>
      </c>
      <c r="N88" s="129" t="str">
        <f>IF(COUNT(H88,J88,L88)=3,"完整","缺失")</f>
        <v>缺失</v>
      </c>
      <c r="O88" s="215" t="inlineStr">
        <is>
          <t>是</t>
        </is>
      </c>
      <c r="P88" s="85" t="inlineStr">
        <is>
          <t>是</t>
        </is>
      </c>
      <c r="Q88" s="215" t="inlineStr">
        <is>
          <t>无</t>
        </is>
      </c>
      <c r="R88" s="243" t="inlineStr">
        <is>
          <t/>
        </is>
      </c>
    </row>
    <row r="89">
      <c r="A89" s="90" t="inlineStr">
        <is>
          <t>P015</t>
        </is>
      </c>
      <c r="B89" s="85" t="n">
        <v>1</v>
      </c>
      <c r="C89" s="85" t="n">
        <v>1</v>
      </c>
      <c r="D89" s="85" t="inlineStr">
        <is>
          <t>固定订书机</t>
        </is>
      </c>
      <c r="E89" s="85" t="inlineStr">
        <is>
          <t>方法A</t>
        </is>
      </c>
      <c r="F89" s="85" t="inlineStr">
        <is>
          <t>One-Euro</t>
        </is>
      </c>
      <c r="G89" s="85" t="n">
        <v>1</v>
      </c>
      <c r="H89" s="215"/>
      <c r="I89" s="267" t="inlineStr">
        <is>
          <t/>
        </is>
      </c>
      <c r="J89" s="215"/>
      <c r="K89" s="267" t="inlineStr">
        <is>
          <t/>
        </is>
      </c>
      <c r="L89" s="215"/>
      <c r="M89" s="267" t="inlineStr">
        <is>
          <t/>
        </is>
      </c>
      <c r="N89" s="129" t="str">
        <f>IF(COUNT(H89,J89,L89)=3,"完整","缺失")</f>
        <v>缺失</v>
      </c>
      <c r="O89" s="215" t="inlineStr">
        <is>
          <t>是</t>
        </is>
      </c>
      <c r="P89" s="85" t="inlineStr">
        <is>
          <t>是</t>
        </is>
      </c>
      <c r="Q89" s="215" t="inlineStr">
        <is>
          <t>无</t>
        </is>
      </c>
      <c r="R89" s="243" t="inlineStr">
        <is>
          <t/>
        </is>
      </c>
    </row>
    <row r="90">
      <c r="A90" s="90" t="inlineStr">
        <is>
          <t>P015</t>
        </is>
      </c>
      <c r="B90" s="85" t="n">
        <v>2</v>
      </c>
      <c r="C90" s="85" t="n">
        <v>1</v>
      </c>
      <c r="D90" s="85" t="inlineStr">
        <is>
          <t>固定订书机</t>
        </is>
      </c>
      <c r="E90" s="85" t="inlineStr">
        <is>
          <t>方法B</t>
        </is>
      </c>
      <c r="F90" s="85" t="inlineStr">
        <is>
          <t>EgoAnchor</t>
        </is>
      </c>
      <c r="G90" s="85" t="n">
        <v>2</v>
      </c>
      <c r="H90" s="215"/>
      <c r="I90" s="267" t="inlineStr">
        <is>
          <t/>
        </is>
      </c>
      <c r="J90" s="215"/>
      <c r="K90" s="267" t="inlineStr">
        <is>
          <t/>
        </is>
      </c>
      <c r="L90" s="215"/>
      <c r="M90" s="267" t="inlineStr">
        <is>
          <t/>
        </is>
      </c>
      <c r="N90" s="129" t="str">
        <f>IF(COUNT(H90,J90,L90)=3,"完整","缺失")</f>
        <v>缺失</v>
      </c>
      <c r="O90" s="215" t="inlineStr">
        <is>
          <t>是</t>
        </is>
      </c>
      <c r="P90" s="85" t="inlineStr">
        <is>
          <t>是</t>
        </is>
      </c>
      <c r="Q90" s="215" t="inlineStr">
        <is>
          <t>无</t>
        </is>
      </c>
      <c r="R90" s="243" t="inlineStr">
        <is>
          <t/>
        </is>
      </c>
    </row>
    <row r="91">
      <c r="A91" s="90" t="inlineStr">
        <is>
          <t>P015</t>
        </is>
      </c>
      <c r="B91" s="85" t="n">
        <v>3</v>
      </c>
      <c r="C91" s="85" t="n">
        <v>2</v>
      </c>
      <c r="D91" s="85" t="inlineStr">
        <is>
          <t>鼠标</t>
        </is>
      </c>
      <c r="E91" s="85" t="inlineStr">
        <is>
          <t>方法B</t>
        </is>
      </c>
      <c r="F91" s="85" t="inlineStr">
        <is>
          <t>EgoAnchor</t>
        </is>
      </c>
      <c r="G91" s="85" t="n">
        <v>1</v>
      </c>
      <c r="H91" s="215"/>
      <c r="I91" s="267" t="inlineStr">
        <is>
          <t/>
        </is>
      </c>
      <c r="J91" s="215"/>
      <c r="K91" s="267" t="inlineStr">
        <is>
          <t/>
        </is>
      </c>
      <c r="L91" s="215"/>
      <c r="M91" s="267" t="inlineStr">
        <is>
          <t/>
        </is>
      </c>
      <c r="N91" s="129" t="str">
        <f>IF(COUNT(H91,J91,L91)=3,"完整","缺失")</f>
        <v>缺失</v>
      </c>
      <c r="O91" s="215" t="inlineStr">
        <is>
          <t>是</t>
        </is>
      </c>
      <c r="P91" s="85" t="inlineStr">
        <is>
          <t>是</t>
        </is>
      </c>
      <c r="Q91" s="215" t="inlineStr">
        <is>
          <t>无</t>
        </is>
      </c>
      <c r="R91" s="243" t="inlineStr">
        <is>
          <t/>
        </is>
      </c>
    </row>
    <row r="92">
      <c r="A92" s="90" t="inlineStr">
        <is>
          <t>P015</t>
        </is>
      </c>
      <c r="B92" s="85" t="n">
        <v>4</v>
      </c>
      <c r="C92" s="85" t="n">
        <v>2</v>
      </c>
      <c r="D92" s="85" t="inlineStr">
        <is>
          <t>鼠标</t>
        </is>
      </c>
      <c r="E92" s="85" t="inlineStr">
        <is>
          <t>方法A</t>
        </is>
      </c>
      <c r="F92" s="85" t="inlineStr">
        <is>
          <t>One-Euro</t>
        </is>
      </c>
      <c r="G92" s="85" t="n">
        <v>2</v>
      </c>
      <c r="H92" s="215"/>
      <c r="I92" s="267" t="inlineStr">
        <is>
          <t/>
        </is>
      </c>
      <c r="J92" s="215"/>
      <c r="K92" s="267" t="inlineStr">
        <is>
          <t/>
        </is>
      </c>
      <c r="L92" s="215"/>
      <c r="M92" s="267" t="inlineStr">
        <is>
          <t/>
        </is>
      </c>
      <c r="N92" s="129" t="str">
        <f>IF(COUNT(H92,J92,L92)=3,"完整","缺失")</f>
        <v>缺失</v>
      </c>
      <c r="O92" s="215" t="inlineStr">
        <is>
          <t>是</t>
        </is>
      </c>
      <c r="P92" s="85" t="inlineStr">
        <is>
          <t>是</t>
        </is>
      </c>
      <c r="Q92" s="215" t="inlineStr">
        <is>
          <t>无</t>
        </is>
      </c>
      <c r="R92" s="243" t="inlineStr">
        <is>
          <t/>
        </is>
      </c>
    </row>
    <row r="93">
      <c r="A93" s="90" t="inlineStr">
        <is>
          <t>P015</t>
        </is>
      </c>
      <c r="B93" s="85" t="n">
        <v>5</v>
      </c>
      <c r="C93" s="85" t="n">
        <v>3</v>
      </c>
      <c r="D93" s="85" t="inlineStr">
        <is>
          <t>游戏手柄</t>
        </is>
      </c>
      <c r="E93" s="85" t="inlineStr">
        <is>
          <t>方法A</t>
        </is>
      </c>
      <c r="F93" s="85" t="inlineStr">
        <is>
          <t>One-Euro</t>
        </is>
      </c>
      <c r="G93" s="85" t="n">
        <v>1</v>
      </c>
      <c r="H93" s="215"/>
      <c r="I93" s="267" t="inlineStr">
        <is>
          <t/>
        </is>
      </c>
      <c r="J93" s="215"/>
      <c r="K93" s="267" t="inlineStr">
        <is>
          <t/>
        </is>
      </c>
      <c r="L93" s="215"/>
      <c r="M93" s="267" t="inlineStr">
        <is>
          <t/>
        </is>
      </c>
      <c r="N93" s="129" t="str">
        <f>IF(COUNT(H93,J93,L93)=3,"完整","缺失")</f>
        <v>缺失</v>
      </c>
      <c r="O93" s="215" t="inlineStr">
        <is>
          <t>是</t>
        </is>
      </c>
      <c r="P93" s="85" t="inlineStr">
        <is>
          <t>是</t>
        </is>
      </c>
      <c r="Q93" s="215" t="inlineStr">
        <is>
          <t>无</t>
        </is>
      </c>
      <c r="R93" s="243" t="inlineStr">
        <is>
          <t/>
        </is>
      </c>
    </row>
    <row r="94">
      <c r="A94" s="90" t="inlineStr">
        <is>
          <t>P015</t>
        </is>
      </c>
      <c r="B94" s="85" t="n">
        <v>6</v>
      </c>
      <c r="C94" s="85" t="n">
        <v>3</v>
      </c>
      <c r="D94" s="85" t="inlineStr">
        <is>
          <t>游戏手柄</t>
        </is>
      </c>
      <c r="E94" s="85" t="inlineStr">
        <is>
          <t>方法B</t>
        </is>
      </c>
      <c r="F94" s="85" t="inlineStr">
        <is>
          <t>EgoAnchor</t>
        </is>
      </c>
      <c r="G94" s="85" t="n">
        <v>2</v>
      </c>
      <c r="H94" s="215"/>
      <c r="I94" s="267" t="inlineStr">
        <is>
          <t/>
        </is>
      </c>
      <c r="J94" s="215"/>
      <c r="K94" s="267" t="inlineStr">
        <is>
          <t/>
        </is>
      </c>
      <c r="L94" s="215"/>
      <c r="M94" s="267" t="inlineStr">
        <is>
          <t/>
        </is>
      </c>
      <c r="N94" s="129" t="str">
        <f>IF(COUNT(H94,J94,L94)=3,"完整","缺失")</f>
        <v>缺失</v>
      </c>
      <c r="O94" s="215" t="inlineStr">
        <is>
          <t>是</t>
        </is>
      </c>
      <c r="P94" s="85" t="inlineStr">
        <is>
          <t>是</t>
        </is>
      </c>
      <c r="Q94" s="215" t="inlineStr">
        <is>
          <t>无</t>
        </is>
      </c>
      <c r="R94" s="243" t="inlineStr">
        <is>
          <t/>
        </is>
      </c>
    </row>
    <row r="95">
      <c r="A95" s="90" t="inlineStr">
        <is>
          <t>P016</t>
        </is>
      </c>
      <c r="B95" s="85" t="n">
        <v>1</v>
      </c>
      <c r="C95" s="85" t="n">
        <v>1</v>
      </c>
      <c r="D95" s="85" t="inlineStr">
        <is>
          <t>固定订书机</t>
        </is>
      </c>
      <c r="E95" s="85" t="inlineStr">
        <is>
          <t>方法A</t>
        </is>
      </c>
      <c r="F95" s="85" t="inlineStr">
        <is>
          <t>One-Euro</t>
        </is>
      </c>
      <c r="G95" s="85" t="n">
        <v>1</v>
      </c>
      <c r="H95" s="215"/>
      <c r="I95" s="267" t="inlineStr">
        <is>
          <t/>
        </is>
      </c>
      <c r="J95" s="215"/>
      <c r="K95" s="267" t="inlineStr">
        <is>
          <t/>
        </is>
      </c>
      <c r="L95" s="215"/>
      <c r="M95" s="267" t="inlineStr">
        <is>
          <t/>
        </is>
      </c>
      <c r="N95" s="129" t="str">
        <f>IF(COUNT(H95,J95,L95)=3,"完整","缺失")</f>
        <v>缺失</v>
      </c>
      <c r="O95" s="215" t="inlineStr">
        <is>
          <t>是</t>
        </is>
      </c>
      <c r="P95" s="85" t="inlineStr">
        <is>
          <t>是</t>
        </is>
      </c>
      <c r="Q95" s="215" t="inlineStr">
        <is>
          <t>无</t>
        </is>
      </c>
      <c r="R95" s="243" t="inlineStr">
        <is>
          <t/>
        </is>
      </c>
    </row>
    <row r="96">
      <c r="A96" s="90" t="inlineStr">
        <is>
          <t>P016</t>
        </is>
      </c>
      <c r="B96" s="85" t="n">
        <v>2</v>
      </c>
      <c r="C96" s="85" t="n">
        <v>1</v>
      </c>
      <c r="D96" s="85" t="inlineStr">
        <is>
          <t>固定订书机</t>
        </is>
      </c>
      <c r="E96" s="85" t="inlineStr">
        <is>
          <t>方法B</t>
        </is>
      </c>
      <c r="F96" s="85" t="inlineStr">
        <is>
          <t>EgoAnchor</t>
        </is>
      </c>
      <c r="G96" s="85" t="n">
        <v>2</v>
      </c>
      <c r="H96" s="215"/>
      <c r="I96" s="267" t="inlineStr">
        <is>
          <t/>
        </is>
      </c>
      <c r="J96" s="215"/>
      <c r="K96" s="267" t="inlineStr">
        <is>
          <t/>
        </is>
      </c>
      <c r="L96" s="215"/>
      <c r="M96" s="267" t="inlineStr">
        <is>
          <t/>
        </is>
      </c>
      <c r="N96" s="129" t="str">
        <f>IF(COUNT(H96,J96,L96)=3,"完整","缺失")</f>
        <v>缺失</v>
      </c>
      <c r="O96" s="215" t="inlineStr">
        <is>
          <t>是</t>
        </is>
      </c>
      <c r="P96" s="85" t="inlineStr">
        <is>
          <t>是</t>
        </is>
      </c>
      <c r="Q96" s="215" t="inlineStr">
        <is>
          <t>无</t>
        </is>
      </c>
      <c r="R96" s="243" t="inlineStr">
        <is>
          <t/>
        </is>
      </c>
    </row>
    <row r="97">
      <c r="A97" s="90" t="inlineStr">
        <is>
          <t>P016</t>
        </is>
      </c>
      <c r="B97" s="85" t="n">
        <v>3</v>
      </c>
      <c r="C97" s="85" t="n">
        <v>2</v>
      </c>
      <c r="D97" s="85" t="inlineStr">
        <is>
          <t>游戏手柄</t>
        </is>
      </c>
      <c r="E97" s="85" t="inlineStr">
        <is>
          <t>方法B</t>
        </is>
      </c>
      <c r="F97" s="85" t="inlineStr">
        <is>
          <t>EgoAnchor</t>
        </is>
      </c>
      <c r="G97" s="85" t="n">
        <v>1</v>
      </c>
      <c r="H97" s="215"/>
      <c r="I97" s="267" t="inlineStr">
        <is>
          <t/>
        </is>
      </c>
      <c r="J97" s="215"/>
      <c r="K97" s="267" t="inlineStr">
        <is>
          <t/>
        </is>
      </c>
      <c r="L97" s="215"/>
      <c r="M97" s="267" t="inlineStr">
        <is>
          <t/>
        </is>
      </c>
      <c r="N97" s="129" t="str">
        <f>IF(COUNT(H97,J97,L97)=3,"完整","缺失")</f>
        <v>缺失</v>
      </c>
      <c r="O97" s="215" t="inlineStr">
        <is>
          <t>是</t>
        </is>
      </c>
      <c r="P97" s="85" t="inlineStr">
        <is>
          <t>是</t>
        </is>
      </c>
      <c r="Q97" s="215" t="inlineStr">
        <is>
          <t>无</t>
        </is>
      </c>
      <c r="R97" s="243" t="inlineStr">
        <is>
          <t/>
        </is>
      </c>
    </row>
    <row r="98">
      <c r="A98" s="90" t="inlineStr">
        <is>
          <t>P016</t>
        </is>
      </c>
      <c r="B98" s="85" t="n">
        <v>4</v>
      </c>
      <c r="C98" s="85" t="n">
        <v>2</v>
      </c>
      <c r="D98" s="85" t="inlineStr">
        <is>
          <t>游戏手柄</t>
        </is>
      </c>
      <c r="E98" s="85" t="inlineStr">
        <is>
          <t>方法A</t>
        </is>
      </c>
      <c r="F98" s="85" t="inlineStr">
        <is>
          <t>One-Euro</t>
        </is>
      </c>
      <c r="G98" s="85" t="n">
        <v>2</v>
      </c>
      <c r="H98" s="215"/>
      <c r="I98" s="267" t="inlineStr">
        <is>
          <t/>
        </is>
      </c>
      <c r="J98" s="215"/>
      <c r="K98" s="267" t="inlineStr">
        <is>
          <t/>
        </is>
      </c>
      <c r="L98" s="215"/>
      <c r="M98" s="267" t="inlineStr">
        <is>
          <t/>
        </is>
      </c>
      <c r="N98" s="129" t="str">
        <f>IF(COUNT(H98,J98,L98)=3,"完整","缺失")</f>
        <v>缺失</v>
      </c>
      <c r="O98" s="215" t="inlineStr">
        <is>
          <t>是</t>
        </is>
      </c>
      <c r="P98" s="85" t="inlineStr">
        <is>
          <t>是</t>
        </is>
      </c>
      <c r="Q98" s="215" t="inlineStr">
        <is>
          <t>无</t>
        </is>
      </c>
      <c r="R98" s="243" t="inlineStr">
        <is>
          <t/>
        </is>
      </c>
    </row>
    <row r="99">
      <c r="A99" s="90" t="inlineStr">
        <is>
          <t>P016</t>
        </is>
      </c>
      <c r="B99" s="85" t="n">
        <v>5</v>
      </c>
      <c r="C99" s="85" t="n">
        <v>3</v>
      </c>
      <c r="D99" s="85" t="inlineStr">
        <is>
          <t>鼠标</t>
        </is>
      </c>
      <c r="E99" s="85" t="inlineStr">
        <is>
          <t>方法A</t>
        </is>
      </c>
      <c r="F99" s="85" t="inlineStr">
        <is>
          <t>One-Euro</t>
        </is>
      </c>
      <c r="G99" s="85" t="n">
        <v>1</v>
      </c>
      <c r="H99" s="215"/>
      <c r="I99" s="267" t="inlineStr">
        <is>
          <t/>
        </is>
      </c>
      <c r="J99" s="215"/>
      <c r="K99" s="267" t="inlineStr">
        <is>
          <t/>
        </is>
      </c>
      <c r="L99" s="215"/>
      <c r="M99" s="267" t="inlineStr">
        <is>
          <t/>
        </is>
      </c>
      <c r="N99" s="129" t="str">
        <f>IF(COUNT(H99,J99,L99)=3,"完整","缺失")</f>
        <v>缺失</v>
      </c>
      <c r="O99" s="215" t="inlineStr">
        <is>
          <t>是</t>
        </is>
      </c>
      <c r="P99" s="85" t="inlineStr">
        <is>
          <t>是</t>
        </is>
      </c>
      <c r="Q99" s="215" t="inlineStr">
        <is>
          <t>无</t>
        </is>
      </c>
      <c r="R99" s="243" t="inlineStr">
        <is>
          <t/>
        </is>
      </c>
    </row>
    <row r="100">
      <c r="A100" s="90" t="inlineStr">
        <is>
          <t>P016</t>
        </is>
      </c>
      <c r="B100" s="85" t="n">
        <v>6</v>
      </c>
      <c r="C100" s="85" t="n">
        <v>3</v>
      </c>
      <c r="D100" s="85" t="inlineStr">
        <is>
          <t>鼠标</t>
        </is>
      </c>
      <c r="E100" s="85" t="inlineStr">
        <is>
          <t>方法B</t>
        </is>
      </c>
      <c r="F100" s="85" t="inlineStr">
        <is>
          <t>EgoAnchor</t>
        </is>
      </c>
      <c r="G100" s="85" t="n">
        <v>2</v>
      </c>
      <c r="H100" s="215"/>
      <c r="I100" s="267" t="inlineStr">
        <is>
          <t/>
        </is>
      </c>
      <c r="J100" s="215"/>
      <c r="K100" s="267" t="inlineStr">
        <is>
          <t/>
        </is>
      </c>
      <c r="L100" s="215"/>
      <c r="M100" s="267" t="inlineStr">
        <is>
          <t/>
        </is>
      </c>
      <c r="N100" s="129" t="str">
        <f>IF(COUNT(H100,J100,L100)=3,"完整","缺失")</f>
        <v>缺失</v>
      </c>
      <c r="O100" s="215" t="inlineStr">
        <is>
          <t>是</t>
        </is>
      </c>
      <c r="P100" s="85" t="inlineStr">
        <is>
          <t>是</t>
        </is>
      </c>
      <c r="Q100" s="215" t="inlineStr">
        <is>
          <t>无</t>
        </is>
      </c>
      <c r="R100" s="243" t="inlineStr">
        <is>
          <t/>
        </is>
      </c>
    </row>
    <row r="101">
      <c r="A101" s="90" t="inlineStr">
        <is>
          <t>P017</t>
        </is>
      </c>
      <c r="B101" s="85" t="n">
        <v>1</v>
      </c>
      <c r="C101" s="85" t="n">
        <v>1</v>
      </c>
      <c r="D101" s="85" t="inlineStr">
        <is>
          <t>游戏手柄</t>
        </is>
      </c>
      <c r="E101" s="85" t="inlineStr">
        <is>
          <t>方法A</t>
        </is>
      </c>
      <c r="F101" s="85" t="inlineStr">
        <is>
          <t>One-Euro</t>
        </is>
      </c>
      <c r="G101" s="85" t="n">
        <v>1</v>
      </c>
      <c r="H101" s="215"/>
      <c r="I101" s="267" t="inlineStr">
        <is>
          <t/>
        </is>
      </c>
      <c r="J101" s="215"/>
      <c r="K101" s="267" t="inlineStr">
        <is>
          <t/>
        </is>
      </c>
      <c r="L101" s="215"/>
      <c r="M101" s="267" t="inlineStr">
        <is>
          <t/>
        </is>
      </c>
      <c r="N101" s="129" t="str">
        <f>IF(COUNT(H101,J101,L101)=3,"完整","缺失")</f>
        <v>缺失</v>
      </c>
      <c r="O101" s="215" t="inlineStr">
        <is>
          <t>是</t>
        </is>
      </c>
      <c r="P101" s="85" t="inlineStr">
        <is>
          <t>是</t>
        </is>
      </c>
      <c r="Q101" s="215" t="inlineStr">
        <is>
          <t>无</t>
        </is>
      </c>
      <c r="R101" s="243" t="inlineStr">
        <is>
          <t/>
        </is>
      </c>
    </row>
    <row r="102">
      <c r="A102" s="90" t="inlineStr">
        <is>
          <t>P017</t>
        </is>
      </c>
      <c r="B102" s="85" t="n">
        <v>2</v>
      </c>
      <c r="C102" s="85" t="n">
        <v>1</v>
      </c>
      <c r="D102" s="85" t="inlineStr">
        <is>
          <t>游戏手柄</t>
        </is>
      </c>
      <c r="E102" s="85" t="inlineStr">
        <is>
          <t>方法B</t>
        </is>
      </c>
      <c r="F102" s="85" t="inlineStr">
        <is>
          <t>EgoAnchor</t>
        </is>
      </c>
      <c r="G102" s="85" t="n">
        <v>2</v>
      </c>
      <c r="H102" s="215"/>
      <c r="I102" s="267" t="inlineStr">
        <is>
          <t/>
        </is>
      </c>
      <c r="J102" s="215"/>
      <c r="K102" s="267" t="inlineStr">
        <is>
          <t/>
        </is>
      </c>
      <c r="L102" s="215"/>
      <c r="M102" s="267" t="inlineStr">
        <is>
          <t/>
        </is>
      </c>
      <c r="N102" s="129" t="str">
        <f>IF(COUNT(H102,J102,L102)=3,"完整","缺失")</f>
        <v>缺失</v>
      </c>
      <c r="O102" s="215" t="inlineStr">
        <is>
          <t>是</t>
        </is>
      </c>
      <c r="P102" s="85" t="inlineStr">
        <is>
          <t>是</t>
        </is>
      </c>
      <c r="Q102" s="215" t="inlineStr">
        <is>
          <t>无</t>
        </is>
      </c>
      <c r="R102" s="243" t="inlineStr">
        <is>
          <t/>
        </is>
      </c>
    </row>
    <row r="103">
      <c r="A103" s="90" t="inlineStr">
        <is>
          <t>P017</t>
        </is>
      </c>
      <c r="B103" s="85" t="n">
        <v>3</v>
      </c>
      <c r="C103" s="85" t="n">
        <v>2</v>
      </c>
      <c r="D103" s="85" t="inlineStr">
        <is>
          <t>鼠标</t>
        </is>
      </c>
      <c r="E103" s="85" t="inlineStr">
        <is>
          <t>方法B</t>
        </is>
      </c>
      <c r="F103" s="85" t="inlineStr">
        <is>
          <t>EgoAnchor</t>
        </is>
      </c>
      <c r="G103" s="85" t="n">
        <v>1</v>
      </c>
      <c r="H103" s="215"/>
      <c r="I103" s="267" t="inlineStr">
        <is>
          <t/>
        </is>
      </c>
      <c r="J103" s="215"/>
      <c r="K103" s="267" t="inlineStr">
        <is>
          <t/>
        </is>
      </c>
      <c r="L103" s="215"/>
      <c r="M103" s="267" t="inlineStr">
        <is>
          <t/>
        </is>
      </c>
      <c r="N103" s="129" t="str">
        <f>IF(COUNT(H103,J103,L103)=3,"完整","缺失")</f>
        <v>缺失</v>
      </c>
      <c r="O103" s="215" t="inlineStr">
        <is>
          <t>是</t>
        </is>
      </c>
      <c r="P103" s="85" t="inlineStr">
        <is>
          <t>是</t>
        </is>
      </c>
      <c r="Q103" s="215" t="inlineStr">
        <is>
          <t>无</t>
        </is>
      </c>
      <c r="R103" s="243" t="inlineStr">
        <is>
          <t/>
        </is>
      </c>
    </row>
    <row r="104">
      <c r="A104" s="90" t="inlineStr">
        <is>
          <t>P017</t>
        </is>
      </c>
      <c r="B104" s="85" t="n">
        <v>4</v>
      </c>
      <c r="C104" s="85" t="n">
        <v>2</v>
      </c>
      <c r="D104" s="85" t="inlineStr">
        <is>
          <t>鼠标</t>
        </is>
      </c>
      <c r="E104" s="85" t="inlineStr">
        <is>
          <t>方法A</t>
        </is>
      </c>
      <c r="F104" s="85" t="inlineStr">
        <is>
          <t>One-Euro</t>
        </is>
      </c>
      <c r="G104" s="85" t="n">
        <v>2</v>
      </c>
      <c r="H104" s="215"/>
      <c r="I104" s="267" t="inlineStr">
        <is>
          <t/>
        </is>
      </c>
      <c r="J104" s="215"/>
      <c r="K104" s="267" t="inlineStr">
        <is>
          <t/>
        </is>
      </c>
      <c r="L104" s="215"/>
      <c r="M104" s="267" t="inlineStr">
        <is>
          <t/>
        </is>
      </c>
      <c r="N104" s="129" t="str">
        <f>IF(COUNT(H104,J104,L104)=3,"完整","缺失")</f>
        <v>缺失</v>
      </c>
      <c r="O104" s="215" t="inlineStr">
        <is>
          <t>是</t>
        </is>
      </c>
      <c r="P104" s="85" t="inlineStr">
        <is>
          <t>是</t>
        </is>
      </c>
      <c r="Q104" s="215" t="inlineStr">
        <is>
          <t>无</t>
        </is>
      </c>
      <c r="R104" s="243" t="inlineStr">
        <is>
          <t/>
        </is>
      </c>
    </row>
    <row r="105">
      <c r="A105" s="90" t="inlineStr">
        <is>
          <t>P017</t>
        </is>
      </c>
      <c r="B105" s="85" t="n">
        <v>5</v>
      </c>
      <c r="C105" s="85" t="n">
        <v>3</v>
      </c>
      <c r="D105" s="85" t="inlineStr">
        <is>
          <t>固定订书机</t>
        </is>
      </c>
      <c r="E105" s="85" t="inlineStr">
        <is>
          <t>方法A</t>
        </is>
      </c>
      <c r="F105" s="85" t="inlineStr">
        <is>
          <t>One-Euro</t>
        </is>
      </c>
      <c r="G105" s="85" t="n">
        <v>1</v>
      </c>
      <c r="H105" s="215"/>
      <c r="I105" s="267" t="inlineStr">
        <is>
          <t/>
        </is>
      </c>
      <c r="J105" s="215"/>
      <c r="K105" s="267" t="inlineStr">
        <is>
          <t/>
        </is>
      </c>
      <c r="L105" s="215"/>
      <c r="M105" s="267" t="inlineStr">
        <is>
          <t/>
        </is>
      </c>
      <c r="N105" s="129" t="str">
        <f>IF(COUNT(H105,J105,L105)=3,"完整","缺失")</f>
        <v>缺失</v>
      </c>
      <c r="O105" s="215" t="inlineStr">
        <is>
          <t>是</t>
        </is>
      </c>
      <c r="P105" s="85" t="inlineStr">
        <is>
          <t>是</t>
        </is>
      </c>
      <c r="Q105" s="215" t="inlineStr">
        <is>
          <t>无</t>
        </is>
      </c>
      <c r="R105" s="243" t="inlineStr">
        <is>
          <t/>
        </is>
      </c>
    </row>
    <row r="106">
      <c r="A106" s="90" t="inlineStr">
        <is>
          <t>P017</t>
        </is>
      </c>
      <c r="B106" s="85" t="n">
        <v>6</v>
      </c>
      <c r="C106" s="85" t="n">
        <v>3</v>
      </c>
      <c r="D106" s="85" t="inlineStr">
        <is>
          <t>固定订书机</t>
        </is>
      </c>
      <c r="E106" s="85" t="inlineStr">
        <is>
          <t>方法B</t>
        </is>
      </c>
      <c r="F106" s="85" t="inlineStr">
        <is>
          <t>EgoAnchor</t>
        </is>
      </c>
      <c r="G106" s="85" t="n">
        <v>2</v>
      </c>
      <c r="H106" s="215"/>
      <c r="I106" s="267" t="inlineStr">
        <is>
          <t/>
        </is>
      </c>
      <c r="J106" s="215"/>
      <c r="K106" s="267" t="inlineStr">
        <is>
          <t/>
        </is>
      </c>
      <c r="L106" s="215"/>
      <c r="M106" s="267" t="inlineStr">
        <is>
          <t/>
        </is>
      </c>
      <c r="N106" s="129" t="str">
        <f>IF(COUNT(H106,J106,L106)=3,"完整","缺失")</f>
        <v>缺失</v>
      </c>
      <c r="O106" s="215" t="inlineStr">
        <is>
          <t>是</t>
        </is>
      </c>
      <c r="P106" s="85" t="inlineStr">
        <is>
          <t>是</t>
        </is>
      </c>
      <c r="Q106" s="215" t="inlineStr">
        <is>
          <t>无</t>
        </is>
      </c>
      <c r="R106" s="243" t="inlineStr">
        <is>
          <t/>
        </is>
      </c>
    </row>
    <row r="107">
      <c r="A107" s="90" t="inlineStr">
        <is>
          <t>P018</t>
        </is>
      </c>
      <c r="B107" s="85" t="n">
        <v>1</v>
      </c>
      <c r="C107" s="85" t="n">
        <v>1</v>
      </c>
      <c r="D107" s="85" t="inlineStr">
        <is>
          <t>游戏手柄</t>
        </is>
      </c>
      <c r="E107" s="85" t="inlineStr">
        <is>
          <t>方法A</t>
        </is>
      </c>
      <c r="F107" s="85" t="inlineStr">
        <is>
          <t>One-Euro</t>
        </is>
      </c>
      <c r="G107" s="85" t="n">
        <v>1</v>
      </c>
      <c r="H107" s="215"/>
      <c r="I107" s="267" t="inlineStr">
        <is>
          <t/>
        </is>
      </c>
      <c r="J107" s="215"/>
      <c r="K107" s="267" t="inlineStr">
        <is>
          <t/>
        </is>
      </c>
      <c r="L107" s="215"/>
      <c r="M107" s="267" t="inlineStr">
        <is>
          <t/>
        </is>
      </c>
      <c r="N107" s="129" t="str">
        <f>IF(COUNT(H107,J107,L107)=3,"完整","缺失")</f>
        <v>缺失</v>
      </c>
      <c r="O107" s="215" t="inlineStr">
        <is>
          <t>是</t>
        </is>
      </c>
      <c r="P107" s="85" t="inlineStr">
        <is>
          <t>是</t>
        </is>
      </c>
      <c r="Q107" s="215" t="inlineStr">
        <is>
          <t>无</t>
        </is>
      </c>
      <c r="R107" s="243" t="inlineStr">
        <is>
          <t/>
        </is>
      </c>
    </row>
    <row r="108">
      <c r="A108" s="90" t="inlineStr">
        <is>
          <t>P018</t>
        </is>
      </c>
      <c r="B108" s="85" t="n">
        <v>2</v>
      </c>
      <c r="C108" s="85" t="n">
        <v>1</v>
      </c>
      <c r="D108" s="85" t="inlineStr">
        <is>
          <t>游戏手柄</t>
        </is>
      </c>
      <c r="E108" s="85" t="inlineStr">
        <is>
          <t>方法B</t>
        </is>
      </c>
      <c r="F108" s="85" t="inlineStr">
        <is>
          <t>EgoAnchor</t>
        </is>
      </c>
      <c r="G108" s="85" t="n">
        <v>2</v>
      </c>
      <c r="H108" s="215"/>
      <c r="I108" s="267" t="inlineStr">
        <is>
          <t/>
        </is>
      </c>
      <c r="J108" s="215"/>
      <c r="K108" s="267" t="inlineStr">
        <is>
          <t/>
        </is>
      </c>
      <c r="L108" s="215"/>
      <c r="M108" s="267" t="inlineStr">
        <is>
          <t/>
        </is>
      </c>
      <c r="N108" s="129" t="str">
        <f>IF(COUNT(H108,J108,L108)=3,"完整","缺失")</f>
        <v>缺失</v>
      </c>
      <c r="O108" s="215" t="inlineStr">
        <is>
          <t>是</t>
        </is>
      </c>
      <c r="P108" s="85" t="inlineStr">
        <is>
          <t>是</t>
        </is>
      </c>
      <c r="Q108" s="215" t="inlineStr">
        <is>
          <t>无</t>
        </is>
      </c>
      <c r="R108" s="243" t="inlineStr">
        <is>
          <t/>
        </is>
      </c>
    </row>
    <row r="109">
      <c r="A109" s="90" t="inlineStr">
        <is>
          <t>P018</t>
        </is>
      </c>
      <c r="B109" s="85" t="n">
        <v>3</v>
      </c>
      <c r="C109" s="85" t="n">
        <v>2</v>
      </c>
      <c r="D109" s="85" t="inlineStr">
        <is>
          <t>固定订书机</t>
        </is>
      </c>
      <c r="E109" s="85" t="inlineStr">
        <is>
          <t>方法B</t>
        </is>
      </c>
      <c r="F109" s="85" t="inlineStr">
        <is>
          <t>EgoAnchor</t>
        </is>
      </c>
      <c r="G109" s="85" t="n">
        <v>1</v>
      </c>
      <c r="H109" s="215"/>
      <c r="I109" s="267" t="inlineStr">
        <is>
          <t/>
        </is>
      </c>
      <c r="J109" s="215"/>
      <c r="K109" s="267" t="inlineStr">
        <is>
          <t/>
        </is>
      </c>
      <c r="L109" s="215"/>
      <c r="M109" s="267" t="inlineStr">
        <is>
          <t/>
        </is>
      </c>
      <c r="N109" s="129" t="str">
        <f>IF(COUNT(H109,J109,L109)=3,"完整","缺失")</f>
        <v>缺失</v>
      </c>
      <c r="O109" s="215" t="inlineStr">
        <is>
          <t>是</t>
        </is>
      </c>
      <c r="P109" s="85" t="inlineStr">
        <is>
          <t>是</t>
        </is>
      </c>
      <c r="Q109" s="215" t="inlineStr">
        <is>
          <t>无</t>
        </is>
      </c>
      <c r="R109" s="243" t="inlineStr">
        <is>
          <t/>
        </is>
      </c>
    </row>
    <row r="110">
      <c r="A110" s="90" t="inlineStr">
        <is>
          <t>P018</t>
        </is>
      </c>
      <c r="B110" s="85" t="n">
        <v>4</v>
      </c>
      <c r="C110" s="85" t="n">
        <v>2</v>
      </c>
      <c r="D110" s="85" t="inlineStr">
        <is>
          <t>固定订书机</t>
        </is>
      </c>
      <c r="E110" s="85" t="inlineStr">
        <is>
          <t>方法A</t>
        </is>
      </c>
      <c r="F110" s="85" t="inlineStr">
        <is>
          <t>One-Euro</t>
        </is>
      </c>
      <c r="G110" s="85" t="n">
        <v>2</v>
      </c>
      <c r="H110" s="215"/>
      <c r="I110" s="267" t="inlineStr">
        <is>
          <t/>
        </is>
      </c>
      <c r="J110" s="215"/>
      <c r="K110" s="267" t="inlineStr">
        <is>
          <t/>
        </is>
      </c>
      <c r="L110" s="215"/>
      <c r="M110" s="267" t="inlineStr">
        <is>
          <t/>
        </is>
      </c>
      <c r="N110" s="129" t="str">
        <f>IF(COUNT(H110,J110,L110)=3,"完整","缺失")</f>
        <v>缺失</v>
      </c>
      <c r="O110" s="215" t="inlineStr">
        <is>
          <t>是</t>
        </is>
      </c>
      <c r="P110" s="85" t="inlineStr">
        <is>
          <t>是</t>
        </is>
      </c>
      <c r="Q110" s="215" t="inlineStr">
        <is>
          <t>无</t>
        </is>
      </c>
      <c r="R110" s="243" t="inlineStr">
        <is>
          <t/>
        </is>
      </c>
    </row>
    <row r="111">
      <c r="A111" s="90" t="inlineStr">
        <is>
          <t>P018</t>
        </is>
      </c>
      <c r="B111" s="85" t="n">
        <v>5</v>
      </c>
      <c r="C111" s="85" t="n">
        <v>3</v>
      </c>
      <c r="D111" s="85" t="inlineStr">
        <is>
          <t>鼠标</t>
        </is>
      </c>
      <c r="E111" s="85" t="inlineStr">
        <is>
          <t>方法A</t>
        </is>
      </c>
      <c r="F111" s="85" t="inlineStr">
        <is>
          <t>One-Euro</t>
        </is>
      </c>
      <c r="G111" s="85" t="n">
        <v>1</v>
      </c>
      <c r="H111" s="215"/>
      <c r="I111" s="267" t="inlineStr">
        <is>
          <t/>
        </is>
      </c>
      <c r="J111" s="215"/>
      <c r="K111" s="267" t="inlineStr">
        <is>
          <t/>
        </is>
      </c>
      <c r="L111" s="215"/>
      <c r="M111" s="267" t="inlineStr">
        <is>
          <t/>
        </is>
      </c>
      <c r="N111" s="129" t="str">
        <f>IF(COUNT(H111,J111,L111)=3,"完整","缺失")</f>
        <v>缺失</v>
      </c>
      <c r="O111" s="215" t="inlineStr">
        <is>
          <t>是</t>
        </is>
      </c>
      <c r="P111" s="85" t="inlineStr">
        <is>
          <t>是</t>
        </is>
      </c>
      <c r="Q111" s="215" t="inlineStr">
        <is>
          <t>无</t>
        </is>
      </c>
      <c r="R111" s="243" t="inlineStr">
        <is>
          <t/>
        </is>
      </c>
    </row>
    <row r="112">
      <c r="A112" s="90" t="inlineStr">
        <is>
          <t>P018</t>
        </is>
      </c>
      <c r="B112" s="85" t="n">
        <v>6</v>
      </c>
      <c r="C112" s="85" t="n">
        <v>3</v>
      </c>
      <c r="D112" s="85" t="inlineStr">
        <is>
          <t>鼠标</t>
        </is>
      </c>
      <c r="E112" s="85" t="inlineStr">
        <is>
          <t>方法B</t>
        </is>
      </c>
      <c r="F112" s="85" t="inlineStr">
        <is>
          <t>EgoAnchor</t>
        </is>
      </c>
      <c r="G112" s="85" t="n">
        <v>2</v>
      </c>
      <c r="H112" s="215"/>
      <c r="I112" s="267" t="inlineStr">
        <is>
          <t/>
        </is>
      </c>
      <c r="J112" s="215"/>
      <c r="K112" s="267" t="inlineStr">
        <is>
          <t/>
        </is>
      </c>
      <c r="L112" s="215"/>
      <c r="M112" s="267" t="inlineStr">
        <is>
          <t/>
        </is>
      </c>
      <c r="N112" s="129" t="str">
        <f>IF(COUNT(H112,J112,L112)=3,"完整","缺失")</f>
        <v>缺失</v>
      </c>
      <c r="O112" s="215" t="inlineStr">
        <is>
          <t>是</t>
        </is>
      </c>
      <c r="P112" s="85" t="inlineStr">
        <is>
          <t>是</t>
        </is>
      </c>
      <c r="Q112" s="215" t="inlineStr">
        <is>
          <t>无</t>
        </is>
      </c>
      <c r="R112" s="243" t="inlineStr">
        <is>
          <t/>
        </is>
      </c>
    </row>
    <row r="113">
      <c r="A113" s="90" t="inlineStr">
        <is>
          <t>P019</t>
        </is>
      </c>
      <c r="B113" s="85" t="n">
        <v>1</v>
      </c>
      <c r="C113" s="85" t="n">
        <v>1</v>
      </c>
      <c r="D113" s="85" t="inlineStr">
        <is>
          <t>鼠标</t>
        </is>
      </c>
      <c r="E113" s="85" t="inlineStr">
        <is>
          <t>方法B</t>
        </is>
      </c>
      <c r="F113" s="85" t="inlineStr">
        <is>
          <t>EgoAnchor</t>
        </is>
      </c>
      <c r="G113" s="85" t="n">
        <v>1</v>
      </c>
      <c r="H113" s="215"/>
      <c r="I113" s="267" t="inlineStr">
        <is>
          <t/>
        </is>
      </c>
      <c r="J113" s="215"/>
      <c r="K113" s="267" t="inlineStr">
        <is>
          <t/>
        </is>
      </c>
      <c r="L113" s="215"/>
      <c r="M113" s="267" t="inlineStr">
        <is>
          <t/>
        </is>
      </c>
      <c r="N113" s="129" t="str">
        <f>IF(COUNT(H113,J113,L113)=3,"完整","缺失")</f>
        <v>缺失</v>
      </c>
      <c r="O113" s="215" t="inlineStr">
        <is>
          <t>是</t>
        </is>
      </c>
      <c r="P113" s="85" t="inlineStr">
        <is>
          <t>是</t>
        </is>
      </c>
      <c r="Q113" s="215" t="inlineStr">
        <is>
          <t>无</t>
        </is>
      </c>
      <c r="R113" s="243" t="inlineStr">
        <is>
          <t/>
        </is>
      </c>
    </row>
    <row r="114">
      <c r="A114" s="90" t="inlineStr">
        <is>
          <t>P019</t>
        </is>
      </c>
      <c r="B114" s="85" t="n">
        <v>2</v>
      </c>
      <c r="C114" s="85" t="n">
        <v>1</v>
      </c>
      <c r="D114" s="85" t="inlineStr">
        <is>
          <t>鼠标</t>
        </is>
      </c>
      <c r="E114" s="85" t="inlineStr">
        <is>
          <t>方法A</t>
        </is>
      </c>
      <c r="F114" s="85" t="inlineStr">
        <is>
          <t>One-Euro</t>
        </is>
      </c>
      <c r="G114" s="85" t="n">
        <v>2</v>
      </c>
      <c r="H114" s="215"/>
      <c r="I114" s="267" t="inlineStr">
        <is>
          <t/>
        </is>
      </c>
      <c r="J114" s="215"/>
      <c r="K114" s="267" t="inlineStr">
        <is>
          <t/>
        </is>
      </c>
      <c r="L114" s="215"/>
      <c r="M114" s="267" t="inlineStr">
        <is>
          <t/>
        </is>
      </c>
      <c r="N114" s="129" t="str">
        <f>IF(COUNT(H114,J114,L114)=3,"完整","缺失")</f>
        <v>缺失</v>
      </c>
      <c r="O114" s="215" t="inlineStr">
        <is>
          <t>是</t>
        </is>
      </c>
      <c r="P114" s="85" t="inlineStr">
        <is>
          <t>是</t>
        </is>
      </c>
      <c r="Q114" s="215" t="inlineStr">
        <is>
          <t>无</t>
        </is>
      </c>
      <c r="R114" s="243" t="inlineStr">
        <is>
          <t/>
        </is>
      </c>
    </row>
    <row r="115">
      <c r="A115" s="90" t="inlineStr">
        <is>
          <t>P019</t>
        </is>
      </c>
      <c r="B115" s="85" t="n">
        <v>3</v>
      </c>
      <c r="C115" s="85" t="n">
        <v>2</v>
      </c>
      <c r="D115" s="85" t="inlineStr">
        <is>
          <t>固定订书机</t>
        </is>
      </c>
      <c r="E115" s="85" t="inlineStr">
        <is>
          <t>方法A</t>
        </is>
      </c>
      <c r="F115" s="85" t="inlineStr">
        <is>
          <t>One-Euro</t>
        </is>
      </c>
      <c r="G115" s="85" t="n">
        <v>1</v>
      </c>
      <c r="H115" s="215"/>
      <c r="I115" s="267" t="inlineStr">
        <is>
          <t/>
        </is>
      </c>
      <c r="J115" s="215"/>
      <c r="K115" s="267" t="inlineStr">
        <is>
          <t/>
        </is>
      </c>
      <c r="L115" s="215"/>
      <c r="M115" s="267" t="inlineStr">
        <is>
          <t/>
        </is>
      </c>
      <c r="N115" s="129" t="str">
        <f>IF(COUNT(H115,J115,L115)=3,"完整","缺失")</f>
        <v>缺失</v>
      </c>
      <c r="O115" s="215" t="inlineStr">
        <is>
          <t>是</t>
        </is>
      </c>
      <c r="P115" s="85" t="inlineStr">
        <is>
          <t>是</t>
        </is>
      </c>
      <c r="Q115" s="215" t="inlineStr">
        <is>
          <t>无</t>
        </is>
      </c>
      <c r="R115" s="243" t="inlineStr">
        <is>
          <t/>
        </is>
      </c>
    </row>
    <row r="116">
      <c r="A116" s="90" t="inlineStr">
        <is>
          <t>P019</t>
        </is>
      </c>
      <c r="B116" s="85" t="n">
        <v>4</v>
      </c>
      <c r="C116" s="85" t="n">
        <v>2</v>
      </c>
      <c r="D116" s="85" t="inlineStr">
        <is>
          <t>固定订书机</t>
        </is>
      </c>
      <c r="E116" s="85" t="inlineStr">
        <is>
          <t>方法B</t>
        </is>
      </c>
      <c r="F116" s="85" t="inlineStr">
        <is>
          <t>EgoAnchor</t>
        </is>
      </c>
      <c r="G116" s="85" t="n">
        <v>2</v>
      </c>
      <c r="H116" s="215"/>
      <c r="I116" s="267" t="inlineStr">
        <is>
          <t/>
        </is>
      </c>
      <c r="J116" s="215"/>
      <c r="K116" s="267" t="inlineStr">
        <is>
          <t/>
        </is>
      </c>
      <c r="L116" s="215"/>
      <c r="M116" s="267" t="inlineStr">
        <is>
          <t/>
        </is>
      </c>
      <c r="N116" s="129" t="str">
        <f>IF(COUNT(H116,J116,L116)=3,"完整","缺失")</f>
        <v>缺失</v>
      </c>
      <c r="O116" s="215" t="inlineStr">
        <is>
          <t>是</t>
        </is>
      </c>
      <c r="P116" s="85" t="inlineStr">
        <is>
          <t>是</t>
        </is>
      </c>
      <c r="Q116" s="215" t="inlineStr">
        <is>
          <t>无</t>
        </is>
      </c>
      <c r="R116" s="243" t="inlineStr">
        <is>
          <t/>
        </is>
      </c>
    </row>
    <row r="117">
      <c r="A117" s="90" t="inlineStr">
        <is>
          <t>P019</t>
        </is>
      </c>
      <c r="B117" s="85" t="n">
        <v>5</v>
      </c>
      <c r="C117" s="85" t="n">
        <v>3</v>
      </c>
      <c r="D117" s="85" t="inlineStr">
        <is>
          <t>游戏手柄</t>
        </is>
      </c>
      <c r="E117" s="85" t="inlineStr">
        <is>
          <t>方法B</t>
        </is>
      </c>
      <c r="F117" s="85" t="inlineStr">
        <is>
          <t>EgoAnchor</t>
        </is>
      </c>
      <c r="G117" s="85" t="n">
        <v>1</v>
      </c>
      <c r="H117" s="215"/>
      <c r="I117" s="267" t="inlineStr">
        <is>
          <t/>
        </is>
      </c>
      <c r="J117" s="215"/>
      <c r="K117" s="267" t="inlineStr">
        <is>
          <t/>
        </is>
      </c>
      <c r="L117" s="215"/>
      <c r="M117" s="267" t="inlineStr">
        <is>
          <t/>
        </is>
      </c>
      <c r="N117" s="129" t="str">
        <f>IF(COUNT(H117,J117,L117)=3,"完整","缺失")</f>
        <v>缺失</v>
      </c>
      <c r="O117" s="215" t="inlineStr">
        <is>
          <t>是</t>
        </is>
      </c>
      <c r="P117" s="85" t="inlineStr">
        <is>
          <t>是</t>
        </is>
      </c>
      <c r="Q117" s="215" t="inlineStr">
        <is>
          <t>无</t>
        </is>
      </c>
      <c r="R117" s="243" t="inlineStr">
        <is>
          <t/>
        </is>
      </c>
    </row>
    <row r="118">
      <c r="A118" s="90" t="inlineStr">
        <is>
          <t>P019</t>
        </is>
      </c>
      <c r="B118" s="85" t="n">
        <v>6</v>
      </c>
      <c r="C118" s="85" t="n">
        <v>3</v>
      </c>
      <c r="D118" s="85" t="inlineStr">
        <is>
          <t>游戏手柄</t>
        </is>
      </c>
      <c r="E118" s="85" t="inlineStr">
        <is>
          <t>方法A</t>
        </is>
      </c>
      <c r="F118" s="85" t="inlineStr">
        <is>
          <t>One-Euro</t>
        </is>
      </c>
      <c r="G118" s="85" t="n">
        <v>2</v>
      </c>
      <c r="H118" s="215"/>
      <c r="I118" s="267" t="inlineStr">
        <is>
          <t/>
        </is>
      </c>
      <c r="J118" s="215"/>
      <c r="K118" s="267" t="inlineStr">
        <is>
          <t/>
        </is>
      </c>
      <c r="L118" s="215"/>
      <c r="M118" s="267" t="inlineStr">
        <is>
          <t/>
        </is>
      </c>
      <c r="N118" s="129" t="str">
        <f>IF(COUNT(H118,J118,L118)=3,"完整","缺失")</f>
        <v>缺失</v>
      </c>
      <c r="O118" s="215" t="inlineStr">
        <is>
          <t>是</t>
        </is>
      </c>
      <c r="P118" s="85" t="inlineStr">
        <is>
          <t>是</t>
        </is>
      </c>
      <c r="Q118" s="215" t="inlineStr">
        <is>
          <t>无</t>
        </is>
      </c>
      <c r="R118" s="243" t="inlineStr">
        <is>
          <t/>
        </is>
      </c>
    </row>
    <row r="119">
      <c r="A119" s="90" t="inlineStr">
        <is>
          <t>P020</t>
        </is>
      </c>
      <c r="B119" s="85" t="n">
        <v>1</v>
      </c>
      <c r="C119" s="85" t="n">
        <v>1</v>
      </c>
      <c r="D119" s="85" t="inlineStr">
        <is>
          <t>鼠标</t>
        </is>
      </c>
      <c r="E119" s="85" t="inlineStr">
        <is>
          <t>方法B</t>
        </is>
      </c>
      <c r="F119" s="85" t="inlineStr">
        <is>
          <t>EgoAnchor</t>
        </is>
      </c>
      <c r="G119" s="85" t="n">
        <v>1</v>
      </c>
      <c r="H119" s="215"/>
      <c r="I119" s="267" t="inlineStr">
        <is>
          <t/>
        </is>
      </c>
      <c r="J119" s="215"/>
      <c r="K119" s="267" t="inlineStr">
        <is>
          <t/>
        </is>
      </c>
      <c r="L119" s="215"/>
      <c r="M119" s="267" t="inlineStr">
        <is>
          <t/>
        </is>
      </c>
      <c r="N119" s="129" t="str">
        <f>IF(COUNT(H119,J119,L119)=3,"完整","缺失")</f>
        <v>缺失</v>
      </c>
      <c r="O119" s="215" t="inlineStr">
        <is>
          <t>是</t>
        </is>
      </c>
      <c r="P119" s="85" t="inlineStr">
        <is>
          <t>是</t>
        </is>
      </c>
      <c r="Q119" s="215" t="inlineStr">
        <is>
          <t>无</t>
        </is>
      </c>
      <c r="R119" s="243" t="inlineStr">
        <is>
          <t/>
        </is>
      </c>
    </row>
    <row r="120">
      <c r="A120" s="90" t="inlineStr">
        <is>
          <t>P020</t>
        </is>
      </c>
      <c r="B120" s="85" t="n">
        <v>2</v>
      </c>
      <c r="C120" s="85" t="n">
        <v>1</v>
      </c>
      <c r="D120" s="85" t="inlineStr">
        <is>
          <t>鼠标</t>
        </is>
      </c>
      <c r="E120" s="85" t="inlineStr">
        <is>
          <t>方法A</t>
        </is>
      </c>
      <c r="F120" s="85" t="inlineStr">
        <is>
          <t>One-Euro</t>
        </is>
      </c>
      <c r="G120" s="85" t="n">
        <v>2</v>
      </c>
      <c r="H120" s="215"/>
      <c r="I120" s="267" t="inlineStr">
        <is>
          <t/>
        </is>
      </c>
      <c r="J120" s="215"/>
      <c r="K120" s="267" t="inlineStr">
        <is>
          <t/>
        </is>
      </c>
      <c r="L120" s="215"/>
      <c r="M120" s="267" t="inlineStr">
        <is>
          <t/>
        </is>
      </c>
      <c r="N120" s="129" t="str">
        <f>IF(COUNT(H120,J120,L120)=3,"完整","缺失")</f>
        <v>缺失</v>
      </c>
      <c r="O120" s="215" t="inlineStr">
        <is>
          <t>是</t>
        </is>
      </c>
      <c r="P120" s="85" t="inlineStr">
        <is>
          <t>是</t>
        </is>
      </c>
      <c r="Q120" s="215" t="inlineStr">
        <is>
          <t>无</t>
        </is>
      </c>
      <c r="R120" s="243" t="inlineStr">
        <is>
          <t/>
        </is>
      </c>
    </row>
    <row r="121">
      <c r="A121" s="90" t="inlineStr">
        <is>
          <t>P020</t>
        </is>
      </c>
      <c r="B121" s="85" t="n">
        <v>3</v>
      </c>
      <c r="C121" s="85" t="n">
        <v>2</v>
      </c>
      <c r="D121" s="85" t="inlineStr">
        <is>
          <t>游戏手柄</t>
        </is>
      </c>
      <c r="E121" s="85" t="inlineStr">
        <is>
          <t>方法A</t>
        </is>
      </c>
      <c r="F121" s="85" t="inlineStr">
        <is>
          <t>One-Euro</t>
        </is>
      </c>
      <c r="G121" s="85" t="n">
        <v>1</v>
      </c>
      <c r="H121" s="215"/>
      <c r="I121" s="267" t="inlineStr">
        <is>
          <t/>
        </is>
      </c>
      <c r="J121" s="215"/>
      <c r="K121" s="267" t="inlineStr">
        <is>
          <t/>
        </is>
      </c>
      <c r="L121" s="215"/>
      <c r="M121" s="267" t="inlineStr">
        <is>
          <t/>
        </is>
      </c>
      <c r="N121" s="129" t="str">
        <f>IF(COUNT(H121,J121,L121)=3,"完整","缺失")</f>
        <v>缺失</v>
      </c>
      <c r="O121" s="215" t="inlineStr">
        <is>
          <t>是</t>
        </is>
      </c>
      <c r="P121" s="85" t="inlineStr">
        <is>
          <t>是</t>
        </is>
      </c>
      <c r="Q121" s="215" t="inlineStr">
        <is>
          <t>无</t>
        </is>
      </c>
      <c r="R121" s="243" t="inlineStr">
        <is>
          <t/>
        </is>
      </c>
    </row>
    <row r="122">
      <c r="A122" s="90" t="inlineStr">
        <is>
          <t>P020</t>
        </is>
      </c>
      <c r="B122" s="85" t="n">
        <v>4</v>
      </c>
      <c r="C122" s="85" t="n">
        <v>2</v>
      </c>
      <c r="D122" s="85" t="inlineStr">
        <is>
          <t>游戏手柄</t>
        </is>
      </c>
      <c r="E122" s="85" t="inlineStr">
        <is>
          <t>方法B</t>
        </is>
      </c>
      <c r="F122" s="85" t="inlineStr">
        <is>
          <t>EgoAnchor</t>
        </is>
      </c>
      <c r="G122" s="85" t="n">
        <v>2</v>
      </c>
      <c r="H122" s="215"/>
      <c r="I122" s="267" t="inlineStr">
        <is>
          <t/>
        </is>
      </c>
      <c r="J122" s="215"/>
      <c r="K122" s="267" t="inlineStr">
        <is>
          <t/>
        </is>
      </c>
      <c r="L122" s="215"/>
      <c r="M122" s="267" t="inlineStr">
        <is>
          <t/>
        </is>
      </c>
      <c r="N122" s="129" t="str">
        <f>IF(COUNT(H122,J122,L122)=3,"完整","缺失")</f>
        <v>缺失</v>
      </c>
      <c r="O122" s="215" t="inlineStr">
        <is>
          <t>是</t>
        </is>
      </c>
      <c r="P122" s="85" t="inlineStr">
        <is>
          <t>是</t>
        </is>
      </c>
      <c r="Q122" s="215" t="inlineStr">
        <is>
          <t>无</t>
        </is>
      </c>
      <c r="R122" s="243" t="inlineStr">
        <is>
          <t/>
        </is>
      </c>
    </row>
    <row r="123">
      <c r="A123" s="90" t="inlineStr">
        <is>
          <t>P020</t>
        </is>
      </c>
      <c r="B123" s="85" t="n">
        <v>5</v>
      </c>
      <c r="C123" s="85" t="n">
        <v>3</v>
      </c>
      <c r="D123" s="85" t="inlineStr">
        <is>
          <t>固定订书机</t>
        </is>
      </c>
      <c r="E123" s="85" t="inlineStr">
        <is>
          <t>方法B</t>
        </is>
      </c>
      <c r="F123" s="85" t="inlineStr">
        <is>
          <t>EgoAnchor</t>
        </is>
      </c>
      <c r="G123" s="85" t="n">
        <v>1</v>
      </c>
      <c r="H123" s="215"/>
      <c r="I123" s="267" t="inlineStr">
        <is>
          <t/>
        </is>
      </c>
      <c r="J123" s="215"/>
      <c r="K123" s="267" t="inlineStr">
        <is>
          <t/>
        </is>
      </c>
      <c r="L123" s="215"/>
      <c r="M123" s="267" t="inlineStr">
        <is>
          <t/>
        </is>
      </c>
      <c r="N123" s="129" t="str">
        <f>IF(COUNT(H123,J123,L123)=3,"完整","缺失")</f>
        <v>缺失</v>
      </c>
      <c r="O123" s="215" t="inlineStr">
        <is>
          <t>是</t>
        </is>
      </c>
      <c r="P123" s="85" t="inlineStr">
        <is>
          <t>是</t>
        </is>
      </c>
      <c r="Q123" s="215" t="inlineStr">
        <is>
          <t>无</t>
        </is>
      </c>
      <c r="R123" s="243" t="inlineStr">
        <is>
          <t/>
        </is>
      </c>
    </row>
    <row r="124">
      <c r="A124" s="90" t="inlineStr">
        <is>
          <t>P020</t>
        </is>
      </c>
      <c r="B124" s="85" t="n">
        <v>6</v>
      </c>
      <c r="C124" s="85" t="n">
        <v>3</v>
      </c>
      <c r="D124" s="85" t="inlineStr">
        <is>
          <t>固定订书机</t>
        </is>
      </c>
      <c r="E124" s="85" t="inlineStr">
        <is>
          <t>方法A</t>
        </is>
      </c>
      <c r="F124" s="85" t="inlineStr">
        <is>
          <t>One-Euro</t>
        </is>
      </c>
      <c r="G124" s="85" t="n">
        <v>2</v>
      </c>
      <c r="H124" s="215"/>
      <c r="I124" s="267" t="inlineStr">
        <is>
          <t/>
        </is>
      </c>
      <c r="J124" s="215"/>
      <c r="K124" s="267" t="inlineStr">
        <is>
          <t/>
        </is>
      </c>
      <c r="L124" s="215"/>
      <c r="M124" s="267" t="inlineStr">
        <is>
          <t/>
        </is>
      </c>
      <c r="N124" s="129" t="str">
        <f>IF(COUNT(H124,J124,L124)=3,"完整","缺失")</f>
        <v>缺失</v>
      </c>
      <c r="O124" s="215" t="inlineStr">
        <is>
          <t>是</t>
        </is>
      </c>
      <c r="P124" s="85" t="inlineStr">
        <is>
          <t>是</t>
        </is>
      </c>
      <c r="Q124" s="215" t="inlineStr">
        <is>
          <t>无</t>
        </is>
      </c>
      <c r="R124" s="243" t="inlineStr">
        <is>
          <t/>
        </is>
      </c>
    </row>
    <row r="125">
      <c r="A125" s="90" t="inlineStr">
        <is>
          <t>P021</t>
        </is>
      </c>
      <c r="B125" s="85" t="n">
        <v>1</v>
      </c>
      <c r="C125" s="85" t="n">
        <v>1</v>
      </c>
      <c r="D125" s="85" t="inlineStr">
        <is>
          <t>固定订书机</t>
        </is>
      </c>
      <c r="E125" s="85" t="inlineStr">
        <is>
          <t>方法B</t>
        </is>
      </c>
      <c r="F125" s="85" t="inlineStr">
        <is>
          <t>EgoAnchor</t>
        </is>
      </c>
      <c r="G125" s="85" t="n">
        <v>1</v>
      </c>
      <c r="H125" s="215"/>
      <c r="I125" s="267" t="inlineStr">
        <is>
          <t/>
        </is>
      </c>
      <c r="J125" s="215"/>
      <c r="K125" s="267" t="inlineStr">
        <is>
          <t/>
        </is>
      </c>
      <c r="L125" s="215"/>
      <c r="M125" s="267" t="inlineStr">
        <is>
          <t/>
        </is>
      </c>
      <c r="N125" s="129" t="str">
        <f>IF(COUNT(H125,J125,L125)=3,"完整","缺失")</f>
        <v>缺失</v>
      </c>
      <c r="O125" s="215" t="inlineStr">
        <is>
          <t>是</t>
        </is>
      </c>
      <c r="P125" s="85" t="inlineStr">
        <is>
          <t>是</t>
        </is>
      </c>
      <c r="Q125" s="215" t="inlineStr">
        <is>
          <t>无</t>
        </is>
      </c>
      <c r="R125" s="243" t="inlineStr">
        <is>
          <t/>
        </is>
      </c>
    </row>
    <row r="126">
      <c r="A126" s="90" t="inlineStr">
        <is>
          <t>P021</t>
        </is>
      </c>
      <c r="B126" s="85" t="n">
        <v>2</v>
      </c>
      <c r="C126" s="85" t="n">
        <v>1</v>
      </c>
      <c r="D126" s="85" t="inlineStr">
        <is>
          <t>固定订书机</t>
        </is>
      </c>
      <c r="E126" s="85" t="inlineStr">
        <is>
          <t>方法A</t>
        </is>
      </c>
      <c r="F126" s="85" t="inlineStr">
        <is>
          <t>One-Euro</t>
        </is>
      </c>
      <c r="G126" s="85" t="n">
        <v>2</v>
      </c>
      <c r="H126" s="215"/>
      <c r="I126" s="267" t="inlineStr">
        <is>
          <t/>
        </is>
      </c>
      <c r="J126" s="215"/>
      <c r="K126" s="267" t="inlineStr">
        <is>
          <t/>
        </is>
      </c>
      <c r="L126" s="215"/>
      <c r="M126" s="267" t="inlineStr">
        <is>
          <t/>
        </is>
      </c>
      <c r="N126" s="129" t="str">
        <f>IF(COUNT(H126,J126,L126)=3,"完整","缺失")</f>
        <v>缺失</v>
      </c>
      <c r="O126" s="215" t="inlineStr">
        <is>
          <t>是</t>
        </is>
      </c>
      <c r="P126" s="85" t="inlineStr">
        <is>
          <t>是</t>
        </is>
      </c>
      <c r="Q126" s="215" t="inlineStr">
        <is>
          <t>无</t>
        </is>
      </c>
      <c r="R126" s="243" t="inlineStr">
        <is>
          <t/>
        </is>
      </c>
    </row>
    <row r="127">
      <c r="A127" s="90" t="inlineStr">
        <is>
          <t>P021</t>
        </is>
      </c>
      <c r="B127" s="85" t="n">
        <v>3</v>
      </c>
      <c r="C127" s="85" t="n">
        <v>2</v>
      </c>
      <c r="D127" s="85" t="inlineStr">
        <is>
          <t>鼠标</t>
        </is>
      </c>
      <c r="E127" s="85" t="inlineStr">
        <is>
          <t>方法A</t>
        </is>
      </c>
      <c r="F127" s="85" t="inlineStr">
        <is>
          <t>One-Euro</t>
        </is>
      </c>
      <c r="G127" s="85" t="n">
        <v>1</v>
      </c>
      <c r="H127" s="215"/>
      <c r="I127" s="267" t="inlineStr">
        <is>
          <t/>
        </is>
      </c>
      <c r="J127" s="215"/>
      <c r="K127" s="267" t="inlineStr">
        <is>
          <t/>
        </is>
      </c>
      <c r="L127" s="215"/>
      <c r="M127" s="267" t="inlineStr">
        <is>
          <t/>
        </is>
      </c>
      <c r="N127" s="129" t="str">
        <f>IF(COUNT(H127,J127,L127)=3,"完整","缺失")</f>
        <v>缺失</v>
      </c>
      <c r="O127" s="215" t="inlineStr">
        <is>
          <t>是</t>
        </is>
      </c>
      <c r="P127" s="85" t="inlineStr">
        <is>
          <t>是</t>
        </is>
      </c>
      <c r="Q127" s="215" t="inlineStr">
        <is>
          <t>无</t>
        </is>
      </c>
      <c r="R127" s="243" t="inlineStr">
        <is>
          <t/>
        </is>
      </c>
    </row>
    <row r="128">
      <c r="A128" s="90" t="inlineStr">
        <is>
          <t>P021</t>
        </is>
      </c>
      <c r="B128" s="85" t="n">
        <v>4</v>
      </c>
      <c r="C128" s="85" t="n">
        <v>2</v>
      </c>
      <c r="D128" s="85" t="inlineStr">
        <is>
          <t>鼠标</t>
        </is>
      </c>
      <c r="E128" s="85" t="inlineStr">
        <is>
          <t>方法B</t>
        </is>
      </c>
      <c r="F128" s="85" t="inlineStr">
        <is>
          <t>EgoAnchor</t>
        </is>
      </c>
      <c r="G128" s="85" t="n">
        <v>2</v>
      </c>
      <c r="H128" s="215"/>
      <c r="I128" s="267" t="inlineStr">
        <is>
          <t/>
        </is>
      </c>
      <c r="J128" s="215"/>
      <c r="K128" s="267" t="inlineStr">
        <is>
          <t/>
        </is>
      </c>
      <c r="L128" s="215"/>
      <c r="M128" s="267" t="inlineStr">
        <is>
          <t/>
        </is>
      </c>
      <c r="N128" s="129" t="str">
        <f>IF(COUNT(H128,J128,L128)=3,"完整","缺失")</f>
        <v>缺失</v>
      </c>
      <c r="O128" s="215" t="inlineStr">
        <is>
          <t>是</t>
        </is>
      </c>
      <c r="P128" s="85" t="inlineStr">
        <is>
          <t>是</t>
        </is>
      </c>
      <c r="Q128" s="215" t="inlineStr">
        <is>
          <t>无</t>
        </is>
      </c>
      <c r="R128" s="243" t="inlineStr">
        <is>
          <t/>
        </is>
      </c>
    </row>
    <row r="129">
      <c r="A129" s="90" t="inlineStr">
        <is>
          <t>P021</t>
        </is>
      </c>
      <c r="B129" s="85" t="n">
        <v>5</v>
      </c>
      <c r="C129" s="85" t="n">
        <v>3</v>
      </c>
      <c r="D129" s="85" t="inlineStr">
        <is>
          <t>游戏手柄</t>
        </is>
      </c>
      <c r="E129" s="85" t="inlineStr">
        <is>
          <t>方法B</t>
        </is>
      </c>
      <c r="F129" s="85" t="inlineStr">
        <is>
          <t>EgoAnchor</t>
        </is>
      </c>
      <c r="G129" s="85" t="n">
        <v>1</v>
      </c>
      <c r="H129" s="215"/>
      <c r="I129" s="267" t="inlineStr">
        <is>
          <t/>
        </is>
      </c>
      <c r="J129" s="215"/>
      <c r="K129" s="267" t="inlineStr">
        <is>
          <t/>
        </is>
      </c>
      <c r="L129" s="215"/>
      <c r="M129" s="267" t="inlineStr">
        <is>
          <t/>
        </is>
      </c>
      <c r="N129" s="129" t="str">
        <f>IF(COUNT(H129,J129,L129)=3,"完整","缺失")</f>
        <v>缺失</v>
      </c>
      <c r="O129" s="215" t="inlineStr">
        <is>
          <t>是</t>
        </is>
      </c>
      <c r="P129" s="85" t="inlineStr">
        <is>
          <t>是</t>
        </is>
      </c>
      <c r="Q129" s="215" t="inlineStr">
        <is>
          <t>无</t>
        </is>
      </c>
      <c r="R129" s="243" t="inlineStr">
        <is>
          <t/>
        </is>
      </c>
    </row>
    <row r="130">
      <c r="A130" s="90" t="inlineStr">
        <is>
          <t>P021</t>
        </is>
      </c>
      <c r="B130" s="85" t="n">
        <v>6</v>
      </c>
      <c r="C130" s="85" t="n">
        <v>3</v>
      </c>
      <c r="D130" s="85" t="inlineStr">
        <is>
          <t>游戏手柄</t>
        </is>
      </c>
      <c r="E130" s="85" t="inlineStr">
        <is>
          <t>方法A</t>
        </is>
      </c>
      <c r="F130" s="85" t="inlineStr">
        <is>
          <t>One-Euro</t>
        </is>
      </c>
      <c r="G130" s="85" t="n">
        <v>2</v>
      </c>
      <c r="H130" s="215"/>
      <c r="I130" s="267" t="inlineStr">
        <is>
          <t/>
        </is>
      </c>
      <c r="J130" s="215"/>
      <c r="K130" s="267" t="inlineStr">
        <is>
          <t/>
        </is>
      </c>
      <c r="L130" s="215"/>
      <c r="M130" s="267" t="inlineStr">
        <is>
          <t/>
        </is>
      </c>
      <c r="N130" s="129" t="str">
        <f>IF(COUNT(H130,J130,L130)=3,"完整","缺失")</f>
        <v>缺失</v>
      </c>
      <c r="O130" s="215" t="inlineStr">
        <is>
          <t>是</t>
        </is>
      </c>
      <c r="P130" s="85" t="inlineStr">
        <is>
          <t>是</t>
        </is>
      </c>
      <c r="Q130" s="215" t="inlineStr">
        <is>
          <t>无</t>
        </is>
      </c>
      <c r="R130" s="243" t="inlineStr">
        <is>
          <t/>
        </is>
      </c>
    </row>
    <row r="131">
      <c r="A131" s="90" t="inlineStr">
        <is>
          <t>P022</t>
        </is>
      </c>
      <c r="B131" s="85" t="n">
        <v>1</v>
      </c>
      <c r="C131" s="85" t="n">
        <v>1</v>
      </c>
      <c r="D131" s="85" t="inlineStr">
        <is>
          <t>固定订书机</t>
        </is>
      </c>
      <c r="E131" s="85" t="inlineStr">
        <is>
          <t>方法B</t>
        </is>
      </c>
      <c r="F131" s="85" t="inlineStr">
        <is>
          <t>EgoAnchor</t>
        </is>
      </c>
      <c r="G131" s="85" t="n">
        <v>1</v>
      </c>
      <c r="H131" s="215"/>
      <c r="I131" s="267" t="inlineStr">
        <is>
          <t/>
        </is>
      </c>
      <c r="J131" s="215"/>
      <c r="K131" s="267" t="inlineStr">
        <is>
          <t/>
        </is>
      </c>
      <c r="L131" s="215"/>
      <c r="M131" s="267" t="inlineStr">
        <is>
          <t/>
        </is>
      </c>
      <c r="N131" s="129" t="str">
        <f>IF(COUNT(H131,J131,L131)=3,"完整","缺失")</f>
        <v>缺失</v>
      </c>
      <c r="O131" s="215" t="inlineStr">
        <is>
          <t>是</t>
        </is>
      </c>
      <c r="P131" s="85" t="inlineStr">
        <is>
          <t>是</t>
        </is>
      </c>
      <c r="Q131" s="215" t="inlineStr">
        <is>
          <t>无</t>
        </is>
      </c>
      <c r="R131" s="243" t="inlineStr">
        <is>
          <t/>
        </is>
      </c>
    </row>
    <row r="132">
      <c r="A132" s="90" t="inlineStr">
        <is>
          <t>P022</t>
        </is>
      </c>
      <c r="B132" s="85" t="n">
        <v>2</v>
      </c>
      <c r="C132" s="85" t="n">
        <v>1</v>
      </c>
      <c r="D132" s="85" t="inlineStr">
        <is>
          <t>固定订书机</t>
        </is>
      </c>
      <c r="E132" s="85" t="inlineStr">
        <is>
          <t>方法A</t>
        </is>
      </c>
      <c r="F132" s="85" t="inlineStr">
        <is>
          <t>One-Euro</t>
        </is>
      </c>
      <c r="G132" s="85" t="n">
        <v>2</v>
      </c>
      <c r="H132" s="215"/>
      <c r="I132" s="267" t="inlineStr">
        <is>
          <t/>
        </is>
      </c>
      <c r="J132" s="215"/>
      <c r="K132" s="267" t="inlineStr">
        <is>
          <t/>
        </is>
      </c>
      <c r="L132" s="215"/>
      <c r="M132" s="267" t="inlineStr">
        <is>
          <t/>
        </is>
      </c>
      <c r="N132" s="129" t="str">
        <f>IF(COUNT(H132,J132,L132)=3,"完整","缺失")</f>
        <v>缺失</v>
      </c>
      <c r="O132" s="215" t="inlineStr">
        <is>
          <t>是</t>
        </is>
      </c>
      <c r="P132" s="85" t="inlineStr">
        <is>
          <t>是</t>
        </is>
      </c>
      <c r="Q132" s="215" t="inlineStr">
        <is>
          <t>无</t>
        </is>
      </c>
      <c r="R132" s="243" t="inlineStr">
        <is>
          <t/>
        </is>
      </c>
    </row>
    <row r="133">
      <c r="A133" s="90" t="inlineStr">
        <is>
          <t>P022</t>
        </is>
      </c>
      <c r="B133" s="85" t="n">
        <v>3</v>
      </c>
      <c r="C133" s="85" t="n">
        <v>2</v>
      </c>
      <c r="D133" s="85" t="inlineStr">
        <is>
          <t>游戏手柄</t>
        </is>
      </c>
      <c r="E133" s="85" t="inlineStr">
        <is>
          <t>方法A</t>
        </is>
      </c>
      <c r="F133" s="85" t="inlineStr">
        <is>
          <t>One-Euro</t>
        </is>
      </c>
      <c r="G133" s="85" t="n">
        <v>1</v>
      </c>
      <c r="H133" s="215"/>
      <c r="I133" s="267" t="inlineStr">
        <is>
          <t/>
        </is>
      </c>
      <c r="J133" s="215"/>
      <c r="K133" s="267" t="inlineStr">
        <is>
          <t/>
        </is>
      </c>
      <c r="L133" s="215"/>
      <c r="M133" s="267" t="inlineStr">
        <is>
          <t/>
        </is>
      </c>
      <c r="N133" s="129" t="str">
        <f>IF(COUNT(H133,J133,L133)=3,"完整","缺失")</f>
        <v>缺失</v>
      </c>
      <c r="O133" s="215" t="inlineStr">
        <is>
          <t>是</t>
        </is>
      </c>
      <c r="P133" s="85" t="inlineStr">
        <is>
          <t>是</t>
        </is>
      </c>
      <c r="Q133" s="215" t="inlineStr">
        <is>
          <t>无</t>
        </is>
      </c>
      <c r="R133" s="243" t="inlineStr">
        <is>
          <t/>
        </is>
      </c>
    </row>
    <row r="134">
      <c r="A134" s="90" t="inlineStr">
        <is>
          <t>P022</t>
        </is>
      </c>
      <c r="B134" s="85" t="n">
        <v>4</v>
      </c>
      <c r="C134" s="85" t="n">
        <v>2</v>
      </c>
      <c r="D134" s="85" t="inlineStr">
        <is>
          <t>游戏手柄</t>
        </is>
      </c>
      <c r="E134" s="85" t="inlineStr">
        <is>
          <t>方法B</t>
        </is>
      </c>
      <c r="F134" s="85" t="inlineStr">
        <is>
          <t>EgoAnchor</t>
        </is>
      </c>
      <c r="G134" s="85" t="n">
        <v>2</v>
      </c>
      <c r="H134" s="215"/>
      <c r="I134" s="267" t="inlineStr">
        <is>
          <t/>
        </is>
      </c>
      <c r="J134" s="215"/>
      <c r="K134" s="267" t="inlineStr">
        <is>
          <t/>
        </is>
      </c>
      <c r="L134" s="215"/>
      <c r="M134" s="267" t="inlineStr">
        <is>
          <t/>
        </is>
      </c>
      <c r="N134" s="129" t="str">
        <f>IF(COUNT(H134,J134,L134)=3,"完整","缺失")</f>
        <v>缺失</v>
      </c>
      <c r="O134" s="215" t="inlineStr">
        <is>
          <t>是</t>
        </is>
      </c>
      <c r="P134" s="85" t="inlineStr">
        <is>
          <t>是</t>
        </is>
      </c>
      <c r="Q134" s="215" t="inlineStr">
        <is>
          <t>无</t>
        </is>
      </c>
      <c r="R134" s="243" t="inlineStr">
        <is>
          <t/>
        </is>
      </c>
    </row>
    <row r="135">
      <c r="A135" s="90" t="inlineStr">
        <is>
          <t>P022</t>
        </is>
      </c>
      <c r="B135" s="85" t="n">
        <v>5</v>
      </c>
      <c r="C135" s="85" t="n">
        <v>3</v>
      </c>
      <c r="D135" s="85" t="inlineStr">
        <is>
          <t>鼠标</t>
        </is>
      </c>
      <c r="E135" s="85" t="inlineStr">
        <is>
          <t>方法B</t>
        </is>
      </c>
      <c r="F135" s="85" t="inlineStr">
        <is>
          <t>EgoAnchor</t>
        </is>
      </c>
      <c r="G135" s="85" t="n">
        <v>1</v>
      </c>
      <c r="H135" s="215"/>
      <c r="I135" s="267" t="inlineStr">
        <is>
          <t/>
        </is>
      </c>
      <c r="J135" s="215"/>
      <c r="K135" s="267" t="inlineStr">
        <is>
          <t/>
        </is>
      </c>
      <c r="L135" s="215"/>
      <c r="M135" s="267" t="inlineStr">
        <is>
          <t/>
        </is>
      </c>
      <c r="N135" s="129" t="str">
        <f>IF(COUNT(H135,J135,L135)=3,"完整","缺失")</f>
        <v>缺失</v>
      </c>
      <c r="O135" s="215" t="inlineStr">
        <is>
          <t>是</t>
        </is>
      </c>
      <c r="P135" s="85" t="inlineStr">
        <is>
          <t>是</t>
        </is>
      </c>
      <c r="Q135" s="215" t="inlineStr">
        <is>
          <t>无</t>
        </is>
      </c>
      <c r="R135" s="243" t="inlineStr">
        <is>
          <t/>
        </is>
      </c>
    </row>
    <row r="136">
      <c r="A136" s="90" t="inlineStr">
        <is>
          <t>P022</t>
        </is>
      </c>
      <c r="B136" s="85" t="n">
        <v>6</v>
      </c>
      <c r="C136" s="85" t="n">
        <v>3</v>
      </c>
      <c r="D136" s="85" t="inlineStr">
        <is>
          <t>鼠标</t>
        </is>
      </c>
      <c r="E136" s="85" t="inlineStr">
        <is>
          <t>方法A</t>
        </is>
      </c>
      <c r="F136" s="85" t="inlineStr">
        <is>
          <t>One-Euro</t>
        </is>
      </c>
      <c r="G136" s="85" t="n">
        <v>2</v>
      </c>
      <c r="H136" s="215"/>
      <c r="I136" s="267" t="inlineStr">
        <is>
          <t/>
        </is>
      </c>
      <c r="J136" s="215"/>
      <c r="K136" s="267" t="inlineStr">
        <is>
          <t/>
        </is>
      </c>
      <c r="L136" s="215"/>
      <c r="M136" s="267" t="inlineStr">
        <is>
          <t/>
        </is>
      </c>
      <c r="N136" s="129" t="str">
        <f>IF(COUNT(H136,J136,L136)=3,"完整","缺失")</f>
        <v>缺失</v>
      </c>
      <c r="O136" s="215" t="inlineStr">
        <is>
          <t>是</t>
        </is>
      </c>
      <c r="P136" s="85" t="inlineStr">
        <is>
          <t>是</t>
        </is>
      </c>
      <c r="Q136" s="215" t="inlineStr">
        <is>
          <t>无</t>
        </is>
      </c>
      <c r="R136" s="243" t="inlineStr">
        <is>
          <t/>
        </is>
      </c>
    </row>
    <row r="137">
      <c r="A137" s="90" t="inlineStr">
        <is>
          <t>P023</t>
        </is>
      </c>
      <c r="B137" s="85" t="n">
        <v>1</v>
      </c>
      <c r="C137" s="85" t="n">
        <v>1</v>
      </c>
      <c r="D137" s="85" t="inlineStr">
        <is>
          <t>游戏手柄</t>
        </is>
      </c>
      <c r="E137" s="85" t="inlineStr">
        <is>
          <t>方法B</t>
        </is>
      </c>
      <c r="F137" s="85" t="inlineStr">
        <is>
          <t>EgoAnchor</t>
        </is>
      </c>
      <c r="G137" s="85" t="n">
        <v>1</v>
      </c>
      <c r="H137" s="215"/>
      <c r="I137" s="267" t="inlineStr">
        <is>
          <t/>
        </is>
      </c>
      <c r="J137" s="215"/>
      <c r="K137" s="267" t="inlineStr">
        <is>
          <t/>
        </is>
      </c>
      <c r="L137" s="215"/>
      <c r="M137" s="267" t="inlineStr">
        <is>
          <t/>
        </is>
      </c>
      <c r="N137" s="129" t="str">
        <f>IF(COUNT(H137,J137,L137)=3,"完整","缺失")</f>
        <v>缺失</v>
      </c>
      <c r="O137" s="215" t="inlineStr">
        <is>
          <t>是</t>
        </is>
      </c>
      <c r="P137" s="85" t="inlineStr">
        <is>
          <t>是</t>
        </is>
      </c>
      <c r="Q137" s="215" t="inlineStr">
        <is>
          <t>无</t>
        </is>
      </c>
      <c r="R137" s="243" t="inlineStr">
        <is>
          <t/>
        </is>
      </c>
    </row>
    <row r="138">
      <c r="A138" s="90" t="inlineStr">
        <is>
          <t>P023</t>
        </is>
      </c>
      <c r="B138" s="85" t="n">
        <v>2</v>
      </c>
      <c r="C138" s="85" t="n">
        <v>1</v>
      </c>
      <c r="D138" s="85" t="inlineStr">
        <is>
          <t>游戏手柄</t>
        </is>
      </c>
      <c r="E138" s="85" t="inlineStr">
        <is>
          <t>方法A</t>
        </is>
      </c>
      <c r="F138" s="85" t="inlineStr">
        <is>
          <t>One-Euro</t>
        </is>
      </c>
      <c r="G138" s="85" t="n">
        <v>2</v>
      </c>
      <c r="H138" s="215"/>
      <c r="I138" s="267" t="inlineStr">
        <is>
          <t/>
        </is>
      </c>
      <c r="J138" s="215"/>
      <c r="K138" s="267" t="inlineStr">
        <is>
          <t/>
        </is>
      </c>
      <c r="L138" s="215"/>
      <c r="M138" s="267" t="inlineStr">
        <is>
          <t/>
        </is>
      </c>
      <c r="N138" s="129" t="str">
        <f>IF(COUNT(H138,J138,L138)=3,"完整","缺失")</f>
        <v>缺失</v>
      </c>
      <c r="O138" s="215" t="inlineStr">
        <is>
          <t>是</t>
        </is>
      </c>
      <c r="P138" s="85" t="inlineStr">
        <is>
          <t>是</t>
        </is>
      </c>
      <c r="Q138" s="215" t="inlineStr">
        <is>
          <t>无</t>
        </is>
      </c>
      <c r="R138" s="243" t="inlineStr">
        <is>
          <t/>
        </is>
      </c>
    </row>
    <row r="139">
      <c r="A139" s="90" t="inlineStr">
        <is>
          <t>P023</t>
        </is>
      </c>
      <c r="B139" s="85" t="n">
        <v>3</v>
      </c>
      <c r="C139" s="85" t="n">
        <v>2</v>
      </c>
      <c r="D139" s="85" t="inlineStr">
        <is>
          <t>鼠标</t>
        </is>
      </c>
      <c r="E139" s="85" t="inlineStr">
        <is>
          <t>方法A</t>
        </is>
      </c>
      <c r="F139" s="85" t="inlineStr">
        <is>
          <t>One-Euro</t>
        </is>
      </c>
      <c r="G139" s="85" t="n">
        <v>1</v>
      </c>
      <c r="H139" s="215"/>
      <c r="I139" s="267" t="inlineStr">
        <is>
          <t/>
        </is>
      </c>
      <c r="J139" s="215"/>
      <c r="K139" s="267" t="inlineStr">
        <is>
          <t/>
        </is>
      </c>
      <c r="L139" s="215"/>
      <c r="M139" s="267" t="inlineStr">
        <is>
          <t/>
        </is>
      </c>
      <c r="N139" s="129" t="str">
        <f>IF(COUNT(H139,J139,L139)=3,"完整","缺失")</f>
        <v>缺失</v>
      </c>
      <c r="O139" s="215" t="inlineStr">
        <is>
          <t>是</t>
        </is>
      </c>
      <c r="P139" s="85" t="inlineStr">
        <is>
          <t>是</t>
        </is>
      </c>
      <c r="Q139" s="215" t="inlineStr">
        <is>
          <t>无</t>
        </is>
      </c>
      <c r="R139" s="243" t="inlineStr">
        <is>
          <t/>
        </is>
      </c>
    </row>
    <row r="140">
      <c r="A140" s="90" t="inlineStr">
        <is>
          <t>P023</t>
        </is>
      </c>
      <c r="B140" s="85" t="n">
        <v>4</v>
      </c>
      <c r="C140" s="85" t="n">
        <v>2</v>
      </c>
      <c r="D140" s="85" t="inlineStr">
        <is>
          <t>鼠标</t>
        </is>
      </c>
      <c r="E140" s="85" t="inlineStr">
        <is>
          <t>方法B</t>
        </is>
      </c>
      <c r="F140" s="85" t="inlineStr">
        <is>
          <t>EgoAnchor</t>
        </is>
      </c>
      <c r="G140" s="85" t="n">
        <v>2</v>
      </c>
      <c r="H140" s="215"/>
      <c r="I140" s="267" t="inlineStr">
        <is>
          <t/>
        </is>
      </c>
      <c r="J140" s="215"/>
      <c r="K140" s="267" t="inlineStr">
        <is>
          <t/>
        </is>
      </c>
      <c r="L140" s="215"/>
      <c r="M140" s="267" t="inlineStr">
        <is>
          <t/>
        </is>
      </c>
      <c r="N140" s="129" t="str">
        <f>IF(COUNT(H140,J140,L140)=3,"完整","缺失")</f>
        <v>缺失</v>
      </c>
      <c r="O140" s="215" t="inlineStr">
        <is>
          <t>是</t>
        </is>
      </c>
      <c r="P140" s="85" t="inlineStr">
        <is>
          <t>是</t>
        </is>
      </c>
      <c r="Q140" s="215" t="inlineStr">
        <is>
          <t>无</t>
        </is>
      </c>
      <c r="R140" s="243" t="inlineStr">
        <is>
          <t/>
        </is>
      </c>
    </row>
    <row r="141">
      <c r="A141" s="90" t="inlineStr">
        <is>
          <t>P023</t>
        </is>
      </c>
      <c r="B141" s="85" t="n">
        <v>5</v>
      </c>
      <c r="C141" s="85" t="n">
        <v>3</v>
      </c>
      <c r="D141" s="85" t="inlineStr">
        <is>
          <t>固定订书机</t>
        </is>
      </c>
      <c r="E141" s="85" t="inlineStr">
        <is>
          <t>方法B</t>
        </is>
      </c>
      <c r="F141" s="85" t="inlineStr">
        <is>
          <t>EgoAnchor</t>
        </is>
      </c>
      <c r="G141" s="85" t="n">
        <v>1</v>
      </c>
      <c r="H141" s="215"/>
      <c r="I141" s="267" t="inlineStr">
        <is>
          <t/>
        </is>
      </c>
      <c r="J141" s="215"/>
      <c r="K141" s="267" t="inlineStr">
        <is>
          <t/>
        </is>
      </c>
      <c r="L141" s="215"/>
      <c r="M141" s="267" t="inlineStr">
        <is>
          <t/>
        </is>
      </c>
      <c r="N141" s="129" t="str">
        <f>IF(COUNT(H141,J141,L141)=3,"完整","缺失")</f>
        <v>缺失</v>
      </c>
      <c r="O141" s="215" t="inlineStr">
        <is>
          <t>是</t>
        </is>
      </c>
      <c r="P141" s="85" t="inlineStr">
        <is>
          <t>是</t>
        </is>
      </c>
      <c r="Q141" s="215" t="inlineStr">
        <is>
          <t>无</t>
        </is>
      </c>
      <c r="R141" s="243" t="inlineStr">
        <is>
          <t/>
        </is>
      </c>
    </row>
    <row r="142">
      <c r="A142" s="90" t="inlineStr">
        <is>
          <t>P023</t>
        </is>
      </c>
      <c r="B142" s="85" t="n">
        <v>6</v>
      </c>
      <c r="C142" s="85" t="n">
        <v>3</v>
      </c>
      <c r="D142" s="85" t="inlineStr">
        <is>
          <t>固定订书机</t>
        </is>
      </c>
      <c r="E142" s="85" t="inlineStr">
        <is>
          <t>方法A</t>
        </is>
      </c>
      <c r="F142" s="85" t="inlineStr">
        <is>
          <t>One-Euro</t>
        </is>
      </c>
      <c r="G142" s="85" t="n">
        <v>2</v>
      </c>
      <c r="H142" s="215"/>
      <c r="I142" s="267" t="inlineStr">
        <is>
          <t/>
        </is>
      </c>
      <c r="J142" s="215"/>
      <c r="K142" s="267" t="inlineStr">
        <is>
          <t/>
        </is>
      </c>
      <c r="L142" s="215"/>
      <c r="M142" s="267" t="inlineStr">
        <is>
          <t/>
        </is>
      </c>
      <c r="N142" s="129" t="str">
        <f>IF(COUNT(H142,J142,L142)=3,"完整","缺失")</f>
        <v>缺失</v>
      </c>
      <c r="O142" s="215" t="inlineStr">
        <is>
          <t>是</t>
        </is>
      </c>
      <c r="P142" s="85" t="inlineStr">
        <is>
          <t>是</t>
        </is>
      </c>
      <c r="Q142" s="215" t="inlineStr">
        <is>
          <t>无</t>
        </is>
      </c>
      <c r="R142" s="243" t="inlineStr">
        <is>
          <t/>
        </is>
      </c>
    </row>
    <row r="143">
      <c r="A143" s="90" t="inlineStr">
        <is>
          <t>P024</t>
        </is>
      </c>
      <c r="B143" s="85" t="n">
        <v>1</v>
      </c>
      <c r="C143" s="85" t="n">
        <v>1</v>
      </c>
      <c r="D143" s="85" t="inlineStr">
        <is>
          <t>游戏手柄</t>
        </is>
      </c>
      <c r="E143" s="85" t="inlineStr">
        <is>
          <t>方法B</t>
        </is>
      </c>
      <c r="F143" s="85" t="inlineStr">
        <is>
          <t>EgoAnchor</t>
        </is>
      </c>
      <c r="G143" s="85" t="n">
        <v>1</v>
      </c>
      <c r="H143" s="215"/>
      <c r="I143" s="267" t="inlineStr">
        <is>
          <t/>
        </is>
      </c>
      <c r="J143" s="215"/>
      <c r="K143" s="267" t="inlineStr">
        <is>
          <t/>
        </is>
      </c>
      <c r="L143" s="215"/>
      <c r="M143" s="267" t="inlineStr">
        <is>
          <t/>
        </is>
      </c>
      <c r="N143" s="129" t="str">
        <f>IF(COUNT(H143,J143,L143)=3,"完整","缺失")</f>
        <v>缺失</v>
      </c>
      <c r="O143" s="215" t="inlineStr">
        <is>
          <t>是</t>
        </is>
      </c>
      <c r="P143" s="85" t="inlineStr">
        <is>
          <t>是</t>
        </is>
      </c>
      <c r="Q143" s="215" t="inlineStr">
        <is>
          <t>无</t>
        </is>
      </c>
      <c r="R143" s="243" t="inlineStr">
        <is>
          <t/>
        </is>
      </c>
    </row>
    <row r="144">
      <c r="A144" s="90" t="inlineStr">
        <is>
          <t>P024</t>
        </is>
      </c>
      <c r="B144" s="85" t="n">
        <v>2</v>
      </c>
      <c r="C144" s="85" t="n">
        <v>1</v>
      </c>
      <c r="D144" s="85" t="inlineStr">
        <is>
          <t>游戏手柄</t>
        </is>
      </c>
      <c r="E144" s="85" t="inlineStr">
        <is>
          <t>方法A</t>
        </is>
      </c>
      <c r="F144" s="85" t="inlineStr">
        <is>
          <t>One-Euro</t>
        </is>
      </c>
      <c r="G144" s="85" t="n">
        <v>2</v>
      </c>
      <c r="H144" s="215"/>
      <c r="I144" s="267" t="inlineStr">
        <is>
          <t/>
        </is>
      </c>
      <c r="J144" s="215"/>
      <c r="K144" s="267" t="inlineStr">
        <is>
          <t/>
        </is>
      </c>
      <c r="L144" s="215"/>
      <c r="M144" s="267" t="inlineStr">
        <is>
          <t/>
        </is>
      </c>
      <c r="N144" s="129" t="str">
        <f>IF(COUNT(H144,J144,L144)=3,"完整","缺失")</f>
        <v>缺失</v>
      </c>
      <c r="O144" s="215" t="inlineStr">
        <is>
          <t>是</t>
        </is>
      </c>
      <c r="P144" s="85" t="inlineStr">
        <is>
          <t>是</t>
        </is>
      </c>
      <c r="Q144" s="215" t="inlineStr">
        <is>
          <t>无</t>
        </is>
      </c>
      <c r="R144" s="243" t="inlineStr">
        <is>
          <t/>
        </is>
      </c>
    </row>
    <row r="145">
      <c r="A145" s="90" t="inlineStr">
        <is>
          <t>P024</t>
        </is>
      </c>
      <c r="B145" s="85" t="n">
        <v>3</v>
      </c>
      <c r="C145" s="85" t="n">
        <v>2</v>
      </c>
      <c r="D145" s="85" t="inlineStr">
        <is>
          <t>固定订书机</t>
        </is>
      </c>
      <c r="E145" s="85" t="inlineStr">
        <is>
          <t>方法A</t>
        </is>
      </c>
      <c r="F145" s="85" t="inlineStr">
        <is>
          <t>One-Euro</t>
        </is>
      </c>
      <c r="G145" s="85" t="n">
        <v>1</v>
      </c>
      <c r="H145" s="215"/>
      <c r="I145" s="267" t="inlineStr">
        <is>
          <t/>
        </is>
      </c>
      <c r="J145" s="215"/>
      <c r="K145" s="267" t="inlineStr">
        <is>
          <t/>
        </is>
      </c>
      <c r="L145" s="215"/>
      <c r="M145" s="267" t="inlineStr">
        <is>
          <t/>
        </is>
      </c>
      <c r="N145" s="129" t="str">
        <f>IF(COUNT(H145,J145,L145)=3,"完整","缺失")</f>
        <v>缺失</v>
      </c>
      <c r="O145" s="215" t="inlineStr">
        <is>
          <t>是</t>
        </is>
      </c>
      <c r="P145" s="85" t="inlineStr">
        <is>
          <t>是</t>
        </is>
      </c>
      <c r="Q145" s="215" t="inlineStr">
        <is>
          <t>无</t>
        </is>
      </c>
      <c r="R145" s="243" t="inlineStr">
        <is>
          <t/>
        </is>
      </c>
    </row>
    <row r="146">
      <c r="A146" s="90" t="inlineStr">
        <is>
          <t>P024</t>
        </is>
      </c>
      <c r="B146" s="85" t="n">
        <v>4</v>
      </c>
      <c r="C146" s="85" t="n">
        <v>2</v>
      </c>
      <c r="D146" s="85" t="inlineStr">
        <is>
          <t>固定订书机</t>
        </is>
      </c>
      <c r="E146" s="85" t="inlineStr">
        <is>
          <t>方法B</t>
        </is>
      </c>
      <c r="F146" s="85" t="inlineStr">
        <is>
          <t>EgoAnchor</t>
        </is>
      </c>
      <c r="G146" s="85" t="n">
        <v>2</v>
      </c>
      <c r="H146" s="215"/>
      <c r="I146" s="267" t="inlineStr">
        <is>
          <t/>
        </is>
      </c>
      <c r="J146" s="215"/>
      <c r="K146" s="267" t="inlineStr">
        <is>
          <t/>
        </is>
      </c>
      <c r="L146" s="215"/>
      <c r="M146" s="267" t="inlineStr">
        <is>
          <t/>
        </is>
      </c>
      <c r="N146" s="129" t="str">
        <f>IF(COUNT(H146,J146,L146)=3,"完整","缺失")</f>
        <v>缺失</v>
      </c>
      <c r="O146" s="215" t="inlineStr">
        <is>
          <t>是</t>
        </is>
      </c>
      <c r="P146" s="85" t="inlineStr">
        <is>
          <t>是</t>
        </is>
      </c>
      <c r="Q146" s="215" t="inlineStr">
        <is>
          <t>无</t>
        </is>
      </c>
      <c r="R146" s="243" t="inlineStr">
        <is>
          <t/>
        </is>
      </c>
    </row>
    <row r="147">
      <c r="A147" s="90" t="inlineStr">
        <is>
          <t>P024</t>
        </is>
      </c>
      <c r="B147" s="85" t="n">
        <v>5</v>
      </c>
      <c r="C147" s="85" t="n">
        <v>3</v>
      </c>
      <c r="D147" s="85" t="inlineStr">
        <is>
          <t>鼠标</t>
        </is>
      </c>
      <c r="E147" s="85" t="inlineStr">
        <is>
          <t>方法B</t>
        </is>
      </c>
      <c r="F147" s="85" t="inlineStr">
        <is>
          <t>EgoAnchor</t>
        </is>
      </c>
      <c r="G147" s="85" t="n">
        <v>1</v>
      </c>
      <c r="H147" s="215"/>
      <c r="I147" s="267" t="inlineStr">
        <is>
          <t/>
        </is>
      </c>
      <c r="J147" s="215"/>
      <c r="K147" s="267" t="inlineStr">
        <is>
          <t/>
        </is>
      </c>
      <c r="L147" s="215"/>
      <c r="M147" s="267" t="inlineStr">
        <is>
          <t/>
        </is>
      </c>
      <c r="N147" s="129" t="str">
        <f>IF(COUNT(H147,J147,L147)=3,"完整","缺失")</f>
        <v>缺失</v>
      </c>
      <c r="O147" s="215" t="inlineStr">
        <is>
          <t>是</t>
        </is>
      </c>
      <c r="P147" s="85" t="inlineStr">
        <is>
          <t>是</t>
        </is>
      </c>
      <c r="Q147" s="215" t="inlineStr">
        <is>
          <t>无</t>
        </is>
      </c>
      <c r="R147" s="243" t="inlineStr">
        <is>
          <t/>
        </is>
      </c>
    </row>
    <row r="148">
      <c r="A148" s="91" t="inlineStr">
        <is>
          <t>P024</t>
        </is>
      </c>
      <c r="B148" s="109" t="n">
        <v>6</v>
      </c>
      <c r="C148" s="109" t="n">
        <v>3</v>
      </c>
      <c r="D148" s="109" t="inlineStr">
        <is>
          <t>鼠标</t>
        </is>
      </c>
      <c r="E148" s="109" t="inlineStr">
        <is>
          <t>方法A</t>
        </is>
      </c>
      <c r="F148" s="109" t="inlineStr">
        <is>
          <t>One-Euro</t>
        </is>
      </c>
      <c r="G148" s="109" t="n">
        <v>2</v>
      </c>
      <c r="H148" s="218"/>
      <c r="I148" s="268" t="inlineStr">
        <is>
          <t/>
        </is>
      </c>
      <c r="J148" s="218"/>
      <c r="K148" s="268" t="inlineStr">
        <is>
          <t/>
        </is>
      </c>
      <c r="L148" s="218"/>
      <c r="M148" s="268" t="inlineStr">
        <is>
          <t/>
        </is>
      </c>
      <c r="N148" s="131" t="str">
        <f>IF(COUNT(H148,J148,L148)=3,"完整","缺失")</f>
        <v>缺失</v>
      </c>
      <c r="O148" s="218" t="inlineStr">
        <is>
          <t>是</t>
        </is>
      </c>
      <c r="P148" s="109" t="inlineStr">
        <is>
          <t>是</t>
        </is>
      </c>
      <c r="Q148" s="218" t="inlineStr">
        <is>
          <t>无</t>
        </is>
      </c>
      <c r="R148" s="244" t="inlineStr">
        <is>
          <t/>
        </is>
      </c>
    </row>
  </sheetData>
  <mergeCells>
    <mergeCell ref="A1:R1"/>
    <mergeCell ref="A2:R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FormatPr defaultRowHeight="15"/>
  <cols>
    <col min="1" max="1" width="16" hidden="0" customWidth="1"/>
    <col min="2" max="2" width="11" hidden="0" customWidth="1"/>
    <col min="3" max="3" width="16" hidden="0" customWidth="1"/>
    <col min="4" max="4" width="17" hidden="0" customWidth="1"/>
    <col min="5" max="5" width="14" hidden="0" customWidth="1"/>
    <col min="6" max="6" width="17" hidden="0" customWidth="1"/>
    <col min="7" max="7" width="12" hidden="0" customWidth="1"/>
    <col min="8" max="8" width="18" hidden="0" customWidth="1"/>
    <col min="9" max="9" width="20" hidden="0" customWidth="1"/>
    <col min="10" max="10" width="23" hidden="0" customWidth="1"/>
    <col min="11" max="11" width="23" hidden="0" customWidth="1"/>
    <col min="12" max="12" width="18" hidden="0" customWidth="1"/>
    <col min="13" max="13" width="22" hidden="0" customWidth="1"/>
    <col min="14" max="14" width="21" hidden="0" customWidth="1"/>
    <col min="15" max="15" width="24" hidden="0" customWidth="1"/>
    <col min="16" max="16" width="18" hidden="0" customWidth="1"/>
    <col min="17" max="17" width="17" hidden="0" customWidth="1"/>
    <col min="18" max="18" width="14" hidden="0" customWidth="1"/>
    <col min="19" max="19" width="19" hidden="0" customWidth="1"/>
    <col min="20" max="20" width="21" hidden="0" customWidth="1"/>
    <col min="21" max="21" width="35" hidden="0" customWidth="1"/>
  </cols>
  <sheetData>
    <row r="1">
      <c r="A1" s="4" t="inlineStr">
        <is>
          <t>区块级 Augmentation Quality 评分：Embedding 与 Interaction（144行）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68" t="inlineStr">
        <is>
          <t>每个方法×物体区块的三个任务完成后填写6项。K列和O列自动计算完整三项均值；若任一项目缺失则子量表分为空。正式分析保留单项，并以子量表均值作为主要结局。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</row>
    <row r="4">
      <c r="A4" s="26" t="inlineStr">
        <is>
          <t>Participant_ID</t>
        </is>
      </c>
      <c r="B4" s="27" t="inlineStr">
        <is>
          <t>Block_Index</t>
        </is>
      </c>
      <c r="C4" s="27" t="inlineStr">
        <is>
          <t>Object_Position</t>
        </is>
      </c>
      <c r="D4" s="27" t="inlineStr">
        <is>
          <t>Object</t>
        </is>
      </c>
      <c r="E4" s="27" t="inlineStr">
        <is>
          <t>Shown_Label</t>
        </is>
      </c>
      <c r="F4" s="27" t="inlineStr">
        <is>
          <t>Condition</t>
        </is>
      </c>
      <c r="G4" s="27" t="inlineStr">
        <is>
          <t>Cond_Pos</t>
        </is>
      </c>
      <c r="H4" s="27" t="inlineStr">
        <is>
          <t>EQ1_Fusion</t>
        </is>
      </c>
      <c r="I4" s="27" t="inlineStr">
        <is>
          <t>EQ2_Embedded</t>
        </is>
      </c>
      <c r="J4" s="27" t="inlineStr">
        <is>
          <t>EQ3_Scale_Spatial</t>
        </is>
      </c>
      <c r="K4" s="27" t="inlineStr">
        <is>
          <t>EmbeddingQuality_Mean</t>
        </is>
      </c>
      <c r="L4" s="27" t="inlineStr">
        <is>
          <t>IQ1_Intuitive</t>
        </is>
      </c>
      <c r="M4" s="27" t="inlineStr">
        <is>
          <t>IQ2_Prompt_Response</t>
        </is>
      </c>
      <c r="N4" s="27" t="inlineStr">
        <is>
          <t>IQ3_Smooth_Motion</t>
        </is>
      </c>
      <c r="O4" s="27" t="inlineStr">
        <is>
          <t>InteractionQuality_Mean</t>
        </is>
      </c>
      <c r="P4" s="27" t="inlineStr">
        <is>
          <t>Missing_Item_Count</t>
        </is>
      </c>
      <c r="Q4" s="27" t="inlineStr">
        <is>
          <t>Rating_Complete</t>
        </is>
      </c>
      <c r="R4" s="27" t="inlineStr">
        <is>
          <t>Block_Valid</t>
        </is>
      </c>
      <c r="S4" s="27" t="inlineStr">
        <is>
          <t>Participant_Included</t>
        </is>
      </c>
      <c r="T4" s="27" t="inlineStr">
        <is>
          <t>Technical_Issue</t>
        </is>
      </c>
      <c r="U4" s="101" t="inlineStr">
        <is>
          <t>Notes</t>
        </is>
      </c>
    </row>
    <row r="5">
      <c r="A5" s="90" t="inlineStr">
        <is>
          <t>P001</t>
        </is>
      </c>
      <c r="B5" s="85" t="n">
        <v>1</v>
      </c>
      <c r="C5" s="85" t="n">
        <v>1</v>
      </c>
      <c r="D5" s="85" t="inlineStr">
        <is>
          <t>鼠标</t>
        </is>
      </c>
      <c r="E5" s="85" t="inlineStr">
        <is>
          <t>方法A</t>
        </is>
      </c>
      <c r="F5" s="85" t="inlineStr">
        <is>
          <t>EgoAnchor</t>
        </is>
      </c>
      <c r="G5" s="85" t="n">
        <v>1</v>
      </c>
      <c r="H5" s="215"/>
      <c r="I5" s="215"/>
      <c r="J5" s="215"/>
      <c r="K5" s="149" t="str">
        <f>IF(COUNT(H5:J5)=3,AVERAGE(H5:J5),"")</f>
      </c>
      <c r="L5" s="215"/>
      <c r="M5" s="215"/>
      <c r="N5" s="215"/>
      <c r="O5" s="149" t="str">
        <f>IF(COUNT(L5:N5)=3,AVERAGE(L5:N5),"")</f>
      </c>
      <c r="P5" s="129" t="n">
        <f>6-COUNT(H5:J5,L5:N5)</f>
        <v>6</v>
      </c>
      <c r="Q5" s="129" t="str">
        <f>IF(P5=0,"完整","缺失")</f>
        <v>缺失</v>
      </c>
      <c r="R5" s="215" t="inlineStr">
        <is>
          <t>是</t>
        </is>
      </c>
      <c r="S5" s="85" t="inlineStr">
        <is>
          <t>是</t>
        </is>
      </c>
      <c r="T5" s="215" t="inlineStr">
        <is>
          <t>无</t>
        </is>
      </c>
      <c r="U5" s="243" t="inlineStr">
        <is>
          <t/>
        </is>
      </c>
    </row>
    <row r="6">
      <c r="A6" s="90" t="inlineStr">
        <is>
          <t>P001</t>
        </is>
      </c>
      <c r="B6" s="85" t="n">
        <v>2</v>
      </c>
      <c r="C6" s="85" t="n">
        <v>1</v>
      </c>
      <c r="D6" s="85" t="inlineStr">
        <is>
          <t>鼠标</t>
        </is>
      </c>
      <c r="E6" s="85" t="inlineStr">
        <is>
          <t>方法B</t>
        </is>
      </c>
      <c r="F6" s="85" t="inlineStr">
        <is>
          <t>One-Euro</t>
        </is>
      </c>
      <c r="G6" s="85" t="n">
        <v>2</v>
      </c>
      <c r="H6" s="215"/>
      <c r="I6" s="215"/>
      <c r="J6" s="215"/>
      <c r="K6" s="149" t="str">
        <f>IF(COUNT(H6:J6)=3,AVERAGE(H6:J6),"")</f>
      </c>
      <c r="L6" s="215"/>
      <c r="M6" s="215"/>
      <c r="N6" s="215"/>
      <c r="O6" s="149" t="str">
        <f>IF(COUNT(L6:N6)=3,AVERAGE(L6:N6),"")</f>
      </c>
      <c r="P6" s="129" t="n">
        <f>6-COUNT(H6:J6,L6:N6)</f>
        <v>6</v>
      </c>
      <c r="Q6" s="129" t="str">
        <f>IF(P6=0,"完整","缺失")</f>
        <v>缺失</v>
      </c>
      <c r="R6" s="215" t="inlineStr">
        <is>
          <t>是</t>
        </is>
      </c>
      <c r="S6" s="85" t="inlineStr">
        <is>
          <t>是</t>
        </is>
      </c>
      <c r="T6" s="215" t="inlineStr">
        <is>
          <t>无</t>
        </is>
      </c>
      <c r="U6" s="243" t="inlineStr">
        <is>
          <t/>
        </is>
      </c>
    </row>
    <row r="7">
      <c r="A7" s="90" t="inlineStr">
        <is>
          <t>P001</t>
        </is>
      </c>
      <c r="B7" s="85" t="n">
        <v>3</v>
      </c>
      <c r="C7" s="85" t="n">
        <v>2</v>
      </c>
      <c r="D7" s="85" t="inlineStr">
        <is>
          <t>固定订书机</t>
        </is>
      </c>
      <c r="E7" s="85" t="inlineStr">
        <is>
          <t>方法B</t>
        </is>
      </c>
      <c r="F7" s="85" t="inlineStr">
        <is>
          <t>One-Euro</t>
        </is>
      </c>
      <c r="G7" s="85" t="n">
        <v>1</v>
      </c>
      <c r="H7" s="215"/>
      <c r="I7" s="215"/>
      <c r="J7" s="215"/>
      <c r="K7" s="149" t="str">
        <f>IF(COUNT(H7:J7)=3,AVERAGE(H7:J7),"")</f>
      </c>
      <c r="L7" s="215"/>
      <c r="M7" s="215"/>
      <c r="N7" s="215"/>
      <c r="O7" s="149" t="str">
        <f>IF(COUNT(L7:N7)=3,AVERAGE(L7:N7),"")</f>
      </c>
      <c r="P7" s="129" t="n">
        <f>6-COUNT(H7:J7,L7:N7)</f>
        <v>6</v>
      </c>
      <c r="Q7" s="129" t="str">
        <f>IF(P7=0,"完整","缺失")</f>
        <v>缺失</v>
      </c>
      <c r="R7" s="215" t="inlineStr">
        <is>
          <t>是</t>
        </is>
      </c>
      <c r="S7" s="85" t="inlineStr">
        <is>
          <t>是</t>
        </is>
      </c>
      <c r="T7" s="215" t="inlineStr">
        <is>
          <t>无</t>
        </is>
      </c>
      <c r="U7" s="243" t="inlineStr">
        <is>
          <t/>
        </is>
      </c>
    </row>
    <row r="8">
      <c r="A8" s="90" t="inlineStr">
        <is>
          <t>P001</t>
        </is>
      </c>
      <c r="B8" s="85" t="n">
        <v>4</v>
      </c>
      <c r="C8" s="85" t="n">
        <v>2</v>
      </c>
      <c r="D8" s="85" t="inlineStr">
        <is>
          <t>固定订书机</t>
        </is>
      </c>
      <c r="E8" s="85" t="inlineStr">
        <is>
          <t>方法A</t>
        </is>
      </c>
      <c r="F8" s="85" t="inlineStr">
        <is>
          <t>EgoAnchor</t>
        </is>
      </c>
      <c r="G8" s="85" t="n">
        <v>2</v>
      </c>
      <c r="H8" s="215"/>
      <c r="I8" s="215"/>
      <c r="J8" s="215"/>
      <c r="K8" s="149" t="str">
        <f>IF(COUNT(H8:J8)=3,AVERAGE(H8:J8),"")</f>
      </c>
      <c r="L8" s="215"/>
      <c r="M8" s="215"/>
      <c r="N8" s="215"/>
      <c r="O8" s="149" t="str">
        <f>IF(COUNT(L8:N8)=3,AVERAGE(L8:N8),"")</f>
      </c>
      <c r="P8" s="129" t="n">
        <f>6-COUNT(H8:J8,L8:N8)</f>
        <v>6</v>
      </c>
      <c r="Q8" s="129" t="str">
        <f>IF(P8=0,"完整","缺失")</f>
        <v>缺失</v>
      </c>
      <c r="R8" s="215" t="inlineStr">
        <is>
          <t>是</t>
        </is>
      </c>
      <c r="S8" s="85" t="inlineStr">
        <is>
          <t>是</t>
        </is>
      </c>
      <c r="T8" s="215" t="inlineStr">
        <is>
          <t>无</t>
        </is>
      </c>
      <c r="U8" s="243" t="inlineStr">
        <is>
          <t/>
        </is>
      </c>
    </row>
    <row r="9">
      <c r="A9" s="90" t="inlineStr">
        <is>
          <t>P001</t>
        </is>
      </c>
      <c r="B9" s="85" t="n">
        <v>5</v>
      </c>
      <c r="C9" s="85" t="n">
        <v>3</v>
      </c>
      <c r="D9" s="85" t="inlineStr">
        <is>
          <t>游戏手柄</t>
        </is>
      </c>
      <c r="E9" s="85" t="inlineStr">
        <is>
          <t>方法A</t>
        </is>
      </c>
      <c r="F9" s="85" t="inlineStr">
        <is>
          <t>EgoAnchor</t>
        </is>
      </c>
      <c r="G9" s="85" t="n">
        <v>1</v>
      </c>
      <c r="H9" s="215"/>
      <c r="I9" s="215"/>
      <c r="J9" s="215"/>
      <c r="K9" s="149" t="str">
        <f>IF(COUNT(H9:J9)=3,AVERAGE(H9:J9),"")</f>
      </c>
      <c r="L9" s="215"/>
      <c r="M9" s="215"/>
      <c r="N9" s="215"/>
      <c r="O9" s="149" t="str">
        <f>IF(COUNT(L9:N9)=3,AVERAGE(L9:N9),"")</f>
      </c>
      <c r="P9" s="129" t="n">
        <f>6-COUNT(H9:J9,L9:N9)</f>
        <v>6</v>
      </c>
      <c r="Q9" s="129" t="str">
        <f>IF(P9=0,"完整","缺失")</f>
        <v>缺失</v>
      </c>
      <c r="R9" s="215" t="inlineStr">
        <is>
          <t>是</t>
        </is>
      </c>
      <c r="S9" s="85" t="inlineStr">
        <is>
          <t>是</t>
        </is>
      </c>
      <c r="T9" s="215" t="inlineStr">
        <is>
          <t>无</t>
        </is>
      </c>
      <c r="U9" s="243" t="inlineStr">
        <is>
          <t/>
        </is>
      </c>
    </row>
    <row r="10">
      <c r="A10" s="90" t="inlineStr">
        <is>
          <t>P001</t>
        </is>
      </c>
      <c r="B10" s="85" t="n">
        <v>6</v>
      </c>
      <c r="C10" s="85" t="n">
        <v>3</v>
      </c>
      <c r="D10" s="85" t="inlineStr">
        <is>
          <t>游戏手柄</t>
        </is>
      </c>
      <c r="E10" s="85" t="inlineStr">
        <is>
          <t>方法B</t>
        </is>
      </c>
      <c r="F10" s="85" t="inlineStr">
        <is>
          <t>One-Euro</t>
        </is>
      </c>
      <c r="G10" s="85" t="n">
        <v>2</v>
      </c>
      <c r="H10" s="215"/>
      <c r="I10" s="215"/>
      <c r="J10" s="215"/>
      <c r="K10" s="149" t="str">
        <f>IF(COUNT(H10:J10)=3,AVERAGE(H10:J10),"")</f>
      </c>
      <c r="L10" s="215"/>
      <c r="M10" s="215"/>
      <c r="N10" s="215"/>
      <c r="O10" s="149" t="str">
        <f>IF(COUNT(L10:N10)=3,AVERAGE(L10:N10),"")</f>
      </c>
      <c r="P10" s="129" t="n">
        <f>6-COUNT(H10:J10,L10:N10)</f>
        <v>6</v>
      </c>
      <c r="Q10" s="129" t="str">
        <f>IF(P10=0,"完整","缺失")</f>
        <v>缺失</v>
      </c>
      <c r="R10" s="215" t="inlineStr">
        <is>
          <t>是</t>
        </is>
      </c>
      <c r="S10" s="85" t="inlineStr">
        <is>
          <t>是</t>
        </is>
      </c>
      <c r="T10" s="215" t="inlineStr">
        <is>
          <t>无</t>
        </is>
      </c>
      <c r="U10" s="243" t="inlineStr">
        <is>
          <t/>
        </is>
      </c>
    </row>
    <row r="11">
      <c r="A11" s="90" t="inlineStr">
        <is>
          <t>P002</t>
        </is>
      </c>
      <c r="B11" s="85" t="n">
        <v>1</v>
      </c>
      <c r="C11" s="85" t="n">
        <v>1</v>
      </c>
      <c r="D11" s="85" t="inlineStr">
        <is>
          <t>鼠标</t>
        </is>
      </c>
      <c r="E11" s="85" t="inlineStr">
        <is>
          <t>方法A</t>
        </is>
      </c>
      <c r="F11" s="85" t="inlineStr">
        <is>
          <t>EgoAnchor</t>
        </is>
      </c>
      <c r="G11" s="85" t="n">
        <v>1</v>
      </c>
      <c r="H11" s="215"/>
      <c r="I11" s="215"/>
      <c r="J11" s="215"/>
      <c r="K11" s="149" t="str">
        <f>IF(COUNT(H11:J11)=3,AVERAGE(H11:J11),"")</f>
      </c>
      <c r="L11" s="215"/>
      <c r="M11" s="215"/>
      <c r="N11" s="215"/>
      <c r="O11" s="149" t="str">
        <f>IF(COUNT(L11:N11)=3,AVERAGE(L11:N11),"")</f>
      </c>
      <c r="P11" s="129" t="n">
        <f>6-COUNT(H11:J11,L11:N11)</f>
        <v>6</v>
      </c>
      <c r="Q11" s="129" t="str">
        <f>IF(P11=0,"完整","缺失")</f>
        <v>缺失</v>
      </c>
      <c r="R11" s="215" t="inlineStr">
        <is>
          <t>是</t>
        </is>
      </c>
      <c r="S11" s="85" t="inlineStr">
        <is>
          <t>是</t>
        </is>
      </c>
      <c r="T11" s="215" t="inlineStr">
        <is>
          <t>无</t>
        </is>
      </c>
      <c r="U11" s="243" t="inlineStr">
        <is>
          <t/>
        </is>
      </c>
    </row>
    <row r="12">
      <c r="A12" s="90" t="inlineStr">
        <is>
          <t>P002</t>
        </is>
      </c>
      <c r="B12" s="85" t="n">
        <v>2</v>
      </c>
      <c r="C12" s="85" t="n">
        <v>1</v>
      </c>
      <c r="D12" s="85" t="inlineStr">
        <is>
          <t>鼠标</t>
        </is>
      </c>
      <c r="E12" s="85" t="inlineStr">
        <is>
          <t>方法B</t>
        </is>
      </c>
      <c r="F12" s="85" t="inlineStr">
        <is>
          <t>One-Euro</t>
        </is>
      </c>
      <c r="G12" s="85" t="n">
        <v>2</v>
      </c>
      <c r="H12" s="215"/>
      <c r="I12" s="215"/>
      <c r="J12" s="215"/>
      <c r="K12" s="149" t="str">
        <f>IF(COUNT(H12:J12)=3,AVERAGE(H12:J12),"")</f>
      </c>
      <c r="L12" s="215"/>
      <c r="M12" s="215"/>
      <c r="N12" s="215"/>
      <c r="O12" s="149" t="str">
        <f>IF(COUNT(L12:N12)=3,AVERAGE(L12:N12),"")</f>
      </c>
      <c r="P12" s="129" t="n">
        <f>6-COUNT(H12:J12,L12:N12)</f>
        <v>6</v>
      </c>
      <c r="Q12" s="129" t="str">
        <f>IF(P12=0,"完整","缺失")</f>
        <v>缺失</v>
      </c>
      <c r="R12" s="215" t="inlineStr">
        <is>
          <t>是</t>
        </is>
      </c>
      <c r="S12" s="85" t="inlineStr">
        <is>
          <t>是</t>
        </is>
      </c>
      <c r="T12" s="215" t="inlineStr">
        <is>
          <t>无</t>
        </is>
      </c>
      <c r="U12" s="243" t="inlineStr">
        <is>
          <t/>
        </is>
      </c>
    </row>
    <row r="13">
      <c r="A13" s="90" t="inlineStr">
        <is>
          <t>P002</t>
        </is>
      </c>
      <c r="B13" s="85" t="n">
        <v>3</v>
      </c>
      <c r="C13" s="85" t="n">
        <v>2</v>
      </c>
      <c r="D13" s="85" t="inlineStr">
        <is>
          <t>游戏手柄</t>
        </is>
      </c>
      <c r="E13" s="85" t="inlineStr">
        <is>
          <t>方法B</t>
        </is>
      </c>
      <c r="F13" s="85" t="inlineStr">
        <is>
          <t>One-Euro</t>
        </is>
      </c>
      <c r="G13" s="85" t="n">
        <v>1</v>
      </c>
      <c r="H13" s="215"/>
      <c r="I13" s="215"/>
      <c r="J13" s="215"/>
      <c r="K13" s="149" t="str">
        <f>IF(COUNT(H13:J13)=3,AVERAGE(H13:J13),"")</f>
      </c>
      <c r="L13" s="215"/>
      <c r="M13" s="215"/>
      <c r="N13" s="215"/>
      <c r="O13" s="149" t="str">
        <f>IF(COUNT(L13:N13)=3,AVERAGE(L13:N13),"")</f>
      </c>
      <c r="P13" s="129" t="n">
        <f>6-COUNT(H13:J13,L13:N13)</f>
        <v>6</v>
      </c>
      <c r="Q13" s="129" t="str">
        <f>IF(P13=0,"完整","缺失")</f>
        <v>缺失</v>
      </c>
      <c r="R13" s="215" t="inlineStr">
        <is>
          <t>是</t>
        </is>
      </c>
      <c r="S13" s="85" t="inlineStr">
        <is>
          <t>是</t>
        </is>
      </c>
      <c r="T13" s="215" t="inlineStr">
        <is>
          <t>无</t>
        </is>
      </c>
      <c r="U13" s="243" t="inlineStr">
        <is>
          <t/>
        </is>
      </c>
    </row>
    <row r="14">
      <c r="A14" s="90" t="inlineStr">
        <is>
          <t>P002</t>
        </is>
      </c>
      <c r="B14" s="85" t="n">
        <v>4</v>
      </c>
      <c r="C14" s="85" t="n">
        <v>2</v>
      </c>
      <c r="D14" s="85" t="inlineStr">
        <is>
          <t>游戏手柄</t>
        </is>
      </c>
      <c r="E14" s="85" t="inlineStr">
        <is>
          <t>方法A</t>
        </is>
      </c>
      <c r="F14" s="85" t="inlineStr">
        <is>
          <t>EgoAnchor</t>
        </is>
      </c>
      <c r="G14" s="85" t="n">
        <v>2</v>
      </c>
      <c r="H14" s="215"/>
      <c r="I14" s="215"/>
      <c r="J14" s="215"/>
      <c r="K14" s="149" t="str">
        <f>IF(COUNT(H14:J14)=3,AVERAGE(H14:J14),"")</f>
      </c>
      <c r="L14" s="215"/>
      <c r="M14" s="215"/>
      <c r="N14" s="215"/>
      <c r="O14" s="149" t="str">
        <f>IF(COUNT(L14:N14)=3,AVERAGE(L14:N14),"")</f>
      </c>
      <c r="P14" s="129" t="n">
        <f>6-COUNT(H14:J14,L14:N14)</f>
        <v>6</v>
      </c>
      <c r="Q14" s="129" t="str">
        <f>IF(P14=0,"完整","缺失")</f>
        <v>缺失</v>
      </c>
      <c r="R14" s="215" t="inlineStr">
        <is>
          <t>是</t>
        </is>
      </c>
      <c r="S14" s="85" t="inlineStr">
        <is>
          <t>是</t>
        </is>
      </c>
      <c r="T14" s="215" t="inlineStr">
        <is>
          <t>无</t>
        </is>
      </c>
      <c r="U14" s="243" t="inlineStr">
        <is>
          <t/>
        </is>
      </c>
    </row>
    <row r="15">
      <c r="A15" s="90" t="inlineStr">
        <is>
          <t>P002</t>
        </is>
      </c>
      <c r="B15" s="85" t="n">
        <v>5</v>
      </c>
      <c r="C15" s="85" t="n">
        <v>3</v>
      </c>
      <c r="D15" s="85" t="inlineStr">
        <is>
          <t>固定订书机</t>
        </is>
      </c>
      <c r="E15" s="85" t="inlineStr">
        <is>
          <t>方法A</t>
        </is>
      </c>
      <c r="F15" s="85" t="inlineStr">
        <is>
          <t>EgoAnchor</t>
        </is>
      </c>
      <c r="G15" s="85" t="n">
        <v>1</v>
      </c>
      <c r="H15" s="215"/>
      <c r="I15" s="215"/>
      <c r="J15" s="215"/>
      <c r="K15" s="149" t="str">
        <f>IF(COUNT(H15:J15)=3,AVERAGE(H15:J15),"")</f>
      </c>
      <c r="L15" s="215"/>
      <c r="M15" s="215"/>
      <c r="N15" s="215"/>
      <c r="O15" s="149" t="str">
        <f>IF(COUNT(L15:N15)=3,AVERAGE(L15:N15),"")</f>
      </c>
      <c r="P15" s="129" t="n">
        <f>6-COUNT(H15:J15,L15:N15)</f>
        <v>6</v>
      </c>
      <c r="Q15" s="129" t="str">
        <f>IF(P15=0,"完整","缺失")</f>
        <v>缺失</v>
      </c>
      <c r="R15" s="215" t="inlineStr">
        <is>
          <t>是</t>
        </is>
      </c>
      <c r="S15" s="85" t="inlineStr">
        <is>
          <t>是</t>
        </is>
      </c>
      <c r="T15" s="215" t="inlineStr">
        <is>
          <t>无</t>
        </is>
      </c>
      <c r="U15" s="243" t="inlineStr">
        <is>
          <t/>
        </is>
      </c>
    </row>
    <row r="16">
      <c r="A16" s="90" t="inlineStr">
        <is>
          <t>P002</t>
        </is>
      </c>
      <c r="B16" s="85" t="n">
        <v>6</v>
      </c>
      <c r="C16" s="85" t="n">
        <v>3</v>
      </c>
      <c r="D16" s="85" t="inlineStr">
        <is>
          <t>固定订书机</t>
        </is>
      </c>
      <c r="E16" s="85" t="inlineStr">
        <is>
          <t>方法B</t>
        </is>
      </c>
      <c r="F16" s="85" t="inlineStr">
        <is>
          <t>One-Euro</t>
        </is>
      </c>
      <c r="G16" s="85" t="n">
        <v>2</v>
      </c>
      <c r="H16" s="215"/>
      <c r="I16" s="215"/>
      <c r="J16" s="215"/>
      <c r="K16" s="149" t="str">
        <f>IF(COUNT(H16:J16)=3,AVERAGE(H16:J16),"")</f>
      </c>
      <c r="L16" s="215"/>
      <c r="M16" s="215"/>
      <c r="N16" s="215"/>
      <c r="O16" s="149" t="str">
        <f>IF(COUNT(L16:N16)=3,AVERAGE(L16:N16),"")</f>
      </c>
      <c r="P16" s="129" t="n">
        <f>6-COUNT(H16:J16,L16:N16)</f>
        <v>6</v>
      </c>
      <c r="Q16" s="129" t="str">
        <f>IF(P16=0,"完整","缺失")</f>
        <v>缺失</v>
      </c>
      <c r="R16" s="215" t="inlineStr">
        <is>
          <t>是</t>
        </is>
      </c>
      <c r="S16" s="85" t="inlineStr">
        <is>
          <t>是</t>
        </is>
      </c>
      <c r="T16" s="215" t="inlineStr">
        <is>
          <t>无</t>
        </is>
      </c>
      <c r="U16" s="243" t="inlineStr">
        <is>
          <t/>
        </is>
      </c>
    </row>
    <row r="17">
      <c r="A17" s="90" t="inlineStr">
        <is>
          <t>P003</t>
        </is>
      </c>
      <c r="B17" s="85" t="n">
        <v>1</v>
      </c>
      <c r="C17" s="85" t="n">
        <v>1</v>
      </c>
      <c r="D17" s="85" t="inlineStr">
        <is>
          <t>固定订书机</t>
        </is>
      </c>
      <c r="E17" s="85" t="inlineStr">
        <is>
          <t>方法A</t>
        </is>
      </c>
      <c r="F17" s="85" t="inlineStr">
        <is>
          <t>EgoAnchor</t>
        </is>
      </c>
      <c r="G17" s="85" t="n">
        <v>1</v>
      </c>
      <c r="H17" s="215"/>
      <c r="I17" s="215"/>
      <c r="J17" s="215"/>
      <c r="K17" s="149" t="str">
        <f>IF(COUNT(H17:J17)=3,AVERAGE(H17:J17),"")</f>
      </c>
      <c r="L17" s="215"/>
      <c r="M17" s="215"/>
      <c r="N17" s="215"/>
      <c r="O17" s="149" t="str">
        <f>IF(COUNT(L17:N17)=3,AVERAGE(L17:N17),"")</f>
      </c>
      <c r="P17" s="129" t="n">
        <f>6-COUNT(H17:J17,L17:N17)</f>
        <v>6</v>
      </c>
      <c r="Q17" s="129" t="str">
        <f>IF(P17=0,"完整","缺失")</f>
        <v>缺失</v>
      </c>
      <c r="R17" s="215" t="inlineStr">
        <is>
          <t>是</t>
        </is>
      </c>
      <c r="S17" s="85" t="inlineStr">
        <is>
          <t>是</t>
        </is>
      </c>
      <c r="T17" s="215" t="inlineStr">
        <is>
          <t>无</t>
        </is>
      </c>
      <c r="U17" s="243" t="inlineStr">
        <is>
          <t/>
        </is>
      </c>
    </row>
    <row r="18">
      <c r="A18" s="90" t="inlineStr">
        <is>
          <t>P003</t>
        </is>
      </c>
      <c r="B18" s="85" t="n">
        <v>2</v>
      </c>
      <c r="C18" s="85" t="n">
        <v>1</v>
      </c>
      <c r="D18" s="85" t="inlineStr">
        <is>
          <t>固定订书机</t>
        </is>
      </c>
      <c r="E18" s="85" t="inlineStr">
        <is>
          <t>方法B</t>
        </is>
      </c>
      <c r="F18" s="85" t="inlineStr">
        <is>
          <t>One-Euro</t>
        </is>
      </c>
      <c r="G18" s="85" t="n">
        <v>2</v>
      </c>
      <c r="H18" s="215"/>
      <c r="I18" s="215"/>
      <c r="J18" s="215"/>
      <c r="K18" s="149" t="str">
        <f>IF(COUNT(H18:J18)=3,AVERAGE(H18:J18),"")</f>
      </c>
      <c r="L18" s="215"/>
      <c r="M18" s="215"/>
      <c r="N18" s="215"/>
      <c r="O18" s="149" t="str">
        <f>IF(COUNT(L18:N18)=3,AVERAGE(L18:N18),"")</f>
      </c>
      <c r="P18" s="129" t="n">
        <f>6-COUNT(H18:J18,L18:N18)</f>
        <v>6</v>
      </c>
      <c r="Q18" s="129" t="str">
        <f>IF(P18=0,"完整","缺失")</f>
        <v>缺失</v>
      </c>
      <c r="R18" s="215" t="inlineStr">
        <is>
          <t>是</t>
        </is>
      </c>
      <c r="S18" s="85" t="inlineStr">
        <is>
          <t>是</t>
        </is>
      </c>
      <c r="T18" s="215" t="inlineStr">
        <is>
          <t>无</t>
        </is>
      </c>
      <c r="U18" s="243" t="inlineStr">
        <is>
          <t/>
        </is>
      </c>
    </row>
    <row r="19">
      <c r="A19" s="90" t="inlineStr">
        <is>
          <t>P003</t>
        </is>
      </c>
      <c r="B19" s="85" t="n">
        <v>3</v>
      </c>
      <c r="C19" s="85" t="n">
        <v>2</v>
      </c>
      <c r="D19" s="85" t="inlineStr">
        <is>
          <t>鼠标</t>
        </is>
      </c>
      <c r="E19" s="85" t="inlineStr">
        <is>
          <t>方法B</t>
        </is>
      </c>
      <c r="F19" s="85" t="inlineStr">
        <is>
          <t>One-Euro</t>
        </is>
      </c>
      <c r="G19" s="85" t="n">
        <v>1</v>
      </c>
      <c r="H19" s="215"/>
      <c r="I19" s="215"/>
      <c r="J19" s="215"/>
      <c r="K19" s="149" t="str">
        <f>IF(COUNT(H19:J19)=3,AVERAGE(H19:J19),"")</f>
      </c>
      <c r="L19" s="215"/>
      <c r="M19" s="215"/>
      <c r="N19" s="215"/>
      <c r="O19" s="149" t="str">
        <f>IF(COUNT(L19:N19)=3,AVERAGE(L19:N19),"")</f>
      </c>
      <c r="P19" s="129" t="n">
        <f>6-COUNT(H19:J19,L19:N19)</f>
        <v>6</v>
      </c>
      <c r="Q19" s="129" t="str">
        <f>IF(P19=0,"完整","缺失")</f>
        <v>缺失</v>
      </c>
      <c r="R19" s="215" t="inlineStr">
        <is>
          <t>是</t>
        </is>
      </c>
      <c r="S19" s="85" t="inlineStr">
        <is>
          <t>是</t>
        </is>
      </c>
      <c r="T19" s="215" t="inlineStr">
        <is>
          <t>无</t>
        </is>
      </c>
      <c r="U19" s="243" t="inlineStr">
        <is>
          <t/>
        </is>
      </c>
    </row>
    <row r="20">
      <c r="A20" s="90" t="inlineStr">
        <is>
          <t>P003</t>
        </is>
      </c>
      <c r="B20" s="85" t="n">
        <v>4</v>
      </c>
      <c r="C20" s="85" t="n">
        <v>2</v>
      </c>
      <c r="D20" s="85" t="inlineStr">
        <is>
          <t>鼠标</t>
        </is>
      </c>
      <c r="E20" s="85" t="inlineStr">
        <is>
          <t>方法A</t>
        </is>
      </c>
      <c r="F20" s="85" t="inlineStr">
        <is>
          <t>EgoAnchor</t>
        </is>
      </c>
      <c r="G20" s="85" t="n">
        <v>2</v>
      </c>
      <c r="H20" s="215"/>
      <c r="I20" s="215"/>
      <c r="J20" s="215"/>
      <c r="K20" s="149" t="str">
        <f>IF(COUNT(H20:J20)=3,AVERAGE(H20:J20),"")</f>
      </c>
      <c r="L20" s="215"/>
      <c r="M20" s="215"/>
      <c r="N20" s="215"/>
      <c r="O20" s="149" t="str">
        <f>IF(COUNT(L20:N20)=3,AVERAGE(L20:N20),"")</f>
      </c>
      <c r="P20" s="129" t="n">
        <f>6-COUNT(H20:J20,L20:N20)</f>
        <v>6</v>
      </c>
      <c r="Q20" s="129" t="str">
        <f>IF(P20=0,"完整","缺失")</f>
        <v>缺失</v>
      </c>
      <c r="R20" s="215" t="inlineStr">
        <is>
          <t>是</t>
        </is>
      </c>
      <c r="S20" s="85" t="inlineStr">
        <is>
          <t>是</t>
        </is>
      </c>
      <c r="T20" s="215" t="inlineStr">
        <is>
          <t>无</t>
        </is>
      </c>
      <c r="U20" s="243" t="inlineStr">
        <is>
          <t/>
        </is>
      </c>
    </row>
    <row r="21">
      <c r="A21" s="90" t="inlineStr">
        <is>
          <t>P003</t>
        </is>
      </c>
      <c r="B21" s="85" t="n">
        <v>5</v>
      </c>
      <c r="C21" s="85" t="n">
        <v>3</v>
      </c>
      <c r="D21" s="85" t="inlineStr">
        <is>
          <t>游戏手柄</t>
        </is>
      </c>
      <c r="E21" s="85" t="inlineStr">
        <is>
          <t>方法A</t>
        </is>
      </c>
      <c r="F21" s="85" t="inlineStr">
        <is>
          <t>EgoAnchor</t>
        </is>
      </c>
      <c r="G21" s="85" t="n">
        <v>1</v>
      </c>
      <c r="H21" s="215"/>
      <c r="I21" s="215"/>
      <c r="J21" s="215"/>
      <c r="K21" s="149" t="str">
        <f>IF(COUNT(H21:J21)=3,AVERAGE(H21:J21),"")</f>
      </c>
      <c r="L21" s="215"/>
      <c r="M21" s="215"/>
      <c r="N21" s="215"/>
      <c r="O21" s="149" t="str">
        <f>IF(COUNT(L21:N21)=3,AVERAGE(L21:N21),"")</f>
      </c>
      <c r="P21" s="129" t="n">
        <f>6-COUNT(H21:J21,L21:N21)</f>
        <v>6</v>
      </c>
      <c r="Q21" s="129" t="str">
        <f>IF(P21=0,"完整","缺失")</f>
        <v>缺失</v>
      </c>
      <c r="R21" s="215" t="inlineStr">
        <is>
          <t>是</t>
        </is>
      </c>
      <c r="S21" s="85" t="inlineStr">
        <is>
          <t>是</t>
        </is>
      </c>
      <c r="T21" s="215" t="inlineStr">
        <is>
          <t>无</t>
        </is>
      </c>
      <c r="U21" s="243" t="inlineStr">
        <is>
          <t/>
        </is>
      </c>
    </row>
    <row r="22">
      <c r="A22" s="90" t="inlineStr">
        <is>
          <t>P003</t>
        </is>
      </c>
      <c r="B22" s="85" t="n">
        <v>6</v>
      </c>
      <c r="C22" s="85" t="n">
        <v>3</v>
      </c>
      <c r="D22" s="85" t="inlineStr">
        <is>
          <t>游戏手柄</t>
        </is>
      </c>
      <c r="E22" s="85" t="inlineStr">
        <is>
          <t>方法B</t>
        </is>
      </c>
      <c r="F22" s="85" t="inlineStr">
        <is>
          <t>One-Euro</t>
        </is>
      </c>
      <c r="G22" s="85" t="n">
        <v>2</v>
      </c>
      <c r="H22" s="215"/>
      <c r="I22" s="215"/>
      <c r="J22" s="215"/>
      <c r="K22" s="149" t="str">
        <f>IF(COUNT(H22:J22)=3,AVERAGE(H22:J22),"")</f>
      </c>
      <c r="L22" s="215"/>
      <c r="M22" s="215"/>
      <c r="N22" s="215"/>
      <c r="O22" s="149" t="str">
        <f>IF(COUNT(L22:N22)=3,AVERAGE(L22:N22),"")</f>
      </c>
      <c r="P22" s="129" t="n">
        <f>6-COUNT(H22:J22,L22:N22)</f>
        <v>6</v>
      </c>
      <c r="Q22" s="129" t="str">
        <f>IF(P22=0,"完整","缺失")</f>
        <v>缺失</v>
      </c>
      <c r="R22" s="215" t="inlineStr">
        <is>
          <t>是</t>
        </is>
      </c>
      <c r="S22" s="85" t="inlineStr">
        <is>
          <t>是</t>
        </is>
      </c>
      <c r="T22" s="215" t="inlineStr">
        <is>
          <t>无</t>
        </is>
      </c>
      <c r="U22" s="243" t="inlineStr">
        <is>
          <t/>
        </is>
      </c>
    </row>
    <row r="23">
      <c r="A23" s="90" t="inlineStr">
        <is>
          <t>P004</t>
        </is>
      </c>
      <c r="B23" s="85" t="n">
        <v>1</v>
      </c>
      <c r="C23" s="85" t="n">
        <v>1</v>
      </c>
      <c r="D23" s="85" t="inlineStr">
        <is>
          <t>固定订书机</t>
        </is>
      </c>
      <c r="E23" s="85" t="inlineStr">
        <is>
          <t>方法A</t>
        </is>
      </c>
      <c r="F23" s="85" t="inlineStr">
        <is>
          <t>EgoAnchor</t>
        </is>
      </c>
      <c r="G23" s="85" t="n">
        <v>1</v>
      </c>
      <c r="H23" s="215"/>
      <c r="I23" s="215"/>
      <c r="J23" s="215"/>
      <c r="K23" s="149" t="str">
        <f>IF(COUNT(H23:J23)=3,AVERAGE(H23:J23),"")</f>
      </c>
      <c r="L23" s="215"/>
      <c r="M23" s="215"/>
      <c r="N23" s="215"/>
      <c r="O23" s="149" t="str">
        <f>IF(COUNT(L23:N23)=3,AVERAGE(L23:N23),"")</f>
      </c>
      <c r="P23" s="129" t="n">
        <f>6-COUNT(H23:J23,L23:N23)</f>
        <v>6</v>
      </c>
      <c r="Q23" s="129" t="str">
        <f>IF(P23=0,"完整","缺失")</f>
        <v>缺失</v>
      </c>
      <c r="R23" s="215" t="inlineStr">
        <is>
          <t>是</t>
        </is>
      </c>
      <c r="S23" s="85" t="inlineStr">
        <is>
          <t>是</t>
        </is>
      </c>
      <c r="T23" s="215" t="inlineStr">
        <is>
          <t>无</t>
        </is>
      </c>
      <c r="U23" s="243" t="inlineStr">
        <is>
          <t/>
        </is>
      </c>
    </row>
    <row r="24">
      <c r="A24" s="90" t="inlineStr">
        <is>
          <t>P004</t>
        </is>
      </c>
      <c r="B24" s="85" t="n">
        <v>2</v>
      </c>
      <c r="C24" s="85" t="n">
        <v>1</v>
      </c>
      <c r="D24" s="85" t="inlineStr">
        <is>
          <t>固定订书机</t>
        </is>
      </c>
      <c r="E24" s="85" t="inlineStr">
        <is>
          <t>方法B</t>
        </is>
      </c>
      <c r="F24" s="85" t="inlineStr">
        <is>
          <t>One-Euro</t>
        </is>
      </c>
      <c r="G24" s="85" t="n">
        <v>2</v>
      </c>
      <c r="H24" s="215"/>
      <c r="I24" s="215"/>
      <c r="J24" s="215"/>
      <c r="K24" s="149" t="str">
        <f>IF(COUNT(H24:J24)=3,AVERAGE(H24:J24),"")</f>
      </c>
      <c r="L24" s="215"/>
      <c r="M24" s="215"/>
      <c r="N24" s="215"/>
      <c r="O24" s="149" t="str">
        <f>IF(COUNT(L24:N24)=3,AVERAGE(L24:N24),"")</f>
      </c>
      <c r="P24" s="129" t="n">
        <f>6-COUNT(H24:J24,L24:N24)</f>
        <v>6</v>
      </c>
      <c r="Q24" s="129" t="str">
        <f>IF(P24=0,"完整","缺失")</f>
        <v>缺失</v>
      </c>
      <c r="R24" s="215" t="inlineStr">
        <is>
          <t>是</t>
        </is>
      </c>
      <c r="S24" s="85" t="inlineStr">
        <is>
          <t>是</t>
        </is>
      </c>
      <c r="T24" s="215" t="inlineStr">
        <is>
          <t>无</t>
        </is>
      </c>
      <c r="U24" s="243" t="inlineStr">
        <is>
          <t/>
        </is>
      </c>
    </row>
    <row r="25">
      <c r="A25" s="90" t="inlineStr">
        <is>
          <t>P004</t>
        </is>
      </c>
      <c r="B25" s="85" t="n">
        <v>3</v>
      </c>
      <c r="C25" s="85" t="n">
        <v>2</v>
      </c>
      <c r="D25" s="85" t="inlineStr">
        <is>
          <t>游戏手柄</t>
        </is>
      </c>
      <c r="E25" s="85" t="inlineStr">
        <is>
          <t>方法B</t>
        </is>
      </c>
      <c r="F25" s="85" t="inlineStr">
        <is>
          <t>One-Euro</t>
        </is>
      </c>
      <c r="G25" s="85" t="n">
        <v>1</v>
      </c>
      <c r="H25" s="215"/>
      <c r="I25" s="215"/>
      <c r="J25" s="215"/>
      <c r="K25" s="149" t="str">
        <f>IF(COUNT(H25:J25)=3,AVERAGE(H25:J25),"")</f>
      </c>
      <c r="L25" s="215"/>
      <c r="M25" s="215"/>
      <c r="N25" s="215"/>
      <c r="O25" s="149" t="str">
        <f>IF(COUNT(L25:N25)=3,AVERAGE(L25:N25),"")</f>
      </c>
      <c r="P25" s="129" t="n">
        <f>6-COUNT(H25:J25,L25:N25)</f>
        <v>6</v>
      </c>
      <c r="Q25" s="129" t="str">
        <f>IF(P25=0,"完整","缺失")</f>
        <v>缺失</v>
      </c>
      <c r="R25" s="215" t="inlineStr">
        <is>
          <t>是</t>
        </is>
      </c>
      <c r="S25" s="85" t="inlineStr">
        <is>
          <t>是</t>
        </is>
      </c>
      <c r="T25" s="215" t="inlineStr">
        <is>
          <t>无</t>
        </is>
      </c>
      <c r="U25" s="243" t="inlineStr">
        <is>
          <t/>
        </is>
      </c>
    </row>
    <row r="26">
      <c r="A26" s="90" t="inlineStr">
        <is>
          <t>P004</t>
        </is>
      </c>
      <c r="B26" s="85" t="n">
        <v>4</v>
      </c>
      <c r="C26" s="85" t="n">
        <v>2</v>
      </c>
      <c r="D26" s="85" t="inlineStr">
        <is>
          <t>游戏手柄</t>
        </is>
      </c>
      <c r="E26" s="85" t="inlineStr">
        <is>
          <t>方法A</t>
        </is>
      </c>
      <c r="F26" s="85" t="inlineStr">
        <is>
          <t>EgoAnchor</t>
        </is>
      </c>
      <c r="G26" s="85" t="n">
        <v>2</v>
      </c>
      <c r="H26" s="215"/>
      <c r="I26" s="215"/>
      <c r="J26" s="215"/>
      <c r="K26" s="149" t="str">
        <f>IF(COUNT(H26:J26)=3,AVERAGE(H26:J26),"")</f>
      </c>
      <c r="L26" s="215"/>
      <c r="M26" s="215"/>
      <c r="N26" s="215"/>
      <c r="O26" s="149" t="str">
        <f>IF(COUNT(L26:N26)=3,AVERAGE(L26:N26),"")</f>
      </c>
      <c r="P26" s="129" t="n">
        <f>6-COUNT(H26:J26,L26:N26)</f>
        <v>6</v>
      </c>
      <c r="Q26" s="129" t="str">
        <f>IF(P26=0,"完整","缺失")</f>
        <v>缺失</v>
      </c>
      <c r="R26" s="215" t="inlineStr">
        <is>
          <t>是</t>
        </is>
      </c>
      <c r="S26" s="85" t="inlineStr">
        <is>
          <t>是</t>
        </is>
      </c>
      <c r="T26" s="215" t="inlineStr">
        <is>
          <t>无</t>
        </is>
      </c>
      <c r="U26" s="243" t="inlineStr">
        <is>
          <t/>
        </is>
      </c>
    </row>
    <row r="27">
      <c r="A27" s="90" t="inlineStr">
        <is>
          <t>P004</t>
        </is>
      </c>
      <c r="B27" s="85" t="n">
        <v>5</v>
      </c>
      <c r="C27" s="85" t="n">
        <v>3</v>
      </c>
      <c r="D27" s="85" t="inlineStr">
        <is>
          <t>鼠标</t>
        </is>
      </c>
      <c r="E27" s="85" t="inlineStr">
        <is>
          <t>方法A</t>
        </is>
      </c>
      <c r="F27" s="85" t="inlineStr">
        <is>
          <t>EgoAnchor</t>
        </is>
      </c>
      <c r="G27" s="85" t="n">
        <v>1</v>
      </c>
      <c r="H27" s="215"/>
      <c r="I27" s="215"/>
      <c r="J27" s="215"/>
      <c r="K27" s="149" t="str">
        <f>IF(COUNT(H27:J27)=3,AVERAGE(H27:J27),"")</f>
      </c>
      <c r="L27" s="215"/>
      <c r="M27" s="215"/>
      <c r="N27" s="215"/>
      <c r="O27" s="149" t="str">
        <f>IF(COUNT(L27:N27)=3,AVERAGE(L27:N27),"")</f>
      </c>
      <c r="P27" s="129" t="n">
        <f>6-COUNT(H27:J27,L27:N27)</f>
        <v>6</v>
      </c>
      <c r="Q27" s="129" t="str">
        <f>IF(P27=0,"完整","缺失")</f>
        <v>缺失</v>
      </c>
      <c r="R27" s="215" t="inlineStr">
        <is>
          <t>是</t>
        </is>
      </c>
      <c r="S27" s="85" t="inlineStr">
        <is>
          <t>是</t>
        </is>
      </c>
      <c r="T27" s="215" t="inlineStr">
        <is>
          <t>无</t>
        </is>
      </c>
      <c r="U27" s="243" t="inlineStr">
        <is>
          <t/>
        </is>
      </c>
    </row>
    <row r="28">
      <c r="A28" s="90" t="inlineStr">
        <is>
          <t>P004</t>
        </is>
      </c>
      <c r="B28" s="85" t="n">
        <v>6</v>
      </c>
      <c r="C28" s="85" t="n">
        <v>3</v>
      </c>
      <c r="D28" s="85" t="inlineStr">
        <is>
          <t>鼠标</t>
        </is>
      </c>
      <c r="E28" s="85" t="inlineStr">
        <is>
          <t>方法B</t>
        </is>
      </c>
      <c r="F28" s="85" t="inlineStr">
        <is>
          <t>One-Euro</t>
        </is>
      </c>
      <c r="G28" s="85" t="n">
        <v>2</v>
      </c>
      <c r="H28" s="215"/>
      <c r="I28" s="215"/>
      <c r="J28" s="215"/>
      <c r="K28" s="149" t="str">
        <f>IF(COUNT(H28:J28)=3,AVERAGE(H28:J28),"")</f>
      </c>
      <c r="L28" s="215"/>
      <c r="M28" s="215"/>
      <c r="N28" s="215"/>
      <c r="O28" s="149" t="str">
        <f>IF(COUNT(L28:N28)=3,AVERAGE(L28:N28),"")</f>
      </c>
      <c r="P28" s="129" t="n">
        <f>6-COUNT(H28:J28,L28:N28)</f>
        <v>6</v>
      </c>
      <c r="Q28" s="129" t="str">
        <f>IF(P28=0,"完整","缺失")</f>
        <v>缺失</v>
      </c>
      <c r="R28" s="215" t="inlineStr">
        <is>
          <t>是</t>
        </is>
      </c>
      <c r="S28" s="85" t="inlineStr">
        <is>
          <t>是</t>
        </is>
      </c>
      <c r="T28" s="215" t="inlineStr">
        <is>
          <t>无</t>
        </is>
      </c>
      <c r="U28" s="243" t="inlineStr">
        <is>
          <t/>
        </is>
      </c>
    </row>
    <row r="29">
      <c r="A29" s="90" t="inlineStr">
        <is>
          <t>P005</t>
        </is>
      </c>
      <c r="B29" s="85" t="n">
        <v>1</v>
      </c>
      <c r="C29" s="85" t="n">
        <v>1</v>
      </c>
      <c r="D29" s="85" t="inlineStr">
        <is>
          <t>游戏手柄</t>
        </is>
      </c>
      <c r="E29" s="85" t="inlineStr">
        <is>
          <t>方法A</t>
        </is>
      </c>
      <c r="F29" s="85" t="inlineStr">
        <is>
          <t>EgoAnchor</t>
        </is>
      </c>
      <c r="G29" s="85" t="n">
        <v>1</v>
      </c>
      <c r="H29" s="215"/>
      <c r="I29" s="215"/>
      <c r="J29" s="215"/>
      <c r="K29" s="149" t="str">
        <f>IF(COUNT(H29:J29)=3,AVERAGE(H29:J29),"")</f>
      </c>
      <c r="L29" s="215"/>
      <c r="M29" s="215"/>
      <c r="N29" s="215"/>
      <c r="O29" s="149" t="str">
        <f>IF(COUNT(L29:N29)=3,AVERAGE(L29:N29),"")</f>
      </c>
      <c r="P29" s="129" t="n">
        <f>6-COUNT(H29:J29,L29:N29)</f>
        <v>6</v>
      </c>
      <c r="Q29" s="129" t="str">
        <f>IF(P29=0,"完整","缺失")</f>
        <v>缺失</v>
      </c>
      <c r="R29" s="215" t="inlineStr">
        <is>
          <t>是</t>
        </is>
      </c>
      <c r="S29" s="85" t="inlineStr">
        <is>
          <t>是</t>
        </is>
      </c>
      <c r="T29" s="215" t="inlineStr">
        <is>
          <t>无</t>
        </is>
      </c>
      <c r="U29" s="243" t="inlineStr">
        <is>
          <t/>
        </is>
      </c>
    </row>
    <row r="30">
      <c r="A30" s="90" t="inlineStr">
        <is>
          <t>P005</t>
        </is>
      </c>
      <c r="B30" s="85" t="n">
        <v>2</v>
      </c>
      <c r="C30" s="85" t="n">
        <v>1</v>
      </c>
      <c r="D30" s="85" t="inlineStr">
        <is>
          <t>游戏手柄</t>
        </is>
      </c>
      <c r="E30" s="85" t="inlineStr">
        <is>
          <t>方法B</t>
        </is>
      </c>
      <c r="F30" s="85" t="inlineStr">
        <is>
          <t>One-Euro</t>
        </is>
      </c>
      <c r="G30" s="85" t="n">
        <v>2</v>
      </c>
      <c r="H30" s="215"/>
      <c r="I30" s="215"/>
      <c r="J30" s="215"/>
      <c r="K30" s="149" t="str">
        <f>IF(COUNT(H30:J30)=3,AVERAGE(H30:J30),"")</f>
      </c>
      <c r="L30" s="215"/>
      <c r="M30" s="215"/>
      <c r="N30" s="215"/>
      <c r="O30" s="149" t="str">
        <f>IF(COUNT(L30:N30)=3,AVERAGE(L30:N30),"")</f>
      </c>
      <c r="P30" s="129" t="n">
        <f>6-COUNT(H30:J30,L30:N30)</f>
        <v>6</v>
      </c>
      <c r="Q30" s="129" t="str">
        <f>IF(P30=0,"完整","缺失")</f>
        <v>缺失</v>
      </c>
      <c r="R30" s="215" t="inlineStr">
        <is>
          <t>是</t>
        </is>
      </c>
      <c r="S30" s="85" t="inlineStr">
        <is>
          <t>是</t>
        </is>
      </c>
      <c r="T30" s="215" t="inlineStr">
        <is>
          <t>无</t>
        </is>
      </c>
      <c r="U30" s="243" t="inlineStr">
        <is>
          <t/>
        </is>
      </c>
    </row>
    <row r="31">
      <c r="A31" s="90" t="inlineStr">
        <is>
          <t>P005</t>
        </is>
      </c>
      <c r="B31" s="85" t="n">
        <v>3</v>
      </c>
      <c r="C31" s="85" t="n">
        <v>2</v>
      </c>
      <c r="D31" s="85" t="inlineStr">
        <is>
          <t>鼠标</t>
        </is>
      </c>
      <c r="E31" s="85" t="inlineStr">
        <is>
          <t>方法B</t>
        </is>
      </c>
      <c r="F31" s="85" t="inlineStr">
        <is>
          <t>One-Euro</t>
        </is>
      </c>
      <c r="G31" s="85" t="n">
        <v>1</v>
      </c>
      <c r="H31" s="215"/>
      <c r="I31" s="215"/>
      <c r="J31" s="215"/>
      <c r="K31" s="149" t="str">
        <f>IF(COUNT(H31:J31)=3,AVERAGE(H31:J31),"")</f>
      </c>
      <c r="L31" s="215"/>
      <c r="M31" s="215"/>
      <c r="N31" s="215"/>
      <c r="O31" s="149" t="str">
        <f>IF(COUNT(L31:N31)=3,AVERAGE(L31:N31),"")</f>
      </c>
      <c r="P31" s="129" t="n">
        <f>6-COUNT(H31:J31,L31:N31)</f>
        <v>6</v>
      </c>
      <c r="Q31" s="129" t="str">
        <f>IF(P31=0,"完整","缺失")</f>
        <v>缺失</v>
      </c>
      <c r="R31" s="215" t="inlineStr">
        <is>
          <t>是</t>
        </is>
      </c>
      <c r="S31" s="85" t="inlineStr">
        <is>
          <t>是</t>
        </is>
      </c>
      <c r="T31" s="215" t="inlineStr">
        <is>
          <t>无</t>
        </is>
      </c>
      <c r="U31" s="243" t="inlineStr">
        <is>
          <t/>
        </is>
      </c>
    </row>
    <row r="32">
      <c r="A32" s="90" t="inlineStr">
        <is>
          <t>P005</t>
        </is>
      </c>
      <c r="B32" s="85" t="n">
        <v>4</v>
      </c>
      <c r="C32" s="85" t="n">
        <v>2</v>
      </c>
      <c r="D32" s="85" t="inlineStr">
        <is>
          <t>鼠标</t>
        </is>
      </c>
      <c r="E32" s="85" t="inlineStr">
        <is>
          <t>方法A</t>
        </is>
      </c>
      <c r="F32" s="85" t="inlineStr">
        <is>
          <t>EgoAnchor</t>
        </is>
      </c>
      <c r="G32" s="85" t="n">
        <v>2</v>
      </c>
      <c r="H32" s="215"/>
      <c r="I32" s="215"/>
      <c r="J32" s="215"/>
      <c r="K32" s="149" t="str">
        <f>IF(COUNT(H32:J32)=3,AVERAGE(H32:J32),"")</f>
      </c>
      <c r="L32" s="215"/>
      <c r="M32" s="215"/>
      <c r="N32" s="215"/>
      <c r="O32" s="149" t="str">
        <f>IF(COUNT(L32:N32)=3,AVERAGE(L32:N32),"")</f>
      </c>
      <c r="P32" s="129" t="n">
        <f>6-COUNT(H32:J32,L32:N32)</f>
        <v>6</v>
      </c>
      <c r="Q32" s="129" t="str">
        <f>IF(P32=0,"完整","缺失")</f>
        <v>缺失</v>
      </c>
      <c r="R32" s="215" t="inlineStr">
        <is>
          <t>是</t>
        </is>
      </c>
      <c r="S32" s="85" t="inlineStr">
        <is>
          <t>是</t>
        </is>
      </c>
      <c r="T32" s="215" t="inlineStr">
        <is>
          <t>无</t>
        </is>
      </c>
      <c r="U32" s="243" t="inlineStr">
        <is>
          <t/>
        </is>
      </c>
    </row>
    <row r="33">
      <c r="A33" s="90" t="inlineStr">
        <is>
          <t>P005</t>
        </is>
      </c>
      <c r="B33" s="85" t="n">
        <v>5</v>
      </c>
      <c r="C33" s="85" t="n">
        <v>3</v>
      </c>
      <c r="D33" s="85" t="inlineStr">
        <is>
          <t>固定订书机</t>
        </is>
      </c>
      <c r="E33" s="85" t="inlineStr">
        <is>
          <t>方法A</t>
        </is>
      </c>
      <c r="F33" s="85" t="inlineStr">
        <is>
          <t>EgoAnchor</t>
        </is>
      </c>
      <c r="G33" s="85" t="n">
        <v>1</v>
      </c>
      <c r="H33" s="215"/>
      <c r="I33" s="215"/>
      <c r="J33" s="215"/>
      <c r="K33" s="149" t="str">
        <f>IF(COUNT(H33:J33)=3,AVERAGE(H33:J33),"")</f>
      </c>
      <c r="L33" s="215"/>
      <c r="M33" s="215"/>
      <c r="N33" s="215"/>
      <c r="O33" s="149" t="str">
        <f>IF(COUNT(L33:N33)=3,AVERAGE(L33:N33),"")</f>
      </c>
      <c r="P33" s="129" t="n">
        <f>6-COUNT(H33:J33,L33:N33)</f>
        <v>6</v>
      </c>
      <c r="Q33" s="129" t="str">
        <f>IF(P33=0,"完整","缺失")</f>
        <v>缺失</v>
      </c>
      <c r="R33" s="215" t="inlineStr">
        <is>
          <t>是</t>
        </is>
      </c>
      <c r="S33" s="85" t="inlineStr">
        <is>
          <t>是</t>
        </is>
      </c>
      <c r="T33" s="215" t="inlineStr">
        <is>
          <t>无</t>
        </is>
      </c>
      <c r="U33" s="243" t="inlineStr">
        <is>
          <t/>
        </is>
      </c>
    </row>
    <row r="34">
      <c r="A34" s="90" t="inlineStr">
        <is>
          <t>P005</t>
        </is>
      </c>
      <c r="B34" s="85" t="n">
        <v>6</v>
      </c>
      <c r="C34" s="85" t="n">
        <v>3</v>
      </c>
      <c r="D34" s="85" t="inlineStr">
        <is>
          <t>固定订书机</t>
        </is>
      </c>
      <c r="E34" s="85" t="inlineStr">
        <is>
          <t>方法B</t>
        </is>
      </c>
      <c r="F34" s="85" t="inlineStr">
        <is>
          <t>One-Euro</t>
        </is>
      </c>
      <c r="G34" s="85" t="n">
        <v>2</v>
      </c>
      <c r="H34" s="215"/>
      <c r="I34" s="215"/>
      <c r="J34" s="215"/>
      <c r="K34" s="149" t="str">
        <f>IF(COUNT(H34:J34)=3,AVERAGE(H34:J34),"")</f>
      </c>
      <c r="L34" s="215"/>
      <c r="M34" s="215"/>
      <c r="N34" s="215"/>
      <c r="O34" s="149" t="str">
        <f>IF(COUNT(L34:N34)=3,AVERAGE(L34:N34),"")</f>
      </c>
      <c r="P34" s="129" t="n">
        <f>6-COUNT(H34:J34,L34:N34)</f>
        <v>6</v>
      </c>
      <c r="Q34" s="129" t="str">
        <f>IF(P34=0,"完整","缺失")</f>
        <v>缺失</v>
      </c>
      <c r="R34" s="215" t="inlineStr">
        <is>
          <t>是</t>
        </is>
      </c>
      <c r="S34" s="85" t="inlineStr">
        <is>
          <t>是</t>
        </is>
      </c>
      <c r="T34" s="215" t="inlineStr">
        <is>
          <t>无</t>
        </is>
      </c>
      <c r="U34" s="243" t="inlineStr">
        <is>
          <t/>
        </is>
      </c>
    </row>
    <row r="35">
      <c r="A35" s="90" t="inlineStr">
        <is>
          <t>P006</t>
        </is>
      </c>
      <c r="B35" s="85" t="n">
        <v>1</v>
      </c>
      <c r="C35" s="85" t="n">
        <v>1</v>
      </c>
      <c r="D35" s="85" t="inlineStr">
        <is>
          <t>游戏手柄</t>
        </is>
      </c>
      <c r="E35" s="85" t="inlineStr">
        <is>
          <t>方法A</t>
        </is>
      </c>
      <c r="F35" s="85" t="inlineStr">
        <is>
          <t>EgoAnchor</t>
        </is>
      </c>
      <c r="G35" s="85" t="n">
        <v>1</v>
      </c>
      <c r="H35" s="215"/>
      <c r="I35" s="215"/>
      <c r="J35" s="215"/>
      <c r="K35" s="149" t="str">
        <f>IF(COUNT(H35:J35)=3,AVERAGE(H35:J35),"")</f>
      </c>
      <c r="L35" s="215"/>
      <c r="M35" s="215"/>
      <c r="N35" s="215"/>
      <c r="O35" s="149" t="str">
        <f>IF(COUNT(L35:N35)=3,AVERAGE(L35:N35),"")</f>
      </c>
      <c r="P35" s="129" t="n">
        <f>6-COUNT(H35:J35,L35:N35)</f>
        <v>6</v>
      </c>
      <c r="Q35" s="129" t="str">
        <f>IF(P35=0,"完整","缺失")</f>
        <v>缺失</v>
      </c>
      <c r="R35" s="215" t="inlineStr">
        <is>
          <t>是</t>
        </is>
      </c>
      <c r="S35" s="85" t="inlineStr">
        <is>
          <t>是</t>
        </is>
      </c>
      <c r="T35" s="215" t="inlineStr">
        <is>
          <t>无</t>
        </is>
      </c>
      <c r="U35" s="243" t="inlineStr">
        <is>
          <t/>
        </is>
      </c>
    </row>
    <row r="36">
      <c r="A36" s="90" t="inlineStr">
        <is>
          <t>P006</t>
        </is>
      </c>
      <c r="B36" s="85" t="n">
        <v>2</v>
      </c>
      <c r="C36" s="85" t="n">
        <v>1</v>
      </c>
      <c r="D36" s="85" t="inlineStr">
        <is>
          <t>游戏手柄</t>
        </is>
      </c>
      <c r="E36" s="85" t="inlineStr">
        <is>
          <t>方法B</t>
        </is>
      </c>
      <c r="F36" s="85" t="inlineStr">
        <is>
          <t>One-Euro</t>
        </is>
      </c>
      <c r="G36" s="85" t="n">
        <v>2</v>
      </c>
      <c r="H36" s="215"/>
      <c r="I36" s="215"/>
      <c r="J36" s="215"/>
      <c r="K36" s="149" t="str">
        <f>IF(COUNT(H36:J36)=3,AVERAGE(H36:J36),"")</f>
      </c>
      <c r="L36" s="215"/>
      <c r="M36" s="215"/>
      <c r="N36" s="215"/>
      <c r="O36" s="149" t="str">
        <f>IF(COUNT(L36:N36)=3,AVERAGE(L36:N36),"")</f>
      </c>
      <c r="P36" s="129" t="n">
        <f>6-COUNT(H36:J36,L36:N36)</f>
        <v>6</v>
      </c>
      <c r="Q36" s="129" t="str">
        <f>IF(P36=0,"完整","缺失")</f>
        <v>缺失</v>
      </c>
      <c r="R36" s="215" t="inlineStr">
        <is>
          <t>是</t>
        </is>
      </c>
      <c r="S36" s="85" t="inlineStr">
        <is>
          <t>是</t>
        </is>
      </c>
      <c r="T36" s="215" t="inlineStr">
        <is>
          <t>无</t>
        </is>
      </c>
      <c r="U36" s="243" t="inlineStr">
        <is>
          <t/>
        </is>
      </c>
    </row>
    <row r="37">
      <c r="A37" s="90" t="inlineStr">
        <is>
          <t>P006</t>
        </is>
      </c>
      <c r="B37" s="85" t="n">
        <v>3</v>
      </c>
      <c r="C37" s="85" t="n">
        <v>2</v>
      </c>
      <c r="D37" s="85" t="inlineStr">
        <is>
          <t>固定订书机</t>
        </is>
      </c>
      <c r="E37" s="85" t="inlineStr">
        <is>
          <t>方法B</t>
        </is>
      </c>
      <c r="F37" s="85" t="inlineStr">
        <is>
          <t>One-Euro</t>
        </is>
      </c>
      <c r="G37" s="85" t="n">
        <v>1</v>
      </c>
      <c r="H37" s="215"/>
      <c r="I37" s="215"/>
      <c r="J37" s="215"/>
      <c r="K37" s="149" t="str">
        <f>IF(COUNT(H37:J37)=3,AVERAGE(H37:J37),"")</f>
      </c>
      <c r="L37" s="215"/>
      <c r="M37" s="215"/>
      <c r="N37" s="215"/>
      <c r="O37" s="149" t="str">
        <f>IF(COUNT(L37:N37)=3,AVERAGE(L37:N37),"")</f>
      </c>
      <c r="P37" s="129" t="n">
        <f>6-COUNT(H37:J37,L37:N37)</f>
        <v>6</v>
      </c>
      <c r="Q37" s="129" t="str">
        <f>IF(P37=0,"完整","缺失")</f>
        <v>缺失</v>
      </c>
      <c r="R37" s="215" t="inlineStr">
        <is>
          <t>是</t>
        </is>
      </c>
      <c r="S37" s="85" t="inlineStr">
        <is>
          <t>是</t>
        </is>
      </c>
      <c r="T37" s="215" t="inlineStr">
        <is>
          <t>无</t>
        </is>
      </c>
      <c r="U37" s="243" t="inlineStr">
        <is>
          <t/>
        </is>
      </c>
    </row>
    <row r="38">
      <c r="A38" s="90" t="inlineStr">
        <is>
          <t>P006</t>
        </is>
      </c>
      <c r="B38" s="85" t="n">
        <v>4</v>
      </c>
      <c r="C38" s="85" t="n">
        <v>2</v>
      </c>
      <c r="D38" s="85" t="inlineStr">
        <is>
          <t>固定订书机</t>
        </is>
      </c>
      <c r="E38" s="85" t="inlineStr">
        <is>
          <t>方法A</t>
        </is>
      </c>
      <c r="F38" s="85" t="inlineStr">
        <is>
          <t>EgoAnchor</t>
        </is>
      </c>
      <c r="G38" s="85" t="n">
        <v>2</v>
      </c>
      <c r="H38" s="215"/>
      <c r="I38" s="215"/>
      <c r="J38" s="215"/>
      <c r="K38" s="149" t="str">
        <f>IF(COUNT(H38:J38)=3,AVERAGE(H38:J38),"")</f>
      </c>
      <c r="L38" s="215"/>
      <c r="M38" s="215"/>
      <c r="N38" s="215"/>
      <c r="O38" s="149" t="str">
        <f>IF(COUNT(L38:N38)=3,AVERAGE(L38:N38),"")</f>
      </c>
      <c r="P38" s="129" t="n">
        <f>6-COUNT(H38:J38,L38:N38)</f>
        <v>6</v>
      </c>
      <c r="Q38" s="129" t="str">
        <f>IF(P38=0,"完整","缺失")</f>
        <v>缺失</v>
      </c>
      <c r="R38" s="215" t="inlineStr">
        <is>
          <t>是</t>
        </is>
      </c>
      <c r="S38" s="85" t="inlineStr">
        <is>
          <t>是</t>
        </is>
      </c>
      <c r="T38" s="215" t="inlineStr">
        <is>
          <t>无</t>
        </is>
      </c>
      <c r="U38" s="243" t="inlineStr">
        <is>
          <t/>
        </is>
      </c>
    </row>
    <row r="39">
      <c r="A39" s="90" t="inlineStr">
        <is>
          <t>P006</t>
        </is>
      </c>
      <c r="B39" s="85" t="n">
        <v>5</v>
      </c>
      <c r="C39" s="85" t="n">
        <v>3</v>
      </c>
      <c r="D39" s="85" t="inlineStr">
        <is>
          <t>鼠标</t>
        </is>
      </c>
      <c r="E39" s="85" t="inlineStr">
        <is>
          <t>方法A</t>
        </is>
      </c>
      <c r="F39" s="85" t="inlineStr">
        <is>
          <t>EgoAnchor</t>
        </is>
      </c>
      <c r="G39" s="85" t="n">
        <v>1</v>
      </c>
      <c r="H39" s="215"/>
      <c r="I39" s="215"/>
      <c r="J39" s="215"/>
      <c r="K39" s="149" t="str">
        <f>IF(COUNT(H39:J39)=3,AVERAGE(H39:J39),"")</f>
      </c>
      <c r="L39" s="215"/>
      <c r="M39" s="215"/>
      <c r="N39" s="215"/>
      <c r="O39" s="149" t="str">
        <f>IF(COUNT(L39:N39)=3,AVERAGE(L39:N39),"")</f>
      </c>
      <c r="P39" s="129" t="n">
        <f>6-COUNT(H39:J39,L39:N39)</f>
        <v>6</v>
      </c>
      <c r="Q39" s="129" t="str">
        <f>IF(P39=0,"完整","缺失")</f>
        <v>缺失</v>
      </c>
      <c r="R39" s="215" t="inlineStr">
        <is>
          <t>是</t>
        </is>
      </c>
      <c r="S39" s="85" t="inlineStr">
        <is>
          <t>是</t>
        </is>
      </c>
      <c r="T39" s="215" t="inlineStr">
        <is>
          <t>无</t>
        </is>
      </c>
      <c r="U39" s="243" t="inlineStr">
        <is>
          <t/>
        </is>
      </c>
    </row>
    <row r="40">
      <c r="A40" s="90" t="inlineStr">
        <is>
          <t>P006</t>
        </is>
      </c>
      <c r="B40" s="85" t="n">
        <v>6</v>
      </c>
      <c r="C40" s="85" t="n">
        <v>3</v>
      </c>
      <c r="D40" s="85" t="inlineStr">
        <is>
          <t>鼠标</t>
        </is>
      </c>
      <c r="E40" s="85" t="inlineStr">
        <is>
          <t>方法B</t>
        </is>
      </c>
      <c r="F40" s="85" t="inlineStr">
        <is>
          <t>One-Euro</t>
        </is>
      </c>
      <c r="G40" s="85" t="n">
        <v>2</v>
      </c>
      <c r="H40" s="215"/>
      <c r="I40" s="215"/>
      <c r="J40" s="215"/>
      <c r="K40" s="149" t="str">
        <f>IF(COUNT(H40:J40)=3,AVERAGE(H40:J40),"")</f>
      </c>
      <c r="L40" s="215"/>
      <c r="M40" s="215"/>
      <c r="N40" s="215"/>
      <c r="O40" s="149" t="str">
        <f>IF(COUNT(L40:N40)=3,AVERAGE(L40:N40),"")</f>
      </c>
      <c r="P40" s="129" t="n">
        <f>6-COUNT(H40:J40,L40:N40)</f>
        <v>6</v>
      </c>
      <c r="Q40" s="129" t="str">
        <f>IF(P40=0,"完整","缺失")</f>
        <v>缺失</v>
      </c>
      <c r="R40" s="215" t="inlineStr">
        <is>
          <t>是</t>
        </is>
      </c>
      <c r="S40" s="85" t="inlineStr">
        <is>
          <t>是</t>
        </is>
      </c>
      <c r="T40" s="215" t="inlineStr">
        <is>
          <t>无</t>
        </is>
      </c>
      <c r="U40" s="243" t="inlineStr">
        <is>
          <t/>
        </is>
      </c>
    </row>
    <row r="41">
      <c r="A41" s="90" t="inlineStr">
        <is>
          <t>P007</t>
        </is>
      </c>
      <c r="B41" s="85" t="n">
        <v>1</v>
      </c>
      <c r="C41" s="85" t="n">
        <v>1</v>
      </c>
      <c r="D41" s="85" t="inlineStr">
        <is>
          <t>鼠标</t>
        </is>
      </c>
      <c r="E41" s="85" t="inlineStr">
        <is>
          <t>方法B</t>
        </is>
      </c>
      <c r="F41" s="85" t="inlineStr">
        <is>
          <t>One-Euro</t>
        </is>
      </c>
      <c r="G41" s="85" t="n">
        <v>1</v>
      </c>
      <c r="H41" s="215"/>
      <c r="I41" s="215"/>
      <c r="J41" s="215"/>
      <c r="K41" s="149" t="str">
        <f>IF(COUNT(H41:J41)=3,AVERAGE(H41:J41),"")</f>
      </c>
      <c r="L41" s="215"/>
      <c r="M41" s="215"/>
      <c r="N41" s="215"/>
      <c r="O41" s="149" t="str">
        <f>IF(COUNT(L41:N41)=3,AVERAGE(L41:N41),"")</f>
      </c>
      <c r="P41" s="129" t="n">
        <f>6-COUNT(H41:J41,L41:N41)</f>
        <v>6</v>
      </c>
      <c r="Q41" s="129" t="str">
        <f>IF(P41=0,"完整","缺失")</f>
        <v>缺失</v>
      </c>
      <c r="R41" s="215" t="inlineStr">
        <is>
          <t>是</t>
        </is>
      </c>
      <c r="S41" s="85" t="inlineStr">
        <is>
          <t>是</t>
        </is>
      </c>
      <c r="T41" s="215" t="inlineStr">
        <is>
          <t>无</t>
        </is>
      </c>
      <c r="U41" s="243" t="inlineStr">
        <is>
          <t/>
        </is>
      </c>
    </row>
    <row r="42">
      <c r="A42" s="90" t="inlineStr">
        <is>
          <t>P007</t>
        </is>
      </c>
      <c r="B42" s="85" t="n">
        <v>2</v>
      </c>
      <c r="C42" s="85" t="n">
        <v>1</v>
      </c>
      <c r="D42" s="85" t="inlineStr">
        <is>
          <t>鼠标</t>
        </is>
      </c>
      <c r="E42" s="85" t="inlineStr">
        <is>
          <t>方法A</t>
        </is>
      </c>
      <c r="F42" s="85" t="inlineStr">
        <is>
          <t>EgoAnchor</t>
        </is>
      </c>
      <c r="G42" s="85" t="n">
        <v>2</v>
      </c>
      <c r="H42" s="215"/>
      <c r="I42" s="215"/>
      <c r="J42" s="215"/>
      <c r="K42" s="149" t="str">
        <f>IF(COUNT(H42:J42)=3,AVERAGE(H42:J42),"")</f>
      </c>
      <c r="L42" s="215"/>
      <c r="M42" s="215"/>
      <c r="N42" s="215"/>
      <c r="O42" s="149" t="str">
        <f>IF(COUNT(L42:N42)=3,AVERAGE(L42:N42),"")</f>
      </c>
      <c r="P42" s="129" t="n">
        <f>6-COUNT(H42:J42,L42:N42)</f>
        <v>6</v>
      </c>
      <c r="Q42" s="129" t="str">
        <f>IF(P42=0,"完整","缺失")</f>
        <v>缺失</v>
      </c>
      <c r="R42" s="215" t="inlineStr">
        <is>
          <t>是</t>
        </is>
      </c>
      <c r="S42" s="85" t="inlineStr">
        <is>
          <t>是</t>
        </is>
      </c>
      <c r="T42" s="215" t="inlineStr">
        <is>
          <t>无</t>
        </is>
      </c>
      <c r="U42" s="243" t="inlineStr">
        <is>
          <t/>
        </is>
      </c>
    </row>
    <row r="43">
      <c r="A43" s="90" t="inlineStr">
        <is>
          <t>P007</t>
        </is>
      </c>
      <c r="B43" s="85" t="n">
        <v>3</v>
      </c>
      <c r="C43" s="85" t="n">
        <v>2</v>
      </c>
      <c r="D43" s="85" t="inlineStr">
        <is>
          <t>固定订书机</t>
        </is>
      </c>
      <c r="E43" s="85" t="inlineStr">
        <is>
          <t>方法A</t>
        </is>
      </c>
      <c r="F43" s="85" t="inlineStr">
        <is>
          <t>EgoAnchor</t>
        </is>
      </c>
      <c r="G43" s="85" t="n">
        <v>1</v>
      </c>
      <c r="H43" s="215"/>
      <c r="I43" s="215"/>
      <c r="J43" s="215"/>
      <c r="K43" s="149" t="str">
        <f>IF(COUNT(H43:J43)=3,AVERAGE(H43:J43),"")</f>
      </c>
      <c r="L43" s="215"/>
      <c r="M43" s="215"/>
      <c r="N43" s="215"/>
      <c r="O43" s="149" t="str">
        <f>IF(COUNT(L43:N43)=3,AVERAGE(L43:N43),"")</f>
      </c>
      <c r="P43" s="129" t="n">
        <f>6-COUNT(H43:J43,L43:N43)</f>
        <v>6</v>
      </c>
      <c r="Q43" s="129" t="str">
        <f>IF(P43=0,"完整","缺失")</f>
        <v>缺失</v>
      </c>
      <c r="R43" s="215" t="inlineStr">
        <is>
          <t>是</t>
        </is>
      </c>
      <c r="S43" s="85" t="inlineStr">
        <is>
          <t>是</t>
        </is>
      </c>
      <c r="T43" s="215" t="inlineStr">
        <is>
          <t>无</t>
        </is>
      </c>
      <c r="U43" s="243" t="inlineStr">
        <is>
          <t/>
        </is>
      </c>
    </row>
    <row r="44">
      <c r="A44" s="90" t="inlineStr">
        <is>
          <t>P007</t>
        </is>
      </c>
      <c r="B44" s="85" t="n">
        <v>4</v>
      </c>
      <c r="C44" s="85" t="n">
        <v>2</v>
      </c>
      <c r="D44" s="85" t="inlineStr">
        <is>
          <t>固定订书机</t>
        </is>
      </c>
      <c r="E44" s="85" t="inlineStr">
        <is>
          <t>方法B</t>
        </is>
      </c>
      <c r="F44" s="85" t="inlineStr">
        <is>
          <t>One-Euro</t>
        </is>
      </c>
      <c r="G44" s="85" t="n">
        <v>2</v>
      </c>
      <c r="H44" s="215"/>
      <c r="I44" s="215"/>
      <c r="J44" s="215"/>
      <c r="K44" s="149" t="str">
        <f>IF(COUNT(H44:J44)=3,AVERAGE(H44:J44),"")</f>
      </c>
      <c r="L44" s="215"/>
      <c r="M44" s="215"/>
      <c r="N44" s="215"/>
      <c r="O44" s="149" t="str">
        <f>IF(COUNT(L44:N44)=3,AVERAGE(L44:N44),"")</f>
      </c>
      <c r="P44" s="129" t="n">
        <f>6-COUNT(H44:J44,L44:N44)</f>
        <v>6</v>
      </c>
      <c r="Q44" s="129" t="str">
        <f>IF(P44=0,"完整","缺失")</f>
        <v>缺失</v>
      </c>
      <c r="R44" s="215" t="inlineStr">
        <is>
          <t>是</t>
        </is>
      </c>
      <c r="S44" s="85" t="inlineStr">
        <is>
          <t>是</t>
        </is>
      </c>
      <c r="T44" s="215" t="inlineStr">
        <is>
          <t>无</t>
        </is>
      </c>
      <c r="U44" s="243" t="inlineStr">
        <is>
          <t/>
        </is>
      </c>
    </row>
    <row r="45">
      <c r="A45" s="90" t="inlineStr">
        <is>
          <t>P007</t>
        </is>
      </c>
      <c r="B45" s="85" t="n">
        <v>5</v>
      </c>
      <c r="C45" s="85" t="n">
        <v>3</v>
      </c>
      <c r="D45" s="85" t="inlineStr">
        <is>
          <t>游戏手柄</t>
        </is>
      </c>
      <c r="E45" s="85" t="inlineStr">
        <is>
          <t>方法B</t>
        </is>
      </c>
      <c r="F45" s="85" t="inlineStr">
        <is>
          <t>One-Euro</t>
        </is>
      </c>
      <c r="G45" s="85" t="n">
        <v>1</v>
      </c>
      <c r="H45" s="215"/>
      <c r="I45" s="215"/>
      <c r="J45" s="215"/>
      <c r="K45" s="149" t="str">
        <f>IF(COUNT(H45:J45)=3,AVERAGE(H45:J45),"")</f>
      </c>
      <c r="L45" s="215"/>
      <c r="M45" s="215"/>
      <c r="N45" s="215"/>
      <c r="O45" s="149" t="str">
        <f>IF(COUNT(L45:N45)=3,AVERAGE(L45:N45),"")</f>
      </c>
      <c r="P45" s="129" t="n">
        <f>6-COUNT(H45:J45,L45:N45)</f>
        <v>6</v>
      </c>
      <c r="Q45" s="129" t="str">
        <f>IF(P45=0,"完整","缺失")</f>
        <v>缺失</v>
      </c>
      <c r="R45" s="215" t="inlineStr">
        <is>
          <t>是</t>
        </is>
      </c>
      <c r="S45" s="85" t="inlineStr">
        <is>
          <t>是</t>
        </is>
      </c>
      <c r="T45" s="215" t="inlineStr">
        <is>
          <t>无</t>
        </is>
      </c>
      <c r="U45" s="243" t="inlineStr">
        <is>
          <t/>
        </is>
      </c>
    </row>
    <row r="46">
      <c r="A46" s="90" t="inlineStr">
        <is>
          <t>P007</t>
        </is>
      </c>
      <c r="B46" s="85" t="n">
        <v>6</v>
      </c>
      <c r="C46" s="85" t="n">
        <v>3</v>
      </c>
      <c r="D46" s="85" t="inlineStr">
        <is>
          <t>游戏手柄</t>
        </is>
      </c>
      <c r="E46" s="85" t="inlineStr">
        <is>
          <t>方法A</t>
        </is>
      </c>
      <c r="F46" s="85" t="inlineStr">
        <is>
          <t>EgoAnchor</t>
        </is>
      </c>
      <c r="G46" s="85" t="n">
        <v>2</v>
      </c>
      <c r="H46" s="215"/>
      <c r="I46" s="215"/>
      <c r="J46" s="215"/>
      <c r="K46" s="149" t="str">
        <f>IF(COUNT(H46:J46)=3,AVERAGE(H46:J46),"")</f>
      </c>
      <c r="L46" s="215"/>
      <c r="M46" s="215"/>
      <c r="N46" s="215"/>
      <c r="O46" s="149" t="str">
        <f>IF(COUNT(L46:N46)=3,AVERAGE(L46:N46),"")</f>
      </c>
      <c r="P46" s="129" t="n">
        <f>6-COUNT(H46:J46,L46:N46)</f>
        <v>6</v>
      </c>
      <c r="Q46" s="129" t="str">
        <f>IF(P46=0,"完整","缺失")</f>
        <v>缺失</v>
      </c>
      <c r="R46" s="215" t="inlineStr">
        <is>
          <t>是</t>
        </is>
      </c>
      <c r="S46" s="85" t="inlineStr">
        <is>
          <t>是</t>
        </is>
      </c>
      <c r="T46" s="215" t="inlineStr">
        <is>
          <t>无</t>
        </is>
      </c>
      <c r="U46" s="243" t="inlineStr">
        <is>
          <t/>
        </is>
      </c>
    </row>
    <row r="47">
      <c r="A47" s="90" t="inlineStr">
        <is>
          <t>P008</t>
        </is>
      </c>
      <c r="B47" s="85" t="n">
        <v>1</v>
      </c>
      <c r="C47" s="85" t="n">
        <v>1</v>
      </c>
      <c r="D47" s="85" t="inlineStr">
        <is>
          <t>鼠标</t>
        </is>
      </c>
      <c r="E47" s="85" t="inlineStr">
        <is>
          <t>方法B</t>
        </is>
      </c>
      <c r="F47" s="85" t="inlineStr">
        <is>
          <t>One-Euro</t>
        </is>
      </c>
      <c r="G47" s="85" t="n">
        <v>1</v>
      </c>
      <c r="H47" s="215"/>
      <c r="I47" s="215"/>
      <c r="J47" s="215"/>
      <c r="K47" s="149" t="str">
        <f>IF(COUNT(H47:J47)=3,AVERAGE(H47:J47),"")</f>
      </c>
      <c r="L47" s="215"/>
      <c r="M47" s="215"/>
      <c r="N47" s="215"/>
      <c r="O47" s="149" t="str">
        <f>IF(COUNT(L47:N47)=3,AVERAGE(L47:N47),"")</f>
      </c>
      <c r="P47" s="129" t="n">
        <f>6-COUNT(H47:J47,L47:N47)</f>
        <v>6</v>
      </c>
      <c r="Q47" s="129" t="str">
        <f>IF(P47=0,"完整","缺失")</f>
        <v>缺失</v>
      </c>
      <c r="R47" s="215" t="inlineStr">
        <is>
          <t>是</t>
        </is>
      </c>
      <c r="S47" s="85" t="inlineStr">
        <is>
          <t>是</t>
        </is>
      </c>
      <c r="T47" s="215" t="inlineStr">
        <is>
          <t>无</t>
        </is>
      </c>
      <c r="U47" s="243" t="inlineStr">
        <is>
          <t/>
        </is>
      </c>
    </row>
    <row r="48">
      <c r="A48" s="90" t="inlineStr">
        <is>
          <t>P008</t>
        </is>
      </c>
      <c r="B48" s="85" t="n">
        <v>2</v>
      </c>
      <c r="C48" s="85" t="n">
        <v>1</v>
      </c>
      <c r="D48" s="85" t="inlineStr">
        <is>
          <t>鼠标</t>
        </is>
      </c>
      <c r="E48" s="85" t="inlineStr">
        <is>
          <t>方法A</t>
        </is>
      </c>
      <c r="F48" s="85" t="inlineStr">
        <is>
          <t>EgoAnchor</t>
        </is>
      </c>
      <c r="G48" s="85" t="n">
        <v>2</v>
      </c>
      <c r="H48" s="215"/>
      <c r="I48" s="215"/>
      <c r="J48" s="215"/>
      <c r="K48" s="149" t="str">
        <f>IF(COUNT(H48:J48)=3,AVERAGE(H48:J48),"")</f>
      </c>
      <c r="L48" s="215"/>
      <c r="M48" s="215"/>
      <c r="N48" s="215"/>
      <c r="O48" s="149" t="str">
        <f>IF(COUNT(L48:N48)=3,AVERAGE(L48:N48),"")</f>
      </c>
      <c r="P48" s="129" t="n">
        <f>6-COUNT(H48:J48,L48:N48)</f>
        <v>6</v>
      </c>
      <c r="Q48" s="129" t="str">
        <f>IF(P48=0,"完整","缺失")</f>
        <v>缺失</v>
      </c>
      <c r="R48" s="215" t="inlineStr">
        <is>
          <t>是</t>
        </is>
      </c>
      <c r="S48" s="85" t="inlineStr">
        <is>
          <t>是</t>
        </is>
      </c>
      <c r="T48" s="215" t="inlineStr">
        <is>
          <t>无</t>
        </is>
      </c>
      <c r="U48" s="243" t="inlineStr">
        <is>
          <t/>
        </is>
      </c>
    </row>
    <row r="49">
      <c r="A49" s="90" t="inlineStr">
        <is>
          <t>P008</t>
        </is>
      </c>
      <c r="B49" s="85" t="n">
        <v>3</v>
      </c>
      <c r="C49" s="85" t="n">
        <v>2</v>
      </c>
      <c r="D49" s="85" t="inlineStr">
        <is>
          <t>游戏手柄</t>
        </is>
      </c>
      <c r="E49" s="85" t="inlineStr">
        <is>
          <t>方法A</t>
        </is>
      </c>
      <c r="F49" s="85" t="inlineStr">
        <is>
          <t>EgoAnchor</t>
        </is>
      </c>
      <c r="G49" s="85" t="n">
        <v>1</v>
      </c>
      <c r="H49" s="215"/>
      <c r="I49" s="215"/>
      <c r="J49" s="215"/>
      <c r="K49" s="149" t="str">
        <f>IF(COUNT(H49:J49)=3,AVERAGE(H49:J49),"")</f>
      </c>
      <c r="L49" s="215"/>
      <c r="M49" s="215"/>
      <c r="N49" s="215"/>
      <c r="O49" s="149" t="str">
        <f>IF(COUNT(L49:N49)=3,AVERAGE(L49:N49),"")</f>
      </c>
      <c r="P49" s="129" t="n">
        <f>6-COUNT(H49:J49,L49:N49)</f>
        <v>6</v>
      </c>
      <c r="Q49" s="129" t="str">
        <f>IF(P49=0,"完整","缺失")</f>
        <v>缺失</v>
      </c>
      <c r="R49" s="215" t="inlineStr">
        <is>
          <t>是</t>
        </is>
      </c>
      <c r="S49" s="85" t="inlineStr">
        <is>
          <t>是</t>
        </is>
      </c>
      <c r="T49" s="215" t="inlineStr">
        <is>
          <t>无</t>
        </is>
      </c>
      <c r="U49" s="243" t="inlineStr">
        <is>
          <t/>
        </is>
      </c>
    </row>
    <row r="50">
      <c r="A50" s="90" t="inlineStr">
        <is>
          <t>P008</t>
        </is>
      </c>
      <c r="B50" s="85" t="n">
        <v>4</v>
      </c>
      <c r="C50" s="85" t="n">
        <v>2</v>
      </c>
      <c r="D50" s="85" t="inlineStr">
        <is>
          <t>游戏手柄</t>
        </is>
      </c>
      <c r="E50" s="85" t="inlineStr">
        <is>
          <t>方法B</t>
        </is>
      </c>
      <c r="F50" s="85" t="inlineStr">
        <is>
          <t>One-Euro</t>
        </is>
      </c>
      <c r="G50" s="85" t="n">
        <v>2</v>
      </c>
      <c r="H50" s="215"/>
      <c r="I50" s="215"/>
      <c r="J50" s="215"/>
      <c r="K50" s="149" t="str">
        <f>IF(COUNT(H50:J50)=3,AVERAGE(H50:J50),"")</f>
      </c>
      <c r="L50" s="215"/>
      <c r="M50" s="215"/>
      <c r="N50" s="215"/>
      <c r="O50" s="149" t="str">
        <f>IF(COUNT(L50:N50)=3,AVERAGE(L50:N50),"")</f>
      </c>
      <c r="P50" s="129" t="n">
        <f>6-COUNT(H50:J50,L50:N50)</f>
        <v>6</v>
      </c>
      <c r="Q50" s="129" t="str">
        <f>IF(P50=0,"完整","缺失")</f>
        <v>缺失</v>
      </c>
      <c r="R50" s="215" t="inlineStr">
        <is>
          <t>是</t>
        </is>
      </c>
      <c r="S50" s="85" t="inlineStr">
        <is>
          <t>是</t>
        </is>
      </c>
      <c r="T50" s="215" t="inlineStr">
        <is>
          <t>无</t>
        </is>
      </c>
      <c r="U50" s="243" t="inlineStr">
        <is>
          <t/>
        </is>
      </c>
    </row>
    <row r="51">
      <c r="A51" s="90" t="inlineStr">
        <is>
          <t>P008</t>
        </is>
      </c>
      <c r="B51" s="85" t="n">
        <v>5</v>
      </c>
      <c r="C51" s="85" t="n">
        <v>3</v>
      </c>
      <c r="D51" s="85" t="inlineStr">
        <is>
          <t>固定订书机</t>
        </is>
      </c>
      <c r="E51" s="85" t="inlineStr">
        <is>
          <t>方法B</t>
        </is>
      </c>
      <c r="F51" s="85" t="inlineStr">
        <is>
          <t>One-Euro</t>
        </is>
      </c>
      <c r="G51" s="85" t="n">
        <v>1</v>
      </c>
      <c r="H51" s="215"/>
      <c r="I51" s="215"/>
      <c r="J51" s="215"/>
      <c r="K51" s="149" t="str">
        <f>IF(COUNT(H51:J51)=3,AVERAGE(H51:J51),"")</f>
      </c>
      <c r="L51" s="215"/>
      <c r="M51" s="215"/>
      <c r="N51" s="215"/>
      <c r="O51" s="149" t="str">
        <f>IF(COUNT(L51:N51)=3,AVERAGE(L51:N51),"")</f>
      </c>
      <c r="P51" s="129" t="n">
        <f>6-COUNT(H51:J51,L51:N51)</f>
        <v>6</v>
      </c>
      <c r="Q51" s="129" t="str">
        <f>IF(P51=0,"完整","缺失")</f>
        <v>缺失</v>
      </c>
      <c r="R51" s="215" t="inlineStr">
        <is>
          <t>是</t>
        </is>
      </c>
      <c r="S51" s="85" t="inlineStr">
        <is>
          <t>是</t>
        </is>
      </c>
      <c r="T51" s="215" t="inlineStr">
        <is>
          <t>无</t>
        </is>
      </c>
      <c r="U51" s="243" t="inlineStr">
        <is>
          <t/>
        </is>
      </c>
    </row>
    <row r="52">
      <c r="A52" s="90" t="inlineStr">
        <is>
          <t>P008</t>
        </is>
      </c>
      <c r="B52" s="85" t="n">
        <v>6</v>
      </c>
      <c r="C52" s="85" t="n">
        <v>3</v>
      </c>
      <c r="D52" s="85" t="inlineStr">
        <is>
          <t>固定订书机</t>
        </is>
      </c>
      <c r="E52" s="85" t="inlineStr">
        <is>
          <t>方法A</t>
        </is>
      </c>
      <c r="F52" s="85" t="inlineStr">
        <is>
          <t>EgoAnchor</t>
        </is>
      </c>
      <c r="G52" s="85" t="n">
        <v>2</v>
      </c>
      <c r="H52" s="215"/>
      <c r="I52" s="215"/>
      <c r="J52" s="215"/>
      <c r="K52" s="149" t="str">
        <f>IF(COUNT(H52:J52)=3,AVERAGE(H52:J52),"")</f>
      </c>
      <c r="L52" s="215"/>
      <c r="M52" s="215"/>
      <c r="N52" s="215"/>
      <c r="O52" s="149" t="str">
        <f>IF(COUNT(L52:N52)=3,AVERAGE(L52:N52),"")</f>
      </c>
      <c r="P52" s="129" t="n">
        <f>6-COUNT(H52:J52,L52:N52)</f>
        <v>6</v>
      </c>
      <c r="Q52" s="129" t="str">
        <f>IF(P52=0,"完整","缺失")</f>
        <v>缺失</v>
      </c>
      <c r="R52" s="215" t="inlineStr">
        <is>
          <t>是</t>
        </is>
      </c>
      <c r="S52" s="85" t="inlineStr">
        <is>
          <t>是</t>
        </is>
      </c>
      <c r="T52" s="215" t="inlineStr">
        <is>
          <t>无</t>
        </is>
      </c>
      <c r="U52" s="243" t="inlineStr">
        <is>
          <t/>
        </is>
      </c>
    </row>
    <row r="53">
      <c r="A53" s="90" t="inlineStr">
        <is>
          <t>P009</t>
        </is>
      </c>
      <c r="B53" s="85" t="n">
        <v>1</v>
      </c>
      <c r="C53" s="85" t="n">
        <v>1</v>
      </c>
      <c r="D53" s="85" t="inlineStr">
        <is>
          <t>固定订书机</t>
        </is>
      </c>
      <c r="E53" s="85" t="inlineStr">
        <is>
          <t>方法B</t>
        </is>
      </c>
      <c r="F53" s="85" t="inlineStr">
        <is>
          <t>One-Euro</t>
        </is>
      </c>
      <c r="G53" s="85" t="n">
        <v>1</v>
      </c>
      <c r="H53" s="215"/>
      <c r="I53" s="215"/>
      <c r="J53" s="215"/>
      <c r="K53" s="149" t="str">
        <f>IF(COUNT(H53:J53)=3,AVERAGE(H53:J53),"")</f>
      </c>
      <c r="L53" s="215"/>
      <c r="M53" s="215"/>
      <c r="N53" s="215"/>
      <c r="O53" s="149" t="str">
        <f>IF(COUNT(L53:N53)=3,AVERAGE(L53:N53),"")</f>
      </c>
      <c r="P53" s="129" t="n">
        <f>6-COUNT(H53:J53,L53:N53)</f>
        <v>6</v>
      </c>
      <c r="Q53" s="129" t="str">
        <f>IF(P53=0,"完整","缺失")</f>
        <v>缺失</v>
      </c>
      <c r="R53" s="215" t="inlineStr">
        <is>
          <t>是</t>
        </is>
      </c>
      <c r="S53" s="85" t="inlineStr">
        <is>
          <t>是</t>
        </is>
      </c>
      <c r="T53" s="215" t="inlineStr">
        <is>
          <t>无</t>
        </is>
      </c>
      <c r="U53" s="243" t="inlineStr">
        <is>
          <t/>
        </is>
      </c>
    </row>
    <row r="54">
      <c r="A54" s="90" t="inlineStr">
        <is>
          <t>P009</t>
        </is>
      </c>
      <c r="B54" s="85" t="n">
        <v>2</v>
      </c>
      <c r="C54" s="85" t="n">
        <v>1</v>
      </c>
      <c r="D54" s="85" t="inlineStr">
        <is>
          <t>固定订书机</t>
        </is>
      </c>
      <c r="E54" s="85" t="inlineStr">
        <is>
          <t>方法A</t>
        </is>
      </c>
      <c r="F54" s="85" t="inlineStr">
        <is>
          <t>EgoAnchor</t>
        </is>
      </c>
      <c r="G54" s="85" t="n">
        <v>2</v>
      </c>
      <c r="H54" s="215"/>
      <c r="I54" s="215"/>
      <c r="J54" s="215"/>
      <c r="K54" s="149" t="str">
        <f>IF(COUNT(H54:J54)=3,AVERAGE(H54:J54),"")</f>
      </c>
      <c r="L54" s="215"/>
      <c r="M54" s="215"/>
      <c r="N54" s="215"/>
      <c r="O54" s="149" t="str">
        <f>IF(COUNT(L54:N54)=3,AVERAGE(L54:N54),"")</f>
      </c>
      <c r="P54" s="129" t="n">
        <f>6-COUNT(H54:J54,L54:N54)</f>
        <v>6</v>
      </c>
      <c r="Q54" s="129" t="str">
        <f>IF(P54=0,"完整","缺失")</f>
        <v>缺失</v>
      </c>
      <c r="R54" s="215" t="inlineStr">
        <is>
          <t>是</t>
        </is>
      </c>
      <c r="S54" s="85" t="inlineStr">
        <is>
          <t>是</t>
        </is>
      </c>
      <c r="T54" s="215" t="inlineStr">
        <is>
          <t>无</t>
        </is>
      </c>
      <c r="U54" s="243" t="inlineStr">
        <is>
          <t/>
        </is>
      </c>
    </row>
    <row r="55">
      <c r="A55" s="90" t="inlineStr">
        <is>
          <t>P009</t>
        </is>
      </c>
      <c r="B55" s="85" t="n">
        <v>3</v>
      </c>
      <c r="C55" s="85" t="n">
        <v>2</v>
      </c>
      <c r="D55" s="85" t="inlineStr">
        <is>
          <t>鼠标</t>
        </is>
      </c>
      <c r="E55" s="85" t="inlineStr">
        <is>
          <t>方法A</t>
        </is>
      </c>
      <c r="F55" s="85" t="inlineStr">
        <is>
          <t>EgoAnchor</t>
        </is>
      </c>
      <c r="G55" s="85" t="n">
        <v>1</v>
      </c>
      <c r="H55" s="215"/>
      <c r="I55" s="215"/>
      <c r="J55" s="215"/>
      <c r="K55" s="149" t="str">
        <f>IF(COUNT(H55:J55)=3,AVERAGE(H55:J55),"")</f>
      </c>
      <c r="L55" s="215"/>
      <c r="M55" s="215"/>
      <c r="N55" s="215"/>
      <c r="O55" s="149" t="str">
        <f>IF(COUNT(L55:N55)=3,AVERAGE(L55:N55),"")</f>
      </c>
      <c r="P55" s="129" t="n">
        <f>6-COUNT(H55:J55,L55:N55)</f>
        <v>6</v>
      </c>
      <c r="Q55" s="129" t="str">
        <f>IF(P55=0,"完整","缺失")</f>
        <v>缺失</v>
      </c>
      <c r="R55" s="215" t="inlineStr">
        <is>
          <t>是</t>
        </is>
      </c>
      <c r="S55" s="85" t="inlineStr">
        <is>
          <t>是</t>
        </is>
      </c>
      <c r="T55" s="215" t="inlineStr">
        <is>
          <t>无</t>
        </is>
      </c>
      <c r="U55" s="243" t="inlineStr">
        <is>
          <t/>
        </is>
      </c>
    </row>
    <row r="56">
      <c r="A56" s="90" t="inlineStr">
        <is>
          <t>P009</t>
        </is>
      </c>
      <c r="B56" s="85" t="n">
        <v>4</v>
      </c>
      <c r="C56" s="85" t="n">
        <v>2</v>
      </c>
      <c r="D56" s="85" t="inlineStr">
        <is>
          <t>鼠标</t>
        </is>
      </c>
      <c r="E56" s="85" t="inlineStr">
        <is>
          <t>方法B</t>
        </is>
      </c>
      <c r="F56" s="85" t="inlineStr">
        <is>
          <t>One-Euro</t>
        </is>
      </c>
      <c r="G56" s="85" t="n">
        <v>2</v>
      </c>
      <c r="H56" s="215"/>
      <c r="I56" s="215"/>
      <c r="J56" s="215"/>
      <c r="K56" s="149" t="str">
        <f>IF(COUNT(H56:J56)=3,AVERAGE(H56:J56),"")</f>
      </c>
      <c r="L56" s="215"/>
      <c r="M56" s="215"/>
      <c r="N56" s="215"/>
      <c r="O56" s="149" t="str">
        <f>IF(COUNT(L56:N56)=3,AVERAGE(L56:N56),"")</f>
      </c>
      <c r="P56" s="129" t="n">
        <f>6-COUNT(H56:J56,L56:N56)</f>
        <v>6</v>
      </c>
      <c r="Q56" s="129" t="str">
        <f>IF(P56=0,"完整","缺失")</f>
        <v>缺失</v>
      </c>
      <c r="R56" s="215" t="inlineStr">
        <is>
          <t>是</t>
        </is>
      </c>
      <c r="S56" s="85" t="inlineStr">
        <is>
          <t>是</t>
        </is>
      </c>
      <c r="T56" s="215" t="inlineStr">
        <is>
          <t>无</t>
        </is>
      </c>
      <c r="U56" s="243" t="inlineStr">
        <is>
          <t/>
        </is>
      </c>
    </row>
    <row r="57">
      <c r="A57" s="90" t="inlineStr">
        <is>
          <t>P009</t>
        </is>
      </c>
      <c r="B57" s="85" t="n">
        <v>5</v>
      </c>
      <c r="C57" s="85" t="n">
        <v>3</v>
      </c>
      <c r="D57" s="85" t="inlineStr">
        <is>
          <t>游戏手柄</t>
        </is>
      </c>
      <c r="E57" s="85" t="inlineStr">
        <is>
          <t>方法B</t>
        </is>
      </c>
      <c r="F57" s="85" t="inlineStr">
        <is>
          <t>One-Euro</t>
        </is>
      </c>
      <c r="G57" s="85" t="n">
        <v>1</v>
      </c>
      <c r="H57" s="215"/>
      <c r="I57" s="215"/>
      <c r="J57" s="215"/>
      <c r="K57" s="149" t="str">
        <f>IF(COUNT(H57:J57)=3,AVERAGE(H57:J57),"")</f>
      </c>
      <c r="L57" s="215"/>
      <c r="M57" s="215"/>
      <c r="N57" s="215"/>
      <c r="O57" s="149" t="str">
        <f>IF(COUNT(L57:N57)=3,AVERAGE(L57:N57),"")</f>
      </c>
      <c r="P57" s="129" t="n">
        <f>6-COUNT(H57:J57,L57:N57)</f>
        <v>6</v>
      </c>
      <c r="Q57" s="129" t="str">
        <f>IF(P57=0,"完整","缺失")</f>
        <v>缺失</v>
      </c>
      <c r="R57" s="215" t="inlineStr">
        <is>
          <t>是</t>
        </is>
      </c>
      <c r="S57" s="85" t="inlineStr">
        <is>
          <t>是</t>
        </is>
      </c>
      <c r="T57" s="215" t="inlineStr">
        <is>
          <t>无</t>
        </is>
      </c>
      <c r="U57" s="243" t="inlineStr">
        <is>
          <t/>
        </is>
      </c>
    </row>
    <row r="58">
      <c r="A58" s="90" t="inlineStr">
        <is>
          <t>P009</t>
        </is>
      </c>
      <c r="B58" s="85" t="n">
        <v>6</v>
      </c>
      <c r="C58" s="85" t="n">
        <v>3</v>
      </c>
      <c r="D58" s="85" t="inlineStr">
        <is>
          <t>游戏手柄</t>
        </is>
      </c>
      <c r="E58" s="85" t="inlineStr">
        <is>
          <t>方法A</t>
        </is>
      </c>
      <c r="F58" s="85" t="inlineStr">
        <is>
          <t>EgoAnchor</t>
        </is>
      </c>
      <c r="G58" s="85" t="n">
        <v>2</v>
      </c>
      <c r="H58" s="215"/>
      <c r="I58" s="215"/>
      <c r="J58" s="215"/>
      <c r="K58" s="149" t="str">
        <f>IF(COUNT(H58:J58)=3,AVERAGE(H58:J58),"")</f>
      </c>
      <c r="L58" s="215"/>
      <c r="M58" s="215"/>
      <c r="N58" s="215"/>
      <c r="O58" s="149" t="str">
        <f>IF(COUNT(L58:N58)=3,AVERAGE(L58:N58),"")</f>
      </c>
      <c r="P58" s="129" t="n">
        <f>6-COUNT(H58:J58,L58:N58)</f>
        <v>6</v>
      </c>
      <c r="Q58" s="129" t="str">
        <f>IF(P58=0,"完整","缺失")</f>
        <v>缺失</v>
      </c>
      <c r="R58" s="215" t="inlineStr">
        <is>
          <t>是</t>
        </is>
      </c>
      <c r="S58" s="85" t="inlineStr">
        <is>
          <t>是</t>
        </is>
      </c>
      <c r="T58" s="215" t="inlineStr">
        <is>
          <t>无</t>
        </is>
      </c>
      <c r="U58" s="243" t="inlineStr">
        <is>
          <t/>
        </is>
      </c>
    </row>
    <row r="59">
      <c r="A59" s="90" t="inlineStr">
        <is>
          <t>P010</t>
        </is>
      </c>
      <c r="B59" s="85" t="n">
        <v>1</v>
      </c>
      <c r="C59" s="85" t="n">
        <v>1</v>
      </c>
      <c r="D59" s="85" t="inlineStr">
        <is>
          <t>固定订书机</t>
        </is>
      </c>
      <c r="E59" s="85" t="inlineStr">
        <is>
          <t>方法B</t>
        </is>
      </c>
      <c r="F59" s="85" t="inlineStr">
        <is>
          <t>One-Euro</t>
        </is>
      </c>
      <c r="G59" s="85" t="n">
        <v>1</v>
      </c>
      <c r="H59" s="215"/>
      <c r="I59" s="215"/>
      <c r="J59" s="215"/>
      <c r="K59" s="149" t="str">
        <f>IF(COUNT(H59:J59)=3,AVERAGE(H59:J59),"")</f>
      </c>
      <c r="L59" s="215"/>
      <c r="M59" s="215"/>
      <c r="N59" s="215"/>
      <c r="O59" s="149" t="str">
        <f>IF(COUNT(L59:N59)=3,AVERAGE(L59:N59),"")</f>
      </c>
      <c r="P59" s="129" t="n">
        <f>6-COUNT(H59:J59,L59:N59)</f>
        <v>6</v>
      </c>
      <c r="Q59" s="129" t="str">
        <f>IF(P59=0,"完整","缺失")</f>
        <v>缺失</v>
      </c>
      <c r="R59" s="215" t="inlineStr">
        <is>
          <t>是</t>
        </is>
      </c>
      <c r="S59" s="85" t="inlineStr">
        <is>
          <t>是</t>
        </is>
      </c>
      <c r="T59" s="215" t="inlineStr">
        <is>
          <t>无</t>
        </is>
      </c>
      <c r="U59" s="243" t="inlineStr">
        <is>
          <t/>
        </is>
      </c>
    </row>
    <row r="60">
      <c r="A60" s="90" t="inlineStr">
        <is>
          <t>P010</t>
        </is>
      </c>
      <c r="B60" s="85" t="n">
        <v>2</v>
      </c>
      <c r="C60" s="85" t="n">
        <v>1</v>
      </c>
      <c r="D60" s="85" t="inlineStr">
        <is>
          <t>固定订书机</t>
        </is>
      </c>
      <c r="E60" s="85" t="inlineStr">
        <is>
          <t>方法A</t>
        </is>
      </c>
      <c r="F60" s="85" t="inlineStr">
        <is>
          <t>EgoAnchor</t>
        </is>
      </c>
      <c r="G60" s="85" t="n">
        <v>2</v>
      </c>
      <c r="H60" s="215"/>
      <c r="I60" s="215"/>
      <c r="J60" s="215"/>
      <c r="K60" s="149" t="str">
        <f>IF(COUNT(H60:J60)=3,AVERAGE(H60:J60),"")</f>
      </c>
      <c r="L60" s="215"/>
      <c r="M60" s="215"/>
      <c r="N60" s="215"/>
      <c r="O60" s="149" t="str">
        <f>IF(COUNT(L60:N60)=3,AVERAGE(L60:N60),"")</f>
      </c>
      <c r="P60" s="129" t="n">
        <f>6-COUNT(H60:J60,L60:N60)</f>
        <v>6</v>
      </c>
      <c r="Q60" s="129" t="str">
        <f>IF(P60=0,"完整","缺失")</f>
        <v>缺失</v>
      </c>
      <c r="R60" s="215" t="inlineStr">
        <is>
          <t>是</t>
        </is>
      </c>
      <c r="S60" s="85" t="inlineStr">
        <is>
          <t>是</t>
        </is>
      </c>
      <c r="T60" s="215" t="inlineStr">
        <is>
          <t>无</t>
        </is>
      </c>
      <c r="U60" s="243" t="inlineStr">
        <is>
          <t/>
        </is>
      </c>
    </row>
    <row r="61">
      <c r="A61" s="90" t="inlineStr">
        <is>
          <t>P010</t>
        </is>
      </c>
      <c r="B61" s="85" t="n">
        <v>3</v>
      </c>
      <c r="C61" s="85" t="n">
        <v>2</v>
      </c>
      <c r="D61" s="85" t="inlineStr">
        <is>
          <t>游戏手柄</t>
        </is>
      </c>
      <c r="E61" s="85" t="inlineStr">
        <is>
          <t>方法A</t>
        </is>
      </c>
      <c r="F61" s="85" t="inlineStr">
        <is>
          <t>EgoAnchor</t>
        </is>
      </c>
      <c r="G61" s="85" t="n">
        <v>1</v>
      </c>
      <c r="H61" s="215"/>
      <c r="I61" s="215"/>
      <c r="J61" s="215"/>
      <c r="K61" s="149" t="str">
        <f>IF(COUNT(H61:J61)=3,AVERAGE(H61:J61),"")</f>
      </c>
      <c r="L61" s="215"/>
      <c r="M61" s="215"/>
      <c r="N61" s="215"/>
      <c r="O61" s="149" t="str">
        <f>IF(COUNT(L61:N61)=3,AVERAGE(L61:N61),"")</f>
      </c>
      <c r="P61" s="129" t="n">
        <f>6-COUNT(H61:J61,L61:N61)</f>
        <v>6</v>
      </c>
      <c r="Q61" s="129" t="str">
        <f>IF(P61=0,"完整","缺失")</f>
        <v>缺失</v>
      </c>
      <c r="R61" s="215" t="inlineStr">
        <is>
          <t>是</t>
        </is>
      </c>
      <c r="S61" s="85" t="inlineStr">
        <is>
          <t>是</t>
        </is>
      </c>
      <c r="T61" s="215" t="inlineStr">
        <is>
          <t>无</t>
        </is>
      </c>
      <c r="U61" s="243" t="inlineStr">
        <is>
          <t/>
        </is>
      </c>
    </row>
    <row r="62">
      <c r="A62" s="90" t="inlineStr">
        <is>
          <t>P010</t>
        </is>
      </c>
      <c r="B62" s="85" t="n">
        <v>4</v>
      </c>
      <c r="C62" s="85" t="n">
        <v>2</v>
      </c>
      <c r="D62" s="85" t="inlineStr">
        <is>
          <t>游戏手柄</t>
        </is>
      </c>
      <c r="E62" s="85" t="inlineStr">
        <is>
          <t>方法B</t>
        </is>
      </c>
      <c r="F62" s="85" t="inlineStr">
        <is>
          <t>One-Euro</t>
        </is>
      </c>
      <c r="G62" s="85" t="n">
        <v>2</v>
      </c>
      <c r="H62" s="215"/>
      <c r="I62" s="215"/>
      <c r="J62" s="215"/>
      <c r="K62" s="149" t="str">
        <f>IF(COUNT(H62:J62)=3,AVERAGE(H62:J62),"")</f>
      </c>
      <c r="L62" s="215"/>
      <c r="M62" s="215"/>
      <c r="N62" s="215"/>
      <c r="O62" s="149" t="str">
        <f>IF(COUNT(L62:N62)=3,AVERAGE(L62:N62),"")</f>
      </c>
      <c r="P62" s="129" t="n">
        <f>6-COUNT(H62:J62,L62:N62)</f>
        <v>6</v>
      </c>
      <c r="Q62" s="129" t="str">
        <f>IF(P62=0,"完整","缺失")</f>
        <v>缺失</v>
      </c>
      <c r="R62" s="215" t="inlineStr">
        <is>
          <t>是</t>
        </is>
      </c>
      <c r="S62" s="85" t="inlineStr">
        <is>
          <t>是</t>
        </is>
      </c>
      <c r="T62" s="215" t="inlineStr">
        <is>
          <t>无</t>
        </is>
      </c>
      <c r="U62" s="243" t="inlineStr">
        <is>
          <t/>
        </is>
      </c>
    </row>
    <row r="63">
      <c r="A63" s="90" t="inlineStr">
        <is>
          <t>P010</t>
        </is>
      </c>
      <c r="B63" s="85" t="n">
        <v>5</v>
      </c>
      <c r="C63" s="85" t="n">
        <v>3</v>
      </c>
      <c r="D63" s="85" t="inlineStr">
        <is>
          <t>鼠标</t>
        </is>
      </c>
      <c r="E63" s="85" t="inlineStr">
        <is>
          <t>方法B</t>
        </is>
      </c>
      <c r="F63" s="85" t="inlineStr">
        <is>
          <t>One-Euro</t>
        </is>
      </c>
      <c r="G63" s="85" t="n">
        <v>1</v>
      </c>
      <c r="H63" s="215"/>
      <c r="I63" s="215"/>
      <c r="J63" s="215"/>
      <c r="K63" s="149" t="str">
        <f>IF(COUNT(H63:J63)=3,AVERAGE(H63:J63),"")</f>
      </c>
      <c r="L63" s="215"/>
      <c r="M63" s="215"/>
      <c r="N63" s="215"/>
      <c r="O63" s="149" t="str">
        <f>IF(COUNT(L63:N63)=3,AVERAGE(L63:N63),"")</f>
      </c>
      <c r="P63" s="129" t="n">
        <f>6-COUNT(H63:J63,L63:N63)</f>
        <v>6</v>
      </c>
      <c r="Q63" s="129" t="str">
        <f>IF(P63=0,"完整","缺失")</f>
        <v>缺失</v>
      </c>
      <c r="R63" s="215" t="inlineStr">
        <is>
          <t>是</t>
        </is>
      </c>
      <c r="S63" s="85" t="inlineStr">
        <is>
          <t>是</t>
        </is>
      </c>
      <c r="T63" s="215" t="inlineStr">
        <is>
          <t>无</t>
        </is>
      </c>
      <c r="U63" s="243" t="inlineStr">
        <is>
          <t/>
        </is>
      </c>
    </row>
    <row r="64">
      <c r="A64" s="90" t="inlineStr">
        <is>
          <t>P010</t>
        </is>
      </c>
      <c r="B64" s="85" t="n">
        <v>6</v>
      </c>
      <c r="C64" s="85" t="n">
        <v>3</v>
      </c>
      <c r="D64" s="85" t="inlineStr">
        <is>
          <t>鼠标</t>
        </is>
      </c>
      <c r="E64" s="85" t="inlineStr">
        <is>
          <t>方法A</t>
        </is>
      </c>
      <c r="F64" s="85" t="inlineStr">
        <is>
          <t>EgoAnchor</t>
        </is>
      </c>
      <c r="G64" s="85" t="n">
        <v>2</v>
      </c>
      <c r="H64" s="215"/>
      <c r="I64" s="215"/>
      <c r="J64" s="215"/>
      <c r="K64" s="149" t="str">
        <f>IF(COUNT(H64:J64)=3,AVERAGE(H64:J64),"")</f>
      </c>
      <c r="L64" s="215"/>
      <c r="M64" s="215"/>
      <c r="N64" s="215"/>
      <c r="O64" s="149" t="str">
        <f>IF(COUNT(L64:N64)=3,AVERAGE(L64:N64),"")</f>
      </c>
      <c r="P64" s="129" t="n">
        <f>6-COUNT(H64:J64,L64:N64)</f>
        <v>6</v>
      </c>
      <c r="Q64" s="129" t="str">
        <f>IF(P64=0,"完整","缺失")</f>
        <v>缺失</v>
      </c>
      <c r="R64" s="215" t="inlineStr">
        <is>
          <t>是</t>
        </is>
      </c>
      <c r="S64" s="85" t="inlineStr">
        <is>
          <t>是</t>
        </is>
      </c>
      <c r="T64" s="215" t="inlineStr">
        <is>
          <t>无</t>
        </is>
      </c>
      <c r="U64" s="243" t="inlineStr">
        <is>
          <t/>
        </is>
      </c>
    </row>
    <row r="65">
      <c r="A65" s="90" t="inlineStr">
        <is>
          <t>P011</t>
        </is>
      </c>
      <c r="B65" s="85" t="n">
        <v>1</v>
      </c>
      <c r="C65" s="85" t="n">
        <v>1</v>
      </c>
      <c r="D65" s="85" t="inlineStr">
        <is>
          <t>游戏手柄</t>
        </is>
      </c>
      <c r="E65" s="85" t="inlineStr">
        <is>
          <t>方法B</t>
        </is>
      </c>
      <c r="F65" s="85" t="inlineStr">
        <is>
          <t>One-Euro</t>
        </is>
      </c>
      <c r="G65" s="85" t="n">
        <v>1</v>
      </c>
      <c r="H65" s="215"/>
      <c r="I65" s="215"/>
      <c r="J65" s="215"/>
      <c r="K65" s="149" t="str">
        <f>IF(COUNT(H65:J65)=3,AVERAGE(H65:J65),"")</f>
      </c>
      <c r="L65" s="215"/>
      <c r="M65" s="215"/>
      <c r="N65" s="215"/>
      <c r="O65" s="149" t="str">
        <f>IF(COUNT(L65:N65)=3,AVERAGE(L65:N65),"")</f>
      </c>
      <c r="P65" s="129" t="n">
        <f>6-COUNT(H65:J65,L65:N65)</f>
        <v>6</v>
      </c>
      <c r="Q65" s="129" t="str">
        <f>IF(P65=0,"完整","缺失")</f>
        <v>缺失</v>
      </c>
      <c r="R65" s="215" t="inlineStr">
        <is>
          <t>是</t>
        </is>
      </c>
      <c r="S65" s="85" t="inlineStr">
        <is>
          <t>是</t>
        </is>
      </c>
      <c r="T65" s="215" t="inlineStr">
        <is>
          <t>无</t>
        </is>
      </c>
      <c r="U65" s="243" t="inlineStr">
        <is>
          <t/>
        </is>
      </c>
    </row>
    <row r="66">
      <c r="A66" s="90" t="inlineStr">
        <is>
          <t>P011</t>
        </is>
      </c>
      <c r="B66" s="85" t="n">
        <v>2</v>
      </c>
      <c r="C66" s="85" t="n">
        <v>1</v>
      </c>
      <c r="D66" s="85" t="inlineStr">
        <is>
          <t>游戏手柄</t>
        </is>
      </c>
      <c r="E66" s="85" t="inlineStr">
        <is>
          <t>方法A</t>
        </is>
      </c>
      <c r="F66" s="85" t="inlineStr">
        <is>
          <t>EgoAnchor</t>
        </is>
      </c>
      <c r="G66" s="85" t="n">
        <v>2</v>
      </c>
      <c r="H66" s="215"/>
      <c r="I66" s="215"/>
      <c r="J66" s="215"/>
      <c r="K66" s="149" t="str">
        <f>IF(COUNT(H66:J66)=3,AVERAGE(H66:J66),"")</f>
      </c>
      <c r="L66" s="215"/>
      <c r="M66" s="215"/>
      <c r="N66" s="215"/>
      <c r="O66" s="149" t="str">
        <f>IF(COUNT(L66:N66)=3,AVERAGE(L66:N66),"")</f>
      </c>
      <c r="P66" s="129" t="n">
        <f>6-COUNT(H66:J66,L66:N66)</f>
        <v>6</v>
      </c>
      <c r="Q66" s="129" t="str">
        <f>IF(P66=0,"完整","缺失")</f>
        <v>缺失</v>
      </c>
      <c r="R66" s="215" t="inlineStr">
        <is>
          <t>是</t>
        </is>
      </c>
      <c r="S66" s="85" t="inlineStr">
        <is>
          <t>是</t>
        </is>
      </c>
      <c r="T66" s="215" t="inlineStr">
        <is>
          <t>无</t>
        </is>
      </c>
      <c r="U66" s="243" t="inlineStr">
        <is>
          <t/>
        </is>
      </c>
    </row>
    <row r="67">
      <c r="A67" s="90" t="inlineStr">
        <is>
          <t>P011</t>
        </is>
      </c>
      <c r="B67" s="85" t="n">
        <v>3</v>
      </c>
      <c r="C67" s="85" t="n">
        <v>2</v>
      </c>
      <c r="D67" s="85" t="inlineStr">
        <is>
          <t>鼠标</t>
        </is>
      </c>
      <c r="E67" s="85" t="inlineStr">
        <is>
          <t>方法A</t>
        </is>
      </c>
      <c r="F67" s="85" t="inlineStr">
        <is>
          <t>EgoAnchor</t>
        </is>
      </c>
      <c r="G67" s="85" t="n">
        <v>1</v>
      </c>
      <c r="H67" s="215"/>
      <c r="I67" s="215"/>
      <c r="J67" s="215"/>
      <c r="K67" s="149" t="str">
        <f>IF(COUNT(H67:J67)=3,AVERAGE(H67:J67),"")</f>
      </c>
      <c r="L67" s="215"/>
      <c r="M67" s="215"/>
      <c r="N67" s="215"/>
      <c r="O67" s="149" t="str">
        <f>IF(COUNT(L67:N67)=3,AVERAGE(L67:N67),"")</f>
      </c>
      <c r="P67" s="129" t="n">
        <f>6-COUNT(H67:J67,L67:N67)</f>
        <v>6</v>
      </c>
      <c r="Q67" s="129" t="str">
        <f>IF(P67=0,"完整","缺失")</f>
        <v>缺失</v>
      </c>
      <c r="R67" s="215" t="inlineStr">
        <is>
          <t>是</t>
        </is>
      </c>
      <c r="S67" s="85" t="inlineStr">
        <is>
          <t>是</t>
        </is>
      </c>
      <c r="T67" s="215" t="inlineStr">
        <is>
          <t>无</t>
        </is>
      </c>
      <c r="U67" s="243" t="inlineStr">
        <is>
          <t/>
        </is>
      </c>
    </row>
    <row r="68">
      <c r="A68" s="90" t="inlineStr">
        <is>
          <t>P011</t>
        </is>
      </c>
      <c r="B68" s="85" t="n">
        <v>4</v>
      </c>
      <c r="C68" s="85" t="n">
        <v>2</v>
      </c>
      <c r="D68" s="85" t="inlineStr">
        <is>
          <t>鼠标</t>
        </is>
      </c>
      <c r="E68" s="85" t="inlineStr">
        <is>
          <t>方法B</t>
        </is>
      </c>
      <c r="F68" s="85" t="inlineStr">
        <is>
          <t>One-Euro</t>
        </is>
      </c>
      <c r="G68" s="85" t="n">
        <v>2</v>
      </c>
      <c r="H68" s="215"/>
      <c r="I68" s="215"/>
      <c r="J68" s="215"/>
      <c r="K68" s="149" t="str">
        <f>IF(COUNT(H68:J68)=3,AVERAGE(H68:J68),"")</f>
      </c>
      <c r="L68" s="215"/>
      <c r="M68" s="215"/>
      <c r="N68" s="215"/>
      <c r="O68" s="149" t="str">
        <f>IF(COUNT(L68:N68)=3,AVERAGE(L68:N68),"")</f>
      </c>
      <c r="P68" s="129" t="n">
        <f>6-COUNT(H68:J68,L68:N68)</f>
        <v>6</v>
      </c>
      <c r="Q68" s="129" t="str">
        <f>IF(P68=0,"完整","缺失")</f>
        <v>缺失</v>
      </c>
      <c r="R68" s="215" t="inlineStr">
        <is>
          <t>是</t>
        </is>
      </c>
      <c r="S68" s="85" t="inlineStr">
        <is>
          <t>是</t>
        </is>
      </c>
      <c r="T68" s="215" t="inlineStr">
        <is>
          <t>无</t>
        </is>
      </c>
      <c r="U68" s="243" t="inlineStr">
        <is>
          <t/>
        </is>
      </c>
    </row>
    <row r="69">
      <c r="A69" s="90" t="inlineStr">
        <is>
          <t>P011</t>
        </is>
      </c>
      <c r="B69" s="85" t="n">
        <v>5</v>
      </c>
      <c r="C69" s="85" t="n">
        <v>3</v>
      </c>
      <c r="D69" s="85" t="inlineStr">
        <is>
          <t>固定订书机</t>
        </is>
      </c>
      <c r="E69" s="85" t="inlineStr">
        <is>
          <t>方法B</t>
        </is>
      </c>
      <c r="F69" s="85" t="inlineStr">
        <is>
          <t>One-Euro</t>
        </is>
      </c>
      <c r="G69" s="85" t="n">
        <v>1</v>
      </c>
      <c r="H69" s="215"/>
      <c r="I69" s="215"/>
      <c r="J69" s="215"/>
      <c r="K69" s="149" t="str">
        <f>IF(COUNT(H69:J69)=3,AVERAGE(H69:J69),"")</f>
      </c>
      <c r="L69" s="215"/>
      <c r="M69" s="215"/>
      <c r="N69" s="215"/>
      <c r="O69" s="149" t="str">
        <f>IF(COUNT(L69:N69)=3,AVERAGE(L69:N69),"")</f>
      </c>
      <c r="P69" s="129" t="n">
        <f>6-COUNT(H69:J69,L69:N69)</f>
        <v>6</v>
      </c>
      <c r="Q69" s="129" t="str">
        <f>IF(P69=0,"完整","缺失")</f>
        <v>缺失</v>
      </c>
      <c r="R69" s="215" t="inlineStr">
        <is>
          <t>是</t>
        </is>
      </c>
      <c r="S69" s="85" t="inlineStr">
        <is>
          <t>是</t>
        </is>
      </c>
      <c r="T69" s="215" t="inlineStr">
        <is>
          <t>无</t>
        </is>
      </c>
      <c r="U69" s="243" t="inlineStr">
        <is>
          <t/>
        </is>
      </c>
    </row>
    <row r="70">
      <c r="A70" s="90" t="inlineStr">
        <is>
          <t>P011</t>
        </is>
      </c>
      <c r="B70" s="85" t="n">
        <v>6</v>
      </c>
      <c r="C70" s="85" t="n">
        <v>3</v>
      </c>
      <c r="D70" s="85" t="inlineStr">
        <is>
          <t>固定订书机</t>
        </is>
      </c>
      <c r="E70" s="85" t="inlineStr">
        <is>
          <t>方法A</t>
        </is>
      </c>
      <c r="F70" s="85" t="inlineStr">
        <is>
          <t>EgoAnchor</t>
        </is>
      </c>
      <c r="G70" s="85" t="n">
        <v>2</v>
      </c>
      <c r="H70" s="215"/>
      <c r="I70" s="215"/>
      <c r="J70" s="215"/>
      <c r="K70" s="149" t="str">
        <f>IF(COUNT(H70:J70)=3,AVERAGE(H70:J70),"")</f>
      </c>
      <c r="L70" s="215"/>
      <c r="M70" s="215"/>
      <c r="N70" s="215"/>
      <c r="O70" s="149" t="str">
        <f>IF(COUNT(L70:N70)=3,AVERAGE(L70:N70),"")</f>
      </c>
      <c r="P70" s="129" t="n">
        <f>6-COUNT(H70:J70,L70:N70)</f>
        <v>6</v>
      </c>
      <c r="Q70" s="129" t="str">
        <f>IF(P70=0,"完整","缺失")</f>
        <v>缺失</v>
      </c>
      <c r="R70" s="215" t="inlineStr">
        <is>
          <t>是</t>
        </is>
      </c>
      <c r="S70" s="85" t="inlineStr">
        <is>
          <t>是</t>
        </is>
      </c>
      <c r="T70" s="215" t="inlineStr">
        <is>
          <t>无</t>
        </is>
      </c>
      <c r="U70" s="243" t="inlineStr">
        <is>
          <t/>
        </is>
      </c>
    </row>
    <row r="71">
      <c r="A71" s="90" t="inlineStr">
        <is>
          <t>P012</t>
        </is>
      </c>
      <c r="B71" s="85" t="n">
        <v>1</v>
      </c>
      <c r="C71" s="85" t="n">
        <v>1</v>
      </c>
      <c r="D71" s="85" t="inlineStr">
        <is>
          <t>游戏手柄</t>
        </is>
      </c>
      <c r="E71" s="85" t="inlineStr">
        <is>
          <t>方法B</t>
        </is>
      </c>
      <c r="F71" s="85" t="inlineStr">
        <is>
          <t>One-Euro</t>
        </is>
      </c>
      <c r="G71" s="85" t="n">
        <v>1</v>
      </c>
      <c r="H71" s="215"/>
      <c r="I71" s="215"/>
      <c r="J71" s="215"/>
      <c r="K71" s="149" t="str">
        <f>IF(COUNT(H71:J71)=3,AVERAGE(H71:J71),"")</f>
      </c>
      <c r="L71" s="215"/>
      <c r="M71" s="215"/>
      <c r="N71" s="215"/>
      <c r="O71" s="149" t="str">
        <f>IF(COUNT(L71:N71)=3,AVERAGE(L71:N71),"")</f>
      </c>
      <c r="P71" s="129" t="n">
        <f>6-COUNT(H71:J71,L71:N71)</f>
        <v>6</v>
      </c>
      <c r="Q71" s="129" t="str">
        <f>IF(P71=0,"完整","缺失")</f>
        <v>缺失</v>
      </c>
      <c r="R71" s="215" t="inlineStr">
        <is>
          <t>是</t>
        </is>
      </c>
      <c r="S71" s="85" t="inlineStr">
        <is>
          <t>是</t>
        </is>
      </c>
      <c r="T71" s="215" t="inlineStr">
        <is>
          <t>无</t>
        </is>
      </c>
      <c r="U71" s="243" t="inlineStr">
        <is>
          <t/>
        </is>
      </c>
    </row>
    <row r="72">
      <c r="A72" s="90" t="inlineStr">
        <is>
          <t>P012</t>
        </is>
      </c>
      <c r="B72" s="85" t="n">
        <v>2</v>
      </c>
      <c r="C72" s="85" t="n">
        <v>1</v>
      </c>
      <c r="D72" s="85" t="inlineStr">
        <is>
          <t>游戏手柄</t>
        </is>
      </c>
      <c r="E72" s="85" t="inlineStr">
        <is>
          <t>方法A</t>
        </is>
      </c>
      <c r="F72" s="85" t="inlineStr">
        <is>
          <t>EgoAnchor</t>
        </is>
      </c>
      <c r="G72" s="85" t="n">
        <v>2</v>
      </c>
      <c r="H72" s="215"/>
      <c r="I72" s="215"/>
      <c r="J72" s="215"/>
      <c r="K72" s="149" t="str">
        <f>IF(COUNT(H72:J72)=3,AVERAGE(H72:J72),"")</f>
      </c>
      <c r="L72" s="215"/>
      <c r="M72" s="215"/>
      <c r="N72" s="215"/>
      <c r="O72" s="149" t="str">
        <f>IF(COUNT(L72:N72)=3,AVERAGE(L72:N72),"")</f>
      </c>
      <c r="P72" s="129" t="n">
        <f>6-COUNT(H72:J72,L72:N72)</f>
        <v>6</v>
      </c>
      <c r="Q72" s="129" t="str">
        <f>IF(P72=0,"完整","缺失")</f>
        <v>缺失</v>
      </c>
      <c r="R72" s="215" t="inlineStr">
        <is>
          <t>是</t>
        </is>
      </c>
      <c r="S72" s="85" t="inlineStr">
        <is>
          <t>是</t>
        </is>
      </c>
      <c r="T72" s="215" t="inlineStr">
        <is>
          <t>无</t>
        </is>
      </c>
      <c r="U72" s="243" t="inlineStr">
        <is>
          <t/>
        </is>
      </c>
    </row>
    <row r="73">
      <c r="A73" s="90" t="inlineStr">
        <is>
          <t>P012</t>
        </is>
      </c>
      <c r="B73" s="85" t="n">
        <v>3</v>
      </c>
      <c r="C73" s="85" t="n">
        <v>2</v>
      </c>
      <c r="D73" s="85" t="inlineStr">
        <is>
          <t>固定订书机</t>
        </is>
      </c>
      <c r="E73" s="85" t="inlineStr">
        <is>
          <t>方法A</t>
        </is>
      </c>
      <c r="F73" s="85" t="inlineStr">
        <is>
          <t>EgoAnchor</t>
        </is>
      </c>
      <c r="G73" s="85" t="n">
        <v>1</v>
      </c>
      <c r="H73" s="215"/>
      <c r="I73" s="215"/>
      <c r="J73" s="215"/>
      <c r="K73" s="149" t="str">
        <f>IF(COUNT(H73:J73)=3,AVERAGE(H73:J73),"")</f>
      </c>
      <c r="L73" s="215"/>
      <c r="M73" s="215"/>
      <c r="N73" s="215"/>
      <c r="O73" s="149" t="str">
        <f>IF(COUNT(L73:N73)=3,AVERAGE(L73:N73),"")</f>
      </c>
      <c r="P73" s="129" t="n">
        <f>6-COUNT(H73:J73,L73:N73)</f>
        <v>6</v>
      </c>
      <c r="Q73" s="129" t="str">
        <f>IF(P73=0,"完整","缺失")</f>
        <v>缺失</v>
      </c>
      <c r="R73" s="215" t="inlineStr">
        <is>
          <t>是</t>
        </is>
      </c>
      <c r="S73" s="85" t="inlineStr">
        <is>
          <t>是</t>
        </is>
      </c>
      <c r="T73" s="215" t="inlineStr">
        <is>
          <t>无</t>
        </is>
      </c>
      <c r="U73" s="243" t="inlineStr">
        <is>
          <t/>
        </is>
      </c>
    </row>
    <row r="74">
      <c r="A74" s="90" t="inlineStr">
        <is>
          <t>P012</t>
        </is>
      </c>
      <c r="B74" s="85" t="n">
        <v>4</v>
      </c>
      <c r="C74" s="85" t="n">
        <v>2</v>
      </c>
      <c r="D74" s="85" t="inlineStr">
        <is>
          <t>固定订书机</t>
        </is>
      </c>
      <c r="E74" s="85" t="inlineStr">
        <is>
          <t>方法B</t>
        </is>
      </c>
      <c r="F74" s="85" t="inlineStr">
        <is>
          <t>One-Euro</t>
        </is>
      </c>
      <c r="G74" s="85" t="n">
        <v>2</v>
      </c>
      <c r="H74" s="215"/>
      <c r="I74" s="215"/>
      <c r="J74" s="215"/>
      <c r="K74" s="149" t="str">
        <f>IF(COUNT(H74:J74)=3,AVERAGE(H74:J74),"")</f>
      </c>
      <c r="L74" s="215"/>
      <c r="M74" s="215"/>
      <c r="N74" s="215"/>
      <c r="O74" s="149" t="str">
        <f>IF(COUNT(L74:N74)=3,AVERAGE(L74:N74),"")</f>
      </c>
      <c r="P74" s="129" t="n">
        <f>6-COUNT(H74:J74,L74:N74)</f>
        <v>6</v>
      </c>
      <c r="Q74" s="129" t="str">
        <f>IF(P74=0,"完整","缺失")</f>
        <v>缺失</v>
      </c>
      <c r="R74" s="215" t="inlineStr">
        <is>
          <t>是</t>
        </is>
      </c>
      <c r="S74" s="85" t="inlineStr">
        <is>
          <t>是</t>
        </is>
      </c>
      <c r="T74" s="215" t="inlineStr">
        <is>
          <t>无</t>
        </is>
      </c>
      <c r="U74" s="243" t="inlineStr">
        <is>
          <t/>
        </is>
      </c>
    </row>
    <row r="75">
      <c r="A75" s="90" t="inlineStr">
        <is>
          <t>P012</t>
        </is>
      </c>
      <c r="B75" s="85" t="n">
        <v>5</v>
      </c>
      <c r="C75" s="85" t="n">
        <v>3</v>
      </c>
      <c r="D75" s="85" t="inlineStr">
        <is>
          <t>鼠标</t>
        </is>
      </c>
      <c r="E75" s="85" t="inlineStr">
        <is>
          <t>方法B</t>
        </is>
      </c>
      <c r="F75" s="85" t="inlineStr">
        <is>
          <t>One-Euro</t>
        </is>
      </c>
      <c r="G75" s="85" t="n">
        <v>1</v>
      </c>
      <c r="H75" s="215"/>
      <c r="I75" s="215"/>
      <c r="J75" s="215"/>
      <c r="K75" s="149" t="str">
        <f>IF(COUNT(H75:J75)=3,AVERAGE(H75:J75),"")</f>
      </c>
      <c r="L75" s="215"/>
      <c r="M75" s="215"/>
      <c r="N75" s="215"/>
      <c r="O75" s="149" t="str">
        <f>IF(COUNT(L75:N75)=3,AVERAGE(L75:N75),"")</f>
      </c>
      <c r="P75" s="129" t="n">
        <f>6-COUNT(H75:J75,L75:N75)</f>
        <v>6</v>
      </c>
      <c r="Q75" s="129" t="str">
        <f>IF(P75=0,"完整","缺失")</f>
        <v>缺失</v>
      </c>
      <c r="R75" s="215" t="inlineStr">
        <is>
          <t>是</t>
        </is>
      </c>
      <c r="S75" s="85" t="inlineStr">
        <is>
          <t>是</t>
        </is>
      </c>
      <c r="T75" s="215" t="inlineStr">
        <is>
          <t>无</t>
        </is>
      </c>
      <c r="U75" s="243" t="inlineStr">
        <is>
          <t/>
        </is>
      </c>
    </row>
    <row r="76">
      <c r="A76" s="90" t="inlineStr">
        <is>
          <t>P012</t>
        </is>
      </c>
      <c r="B76" s="85" t="n">
        <v>6</v>
      </c>
      <c r="C76" s="85" t="n">
        <v>3</v>
      </c>
      <c r="D76" s="85" t="inlineStr">
        <is>
          <t>鼠标</t>
        </is>
      </c>
      <c r="E76" s="85" t="inlineStr">
        <is>
          <t>方法A</t>
        </is>
      </c>
      <c r="F76" s="85" t="inlineStr">
        <is>
          <t>EgoAnchor</t>
        </is>
      </c>
      <c r="G76" s="85" t="n">
        <v>2</v>
      </c>
      <c r="H76" s="215"/>
      <c r="I76" s="215"/>
      <c r="J76" s="215"/>
      <c r="K76" s="149" t="str">
        <f>IF(COUNT(H76:J76)=3,AVERAGE(H76:J76),"")</f>
      </c>
      <c r="L76" s="215"/>
      <c r="M76" s="215"/>
      <c r="N76" s="215"/>
      <c r="O76" s="149" t="str">
        <f>IF(COUNT(L76:N76)=3,AVERAGE(L76:N76),"")</f>
      </c>
      <c r="P76" s="129" t="n">
        <f>6-COUNT(H76:J76,L76:N76)</f>
        <v>6</v>
      </c>
      <c r="Q76" s="129" t="str">
        <f>IF(P76=0,"完整","缺失")</f>
        <v>缺失</v>
      </c>
      <c r="R76" s="215" t="inlineStr">
        <is>
          <t>是</t>
        </is>
      </c>
      <c r="S76" s="85" t="inlineStr">
        <is>
          <t>是</t>
        </is>
      </c>
      <c r="T76" s="215" t="inlineStr">
        <is>
          <t>无</t>
        </is>
      </c>
      <c r="U76" s="243" t="inlineStr">
        <is>
          <t/>
        </is>
      </c>
    </row>
    <row r="77">
      <c r="A77" s="90" t="inlineStr">
        <is>
          <t>P013</t>
        </is>
      </c>
      <c r="B77" s="85" t="n">
        <v>1</v>
      </c>
      <c r="C77" s="85" t="n">
        <v>1</v>
      </c>
      <c r="D77" s="85" t="inlineStr">
        <is>
          <t>鼠标</t>
        </is>
      </c>
      <c r="E77" s="85" t="inlineStr">
        <is>
          <t>方法A</t>
        </is>
      </c>
      <c r="F77" s="85" t="inlineStr">
        <is>
          <t>One-Euro</t>
        </is>
      </c>
      <c r="G77" s="85" t="n">
        <v>1</v>
      </c>
      <c r="H77" s="215"/>
      <c r="I77" s="215"/>
      <c r="J77" s="215"/>
      <c r="K77" s="149" t="str">
        <f>IF(COUNT(H77:J77)=3,AVERAGE(H77:J77),"")</f>
      </c>
      <c r="L77" s="215"/>
      <c r="M77" s="215"/>
      <c r="N77" s="215"/>
      <c r="O77" s="149" t="str">
        <f>IF(COUNT(L77:N77)=3,AVERAGE(L77:N77),"")</f>
      </c>
      <c r="P77" s="129" t="n">
        <f>6-COUNT(H77:J77,L77:N77)</f>
        <v>6</v>
      </c>
      <c r="Q77" s="129" t="str">
        <f>IF(P77=0,"完整","缺失")</f>
        <v>缺失</v>
      </c>
      <c r="R77" s="215" t="inlineStr">
        <is>
          <t>是</t>
        </is>
      </c>
      <c r="S77" s="85" t="inlineStr">
        <is>
          <t>是</t>
        </is>
      </c>
      <c r="T77" s="215" t="inlineStr">
        <is>
          <t>无</t>
        </is>
      </c>
      <c r="U77" s="243" t="inlineStr">
        <is>
          <t/>
        </is>
      </c>
    </row>
    <row r="78">
      <c r="A78" s="90" t="inlineStr">
        <is>
          <t>P013</t>
        </is>
      </c>
      <c r="B78" s="85" t="n">
        <v>2</v>
      </c>
      <c r="C78" s="85" t="n">
        <v>1</v>
      </c>
      <c r="D78" s="85" t="inlineStr">
        <is>
          <t>鼠标</t>
        </is>
      </c>
      <c r="E78" s="85" t="inlineStr">
        <is>
          <t>方法B</t>
        </is>
      </c>
      <c r="F78" s="85" t="inlineStr">
        <is>
          <t>EgoAnchor</t>
        </is>
      </c>
      <c r="G78" s="85" t="n">
        <v>2</v>
      </c>
      <c r="H78" s="215"/>
      <c r="I78" s="215"/>
      <c r="J78" s="215"/>
      <c r="K78" s="149" t="str">
        <f>IF(COUNT(H78:J78)=3,AVERAGE(H78:J78),"")</f>
      </c>
      <c r="L78" s="215"/>
      <c r="M78" s="215"/>
      <c r="N78" s="215"/>
      <c r="O78" s="149" t="str">
        <f>IF(COUNT(L78:N78)=3,AVERAGE(L78:N78),"")</f>
      </c>
      <c r="P78" s="129" t="n">
        <f>6-COUNT(H78:J78,L78:N78)</f>
        <v>6</v>
      </c>
      <c r="Q78" s="129" t="str">
        <f>IF(P78=0,"完整","缺失")</f>
        <v>缺失</v>
      </c>
      <c r="R78" s="215" t="inlineStr">
        <is>
          <t>是</t>
        </is>
      </c>
      <c r="S78" s="85" t="inlineStr">
        <is>
          <t>是</t>
        </is>
      </c>
      <c r="T78" s="215" t="inlineStr">
        <is>
          <t>无</t>
        </is>
      </c>
      <c r="U78" s="243" t="inlineStr">
        <is>
          <t/>
        </is>
      </c>
    </row>
    <row r="79">
      <c r="A79" s="90" t="inlineStr">
        <is>
          <t>P013</t>
        </is>
      </c>
      <c r="B79" s="85" t="n">
        <v>3</v>
      </c>
      <c r="C79" s="85" t="n">
        <v>2</v>
      </c>
      <c r="D79" s="85" t="inlineStr">
        <is>
          <t>固定订书机</t>
        </is>
      </c>
      <c r="E79" s="85" t="inlineStr">
        <is>
          <t>方法B</t>
        </is>
      </c>
      <c r="F79" s="85" t="inlineStr">
        <is>
          <t>EgoAnchor</t>
        </is>
      </c>
      <c r="G79" s="85" t="n">
        <v>1</v>
      </c>
      <c r="H79" s="215"/>
      <c r="I79" s="215"/>
      <c r="J79" s="215"/>
      <c r="K79" s="149" t="str">
        <f>IF(COUNT(H79:J79)=3,AVERAGE(H79:J79),"")</f>
      </c>
      <c r="L79" s="215"/>
      <c r="M79" s="215"/>
      <c r="N79" s="215"/>
      <c r="O79" s="149" t="str">
        <f>IF(COUNT(L79:N79)=3,AVERAGE(L79:N79),"")</f>
      </c>
      <c r="P79" s="129" t="n">
        <f>6-COUNT(H79:J79,L79:N79)</f>
        <v>6</v>
      </c>
      <c r="Q79" s="129" t="str">
        <f>IF(P79=0,"完整","缺失")</f>
        <v>缺失</v>
      </c>
      <c r="R79" s="215" t="inlineStr">
        <is>
          <t>是</t>
        </is>
      </c>
      <c r="S79" s="85" t="inlineStr">
        <is>
          <t>是</t>
        </is>
      </c>
      <c r="T79" s="215" t="inlineStr">
        <is>
          <t>无</t>
        </is>
      </c>
      <c r="U79" s="243" t="inlineStr">
        <is>
          <t/>
        </is>
      </c>
    </row>
    <row r="80">
      <c r="A80" s="90" t="inlineStr">
        <is>
          <t>P013</t>
        </is>
      </c>
      <c r="B80" s="85" t="n">
        <v>4</v>
      </c>
      <c r="C80" s="85" t="n">
        <v>2</v>
      </c>
      <c r="D80" s="85" t="inlineStr">
        <is>
          <t>固定订书机</t>
        </is>
      </c>
      <c r="E80" s="85" t="inlineStr">
        <is>
          <t>方法A</t>
        </is>
      </c>
      <c r="F80" s="85" t="inlineStr">
        <is>
          <t>One-Euro</t>
        </is>
      </c>
      <c r="G80" s="85" t="n">
        <v>2</v>
      </c>
      <c r="H80" s="215"/>
      <c r="I80" s="215"/>
      <c r="J80" s="215"/>
      <c r="K80" s="149" t="str">
        <f>IF(COUNT(H80:J80)=3,AVERAGE(H80:J80),"")</f>
      </c>
      <c r="L80" s="215"/>
      <c r="M80" s="215"/>
      <c r="N80" s="215"/>
      <c r="O80" s="149" t="str">
        <f>IF(COUNT(L80:N80)=3,AVERAGE(L80:N80),"")</f>
      </c>
      <c r="P80" s="129" t="n">
        <f>6-COUNT(H80:J80,L80:N80)</f>
        <v>6</v>
      </c>
      <c r="Q80" s="129" t="str">
        <f>IF(P80=0,"完整","缺失")</f>
        <v>缺失</v>
      </c>
      <c r="R80" s="215" t="inlineStr">
        <is>
          <t>是</t>
        </is>
      </c>
      <c r="S80" s="85" t="inlineStr">
        <is>
          <t>是</t>
        </is>
      </c>
      <c r="T80" s="215" t="inlineStr">
        <is>
          <t>无</t>
        </is>
      </c>
      <c r="U80" s="243" t="inlineStr">
        <is>
          <t/>
        </is>
      </c>
    </row>
    <row r="81">
      <c r="A81" s="90" t="inlineStr">
        <is>
          <t>P013</t>
        </is>
      </c>
      <c r="B81" s="85" t="n">
        <v>5</v>
      </c>
      <c r="C81" s="85" t="n">
        <v>3</v>
      </c>
      <c r="D81" s="85" t="inlineStr">
        <is>
          <t>游戏手柄</t>
        </is>
      </c>
      <c r="E81" s="85" t="inlineStr">
        <is>
          <t>方法A</t>
        </is>
      </c>
      <c r="F81" s="85" t="inlineStr">
        <is>
          <t>One-Euro</t>
        </is>
      </c>
      <c r="G81" s="85" t="n">
        <v>1</v>
      </c>
      <c r="H81" s="215"/>
      <c r="I81" s="215"/>
      <c r="J81" s="215"/>
      <c r="K81" s="149" t="str">
        <f>IF(COUNT(H81:J81)=3,AVERAGE(H81:J81),"")</f>
      </c>
      <c r="L81" s="215"/>
      <c r="M81" s="215"/>
      <c r="N81" s="215"/>
      <c r="O81" s="149" t="str">
        <f>IF(COUNT(L81:N81)=3,AVERAGE(L81:N81),"")</f>
      </c>
      <c r="P81" s="129" t="n">
        <f>6-COUNT(H81:J81,L81:N81)</f>
        <v>6</v>
      </c>
      <c r="Q81" s="129" t="str">
        <f>IF(P81=0,"完整","缺失")</f>
        <v>缺失</v>
      </c>
      <c r="R81" s="215" t="inlineStr">
        <is>
          <t>是</t>
        </is>
      </c>
      <c r="S81" s="85" t="inlineStr">
        <is>
          <t>是</t>
        </is>
      </c>
      <c r="T81" s="215" t="inlineStr">
        <is>
          <t>无</t>
        </is>
      </c>
      <c r="U81" s="243" t="inlineStr">
        <is>
          <t/>
        </is>
      </c>
    </row>
    <row r="82">
      <c r="A82" s="90" t="inlineStr">
        <is>
          <t>P013</t>
        </is>
      </c>
      <c r="B82" s="85" t="n">
        <v>6</v>
      </c>
      <c r="C82" s="85" t="n">
        <v>3</v>
      </c>
      <c r="D82" s="85" t="inlineStr">
        <is>
          <t>游戏手柄</t>
        </is>
      </c>
      <c r="E82" s="85" t="inlineStr">
        <is>
          <t>方法B</t>
        </is>
      </c>
      <c r="F82" s="85" t="inlineStr">
        <is>
          <t>EgoAnchor</t>
        </is>
      </c>
      <c r="G82" s="85" t="n">
        <v>2</v>
      </c>
      <c r="H82" s="215"/>
      <c r="I82" s="215"/>
      <c r="J82" s="215"/>
      <c r="K82" s="149" t="str">
        <f>IF(COUNT(H82:J82)=3,AVERAGE(H82:J82),"")</f>
      </c>
      <c r="L82" s="215"/>
      <c r="M82" s="215"/>
      <c r="N82" s="215"/>
      <c r="O82" s="149" t="str">
        <f>IF(COUNT(L82:N82)=3,AVERAGE(L82:N82),"")</f>
      </c>
      <c r="P82" s="129" t="n">
        <f>6-COUNT(H82:J82,L82:N82)</f>
        <v>6</v>
      </c>
      <c r="Q82" s="129" t="str">
        <f>IF(P82=0,"完整","缺失")</f>
        <v>缺失</v>
      </c>
      <c r="R82" s="215" t="inlineStr">
        <is>
          <t>是</t>
        </is>
      </c>
      <c r="S82" s="85" t="inlineStr">
        <is>
          <t>是</t>
        </is>
      </c>
      <c r="T82" s="215" t="inlineStr">
        <is>
          <t>无</t>
        </is>
      </c>
      <c r="U82" s="243" t="inlineStr">
        <is>
          <t/>
        </is>
      </c>
    </row>
    <row r="83">
      <c r="A83" s="90" t="inlineStr">
        <is>
          <t>P014</t>
        </is>
      </c>
      <c r="B83" s="85" t="n">
        <v>1</v>
      </c>
      <c r="C83" s="85" t="n">
        <v>1</v>
      </c>
      <c r="D83" s="85" t="inlineStr">
        <is>
          <t>鼠标</t>
        </is>
      </c>
      <c r="E83" s="85" t="inlineStr">
        <is>
          <t>方法A</t>
        </is>
      </c>
      <c r="F83" s="85" t="inlineStr">
        <is>
          <t>One-Euro</t>
        </is>
      </c>
      <c r="G83" s="85" t="n">
        <v>1</v>
      </c>
      <c r="H83" s="215"/>
      <c r="I83" s="215"/>
      <c r="J83" s="215"/>
      <c r="K83" s="149" t="str">
        <f>IF(COUNT(H83:J83)=3,AVERAGE(H83:J83),"")</f>
      </c>
      <c r="L83" s="215"/>
      <c r="M83" s="215"/>
      <c r="N83" s="215"/>
      <c r="O83" s="149" t="str">
        <f>IF(COUNT(L83:N83)=3,AVERAGE(L83:N83),"")</f>
      </c>
      <c r="P83" s="129" t="n">
        <f>6-COUNT(H83:J83,L83:N83)</f>
        <v>6</v>
      </c>
      <c r="Q83" s="129" t="str">
        <f>IF(P83=0,"完整","缺失")</f>
        <v>缺失</v>
      </c>
      <c r="R83" s="215" t="inlineStr">
        <is>
          <t>是</t>
        </is>
      </c>
      <c r="S83" s="85" t="inlineStr">
        <is>
          <t>是</t>
        </is>
      </c>
      <c r="T83" s="215" t="inlineStr">
        <is>
          <t>无</t>
        </is>
      </c>
      <c r="U83" s="243" t="inlineStr">
        <is>
          <t/>
        </is>
      </c>
    </row>
    <row r="84">
      <c r="A84" s="90" t="inlineStr">
        <is>
          <t>P014</t>
        </is>
      </c>
      <c r="B84" s="85" t="n">
        <v>2</v>
      </c>
      <c r="C84" s="85" t="n">
        <v>1</v>
      </c>
      <c r="D84" s="85" t="inlineStr">
        <is>
          <t>鼠标</t>
        </is>
      </c>
      <c r="E84" s="85" t="inlineStr">
        <is>
          <t>方法B</t>
        </is>
      </c>
      <c r="F84" s="85" t="inlineStr">
        <is>
          <t>EgoAnchor</t>
        </is>
      </c>
      <c r="G84" s="85" t="n">
        <v>2</v>
      </c>
      <c r="H84" s="215"/>
      <c r="I84" s="215"/>
      <c r="J84" s="215"/>
      <c r="K84" s="149" t="str">
        <f>IF(COUNT(H84:J84)=3,AVERAGE(H84:J84),"")</f>
      </c>
      <c r="L84" s="215"/>
      <c r="M84" s="215"/>
      <c r="N84" s="215"/>
      <c r="O84" s="149" t="str">
        <f>IF(COUNT(L84:N84)=3,AVERAGE(L84:N84),"")</f>
      </c>
      <c r="P84" s="129" t="n">
        <f>6-COUNT(H84:J84,L84:N84)</f>
        <v>6</v>
      </c>
      <c r="Q84" s="129" t="str">
        <f>IF(P84=0,"完整","缺失")</f>
        <v>缺失</v>
      </c>
      <c r="R84" s="215" t="inlineStr">
        <is>
          <t>是</t>
        </is>
      </c>
      <c r="S84" s="85" t="inlineStr">
        <is>
          <t>是</t>
        </is>
      </c>
      <c r="T84" s="215" t="inlineStr">
        <is>
          <t>无</t>
        </is>
      </c>
      <c r="U84" s="243" t="inlineStr">
        <is>
          <t/>
        </is>
      </c>
    </row>
    <row r="85">
      <c r="A85" s="90" t="inlineStr">
        <is>
          <t>P014</t>
        </is>
      </c>
      <c r="B85" s="85" t="n">
        <v>3</v>
      </c>
      <c r="C85" s="85" t="n">
        <v>2</v>
      </c>
      <c r="D85" s="85" t="inlineStr">
        <is>
          <t>游戏手柄</t>
        </is>
      </c>
      <c r="E85" s="85" t="inlineStr">
        <is>
          <t>方法B</t>
        </is>
      </c>
      <c r="F85" s="85" t="inlineStr">
        <is>
          <t>EgoAnchor</t>
        </is>
      </c>
      <c r="G85" s="85" t="n">
        <v>1</v>
      </c>
      <c r="H85" s="215"/>
      <c r="I85" s="215"/>
      <c r="J85" s="215"/>
      <c r="K85" s="149" t="str">
        <f>IF(COUNT(H85:J85)=3,AVERAGE(H85:J85),"")</f>
      </c>
      <c r="L85" s="215"/>
      <c r="M85" s="215"/>
      <c r="N85" s="215"/>
      <c r="O85" s="149" t="str">
        <f>IF(COUNT(L85:N85)=3,AVERAGE(L85:N85),"")</f>
      </c>
      <c r="P85" s="129" t="n">
        <f>6-COUNT(H85:J85,L85:N85)</f>
        <v>6</v>
      </c>
      <c r="Q85" s="129" t="str">
        <f>IF(P85=0,"完整","缺失")</f>
        <v>缺失</v>
      </c>
      <c r="R85" s="215" t="inlineStr">
        <is>
          <t>是</t>
        </is>
      </c>
      <c r="S85" s="85" t="inlineStr">
        <is>
          <t>是</t>
        </is>
      </c>
      <c r="T85" s="215" t="inlineStr">
        <is>
          <t>无</t>
        </is>
      </c>
      <c r="U85" s="243" t="inlineStr">
        <is>
          <t/>
        </is>
      </c>
    </row>
    <row r="86">
      <c r="A86" s="90" t="inlineStr">
        <is>
          <t>P014</t>
        </is>
      </c>
      <c r="B86" s="85" t="n">
        <v>4</v>
      </c>
      <c r="C86" s="85" t="n">
        <v>2</v>
      </c>
      <c r="D86" s="85" t="inlineStr">
        <is>
          <t>游戏手柄</t>
        </is>
      </c>
      <c r="E86" s="85" t="inlineStr">
        <is>
          <t>方法A</t>
        </is>
      </c>
      <c r="F86" s="85" t="inlineStr">
        <is>
          <t>One-Euro</t>
        </is>
      </c>
      <c r="G86" s="85" t="n">
        <v>2</v>
      </c>
      <c r="H86" s="215"/>
      <c r="I86" s="215"/>
      <c r="J86" s="215"/>
      <c r="K86" s="149" t="str">
        <f>IF(COUNT(H86:J86)=3,AVERAGE(H86:J86),"")</f>
      </c>
      <c r="L86" s="215"/>
      <c r="M86" s="215"/>
      <c r="N86" s="215"/>
      <c r="O86" s="149" t="str">
        <f>IF(COUNT(L86:N86)=3,AVERAGE(L86:N86),"")</f>
      </c>
      <c r="P86" s="129" t="n">
        <f>6-COUNT(H86:J86,L86:N86)</f>
        <v>6</v>
      </c>
      <c r="Q86" s="129" t="str">
        <f>IF(P86=0,"完整","缺失")</f>
        <v>缺失</v>
      </c>
      <c r="R86" s="215" t="inlineStr">
        <is>
          <t>是</t>
        </is>
      </c>
      <c r="S86" s="85" t="inlineStr">
        <is>
          <t>是</t>
        </is>
      </c>
      <c r="T86" s="215" t="inlineStr">
        <is>
          <t>无</t>
        </is>
      </c>
      <c r="U86" s="243" t="inlineStr">
        <is>
          <t/>
        </is>
      </c>
    </row>
    <row r="87">
      <c r="A87" s="90" t="inlineStr">
        <is>
          <t>P014</t>
        </is>
      </c>
      <c r="B87" s="85" t="n">
        <v>5</v>
      </c>
      <c r="C87" s="85" t="n">
        <v>3</v>
      </c>
      <c r="D87" s="85" t="inlineStr">
        <is>
          <t>固定订书机</t>
        </is>
      </c>
      <c r="E87" s="85" t="inlineStr">
        <is>
          <t>方法A</t>
        </is>
      </c>
      <c r="F87" s="85" t="inlineStr">
        <is>
          <t>One-Euro</t>
        </is>
      </c>
      <c r="G87" s="85" t="n">
        <v>1</v>
      </c>
      <c r="H87" s="215"/>
      <c r="I87" s="215"/>
      <c r="J87" s="215"/>
      <c r="K87" s="149" t="str">
        <f>IF(COUNT(H87:J87)=3,AVERAGE(H87:J87),"")</f>
      </c>
      <c r="L87" s="215"/>
      <c r="M87" s="215"/>
      <c r="N87" s="215"/>
      <c r="O87" s="149" t="str">
        <f>IF(COUNT(L87:N87)=3,AVERAGE(L87:N87),"")</f>
      </c>
      <c r="P87" s="129" t="n">
        <f>6-COUNT(H87:J87,L87:N87)</f>
        <v>6</v>
      </c>
      <c r="Q87" s="129" t="str">
        <f>IF(P87=0,"完整","缺失")</f>
        <v>缺失</v>
      </c>
      <c r="R87" s="215" t="inlineStr">
        <is>
          <t>是</t>
        </is>
      </c>
      <c r="S87" s="85" t="inlineStr">
        <is>
          <t>是</t>
        </is>
      </c>
      <c r="T87" s="215" t="inlineStr">
        <is>
          <t>无</t>
        </is>
      </c>
      <c r="U87" s="243" t="inlineStr">
        <is>
          <t/>
        </is>
      </c>
    </row>
    <row r="88">
      <c r="A88" s="90" t="inlineStr">
        <is>
          <t>P014</t>
        </is>
      </c>
      <c r="B88" s="85" t="n">
        <v>6</v>
      </c>
      <c r="C88" s="85" t="n">
        <v>3</v>
      </c>
      <c r="D88" s="85" t="inlineStr">
        <is>
          <t>固定订书机</t>
        </is>
      </c>
      <c r="E88" s="85" t="inlineStr">
        <is>
          <t>方法B</t>
        </is>
      </c>
      <c r="F88" s="85" t="inlineStr">
        <is>
          <t>EgoAnchor</t>
        </is>
      </c>
      <c r="G88" s="85" t="n">
        <v>2</v>
      </c>
      <c r="H88" s="215"/>
      <c r="I88" s="215"/>
      <c r="J88" s="215"/>
      <c r="K88" s="149" t="str">
        <f>IF(COUNT(H88:J88)=3,AVERAGE(H88:J88),"")</f>
      </c>
      <c r="L88" s="215"/>
      <c r="M88" s="215"/>
      <c r="N88" s="215"/>
      <c r="O88" s="149" t="str">
        <f>IF(COUNT(L88:N88)=3,AVERAGE(L88:N88),"")</f>
      </c>
      <c r="P88" s="129" t="n">
        <f>6-COUNT(H88:J88,L88:N88)</f>
        <v>6</v>
      </c>
      <c r="Q88" s="129" t="str">
        <f>IF(P88=0,"完整","缺失")</f>
        <v>缺失</v>
      </c>
      <c r="R88" s="215" t="inlineStr">
        <is>
          <t>是</t>
        </is>
      </c>
      <c r="S88" s="85" t="inlineStr">
        <is>
          <t>是</t>
        </is>
      </c>
      <c r="T88" s="215" t="inlineStr">
        <is>
          <t>无</t>
        </is>
      </c>
      <c r="U88" s="243" t="inlineStr">
        <is>
          <t/>
        </is>
      </c>
    </row>
    <row r="89">
      <c r="A89" s="90" t="inlineStr">
        <is>
          <t>P015</t>
        </is>
      </c>
      <c r="B89" s="85" t="n">
        <v>1</v>
      </c>
      <c r="C89" s="85" t="n">
        <v>1</v>
      </c>
      <c r="D89" s="85" t="inlineStr">
        <is>
          <t>固定订书机</t>
        </is>
      </c>
      <c r="E89" s="85" t="inlineStr">
        <is>
          <t>方法A</t>
        </is>
      </c>
      <c r="F89" s="85" t="inlineStr">
        <is>
          <t>One-Euro</t>
        </is>
      </c>
      <c r="G89" s="85" t="n">
        <v>1</v>
      </c>
      <c r="H89" s="215"/>
      <c r="I89" s="215"/>
      <c r="J89" s="215"/>
      <c r="K89" s="149" t="str">
        <f>IF(COUNT(H89:J89)=3,AVERAGE(H89:J89),"")</f>
      </c>
      <c r="L89" s="215"/>
      <c r="M89" s="215"/>
      <c r="N89" s="215"/>
      <c r="O89" s="149" t="str">
        <f>IF(COUNT(L89:N89)=3,AVERAGE(L89:N89),"")</f>
      </c>
      <c r="P89" s="129" t="n">
        <f>6-COUNT(H89:J89,L89:N89)</f>
        <v>6</v>
      </c>
      <c r="Q89" s="129" t="str">
        <f>IF(P89=0,"完整","缺失")</f>
        <v>缺失</v>
      </c>
      <c r="R89" s="215" t="inlineStr">
        <is>
          <t>是</t>
        </is>
      </c>
      <c r="S89" s="85" t="inlineStr">
        <is>
          <t>是</t>
        </is>
      </c>
      <c r="T89" s="215" t="inlineStr">
        <is>
          <t>无</t>
        </is>
      </c>
      <c r="U89" s="243" t="inlineStr">
        <is>
          <t/>
        </is>
      </c>
    </row>
    <row r="90">
      <c r="A90" s="90" t="inlineStr">
        <is>
          <t>P015</t>
        </is>
      </c>
      <c r="B90" s="85" t="n">
        <v>2</v>
      </c>
      <c r="C90" s="85" t="n">
        <v>1</v>
      </c>
      <c r="D90" s="85" t="inlineStr">
        <is>
          <t>固定订书机</t>
        </is>
      </c>
      <c r="E90" s="85" t="inlineStr">
        <is>
          <t>方法B</t>
        </is>
      </c>
      <c r="F90" s="85" t="inlineStr">
        <is>
          <t>EgoAnchor</t>
        </is>
      </c>
      <c r="G90" s="85" t="n">
        <v>2</v>
      </c>
      <c r="H90" s="215"/>
      <c r="I90" s="215"/>
      <c r="J90" s="215"/>
      <c r="K90" s="149" t="str">
        <f>IF(COUNT(H90:J90)=3,AVERAGE(H90:J90),"")</f>
      </c>
      <c r="L90" s="215"/>
      <c r="M90" s="215"/>
      <c r="N90" s="215"/>
      <c r="O90" s="149" t="str">
        <f>IF(COUNT(L90:N90)=3,AVERAGE(L90:N90),"")</f>
      </c>
      <c r="P90" s="129" t="n">
        <f>6-COUNT(H90:J90,L90:N90)</f>
        <v>6</v>
      </c>
      <c r="Q90" s="129" t="str">
        <f>IF(P90=0,"完整","缺失")</f>
        <v>缺失</v>
      </c>
      <c r="R90" s="215" t="inlineStr">
        <is>
          <t>是</t>
        </is>
      </c>
      <c r="S90" s="85" t="inlineStr">
        <is>
          <t>是</t>
        </is>
      </c>
      <c r="T90" s="215" t="inlineStr">
        <is>
          <t>无</t>
        </is>
      </c>
      <c r="U90" s="243" t="inlineStr">
        <is>
          <t/>
        </is>
      </c>
    </row>
    <row r="91">
      <c r="A91" s="90" t="inlineStr">
        <is>
          <t>P015</t>
        </is>
      </c>
      <c r="B91" s="85" t="n">
        <v>3</v>
      </c>
      <c r="C91" s="85" t="n">
        <v>2</v>
      </c>
      <c r="D91" s="85" t="inlineStr">
        <is>
          <t>鼠标</t>
        </is>
      </c>
      <c r="E91" s="85" t="inlineStr">
        <is>
          <t>方法B</t>
        </is>
      </c>
      <c r="F91" s="85" t="inlineStr">
        <is>
          <t>EgoAnchor</t>
        </is>
      </c>
      <c r="G91" s="85" t="n">
        <v>1</v>
      </c>
      <c r="H91" s="215"/>
      <c r="I91" s="215"/>
      <c r="J91" s="215"/>
      <c r="K91" s="149" t="str">
        <f>IF(COUNT(H91:J91)=3,AVERAGE(H91:J91),"")</f>
      </c>
      <c r="L91" s="215"/>
      <c r="M91" s="215"/>
      <c r="N91" s="215"/>
      <c r="O91" s="149" t="str">
        <f>IF(COUNT(L91:N91)=3,AVERAGE(L91:N91),"")</f>
      </c>
      <c r="P91" s="129" t="n">
        <f>6-COUNT(H91:J91,L91:N91)</f>
        <v>6</v>
      </c>
      <c r="Q91" s="129" t="str">
        <f>IF(P91=0,"完整","缺失")</f>
        <v>缺失</v>
      </c>
      <c r="R91" s="215" t="inlineStr">
        <is>
          <t>是</t>
        </is>
      </c>
      <c r="S91" s="85" t="inlineStr">
        <is>
          <t>是</t>
        </is>
      </c>
      <c r="T91" s="215" t="inlineStr">
        <is>
          <t>无</t>
        </is>
      </c>
      <c r="U91" s="243" t="inlineStr">
        <is>
          <t/>
        </is>
      </c>
    </row>
    <row r="92">
      <c r="A92" s="90" t="inlineStr">
        <is>
          <t>P015</t>
        </is>
      </c>
      <c r="B92" s="85" t="n">
        <v>4</v>
      </c>
      <c r="C92" s="85" t="n">
        <v>2</v>
      </c>
      <c r="D92" s="85" t="inlineStr">
        <is>
          <t>鼠标</t>
        </is>
      </c>
      <c r="E92" s="85" t="inlineStr">
        <is>
          <t>方法A</t>
        </is>
      </c>
      <c r="F92" s="85" t="inlineStr">
        <is>
          <t>One-Euro</t>
        </is>
      </c>
      <c r="G92" s="85" t="n">
        <v>2</v>
      </c>
      <c r="H92" s="215"/>
      <c r="I92" s="215"/>
      <c r="J92" s="215"/>
      <c r="K92" s="149" t="str">
        <f>IF(COUNT(H92:J92)=3,AVERAGE(H92:J92),"")</f>
      </c>
      <c r="L92" s="215"/>
      <c r="M92" s="215"/>
      <c r="N92" s="215"/>
      <c r="O92" s="149" t="str">
        <f>IF(COUNT(L92:N92)=3,AVERAGE(L92:N92),"")</f>
      </c>
      <c r="P92" s="129" t="n">
        <f>6-COUNT(H92:J92,L92:N92)</f>
        <v>6</v>
      </c>
      <c r="Q92" s="129" t="str">
        <f>IF(P92=0,"完整","缺失")</f>
        <v>缺失</v>
      </c>
      <c r="R92" s="215" t="inlineStr">
        <is>
          <t>是</t>
        </is>
      </c>
      <c r="S92" s="85" t="inlineStr">
        <is>
          <t>是</t>
        </is>
      </c>
      <c r="T92" s="215" t="inlineStr">
        <is>
          <t>无</t>
        </is>
      </c>
      <c r="U92" s="243" t="inlineStr">
        <is>
          <t/>
        </is>
      </c>
    </row>
    <row r="93">
      <c r="A93" s="90" t="inlineStr">
        <is>
          <t>P015</t>
        </is>
      </c>
      <c r="B93" s="85" t="n">
        <v>5</v>
      </c>
      <c r="C93" s="85" t="n">
        <v>3</v>
      </c>
      <c r="D93" s="85" t="inlineStr">
        <is>
          <t>游戏手柄</t>
        </is>
      </c>
      <c r="E93" s="85" t="inlineStr">
        <is>
          <t>方法A</t>
        </is>
      </c>
      <c r="F93" s="85" t="inlineStr">
        <is>
          <t>One-Euro</t>
        </is>
      </c>
      <c r="G93" s="85" t="n">
        <v>1</v>
      </c>
      <c r="H93" s="215"/>
      <c r="I93" s="215"/>
      <c r="J93" s="215"/>
      <c r="K93" s="149" t="str">
        <f>IF(COUNT(H93:J93)=3,AVERAGE(H93:J93),"")</f>
      </c>
      <c r="L93" s="215"/>
      <c r="M93" s="215"/>
      <c r="N93" s="215"/>
      <c r="O93" s="149" t="str">
        <f>IF(COUNT(L93:N93)=3,AVERAGE(L93:N93),"")</f>
      </c>
      <c r="P93" s="129" t="n">
        <f>6-COUNT(H93:J93,L93:N93)</f>
        <v>6</v>
      </c>
      <c r="Q93" s="129" t="str">
        <f>IF(P93=0,"完整","缺失")</f>
        <v>缺失</v>
      </c>
      <c r="R93" s="215" t="inlineStr">
        <is>
          <t>是</t>
        </is>
      </c>
      <c r="S93" s="85" t="inlineStr">
        <is>
          <t>是</t>
        </is>
      </c>
      <c r="T93" s="215" t="inlineStr">
        <is>
          <t>无</t>
        </is>
      </c>
      <c r="U93" s="243" t="inlineStr">
        <is>
          <t/>
        </is>
      </c>
    </row>
    <row r="94">
      <c r="A94" s="90" t="inlineStr">
        <is>
          <t>P015</t>
        </is>
      </c>
      <c r="B94" s="85" t="n">
        <v>6</v>
      </c>
      <c r="C94" s="85" t="n">
        <v>3</v>
      </c>
      <c r="D94" s="85" t="inlineStr">
        <is>
          <t>游戏手柄</t>
        </is>
      </c>
      <c r="E94" s="85" t="inlineStr">
        <is>
          <t>方法B</t>
        </is>
      </c>
      <c r="F94" s="85" t="inlineStr">
        <is>
          <t>EgoAnchor</t>
        </is>
      </c>
      <c r="G94" s="85" t="n">
        <v>2</v>
      </c>
      <c r="H94" s="215"/>
      <c r="I94" s="215"/>
      <c r="J94" s="215"/>
      <c r="K94" s="149" t="str">
        <f>IF(COUNT(H94:J94)=3,AVERAGE(H94:J94),"")</f>
      </c>
      <c r="L94" s="215"/>
      <c r="M94" s="215"/>
      <c r="N94" s="215"/>
      <c r="O94" s="149" t="str">
        <f>IF(COUNT(L94:N94)=3,AVERAGE(L94:N94),"")</f>
      </c>
      <c r="P94" s="129" t="n">
        <f>6-COUNT(H94:J94,L94:N94)</f>
        <v>6</v>
      </c>
      <c r="Q94" s="129" t="str">
        <f>IF(P94=0,"完整","缺失")</f>
        <v>缺失</v>
      </c>
      <c r="R94" s="215" t="inlineStr">
        <is>
          <t>是</t>
        </is>
      </c>
      <c r="S94" s="85" t="inlineStr">
        <is>
          <t>是</t>
        </is>
      </c>
      <c r="T94" s="215" t="inlineStr">
        <is>
          <t>无</t>
        </is>
      </c>
      <c r="U94" s="243" t="inlineStr">
        <is>
          <t/>
        </is>
      </c>
    </row>
    <row r="95">
      <c r="A95" s="90" t="inlineStr">
        <is>
          <t>P016</t>
        </is>
      </c>
      <c r="B95" s="85" t="n">
        <v>1</v>
      </c>
      <c r="C95" s="85" t="n">
        <v>1</v>
      </c>
      <c r="D95" s="85" t="inlineStr">
        <is>
          <t>固定订书机</t>
        </is>
      </c>
      <c r="E95" s="85" t="inlineStr">
        <is>
          <t>方法A</t>
        </is>
      </c>
      <c r="F95" s="85" t="inlineStr">
        <is>
          <t>One-Euro</t>
        </is>
      </c>
      <c r="G95" s="85" t="n">
        <v>1</v>
      </c>
      <c r="H95" s="215"/>
      <c r="I95" s="215"/>
      <c r="J95" s="215"/>
      <c r="K95" s="149" t="str">
        <f>IF(COUNT(H95:J95)=3,AVERAGE(H95:J95),"")</f>
      </c>
      <c r="L95" s="215"/>
      <c r="M95" s="215"/>
      <c r="N95" s="215"/>
      <c r="O95" s="149" t="str">
        <f>IF(COUNT(L95:N95)=3,AVERAGE(L95:N95),"")</f>
      </c>
      <c r="P95" s="129" t="n">
        <f>6-COUNT(H95:J95,L95:N95)</f>
        <v>6</v>
      </c>
      <c r="Q95" s="129" t="str">
        <f>IF(P95=0,"完整","缺失")</f>
        <v>缺失</v>
      </c>
      <c r="R95" s="215" t="inlineStr">
        <is>
          <t>是</t>
        </is>
      </c>
      <c r="S95" s="85" t="inlineStr">
        <is>
          <t>是</t>
        </is>
      </c>
      <c r="T95" s="215" t="inlineStr">
        <is>
          <t>无</t>
        </is>
      </c>
      <c r="U95" s="243" t="inlineStr">
        <is>
          <t/>
        </is>
      </c>
    </row>
    <row r="96">
      <c r="A96" s="90" t="inlineStr">
        <is>
          <t>P016</t>
        </is>
      </c>
      <c r="B96" s="85" t="n">
        <v>2</v>
      </c>
      <c r="C96" s="85" t="n">
        <v>1</v>
      </c>
      <c r="D96" s="85" t="inlineStr">
        <is>
          <t>固定订书机</t>
        </is>
      </c>
      <c r="E96" s="85" t="inlineStr">
        <is>
          <t>方法B</t>
        </is>
      </c>
      <c r="F96" s="85" t="inlineStr">
        <is>
          <t>EgoAnchor</t>
        </is>
      </c>
      <c r="G96" s="85" t="n">
        <v>2</v>
      </c>
      <c r="H96" s="215"/>
      <c r="I96" s="215"/>
      <c r="J96" s="215"/>
      <c r="K96" s="149" t="str">
        <f>IF(COUNT(H96:J96)=3,AVERAGE(H96:J96),"")</f>
      </c>
      <c r="L96" s="215"/>
      <c r="M96" s="215"/>
      <c r="N96" s="215"/>
      <c r="O96" s="149" t="str">
        <f>IF(COUNT(L96:N96)=3,AVERAGE(L96:N96),"")</f>
      </c>
      <c r="P96" s="129" t="n">
        <f>6-COUNT(H96:J96,L96:N96)</f>
        <v>6</v>
      </c>
      <c r="Q96" s="129" t="str">
        <f>IF(P96=0,"完整","缺失")</f>
        <v>缺失</v>
      </c>
      <c r="R96" s="215" t="inlineStr">
        <is>
          <t>是</t>
        </is>
      </c>
      <c r="S96" s="85" t="inlineStr">
        <is>
          <t>是</t>
        </is>
      </c>
      <c r="T96" s="215" t="inlineStr">
        <is>
          <t>无</t>
        </is>
      </c>
      <c r="U96" s="243" t="inlineStr">
        <is>
          <t/>
        </is>
      </c>
    </row>
    <row r="97">
      <c r="A97" s="90" t="inlineStr">
        <is>
          <t>P016</t>
        </is>
      </c>
      <c r="B97" s="85" t="n">
        <v>3</v>
      </c>
      <c r="C97" s="85" t="n">
        <v>2</v>
      </c>
      <c r="D97" s="85" t="inlineStr">
        <is>
          <t>游戏手柄</t>
        </is>
      </c>
      <c r="E97" s="85" t="inlineStr">
        <is>
          <t>方法B</t>
        </is>
      </c>
      <c r="F97" s="85" t="inlineStr">
        <is>
          <t>EgoAnchor</t>
        </is>
      </c>
      <c r="G97" s="85" t="n">
        <v>1</v>
      </c>
      <c r="H97" s="215"/>
      <c r="I97" s="215"/>
      <c r="J97" s="215"/>
      <c r="K97" s="149" t="str">
        <f>IF(COUNT(H97:J97)=3,AVERAGE(H97:J97),"")</f>
      </c>
      <c r="L97" s="215"/>
      <c r="M97" s="215"/>
      <c r="N97" s="215"/>
      <c r="O97" s="149" t="str">
        <f>IF(COUNT(L97:N97)=3,AVERAGE(L97:N97),"")</f>
      </c>
      <c r="P97" s="129" t="n">
        <f>6-COUNT(H97:J97,L97:N97)</f>
        <v>6</v>
      </c>
      <c r="Q97" s="129" t="str">
        <f>IF(P97=0,"完整","缺失")</f>
        <v>缺失</v>
      </c>
      <c r="R97" s="215" t="inlineStr">
        <is>
          <t>是</t>
        </is>
      </c>
      <c r="S97" s="85" t="inlineStr">
        <is>
          <t>是</t>
        </is>
      </c>
      <c r="T97" s="215" t="inlineStr">
        <is>
          <t>无</t>
        </is>
      </c>
      <c r="U97" s="243" t="inlineStr">
        <is>
          <t/>
        </is>
      </c>
    </row>
    <row r="98">
      <c r="A98" s="90" t="inlineStr">
        <is>
          <t>P016</t>
        </is>
      </c>
      <c r="B98" s="85" t="n">
        <v>4</v>
      </c>
      <c r="C98" s="85" t="n">
        <v>2</v>
      </c>
      <c r="D98" s="85" t="inlineStr">
        <is>
          <t>游戏手柄</t>
        </is>
      </c>
      <c r="E98" s="85" t="inlineStr">
        <is>
          <t>方法A</t>
        </is>
      </c>
      <c r="F98" s="85" t="inlineStr">
        <is>
          <t>One-Euro</t>
        </is>
      </c>
      <c r="G98" s="85" t="n">
        <v>2</v>
      </c>
      <c r="H98" s="215"/>
      <c r="I98" s="215"/>
      <c r="J98" s="215"/>
      <c r="K98" s="149" t="str">
        <f>IF(COUNT(H98:J98)=3,AVERAGE(H98:J98),"")</f>
      </c>
      <c r="L98" s="215"/>
      <c r="M98" s="215"/>
      <c r="N98" s="215"/>
      <c r="O98" s="149" t="str">
        <f>IF(COUNT(L98:N98)=3,AVERAGE(L98:N98),"")</f>
      </c>
      <c r="P98" s="129" t="n">
        <f>6-COUNT(H98:J98,L98:N98)</f>
        <v>6</v>
      </c>
      <c r="Q98" s="129" t="str">
        <f>IF(P98=0,"完整","缺失")</f>
        <v>缺失</v>
      </c>
      <c r="R98" s="215" t="inlineStr">
        <is>
          <t>是</t>
        </is>
      </c>
      <c r="S98" s="85" t="inlineStr">
        <is>
          <t>是</t>
        </is>
      </c>
      <c r="T98" s="215" t="inlineStr">
        <is>
          <t>无</t>
        </is>
      </c>
      <c r="U98" s="243" t="inlineStr">
        <is>
          <t/>
        </is>
      </c>
    </row>
    <row r="99">
      <c r="A99" s="90" t="inlineStr">
        <is>
          <t>P016</t>
        </is>
      </c>
      <c r="B99" s="85" t="n">
        <v>5</v>
      </c>
      <c r="C99" s="85" t="n">
        <v>3</v>
      </c>
      <c r="D99" s="85" t="inlineStr">
        <is>
          <t>鼠标</t>
        </is>
      </c>
      <c r="E99" s="85" t="inlineStr">
        <is>
          <t>方法A</t>
        </is>
      </c>
      <c r="F99" s="85" t="inlineStr">
        <is>
          <t>One-Euro</t>
        </is>
      </c>
      <c r="G99" s="85" t="n">
        <v>1</v>
      </c>
      <c r="H99" s="215"/>
      <c r="I99" s="215"/>
      <c r="J99" s="215"/>
      <c r="K99" s="149" t="str">
        <f>IF(COUNT(H99:J99)=3,AVERAGE(H99:J99),"")</f>
      </c>
      <c r="L99" s="215"/>
      <c r="M99" s="215"/>
      <c r="N99" s="215"/>
      <c r="O99" s="149" t="str">
        <f>IF(COUNT(L99:N99)=3,AVERAGE(L99:N99),"")</f>
      </c>
      <c r="P99" s="129" t="n">
        <f>6-COUNT(H99:J99,L99:N99)</f>
        <v>6</v>
      </c>
      <c r="Q99" s="129" t="str">
        <f>IF(P99=0,"完整","缺失")</f>
        <v>缺失</v>
      </c>
      <c r="R99" s="215" t="inlineStr">
        <is>
          <t>是</t>
        </is>
      </c>
      <c r="S99" s="85" t="inlineStr">
        <is>
          <t>是</t>
        </is>
      </c>
      <c r="T99" s="215" t="inlineStr">
        <is>
          <t>无</t>
        </is>
      </c>
      <c r="U99" s="243" t="inlineStr">
        <is>
          <t/>
        </is>
      </c>
    </row>
    <row r="100">
      <c r="A100" s="90" t="inlineStr">
        <is>
          <t>P016</t>
        </is>
      </c>
      <c r="B100" s="85" t="n">
        <v>6</v>
      </c>
      <c r="C100" s="85" t="n">
        <v>3</v>
      </c>
      <c r="D100" s="85" t="inlineStr">
        <is>
          <t>鼠标</t>
        </is>
      </c>
      <c r="E100" s="85" t="inlineStr">
        <is>
          <t>方法B</t>
        </is>
      </c>
      <c r="F100" s="85" t="inlineStr">
        <is>
          <t>EgoAnchor</t>
        </is>
      </c>
      <c r="G100" s="85" t="n">
        <v>2</v>
      </c>
      <c r="H100" s="215"/>
      <c r="I100" s="215"/>
      <c r="J100" s="215"/>
      <c r="K100" s="149" t="str">
        <f>IF(COUNT(H100:J100)=3,AVERAGE(H100:J100),"")</f>
      </c>
      <c r="L100" s="215"/>
      <c r="M100" s="215"/>
      <c r="N100" s="215"/>
      <c r="O100" s="149" t="str">
        <f>IF(COUNT(L100:N100)=3,AVERAGE(L100:N100),"")</f>
      </c>
      <c r="P100" s="129" t="n">
        <f>6-COUNT(H100:J100,L100:N100)</f>
        <v>6</v>
      </c>
      <c r="Q100" s="129" t="str">
        <f>IF(P100=0,"完整","缺失")</f>
        <v>缺失</v>
      </c>
      <c r="R100" s="215" t="inlineStr">
        <is>
          <t>是</t>
        </is>
      </c>
      <c r="S100" s="85" t="inlineStr">
        <is>
          <t>是</t>
        </is>
      </c>
      <c r="T100" s="215" t="inlineStr">
        <is>
          <t>无</t>
        </is>
      </c>
      <c r="U100" s="243" t="inlineStr">
        <is>
          <t/>
        </is>
      </c>
    </row>
    <row r="101">
      <c r="A101" s="90" t="inlineStr">
        <is>
          <t>P017</t>
        </is>
      </c>
      <c r="B101" s="85" t="n">
        <v>1</v>
      </c>
      <c r="C101" s="85" t="n">
        <v>1</v>
      </c>
      <c r="D101" s="85" t="inlineStr">
        <is>
          <t>游戏手柄</t>
        </is>
      </c>
      <c r="E101" s="85" t="inlineStr">
        <is>
          <t>方法A</t>
        </is>
      </c>
      <c r="F101" s="85" t="inlineStr">
        <is>
          <t>One-Euro</t>
        </is>
      </c>
      <c r="G101" s="85" t="n">
        <v>1</v>
      </c>
      <c r="H101" s="215"/>
      <c r="I101" s="215"/>
      <c r="J101" s="215"/>
      <c r="K101" s="149" t="str">
        <f>IF(COUNT(H101:J101)=3,AVERAGE(H101:J101),"")</f>
      </c>
      <c r="L101" s="215"/>
      <c r="M101" s="215"/>
      <c r="N101" s="215"/>
      <c r="O101" s="149" t="str">
        <f>IF(COUNT(L101:N101)=3,AVERAGE(L101:N101),"")</f>
      </c>
      <c r="P101" s="129" t="n">
        <f>6-COUNT(H101:J101,L101:N101)</f>
        <v>6</v>
      </c>
      <c r="Q101" s="129" t="str">
        <f>IF(P101=0,"完整","缺失")</f>
        <v>缺失</v>
      </c>
      <c r="R101" s="215" t="inlineStr">
        <is>
          <t>是</t>
        </is>
      </c>
      <c r="S101" s="85" t="inlineStr">
        <is>
          <t>是</t>
        </is>
      </c>
      <c r="T101" s="215" t="inlineStr">
        <is>
          <t>无</t>
        </is>
      </c>
      <c r="U101" s="243" t="inlineStr">
        <is>
          <t/>
        </is>
      </c>
    </row>
    <row r="102">
      <c r="A102" s="90" t="inlineStr">
        <is>
          <t>P017</t>
        </is>
      </c>
      <c r="B102" s="85" t="n">
        <v>2</v>
      </c>
      <c r="C102" s="85" t="n">
        <v>1</v>
      </c>
      <c r="D102" s="85" t="inlineStr">
        <is>
          <t>游戏手柄</t>
        </is>
      </c>
      <c r="E102" s="85" t="inlineStr">
        <is>
          <t>方法B</t>
        </is>
      </c>
      <c r="F102" s="85" t="inlineStr">
        <is>
          <t>EgoAnchor</t>
        </is>
      </c>
      <c r="G102" s="85" t="n">
        <v>2</v>
      </c>
      <c r="H102" s="215"/>
      <c r="I102" s="215"/>
      <c r="J102" s="215"/>
      <c r="K102" s="149" t="str">
        <f>IF(COUNT(H102:J102)=3,AVERAGE(H102:J102),"")</f>
      </c>
      <c r="L102" s="215"/>
      <c r="M102" s="215"/>
      <c r="N102" s="215"/>
      <c r="O102" s="149" t="str">
        <f>IF(COUNT(L102:N102)=3,AVERAGE(L102:N102),"")</f>
      </c>
      <c r="P102" s="129" t="n">
        <f>6-COUNT(H102:J102,L102:N102)</f>
        <v>6</v>
      </c>
      <c r="Q102" s="129" t="str">
        <f>IF(P102=0,"完整","缺失")</f>
        <v>缺失</v>
      </c>
      <c r="R102" s="215" t="inlineStr">
        <is>
          <t>是</t>
        </is>
      </c>
      <c r="S102" s="85" t="inlineStr">
        <is>
          <t>是</t>
        </is>
      </c>
      <c r="T102" s="215" t="inlineStr">
        <is>
          <t>无</t>
        </is>
      </c>
      <c r="U102" s="243" t="inlineStr">
        <is>
          <t/>
        </is>
      </c>
    </row>
    <row r="103">
      <c r="A103" s="90" t="inlineStr">
        <is>
          <t>P017</t>
        </is>
      </c>
      <c r="B103" s="85" t="n">
        <v>3</v>
      </c>
      <c r="C103" s="85" t="n">
        <v>2</v>
      </c>
      <c r="D103" s="85" t="inlineStr">
        <is>
          <t>鼠标</t>
        </is>
      </c>
      <c r="E103" s="85" t="inlineStr">
        <is>
          <t>方法B</t>
        </is>
      </c>
      <c r="F103" s="85" t="inlineStr">
        <is>
          <t>EgoAnchor</t>
        </is>
      </c>
      <c r="G103" s="85" t="n">
        <v>1</v>
      </c>
      <c r="H103" s="215"/>
      <c r="I103" s="215"/>
      <c r="J103" s="215"/>
      <c r="K103" s="149" t="str">
        <f>IF(COUNT(H103:J103)=3,AVERAGE(H103:J103),"")</f>
      </c>
      <c r="L103" s="215"/>
      <c r="M103" s="215"/>
      <c r="N103" s="215"/>
      <c r="O103" s="149" t="str">
        <f>IF(COUNT(L103:N103)=3,AVERAGE(L103:N103),"")</f>
      </c>
      <c r="P103" s="129" t="n">
        <f>6-COUNT(H103:J103,L103:N103)</f>
        <v>6</v>
      </c>
      <c r="Q103" s="129" t="str">
        <f>IF(P103=0,"完整","缺失")</f>
        <v>缺失</v>
      </c>
      <c r="R103" s="215" t="inlineStr">
        <is>
          <t>是</t>
        </is>
      </c>
      <c r="S103" s="85" t="inlineStr">
        <is>
          <t>是</t>
        </is>
      </c>
      <c r="T103" s="215" t="inlineStr">
        <is>
          <t>无</t>
        </is>
      </c>
      <c r="U103" s="243" t="inlineStr">
        <is>
          <t/>
        </is>
      </c>
    </row>
    <row r="104">
      <c r="A104" s="90" t="inlineStr">
        <is>
          <t>P017</t>
        </is>
      </c>
      <c r="B104" s="85" t="n">
        <v>4</v>
      </c>
      <c r="C104" s="85" t="n">
        <v>2</v>
      </c>
      <c r="D104" s="85" t="inlineStr">
        <is>
          <t>鼠标</t>
        </is>
      </c>
      <c r="E104" s="85" t="inlineStr">
        <is>
          <t>方法A</t>
        </is>
      </c>
      <c r="F104" s="85" t="inlineStr">
        <is>
          <t>One-Euro</t>
        </is>
      </c>
      <c r="G104" s="85" t="n">
        <v>2</v>
      </c>
      <c r="H104" s="215"/>
      <c r="I104" s="215"/>
      <c r="J104" s="215"/>
      <c r="K104" s="149" t="str">
        <f>IF(COUNT(H104:J104)=3,AVERAGE(H104:J104),"")</f>
      </c>
      <c r="L104" s="215"/>
      <c r="M104" s="215"/>
      <c r="N104" s="215"/>
      <c r="O104" s="149" t="str">
        <f>IF(COUNT(L104:N104)=3,AVERAGE(L104:N104),"")</f>
      </c>
      <c r="P104" s="129" t="n">
        <f>6-COUNT(H104:J104,L104:N104)</f>
        <v>6</v>
      </c>
      <c r="Q104" s="129" t="str">
        <f>IF(P104=0,"完整","缺失")</f>
        <v>缺失</v>
      </c>
      <c r="R104" s="215" t="inlineStr">
        <is>
          <t>是</t>
        </is>
      </c>
      <c r="S104" s="85" t="inlineStr">
        <is>
          <t>是</t>
        </is>
      </c>
      <c r="T104" s="215" t="inlineStr">
        <is>
          <t>无</t>
        </is>
      </c>
      <c r="U104" s="243" t="inlineStr">
        <is>
          <t/>
        </is>
      </c>
    </row>
    <row r="105">
      <c r="A105" s="90" t="inlineStr">
        <is>
          <t>P017</t>
        </is>
      </c>
      <c r="B105" s="85" t="n">
        <v>5</v>
      </c>
      <c r="C105" s="85" t="n">
        <v>3</v>
      </c>
      <c r="D105" s="85" t="inlineStr">
        <is>
          <t>固定订书机</t>
        </is>
      </c>
      <c r="E105" s="85" t="inlineStr">
        <is>
          <t>方法A</t>
        </is>
      </c>
      <c r="F105" s="85" t="inlineStr">
        <is>
          <t>One-Euro</t>
        </is>
      </c>
      <c r="G105" s="85" t="n">
        <v>1</v>
      </c>
      <c r="H105" s="215"/>
      <c r="I105" s="215"/>
      <c r="J105" s="215"/>
      <c r="K105" s="149" t="str">
        <f>IF(COUNT(H105:J105)=3,AVERAGE(H105:J105),"")</f>
      </c>
      <c r="L105" s="215"/>
      <c r="M105" s="215"/>
      <c r="N105" s="215"/>
      <c r="O105" s="149" t="str">
        <f>IF(COUNT(L105:N105)=3,AVERAGE(L105:N105),"")</f>
      </c>
      <c r="P105" s="129" t="n">
        <f>6-COUNT(H105:J105,L105:N105)</f>
        <v>6</v>
      </c>
      <c r="Q105" s="129" t="str">
        <f>IF(P105=0,"完整","缺失")</f>
        <v>缺失</v>
      </c>
      <c r="R105" s="215" t="inlineStr">
        <is>
          <t>是</t>
        </is>
      </c>
      <c r="S105" s="85" t="inlineStr">
        <is>
          <t>是</t>
        </is>
      </c>
      <c r="T105" s="215" t="inlineStr">
        <is>
          <t>无</t>
        </is>
      </c>
      <c r="U105" s="243" t="inlineStr">
        <is>
          <t/>
        </is>
      </c>
    </row>
    <row r="106">
      <c r="A106" s="90" t="inlineStr">
        <is>
          <t>P017</t>
        </is>
      </c>
      <c r="B106" s="85" t="n">
        <v>6</v>
      </c>
      <c r="C106" s="85" t="n">
        <v>3</v>
      </c>
      <c r="D106" s="85" t="inlineStr">
        <is>
          <t>固定订书机</t>
        </is>
      </c>
      <c r="E106" s="85" t="inlineStr">
        <is>
          <t>方法B</t>
        </is>
      </c>
      <c r="F106" s="85" t="inlineStr">
        <is>
          <t>EgoAnchor</t>
        </is>
      </c>
      <c r="G106" s="85" t="n">
        <v>2</v>
      </c>
      <c r="H106" s="215"/>
      <c r="I106" s="215"/>
      <c r="J106" s="215"/>
      <c r="K106" s="149" t="str">
        <f>IF(COUNT(H106:J106)=3,AVERAGE(H106:J106),"")</f>
      </c>
      <c r="L106" s="215"/>
      <c r="M106" s="215"/>
      <c r="N106" s="215"/>
      <c r="O106" s="149" t="str">
        <f>IF(COUNT(L106:N106)=3,AVERAGE(L106:N106),"")</f>
      </c>
      <c r="P106" s="129" t="n">
        <f>6-COUNT(H106:J106,L106:N106)</f>
        <v>6</v>
      </c>
      <c r="Q106" s="129" t="str">
        <f>IF(P106=0,"完整","缺失")</f>
        <v>缺失</v>
      </c>
      <c r="R106" s="215" t="inlineStr">
        <is>
          <t>是</t>
        </is>
      </c>
      <c r="S106" s="85" t="inlineStr">
        <is>
          <t>是</t>
        </is>
      </c>
      <c r="T106" s="215" t="inlineStr">
        <is>
          <t>无</t>
        </is>
      </c>
      <c r="U106" s="243" t="inlineStr">
        <is>
          <t/>
        </is>
      </c>
    </row>
    <row r="107">
      <c r="A107" s="90" t="inlineStr">
        <is>
          <t>P018</t>
        </is>
      </c>
      <c r="B107" s="85" t="n">
        <v>1</v>
      </c>
      <c r="C107" s="85" t="n">
        <v>1</v>
      </c>
      <c r="D107" s="85" t="inlineStr">
        <is>
          <t>游戏手柄</t>
        </is>
      </c>
      <c r="E107" s="85" t="inlineStr">
        <is>
          <t>方法A</t>
        </is>
      </c>
      <c r="F107" s="85" t="inlineStr">
        <is>
          <t>One-Euro</t>
        </is>
      </c>
      <c r="G107" s="85" t="n">
        <v>1</v>
      </c>
      <c r="H107" s="215"/>
      <c r="I107" s="215"/>
      <c r="J107" s="215"/>
      <c r="K107" s="149" t="str">
        <f>IF(COUNT(H107:J107)=3,AVERAGE(H107:J107),"")</f>
      </c>
      <c r="L107" s="215"/>
      <c r="M107" s="215"/>
      <c r="N107" s="215"/>
      <c r="O107" s="149" t="str">
        <f>IF(COUNT(L107:N107)=3,AVERAGE(L107:N107),"")</f>
      </c>
      <c r="P107" s="129" t="n">
        <f>6-COUNT(H107:J107,L107:N107)</f>
        <v>6</v>
      </c>
      <c r="Q107" s="129" t="str">
        <f>IF(P107=0,"完整","缺失")</f>
        <v>缺失</v>
      </c>
      <c r="R107" s="215" t="inlineStr">
        <is>
          <t>是</t>
        </is>
      </c>
      <c r="S107" s="85" t="inlineStr">
        <is>
          <t>是</t>
        </is>
      </c>
      <c r="T107" s="215" t="inlineStr">
        <is>
          <t>无</t>
        </is>
      </c>
      <c r="U107" s="243" t="inlineStr">
        <is>
          <t/>
        </is>
      </c>
    </row>
    <row r="108">
      <c r="A108" s="90" t="inlineStr">
        <is>
          <t>P018</t>
        </is>
      </c>
      <c r="B108" s="85" t="n">
        <v>2</v>
      </c>
      <c r="C108" s="85" t="n">
        <v>1</v>
      </c>
      <c r="D108" s="85" t="inlineStr">
        <is>
          <t>游戏手柄</t>
        </is>
      </c>
      <c r="E108" s="85" t="inlineStr">
        <is>
          <t>方法B</t>
        </is>
      </c>
      <c r="F108" s="85" t="inlineStr">
        <is>
          <t>EgoAnchor</t>
        </is>
      </c>
      <c r="G108" s="85" t="n">
        <v>2</v>
      </c>
      <c r="H108" s="215"/>
      <c r="I108" s="215"/>
      <c r="J108" s="215"/>
      <c r="K108" s="149" t="str">
        <f>IF(COUNT(H108:J108)=3,AVERAGE(H108:J108),"")</f>
      </c>
      <c r="L108" s="215"/>
      <c r="M108" s="215"/>
      <c r="N108" s="215"/>
      <c r="O108" s="149" t="str">
        <f>IF(COUNT(L108:N108)=3,AVERAGE(L108:N108),"")</f>
      </c>
      <c r="P108" s="129" t="n">
        <f>6-COUNT(H108:J108,L108:N108)</f>
        <v>6</v>
      </c>
      <c r="Q108" s="129" t="str">
        <f>IF(P108=0,"完整","缺失")</f>
        <v>缺失</v>
      </c>
      <c r="R108" s="215" t="inlineStr">
        <is>
          <t>是</t>
        </is>
      </c>
      <c r="S108" s="85" t="inlineStr">
        <is>
          <t>是</t>
        </is>
      </c>
      <c r="T108" s="215" t="inlineStr">
        <is>
          <t>无</t>
        </is>
      </c>
      <c r="U108" s="243" t="inlineStr">
        <is>
          <t/>
        </is>
      </c>
    </row>
    <row r="109">
      <c r="A109" s="90" t="inlineStr">
        <is>
          <t>P018</t>
        </is>
      </c>
      <c r="B109" s="85" t="n">
        <v>3</v>
      </c>
      <c r="C109" s="85" t="n">
        <v>2</v>
      </c>
      <c r="D109" s="85" t="inlineStr">
        <is>
          <t>固定订书机</t>
        </is>
      </c>
      <c r="E109" s="85" t="inlineStr">
        <is>
          <t>方法B</t>
        </is>
      </c>
      <c r="F109" s="85" t="inlineStr">
        <is>
          <t>EgoAnchor</t>
        </is>
      </c>
      <c r="G109" s="85" t="n">
        <v>1</v>
      </c>
      <c r="H109" s="215"/>
      <c r="I109" s="215"/>
      <c r="J109" s="215"/>
      <c r="K109" s="149" t="str">
        <f>IF(COUNT(H109:J109)=3,AVERAGE(H109:J109),"")</f>
      </c>
      <c r="L109" s="215"/>
      <c r="M109" s="215"/>
      <c r="N109" s="215"/>
      <c r="O109" s="149" t="str">
        <f>IF(COUNT(L109:N109)=3,AVERAGE(L109:N109),"")</f>
      </c>
      <c r="P109" s="129" t="n">
        <f>6-COUNT(H109:J109,L109:N109)</f>
        <v>6</v>
      </c>
      <c r="Q109" s="129" t="str">
        <f>IF(P109=0,"完整","缺失")</f>
        <v>缺失</v>
      </c>
      <c r="R109" s="215" t="inlineStr">
        <is>
          <t>是</t>
        </is>
      </c>
      <c r="S109" s="85" t="inlineStr">
        <is>
          <t>是</t>
        </is>
      </c>
      <c r="T109" s="215" t="inlineStr">
        <is>
          <t>无</t>
        </is>
      </c>
      <c r="U109" s="243" t="inlineStr">
        <is>
          <t/>
        </is>
      </c>
    </row>
    <row r="110">
      <c r="A110" s="90" t="inlineStr">
        <is>
          <t>P018</t>
        </is>
      </c>
      <c r="B110" s="85" t="n">
        <v>4</v>
      </c>
      <c r="C110" s="85" t="n">
        <v>2</v>
      </c>
      <c r="D110" s="85" t="inlineStr">
        <is>
          <t>固定订书机</t>
        </is>
      </c>
      <c r="E110" s="85" t="inlineStr">
        <is>
          <t>方法A</t>
        </is>
      </c>
      <c r="F110" s="85" t="inlineStr">
        <is>
          <t>One-Euro</t>
        </is>
      </c>
      <c r="G110" s="85" t="n">
        <v>2</v>
      </c>
      <c r="H110" s="215"/>
      <c r="I110" s="215"/>
      <c r="J110" s="215"/>
      <c r="K110" s="149" t="str">
        <f>IF(COUNT(H110:J110)=3,AVERAGE(H110:J110),"")</f>
      </c>
      <c r="L110" s="215"/>
      <c r="M110" s="215"/>
      <c r="N110" s="215"/>
      <c r="O110" s="149" t="str">
        <f>IF(COUNT(L110:N110)=3,AVERAGE(L110:N110),"")</f>
      </c>
      <c r="P110" s="129" t="n">
        <f>6-COUNT(H110:J110,L110:N110)</f>
        <v>6</v>
      </c>
      <c r="Q110" s="129" t="str">
        <f>IF(P110=0,"完整","缺失")</f>
        <v>缺失</v>
      </c>
      <c r="R110" s="215" t="inlineStr">
        <is>
          <t>是</t>
        </is>
      </c>
      <c r="S110" s="85" t="inlineStr">
        <is>
          <t>是</t>
        </is>
      </c>
      <c r="T110" s="215" t="inlineStr">
        <is>
          <t>无</t>
        </is>
      </c>
      <c r="U110" s="243" t="inlineStr">
        <is>
          <t/>
        </is>
      </c>
    </row>
    <row r="111">
      <c r="A111" s="90" t="inlineStr">
        <is>
          <t>P018</t>
        </is>
      </c>
      <c r="B111" s="85" t="n">
        <v>5</v>
      </c>
      <c r="C111" s="85" t="n">
        <v>3</v>
      </c>
      <c r="D111" s="85" t="inlineStr">
        <is>
          <t>鼠标</t>
        </is>
      </c>
      <c r="E111" s="85" t="inlineStr">
        <is>
          <t>方法A</t>
        </is>
      </c>
      <c r="F111" s="85" t="inlineStr">
        <is>
          <t>One-Euro</t>
        </is>
      </c>
      <c r="G111" s="85" t="n">
        <v>1</v>
      </c>
      <c r="H111" s="215"/>
      <c r="I111" s="215"/>
      <c r="J111" s="215"/>
      <c r="K111" s="149" t="str">
        <f>IF(COUNT(H111:J111)=3,AVERAGE(H111:J111),"")</f>
      </c>
      <c r="L111" s="215"/>
      <c r="M111" s="215"/>
      <c r="N111" s="215"/>
      <c r="O111" s="149" t="str">
        <f>IF(COUNT(L111:N111)=3,AVERAGE(L111:N111),"")</f>
      </c>
      <c r="P111" s="129" t="n">
        <f>6-COUNT(H111:J111,L111:N111)</f>
        <v>6</v>
      </c>
      <c r="Q111" s="129" t="str">
        <f>IF(P111=0,"完整","缺失")</f>
        <v>缺失</v>
      </c>
      <c r="R111" s="215" t="inlineStr">
        <is>
          <t>是</t>
        </is>
      </c>
      <c r="S111" s="85" t="inlineStr">
        <is>
          <t>是</t>
        </is>
      </c>
      <c r="T111" s="215" t="inlineStr">
        <is>
          <t>无</t>
        </is>
      </c>
      <c r="U111" s="243" t="inlineStr">
        <is>
          <t/>
        </is>
      </c>
    </row>
    <row r="112">
      <c r="A112" s="90" t="inlineStr">
        <is>
          <t>P018</t>
        </is>
      </c>
      <c r="B112" s="85" t="n">
        <v>6</v>
      </c>
      <c r="C112" s="85" t="n">
        <v>3</v>
      </c>
      <c r="D112" s="85" t="inlineStr">
        <is>
          <t>鼠标</t>
        </is>
      </c>
      <c r="E112" s="85" t="inlineStr">
        <is>
          <t>方法B</t>
        </is>
      </c>
      <c r="F112" s="85" t="inlineStr">
        <is>
          <t>EgoAnchor</t>
        </is>
      </c>
      <c r="G112" s="85" t="n">
        <v>2</v>
      </c>
      <c r="H112" s="215"/>
      <c r="I112" s="215"/>
      <c r="J112" s="215"/>
      <c r="K112" s="149" t="str">
        <f>IF(COUNT(H112:J112)=3,AVERAGE(H112:J112),"")</f>
      </c>
      <c r="L112" s="215"/>
      <c r="M112" s="215"/>
      <c r="N112" s="215"/>
      <c r="O112" s="149" t="str">
        <f>IF(COUNT(L112:N112)=3,AVERAGE(L112:N112),"")</f>
      </c>
      <c r="P112" s="129" t="n">
        <f>6-COUNT(H112:J112,L112:N112)</f>
        <v>6</v>
      </c>
      <c r="Q112" s="129" t="str">
        <f>IF(P112=0,"完整","缺失")</f>
        <v>缺失</v>
      </c>
      <c r="R112" s="215" t="inlineStr">
        <is>
          <t>是</t>
        </is>
      </c>
      <c r="S112" s="85" t="inlineStr">
        <is>
          <t>是</t>
        </is>
      </c>
      <c r="T112" s="215" t="inlineStr">
        <is>
          <t>无</t>
        </is>
      </c>
      <c r="U112" s="243" t="inlineStr">
        <is>
          <t/>
        </is>
      </c>
    </row>
    <row r="113">
      <c r="A113" s="90" t="inlineStr">
        <is>
          <t>P019</t>
        </is>
      </c>
      <c r="B113" s="85" t="n">
        <v>1</v>
      </c>
      <c r="C113" s="85" t="n">
        <v>1</v>
      </c>
      <c r="D113" s="85" t="inlineStr">
        <is>
          <t>鼠标</t>
        </is>
      </c>
      <c r="E113" s="85" t="inlineStr">
        <is>
          <t>方法B</t>
        </is>
      </c>
      <c r="F113" s="85" t="inlineStr">
        <is>
          <t>EgoAnchor</t>
        </is>
      </c>
      <c r="G113" s="85" t="n">
        <v>1</v>
      </c>
      <c r="H113" s="215"/>
      <c r="I113" s="215"/>
      <c r="J113" s="215"/>
      <c r="K113" s="149" t="str">
        <f>IF(COUNT(H113:J113)=3,AVERAGE(H113:J113),"")</f>
      </c>
      <c r="L113" s="215"/>
      <c r="M113" s="215"/>
      <c r="N113" s="215"/>
      <c r="O113" s="149" t="str">
        <f>IF(COUNT(L113:N113)=3,AVERAGE(L113:N113),"")</f>
      </c>
      <c r="P113" s="129" t="n">
        <f>6-COUNT(H113:J113,L113:N113)</f>
        <v>6</v>
      </c>
      <c r="Q113" s="129" t="str">
        <f>IF(P113=0,"完整","缺失")</f>
        <v>缺失</v>
      </c>
      <c r="R113" s="215" t="inlineStr">
        <is>
          <t>是</t>
        </is>
      </c>
      <c r="S113" s="85" t="inlineStr">
        <is>
          <t>是</t>
        </is>
      </c>
      <c r="T113" s="215" t="inlineStr">
        <is>
          <t>无</t>
        </is>
      </c>
      <c r="U113" s="243" t="inlineStr">
        <is>
          <t/>
        </is>
      </c>
    </row>
    <row r="114">
      <c r="A114" s="90" t="inlineStr">
        <is>
          <t>P019</t>
        </is>
      </c>
      <c r="B114" s="85" t="n">
        <v>2</v>
      </c>
      <c r="C114" s="85" t="n">
        <v>1</v>
      </c>
      <c r="D114" s="85" t="inlineStr">
        <is>
          <t>鼠标</t>
        </is>
      </c>
      <c r="E114" s="85" t="inlineStr">
        <is>
          <t>方法A</t>
        </is>
      </c>
      <c r="F114" s="85" t="inlineStr">
        <is>
          <t>One-Euro</t>
        </is>
      </c>
      <c r="G114" s="85" t="n">
        <v>2</v>
      </c>
      <c r="H114" s="215"/>
      <c r="I114" s="215"/>
      <c r="J114" s="215"/>
      <c r="K114" s="149" t="str">
        <f>IF(COUNT(H114:J114)=3,AVERAGE(H114:J114),"")</f>
      </c>
      <c r="L114" s="215"/>
      <c r="M114" s="215"/>
      <c r="N114" s="215"/>
      <c r="O114" s="149" t="str">
        <f>IF(COUNT(L114:N114)=3,AVERAGE(L114:N114),"")</f>
      </c>
      <c r="P114" s="129" t="n">
        <f>6-COUNT(H114:J114,L114:N114)</f>
        <v>6</v>
      </c>
      <c r="Q114" s="129" t="str">
        <f>IF(P114=0,"完整","缺失")</f>
        <v>缺失</v>
      </c>
      <c r="R114" s="215" t="inlineStr">
        <is>
          <t>是</t>
        </is>
      </c>
      <c r="S114" s="85" t="inlineStr">
        <is>
          <t>是</t>
        </is>
      </c>
      <c r="T114" s="215" t="inlineStr">
        <is>
          <t>无</t>
        </is>
      </c>
      <c r="U114" s="243" t="inlineStr">
        <is>
          <t/>
        </is>
      </c>
    </row>
    <row r="115">
      <c r="A115" s="90" t="inlineStr">
        <is>
          <t>P019</t>
        </is>
      </c>
      <c r="B115" s="85" t="n">
        <v>3</v>
      </c>
      <c r="C115" s="85" t="n">
        <v>2</v>
      </c>
      <c r="D115" s="85" t="inlineStr">
        <is>
          <t>固定订书机</t>
        </is>
      </c>
      <c r="E115" s="85" t="inlineStr">
        <is>
          <t>方法A</t>
        </is>
      </c>
      <c r="F115" s="85" t="inlineStr">
        <is>
          <t>One-Euro</t>
        </is>
      </c>
      <c r="G115" s="85" t="n">
        <v>1</v>
      </c>
      <c r="H115" s="215"/>
      <c r="I115" s="215"/>
      <c r="J115" s="215"/>
      <c r="K115" s="149" t="str">
        <f>IF(COUNT(H115:J115)=3,AVERAGE(H115:J115),"")</f>
      </c>
      <c r="L115" s="215"/>
      <c r="M115" s="215"/>
      <c r="N115" s="215"/>
      <c r="O115" s="149" t="str">
        <f>IF(COUNT(L115:N115)=3,AVERAGE(L115:N115),"")</f>
      </c>
      <c r="P115" s="129" t="n">
        <f>6-COUNT(H115:J115,L115:N115)</f>
        <v>6</v>
      </c>
      <c r="Q115" s="129" t="str">
        <f>IF(P115=0,"完整","缺失")</f>
        <v>缺失</v>
      </c>
      <c r="R115" s="215" t="inlineStr">
        <is>
          <t>是</t>
        </is>
      </c>
      <c r="S115" s="85" t="inlineStr">
        <is>
          <t>是</t>
        </is>
      </c>
      <c r="T115" s="215" t="inlineStr">
        <is>
          <t>无</t>
        </is>
      </c>
      <c r="U115" s="243" t="inlineStr">
        <is>
          <t/>
        </is>
      </c>
    </row>
    <row r="116">
      <c r="A116" s="90" t="inlineStr">
        <is>
          <t>P019</t>
        </is>
      </c>
      <c r="B116" s="85" t="n">
        <v>4</v>
      </c>
      <c r="C116" s="85" t="n">
        <v>2</v>
      </c>
      <c r="D116" s="85" t="inlineStr">
        <is>
          <t>固定订书机</t>
        </is>
      </c>
      <c r="E116" s="85" t="inlineStr">
        <is>
          <t>方法B</t>
        </is>
      </c>
      <c r="F116" s="85" t="inlineStr">
        <is>
          <t>EgoAnchor</t>
        </is>
      </c>
      <c r="G116" s="85" t="n">
        <v>2</v>
      </c>
      <c r="H116" s="215"/>
      <c r="I116" s="215"/>
      <c r="J116" s="215"/>
      <c r="K116" s="149" t="str">
        <f>IF(COUNT(H116:J116)=3,AVERAGE(H116:J116),"")</f>
      </c>
      <c r="L116" s="215"/>
      <c r="M116" s="215"/>
      <c r="N116" s="215"/>
      <c r="O116" s="149" t="str">
        <f>IF(COUNT(L116:N116)=3,AVERAGE(L116:N116),"")</f>
      </c>
      <c r="P116" s="129" t="n">
        <f>6-COUNT(H116:J116,L116:N116)</f>
        <v>6</v>
      </c>
      <c r="Q116" s="129" t="str">
        <f>IF(P116=0,"完整","缺失")</f>
        <v>缺失</v>
      </c>
      <c r="R116" s="215" t="inlineStr">
        <is>
          <t>是</t>
        </is>
      </c>
      <c r="S116" s="85" t="inlineStr">
        <is>
          <t>是</t>
        </is>
      </c>
      <c r="T116" s="215" t="inlineStr">
        <is>
          <t>无</t>
        </is>
      </c>
      <c r="U116" s="243" t="inlineStr">
        <is>
          <t/>
        </is>
      </c>
    </row>
    <row r="117">
      <c r="A117" s="90" t="inlineStr">
        <is>
          <t>P019</t>
        </is>
      </c>
      <c r="B117" s="85" t="n">
        <v>5</v>
      </c>
      <c r="C117" s="85" t="n">
        <v>3</v>
      </c>
      <c r="D117" s="85" t="inlineStr">
        <is>
          <t>游戏手柄</t>
        </is>
      </c>
      <c r="E117" s="85" t="inlineStr">
        <is>
          <t>方法B</t>
        </is>
      </c>
      <c r="F117" s="85" t="inlineStr">
        <is>
          <t>EgoAnchor</t>
        </is>
      </c>
      <c r="G117" s="85" t="n">
        <v>1</v>
      </c>
      <c r="H117" s="215"/>
      <c r="I117" s="215"/>
      <c r="J117" s="215"/>
      <c r="K117" s="149" t="str">
        <f>IF(COUNT(H117:J117)=3,AVERAGE(H117:J117),"")</f>
      </c>
      <c r="L117" s="215"/>
      <c r="M117" s="215"/>
      <c r="N117" s="215"/>
      <c r="O117" s="149" t="str">
        <f>IF(COUNT(L117:N117)=3,AVERAGE(L117:N117),"")</f>
      </c>
      <c r="P117" s="129" t="n">
        <f>6-COUNT(H117:J117,L117:N117)</f>
        <v>6</v>
      </c>
      <c r="Q117" s="129" t="str">
        <f>IF(P117=0,"完整","缺失")</f>
        <v>缺失</v>
      </c>
      <c r="R117" s="215" t="inlineStr">
        <is>
          <t>是</t>
        </is>
      </c>
      <c r="S117" s="85" t="inlineStr">
        <is>
          <t>是</t>
        </is>
      </c>
      <c r="T117" s="215" t="inlineStr">
        <is>
          <t>无</t>
        </is>
      </c>
      <c r="U117" s="243" t="inlineStr">
        <is>
          <t/>
        </is>
      </c>
    </row>
    <row r="118">
      <c r="A118" s="90" t="inlineStr">
        <is>
          <t>P019</t>
        </is>
      </c>
      <c r="B118" s="85" t="n">
        <v>6</v>
      </c>
      <c r="C118" s="85" t="n">
        <v>3</v>
      </c>
      <c r="D118" s="85" t="inlineStr">
        <is>
          <t>游戏手柄</t>
        </is>
      </c>
      <c r="E118" s="85" t="inlineStr">
        <is>
          <t>方法A</t>
        </is>
      </c>
      <c r="F118" s="85" t="inlineStr">
        <is>
          <t>One-Euro</t>
        </is>
      </c>
      <c r="G118" s="85" t="n">
        <v>2</v>
      </c>
      <c r="H118" s="215"/>
      <c r="I118" s="215"/>
      <c r="J118" s="215"/>
      <c r="K118" s="149" t="str">
        <f>IF(COUNT(H118:J118)=3,AVERAGE(H118:J118),"")</f>
      </c>
      <c r="L118" s="215"/>
      <c r="M118" s="215"/>
      <c r="N118" s="215"/>
      <c r="O118" s="149" t="str">
        <f>IF(COUNT(L118:N118)=3,AVERAGE(L118:N118),"")</f>
      </c>
      <c r="P118" s="129" t="n">
        <f>6-COUNT(H118:J118,L118:N118)</f>
        <v>6</v>
      </c>
      <c r="Q118" s="129" t="str">
        <f>IF(P118=0,"完整","缺失")</f>
        <v>缺失</v>
      </c>
      <c r="R118" s="215" t="inlineStr">
        <is>
          <t>是</t>
        </is>
      </c>
      <c r="S118" s="85" t="inlineStr">
        <is>
          <t>是</t>
        </is>
      </c>
      <c r="T118" s="215" t="inlineStr">
        <is>
          <t>无</t>
        </is>
      </c>
      <c r="U118" s="243" t="inlineStr">
        <is>
          <t/>
        </is>
      </c>
    </row>
    <row r="119">
      <c r="A119" s="90" t="inlineStr">
        <is>
          <t>P020</t>
        </is>
      </c>
      <c r="B119" s="85" t="n">
        <v>1</v>
      </c>
      <c r="C119" s="85" t="n">
        <v>1</v>
      </c>
      <c r="D119" s="85" t="inlineStr">
        <is>
          <t>鼠标</t>
        </is>
      </c>
      <c r="E119" s="85" t="inlineStr">
        <is>
          <t>方法B</t>
        </is>
      </c>
      <c r="F119" s="85" t="inlineStr">
        <is>
          <t>EgoAnchor</t>
        </is>
      </c>
      <c r="G119" s="85" t="n">
        <v>1</v>
      </c>
      <c r="H119" s="215"/>
      <c r="I119" s="215"/>
      <c r="J119" s="215"/>
      <c r="K119" s="149" t="str">
        <f>IF(COUNT(H119:J119)=3,AVERAGE(H119:J119),"")</f>
      </c>
      <c r="L119" s="215"/>
      <c r="M119" s="215"/>
      <c r="N119" s="215"/>
      <c r="O119" s="149" t="str">
        <f>IF(COUNT(L119:N119)=3,AVERAGE(L119:N119),"")</f>
      </c>
      <c r="P119" s="129" t="n">
        <f>6-COUNT(H119:J119,L119:N119)</f>
        <v>6</v>
      </c>
      <c r="Q119" s="129" t="str">
        <f>IF(P119=0,"完整","缺失")</f>
        <v>缺失</v>
      </c>
      <c r="R119" s="215" t="inlineStr">
        <is>
          <t>是</t>
        </is>
      </c>
      <c r="S119" s="85" t="inlineStr">
        <is>
          <t>是</t>
        </is>
      </c>
      <c r="T119" s="215" t="inlineStr">
        <is>
          <t>无</t>
        </is>
      </c>
      <c r="U119" s="243" t="inlineStr">
        <is>
          <t/>
        </is>
      </c>
    </row>
    <row r="120">
      <c r="A120" s="90" t="inlineStr">
        <is>
          <t>P020</t>
        </is>
      </c>
      <c r="B120" s="85" t="n">
        <v>2</v>
      </c>
      <c r="C120" s="85" t="n">
        <v>1</v>
      </c>
      <c r="D120" s="85" t="inlineStr">
        <is>
          <t>鼠标</t>
        </is>
      </c>
      <c r="E120" s="85" t="inlineStr">
        <is>
          <t>方法A</t>
        </is>
      </c>
      <c r="F120" s="85" t="inlineStr">
        <is>
          <t>One-Euro</t>
        </is>
      </c>
      <c r="G120" s="85" t="n">
        <v>2</v>
      </c>
      <c r="H120" s="215"/>
      <c r="I120" s="215"/>
      <c r="J120" s="215"/>
      <c r="K120" s="149" t="str">
        <f>IF(COUNT(H120:J120)=3,AVERAGE(H120:J120),"")</f>
      </c>
      <c r="L120" s="215"/>
      <c r="M120" s="215"/>
      <c r="N120" s="215"/>
      <c r="O120" s="149" t="str">
        <f>IF(COUNT(L120:N120)=3,AVERAGE(L120:N120),"")</f>
      </c>
      <c r="P120" s="129" t="n">
        <f>6-COUNT(H120:J120,L120:N120)</f>
        <v>6</v>
      </c>
      <c r="Q120" s="129" t="str">
        <f>IF(P120=0,"完整","缺失")</f>
        <v>缺失</v>
      </c>
      <c r="R120" s="215" t="inlineStr">
        <is>
          <t>是</t>
        </is>
      </c>
      <c r="S120" s="85" t="inlineStr">
        <is>
          <t>是</t>
        </is>
      </c>
      <c r="T120" s="215" t="inlineStr">
        <is>
          <t>无</t>
        </is>
      </c>
      <c r="U120" s="243" t="inlineStr">
        <is>
          <t/>
        </is>
      </c>
    </row>
    <row r="121">
      <c r="A121" s="90" t="inlineStr">
        <is>
          <t>P020</t>
        </is>
      </c>
      <c r="B121" s="85" t="n">
        <v>3</v>
      </c>
      <c r="C121" s="85" t="n">
        <v>2</v>
      </c>
      <c r="D121" s="85" t="inlineStr">
        <is>
          <t>游戏手柄</t>
        </is>
      </c>
      <c r="E121" s="85" t="inlineStr">
        <is>
          <t>方法A</t>
        </is>
      </c>
      <c r="F121" s="85" t="inlineStr">
        <is>
          <t>One-Euro</t>
        </is>
      </c>
      <c r="G121" s="85" t="n">
        <v>1</v>
      </c>
      <c r="H121" s="215"/>
      <c r="I121" s="215"/>
      <c r="J121" s="215"/>
      <c r="K121" s="149" t="str">
        <f>IF(COUNT(H121:J121)=3,AVERAGE(H121:J121),"")</f>
      </c>
      <c r="L121" s="215"/>
      <c r="M121" s="215"/>
      <c r="N121" s="215"/>
      <c r="O121" s="149" t="str">
        <f>IF(COUNT(L121:N121)=3,AVERAGE(L121:N121),"")</f>
      </c>
      <c r="P121" s="129" t="n">
        <f>6-COUNT(H121:J121,L121:N121)</f>
        <v>6</v>
      </c>
      <c r="Q121" s="129" t="str">
        <f>IF(P121=0,"完整","缺失")</f>
        <v>缺失</v>
      </c>
      <c r="R121" s="215" t="inlineStr">
        <is>
          <t>是</t>
        </is>
      </c>
      <c r="S121" s="85" t="inlineStr">
        <is>
          <t>是</t>
        </is>
      </c>
      <c r="T121" s="215" t="inlineStr">
        <is>
          <t>无</t>
        </is>
      </c>
      <c r="U121" s="243" t="inlineStr">
        <is>
          <t/>
        </is>
      </c>
    </row>
    <row r="122">
      <c r="A122" s="90" t="inlineStr">
        <is>
          <t>P020</t>
        </is>
      </c>
      <c r="B122" s="85" t="n">
        <v>4</v>
      </c>
      <c r="C122" s="85" t="n">
        <v>2</v>
      </c>
      <c r="D122" s="85" t="inlineStr">
        <is>
          <t>游戏手柄</t>
        </is>
      </c>
      <c r="E122" s="85" t="inlineStr">
        <is>
          <t>方法B</t>
        </is>
      </c>
      <c r="F122" s="85" t="inlineStr">
        <is>
          <t>EgoAnchor</t>
        </is>
      </c>
      <c r="G122" s="85" t="n">
        <v>2</v>
      </c>
      <c r="H122" s="215"/>
      <c r="I122" s="215"/>
      <c r="J122" s="215"/>
      <c r="K122" s="149" t="str">
        <f>IF(COUNT(H122:J122)=3,AVERAGE(H122:J122),"")</f>
      </c>
      <c r="L122" s="215"/>
      <c r="M122" s="215"/>
      <c r="N122" s="215"/>
      <c r="O122" s="149" t="str">
        <f>IF(COUNT(L122:N122)=3,AVERAGE(L122:N122),"")</f>
      </c>
      <c r="P122" s="129" t="n">
        <f>6-COUNT(H122:J122,L122:N122)</f>
        <v>6</v>
      </c>
      <c r="Q122" s="129" t="str">
        <f>IF(P122=0,"完整","缺失")</f>
        <v>缺失</v>
      </c>
      <c r="R122" s="215" t="inlineStr">
        <is>
          <t>是</t>
        </is>
      </c>
      <c r="S122" s="85" t="inlineStr">
        <is>
          <t>是</t>
        </is>
      </c>
      <c r="T122" s="215" t="inlineStr">
        <is>
          <t>无</t>
        </is>
      </c>
      <c r="U122" s="243" t="inlineStr">
        <is>
          <t/>
        </is>
      </c>
    </row>
    <row r="123">
      <c r="A123" s="90" t="inlineStr">
        <is>
          <t>P020</t>
        </is>
      </c>
      <c r="B123" s="85" t="n">
        <v>5</v>
      </c>
      <c r="C123" s="85" t="n">
        <v>3</v>
      </c>
      <c r="D123" s="85" t="inlineStr">
        <is>
          <t>固定订书机</t>
        </is>
      </c>
      <c r="E123" s="85" t="inlineStr">
        <is>
          <t>方法B</t>
        </is>
      </c>
      <c r="F123" s="85" t="inlineStr">
        <is>
          <t>EgoAnchor</t>
        </is>
      </c>
      <c r="G123" s="85" t="n">
        <v>1</v>
      </c>
      <c r="H123" s="215"/>
      <c r="I123" s="215"/>
      <c r="J123" s="215"/>
      <c r="K123" s="149" t="str">
        <f>IF(COUNT(H123:J123)=3,AVERAGE(H123:J123),"")</f>
      </c>
      <c r="L123" s="215"/>
      <c r="M123" s="215"/>
      <c r="N123" s="215"/>
      <c r="O123" s="149" t="str">
        <f>IF(COUNT(L123:N123)=3,AVERAGE(L123:N123),"")</f>
      </c>
      <c r="P123" s="129" t="n">
        <f>6-COUNT(H123:J123,L123:N123)</f>
        <v>6</v>
      </c>
      <c r="Q123" s="129" t="str">
        <f>IF(P123=0,"完整","缺失")</f>
        <v>缺失</v>
      </c>
      <c r="R123" s="215" t="inlineStr">
        <is>
          <t>是</t>
        </is>
      </c>
      <c r="S123" s="85" t="inlineStr">
        <is>
          <t>是</t>
        </is>
      </c>
      <c r="T123" s="215" t="inlineStr">
        <is>
          <t>无</t>
        </is>
      </c>
      <c r="U123" s="243" t="inlineStr">
        <is>
          <t/>
        </is>
      </c>
    </row>
    <row r="124">
      <c r="A124" s="90" t="inlineStr">
        <is>
          <t>P020</t>
        </is>
      </c>
      <c r="B124" s="85" t="n">
        <v>6</v>
      </c>
      <c r="C124" s="85" t="n">
        <v>3</v>
      </c>
      <c r="D124" s="85" t="inlineStr">
        <is>
          <t>固定订书机</t>
        </is>
      </c>
      <c r="E124" s="85" t="inlineStr">
        <is>
          <t>方法A</t>
        </is>
      </c>
      <c r="F124" s="85" t="inlineStr">
        <is>
          <t>One-Euro</t>
        </is>
      </c>
      <c r="G124" s="85" t="n">
        <v>2</v>
      </c>
      <c r="H124" s="215"/>
      <c r="I124" s="215"/>
      <c r="J124" s="215"/>
      <c r="K124" s="149" t="str">
        <f>IF(COUNT(H124:J124)=3,AVERAGE(H124:J124),"")</f>
      </c>
      <c r="L124" s="215"/>
      <c r="M124" s="215"/>
      <c r="N124" s="215"/>
      <c r="O124" s="149" t="str">
        <f>IF(COUNT(L124:N124)=3,AVERAGE(L124:N124),"")</f>
      </c>
      <c r="P124" s="129" t="n">
        <f>6-COUNT(H124:J124,L124:N124)</f>
        <v>6</v>
      </c>
      <c r="Q124" s="129" t="str">
        <f>IF(P124=0,"完整","缺失")</f>
        <v>缺失</v>
      </c>
      <c r="R124" s="215" t="inlineStr">
        <is>
          <t>是</t>
        </is>
      </c>
      <c r="S124" s="85" t="inlineStr">
        <is>
          <t>是</t>
        </is>
      </c>
      <c r="T124" s="215" t="inlineStr">
        <is>
          <t>无</t>
        </is>
      </c>
      <c r="U124" s="243" t="inlineStr">
        <is>
          <t/>
        </is>
      </c>
    </row>
    <row r="125">
      <c r="A125" s="90" t="inlineStr">
        <is>
          <t>P021</t>
        </is>
      </c>
      <c r="B125" s="85" t="n">
        <v>1</v>
      </c>
      <c r="C125" s="85" t="n">
        <v>1</v>
      </c>
      <c r="D125" s="85" t="inlineStr">
        <is>
          <t>固定订书机</t>
        </is>
      </c>
      <c r="E125" s="85" t="inlineStr">
        <is>
          <t>方法B</t>
        </is>
      </c>
      <c r="F125" s="85" t="inlineStr">
        <is>
          <t>EgoAnchor</t>
        </is>
      </c>
      <c r="G125" s="85" t="n">
        <v>1</v>
      </c>
      <c r="H125" s="215"/>
      <c r="I125" s="215"/>
      <c r="J125" s="215"/>
      <c r="K125" s="149" t="str">
        <f>IF(COUNT(H125:J125)=3,AVERAGE(H125:J125),"")</f>
      </c>
      <c r="L125" s="215"/>
      <c r="M125" s="215"/>
      <c r="N125" s="215"/>
      <c r="O125" s="149" t="str">
        <f>IF(COUNT(L125:N125)=3,AVERAGE(L125:N125),"")</f>
      </c>
      <c r="P125" s="129" t="n">
        <f>6-COUNT(H125:J125,L125:N125)</f>
        <v>6</v>
      </c>
      <c r="Q125" s="129" t="str">
        <f>IF(P125=0,"完整","缺失")</f>
        <v>缺失</v>
      </c>
      <c r="R125" s="215" t="inlineStr">
        <is>
          <t>是</t>
        </is>
      </c>
      <c r="S125" s="85" t="inlineStr">
        <is>
          <t>是</t>
        </is>
      </c>
      <c r="T125" s="215" t="inlineStr">
        <is>
          <t>无</t>
        </is>
      </c>
      <c r="U125" s="243" t="inlineStr">
        <is>
          <t/>
        </is>
      </c>
    </row>
    <row r="126">
      <c r="A126" s="90" t="inlineStr">
        <is>
          <t>P021</t>
        </is>
      </c>
      <c r="B126" s="85" t="n">
        <v>2</v>
      </c>
      <c r="C126" s="85" t="n">
        <v>1</v>
      </c>
      <c r="D126" s="85" t="inlineStr">
        <is>
          <t>固定订书机</t>
        </is>
      </c>
      <c r="E126" s="85" t="inlineStr">
        <is>
          <t>方法A</t>
        </is>
      </c>
      <c r="F126" s="85" t="inlineStr">
        <is>
          <t>One-Euro</t>
        </is>
      </c>
      <c r="G126" s="85" t="n">
        <v>2</v>
      </c>
      <c r="H126" s="215"/>
      <c r="I126" s="215"/>
      <c r="J126" s="215"/>
      <c r="K126" s="149" t="str">
        <f>IF(COUNT(H126:J126)=3,AVERAGE(H126:J126),"")</f>
      </c>
      <c r="L126" s="215"/>
      <c r="M126" s="215"/>
      <c r="N126" s="215"/>
      <c r="O126" s="149" t="str">
        <f>IF(COUNT(L126:N126)=3,AVERAGE(L126:N126),"")</f>
      </c>
      <c r="P126" s="129" t="n">
        <f>6-COUNT(H126:J126,L126:N126)</f>
        <v>6</v>
      </c>
      <c r="Q126" s="129" t="str">
        <f>IF(P126=0,"完整","缺失")</f>
        <v>缺失</v>
      </c>
      <c r="R126" s="215" t="inlineStr">
        <is>
          <t>是</t>
        </is>
      </c>
      <c r="S126" s="85" t="inlineStr">
        <is>
          <t>是</t>
        </is>
      </c>
      <c r="T126" s="215" t="inlineStr">
        <is>
          <t>无</t>
        </is>
      </c>
      <c r="U126" s="243" t="inlineStr">
        <is>
          <t/>
        </is>
      </c>
    </row>
    <row r="127">
      <c r="A127" s="90" t="inlineStr">
        <is>
          <t>P021</t>
        </is>
      </c>
      <c r="B127" s="85" t="n">
        <v>3</v>
      </c>
      <c r="C127" s="85" t="n">
        <v>2</v>
      </c>
      <c r="D127" s="85" t="inlineStr">
        <is>
          <t>鼠标</t>
        </is>
      </c>
      <c r="E127" s="85" t="inlineStr">
        <is>
          <t>方法A</t>
        </is>
      </c>
      <c r="F127" s="85" t="inlineStr">
        <is>
          <t>One-Euro</t>
        </is>
      </c>
      <c r="G127" s="85" t="n">
        <v>1</v>
      </c>
      <c r="H127" s="215"/>
      <c r="I127" s="215"/>
      <c r="J127" s="215"/>
      <c r="K127" s="149" t="str">
        <f>IF(COUNT(H127:J127)=3,AVERAGE(H127:J127),"")</f>
      </c>
      <c r="L127" s="215"/>
      <c r="M127" s="215"/>
      <c r="N127" s="215"/>
      <c r="O127" s="149" t="str">
        <f>IF(COUNT(L127:N127)=3,AVERAGE(L127:N127),"")</f>
      </c>
      <c r="P127" s="129" t="n">
        <f>6-COUNT(H127:J127,L127:N127)</f>
        <v>6</v>
      </c>
      <c r="Q127" s="129" t="str">
        <f>IF(P127=0,"完整","缺失")</f>
        <v>缺失</v>
      </c>
      <c r="R127" s="215" t="inlineStr">
        <is>
          <t>是</t>
        </is>
      </c>
      <c r="S127" s="85" t="inlineStr">
        <is>
          <t>是</t>
        </is>
      </c>
      <c r="T127" s="215" t="inlineStr">
        <is>
          <t>无</t>
        </is>
      </c>
      <c r="U127" s="243" t="inlineStr">
        <is>
          <t/>
        </is>
      </c>
    </row>
    <row r="128">
      <c r="A128" s="90" t="inlineStr">
        <is>
          <t>P021</t>
        </is>
      </c>
      <c r="B128" s="85" t="n">
        <v>4</v>
      </c>
      <c r="C128" s="85" t="n">
        <v>2</v>
      </c>
      <c r="D128" s="85" t="inlineStr">
        <is>
          <t>鼠标</t>
        </is>
      </c>
      <c r="E128" s="85" t="inlineStr">
        <is>
          <t>方法B</t>
        </is>
      </c>
      <c r="F128" s="85" t="inlineStr">
        <is>
          <t>EgoAnchor</t>
        </is>
      </c>
      <c r="G128" s="85" t="n">
        <v>2</v>
      </c>
      <c r="H128" s="215"/>
      <c r="I128" s="215"/>
      <c r="J128" s="215"/>
      <c r="K128" s="149" t="str">
        <f>IF(COUNT(H128:J128)=3,AVERAGE(H128:J128),"")</f>
      </c>
      <c r="L128" s="215"/>
      <c r="M128" s="215"/>
      <c r="N128" s="215"/>
      <c r="O128" s="149" t="str">
        <f>IF(COUNT(L128:N128)=3,AVERAGE(L128:N128),"")</f>
      </c>
      <c r="P128" s="129" t="n">
        <f>6-COUNT(H128:J128,L128:N128)</f>
        <v>6</v>
      </c>
      <c r="Q128" s="129" t="str">
        <f>IF(P128=0,"完整","缺失")</f>
        <v>缺失</v>
      </c>
      <c r="R128" s="215" t="inlineStr">
        <is>
          <t>是</t>
        </is>
      </c>
      <c r="S128" s="85" t="inlineStr">
        <is>
          <t>是</t>
        </is>
      </c>
      <c r="T128" s="215" t="inlineStr">
        <is>
          <t>无</t>
        </is>
      </c>
      <c r="U128" s="243" t="inlineStr">
        <is>
          <t/>
        </is>
      </c>
    </row>
    <row r="129">
      <c r="A129" s="90" t="inlineStr">
        <is>
          <t>P021</t>
        </is>
      </c>
      <c r="B129" s="85" t="n">
        <v>5</v>
      </c>
      <c r="C129" s="85" t="n">
        <v>3</v>
      </c>
      <c r="D129" s="85" t="inlineStr">
        <is>
          <t>游戏手柄</t>
        </is>
      </c>
      <c r="E129" s="85" t="inlineStr">
        <is>
          <t>方法B</t>
        </is>
      </c>
      <c r="F129" s="85" t="inlineStr">
        <is>
          <t>EgoAnchor</t>
        </is>
      </c>
      <c r="G129" s="85" t="n">
        <v>1</v>
      </c>
      <c r="H129" s="215"/>
      <c r="I129" s="215"/>
      <c r="J129" s="215"/>
      <c r="K129" s="149" t="str">
        <f>IF(COUNT(H129:J129)=3,AVERAGE(H129:J129),"")</f>
      </c>
      <c r="L129" s="215"/>
      <c r="M129" s="215"/>
      <c r="N129" s="215"/>
      <c r="O129" s="149" t="str">
        <f>IF(COUNT(L129:N129)=3,AVERAGE(L129:N129),"")</f>
      </c>
      <c r="P129" s="129" t="n">
        <f>6-COUNT(H129:J129,L129:N129)</f>
        <v>6</v>
      </c>
      <c r="Q129" s="129" t="str">
        <f>IF(P129=0,"完整","缺失")</f>
        <v>缺失</v>
      </c>
      <c r="R129" s="215" t="inlineStr">
        <is>
          <t>是</t>
        </is>
      </c>
      <c r="S129" s="85" t="inlineStr">
        <is>
          <t>是</t>
        </is>
      </c>
      <c r="T129" s="215" t="inlineStr">
        <is>
          <t>无</t>
        </is>
      </c>
      <c r="U129" s="243" t="inlineStr">
        <is>
          <t/>
        </is>
      </c>
    </row>
    <row r="130">
      <c r="A130" s="90" t="inlineStr">
        <is>
          <t>P021</t>
        </is>
      </c>
      <c r="B130" s="85" t="n">
        <v>6</v>
      </c>
      <c r="C130" s="85" t="n">
        <v>3</v>
      </c>
      <c r="D130" s="85" t="inlineStr">
        <is>
          <t>游戏手柄</t>
        </is>
      </c>
      <c r="E130" s="85" t="inlineStr">
        <is>
          <t>方法A</t>
        </is>
      </c>
      <c r="F130" s="85" t="inlineStr">
        <is>
          <t>One-Euro</t>
        </is>
      </c>
      <c r="G130" s="85" t="n">
        <v>2</v>
      </c>
      <c r="H130" s="215"/>
      <c r="I130" s="215"/>
      <c r="J130" s="215"/>
      <c r="K130" s="149" t="str">
        <f>IF(COUNT(H130:J130)=3,AVERAGE(H130:J130),"")</f>
      </c>
      <c r="L130" s="215"/>
      <c r="M130" s="215"/>
      <c r="N130" s="215"/>
      <c r="O130" s="149" t="str">
        <f>IF(COUNT(L130:N130)=3,AVERAGE(L130:N130),"")</f>
      </c>
      <c r="P130" s="129" t="n">
        <f>6-COUNT(H130:J130,L130:N130)</f>
        <v>6</v>
      </c>
      <c r="Q130" s="129" t="str">
        <f>IF(P130=0,"完整","缺失")</f>
        <v>缺失</v>
      </c>
      <c r="R130" s="215" t="inlineStr">
        <is>
          <t>是</t>
        </is>
      </c>
      <c r="S130" s="85" t="inlineStr">
        <is>
          <t>是</t>
        </is>
      </c>
      <c r="T130" s="215" t="inlineStr">
        <is>
          <t>无</t>
        </is>
      </c>
      <c r="U130" s="243" t="inlineStr">
        <is>
          <t/>
        </is>
      </c>
    </row>
    <row r="131">
      <c r="A131" s="90" t="inlineStr">
        <is>
          <t>P022</t>
        </is>
      </c>
      <c r="B131" s="85" t="n">
        <v>1</v>
      </c>
      <c r="C131" s="85" t="n">
        <v>1</v>
      </c>
      <c r="D131" s="85" t="inlineStr">
        <is>
          <t>固定订书机</t>
        </is>
      </c>
      <c r="E131" s="85" t="inlineStr">
        <is>
          <t>方法B</t>
        </is>
      </c>
      <c r="F131" s="85" t="inlineStr">
        <is>
          <t>EgoAnchor</t>
        </is>
      </c>
      <c r="G131" s="85" t="n">
        <v>1</v>
      </c>
      <c r="H131" s="215"/>
      <c r="I131" s="215"/>
      <c r="J131" s="215"/>
      <c r="K131" s="149" t="str">
        <f>IF(COUNT(H131:J131)=3,AVERAGE(H131:J131),"")</f>
      </c>
      <c r="L131" s="215"/>
      <c r="M131" s="215"/>
      <c r="N131" s="215"/>
      <c r="O131" s="149" t="str">
        <f>IF(COUNT(L131:N131)=3,AVERAGE(L131:N131),"")</f>
      </c>
      <c r="P131" s="129" t="n">
        <f>6-COUNT(H131:J131,L131:N131)</f>
        <v>6</v>
      </c>
      <c r="Q131" s="129" t="str">
        <f>IF(P131=0,"完整","缺失")</f>
        <v>缺失</v>
      </c>
      <c r="R131" s="215" t="inlineStr">
        <is>
          <t>是</t>
        </is>
      </c>
      <c r="S131" s="85" t="inlineStr">
        <is>
          <t>是</t>
        </is>
      </c>
      <c r="T131" s="215" t="inlineStr">
        <is>
          <t>无</t>
        </is>
      </c>
      <c r="U131" s="243" t="inlineStr">
        <is>
          <t/>
        </is>
      </c>
    </row>
    <row r="132">
      <c r="A132" s="90" t="inlineStr">
        <is>
          <t>P022</t>
        </is>
      </c>
      <c r="B132" s="85" t="n">
        <v>2</v>
      </c>
      <c r="C132" s="85" t="n">
        <v>1</v>
      </c>
      <c r="D132" s="85" t="inlineStr">
        <is>
          <t>固定订书机</t>
        </is>
      </c>
      <c r="E132" s="85" t="inlineStr">
        <is>
          <t>方法A</t>
        </is>
      </c>
      <c r="F132" s="85" t="inlineStr">
        <is>
          <t>One-Euro</t>
        </is>
      </c>
      <c r="G132" s="85" t="n">
        <v>2</v>
      </c>
      <c r="H132" s="215"/>
      <c r="I132" s="215"/>
      <c r="J132" s="215"/>
      <c r="K132" s="149" t="str">
        <f>IF(COUNT(H132:J132)=3,AVERAGE(H132:J132),"")</f>
      </c>
      <c r="L132" s="215"/>
      <c r="M132" s="215"/>
      <c r="N132" s="215"/>
      <c r="O132" s="149" t="str">
        <f>IF(COUNT(L132:N132)=3,AVERAGE(L132:N132),"")</f>
      </c>
      <c r="P132" s="129" t="n">
        <f>6-COUNT(H132:J132,L132:N132)</f>
        <v>6</v>
      </c>
      <c r="Q132" s="129" t="str">
        <f>IF(P132=0,"完整","缺失")</f>
        <v>缺失</v>
      </c>
      <c r="R132" s="215" t="inlineStr">
        <is>
          <t>是</t>
        </is>
      </c>
      <c r="S132" s="85" t="inlineStr">
        <is>
          <t>是</t>
        </is>
      </c>
      <c r="T132" s="215" t="inlineStr">
        <is>
          <t>无</t>
        </is>
      </c>
      <c r="U132" s="243" t="inlineStr">
        <is>
          <t/>
        </is>
      </c>
    </row>
    <row r="133">
      <c r="A133" s="90" t="inlineStr">
        <is>
          <t>P022</t>
        </is>
      </c>
      <c r="B133" s="85" t="n">
        <v>3</v>
      </c>
      <c r="C133" s="85" t="n">
        <v>2</v>
      </c>
      <c r="D133" s="85" t="inlineStr">
        <is>
          <t>游戏手柄</t>
        </is>
      </c>
      <c r="E133" s="85" t="inlineStr">
        <is>
          <t>方法A</t>
        </is>
      </c>
      <c r="F133" s="85" t="inlineStr">
        <is>
          <t>One-Euro</t>
        </is>
      </c>
      <c r="G133" s="85" t="n">
        <v>1</v>
      </c>
      <c r="H133" s="215"/>
      <c r="I133" s="215"/>
      <c r="J133" s="215"/>
      <c r="K133" s="149" t="str">
        <f>IF(COUNT(H133:J133)=3,AVERAGE(H133:J133),"")</f>
      </c>
      <c r="L133" s="215"/>
      <c r="M133" s="215"/>
      <c r="N133" s="215"/>
      <c r="O133" s="149" t="str">
        <f>IF(COUNT(L133:N133)=3,AVERAGE(L133:N133),"")</f>
      </c>
      <c r="P133" s="129" t="n">
        <f>6-COUNT(H133:J133,L133:N133)</f>
        <v>6</v>
      </c>
      <c r="Q133" s="129" t="str">
        <f>IF(P133=0,"完整","缺失")</f>
        <v>缺失</v>
      </c>
      <c r="R133" s="215" t="inlineStr">
        <is>
          <t>是</t>
        </is>
      </c>
      <c r="S133" s="85" t="inlineStr">
        <is>
          <t>是</t>
        </is>
      </c>
      <c r="T133" s="215" t="inlineStr">
        <is>
          <t>无</t>
        </is>
      </c>
      <c r="U133" s="243" t="inlineStr">
        <is>
          <t/>
        </is>
      </c>
    </row>
    <row r="134">
      <c r="A134" s="90" t="inlineStr">
        <is>
          <t>P022</t>
        </is>
      </c>
      <c r="B134" s="85" t="n">
        <v>4</v>
      </c>
      <c r="C134" s="85" t="n">
        <v>2</v>
      </c>
      <c r="D134" s="85" t="inlineStr">
        <is>
          <t>游戏手柄</t>
        </is>
      </c>
      <c r="E134" s="85" t="inlineStr">
        <is>
          <t>方法B</t>
        </is>
      </c>
      <c r="F134" s="85" t="inlineStr">
        <is>
          <t>EgoAnchor</t>
        </is>
      </c>
      <c r="G134" s="85" t="n">
        <v>2</v>
      </c>
      <c r="H134" s="215"/>
      <c r="I134" s="215"/>
      <c r="J134" s="215"/>
      <c r="K134" s="149" t="str">
        <f>IF(COUNT(H134:J134)=3,AVERAGE(H134:J134),"")</f>
      </c>
      <c r="L134" s="215"/>
      <c r="M134" s="215"/>
      <c r="N134" s="215"/>
      <c r="O134" s="149" t="str">
        <f>IF(COUNT(L134:N134)=3,AVERAGE(L134:N134),"")</f>
      </c>
      <c r="P134" s="129" t="n">
        <f>6-COUNT(H134:J134,L134:N134)</f>
        <v>6</v>
      </c>
      <c r="Q134" s="129" t="str">
        <f>IF(P134=0,"完整","缺失")</f>
        <v>缺失</v>
      </c>
      <c r="R134" s="215" t="inlineStr">
        <is>
          <t>是</t>
        </is>
      </c>
      <c r="S134" s="85" t="inlineStr">
        <is>
          <t>是</t>
        </is>
      </c>
      <c r="T134" s="215" t="inlineStr">
        <is>
          <t>无</t>
        </is>
      </c>
      <c r="U134" s="243" t="inlineStr">
        <is>
          <t/>
        </is>
      </c>
    </row>
    <row r="135">
      <c r="A135" s="90" t="inlineStr">
        <is>
          <t>P022</t>
        </is>
      </c>
      <c r="B135" s="85" t="n">
        <v>5</v>
      </c>
      <c r="C135" s="85" t="n">
        <v>3</v>
      </c>
      <c r="D135" s="85" t="inlineStr">
        <is>
          <t>鼠标</t>
        </is>
      </c>
      <c r="E135" s="85" t="inlineStr">
        <is>
          <t>方法B</t>
        </is>
      </c>
      <c r="F135" s="85" t="inlineStr">
        <is>
          <t>EgoAnchor</t>
        </is>
      </c>
      <c r="G135" s="85" t="n">
        <v>1</v>
      </c>
      <c r="H135" s="215"/>
      <c r="I135" s="215"/>
      <c r="J135" s="215"/>
      <c r="K135" s="149" t="str">
        <f>IF(COUNT(H135:J135)=3,AVERAGE(H135:J135),"")</f>
      </c>
      <c r="L135" s="215"/>
      <c r="M135" s="215"/>
      <c r="N135" s="215"/>
      <c r="O135" s="149" t="str">
        <f>IF(COUNT(L135:N135)=3,AVERAGE(L135:N135),"")</f>
      </c>
      <c r="P135" s="129" t="n">
        <f>6-COUNT(H135:J135,L135:N135)</f>
        <v>6</v>
      </c>
      <c r="Q135" s="129" t="str">
        <f>IF(P135=0,"完整","缺失")</f>
        <v>缺失</v>
      </c>
      <c r="R135" s="215" t="inlineStr">
        <is>
          <t>是</t>
        </is>
      </c>
      <c r="S135" s="85" t="inlineStr">
        <is>
          <t>是</t>
        </is>
      </c>
      <c r="T135" s="215" t="inlineStr">
        <is>
          <t>无</t>
        </is>
      </c>
      <c r="U135" s="243" t="inlineStr">
        <is>
          <t/>
        </is>
      </c>
    </row>
    <row r="136">
      <c r="A136" s="90" t="inlineStr">
        <is>
          <t>P022</t>
        </is>
      </c>
      <c r="B136" s="85" t="n">
        <v>6</v>
      </c>
      <c r="C136" s="85" t="n">
        <v>3</v>
      </c>
      <c r="D136" s="85" t="inlineStr">
        <is>
          <t>鼠标</t>
        </is>
      </c>
      <c r="E136" s="85" t="inlineStr">
        <is>
          <t>方法A</t>
        </is>
      </c>
      <c r="F136" s="85" t="inlineStr">
        <is>
          <t>One-Euro</t>
        </is>
      </c>
      <c r="G136" s="85" t="n">
        <v>2</v>
      </c>
      <c r="H136" s="215"/>
      <c r="I136" s="215"/>
      <c r="J136" s="215"/>
      <c r="K136" s="149" t="str">
        <f>IF(COUNT(H136:J136)=3,AVERAGE(H136:J136),"")</f>
      </c>
      <c r="L136" s="215"/>
      <c r="M136" s="215"/>
      <c r="N136" s="215"/>
      <c r="O136" s="149" t="str">
        <f>IF(COUNT(L136:N136)=3,AVERAGE(L136:N136),"")</f>
      </c>
      <c r="P136" s="129" t="n">
        <f>6-COUNT(H136:J136,L136:N136)</f>
        <v>6</v>
      </c>
      <c r="Q136" s="129" t="str">
        <f>IF(P136=0,"完整","缺失")</f>
        <v>缺失</v>
      </c>
      <c r="R136" s="215" t="inlineStr">
        <is>
          <t>是</t>
        </is>
      </c>
      <c r="S136" s="85" t="inlineStr">
        <is>
          <t>是</t>
        </is>
      </c>
      <c r="T136" s="215" t="inlineStr">
        <is>
          <t>无</t>
        </is>
      </c>
      <c r="U136" s="243" t="inlineStr">
        <is>
          <t/>
        </is>
      </c>
    </row>
    <row r="137">
      <c r="A137" s="90" t="inlineStr">
        <is>
          <t>P023</t>
        </is>
      </c>
      <c r="B137" s="85" t="n">
        <v>1</v>
      </c>
      <c r="C137" s="85" t="n">
        <v>1</v>
      </c>
      <c r="D137" s="85" t="inlineStr">
        <is>
          <t>游戏手柄</t>
        </is>
      </c>
      <c r="E137" s="85" t="inlineStr">
        <is>
          <t>方法B</t>
        </is>
      </c>
      <c r="F137" s="85" t="inlineStr">
        <is>
          <t>EgoAnchor</t>
        </is>
      </c>
      <c r="G137" s="85" t="n">
        <v>1</v>
      </c>
      <c r="H137" s="215"/>
      <c r="I137" s="215"/>
      <c r="J137" s="215"/>
      <c r="K137" s="149" t="str">
        <f>IF(COUNT(H137:J137)=3,AVERAGE(H137:J137),"")</f>
      </c>
      <c r="L137" s="215"/>
      <c r="M137" s="215"/>
      <c r="N137" s="215"/>
      <c r="O137" s="149" t="str">
        <f>IF(COUNT(L137:N137)=3,AVERAGE(L137:N137),"")</f>
      </c>
      <c r="P137" s="129" t="n">
        <f>6-COUNT(H137:J137,L137:N137)</f>
        <v>6</v>
      </c>
      <c r="Q137" s="129" t="str">
        <f>IF(P137=0,"完整","缺失")</f>
        <v>缺失</v>
      </c>
      <c r="R137" s="215" t="inlineStr">
        <is>
          <t>是</t>
        </is>
      </c>
      <c r="S137" s="85" t="inlineStr">
        <is>
          <t>是</t>
        </is>
      </c>
      <c r="T137" s="215" t="inlineStr">
        <is>
          <t>无</t>
        </is>
      </c>
      <c r="U137" s="243" t="inlineStr">
        <is>
          <t/>
        </is>
      </c>
    </row>
    <row r="138">
      <c r="A138" s="90" t="inlineStr">
        <is>
          <t>P023</t>
        </is>
      </c>
      <c r="B138" s="85" t="n">
        <v>2</v>
      </c>
      <c r="C138" s="85" t="n">
        <v>1</v>
      </c>
      <c r="D138" s="85" t="inlineStr">
        <is>
          <t>游戏手柄</t>
        </is>
      </c>
      <c r="E138" s="85" t="inlineStr">
        <is>
          <t>方法A</t>
        </is>
      </c>
      <c r="F138" s="85" t="inlineStr">
        <is>
          <t>One-Euro</t>
        </is>
      </c>
      <c r="G138" s="85" t="n">
        <v>2</v>
      </c>
      <c r="H138" s="215"/>
      <c r="I138" s="215"/>
      <c r="J138" s="215"/>
      <c r="K138" s="149" t="str">
        <f>IF(COUNT(H138:J138)=3,AVERAGE(H138:J138),"")</f>
      </c>
      <c r="L138" s="215"/>
      <c r="M138" s="215"/>
      <c r="N138" s="215"/>
      <c r="O138" s="149" t="str">
        <f>IF(COUNT(L138:N138)=3,AVERAGE(L138:N138),"")</f>
      </c>
      <c r="P138" s="129" t="n">
        <f>6-COUNT(H138:J138,L138:N138)</f>
        <v>6</v>
      </c>
      <c r="Q138" s="129" t="str">
        <f>IF(P138=0,"完整","缺失")</f>
        <v>缺失</v>
      </c>
      <c r="R138" s="215" t="inlineStr">
        <is>
          <t>是</t>
        </is>
      </c>
      <c r="S138" s="85" t="inlineStr">
        <is>
          <t>是</t>
        </is>
      </c>
      <c r="T138" s="215" t="inlineStr">
        <is>
          <t>无</t>
        </is>
      </c>
      <c r="U138" s="243" t="inlineStr">
        <is>
          <t/>
        </is>
      </c>
    </row>
    <row r="139">
      <c r="A139" s="90" t="inlineStr">
        <is>
          <t>P023</t>
        </is>
      </c>
      <c r="B139" s="85" t="n">
        <v>3</v>
      </c>
      <c r="C139" s="85" t="n">
        <v>2</v>
      </c>
      <c r="D139" s="85" t="inlineStr">
        <is>
          <t>鼠标</t>
        </is>
      </c>
      <c r="E139" s="85" t="inlineStr">
        <is>
          <t>方法A</t>
        </is>
      </c>
      <c r="F139" s="85" t="inlineStr">
        <is>
          <t>One-Euro</t>
        </is>
      </c>
      <c r="G139" s="85" t="n">
        <v>1</v>
      </c>
      <c r="H139" s="215"/>
      <c r="I139" s="215"/>
      <c r="J139" s="215"/>
      <c r="K139" s="149" t="str">
        <f>IF(COUNT(H139:J139)=3,AVERAGE(H139:J139),"")</f>
      </c>
      <c r="L139" s="215"/>
      <c r="M139" s="215"/>
      <c r="N139" s="215"/>
      <c r="O139" s="149" t="str">
        <f>IF(COUNT(L139:N139)=3,AVERAGE(L139:N139),"")</f>
      </c>
      <c r="P139" s="129" t="n">
        <f>6-COUNT(H139:J139,L139:N139)</f>
        <v>6</v>
      </c>
      <c r="Q139" s="129" t="str">
        <f>IF(P139=0,"完整","缺失")</f>
        <v>缺失</v>
      </c>
      <c r="R139" s="215" t="inlineStr">
        <is>
          <t>是</t>
        </is>
      </c>
      <c r="S139" s="85" t="inlineStr">
        <is>
          <t>是</t>
        </is>
      </c>
      <c r="T139" s="215" t="inlineStr">
        <is>
          <t>无</t>
        </is>
      </c>
      <c r="U139" s="243" t="inlineStr">
        <is>
          <t/>
        </is>
      </c>
    </row>
    <row r="140">
      <c r="A140" s="90" t="inlineStr">
        <is>
          <t>P023</t>
        </is>
      </c>
      <c r="B140" s="85" t="n">
        <v>4</v>
      </c>
      <c r="C140" s="85" t="n">
        <v>2</v>
      </c>
      <c r="D140" s="85" t="inlineStr">
        <is>
          <t>鼠标</t>
        </is>
      </c>
      <c r="E140" s="85" t="inlineStr">
        <is>
          <t>方法B</t>
        </is>
      </c>
      <c r="F140" s="85" t="inlineStr">
        <is>
          <t>EgoAnchor</t>
        </is>
      </c>
      <c r="G140" s="85" t="n">
        <v>2</v>
      </c>
      <c r="H140" s="215"/>
      <c r="I140" s="215"/>
      <c r="J140" s="215"/>
      <c r="K140" s="149" t="str">
        <f>IF(COUNT(H140:J140)=3,AVERAGE(H140:J140),"")</f>
      </c>
      <c r="L140" s="215"/>
      <c r="M140" s="215"/>
      <c r="N140" s="215"/>
      <c r="O140" s="149" t="str">
        <f>IF(COUNT(L140:N140)=3,AVERAGE(L140:N140),"")</f>
      </c>
      <c r="P140" s="129" t="n">
        <f>6-COUNT(H140:J140,L140:N140)</f>
        <v>6</v>
      </c>
      <c r="Q140" s="129" t="str">
        <f>IF(P140=0,"完整","缺失")</f>
        <v>缺失</v>
      </c>
      <c r="R140" s="215" t="inlineStr">
        <is>
          <t>是</t>
        </is>
      </c>
      <c r="S140" s="85" t="inlineStr">
        <is>
          <t>是</t>
        </is>
      </c>
      <c r="T140" s="215" t="inlineStr">
        <is>
          <t>无</t>
        </is>
      </c>
      <c r="U140" s="243" t="inlineStr">
        <is>
          <t/>
        </is>
      </c>
    </row>
    <row r="141">
      <c r="A141" s="90" t="inlineStr">
        <is>
          <t>P023</t>
        </is>
      </c>
      <c r="B141" s="85" t="n">
        <v>5</v>
      </c>
      <c r="C141" s="85" t="n">
        <v>3</v>
      </c>
      <c r="D141" s="85" t="inlineStr">
        <is>
          <t>固定订书机</t>
        </is>
      </c>
      <c r="E141" s="85" t="inlineStr">
        <is>
          <t>方法B</t>
        </is>
      </c>
      <c r="F141" s="85" t="inlineStr">
        <is>
          <t>EgoAnchor</t>
        </is>
      </c>
      <c r="G141" s="85" t="n">
        <v>1</v>
      </c>
      <c r="H141" s="215"/>
      <c r="I141" s="215"/>
      <c r="J141" s="215"/>
      <c r="K141" s="149" t="str">
        <f>IF(COUNT(H141:J141)=3,AVERAGE(H141:J141),"")</f>
      </c>
      <c r="L141" s="215"/>
      <c r="M141" s="215"/>
      <c r="N141" s="215"/>
      <c r="O141" s="149" t="str">
        <f>IF(COUNT(L141:N141)=3,AVERAGE(L141:N141),"")</f>
      </c>
      <c r="P141" s="129" t="n">
        <f>6-COUNT(H141:J141,L141:N141)</f>
        <v>6</v>
      </c>
      <c r="Q141" s="129" t="str">
        <f>IF(P141=0,"完整","缺失")</f>
        <v>缺失</v>
      </c>
      <c r="R141" s="215" t="inlineStr">
        <is>
          <t>是</t>
        </is>
      </c>
      <c r="S141" s="85" t="inlineStr">
        <is>
          <t>是</t>
        </is>
      </c>
      <c r="T141" s="215" t="inlineStr">
        <is>
          <t>无</t>
        </is>
      </c>
      <c r="U141" s="243" t="inlineStr">
        <is>
          <t/>
        </is>
      </c>
    </row>
    <row r="142">
      <c r="A142" s="90" t="inlineStr">
        <is>
          <t>P023</t>
        </is>
      </c>
      <c r="B142" s="85" t="n">
        <v>6</v>
      </c>
      <c r="C142" s="85" t="n">
        <v>3</v>
      </c>
      <c r="D142" s="85" t="inlineStr">
        <is>
          <t>固定订书机</t>
        </is>
      </c>
      <c r="E142" s="85" t="inlineStr">
        <is>
          <t>方法A</t>
        </is>
      </c>
      <c r="F142" s="85" t="inlineStr">
        <is>
          <t>One-Euro</t>
        </is>
      </c>
      <c r="G142" s="85" t="n">
        <v>2</v>
      </c>
      <c r="H142" s="215"/>
      <c r="I142" s="215"/>
      <c r="J142" s="215"/>
      <c r="K142" s="149" t="str">
        <f>IF(COUNT(H142:J142)=3,AVERAGE(H142:J142),"")</f>
      </c>
      <c r="L142" s="215"/>
      <c r="M142" s="215"/>
      <c r="N142" s="215"/>
      <c r="O142" s="149" t="str">
        <f>IF(COUNT(L142:N142)=3,AVERAGE(L142:N142),"")</f>
      </c>
      <c r="P142" s="129" t="n">
        <f>6-COUNT(H142:J142,L142:N142)</f>
        <v>6</v>
      </c>
      <c r="Q142" s="129" t="str">
        <f>IF(P142=0,"完整","缺失")</f>
        <v>缺失</v>
      </c>
      <c r="R142" s="215" t="inlineStr">
        <is>
          <t>是</t>
        </is>
      </c>
      <c r="S142" s="85" t="inlineStr">
        <is>
          <t>是</t>
        </is>
      </c>
      <c r="T142" s="215" t="inlineStr">
        <is>
          <t>无</t>
        </is>
      </c>
      <c r="U142" s="243" t="inlineStr">
        <is>
          <t/>
        </is>
      </c>
    </row>
    <row r="143">
      <c r="A143" s="90" t="inlineStr">
        <is>
          <t>P024</t>
        </is>
      </c>
      <c r="B143" s="85" t="n">
        <v>1</v>
      </c>
      <c r="C143" s="85" t="n">
        <v>1</v>
      </c>
      <c r="D143" s="85" t="inlineStr">
        <is>
          <t>游戏手柄</t>
        </is>
      </c>
      <c r="E143" s="85" t="inlineStr">
        <is>
          <t>方法B</t>
        </is>
      </c>
      <c r="F143" s="85" t="inlineStr">
        <is>
          <t>EgoAnchor</t>
        </is>
      </c>
      <c r="G143" s="85" t="n">
        <v>1</v>
      </c>
      <c r="H143" s="215"/>
      <c r="I143" s="215"/>
      <c r="J143" s="215"/>
      <c r="K143" s="149" t="str">
        <f>IF(COUNT(H143:J143)=3,AVERAGE(H143:J143),"")</f>
      </c>
      <c r="L143" s="215"/>
      <c r="M143" s="215"/>
      <c r="N143" s="215"/>
      <c r="O143" s="149" t="str">
        <f>IF(COUNT(L143:N143)=3,AVERAGE(L143:N143),"")</f>
      </c>
      <c r="P143" s="129" t="n">
        <f>6-COUNT(H143:J143,L143:N143)</f>
        <v>6</v>
      </c>
      <c r="Q143" s="129" t="str">
        <f>IF(P143=0,"完整","缺失")</f>
        <v>缺失</v>
      </c>
      <c r="R143" s="215" t="inlineStr">
        <is>
          <t>是</t>
        </is>
      </c>
      <c r="S143" s="85" t="inlineStr">
        <is>
          <t>是</t>
        </is>
      </c>
      <c r="T143" s="215" t="inlineStr">
        <is>
          <t>无</t>
        </is>
      </c>
      <c r="U143" s="243" t="inlineStr">
        <is>
          <t/>
        </is>
      </c>
    </row>
    <row r="144">
      <c r="A144" s="90" t="inlineStr">
        <is>
          <t>P024</t>
        </is>
      </c>
      <c r="B144" s="85" t="n">
        <v>2</v>
      </c>
      <c r="C144" s="85" t="n">
        <v>1</v>
      </c>
      <c r="D144" s="85" t="inlineStr">
        <is>
          <t>游戏手柄</t>
        </is>
      </c>
      <c r="E144" s="85" t="inlineStr">
        <is>
          <t>方法A</t>
        </is>
      </c>
      <c r="F144" s="85" t="inlineStr">
        <is>
          <t>One-Euro</t>
        </is>
      </c>
      <c r="G144" s="85" t="n">
        <v>2</v>
      </c>
      <c r="H144" s="215"/>
      <c r="I144" s="215"/>
      <c r="J144" s="215"/>
      <c r="K144" s="149" t="str">
        <f>IF(COUNT(H144:J144)=3,AVERAGE(H144:J144),"")</f>
      </c>
      <c r="L144" s="215"/>
      <c r="M144" s="215"/>
      <c r="N144" s="215"/>
      <c r="O144" s="149" t="str">
        <f>IF(COUNT(L144:N144)=3,AVERAGE(L144:N144),"")</f>
      </c>
      <c r="P144" s="129" t="n">
        <f>6-COUNT(H144:J144,L144:N144)</f>
        <v>6</v>
      </c>
      <c r="Q144" s="129" t="str">
        <f>IF(P144=0,"完整","缺失")</f>
        <v>缺失</v>
      </c>
      <c r="R144" s="215" t="inlineStr">
        <is>
          <t>是</t>
        </is>
      </c>
      <c r="S144" s="85" t="inlineStr">
        <is>
          <t>是</t>
        </is>
      </c>
      <c r="T144" s="215" t="inlineStr">
        <is>
          <t>无</t>
        </is>
      </c>
      <c r="U144" s="243" t="inlineStr">
        <is>
          <t/>
        </is>
      </c>
    </row>
    <row r="145">
      <c r="A145" s="90" t="inlineStr">
        <is>
          <t>P024</t>
        </is>
      </c>
      <c r="B145" s="85" t="n">
        <v>3</v>
      </c>
      <c r="C145" s="85" t="n">
        <v>2</v>
      </c>
      <c r="D145" s="85" t="inlineStr">
        <is>
          <t>固定订书机</t>
        </is>
      </c>
      <c r="E145" s="85" t="inlineStr">
        <is>
          <t>方法A</t>
        </is>
      </c>
      <c r="F145" s="85" t="inlineStr">
        <is>
          <t>One-Euro</t>
        </is>
      </c>
      <c r="G145" s="85" t="n">
        <v>1</v>
      </c>
      <c r="H145" s="215"/>
      <c r="I145" s="215"/>
      <c r="J145" s="215"/>
      <c r="K145" s="149" t="str">
        <f>IF(COUNT(H145:J145)=3,AVERAGE(H145:J145),"")</f>
      </c>
      <c r="L145" s="215"/>
      <c r="M145" s="215"/>
      <c r="N145" s="215"/>
      <c r="O145" s="149" t="str">
        <f>IF(COUNT(L145:N145)=3,AVERAGE(L145:N145),"")</f>
      </c>
      <c r="P145" s="129" t="n">
        <f>6-COUNT(H145:J145,L145:N145)</f>
        <v>6</v>
      </c>
      <c r="Q145" s="129" t="str">
        <f>IF(P145=0,"完整","缺失")</f>
        <v>缺失</v>
      </c>
      <c r="R145" s="215" t="inlineStr">
        <is>
          <t>是</t>
        </is>
      </c>
      <c r="S145" s="85" t="inlineStr">
        <is>
          <t>是</t>
        </is>
      </c>
      <c r="T145" s="215" t="inlineStr">
        <is>
          <t>无</t>
        </is>
      </c>
      <c r="U145" s="243" t="inlineStr">
        <is>
          <t/>
        </is>
      </c>
    </row>
    <row r="146">
      <c r="A146" s="90" t="inlineStr">
        <is>
          <t>P024</t>
        </is>
      </c>
      <c r="B146" s="85" t="n">
        <v>4</v>
      </c>
      <c r="C146" s="85" t="n">
        <v>2</v>
      </c>
      <c r="D146" s="85" t="inlineStr">
        <is>
          <t>固定订书机</t>
        </is>
      </c>
      <c r="E146" s="85" t="inlineStr">
        <is>
          <t>方法B</t>
        </is>
      </c>
      <c r="F146" s="85" t="inlineStr">
        <is>
          <t>EgoAnchor</t>
        </is>
      </c>
      <c r="G146" s="85" t="n">
        <v>2</v>
      </c>
      <c r="H146" s="215"/>
      <c r="I146" s="215"/>
      <c r="J146" s="215"/>
      <c r="K146" s="149" t="str">
        <f>IF(COUNT(H146:J146)=3,AVERAGE(H146:J146),"")</f>
      </c>
      <c r="L146" s="215"/>
      <c r="M146" s="215"/>
      <c r="N146" s="215"/>
      <c r="O146" s="149" t="str">
        <f>IF(COUNT(L146:N146)=3,AVERAGE(L146:N146),"")</f>
      </c>
      <c r="P146" s="129" t="n">
        <f>6-COUNT(H146:J146,L146:N146)</f>
        <v>6</v>
      </c>
      <c r="Q146" s="129" t="str">
        <f>IF(P146=0,"完整","缺失")</f>
        <v>缺失</v>
      </c>
      <c r="R146" s="215" t="inlineStr">
        <is>
          <t>是</t>
        </is>
      </c>
      <c r="S146" s="85" t="inlineStr">
        <is>
          <t>是</t>
        </is>
      </c>
      <c r="T146" s="215" t="inlineStr">
        <is>
          <t>无</t>
        </is>
      </c>
      <c r="U146" s="243" t="inlineStr">
        <is>
          <t/>
        </is>
      </c>
    </row>
    <row r="147">
      <c r="A147" s="90" t="inlineStr">
        <is>
          <t>P024</t>
        </is>
      </c>
      <c r="B147" s="85" t="n">
        <v>5</v>
      </c>
      <c r="C147" s="85" t="n">
        <v>3</v>
      </c>
      <c r="D147" s="85" t="inlineStr">
        <is>
          <t>鼠标</t>
        </is>
      </c>
      <c r="E147" s="85" t="inlineStr">
        <is>
          <t>方法B</t>
        </is>
      </c>
      <c r="F147" s="85" t="inlineStr">
        <is>
          <t>EgoAnchor</t>
        </is>
      </c>
      <c r="G147" s="85" t="n">
        <v>1</v>
      </c>
      <c r="H147" s="215"/>
      <c r="I147" s="215"/>
      <c r="J147" s="215"/>
      <c r="K147" s="149" t="str">
        <f>IF(COUNT(H147:J147)=3,AVERAGE(H147:J147),"")</f>
      </c>
      <c r="L147" s="215"/>
      <c r="M147" s="215"/>
      <c r="N147" s="215"/>
      <c r="O147" s="149" t="str">
        <f>IF(COUNT(L147:N147)=3,AVERAGE(L147:N147),"")</f>
      </c>
      <c r="P147" s="129" t="n">
        <f>6-COUNT(H147:J147,L147:N147)</f>
        <v>6</v>
      </c>
      <c r="Q147" s="129" t="str">
        <f>IF(P147=0,"完整","缺失")</f>
        <v>缺失</v>
      </c>
      <c r="R147" s="215" t="inlineStr">
        <is>
          <t>是</t>
        </is>
      </c>
      <c r="S147" s="85" t="inlineStr">
        <is>
          <t>是</t>
        </is>
      </c>
      <c r="T147" s="215" t="inlineStr">
        <is>
          <t>无</t>
        </is>
      </c>
      <c r="U147" s="243" t="inlineStr">
        <is>
          <t/>
        </is>
      </c>
    </row>
    <row r="148">
      <c r="A148" s="91" t="inlineStr">
        <is>
          <t>P024</t>
        </is>
      </c>
      <c r="B148" s="109" t="n">
        <v>6</v>
      </c>
      <c r="C148" s="109" t="n">
        <v>3</v>
      </c>
      <c r="D148" s="109" t="inlineStr">
        <is>
          <t>鼠标</t>
        </is>
      </c>
      <c r="E148" s="109" t="inlineStr">
        <is>
          <t>方法A</t>
        </is>
      </c>
      <c r="F148" s="109" t="inlineStr">
        <is>
          <t>One-Euro</t>
        </is>
      </c>
      <c r="G148" s="109" t="n">
        <v>2</v>
      </c>
      <c r="H148" s="218"/>
      <c r="I148" s="218"/>
      <c r="J148" s="218"/>
      <c r="K148" s="151" t="str">
        <f>IF(COUNT(H148:J148)=3,AVERAGE(H148:J148),"")</f>
      </c>
      <c r="L148" s="218"/>
      <c r="M148" s="218"/>
      <c r="N148" s="218"/>
      <c r="O148" s="151" t="str">
        <f>IF(COUNT(L148:N148)=3,AVERAGE(L148:N148),"")</f>
      </c>
      <c r="P148" s="131" t="n">
        <f>6-COUNT(H148:J148,L148:N148)</f>
        <v>6</v>
      </c>
      <c r="Q148" s="131" t="str">
        <f>IF(P148=0,"完整","缺失")</f>
        <v>缺失</v>
      </c>
      <c r="R148" s="218" t="inlineStr">
        <is>
          <t>是</t>
        </is>
      </c>
      <c r="S148" s="109" t="inlineStr">
        <is>
          <t>是</t>
        </is>
      </c>
      <c r="T148" s="218" t="inlineStr">
        <is>
          <t>无</t>
        </is>
      </c>
      <c r="U148" s="244" t="inlineStr">
        <is>
          <t/>
        </is>
      </c>
    </row>
  </sheetData>
  <mergeCells>
    <mergeCell ref="A1:U1"/>
    <mergeCell ref="A2:U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FormatPr defaultRowHeight="15"/>
  <cols>
    <col min="1" max="1" width="16" hidden="0" customWidth="1"/>
    <col min="2" max="2" width="14" hidden="0" customWidth="1"/>
    <col min="3" max="3" width="14" hidden="0" customWidth="1"/>
    <col min="4" max="4" width="17" hidden="0" customWidth="1"/>
    <col min="5" max="5" width="18" hidden="0" customWidth="1"/>
    <col min="6" max="6" width="19" hidden="0" customWidth="1"/>
    <col min="7" max="7" width="16" hidden="0" customWidth="1"/>
    <col min="8" max="8" width="17" hidden="0" customWidth="1"/>
    <col min="9" max="9" width="21" hidden="0" customWidth="1"/>
    <col min="10" max="10" width="18" hidden="0" customWidth="1"/>
    <col min="11" max="11" width="21" hidden="0" customWidth="1"/>
    <col min="12" max="12" width="23" hidden="0" customWidth="1"/>
    <col min="13" max="13" width="27" hidden="0" customWidth="1"/>
    <col min="14" max="14" width="26" hidden="0" customWidth="1"/>
    <col min="15" max="15" width="29" hidden="0" customWidth="1"/>
    <col min="16" max="16" width="18" hidden="0" customWidth="1"/>
    <col min="17" max="17" width="17" hidden="0" customWidth="1"/>
    <col min="18" max="18" width="19" hidden="0" customWidth="1"/>
    <col min="19" max="19" width="21" hidden="0" customWidth="1"/>
    <col min="20" max="20" width="34" hidden="0" customWidth="1"/>
    <col min="21" max="21" width="19" hidden="0" customWidth="1"/>
    <col min="22" max="22" width="19" hidden="0" customWidth="1"/>
    <col min="23" max="23" width="14" hidden="0" customWidth="1"/>
  </cols>
  <sheetData>
    <row r="1">
      <c r="A1" s="4" t="inlineStr">
        <is>
          <t>方法级总结问卷：S-TIAS、CRIQ、CIQ与稳定—响应平衡（48行）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68" t="inlineStr">
        <is>
          <t>全部6个区块完成后，按照 Participants 中的“方法级问卷顺序”分别评价方法A和B。S-TIAS均值是主要结局；CRIQ三项均值是探索性补充分，仅在内部一致性可接受时汇报。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</row>
    <row r="4">
      <c r="A4" s="26" t="inlineStr">
        <is>
          <t>Participant_ID</t>
        </is>
      </c>
      <c r="B4" s="27" t="inlineStr">
        <is>
          <t>Rating_Order</t>
        </is>
      </c>
      <c r="C4" s="27" t="inlineStr">
        <is>
          <t>Shown_Label</t>
        </is>
      </c>
      <c r="D4" s="27" t="inlineStr">
        <is>
          <t>Condition</t>
        </is>
      </c>
      <c r="E4" s="27" t="inlineStr">
        <is>
          <t>ST1_Confidence</t>
        </is>
      </c>
      <c r="F4" s="27" t="inlineStr">
        <is>
          <t>ST2_Reliability</t>
        </is>
      </c>
      <c r="G4" s="27" t="inlineStr">
        <is>
          <t>ST3_Trust</t>
        </is>
      </c>
      <c r="H4" s="27" t="inlineStr">
        <is>
          <t>STIAS_Mean</t>
        </is>
      </c>
      <c r="I4" s="27" t="inlineStr">
        <is>
          <t>CR1_Plausibility</t>
        </is>
      </c>
      <c r="J4" s="27" t="inlineStr">
        <is>
          <t>CR2_Synchrony</t>
        </is>
      </c>
      <c r="K4" s="27" t="inlineStr">
        <is>
          <t>CR3_Responsiveness</t>
        </is>
      </c>
      <c r="L4" s="27" t="inlineStr">
        <is>
          <t>CRIQ_Exploratory_Mean</t>
        </is>
      </c>
      <c r="M4" s="27" t="inlineStr">
        <is>
          <t>CI1_RealWorld_Consistency</t>
        </is>
      </c>
      <c r="N4" s="27" t="inlineStr">
        <is>
          <t>CI2_Behaved_As_Expected</t>
        </is>
      </c>
      <c r="O4" s="27" t="inlineStr">
        <is>
          <t>SB1_Stability_Response_Balance</t>
        </is>
      </c>
      <c r="P4" s="27" t="inlineStr">
        <is>
          <t>Missing_Item_Count</t>
        </is>
      </c>
      <c r="Q4" s="27" t="inlineStr">
        <is>
          <t>Rating_Complete</t>
        </is>
      </c>
      <c r="R4" s="27" t="inlineStr">
        <is>
          <t>Participant_Included</t>
        </is>
      </c>
      <c r="S4" s="27" t="inlineStr">
        <is>
          <t>Technical_Issue</t>
        </is>
      </c>
      <c r="T4" s="27" t="inlineStr">
        <is>
          <t>Notes</t>
        </is>
      </c>
      <c r="U4" s="27" t="inlineStr">
        <is>
          <t>Questionnaire_Start</t>
        </is>
      </c>
      <c r="V4" s="27" t="inlineStr">
        <is>
          <t>Questionnaire_End</t>
        </is>
      </c>
      <c r="W4" s="101" t="inlineStr">
        <is>
          <t>Duration_s</t>
        </is>
      </c>
    </row>
    <row r="5">
      <c r="A5" s="90" t="inlineStr">
        <is>
          <t>P001</t>
        </is>
      </c>
      <c r="B5" s="85" t="n">
        <v>1</v>
      </c>
      <c r="C5" s="85" t="inlineStr">
        <is>
          <t>方法A</t>
        </is>
      </c>
      <c r="D5" s="85" t="inlineStr">
        <is>
          <t>EgoAnchor</t>
        </is>
      </c>
      <c r="E5" s="215"/>
      <c r="F5" s="215"/>
      <c r="G5" s="215"/>
      <c r="H5" s="149" t="str">
        <f>IF(COUNT(E5:G5)=3,AVERAGE(E5:G5),"")</f>
      </c>
      <c r="I5" s="215"/>
      <c r="J5" s="215"/>
      <c r="K5" s="215"/>
      <c r="L5" s="149" t="str">
        <f>IF(COUNT(I5:K5)=3,AVERAGE(I5:K5),"")</f>
      </c>
      <c r="M5" s="215"/>
      <c r="N5" s="215"/>
      <c r="O5" s="215"/>
      <c r="P5" s="129" t="n">
        <f>9-COUNT(E5:G5,I5:O5)</f>
        <v>9</v>
      </c>
      <c r="Q5" s="129" t="str">
        <f>IF(P5=0,"完整","缺失")</f>
        <v>缺失</v>
      </c>
      <c r="R5" s="85" t="inlineStr">
        <is>
          <t>是</t>
        </is>
      </c>
      <c r="S5" s="215" t="inlineStr">
        <is>
          <t>无</t>
        </is>
      </c>
      <c r="T5" s="215" t="inlineStr">
        <is>
          <t/>
        </is>
      </c>
      <c r="U5" s="267" t="inlineStr">
        <is>
          <t/>
        </is>
      </c>
      <c r="V5" s="267" t="inlineStr">
        <is>
          <t/>
        </is>
      </c>
      <c r="W5" s="319" t="str">
        <f>IF(AND(U5&lt;&gt;"",V5&lt;&gt;""),(V5-U5)*86400,"")</f>
      </c>
    </row>
    <row r="6">
      <c r="A6" s="90" t="inlineStr">
        <is>
          <t>P001</t>
        </is>
      </c>
      <c r="B6" s="85" t="n">
        <v>2</v>
      </c>
      <c r="C6" s="85" t="inlineStr">
        <is>
          <t>方法B</t>
        </is>
      </c>
      <c r="D6" s="85" t="inlineStr">
        <is>
          <t>One-Euro</t>
        </is>
      </c>
      <c r="E6" s="215"/>
      <c r="F6" s="215"/>
      <c r="G6" s="215"/>
      <c r="H6" s="149" t="str">
        <f>IF(COUNT(E6:G6)=3,AVERAGE(E6:G6),"")</f>
      </c>
      <c r="I6" s="215"/>
      <c r="J6" s="215"/>
      <c r="K6" s="215"/>
      <c r="L6" s="149" t="str">
        <f>IF(COUNT(I6:K6)=3,AVERAGE(I6:K6),"")</f>
      </c>
      <c r="M6" s="215"/>
      <c r="N6" s="215"/>
      <c r="O6" s="215"/>
      <c r="P6" s="129" t="n">
        <f>9-COUNT(E6:G6,I6:O6)</f>
        <v>9</v>
      </c>
      <c r="Q6" s="129" t="str">
        <f>IF(P6=0,"完整","缺失")</f>
        <v>缺失</v>
      </c>
      <c r="R6" s="85" t="inlineStr">
        <is>
          <t>是</t>
        </is>
      </c>
      <c r="S6" s="215" t="inlineStr">
        <is>
          <t>无</t>
        </is>
      </c>
      <c r="T6" s="215" t="inlineStr">
        <is>
          <t/>
        </is>
      </c>
      <c r="U6" s="267" t="inlineStr">
        <is>
          <t/>
        </is>
      </c>
      <c r="V6" s="267" t="inlineStr">
        <is>
          <t/>
        </is>
      </c>
      <c r="W6" s="319" t="str">
        <f>IF(AND(U6&lt;&gt;"",V6&lt;&gt;""),(V6-U6)*86400,"")</f>
      </c>
    </row>
    <row r="7">
      <c r="A7" s="90" t="inlineStr">
        <is>
          <t>P002</t>
        </is>
      </c>
      <c r="B7" s="85" t="n">
        <v>1</v>
      </c>
      <c r="C7" s="85" t="inlineStr">
        <is>
          <t>方法A</t>
        </is>
      </c>
      <c r="D7" s="85" t="inlineStr">
        <is>
          <t>EgoAnchor</t>
        </is>
      </c>
      <c r="E7" s="215"/>
      <c r="F7" s="215"/>
      <c r="G7" s="215"/>
      <c r="H7" s="149" t="str">
        <f>IF(COUNT(E7:G7)=3,AVERAGE(E7:G7),"")</f>
      </c>
      <c r="I7" s="215"/>
      <c r="J7" s="215"/>
      <c r="K7" s="215"/>
      <c r="L7" s="149" t="str">
        <f>IF(COUNT(I7:K7)=3,AVERAGE(I7:K7),"")</f>
      </c>
      <c r="M7" s="215"/>
      <c r="N7" s="215"/>
      <c r="O7" s="215"/>
      <c r="P7" s="129" t="n">
        <f>9-COUNT(E7:G7,I7:O7)</f>
        <v>9</v>
      </c>
      <c r="Q7" s="129" t="str">
        <f>IF(P7=0,"完整","缺失")</f>
        <v>缺失</v>
      </c>
      <c r="R7" s="85" t="inlineStr">
        <is>
          <t>是</t>
        </is>
      </c>
      <c r="S7" s="215" t="inlineStr">
        <is>
          <t>无</t>
        </is>
      </c>
      <c r="T7" s="215" t="inlineStr">
        <is>
          <t/>
        </is>
      </c>
      <c r="U7" s="267" t="inlineStr">
        <is>
          <t/>
        </is>
      </c>
      <c r="V7" s="267" t="inlineStr">
        <is>
          <t/>
        </is>
      </c>
      <c r="W7" s="319" t="str">
        <f>IF(AND(U7&lt;&gt;"",V7&lt;&gt;""),(V7-U7)*86400,"")</f>
      </c>
    </row>
    <row r="8">
      <c r="A8" s="90" t="inlineStr">
        <is>
          <t>P002</t>
        </is>
      </c>
      <c r="B8" s="85" t="n">
        <v>2</v>
      </c>
      <c r="C8" s="85" t="inlineStr">
        <is>
          <t>方法B</t>
        </is>
      </c>
      <c r="D8" s="85" t="inlineStr">
        <is>
          <t>One-Euro</t>
        </is>
      </c>
      <c r="E8" s="215"/>
      <c r="F8" s="215"/>
      <c r="G8" s="215"/>
      <c r="H8" s="149" t="str">
        <f>IF(COUNT(E8:G8)=3,AVERAGE(E8:G8),"")</f>
      </c>
      <c r="I8" s="215"/>
      <c r="J8" s="215"/>
      <c r="K8" s="215"/>
      <c r="L8" s="149" t="str">
        <f>IF(COUNT(I8:K8)=3,AVERAGE(I8:K8),"")</f>
      </c>
      <c r="M8" s="215"/>
      <c r="N8" s="215"/>
      <c r="O8" s="215"/>
      <c r="P8" s="129" t="n">
        <f>9-COUNT(E8:G8,I8:O8)</f>
        <v>9</v>
      </c>
      <c r="Q8" s="129" t="str">
        <f>IF(P8=0,"完整","缺失")</f>
        <v>缺失</v>
      </c>
      <c r="R8" s="85" t="inlineStr">
        <is>
          <t>是</t>
        </is>
      </c>
      <c r="S8" s="215" t="inlineStr">
        <is>
          <t>无</t>
        </is>
      </c>
      <c r="T8" s="215" t="inlineStr">
        <is>
          <t/>
        </is>
      </c>
      <c r="U8" s="267" t="inlineStr">
        <is>
          <t/>
        </is>
      </c>
      <c r="V8" s="267" t="inlineStr">
        <is>
          <t/>
        </is>
      </c>
      <c r="W8" s="319" t="str">
        <f>IF(AND(U8&lt;&gt;"",V8&lt;&gt;""),(V8-U8)*86400,"")</f>
      </c>
    </row>
    <row r="9">
      <c r="A9" s="90" t="inlineStr">
        <is>
          <t>P003</t>
        </is>
      </c>
      <c r="B9" s="85" t="n">
        <v>1</v>
      </c>
      <c r="C9" s="85" t="inlineStr">
        <is>
          <t>方法A</t>
        </is>
      </c>
      <c r="D9" s="85" t="inlineStr">
        <is>
          <t>EgoAnchor</t>
        </is>
      </c>
      <c r="E9" s="215"/>
      <c r="F9" s="215"/>
      <c r="G9" s="215"/>
      <c r="H9" s="149" t="str">
        <f>IF(COUNT(E9:G9)=3,AVERAGE(E9:G9),"")</f>
      </c>
      <c r="I9" s="215"/>
      <c r="J9" s="215"/>
      <c r="K9" s="215"/>
      <c r="L9" s="149" t="str">
        <f>IF(COUNT(I9:K9)=3,AVERAGE(I9:K9),"")</f>
      </c>
      <c r="M9" s="215"/>
      <c r="N9" s="215"/>
      <c r="O9" s="215"/>
      <c r="P9" s="129" t="n">
        <f>9-COUNT(E9:G9,I9:O9)</f>
        <v>9</v>
      </c>
      <c r="Q9" s="129" t="str">
        <f>IF(P9=0,"完整","缺失")</f>
        <v>缺失</v>
      </c>
      <c r="R9" s="85" t="inlineStr">
        <is>
          <t>是</t>
        </is>
      </c>
      <c r="S9" s="215" t="inlineStr">
        <is>
          <t>无</t>
        </is>
      </c>
      <c r="T9" s="215" t="inlineStr">
        <is>
          <t/>
        </is>
      </c>
      <c r="U9" s="267" t="inlineStr">
        <is>
          <t/>
        </is>
      </c>
      <c r="V9" s="267" t="inlineStr">
        <is>
          <t/>
        </is>
      </c>
      <c r="W9" s="319" t="str">
        <f>IF(AND(U9&lt;&gt;"",V9&lt;&gt;""),(V9-U9)*86400,"")</f>
      </c>
    </row>
    <row r="10">
      <c r="A10" s="90" t="inlineStr">
        <is>
          <t>P003</t>
        </is>
      </c>
      <c r="B10" s="85" t="n">
        <v>2</v>
      </c>
      <c r="C10" s="85" t="inlineStr">
        <is>
          <t>方法B</t>
        </is>
      </c>
      <c r="D10" s="85" t="inlineStr">
        <is>
          <t>One-Euro</t>
        </is>
      </c>
      <c r="E10" s="215"/>
      <c r="F10" s="215"/>
      <c r="G10" s="215"/>
      <c r="H10" s="149" t="str">
        <f>IF(COUNT(E10:G10)=3,AVERAGE(E10:G10),"")</f>
      </c>
      <c r="I10" s="215"/>
      <c r="J10" s="215"/>
      <c r="K10" s="215"/>
      <c r="L10" s="149" t="str">
        <f>IF(COUNT(I10:K10)=3,AVERAGE(I10:K10),"")</f>
      </c>
      <c r="M10" s="215"/>
      <c r="N10" s="215"/>
      <c r="O10" s="215"/>
      <c r="P10" s="129" t="n">
        <f>9-COUNT(E10:G10,I10:O10)</f>
        <v>9</v>
      </c>
      <c r="Q10" s="129" t="str">
        <f>IF(P10=0,"完整","缺失")</f>
        <v>缺失</v>
      </c>
      <c r="R10" s="85" t="inlineStr">
        <is>
          <t>是</t>
        </is>
      </c>
      <c r="S10" s="215" t="inlineStr">
        <is>
          <t>无</t>
        </is>
      </c>
      <c r="T10" s="215" t="inlineStr">
        <is>
          <t/>
        </is>
      </c>
      <c r="U10" s="267" t="inlineStr">
        <is>
          <t/>
        </is>
      </c>
      <c r="V10" s="267" t="inlineStr">
        <is>
          <t/>
        </is>
      </c>
      <c r="W10" s="319" t="str">
        <f>IF(AND(U10&lt;&gt;"",V10&lt;&gt;""),(V10-U10)*86400,"")</f>
      </c>
    </row>
    <row r="11">
      <c r="A11" s="90" t="inlineStr">
        <is>
          <t>P004</t>
        </is>
      </c>
      <c r="B11" s="85" t="n">
        <v>1</v>
      </c>
      <c r="C11" s="85" t="inlineStr">
        <is>
          <t>方法A</t>
        </is>
      </c>
      <c r="D11" s="85" t="inlineStr">
        <is>
          <t>EgoAnchor</t>
        </is>
      </c>
      <c r="E11" s="215"/>
      <c r="F11" s="215"/>
      <c r="G11" s="215"/>
      <c r="H11" s="149" t="str">
        <f>IF(COUNT(E11:G11)=3,AVERAGE(E11:G11),"")</f>
      </c>
      <c r="I11" s="215"/>
      <c r="J11" s="215"/>
      <c r="K11" s="215"/>
      <c r="L11" s="149" t="str">
        <f>IF(COUNT(I11:K11)=3,AVERAGE(I11:K11),"")</f>
      </c>
      <c r="M11" s="215"/>
      <c r="N11" s="215"/>
      <c r="O11" s="215"/>
      <c r="P11" s="129" t="n">
        <f>9-COUNT(E11:G11,I11:O11)</f>
        <v>9</v>
      </c>
      <c r="Q11" s="129" t="str">
        <f>IF(P11=0,"完整","缺失")</f>
        <v>缺失</v>
      </c>
      <c r="R11" s="85" t="inlineStr">
        <is>
          <t>是</t>
        </is>
      </c>
      <c r="S11" s="215" t="inlineStr">
        <is>
          <t>无</t>
        </is>
      </c>
      <c r="T11" s="215" t="inlineStr">
        <is>
          <t/>
        </is>
      </c>
      <c r="U11" s="267" t="inlineStr">
        <is>
          <t/>
        </is>
      </c>
      <c r="V11" s="267" t="inlineStr">
        <is>
          <t/>
        </is>
      </c>
      <c r="W11" s="319" t="str">
        <f>IF(AND(U11&lt;&gt;"",V11&lt;&gt;""),(V11-U11)*86400,"")</f>
      </c>
    </row>
    <row r="12">
      <c r="A12" s="90" t="inlineStr">
        <is>
          <t>P004</t>
        </is>
      </c>
      <c r="B12" s="85" t="n">
        <v>2</v>
      </c>
      <c r="C12" s="85" t="inlineStr">
        <is>
          <t>方法B</t>
        </is>
      </c>
      <c r="D12" s="85" t="inlineStr">
        <is>
          <t>One-Euro</t>
        </is>
      </c>
      <c r="E12" s="215"/>
      <c r="F12" s="215"/>
      <c r="G12" s="215"/>
      <c r="H12" s="149" t="str">
        <f>IF(COUNT(E12:G12)=3,AVERAGE(E12:G12),"")</f>
      </c>
      <c r="I12" s="215"/>
      <c r="J12" s="215"/>
      <c r="K12" s="215"/>
      <c r="L12" s="149" t="str">
        <f>IF(COUNT(I12:K12)=3,AVERAGE(I12:K12),"")</f>
      </c>
      <c r="M12" s="215"/>
      <c r="N12" s="215"/>
      <c r="O12" s="215"/>
      <c r="P12" s="129" t="n">
        <f>9-COUNT(E12:G12,I12:O12)</f>
        <v>9</v>
      </c>
      <c r="Q12" s="129" t="str">
        <f>IF(P12=0,"完整","缺失")</f>
        <v>缺失</v>
      </c>
      <c r="R12" s="85" t="inlineStr">
        <is>
          <t>是</t>
        </is>
      </c>
      <c r="S12" s="215" t="inlineStr">
        <is>
          <t>无</t>
        </is>
      </c>
      <c r="T12" s="215" t="inlineStr">
        <is>
          <t/>
        </is>
      </c>
      <c r="U12" s="267" t="inlineStr">
        <is>
          <t/>
        </is>
      </c>
      <c r="V12" s="267" t="inlineStr">
        <is>
          <t/>
        </is>
      </c>
      <c r="W12" s="319" t="str">
        <f>IF(AND(U12&lt;&gt;"",V12&lt;&gt;""),(V12-U12)*86400,"")</f>
      </c>
    </row>
    <row r="13">
      <c r="A13" s="90" t="inlineStr">
        <is>
          <t>P005</t>
        </is>
      </c>
      <c r="B13" s="85" t="n">
        <v>1</v>
      </c>
      <c r="C13" s="85" t="inlineStr">
        <is>
          <t>方法A</t>
        </is>
      </c>
      <c r="D13" s="85" t="inlineStr">
        <is>
          <t>EgoAnchor</t>
        </is>
      </c>
      <c r="E13" s="215"/>
      <c r="F13" s="215"/>
      <c r="G13" s="215"/>
      <c r="H13" s="149" t="str">
        <f>IF(COUNT(E13:G13)=3,AVERAGE(E13:G13),"")</f>
      </c>
      <c r="I13" s="215"/>
      <c r="J13" s="215"/>
      <c r="K13" s="215"/>
      <c r="L13" s="149" t="str">
        <f>IF(COUNT(I13:K13)=3,AVERAGE(I13:K13),"")</f>
      </c>
      <c r="M13" s="215"/>
      <c r="N13" s="215"/>
      <c r="O13" s="215"/>
      <c r="P13" s="129" t="n">
        <f>9-COUNT(E13:G13,I13:O13)</f>
        <v>9</v>
      </c>
      <c r="Q13" s="129" t="str">
        <f>IF(P13=0,"完整","缺失")</f>
        <v>缺失</v>
      </c>
      <c r="R13" s="85" t="inlineStr">
        <is>
          <t>是</t>
        </is>
      </c>
      <c r="S13" s="215" t="inlineStr">
        <is>
          <t>无</t>
        </is>
      </c>
      <c r="T13" s="215" t="inlineStr">
        <is>
          <t/>
        </is>
      </c>
      <c r="U13" s="267" t="inlineStr">
        <is>
          <t/>
        </is>
      </c>
      <c r="V13" s="267" t="inlineStr">
        <is>
          <t/>
        </is>
      </c>
      <c r="W13" s="319" t="str">
        <f>IF(AND(U13&lt;&gt;"",V13&lt;&gt;""),(V13-U13)*86400,"")</f>
      </c>
    </row>
    <row r="14">
      <c r="A14" s="90" t="inlineStr">
        <is>
          <t>P005</t>
        </is>
      </c>
      <c r="B14" s="85" t="n">
        <v>2</v>
      </c>
      <c r="C14" s="85" t="inlineStr">
        <is>
          <t>方法B</t>
        </is>
      </c>
      <c r="D14" s="85" t="inlineStr">
        <is>
          <t>One-Euro</t>
        </is>
      </c>
      <c r="E14" s="215"/>
      <c r="F14" s="215"/>
      <c r="G14" s="215"/>
      <c r="H14" s="149" t="str">
        <f>IF(COUNT(E14:G14)=3,AVERAGE(E14:G14),"")</f>
      </c>
      <c r="I14" s="215"/>
      <c r="J14" s="215"/>
      <c r="K14" s="215"/>
      <c r="L14" s="149" t="str">
        <f>IF(COUNT(I14:K14)=3,AVERAGE(I14:K14),"")</f>
      </c>
      <c r="M14" s="215"/>
      <c r="N14" s="215"/>
      <c r="O14" s="215"/>
      <c r="P14" s="129" t="n">
        <f>9-COUNT(E14:G14,I14:O14)</f>
        <v>9</v>
      </c>
      <c r="Q14" s="129" t="str">
        <f>IF(P14=0,"完整","缺失")</f>
        <v>缺失</v>
      </c>
      <c r="R14" s="85" t="inlineStr">
        <is>
          <t>是</t>
        </is>
      </c>
      <c r="S14" s="215" t="inlineStr">
        <is>
          <t>无</t>
        </is>
      </c>
      <c r="T14" s="215" t="inlineStr">
        <is>
          <t/>
        </is>
      </c>
      <c r="U14" s="267" t="inlineStr">
        <is>
          <t/>
        </is>
      </c>
      <c r="V14" s="267" t="inlineStr">
        <is>
          <t/>
        </is>
      </c>
      <c r="W14" s="319" t="str">
        <f>IF(AND(U14&lt;&gt;"",V14&lt;&gt;""),(V14-U14)*86400,"")</f>
      </c>
    </row>
    <row r="15">
      <c r="A15" s="90" t="inlineStr">
        <is>
          <t>P006</t>
        </is>
      </c>
      <c r="B15" s="85" t="n">
        <v>1</v>
      </c>
      <c r="C15" s="85" t="inlineStr">
        <is>
          <t>方法A</t>
        </is>
      </c>
      <c r="D15" s="85" t="inlineStr">
        <is>
          <t>EgoAnchor</t>
        </is>
      </c>
      <c r="E15" s="215"/>
      <c r="F15" s="215"/>
      <c r="G15" s="215"/>
      <c r="H15" s="149" t="str">
        <f>IF(COUNT(E15:G15)=3,AVERAGE(E15:G15),"")</f>
      </c>
      <c r="I15" s="215"/>
      <c r="J15" s="215"/>
      <c r="K15" s="215"/>
      <c r="L15" s="149" t="str">
        <f>IF(COUNT(I15:K15)=3,AVERAGE(I15:K15),"")</f>
      </c>
      <c r="M15" s="215"/>
      <c r="N15" s="215"/>
      <c r="O15" s="215"/>
      <c r="P15" s="129" t="n">
        <f>9-COUNT(E15:G15,I15:O15)</f>
        <v>9</v>
      </c>
      <c r="Q15" s="129" t="str">
        <f>IF(P15=0,"完整","缺失")</f>
        <v>缺失</v>
      </c>
      <c r="R15" s="85" t="inlineStr">
        <is>
          <t>是</t>
        </is>
      </c>
      <c r="S15" s="215" t="inlineStr">
        <is>
          <t>无</t>
        </is>
      </c>
      <c r="T15" s="215" t="inlineStr">
        <is>
          <t/>
        </is>
      </c>
      <c r="U15" s="267" t="inlineStr">
        <is>
          <t/>
        </is>
      </c>
      <c r="V15" s="267" t="inlineStr">
        <is>
          <t/>
        </is>
      </c>
      <c r="W15" s="319" t="str">
        <f>IF(AND(U15&lt;&gt;"",V15&lt;&gt;""),(V15-U15)*86400,"")</f>
      </c>
    </row>
    <row r="16">
      <c r="A16" s="90" t="inlineStr">
        <is>
          <t>P006</t>
        </is>
      </c>
      <c r="B16" s="85" t="n">
        <v>2</v>
      </c>
      <c r="C16" s="85" t="inlineStr">
        <is>
          <t>方法B</t>
        </is>
      </c>
      <c r="D16" s="85" t="inlineStr">
        <is>
          <t>One-Euro</t>
        </is>
      </c>
      <c r="E16" s="215"/>
      <c r="F16" s="215"/>
      <c r="G16" s="215"/>
      <c r="H16" s="149" t="str">
        <f>IF(COUNT(E16:G16)=3,AVERAGE(E16:G16),"")</f>
      </c>
      <c r="I16" s="215"/>
      <c r="J16" s="215"/>
      <c r="K16" s="215"/>
      <c r="L16" s="149" t="str">
        <f>IF(COUNT(I16:K16)=3,AVERAGE(I16:K16),"")</f>
      </c>
      <c r="M16" s="215"/>
      <c r="N16" s="215"/>
      <c r="O16" s="215"/>
      <c r="P16" s="129" t="n">
        <f>9-COUNT(E16:G16,I16:O16)</f>
        <v>9</v>
      </c>
      <c r="Q16" s="129" t="str">
        <f>IF(P16=0,"完整","缺失")</f>
        <v>缺失</v>
      </c>
      <c r="R16" s="85" t="inlineStr">
        <is>
          <t>是</t>
        </is>
      </c>
      <c r="S16" s="215" t="inlineStr">
        <is>
          <t>无</t>
        </is>
      </c>
      <c r="T16" s="215" t="inlineStr">
        <is>
          <t/>
        </is>
      </c>
      <c r="U16" s="267" t="inlineStr">
        <is>
          <t/>
        </is>
      </c>
      <c r="V16" s="267" t="inlineStr">
        <is>
          <t/>
        </is>
      </c>
      <c r="W16" s="319" t="str">
        <f>IF(AND(U16&lt;&gt;"",V16&lt;&gt;""),(V16-U16)*86400,"")</f>
      </c>
    </row>
    <row r="17">
      <c r="A17" s="90" t="inlineStr">
        <is>
          <t>P007</t>
        </is>
      </c>
      <c r="B17" s="85" t="n">
        <v>1</v>
      </c>
      <c r="C17" s="85" t="inlineStr">
        <is>
          <t>方法B</t>
        </is>
      </c>
      <c r="D17" s="85" t="inlineStr">
        <is>
          <t>One-Euro</t>
        </is>
      </c>
      <c r="E17" s="215"/>
      <c r="F17" s="215"/>
      <c r="G17" s="215"/>
      <c r="H17" s="149" t="str">
        <f>IF(COUNT(E17:G17)=3,AVERAGE(E17:G17),"")</f>
      </c>
      <c r="I17" s="215"/>
      <c r="J17" s="215"/>
      <c r="K17" s="215"/>
      <c r="L17" s="149" t="str">
        <f>IF(COUNT(I17:K17)=3,AVERAGE(I17:K17),"")</f>
      </c>
      <c r="M17" s="215"/>
      <c r="N17" s="215"/>
      <c r="O17" s="215"/>
      <c r="P17" s="129" t="n">
        <f>9-COUNT(E17:G17,I17:O17)</f>
        <v>9</v>
      </c>
      <c r="Q17" s="129" t="str">
        <f>IF(P17=0,"完整","缺失")</f>
        <v>缺失</v>
      </c>
      <c r="R17" s="85" t="inlineStr">
        <is>
          <t>是</t>
        </is>
      </c>
      <c r="S17" s="215" t="inlineStr">
        <is>
          <t>无</t>
        </is>
      </c>
      <c r="T17" s="215" t="inlineStr">
        <is>
          <t/>
        </is>
      </c>
      <c r="U17" s="267" t="inlineStr">
        <is>
          <t/>
        </is>
      </c>
      <c r="V17" s="267" t="inlineStr">
        <is>
          <t/>
        </is>
      </c>
      <c r="W17" s="319" t="str">
        <f>IF(AND(U17&lt;&gt;"",V17&lt;&gt;""),(V17-U17)*86400,"")</f>
      </c>
    </row>
    <row r="18">
      <c r="A18" s="90" t="inlineStr">
        <is>
          <t>P007</t>
        </is>
      </c>
      <c r="B18" s="85" t="n">
        <v>2</v>
      </c>
      <c r="C18" s="85" t="inlineStr">
        <is>
          <t>方法A</t>
        </is>
      </c>
      <c r="D18" s="85" t="inlineStr">
        <is>
          <t>EgoAnchor</t>
        </is>
      </c>
      <c r="E18" s="215"/>
      <c r="F18" s="215"/>
      <c r="G18" s="215"/>
      <c r="H18" s="149" t="str">
        <f>IF(COUNT(E18:G18)=3,AVERAGE(E18:G18),"")</f>
      </c>
      <c r="I18" s="215"/>
      <c r="J18" s="215"/>
      <c r="K18" s="215"/>
      <c r="L18" s="149" t="str">
        <f>IF(COUNT(I18:K18)=3,AVERAGE(I18:K18),"")</f>
      </c>
      <c r="M18" s="215"/>
      <c r="N18" s="215"/>
      <c r="O18" s="215"/>
      <c r="P18" s="129" t="n">
        <f>9-COUNT(E18:G18,I18:O18)</f>
        <v>9</v>
      </c>
      <c r="Q18" s="129" t="str">
        <f>IF(P18=0,"完整","缺失")</f>
        <v>缺失</v>
      </c>
      <c r="R18" s="85" t="inlineStr">
        <is>
          <t>是</t>
        </is>
      </c>
      <c r="S18" s="215" t="inlineStr">
        <is>
          <t>无</t>
        </is>
      </c>
      <c r="T18" s="215" t="inlineStr">
        <is>
          <t/>
        </is>
      </c>
      <c r="U18" s="267" t="inlineStr">
        <is>
          <t/>
        </is>
      </c>
      <c r="V18" s="267" t="inlineStr">
        <is>
          <t/>
        </is>
      </c>
      <c r="W18" s="319" t="str">
        <f>IF(AND(U18&lt;&gt;"",V18&lt;&gt;""),(V18-U18)*86400,"")</f>
      </c>
    </row>
    <row r="19">
      <c r="A19" s="90" t="inlineStr">
        <is>
          <t>P008</t>
        </is>
      </c>
      <c r="B19" s="85" t="n">
        <v>1</v>
      </c>
      <c r="C19" s="85" t="inlineStr">
        <is>
          <t>方法B</t>
        </is>
      </c>
      <c r="D19" s="85" t="inlineStr">
        <is>
          <t>One-Euro</t>
        </is>
      </c>
      <c r="E19" s="215"/>
      <c r="F19" s="215"/>
      <c r="G19" s="215"/>
      <c r="H19" s="149" t="str">
        <f>IF(COUNT(E19:G19)=3,AVERAGE(E19:G19),"")</f>
      </c>
      <c r="I19" s="215"/>
      <c r="J19" s="215"/>
      <c r="K19" s="215"/>
      <c r="L19" s="149" t="str">
        <f>IF(COUNT(I19:K19)=3,AVERAGE(I19:K19),"")</f>
      </c>
      <c r="M19" s="215"/>
      <c r="N19" s="215"/>
      <c r="O19" s="215"/>
      <c r="P19" s="129" t="n">
        <f>9-COUNT(E19:G19,I19:O19)</f>
        <v>9</v>
      </c>
      <c r="Q19" s="129" t="str">
        <f>IF(P19=0,"完整","缺失")</f>
        <v>缺失</v>
      </c>
      <c r="R19" s="85" t="inlineStr">
        <is>
          <t>是</t>
        </is>
      </c>
      <c r="S19" s="215" t="inlineStr">
        <is>
          <t>无</t>
        </is>
      </c>
      <c r="T19" s="215" t="inlineStr">
        <is>
          <t/>
        </is>
      </c>
      <c r="U19" s="267" t="inlineStr">
        <is>
          <t/>
        </is>
      </c>
      <c r="V19" s="267" t="inlineStr">
        <is>
          <t/>
        </is>
      </c>
      <c r="W19" s="319" t="str">
        <f>IF(AND(U19&lt;&gt;"",V19&lt;&gt;""),(V19-U19)*86400,"")</f>
      </c>
    </row>
    <row r="20">
      <c r="A20" s="90" t="inlineStr">
        <is>
          <t>P008</t>
        </is>
      </c>
      <c r="B20" s="85" t="n">
        <v>2</v>
      </c>
      <c r="C20" s="85" t="inlineStr">
        <is>
          <t>方法A</t>
        </is>
      </c>
      <c r="D20" s="85" t="inlineStr">
        <is>
          <t>EgoAnchor</t>
        </is>
      </c>
      <c r="E20" s="215"/>
      <c r="F20" s="215"/>
      <c r="G20" s="215"/>
      <c r="H20" s="149" t="str">
        <f>IF(COUNT(E20:G20)=3,AVERAGE(E20:G20),"")</f>
      </c>
      <c r="I20" s="215"/>
      <c r="J20" s="215"/>
      <c r="K20" s="215"/>
      <c r="L20" s="149" t="str">
        <f>IF(COUNT(I20:K20)=3,AVERAGE(I20:K20),"")</f>
      </c>
      <c r="M20" s="215"/>
      <c r="N20" s="215"/>
      <c r="O20" s="215"/>
      <c r="P20" s="129" t="n">
        <f>9-COUNT(E20:G20,I20:O20)</f>
        <v>9</v>
      </c>
      <c r="Q20" s="129" t="str">
        <f>IF(P20=0,"完整","缺失")</f>
        <v>缺失</v>
      </c>
      <c r="R20" s="85" t="inlineStr">
        <is>
          <t>是</t>
        </is>
      </c>
      <c r="S20" s="215" t="inlineStr">
        <is>
          <t>无</t>
        </is>
      </c>
      <c r="T20" s="215" t="inlineStr">
        <is>
          <t/>
        </is>
      </c>
      <c r="U20" s="267" t="inlineStr">
        <is>
          <t/>
        </is>
      </c>
      <c r="V20" s="267" t="inlineStr">
        <is>
          <t/>
        </is>
      </c>
      <c r="W20" s="319" t="str">
        <f>IF(AND(U20&lt;&gt;"",V20&lt;&gt;""),(V20-U20)*86400,"")</f>
      </c>
    </row>
    <row r="21">
      <c r="A21" s="90" t="inlineStr">
        <is>
          <t>P009</t>
        </is>
      </c>
      <c r="B21" s="85" t="n">
        <v>1</v>
      </c>
      <c r="C21" s="85" t="inlineStr">
        <is>
          <t>方法B</t>
        </is>
      </c>
      <c r="D21" s="85" t="inlineStr">
        <is>
          <t>One-Euro</t>
        </is>
      </c>
      <c r="E21" s="215"/>
      <c r="F21" s="215"/>
      <c r="G21" s="215"/>
      <c r="H21" s="149" t="str">
        <f>IF(COUNT(E21:G21)=3,AVERAGE(E21:G21),"")</f>
      </c>
      <c r="I21" s="215"/>
      <c r="J21" s="215"/>
      <c r="K21" s="215"/>
      <c r="L21" s="149" t="str">
        <f>IF(COUNT(I21:K21)=3,AVERAGE(I21:K21),"")</f>
      </c>
      <c r="M21" s="215"/>
      <c r="N21" s="215"/>
      <c r="O21" s="215"/>
      <c r="P21" s="129" t="n">
        <f>9-COUNT(E21:G21,I21:O21)</f>
        <v>9</v>
      </c>
      <c r="Q21" s="129" t="str">
        <f>IF(P21=0,"完整","缺失")</f>
        <v>缺失</v>
      </c>
      <c r="R21" s="85" t="inlineStr">
        <is>
          <t>是</t>
        </is>
      </c>
      <c r="S21" s="215" t="inlineStr">
        <is>
          <t>无</t>
        </is>
      </c>
      <c r="T21" s="215" t="inlineStr">
        <is>
          <t/>
        </is>
      </c>
      <c r="U21" s="267" t="inlineStr">
        <is>
          <t/>
        </is>
      </c>
      <c r="V21" s="267" t="inlineStr">
        <is>
          <t/>
        </is>
      </c>
      <c r="W21" s="319" t="str">
        <f>IF(AND(U21&lt;&gt;"",V21&lt;&gt;""),(V21-U21)*86400,"")</f>
      </c>
    </row>
    <row r="22">
      <c r="A22" s="90" t="inlineStr">
        <is>
          <t>P009</t>
        </is>
      </c>
      <c r="B22" s="85" t="n">
        <v>2</v>
      </c>
      <c r="C22" s="85" t="inlineStr">
        <is>
          <t>方法A</t>
        </is>
      </c>
      <c r="D22" s="85" t="inlineStr">
        <is>
          <t>EgoAnchor</t>
        </is>
      </c>
      <c r="E22" s="215"/>
      <c r="F22" s="215"/>
      <c r="G22" s="215"/>
      <c r="H22" s="149" t="str">
        <f>IF(COUNT(E22:G22)=3,AVERAGE(E22:G22),"")</f>
      </c>
      <c r="I22" s="215"/>
      <c r="J22" s="215"/>
      <c r="K22" s="215"/>
      <c r="L22" s="149" t="str">
        <f>IF(COUNT(I22:K22)=3,AVERAGE(I22:K22),"")</f>
      </c>
      <c r="M22" s="215"/>
      <c r="N22" s="215"/>
      <c r="O22" s="215"/>
      <c r="P22" s="129" t="n">
        <f>9-COUNT(E22:G22,I22:O22)</f>
        <v>9</v>
      </c>
      <c r="Q22" s="129" t="str">
        <f>IF(P22=0,"完整","缺失")</f>
        <v>缺失</v>
      </c>
      <c r="R22" s="85" t="inlineStr">
        <is>
          <t>是</t>
        </is>
      </c>
      <c r="S22" s="215" t="inlineStr">
        <is>
          <t>无</t>
        </is>
      </c>
      <c r="T22" s="215" t="inlineStr">
        <is>
          <t/>
        </is>
      </c>
      <c r="U22" s="267" t="inlineStr">
        <is>
          <t/>
        </is>
      </c>
      <c r="V22" s="267" t="inlineStr">
        <is>
          <t/>
        </is>
      </c>
      <c r="W22" s="319" t="str">
        <f>IF(AND(U22&lt;&gt;"",V22&lt;&gt;""),(V22-U22)*86400,"")</f>
      </c>
    </row>
    <row r="23">
      <c r="A23" s="90" t="inlineStr">
        <is>
          <t>P010</t>
        </is>
      </c>
      <c r="B23" s="85" t="n">
        <v>1</v>
      </c>
      <c r="C23" s="85" t="inlineStr">
        <is>
          <t>方法B</t>
        </is>
      </c>
      <c r="D23" s="85" t="inlineStr">
        <is>
          <t>One-Euro</t>
        </is>
      </c>
      <c r="E23" s="215"/>
      <c r="F23" s="215"/>
      <c r="G23" s="215"/>
      <c r="H23" s="149" t="str">
        <f>IF(COUNT(E23:G23)=3,AVERAGE(E23:G23),"")</f>
      </c>
      <c r="I23" s="215"/>
      <c r="J23" s="215"/>
      <c r="K23" s="215"/>
      <c r="L23" s="149" t="str">
        <f>IF(COUNT(I23:K23)=3,AVERAGE(I23:K23),"")</f>
      </c>
      <c r="M23" s="215"/>
      <c r="N23" s="215"/>
      <c r="O23" s="215"/>
      <c r="P23" s="129" t="n">
        <f>9-COUNT(E23:G23,I23:O23)</f>
        <v>9</v>
      </c>
      <c r="Q23" s="129" t="str">
        <f>IF(P23=0,"完整","缺失")</f>
        <v>缺失</v>
      </c>
      <c r="R23" s="85" t="inlineStr">
        <is>
          <t>是</t>
        </is>
      </c>
      <c r="S23" s="215" t="inlineStr">
        <is>
          <t>无</t>
        </is>
      </c>
      <c r="T23" s="215" t="inlineStr">
        <is>
          <t/>
        </is>
      </c>
      <c r="U23" s="267" t="inlineStr">
        <is>
          <t/>
        </is>
      </c>
      <c r="V23" s="267" t="inlineStr">
        <is>
          <t/>
        </is>
      </c>
      <c r="W23" s="319" t="str">
        <f>IF(AND(U23&lt;&gt;"",V23&lt;&gt;""),(V23-U23)*86400,"")</f>
      </c>
    </row>
    <row r="24">
      <c r="A24" s="90" t="inlineStr">
        <is>
          <t>P010</t>
        </is>
      </c>
      <c r="B24" s="85" t="n">
        <v>2</v>
      </c>
      <c r="C24" s="85" t="inlineStr">
        <is>
          <t>方法A</t>
        </is>
      </c>
      <c r="D24" s="85" t="inlineStr">
        <is>
          <t>EgoAnchor</t>
        </is>
      </c>
      <c r="E24" s="215"/>
      <c r="F24" s="215"/>
      <c r="G24" s="215"/>
      <c r="H24" s="149" t="str">
        <f>IF(COUNT(E24:G24)=3,AVERAGE(E24:G24),"")</f>
      </c>
      <c r="I24" s="215"/>
      <c r="J24" s="215"/>
      <c r="K24" s="215"/>
      <c r="L24" s="149" t="str">
        <f>IF(COUNT(I24:K24)=3,AVERAGE(I24:K24),"")</f>
      </c>
      <c r="M24" s="215"/>
      <c r="N24" s="215"/>
      <c r="O24" s="215"/>
      <c r="P24" s="129" t="n">
        <f>9-COUNT(E24:G24,I24:O24)</f>
        <v>9</v>
      </c>
      <c r="Q24" s="129" t="str">
        <f>IF(P24=0,"完整","缺失")</f>
        <v>缺失</v>
      </c>
      <c r="R24" s="85" t="inlineStr">
        <is>
          <t>是</t>
        </is>
      </c>
      <c r="S24" s="215" t="inlineStr">
        <is>
          <t>无</t>
        </is>
      </c>
      <c r="T24" s="215" t="inlineStr">
        <is>
          <t/>
        </is>
      </c>
      <c r="U24" s="267" t="inlineStr">
        <is>
          <t/>
        </is>
      </c>
      <c r="V24" s="267" t="inlineStr">
        <is>
          <t/>
        </is>
      </c>
      <c r="W24" s="319" t="str">
        <f>IF(AND(U24&lt;&gt;"",V24&lt;&gt;""),(V24-U24)*86400,"")</f>
      </c>
    </row>
    <row r="25">
      <c r="A25" s="90" t="inlineStr">
        <is>
          <t>P011</t>
        </is>
      </c>
      <c r="B25" s="85" t="n">
        <v>1</v>
      </c>
      <c r="C25" s="85" t="inlineStr">
        <is>
          <t>方法B</t>
        </is>
      </c>
      <c r="D25" s="85" t="inlineStr">
        <is>
          <t>One-Euro</t>
        </is>
      </c>
      <c r="E25" s="215"/>
      <c r="F25" s="215"/>
      <c r="G25" s="215"/>
      <c r="H25" s="149" t="str">
        <f>IF(COUNT(E25:G25)=3,AVERAGE(E25:G25),"")</f>
      </c>
      <c r="I25" s="215"/>
      <c r="J25" s="215"/>
      <c r="K25" s="215"/>
      <c r="L25" s="149" t="str">
        <f>IF(COUNT(I25:K25)=3,AVERAGE(I25:K25),"")</f>
      </c>
      <c r="M25" s="215"/>
      <c r="N25" s="215"/>
      <c r="O25" s="215"/>
      <c r="P25" s="129" t="n">
        <f>9-COUNT(E25:G25,I25:O25)</f>
        <v>9</v>
      </c>
      <c r="Q25" s="129" t="str">
        <f>IF(P25=0,"完整","缺失")</f>
        <v>缺失</v>
      </c>
      <c r="R25" s="85" t="inlineStr">
        <is>
          <t>是</t>
        </is>
      </c>
      <c r="S25" s="215" t="inlineStr">
        <is>
          <t>无</t>
        </is>
      </c>
      <c r="T25" s="215" t="inlineStr">
        <is>
          <t/>
        </is>
      </c>
      <c r="U25" s="267" t="inlineStr">
        <is>
          <t/>
        </is>
      </c>
      <c r="V25" s="267" t="inlineStr">
        <is>
          <t/>
        </is>
      </c>
      <c r="W25" s="319" t="str">
        <f>IF(AND(U25&lt;&gt;"",V25&lt;&gt;""),(V25-U25)*86400,"")</f>
      </c>
    </row>
    <row r="26">
      <c r="A26" s="90" t="inlineStr">
        <is>
          <t>P011</t>
        </is>
      </c>
      <c r="B26" s="85" t="n">
        <v>2</v>
      </c>
      <c r="C26" s="85" t="inlineStr">
        <is>
          <t>方法A</t>
        </is>
      </c>
      <c r="D26" s="85" t="inlineStr">
        <is>
          <t>EgoAnchor</t>
        </is>
      </c>
      <c r="E26" s="215"/>
      <c r="F26" s="215"/>
      <c r="G26" s="215"/>
      <c r="H26" s="149" t="str">
        <f>IF(COUNT(E26:G26)=3,AVERAGE(E26:G26),"")</f>
      </c>
      <c r="I26" s="215"/>
      <c r="J26" s="215"/>
      <c r="K26" s="215"/>
      <c r="L26" s="149" t="str">
        <f>IF(COUNT(I26:K26)=3,AVERAGE(I26:K26),"")</f>
      </c>
      <c r="M26" s="215"/>
      <c r="N26" s="215"/>
      <c r="O26" s="215"/>
      <c r="P26" s="129" t="n">
        <f>9-COUNT(E26:G26,I26:O26)</f>
        <v>9</v>
      </c>
      <c r="Q26" s="129" t="str">
        <f>IF(P26=0,"完整","缺失")</f>
        <v>缺失</v>
      </c>
      <c r="R26" s="85" t="inlineStr">
        <is>
          <t>是</t>
        </is>
      </c>
      <c r="S26" s="215" t="inlineStr">
        <is>
          <t>无</t>
        </is>
      </c>
      <c r="T26" s="215" t="inlineStr">
        <is>
          <t/>
        </is>
      </c>
      <c r="U26" s="267" t="inlineStr">
        <is>
          <t/>
        </is>
      </c>
      <c r="V26" s="267" t="inlineStr">
        <is>
          <t/>
        </is>
      </c>
      <c r="W26" s="319" t="str">
        <f>IF(AND(U26&lt;&gt;"",V26&lt;&gt;""),(V26-U26)*86400,"")</f>
      </c>
    </row>
    <row r="27">
      <c r="A27" s="90" t="inlineStr">
        <is>
          <t>P012</t>
        </is>
      </c>
      <c r="B27" s="85" t="n">
        <v>1</v>
      </c>
      <c r="C27" s="85" t="inlineStr">
        <is>
          <t>方法B</t>
        </is>
      </c>
      <c r="D27" s="85" t="inlineStr">
        <is>
          <t>One-Euro</t>
        </is>
      </c>
      <c r="E27" s="215"/>
      <c r="F27" s="215"/>
      <c r="G27" s="215"/>
      <c r="H27" s="149" t="str">
        <f>IF(COUNT(E27:G27)=3,AVERAGE(E27:G27),"")</f>
      </c>
      <c r="I27" s="215"/>
      <c r="J27" s="215"/>
      <c r="K27" s="215"/>
      <c r="L27" s="149" t="str">
        <f>IF(COUNT(I27:K27)=3,AVERAGE(I27:K27),"")</f>
      </c>
      <c r="M27" s="215"/>
      <c r="N27" s="215"/>
      <c r="O27" s="215"/>
      <c r="P27" s="129" t="n">
        <f>9-COUNT(E27:G27,I27:O27)</f>
        <v>9</v>
      </c>
      <c r="Q27" s="129" t="str">
        <f>IF(P27=0,"完整","缺失")</f>
        <v>缺失</v>
      </c>
      <c r="R27" s="85" t="inlineStr">
        <is>
          <t>是</t>
        </is>
      </c>
      <c r="S27" s="215" t="inlineStr">
        <is>
          <t>无</t>
        </is>
      </c>
      <c r="T27" s="215" t="inlineStr">
        <is>
          <t/>
        </is>
      </c>
      <c r="U27" s="267" t="inlineStr">
        <is>
          <t/>
        </is>
      </c>
      <c r="V27" s="267" t="inlineStr">
        <is>
          <t/>
        </is>
      </c>
      <c r="W27" s="319" t="str">
        <f>IF(AND(U27&lt;&gt;"",V27&lt;&gt;""),(V27-U27)*86400,"")</f>
      </c>
    </row>
    <row r="28">
      <c r="A28" s="90" t="inlineStr">
        <is>
          <t>P012</t>
        </is>
      </c>
      <c r="B28" s="85" t="n">
        <v>2</v>
      </c>
      <c r="C28" s="85" t="inlineStr">
        <is>
          <t>方法A</t>
        </is>
      </c>
      <c r="D28" s="85" t="inlineStr">
        <is>
          <t>EgoAnchor</t>
        </is>
      </c>
      <c r="E28" s="215"/>
      <c r="F28" s="215"/>
      <c r="G28" s="215"/>
      <c r="H28" s="149" t="str">
        <f>IF(COUNT(E28:G28)=3,AVERAGE(E28:G28),"")</f>
      </c>
      <c r="I28" s="215"/>
      <c r="J28" s="215"/>
      <c r="K28" s="215"/>
      <c r="L28" s="149" t="str">
        <f>IF(COUNT(I28:K28)=3,AVERAGE(I28:K28),"")</f>
      </c>
      <c r="M28" s="215"/>
      <c r="N28" s="215"/>
      <c r="O28" s="215"/>
      <c r="P28" s="129" t="n">
        <f>9-COUNT(E28:G28,I28:O28)</f>
        <v>9</v>
      </c>
      <c r="Q28" s="129" t="str">
        <f>IF(P28=0,"完整","缺失")</f>
        <v>缺失</v>
      </c>
      <c r="R28" s="85" t="inlineStr">
        <is>
          <t>是</t>
        </is>
      </c>
      <c r="S28" s="215" t="inlineStr">
        <is>
          <t>无</t>
        </is>
      </c>
      <c r="T28" s="215" t="inlineStr">
        <is>
          <t/>
        </is>
      </c>
      <c r="U28" s="267" t="inlineStr">
        <is>
          <t/>
        </is>
      </c>
      <c r="V28" s="267" t="inlineStr">
        <is>
          <t/>
        </is>
      </c>
      <c r="W28" s="319" t="str">
        <f>IF(AND(U28&lt;&gt;"",V28&lt;&gt;""),(V28-U28)*86400,"")</f>
      </c>
    </row>
    <row r="29">
      <c r="A29" s="90" t="inlineStr">
        <is>
          <t>P013</t>
        </is>
      </c>
      <c r="B29" s="85" t="n">
        <v>1</v>
      </c>
      <c r="C29" s="85" t="inlineStr">
        <is>
          <t>方法A</t>
        </is>
      </c>
      <c r="D29" s="85" t="inlineStr">
        <is>
          <t>One-Euro</t>
        </is>
      </c>
      <c r="E29" s="215"/>
      <c r="F29" s="215"/>
      <c r="G29" s="215"/>
      <c r="H29" s="149" t="str">
        <f>IF(COUNT(E29:G29)=3,AVERAGE(E29:G29),"")</f>
      </c>
      <c r="I29" s="215"/>
      <c r="J29" s="215"/>
      <c r="K29" s="215"/>
      <c r="L29" s="149" t="str">
        <f>IF(COUNT(I29:K29)=3,AVERAGE(I29:K29),"")</f>
      </c>
      <c r="M29" s="215"/>
      <c r="N29" s="215"/>
      <c r="O29" s="215"/>
      <c r="P29" s="129" t="n">
        <f>9-COUNT(E29:G29,I29:O29)</f>
        <v>9</v>
      </c>
      <c r="Q29" s="129" t="str">
        <f>IF(P29=0,"完整","缺失")</f>
        <v>缺失</v>
      </c>
      <c r="R29" s="85" t="inlineStr">
        <is>
          <t>是</t>
        </is>
      </c>
      <c r="S29" s="215" t="inlineStr">
        <is>
          <t>无</t>
        </is>
      </c>
      <c r="T29" s="215" t="inlineStr">
        <is>
          <t/>
        </is>
      </c>
      <c r="U29" s="267" t="inlineStr">
        <is>
          <t/>
        </is>
      </c>
      <c r="V29" s="267" t="inlineStr">
        <is>
          <t/>
        </is>
      </c>
      <c r="W29" s="319" t="str">
        <f>IF(AND(U29&lt;&gt;"",V29&lt;&gt;""),(V29-U29)*86400,"")</f>
      </c>
    </row>
    <row r="30">
      <c r="A30" s="90" t="inlineStr">
        <is>
          <t>P013</t>
        </is>
      </c>
      <c r="B30" s="85" t="n">
        <v>2</v>
      </c>
      <c r="C30" s="85" t="inlineStr">
        <is>
          <t>方法B</t>
        </is>
      </c>
      <c r="D30" s="85" t="inlineStr">
        <is>
          <t>EgoAnchor</t>
        </is>
      </c>
      <c r="E30" s="215"/>
      <c r="F30" s="215"/>
      <c r="G30" s="215"/>
      <c r="H30" s="149" t="str">
        <f>IF(COUNT(E30:G30)=3,AVERAGE(E30:G30),"")</f>
      </c>
      <c r="I30" s="215"/>
      <c r="J30" s="215"/>
      <c r="K30" s="215"/>
      <c r="L30" s="149" t="str">
        <f>IF(COUNT(I30:K30)=3,AVERAGE(I30:K30),"")</f>
      </c>
      <c r="M30" s="215"/>
      <c r="N30" s="215"/>
      <c r="O30" s="215"/>
      <c r="P30" s="129" t="n">
        <f>9-COUNT(E30:G30,I30:O30)</f>
        <v>9</v>
      </c>
      <c r="Q30" s="129" t="str">
        <f>IF(P30=0,"完整","缺失")</f>
        <v>缺失</v>
      </c>
      <c r="R30" s="85" t="inlineStr">
        <is>
          <t>是</t>
        </is>
      </c>
      <c r="S30" s="215" t="inlineStr">
        <is>
          <t>无</t>
        </is>
      </c>
      <c r="T30" s="215" t="inlineStr">
        <is>
          <t/>
        </is>
      </c>
      <c r="U30" s="267" t="inlineStr">
        <is>
          <t/>
        </is>
      </c>
      <c r="V30" s="267" t="inlineStr">
        <is>
          <t/>
        </is>
      </c>
      <c r="W30" s="319" t="str">
        <f>IF(AND(U30&lt;&gt;"",V30&lt;&gt;""),(V30-U30)*86400,"")</f>
      </c>
    </row>
    <row r="31">
      <c r="A31" s="90" t="inlineStr">
        <is>
          <t>P014</t>
        </is>
      </c>
      <c r="B31" s="85" t="n">
        <v>1</v>
      </c>
      <c r="C31" s="85" t="inlineStr">
        <is>
          <t>方法A</t>
        </is>
      </c>
      <c r="D31" s="85" t="inlineStr">
        <is>
          <t>One-Euro</t>
        </is>
      </c>
      <c r="E31" s="215"/>
      <c r="F31" s="215"/>
      <c r="G31" s="215"/>
      <c r="H31" s="149" t="str">
        <f>IF(COUNT(E31:G31)=3,AVERAGE(E31:G31),"")</f>
      </c>
      <c r="I31" s="215"/>
      <c r="J31" s="215"/>
      <c r="K31" s="215"/>
      <c r="L31" s="149" t="str">
        <f>IF(COUNT(I31:K31)=3,AVERAGE(I31:K31),"")</f>
      </c>
      <c r="M31" s="215"/>
      <c r="N31" s="215"/>
      <c r="O31" s="215"/>
      <c r="P31" s="129" t="n">
        <f>9-COUNT(E31:G31,I31:O31)</f>
        <v>9</v>
      </c>
      <c r="Q31" s="129" t="str">
        <f>IF(P31=0,"完整","缺失")</f>
        <v>缺失</v>
      </c>
      <c r="R31" s="85" t="inlineStr">
        <is>
          <t>是</t>
        </is>
      </c>
      <c r="S31" s="215" t="inlineStr">
        <is>
          <t>无</t>
        </is>
      </c>
      <c r="T31" s="215" t="inlineStr">
        <is>
          <t/>
        </is>
      </c>
      <c r="U31" s="267" t="inlineStr">
        <is>
          <t/>
        </is>
      </c>
      <c r="V31" s="267" t="inlineStr">
        <is>
          <t/>
        </is>
      </c>
      <c r="W31" s="319" t="str">
        <f>IF(AND(U31&lt;&gt;"",V31&lt;&gt;""),(V31-U31)*86400,"")</f>
      </c>
    </row>
    <row r="32">
      <c r="A32" s="90" t="inlineStr">
        <is>
          <t>P014</t>
        </is>
      </c>
      <c r="B32" s="85" t="n">
        <v>2</v>
      </c>
      <c r="C32" s="85" t="inlineStr">
        <is>
          <t>方法B</t>
        </is>
      </c>
      <c r="D32" s="85" t="inlineStr">
        <is>
          <t>EgoAnchor</t>
        </is>
      </c>
      <c r="E32" s="215"/>
      <c r="F32" s="215"/>
      <c r="G32" s="215"/>
      <c r="H32" s="149" t="str">
        <f>IF(COUNT(E32:G32)=3,AVERAGE(E32:G32),"")</f>
      </c>
      <c r="I32" s="215"/>
      <c r="J32" s="215"/>
      <c r="K32" s="215"/>
      <c r="L32" s="149" t="str">
        <f>IF(COUNT(I32:K32)=3,AVERAGE(I32:K32),"")</f>
      </c>
      <c r="M32" s="215"/>
      <c r="N32" s="215"/>
      <c r="O32" s="215"/>
      <c r="P32" s="129" t="n">
        <f>9-COUNT(E32:G32,I32:O32)</f>
        <v>9</v>
      </c>
      <c r="Q32" s="129" t="str">
        <f>IF(P32=0,"完整","缺失")</f>
        <v>缺失</v>
      </c>
      <c r="R32" s="85" t="inlineStr">
        <is>
          <t>是</t>
        </is>
      </c>
      <c r="S32" s="215" t="inlineStr">
        <is>
          <t>无</t>
        </is>
      </c>
      <c r="T32" s="215" t="inlineStr">
        <is>
          <t/>
        </is>
      </c>
      <c r="U32" s="267" t="inlineStr">
        <is>
          <t/>
        </is>
      </c>
      <c r="V32" s="267" t="inlineStr">
        <is>
          <t/>
        </is>
      </c>
      <c r="W32" s="319" t="str">
        <f>IF(AND(U32&lt;&gt;"",V32&lt;&gt;""),(V32-U32)*86400,"")</f>
      </c>
    </row>
    <row r="33">
      <c r="A33" s="90" t="inlineStr">
        <is>
          <t>P015</t>
        </is>
      </c>
      <c r="B33" s="85" t="n">
        <v>1</v>
      </c>
      <c r="C33" s="85" t="inlineStr">
        <is>
          <t>方法A</t>
        </is>
      </c>
      <c r="D33" s="85" t="inlineStr">
        <is>
          <t>One-Euro</t>
        </is>
      </c>
      <c r="E33" s="215"/>
      <c r="F33" s="215"/>
      <c r="G33" s="215"/>
      <c r="H33" s="149" t="str">
        <f>IF(COUNT(E33:G33)=3,AVERAGE(E33:G33),"")</f>
      </c>
      <c r="I33" s="215"/>
      <c r="J33" s="215"/>
      <c r="K33" s="215"/>
      <c r="L33" s="149" t="str">
        <f>IF(COUNT(I33:K33)=3,AVERAGE(I33:K33),"")</f>
      </c>
      <c r="M33" s="215"/>
      <c r="N33" s="215"/>
      <c r="O33" s="215"/>
      <c r="P33" s="129" t="n">
        <f>9-COUNT(E33:G33,I33:O33)</f>
        <v>9</v>
      </c>
      <c r="Q33" s="129" t="str">
        <f>IF(P33=0,"完整","缺失")</f>
        <v>缺失</v>
      </c>
      <c r="R33" s="85" t="inlineStr">
        <is>
          <t>是</t>
        </is>
      </c>
      <c r="S33" s="215" t="inlineStr">
        <is>
          <t>无</t>
        </is>
      </c>
      <c r="T33" s="215" t="inlineStr">
        <is>
          <t/>
        </is>
      </c>
      <c r="U33" s="267" t="inlineStr">
        <is>
          <t/>
        </is>
      </c>
      <c r="V33" s="267" t="inlineStr">
        <is>
          <t/>
        </is>
      </c>
      <c r="W33" s="319" t="str">
        <f>IF(AND(U33&lt;&gt;"",V33&lt;&gt;""),(V33-U33)*86400,"")</f>
      </c>
    </row>
    <row r="34">
      <c r="A34" s="90" t="inlineStr">
        <is>
          <t>P015</t>
        </is>
      </c>
      <c r="B34" s="85" t="n">
        <v>2</v>
      </c>
      <c r="C34" s="85" t="inlineStr">
        <is>
          <t>方法B</t>
        </is>
      </c>
      <c r="D34" s="85" t="inlineStr">
        <is>
          <t>EgoAnchor</t>
        </is>
      </c>
      <c r="E34" s="215"/>
      <c r="F34" s="215"/>
      <c r="G34" s="215"/>
      <c r="H34" s="149" t="str">
        <f>IF(COUNT(E34:G34)=3,AVERAGE(E34:G34),"")</f>
      </c>
      <c r="I34" s="215"/>
      <c r="J34" s="215"/>
      <c r="K34" s="215"/>
      <c r="L34" s="149" t="str">
        <f>IF(COUNT(I34:K34)=3,AVERAGE(I34:K34),"")</f>
      </c>
      <c r="M34" s="215"/>
      <c r="N34" s="215"/>
      <c r="O34" s="215"/>
      <c r="P34" s="129" t="n">
        <f>9-COUNT(E34:G34,I34:O34)</f>
        <v>9</v>
      </c>
      <c r="Q34" s="129" t="str">
        <f>IF(P34=0,"完整","缺失")</f>
        <v>缺失</v>
      </c>
      <c r="R34" s="85" t="inlineStr">
        <is>
          <t>是</t>
        </is>
      </c>
      <c r="S34" s="215" t="inlineStr">
        <is>
          <t>无</t>
        </is>
      </c>
      <c r="T34" s="215" t="inlineStr">
        <is>
          <t/>
        </is>
      </c>
      <c r="U34" s="267" t="inlineStr">
        <is>
          <t/>
        </is>
      </c>
      <c r="V34" s="267" t="inlineStr">
        <is>
          <t/>
        </is>
      </c>
      <c r="W34" s="319" t="str">
        <f>IF(AND(U34&lt;&gt;"",V34&lt;&gt;""),(V34-U34)*86400,"")</f>
      </c>
    </row>
    <row r="35">
      <c r="A35" s="90" t="inlineStr">
        <is>
          <t>P016</t>
        </is>
      </c>
      <c r="B35" s="85" t="n">
        <v>1</v>
      </c>
      <c r="C35" s="85" t="inlineStr">
        <is>
          <t>方法A</t>
        </is>
      </c>
      <c r="D35" s="85" t="inlineStr">
        <is>
          <t>One-Euro</t>
        </is>
      </c>
      <c r="E35" s="215"/>
      <c r="F35" s="215"/>
      <c r="G35" s="215"/>
      <c r="H35" s="149" t="str">
        <f>IF(COUNT(E35:G35)=3,AVERAGE(E35:G35),"")</f>
      </c>
      <c r="I35" s="215"/>
      <c r="J35" s="215"/>
      <c r="K35" s="215"/>
      <c r="L35" s="149" t="str">
        <f>IF(COUNT(I35:K35)=3,AVERAGE(I35:K35),"")</f>
      </c>
      <c r="M35" s="215"/>
      <c r="N35" s="215"/>
      <c r="O35" s="215"/>
      <c r="P35" s="129" t="n">
        <f>9-COUNT(E35:G35,I35:O35)</f>
        <v>9</v>
      </c>
      <c r="Q35" s="129" t="str">
        <f>IF(P35=0,"完整","缺失")</f>
        <v>缺失</v>
      </c>
      <c r="R35" s="85" t="inlineStr">
        <is>
          <t>是</t>
        </is>
      </c>
      <c r="S35" s="215" t="inlineStr">
        <is>
          <t>无</t>
        </is>
      </c>
      <c r="T35" s="215" t="inlineStr">
        <is>
          <t/>
        </is>
      </c>
      <c r="U35" s="267" t="inlineStr">
        <is>
          <t/>
        </is>
      </c>
      <c r="V35" s="267" t="inlineStr">
        <is>
          <t/>
        </is>
      </c>
      <c r="W35" s="319" t="str">
        <f>IF(AND(U35&lt;&gt;"",V35&lt;&gt;""),(V35-U35)*86400,"")</f>
      </c>
    </row>
    <row r="36">
      <c r="A36" s="90" t="inlineStr">
        <is>
          <t>P016</t>
        </is>
      </c>
      <c r="B36" s="85" t="n">
        <v>2</v>
      </c>
      <c r="C36" s="85" t="inlineStr">
        <is>
          <t>方法B</t>
        </is>
      </c>
      <c r="D36" s="85" t="inlineStr">
        <is>
          <t>EgoAnchor</t>
        </is>
      </c>
      <c r="E36" s="215"/>
      <c r="F36" s="215"/>
      <c r="G36" s="215"/>
      <c r="H36" s="149" t="str">
        <f>IF(COUNT(E36:G36)=3,AVERAGE(E36:G36),"")</f>
      </c>
      <c r="I36" s="215"/>
      <c r="J36" s="215"/>
      <c r="K36" s="215"/>
      <c r="L36" s="149" t="str">
        <f>IF(COUNT(I36:K36)=3,AVERAGE(I36:K36),"")</f>
      </c>
      <c r="M36" s="215"/>
      <c r="N36" s="215"/>
      <c r="O36" s="215"/>
      <c r="P36" s="129" t="n">
        <f>9-COUNT(E36:G36,I36:O36)</f>
        <v>9</v>
      </c>
      <c r="Q36" s="129" t="str">
        <f>IF(P36=0,"完整","缺失")</f>
        <v>缺失</v>
      </c>
      <c r="R36" s="85" t="inlineStr">
        <is>
          <t>是</t>
        </is>
      </c>
      <c r="S36" s="215" t="inlineStr">
        <is>
          <t>无</t>
        </is>
      </c>
      <c r="T36" s="215" t="inlineStr">
        <is>
          <t/>
        </is>
      </c>
      <c r="U36" s="267" t="inlineStr">
        <is>
          <t/>
        </is>
      </c>
      <c r="V36" s="267" t="inlineStr">
        <is>
          <t/>
        </is>
      </c>
      <c r="W36" s="319" t="str">
        <f>IF(AND(U36&lt;&gt;"",V36&lt;&gt;""),(V36-U36)*86400,"")</f>
      </c>
    </row>
    <row r="37">
      <c r="A37" s="90" t="inlineStr">
        <is>
          <t>P017</t>
        </is>
      </c>
      <c r="B37" s="85" t="n">
        <v>1</v>
      </c>
      <c r="C37" s="85" t="inlineStr">
        <is>
          <t>方法A</t>
        </is>
      </c>
      <c r="D37" s="85" t="inlineStr">
        <is>
          <t>One-Euro</t>
        </is>
      </c>
      <c r="E37" s="215"/>
      <c r="F37" s="215"/>
      <c r="G37" s="215"/>
      <c r="H37" s="149" t="str">
        <f>IF(COUNT(E37:G37)=3,AVERAGE(E37:G37),"")</f>
      </c>
      <c r="I37" s="215"/>
      <c r="J37" s="215"/>
      <c r="K37" s="215"/>
      <c r="L37" s="149" t="str">
        <f>IF(COUNT(I37:K37)=3,AVERAGE(I37:K37),"")</f>
      </c>
      <c r="M37" s="215"/>
      <c r="N37" s="215"/>
      <c r="O37" s="215"/>
      <c r="P37" s="129" t="n">
        <f>9-COUNT(E37:G37,I37:O37)</f>
        <v>9</v>
      </c>
      <c r="Q37" s="129" t="str">
        <f>IF(P37=0,"完整","缺失")</f>
        <v>缺失</v>
      </c>
      <c r="R37" s="85" t="inlineStr">
        <is>
          <t>是</t>
        </is>
      </c>
      <c r="S37" s="215" t="inlineStr">
        <is>
          <t>无</t>
        </is>
      </c>
      <c r="T37" s="215" t="inlineStr">
        <is>
          <t/>
        </is>
      </c>
      <c r="U37" s="267" t="inlineStr">
        <is>
          <t/>
        </is>
      </c>
      <c r="V37" s="267" t="inlineStr">
        <is>
          <t/>
        </is>
      </c>
      <c r="W37" s="319" t="str">
        <f>IF(AND(U37&lt;&gt;"",V37&lt;&gt;""),(V37-U37)*86400,"")</f>
      </c>
    </row>
    <row r="38">
      <c r="A38" s="90" t="inlineStr">
        <is>
          <t>P017</t>
        </is>
      </c>
      <c r="B38" s="85" t="n">
        <v>2</v>
      </c>
      <c r="C38" s="85" t="inlineStr">
        <is>
          <t>方法B</t>
        </is>
      </c>
      <c r="D38" s="85" t="inlineStr">
        <is>
          <t>EgoAnchor</t>
        </is>
      </c>
      <c r="E38" s="215"/>
      <c r="F38" s="215"/>
      <c r="G38" s="215"/>
      <c r="H38" s="149" t="str">
        <f>IF(COUNT(E38:G38)=3,AVERAGE(E38:G38),"")</f>
      </c>
      <c r="I38" s="215"/>
      <c r="J38" s="215"/>
      <c r="K38" s="215"/>
      <c r="L38" s="149" t="str">
        <f>IF(COUNT(I38:K38)=3,AVERAGE(I38:K38),"")</f>
      </c>
      <c r="M38" s="215"/>
      <c r="N38" s="215"/>
      <c r="O38" s="215"/>
      <c r="P38" s="129" t="n">
        <f>9-COUNT(E38:G38,I38:O38)</f>
        <v>9</v>
      </c>
      <c r="Q38" s="129" t="str">
        <f>IF(P38=0,"完整","缺失")</f>
        <v>缺失</v>
      </c>
      <c r="R38" s="85" t="inlineStr">
        <is>
          <t>是</t>
        </is>
      </c>
      <c r="S38" s="215" t="inlineStr">
        <is>
          <t>无</t>
        </is>
      </c>
      <c r="T38" s="215" t="inlineStr">
        <is>
          <t/>
        </is>
      </c>
      <c r="U38" s="267" t="inlineStr">
        <is>
          <t/>
        </is>
      </c>
      <c r="V38" s="267" t="inlineStr">
        <is>
          <t/>
        </is>
      </c>
      <c r="W38" s="319" t="str">
        <f>IF(AND(U38&lt;&gt;"",V38&lt;&gt;""),(V38-U38)*86400,"")</f>
      </c>
    </row>
    <row r="39">
      <c r="A39" s="90" t="inlineStr">
        <is>
          <t>P018</t>
        </is>
      </c>
      <c r="B39" s="85" t="n">
        <v>1</v>
      </c>
      <c r="C39" s="85" t="inlineStr">
        <is>
          <t>方法A</t>
        </is>
      </c>
      <c r="D39" s="85" t="inlineStr">
        <is>
          <t>One-Euro</t>
        </is>
      </c>
      <c r="E39" s="215"/>
      <c r="F39" s="215"/>
      <c r="G39" s="215"/>
      <c r="H39" s="149" t="str">
        <f>IF(COUNT(E39:G39)=3,AVERAGE(E39:G39),"")</f>
      </c>
      <c r="I39" s="215"/>
      <c r="J39" s="215"/>
      <c r="K39" s="215"/>
      <c r="L39" s="149" t="str">
        <f>IF(COUNT(I39:K39)=3,AVERAGE(I39:K39),"")</f>
      </c>
      <c r="M39" s="215"/>
      <c r="N39" s="215"/>
      <c r="O39" s="215"/>
      <c r="P39" s="129" t="n">
        <f>9-COUNT(E39:G39,I39:O39)</f>
        <v>9</v>
      </c>
      <c r="Q39" s="129" t="str">
        <f>IF(P39=0,"完整","缺失")</f>
        <v>缺失</v>
      </c>
      <c r="R39" s="85" t="inlineStr">
        <is>
          <t>是</t>
        </is>
      </c>
      <c r="S39" s="215" t="inlineStr">
        <is>
          <t>无</t>
        </is>
      </c>
      <c r="T39" s="215" t="inlineStr">
        <is>
          <t/>
        </is>
      </c>
      <c r="U39" s="267" t="inlineStr">
        <is>
          <t/>
        </is>
      </c>
      <c r="V39" s="267" t="inlineStr">
        <is>
          <t/>
        </is>
      </c>
      <c r="W39" s="319" t="str">
        <f>IF(AND(U39&lt;&gt;"",V39&lt;&gt;""),(V39-U39)*86400,"")</f>
      </c>
    </row>
    <row r="40">
      <c r="A40" s="90" t="inlineStr">
        <is>
          <t>P018</t>
        </is>
      </c>
      <c r="B40" s="85" t="n">
        <v>2</v>
      </c>
      <c r="C40" s="85" t="inlineStr">
        <is>
          <t>方法B</t>
        </is>
      </c>
      <c r="D40" s="85" t="inlineStr">
        <is>
          <t>EgoAnchor</t>
        </is>
      </c>
      <c r="E40" s="215"/>
      <c r="F40" s="215"/>
      <c r="G40" s="215"/>
      <c r="H40" s="149" t="str">
        <f>IF(COUNT(E40:G40)=3,AVERAGE(E40:G40),"")</f>
      </c>
      <c r="I40" s="215"/>
      <c r="J40" s="215"/>
      <c r="K40" s="215"/>
      <c r="L40" s="149" t="str">
        <f>IF(COUNT(I40:K40)=3,AVERAGE(I40:K40),"")</f>
      </c>
      <c r="M40" s="215"/>
      <c r="N40" s="215"/>
      <c r="O40" s="215"/>
      <c r="P40" s="129" t="n">
        <f>9-COUNT(E40:G40,I40:O40)</f>
        <v>9</v>
      </c>
      <c r="Q40" s="129" t="str">
        <f>IF(P40=0,"完整","缺失")</f>
        <v>缺失</v>
      </c>
      <c r="R40" s="85" t="inlineStr">
        <is>
          <t>是</t>
        </is>
      </c>
      <c r="S40" s="215" t="inlineStr">
        <is>
          <t>无</t>
        </is>
      </c>
      <c r="T40" s="215" t="inlineStr">
        <is>
          <t/>
        </is>
      </c>
      <c r="U40" s="267" t="inlineStr">
        <is>
          <t/>
        </is>
      </c>
      <c r="V40" s="267" t="inlineStr">
        <is>
          <t/>
        </is>
      </c>
      <c r="W40" s="319" t="str">
        <f>IF(AND(U40&lt;&gt;"",V40&lt;&gt;""),(V40-U40)*86400,"")</f>
      </c>
    </row>
    <row r="41">
      <c r="A41" s="90" t="inlineStr">
        <is>
          <t>P019</t>
        </is>
      </c>
      <c r="B41" s="85" t="n">
        <v>1</v>
      </c>
      <c r="C41" s="85" t="inlineStr">
        <is>
          <t>方法B</t>
        </is>
      </c>
      <c r="D41" s="85" t="inlineStr">
        <is>
          <t>EgoAnchor</t>
        </is>
      </c>
      <c r="E41" s="215"/>
      <c r="F41" s="215"/>
      <c r="G41" s="215"/>
      <c r="H41" s="149" t="str">
        <f>IF(COUNT(E41:G41)=3,AVERAGE(E41:G41),"")</f>
      </c>
      <c r="I41" s="215"/>
      <c r="J41" s="215"/>
      <c r="K41" s="215"/>
      <c r="L41" s="149" t="str">
        <f>IF(COUNT(I41:K41)=3,AVERAGE(I41:K41),"")</f>
      </c>
      <c r="M41" s="215"/>
      <c r="N41" s="215"/>
      <c r="O41" s="215"/>
      <c r="P41" s="129" t="n">
        <f>9-COUNT(E41:G41,I41:O41)</f>
        <v>9</v>
      </c>
      <c r="Q41" s="129" t="str">
        <f>IF(P41=0,"完整","缺失")</f>
        <v>缺失</v>
      </c>
      <c r="R41" s="85" t="inlineStr">
        <is>
          <t>是</t>
        </is>
      </c>
      <c r="S41" s="215" t="inlineStr">
        <is>
          <t>无</t>
        </is>
      </c>
      <c r="T41" s="215" t="inlineStr">
        <is>
          <t/>
        </is>
      </c>
      <c r="U41" s="267" t="inlineStr">
        <is>
          <t/>
        </is>
      </c>
      <c r="V41" s="267" t="inlineStr">
        <is>
          <t/>
        </is>
      </c>
      <c r="W41" s="319" t="str">
        <f>IF(AND(U41&lt;&gt;"",V41&lt;&gt;""),(V41-U41)*86400,"")</f>
      </c>
    </row>
    <row r="42">
      <c r="A42" s="90" t="inlineStr">
        <is>
          <t>P019</t>
        </is>
      </c>
      <c r="B42" s="85" t="n">
        <v>2</v>
      </c>
      <c r="C42" s="85" t="inlineStr">
        <is>
          <t>方法A</t>
        </is>
      </c>
      <c r="D42" s="85" t="inlineStr">
        <is>
          <t>One-Euro</t>
        </is>
      </c>
      <c r="E42" s="215"/>
      <c r="F42" s="215"/>
      <c r="G42" s="215"/>
      <c r="H42" s="149" t="str">
        <f>IF(COUNT(E42:G42)=3,AVERAGE(E42:G42),"")</f>
      </c>
      <c r="I42" s="215"/>
      <c r="J42" s="215"/>
      <c r="K42" s="215"/>
      <c r="L42" s="149" t="str">
        <f>IF(COUNT(I42:K42)=3,AVERAGE(I42:K42),"")</f>
      </c>
      <c r="M42" s="215"/>
      <c r="N42" s="215"/>
      <c r="O42" s="215"/>
      <c r="P42" s="129" t="n">
        <f>9-COUNT(E42:G42,I42:O42)</f>
        <v>9</v>
      </c>
      <c r="Q42" s="129" t="str">
        <f>IF(P42=0,"完整","缺失")</f>
        <v>缺失</v>
      </c>
      <c r="R42" s="85" t="inlineStr">
        <is>
          <t>是</t>
        </is>
      </c>
      <c r="S42" s="215" t="inlineStr">
        <is>
          <t>无</t>
        </is>
      </c>
      <c r="T42" s="215" t="inlineStr">
        <is>
          <t/>
        </is>
      </c>
      <c r="U42" s="267" t="inlineStr">
        <is>
          <t/>
        </is>
      </c>
      <c r="V42" s="267" t="inlineStr">
        <is>
          <t/>
        </is>
      </c>
      <c r="W42" s="319" t="str">
        <f>IF(AND(U42&lt;&gt;"",V42&lt;&gt;""),(V42-U42)*86400,"")</f>
      </c>
    </row>
    <row r="43">
      <c r="A43" s="90" t="inlineStr">
        <is>
          <t>P020</t>
        </is>
      </c>
      <c r="B43" s="85" t="n">
        <v>1</v>
      </c>
      <c r="C43" s="85" t="inlineStr">
        <is>
          <t>方法B</t>
        </is>
      </c>
      <c r="D43" s="85" t="inlineStr">
        <is>
          <t>EgoAnchor</t>
        </is>
      </c>
      <c r="E43" s="215"/>
      <c r="F43" s="215"/>
      <c r="G43" s="215"/>
      <c r="H43" s="149" t="str">
        <f>IF(COUNT(E43:G43)=3,AVERAGE(E43:G43),"")</f>
      </c>
      <c r="I43" s="215"/>
      <c r="J43" s="215"/>
      <c r="K43" s="215"/>
      <c r="L43" s="149" t="str">
        <f>IF(COUNT(I43:K43)=3,AVERAGE(I43:K43),"")</f>
      </c>
      <c r="M43" s="215"/>
      <c r="N43" s="215"/>
      <c r="O43" s="215"/>
      <c r="P43" s="129" t="n">
        <f>9-COUNT(E43:G43,I43:O43)</f>
        <v>9</v>
      </c>
      <c r="Q43" s="129" t="str">
        <f>IF(P43=0,"完整","缺失")</f>
        <v>缺失</v>
      </c>
      <c r="R43" s="85" t="inlineStr">
        <is>
          <t>是</t>
        </is>
      </c>
      <c r="S43" s="215" t="inlineStr">
        <is>
          <t>无</t>
        </is>
      </c>
      <c r="T43" s="215" t="inlineStr">
        <is>
          <t/>
        </is>
      </c>
      <c r="U43" s="267" t="inlineStr">
        <is>
          <t/>
        </is>
      </c>
      <c r="V43" s="267" t="inlineStr">
        <is>
          <t/>
        </is>
      </c>
      <c r="W43" s="319" t="str">
        <f>IF(AND(U43&lt;&gt;"",V43&lt;&gt;""),(V43-U43)*86400,"")</f>
      </c>
    </row>
    <row r="44">
      <c r="A44" s="90" t="inlineStr">
        <is>
          <t>P020</t>
        </is>
      </c>
      <c r="B44" s="85" t="n">
        <v>2</v>
      </c>
      <c r="C44" s="85" t="inlineStr">
        <is>
          <t>方法A</t>
        </is>
      </c>
      <c r="D44" s="85" t="inlineStr">
        <is>
          <t>One-Euro</t>
        </is>
      </c>
      <c r="E44" s="215"/>
      <c r="F44" s="215"/>
      <c r="G44" s="215"/>
      <c r="H44" s="149" t="str">
        <f>IF(COUNT(E44:G44)=3,AVERAGE(E44:G44),"")</f>
      </c>
      <c r="I44" s="215"/>
      <c r="J44" s="215"/>
      <c r="K44" s="215"/>
      <c r="L44" s="149" t="str">
        <f>IF(COUNT(I44:K44)=3,AVERAGE(I44:K44),"")</f>
      </c>
      <c r="M44" s="215"/>
      <c r="N44" s="215"/>
      <c r="O44" s="215"/>
      <c r="P44" s="129" t="n">
        <f>9-COUNT(E44:G44,I44:O44)</f>
        <v>9</v>
      </c>
      <c r="Q44" s="129" t="str">
        <f>IF(P44=0,"完整","缺失")</f>
        <v>缺失</v>
      </c>
      <c r="R44" s="85" t="inlineStr">
        <is>
          <t>是</t>
        </is>
      </c>
      <c r="S44" s="215" t="inlineStr">
        <is>
          <t>无</t>
        </is>
      </c>
      <c r="T44" s="215" t="inlineStr">
        <is>
          <t/>
        </is>
      </c>
      <c r="U44" s="267" t="inlineStr">
        <is>
          <t/>
        </is>
      </c>
      <c r="V44" s="267" t="inlineStr">
        <is>
          <t/>
        </is>
      </c>
      <c r="W44" s="319" t="str">
        <f>IF(AND(U44&lt;&gt;"",V44&lt;&gt;""),(V44-U44)*86400,"")</f>
      </c>
    </row>
    <row r="45">
      <c r="A45" s="90" t="inlineStr">
        <is>
          <t>P021</t>
        </is>
      </c>
      <c r="B45" s="85" t="n">
        <v>1</v>
      </c>
      <c r="C45" s="85" t="inlineStr">
        <is>
          <t>方法B</t>
        </is>
      </c>
      <c r="D45" s="85" t="inlineStr">
        <is>
          <t>EgoAnchor</t>
        </is>
      </c>
      <c r="E45" s="215"/>
      <c r="F45" s="215"/>
      <c r="G45" s="215"/>
      <c r="H45" s="149" t="str">
        <f>IF(COUNT(E45:G45)=3,AVERAGE(E45:G45),"")</f>
      </c>
      <c r="I45" s="215"/>
      <c r="J45" s="215"/>
      <c r="K45" s="215"/>
      <c r="L45" s="149" t="str">
        <f>IF(COUNT(I45:K45)=3,AVERAGE(I45:K45),"")</f>
      </c>
      <c r="M45" s="215"/>
      <c r="N45" s="215"/>
      <c r="O45" s="215"/>
      <c r="P45" s="129" t="n">
        <f>9-COUNT(E45:G45,I45:O45)</f>
        <v>9</v>
      </c>
      <c r="Q45" s="129" t="str">
        <f>IF(P45=0,"完整","缺失")</f>
        <v>缺失</v>
      </c>
      <c r="R45" s="85" t="inlineStr">
        <is>
          <t>是</t>
        </is>
      </c>
      <c r="S45" s="215" t="inlineStr">
        <is>
          <t>无</t>
        </is>
      </c>
      <c r="T45" s="215" t="inlineStr">
        <is>
          <t/>
        </is>
      </c>
      <c r="U45" s="267" t="inlineStr">
        <is>
          <t/>
        </is>
      </c>
      <c r="V45" s="267" t="inlineStr">
        <is>
          <t/>
        </is>
      </c>
      <c r="W45" s="319" t="str">
        <f>IF(AND(U45&lt;&gt;"",V45&lt;&gt;""),(V45-U45)*86400,"")</f>
      </c>
    </row>
    <row r="46">
      <c r="A46" s="90" t="inlineStr">
        <is>
          <t>P021</t>
        </is>
      </c>
      <c r="B46" s="85" t="n">
        <v>2</v>
      </c>
      <c r="C46" s="85" t="inlineStr">
        <is>
          <t>方法A</t>
        </is>
      </c>
      <c r="D46" s="85" t="inlineStr">
        <is>
          <t>One-Euro</t>
        </is>
      </c>
      <c r="E46" s="215"/>
      <c r="F46" s="215"/>
      <c r="G46" s="215"/>
      <c r="H46" s="149" t="str">
        <f>IF(COUNT(E46:G46)=3,AVERAGE(E46:G46),"")</f>
      </c>
      <c r="I46" s="215"/>
      <c r="J46" s="215"/>
      <c r="K46" s="215"/>
      <c r="L46" s="149" t="str">
        <f>IF(COUNT(I46:K46)=3,AVERAGE(I46:K46),"")</f>
      </c>
      <c r="M46" s="215"/>
      <c r="N46" s="215"/>
      <c r="O46" s="215"/>
      <c r="P46" s="129" t="n">
        <f>9-COUNT(E46:G46,I46:O46)</f>
        <v>9</v>
      </c>
      <c r="Q46" s="129" t="str">
        <f>IF(P46=0,"完整","缺失")</f>
        <v>缺失</v>
      </c>
      <c r="R46" s="85" t="inlineStr">
        <is>
          <t>是</t>
        </is>
      </c>
      <c r="S46" s="215" t="inlineStr">
        <is>
          <t>无</t>
        </is>
      </c>
      <c r="T46" s="215" t="inlineStr">
        <is>
          <t/>
        </is>
      </c>
      <c r="U46" s="267" t="inlineStr">
        <is>
          <t/>
        </is>
      </c>
      <c r="V46" s="267" t="inlineStr">
        <is>
          <t/>
        </is>
      </c>
      <c r="W46" s="319" t="str">
        <f>IF(AND(U46&lt;&gt;"",V46&lt;&gt;""),(V46-U46)*86400,"")</f>
      </c>
    </row>
    <row r="47">
      <c r="A47" s="90" t="inlineStr">
        <is>
          <t>P022</t>
        </is>
      </c>
      <c r="B47" s="85" t="n">
        <v>1</v>
      </c>
      <c r="C47" s="85" t="inlineStr">
        <is>
          <t>方法B</t>
        </is>
      </c>
      <c r="D47" s="85" t="inlineStr">
        <is>
          <t>EgoAnchor</t>
        </is>
      </c>
      <c r="E47" s="215"/>
      <c r="F47" s="215"/>
      <c r="G47" s="215"/>
      <c r="H47" s="149" t="str">
        <f>IF(COUNT(E47:G47)=3,AVERAGE(E47:G47),"")</f>
      </c>
      <c r="I47" s="215"/>
      <c r="J47" s="215"/>
      <c r="K47" s="215"/>
      <c r="L47" s="149" t="str">
        <f>IF(COUNT(I47:K47)=3,AVERAGE(I47:K47),"")</f>
      </c>
      <c r="M47" s="215"/>
      <c r="N47" s="215"/>
      <c r="O47" s="215"/>
      <c r="P47" s="129" t="n">
        <f>9-COUNT(E47:G47,I47:O47)</f>
        <v>9</v>
      </c>
      <c r="Q47" s="129" t="str">
        <f>IF(P47=0,"完整","缺失")</f>
        <v>缺失</v>
      </c>
      <c r="R47" s="85" t="inlineStr">
        <is>
          <t>是</t>
        </is>
      </c>
      <c r="S47" s="215" t="inlineStr">
        <is>
          <t>无</t>
        </is>
      </c>
      <c r="T47" s="215" t="inlineStr">
        <is>
          <t/>
        </is>
      </c>
      <c r="U47" s="267" t="inlineStr">
        <is>
          <t/>
        </is>
      </c>
      <c r="V47" s="267" t="inlineStr">
        <is>
          <t/>
        </is>
      </c>
      <c r="W47" s="319" t="str">
        <f>IF(AND(U47&lt;&gt;"",V47&lt;&gt;""),(V47-U47)*86400,"")</f>
      </c>
    </row>
    <row r="48">
      <c r="A48" s="90" t="inlineStr">
        <is>
          <t>P022</t>
        </is>
      </c>
      <c r="B48" s="85" t="n">
        <v>2</v>
      </c>
      <c r="C48" s="85" t="inlineStr">
        <is>
          <t>方法A</t>
        </is>
      </c>
      <c r="D48" s="85" t="inlineStr">
        <is>
          <t>One-Euro</t>
        </is>
      </c>
      <c r="E48" s="215"/>
      <c r="F48" s="215"/>
      <c r="G48" s="215"/>
      <c r="H48" s="149" t="str">
        <f>IF(COUNT(E48:G48)=3,AVERAGE(E48:G48),"")</f>
      </c>
      <c r="I48" s="215"/>
      <c r="J48" s="215"/>
      <c r="K48" s="215"/>
      <c r="L48" s="149" t="str">
        <f>IF(COUNT(I48:K48)=3,AVERAGE(I48:K48),"")</f>
      </c>
      <c r="M48" s="215"/>
      <c r="N48" s="215"/>
      <c r="O48" s="215"/>
      <c r="P48" s="129" t="n">
        <f>9-COUNT(E48:G48,I48:O48)</f>
        <v>9</v>
      </c>
      <c r="Q48" s="129" t="str">
        <f>IF(P48=0,"完整","缺失")</f>
        <v>缺失</v>
      </c>
      <c r="R48" s="85" t="inlineStr">
        <is>
          <t>是</t>
        </is>
      </c>
      <c r="S48" s="215" t="inlineStr">
        <is>
          <t>无</t>
        </is>
      </c>
      <c r="T48" s="215" t="inlineStr">
        <is>
          <t/>
        </is>
      </c>
      <c r="U48" s="267" t="inlineStr">
        <is>
          <t/>
        </is>
      </c>
      <c r="V48" s="267" t="inlineStr">
        <is>
          <t/>
        </is>
      </c>
      <c r="W48" s="319" t="str">
        <f>IF(AND(U48&lt;&gt;"",V48&lt;&gt;""),(V48-U48)*86400,"")</f>
      </c>
    </row>
    <row r="49">
      <c r="A49" s="90" t="inlineStr">
        <is>
          <t>P023</t>
        </is>
      </c>
      <c r="B49" s="85" t="n">
        <v>1</v>
      </c>
      <c r="C49" s="85" t="inlineStr">
        <is>
          <t>方法B</t>
        </is>
      </c>
      <c r="D49" s="85" t="inlineStr">
        <is>
          <t>EgoAnchor</t>
        </is>
      </c>
      <c r="E49" s="215"/>
      <c r="F49" s="215"/>
      <c r="G49" s="215"/>
      <c r="H49" s="149" t="str">
        <f>IF(COUNT(E49:G49)=3,AVERAGE(E49:G49),"")</f>
      </c>
      <c r="I49" s="215"/>
      <c r="J49" s="215"/>
      <c r="K49" s="215"/>
      <c r="L49" s="149" t="str">
        <f>IF(COUNT(I49:K49)=3,AVERAGE(I49:K49),"")</f>
      </c>
      <c r="M49" s="215"/>
      <c r="N49" s="215"/>
      <c r="O49" s="215"/>
      <c r="P49" s="129" t="n">
        <f>9-COUNT(E49:G49,I49:O49)</f>
        <v>9</v>
      </c>
      <c r="Q49" s="129" t="str">
        <f>IF(P49=0,"完整","缺失")</f>
        <v>缺失</v>
      </c>
      <c r="R49" s="85" t="inlineStr">
        <is>
          <t>是</t>
        </is>
      </c>
      <c r="S49" s="215" t="inlineStr">
        <is>
          <t>无</t>
        </is>
      </c>
      <c r="T49" s="215" t="inlineStr">
        <is>
          <t/>
        </is>
      </c>
      <c r="U49" s="267" t="inlineStr">
        <is>
          <t/>
        </is>
      </c>
      <c r="V49" s="267" t="inlineStr">
        <is>
          <t/>
        </is>
      </c>
      <c r="W49" s="319" t="str">
        <f>IF(AND(U49&lt;&gt;"",V49&lt;&gt;""),(V49-U49)*86400,"")</f>
      </c>
    </row>
    <row r="50">
      <c r="A50" s="90" t="inlineStr">
        <is>
          <t>P023</t>
        </is>
      </c>
      <c r="B50" s="85" t="n">
        <v>2</v>
      </c>
      <c r="C50" s="85" t="inlineStr">
        <is>
          <t>方法A</t>
        </is>
      </c>
      <c r="D50" s="85" t="inlineStr">
        <is>
          <t>One-Euro</t>
        </is>
      </c>
      <c r="E50" s="215"/>
      <c r="F50" s="215"/>
      <c r="G50" s="215"/>
      <c r="H50" s="149" t="str">
        <f>IF(COUNT(E50:G50)=3,AVERAGE(E50:G50),"")</f>
      </c>
      <c r="I50" s="215"/>
      <c r="J50" s="215"/>
      <c r="K50" s="215"/>
      <c r="L50" s="149" t="str">
        <f>IF(COUNT(I50:K50)=3,AVERAGE(I50:K50),"")</f>
      </c>
      <c r="M50" s="215"/>
      <c r="N50" s="215"/>
      <c r="O50" s="215"/>
      <c r="P50" s="129" t="n">
        <f>9-COUNT(E50:G50,I50:O50)</f>
        <v>9</v>
      </c>
      <c r="Q50" s="129" t="str">
        <f>IF(P50=0,"完整","缺失")</f>
        <v>缺失</v>
      </c>
      <c r="R50" s="85" t="inlineStr">
        <is>
          <t>是</t>
        </is>
      </c>
      <c r="S50" s="215" t="inlineStr">
        <is>
          <t>无</t>
        </is>
      </c>
      <c r="T50" s="215" t="inlineStr">
        <is>
          <t/>
        </is>
      </c>
      <c r="U50" s="267" t="inlineStr">
        <is>
          <t/>
        </is>
      </c>
      <c r="V50" s="267" t="inlineStr">
        <is>
          <t/>
        </is>
      </c>
      <c r="W50" s="319" t="str">
        <f>IF(AND(U50&lt;&gt;"",V50&lt;&gt;""),(V50-U50)*86400,"")</f>
      </c>
    </row>
    <row r="51">
      <c r="A51" s="90" t="inlineStr">
        <is>
          <t>P024</t>
        </is>
      </c>
      <c r="B51" s="85" t="n">
        <v>1</v>
      </c>
      <c r="C51" s="85" t="inlineStr">
        <is>
          <t>方法B</t>
        </is>
      </c>
      <c r="D51" s="85" t="inlineStr">
        <is>
          <t>EgoAnchor</t>
        </is>
      </c>
      <c r="E51" s="215"/>
      <c r="F51" s="215"/>
      <c r="G51" s="215"/>
      <c r="H51" s="149" t="str">
        <f>IF(COUNT(E51:G51)=3,AVERAGE(E51:G51),"")</f>
      </c>
      <c r="I51" s="215"/>
      <c r="J51" s="215"/>
      <c r="K51" s="215"/>
      <c r="L51" s="149" t="str">
        <f>IF(COUNT(I51:K51)=3,AVERAGE(I51:K51),"")</f>
      </c>
      <c r="M51" s="215"/>
      <c r="N51" s="215"/>
      <c r="O51" s="215"/>
      <c r="P51" s="129" t="n">
        <f>9-COUNT(E51:G51,I51:O51)</f>
        <v>9</v>
      </c>
      <c r="Q51" s="129" t="str">
        <f>IF(P51=0,"完整","缺失")</f>
        <v>缺失</v>
      </c>
      <c r="R51" s="85" t="inlineStr">
        <is>
          <t>是</t>
        </is>
      </c>
      <c r="S51" s="215" t="inlineStr">
        <is>
          <t>无</t>
        </is>
      </c>
      <c r="T51" s="215" t="inlineStr">
        <is>
          <t/>
        </is>
      </c>
      <c r="U51" s="267" t="inlineStr">
        <is>
          <t/>
        </is>
      </c>
      <c r="V51" s="267" t="inlineStr">
        <is>
          <t/>
        </is>
      </c>
      <c r="W51" s="319" t="str">
        <f>IF(AND(U51&lt;&gt;"",V51&lt;&gt;""),(V51-U51)*86400,"")</f>
      </c>
    </row>
    <row r="52">
      <c r="A52" s="91" t="inlineStr">
        <is>
          <t>P024</t>
        </is>
      </c>
      <c r="B52" s="109" t="n">
        <v>2</v>
      </c>
      <c r="C52" s="109" t="inlineStr">
        <is>
          <t>方法A</t>
        </is>
      </c>
      <c r="D52" s="109" t="inlineStr">
        <is>
          <t>One-Euro</t>
        </is>
      </c>
      <c r="E52" s="218"/>
      <c r="F52" s="218"/>
      <c r="G52" s="218"/>
      <c r="H52" s="151" t="str">
        <f>IF(COUNT(E52:G52)=3,AVERAGE(E52:G52),"")</f>
      </c>
      <c r="I52" s="218"/>
      <c r="J52" s="218"/>
      <c r="K52" s="218"/>
      <c r="L52" s="151" t="str">
        <f>IF(COUNT(I52:K52)=3,AVERAGE(I52:K52),"")</f>
      </c>
      <c r="M52" s="218"/>
      <c r="N52" s="218"/>
      <c r="O52" s="218"/>
      <c r="P52" s="131" t="n">
        <f>9-COUNT(E52:G52,I52:O52)</f>
        <v>9</v>
      </c>
      <c r="Q52" s="131" t="str">
        <f>IF(P52=0,"完整","缺失")</f>
        <v>缺失</v>
      </c>
      <c r="R52" s="109" t="inlineStr">
        <is>
          <t>是</t>
        </is>
      </c>
      <c r="S52" s="218" t="inlineStr">
        <is>
          <t>无</t>
        </is>
      </c>
      <c r="T52" s="218" t="inlineStr">
        <is>
          <t/>
        </is>
      </c>
      <c r="U52" s="268" t="inlineStr">
        <is>
          <t/>
        </is>
      </c>
      <c r="V52" s="268" t="inlineStr">
        <is>
          <t/>
        </is>
      </c>
      <c r="W52" s="320" t="str">
        <f>IF(AND(U52&lt;&gt;"",V52&lt;&gt;""),(V52-U52)*86400,"")</f>
      </c>
    </row>
  </sheetData>
  <mergeCells>
    <mergeCell ref="A1:W1"/>
    <mergeCell ref="A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FormatPr defaultRowHeight="15"/>
  <cols>
    <col min="1" max="1" width="16" hidden="0" customWidth="1"/>
    <col min="2" max="2" width="21" hidden="0" customWidth="1"/>
    <col min="3" max="3" width="19" hidden="0" customWidth="1"/>
    <col min="4" max="4" width="22" hidden="0" customWidth="1"/>
    <col min="5" max="5" width="25" hidden="0" customWidth="1"/>
    <col min="6" max="6" width="68" hidden="0" customWidth="1"/>
    <col min="7" max="7" width="62" hidden="0" customWidth="1"/>
    <col min="8" max="8" width="18" hidden="0" customWidth="1"/>
    <col min="9" max="9" width="19" hidden="0" customWidth="1"/>
    <col min="10" max="10" width="38" hidden="0" customWidth="1"/>
    <col min="11" max="11" width="19" hidden="0" customWidth="1"/>
  </cols>
  <sheetData>
    <row r="1">
      <c r="A1" s="4" t="inlineStr">
        <is>
          <t>最终方法选择、偏好强度、开放反馈与安全审计（24行）</t>
        </is>
      </c>
      <c r="B1" s="4"/>
      <c r="C1" s="4"/>
      <c r="D1" s="4"/>
      <c r="E1" s="4"/>
      <c r="F1" s="4"/>
      <c r="G1" s="4"/>
      <c r="H1" s="4"/>
      <c r="I1" s="4"/>
      <c r="J1" s="4"/>
      <c r="K1" s="4"/>
    </row>
    <row r="2">
      <c r="A2" s="68" t="inlineStr">
        <is>
          <t>参与者只看到方法A/B。Decoded_Choice在回答后自动依据Participants映射解码。开放反馈建议采用双编码；结束不适只作安全审计。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</row>
    <row r="4">
      <c r="A4" s="26" t="inlineStr">
        <is>
          <t>Participant_ID</t>
        </is>
      </c>
      <c r="B4" s="27" t="inlineStr">
        <is>
          <t>Final_Choice_Label</t>
        </is>
      </c>
      <c r="C4" s="27" t="inlineStr">
        <is>
          <t>Decoded_Choice</t>
        </is>
      </c>
      <c r="D4" s="27" t="inlineStr">
        <is>
          <t>Preference_Strength_1_7</t>
        </is>
      </c>
      <c r="E4" s="27" t="inlineStr">
        <is>
          <t>Difference_Confidence_1_7</t>
        </is>
      </c>
      <c r="F4" s="27" t="inlineStr">
        <is>
          <t>Most_Noticeable_Difference</t>
        </is>
      </c>
      <c r="G4" s="27" t="inlineStr">
        <is>
          <t>Primary_Distrust_Factor</t>
        </is>
      </c>
      <c r="H4" s="27" t="inlineStr">
        <is>
          <t>End_Discomfort</t>
        </is>
      </c>
      <c r="I4" s="27" t="inlineStr">
        <is>
          <t>Participant_Included</t>
        </is>
      </c>
      <c r="J4" s="27" t="inlineStr">
        <is>
          <t>Interviewer_Notes</t>
        </is>
      </c>
      <c r="K4" s="101" t="inlineStr">
        <is>
          <t>Response_Complete</t>
        </is>
      </c>
    </row>
    <row r="5">
      <c r="A5" s="90" t="inlineStr">
        <is>
          <t>P001</t>
        </is>
      </c>
      <c r="B5" s="215" t="inlineStr">
        <is>
          <t/>
        </is>
      </c>
      <c r="C5" s="129" t="str">
        <f>IF(B5="方法A",VLOOKUP(A5,Participants!$A$5:$W$28,22,FALSE),IF(B5="方法B",VLOOKUP(A5,Participants!$A$5:$W$28,23,FALSE),IF(B5="无明显偏好","无明显偏好","")))</f>
      </c>
      <c r="D5" s="215"/>
      <c r="E5" s="215"/>
      <c r="F5" s="215" t="inlineStr">
        <is>
          <t/>
        </is>
      </c>
      <c r="G5" s="215" t="inlineStr">
        <is>
          <t/>
        </is>
      </c>
      <c r="H5" s="215" t="inlineStr">
        <is>
          <t/>
        </is>
      </c>
      <c r="I5" s="85" t="inlineStr">
        <is>
          <t>是</t>
        </is>
      </c>
      <c r="J5" s="215" t="inlineStr">
        <is>
          <t/>
        </is>
      </c>
      <c r="K5" s="130" t="str">
        <f>IF(AND(B5&lt;&gt;"",D5&lt;&gt;"",E5&lt;&gt;"",F5&lt;&gt;"",G5&lt;&gt;"",H5&lt;&gt;""),"完整","缺失")</f>
        <v>缺失</v>
      </c>
    </row>
    <row r="6">
      <c r="A6" s="90" t="inlineStr">
        <is>
          <t>P002</t>
        </is>
      </c>
      <c r="B6" s="215" t="inlineStr">
        <is>
          <t/>
        </is>
      </c>
      <c r="C6" s="129" t="str">
        <f>IF(B6="方法A",VLOOKUP(A6,Participants!$A$5:$W$28,22,FALSE),IF(B6="方法B",VLOOKUP(A6,Participants!$A$5:$W$28,23,FALSE),IF(B6="无明显偏好","无明显偏好","")))</f>
      </c>
      <c r="D6" s="215"/>
      <c r="E6" s="215"/>
      <c r="F6" s="215" t="inlineStr">
        <is>
          <t/>
        </is>
      </c>
      <c r="G6" s="215" t="inlineStr">
        <is>
          <t/>
        </is>
      </c>
      <c r="H6" s="215" t="inlineStr">
        <is>
          <t/>
        </is>
      </c>
      <c r="I6" s="85" t="inlineStr">
        <is>
          <t>是</t>
        </is>
      </c>
      <c r="J6" s="215" t="inlineStr">
        <is>
          <t/>
        </is>
      </c>
      <c r="K6" s="130" t="str">
        <f>IF(AND(B6&lt;&gt;"",D6&lt;&gt;"",E6&lt;&gt;"",F6&lt;&gt;"",G6&lt;&gt;"",H6&lt;&gt;""),"完整","缺失")</f>
        <v>缺失</v>
      </c>
    </row>
    <row r="7">
      <c r="A7" s="90" t="inlineStr">
        <is>
          <t>P003</t>
        </is>
      </c>
      <c r="B7" s="215" t="inlineStr">
        <is>
          <t/>
        </is>
      </c>
      <c r="C7" s="129" t="str">
        <f>IF(B7="方法A",VLOOKUP(A7,Participants!$A$5:$W$28,22,FALSE),IF(B7="方法B",VLOOKUP(A7,Participants!$A$5:$W$28,23,FALSE),IF(B7="无明显偏好","无明显偏好","")))</f>
      </c>
      <c r="D7" s="215"/>
      <c r="E7" s="215"/>
      <c r="F7" s="215" t="inlineStr">
        <is>
          <t/>
        </is>
      </c>
      <c r="G7" s="215" t="inlineStr">
        <is>
          <t/>
        </is>
      </c>
      <c r="H7" s="215" t="inlineStr">
        <is>
          <t/>
        </is>
      </c>
      <c r="I7" s="85" t="inlineStr">
        <is>
          <t>是</t>
        </is>
      </c>
      <c r="J7" s="215" t="inlineStr">
        <is>
          <t/>
        </is>
      </c>
      <c r="K7" s="130" t="str">
        <f>IF(AND(B7&lt;&gt;"",D7&lt;&gt;"",E7&lt;&gt;"",F7&lt;&gt;"",G7&lt;&gt;"",H7&lt;&gt;""),"完整","缺失")</f>
        <v>缺失</v>
      </c>
    </row>
    <row r="8">
      <c r="A8" s="90" t="inlineStr">
        <is>
          <t>P004</t>
        </is>
      </c>
      <c r="B8" s="215" t="inlineStr">
        <is>
          <t/>
        </is>
      </c>
      <c r="C8" s="129" t="str">
        <f>IF(B8="方法A",VLOOKUP(A8,Participants!$A$5:$W$28,22,FALSE),IF(B8="方法B",VLOOKUP(A8,Participants!$A$5:$W$28,23,FALSE),IF(B8="无明显偏好","无明显偏好","")))</f>
      </c>
      <c r="D8" s="215"/>
      <c r="E8" s="215"/>
      <c r="F8" s="215" t="inlineStr">
        <is>
          <t/>
        </is>
      </c>
      <c r="G8" s="215" t="inlineStr">
        <is>
          <t/>
        </is>
      </c>
      <c r="H8" s="215" t="inlineStr">
        <is>
          <t/>
        </is>
      </c>
      <c r="I8" s="85" t="inlineStr">
        <is>
          <t>是</t>
        </is>
      </c>
      <c r="J8" s="215" t="inlineStr">
        <is>
          <t/>
        </is>
      </c>
      <c r="K8" s="130" t="str">
        <f>IF(AND(B8&lt;&gt;"",D8&lt;&gt;"",E8&lt;&gt;"",F8&lt;&gt;"",G8&lt;&gt;"",H8&lt;&gt;""),"完整","缺失")</f>
        <v>缺失</v>
      </c>
    </row>
    <row r="9">
      <c r="A9" s="90" t="inlineStr">
        <is>
          <t>P005</t>
        </is>
      </c>
      <c r="B9" s="215" t="inlineStr">
        <is>
          <t/>
        </is>
      </c>
      <c r="C9" s="129" t="str">
        <f>IF(B9="方法A",VLOOKUP(A9,Participants!$A$5:$W$28,22,FALSE),IF(B9="方法B",VLOOKUP(A9,Participants!$A$5:$W$28,23,FALSE),IF(B9="无明显偏好","无明显偏好","")))</f>
      </c>
      <c r="D9" s="215"/>
      <c r="E9" s="215"/>
      <c r="F9" s="215" t="inlineStr">
        <is>
          <t/>
        </is>
      </c>
      <c r="G9" s="215" t="inlineStr">
        <is>
          <t/>
        </is>
      </c>
      <c r="H9" s="215" t="inlineStr">
        <is>
          <t/>
        </is>
      </c>
      <c r="I9" s="85" t="inlineStr">
        <is>
          <t>是</t>
        </is>
      </c>
      <c r="J9" s="215" t="inlineStr">
        <is>
          <t/>
        </is>
      </c>
      <c r="K9" s="130" t="str">
        <f>IF(AND(B9&lt;&gt;"",D9&lt;&gt;"",E9&lt;&gt;"",F9&lt;&gt;"",G9&lt;&gt;"",H9&lt;&gt;""),"完整","缺失")</f>
        <v>缺失</v>
      </c>
    </row>
    <row r="10">
      <c r="A10" s="90" t="inlineStr">
        <is>
          <t>P006</t>
        </is>
      </c>
      <c r="B10" s="215" t="inlineStr">
        <is>
          <t/>
        </is>
      </c>
      <c r="C10" s="129" t="str">
        <f>IF(B10="方法A",VLOOKUP(A10,Participants!$A$5:$W$28,22,FALSE),IF(B10="方法B",VLOOKUP(A10,Participants!$A$5:$W$28,23,FALSE),IF(B10="无明显偏好","无明显偏好","")))</f>
      </c>
      <c r="D10" s="215"/>
      <c r="E10" s="215"/>
      <c r="F10" s="215" t="inlineStr">
        <is>
          <t/>
        </is>
      </c>
      <c r="G10" s="215" t="inlineStr">
        <is>
          <t/>
        </is>
      </c>
      <c r="H10" s="215" t="inlineStr">
        <is>
          <t/>
        </is>
      </c>
      <c r="I10" s="85" t="inlineStr">
        <is>
          <t>是</t>
        </is>
      </c>
      <c r="J10" s="215" t="inlineStr">
        <is>
          <t/>
        </is>
      </c>
      <c r="K10" s="130" t="str">
        <f>IF(AND(B10&lt;&gt;"",D10&lt;&gt;"",E10&lt;&gt;"",F10&lt;&gt;"",G10&lt;&gt;"",H10&lt;&gt;""),"完整","缺失")</f>
        <v>缺失</v>
      </c>
    </row>
    <row r="11">
      <c r="A11" s="90" t="inlineStr">
        <is>
          <t>P007</t>
        </is>
      </c>
      <c r="B11" s="215" t="inlineStr">
        <is>
          <t/>
        </is>
      </c>
      <c r="C11" s="129" t="str">
        <f>IF(B11="方法A",VLOOKUP(A11,Participants!$A$5:$W$28,22,FALSE),IF(B11="方法B",VLOOKUP(A11,Participants!$A$5:$W$28,23,FALSE),IF(B11="无明显偏好","无明显偏好","")))</f>
      </c>
      <c r="D11" s="215"/>
      <c r="E11" s="215"/>
      <c r="F11" s="215" t="inlineStr">
        <is>
          <t/>
        </is>
      </c>
      <c r="G11" s="215" t="inlineStr">
        <is>
          <t/>
        </is>
      </c>
      <c r="H11" s="215" t="inlineStr">
        <is>
          <t/>
        </is>
      </c>
      <c r="I11" s="85" t="inlineStr">
        <is>
          <t>是</t>
        </is>
      </c>
      <c r="J11" s="215" t="inlineStr">
        <is>
          <t/>
        </is>
      </c>
      <c r="K11" s="130" t="str">
        <f>IF(AND(B11&lt;&gt;"",D11&lt;&gt;"",E11&lt;&gt;"",F11&lt;&gt;"",G11&lt;&gt;"",H11&lt;&gt;""),"完整","缺失")</f>
        <v>缺失</v>
      </c>
    </row>
    <row r="12">
      <c r="A12" s="90" t="inlineStr">
        <is>
          <t>P008</t>
        </is>
      </c>
      <c r="B12" s="215" t="inlineStr">
        <is>
          <t/>
        </is>
      </c>
      <c r="C12" s="129" t="str">
        <f>IF(B12="方法A",VLOOKUP(A12,Participants!$A$5:$W$28,22,FALSE),IF(B12="方法B",VLOOKUP(A12,Participants!$A$5:$W$28,23,FALSE),IF(B12="无明显偏好","无明显偏好","")))</f>
      </c>
      <c r="D12" s="215"/>
      <c r="E12" s="215"/>
      <c r="F12" s="215" t="inlineStr">
        <is>
          <t/>
        </is>
      </c>
      <c r="G12" s="215" t="inlineStr">
        <is>
          <t/>
        </is>
      </c>
      <c r="H12" s="215" t="inlineStr">
        <is>
          <t/>
        </is>
      </c>
      <c r="I12" s="85" t="inlineStr">
        <is>
          <t>是</t>
        </is>
      </c>
      <c r="J12" s="215" t="inlineStr">
        <is>
          <t/>
        </is>
      </c>
      <c r="K12" s="130" t="str">
        <f>IF(AND(B12&lt;&gt;"",D12&lt;&gt;"",E12&lt;&gt;"",F12&lt;&gt;"",G12&lt;&gt;"",H12&lt;&gt;""),"完整","缺失")</f>
        <v>缺失</v>
      </c>
    </row>
    <row r="13">
      <c r="A13" s="90" t="inlineStr">
        <is>
          <t>P009</t>
        </is>
      </c>
      <c r="B13" s="215" t="inlineStr">
        <is>
          <t/>
        </is>
      </c>
      <c r="C13" s="129" t="str">
        <f>IF(B13="方法A",VLOOKUP(A13,Participants!$A$5:$W$28,22,FALSE),IF(B13="方法B",VLOOKUP(A13,Participants!$A$5:$W$28,23,FALSE),IF(B13="无明显偏好","无明显偏好","")))</f>
      </c>
      <c r="D13" s="215"/>
      <c r="E13" s="215"/>
      <c r="F13" s="215" t="inlineStr">
        <is>
          <t/>
        </is>
      </c>
      <c r="G13" s="215" t="inlineStr">
        <is>
          <t/>
        </is>
      </c>
      <c r="H13" s="215" t="inlineStr">
        <is>
          <t/>
        </is>
      </c>
      <c r="I13" s="85" t="inlineStr">
        <is>
          <t>是</t>
        </is>
      </c>
      <c r="J13" s="215" t="inlineStr">
        <is>
          <t/>
        </is>
      </c>
      <c r="K13" s="130" t="str">
        <f>IF(AND(B13&lt;&gt;"",D13&lt;&gt;"",E13&lt;&gt;"",F13&lt;&gt;"",G13&lt;&gt;"",H13&lt;&gt;""),"完整","缺失")</f>
        <v>缺失</v>
      </c>
    </row>
    <row r="14">
      <c r="A14" s="90" t="inlineStr">
        <is>
          <t>P010</t>
        </is>
      </c>
      <c r="B14" s="215" t="inlineStr">
        <is>
          <t/>
        </is>
      </c>
      <c r="C14" s="129" t="str">
        <f>IF(B14="方法A",VLOOKUP(A14,Participants!$A$5:$W$28,22,FALSE),IF(B14="方法B",VLOOKUP(A14,Participants!$A$5:$W$28,23,FALSE),IF(B14="无明显偏好","无明显偏好","")))</f>
      </c>
      <c r="D14" s="215"/>
      <c r="E14" s="215"/>
      <c r="F14" s="215" t="inlineStr">
        <is>
          <t/>
        </is>
      </c>
      <c r="G14" s="215" t="inlineStr">
        <is>
          <t/>
        </is>
      </c>
      <c r="H14" s="215" t="inlineStr">
        <is>
          <t/>
        </is>
      </c>
      <c r="I14" s="85" t="inlineStr">
        <is>
          <t>是</t>
        </is>
      </c>
      <c r="J14" s="215" t="inlineStr">
        <is>
          <t/>
        </is>
      </c>
      <c r="K14" s="130" t="str">
        <f>IF(AND(B14&lt;&gt;"",D14&lt;&gt;"",E14&lt;&gt;"",F14&lt;&gt;"",G14&lt;&gt;"",H14&lt;&gt;""),"完整","缺失")</f>
        <v>缺失</v>
      </c>
    </row>
    <row r="15">
      <c r="A15" s="90" t="inlineStr">
        <is>
          <t>P011</t>
        </is>
      </c>
      <c r="B15" s="215" t="inlineStr">
        <is>
          <t/>
        </is>
      </c>
      <c r="C15" s="129" t="str">
        <f>IF(B15="方法A",VLOOKUP(A15,Participants!$A$5:$W$28,22,FALSE),IF(B15="方法B",VLOOKUP(A15,Participants!$A$5:$W$28,23,FALSE),IF(B15="无明显偏好","无明显偏好","")))</f>
      </c>
      <c r="D15" s="215"/>
      <c r="E15" s="215"/>
      <c r="F15" s="215" t="inlineStr">
        <is>
          <t/>
        </is>
      </c>
      <c r="G15" s="215" t="inlineStr">
        <is>
          <t/>
        </is>
      </c>
      <c r="H15" s="215" t="inlineStr">
        <is>
          <t/>
        </is>
      </c>
      <c r="I15" s="85" t="inlineStr">
        <is>
          <t>是</t>
        </is>
      </c>
      <c r="J15" s="215" t="inlineStr">
        <is>
          <t/>
        </is>
      </c>
      <c r="K15" s="130" t="str">
        <f>IF(AND(B15&lt;&gt;"",D15&lt;&gt;"",E15&lt;&gt;"",F15&lt;&gt;"",G15&lt;&gt;"",H15&lt;&gt;""),"完整","缺失")</f>
        <v>缺失</v>
      </c>
    </row>
    <row r="16">
      <c r="A16" s="90" t="inlineStr">
        <is>
          <t>P012</t>
        </is>
      </c>
      <c r="B16" s="215" t="inlineStr">
        <is>
          <t/>
        </is>
      </c>
      <c r="C16" s="129" t="str">
        <f>IF(B16="方法A",VLOOKUP(A16,Participants!$A$5:$W$28,22,FALSE),IF(B16="方法B",VLOOKUP(A16,Participants!$A$5:$W$28,23,FALSE),IF(B16="无明显偏好","无明显偏好","")))</f>
      </c>
      <c r="D16" s="215"/>
      <c r="E16" s="215"/>
      <c r="F16" s="215" t="inlineStr">
        <is>
          <t/>
        </is>
      </c>
      <c r="G16" s="215" t="inlineStr">
        <is>
          <t/>
        </is>
      </c>
      <c r="H16" s="215" t="inlineStr">
        <is>
          <t/>
        </is>
      </c>
      <c r="I16" s="85" t="inlineStr">
        <is>
          <t>是</t>
        </is>
      </c>
      <c r="J16" s="215" t="inlineStr">
        <is>
          <t/>
        </is>
      </c>
      <c r="K16" s="130" t="str">
        <f>IF(AND(B16&lt;&gt;"",D16&lt;&gt;"",E16&lt;&gt;"",F16&lt;&gt;"",G16&lt;&gt;"",H16&lt;&gt;""),"完整","缺失")</f>
        <v>缺失</v>
      </c>
    </row>
    <row r="17">
      <c r="A17" s="90" t="inlineStr">
        <is>
          <t>P013</t>
        </is>
      </c>
      <c r="B17" s="215" t="inlineStr">
        <is>
          <t/>
        </is>
      </c>
      <c r="C17" s="129" t="str">
        <f>IF(B17="方法A",VLOOKUP(A17,Participants!$A$5:$W$28,22,FALSE),IF(B17="方法B",VLOOKUP(A17,Participants!$A$5:$W$28,23,FALSE),IF(B17="无明显偏好","无明显偏好","")))</f>
      </c>
      <c r="D17" s="215"/>
      <c r="E17" s="215"/>
      <c r="F17" s="215" t="inlineStr">
        <is>
          <t/>
        </is>
      </c>
      <c r="G17" s="215" t="inlineStr">
        <is>
          <t/>
        </is>
      </c>
      <c r="H17" s="215" t="inlineStr">
        <is>
          <t/>
        </is>
      </c>
      <c r="I17" s="85" t="inlineStr">
        <is>
          <t>是</t>
        </is>
      </c>
      <c r="J17" s="215" t="inlineStr">
        <is>
          <t/>
        </is>
      </c>
      <c r="K17" s="130" t="str">
        <f>IF(AND(B17&lt;&gt;"",D17&lt;&gt;"",E17&lt;&gt;"",F17&lt;&gt;"",G17&lt;&gt;"",H17&lt;&gt;""),"完整","缺失")</f>
        <v>缺失</v>
      </c>
    </row>
    <row r="18">
      <c r="A18" s="90" t="inlineStr">
        <is>
          <t>P014</t>
        </is>
      </c>
      <c r="B18" s="215" t="inlineStr">
        <is>
          <t/>
        </is>
      </c>
      <c r="C18" s="129" t="str">
        <f>IF(B18="方法A",VLOOKUP(A18,Participants!$A$5:$W$28,22,FALSE),IF(B18="方法B",VLOOKUP(A18,Participants!$A$5:$W$28,23,FALSE),IF(B18="无明显偏好","无明显偏好","")))</f>
      </c>
      <c r="D18" s="215"/>
      <c r="E18" s="215"/>
      <c r="F18" s="215" t="inlineStr">
        <is>
          <t/>
        </is>
      </c>
      <c r="G18" s="215" t="inlineStr">
        <is>
          <t/>
        </is>
      </c>
      <c r="H18" s="215" t="inlineStr">
        <is>
          <t/>
        </is>
      </c>
      <c r="I18" s="85" t="inlineStr">
        <is>
          <t>是</t>
        </is>
      </c>
      <c r="J18" s="215" t="inlineStr">
        <is>
          <t/>
        </is>
      </c>
      <c r="K18" s="130" t="str">
        <f>IF(AND(B18&lt;&gt;"",D18&lt;&gt;"",E18&lt;&gt;"",F18&lt;&gt;"",G18&lt;&gt;"",H18&lt;&gt;""),"完整","缺失")</f>
        <v>缺失</v>
      </c>
    </row>
    <row r="19">
      <c r="A19" s="90" t="inlineStr">
        <is>
          <t>P015</t>
        </is>
      </c>
      <c r="B19" s="215" t="inlineStr">
        <is>
          <t/>
        </is>
      </c>
      <c r="C19" s="129" t="str">
        <f>IF(B19="方法A",VLOOKUP(A19,Participants!$A$5:$W$28,22,FALSE),IF(B19="方法B",VLOOKUP(A19,Participants!$A$5:$W$28,23,FALSE),IF(B19="无明显偏好","无明显偏好","")))</f>
      </c>
      <c r="D19" s="215"/>
      <c r="E19" s="215"/>
      <c r="F19" s="215" t="inlineStr">
        <is>
          <t/>
        </is>
      </c>
      <c r="G19" s="215" t="inlineStr">
        <is>
          <t/>
        </is>
      </c>
      <c r="H19" s="215" t="inlineStr">
        <is>
          <t/>
        </is>
      </c>
      <c r="I19" s="85" t="inlineStr">
        <is>
          <t>是</t>
        </is>
      </c>
      <c r="J19" s="215" t="inlineStr">
        <is>
          <t/>
        </is>
      </c>
      <c r="K19" s="130" t="str">
        <f>IF(AND(B19&lt;&gt;"",D19&lt;&gt;"",E19&lt;&gt;"",F19&lt;&gt;"",G19&lt;&gt;"",H19&lt;&gt;""),"完整","缺失")</f>
        <v>缺失</v>
      </c>
    </row>
    <row r="20">
      <c r="A20" s="90" t="inlineStr">
        <is>
          <t>P016</t>
        </is>
      </c>
      <c r="B20" s="215" t="inlineStr">
        <is>
          <t/>
        </is>
      </c>
      <c r="C20" s="129" t="str">
        <f>IF(B20="方法A",VLOOKUP(A20,Participants!$A$5:$W$28,22,FALSE),IF(B20="方法B",VLOOKUP(A20,Participants!$A$5:$W$28,23,FALSE),IF(B20="无明显偏好","无明显偏好","")))</f>
      </c>
      <c r="D20" s="215"/>
      <c r="E20" s="215"/>
      <c r="F20" s="215" t="inlineStr">
        <is>
          <t/>
        </is>
      </c>
      <c r="G20" s="215" t="inlineStr">
        <is>
          <t/>
        </is>
      </c>
      <c r="H20" s="215" t="inlineStr">
        <is>
          <t/>
        </is>
      </c>
      <c r="I20" s="85" t="inlineStr">
        <is>
          <t>是</t>
        </is>
      </c>
      <c r="J20" s="215" t="inlineStr">
        <is>
          <t/>
        </is>
      </c>
      <c r="K20" s="130" t="str">
        <f>IF(AND(B20&lt;&gt;"",D20&lt;&gt;"",E20&lt;&gt;"",F20&lt;&gt;"",G20&lt;&gt;"",H20&lt;&gt;""),"完整","缺失")</f>
        <v>缺失</v>
      </c>
    </row>
    <row r="21">
      <c r="A21" s="90" t="inlineStr">
        <is>
          <t>P017</t>
        </is>
      </c>
      <c r="B21" s="215" t="inlineStr">
        <is>
          <t/>
        </is>
      </c>
      <c r="C21" s="129" t="str">
        <f>IF(B21="方法A",VLOOKUP(A21,Participants!$A$5:$W$28,22,FALSE),IF(B21="方法B",VLOOKUP(A21,Participants!$A$5:$W$28,23,FALSE),IF(B21="无明显偏好","无明显偏好","")))</f>
      </c>
      <c r="D21" s="215"/>
      <c r="E21" s="215"/>
      <c r="F21" s="215" t="inlineStr">
        <is>
          <t/>
        </is>
      </c>
      <c r="G21" s="215" t="inlineStr">
        <is>
          <t/>
        </is>
      </c>
      <c r="H21" s="215" t="inlineStr">
        <is>
          <t/>
        </is>
      </c>
      <c r="I21" s="85" t="inlineStr">
        <is>
          <t>是</t>
        </is>
      </c>
      <c r="J21" s="215" t="inlineStr">
        <is>
          <t/>
        </is>
      </c>
      <c r="K21" s="130" t="str">
        <f>IF(AND(B21&lt;&gt;"",D21&lt;&gt;"",E21&lt;&gt;"",F21&lt;&gt;"",G21&lt;&gt;"",H21&lt;&gt;""),"完整","缺失")</f>
        <v>缺失</v>
      </c>
    </row>
    <row r="22">
      <c r="A22" s="90" t="inlineStr">
        <is>
          <t>P018</t>
        </is>
      </c>
      <c r="B22" s="215" t="inlineStr">
        <is>
          <t/>
        </is>
      </c>
      <c r="C22" s="129" t="str">
        <f>IF(B22="方法A",VLOOKUP(A22,Participants!$A$5:$W$28,22,FALSE),IF(B22="方法B",VLOOKUP(A22,Participants!$A$5:$W$28,23,FALSE),IF(B22="无明显偏好","无明显偏好","")))</f>
      </c>
      <c r="D22" s="215"/>
      <c r="E22" s="215"/>
      <c r="F22" s="215" t="inlineStr">
        <is>
          <t/>
        </is>
      </c>
      <c r="G22" s="215" t="inlineStr">
        <is>
          <t/>
        </is>
      </c>
      <c r="H22" s="215" t="inlineStr">
        <is>
          <t/>
        </is>
      </c>
      <c r="I22" s="85" t="inlineStr">
        <is>
          <t>是</t>
        </is>
      </c>
      <c r="J22" s="215" t="inlineStr">
        <is>
          <t/>
        </is>
      </c>
      <c r="K22" s="130" t="str">
        <f>IF(AND(B22&lt;&gt;"",D22&lt;&gt;"",E22&lt;&gt;"",F22&lt;&gt;"",G22&lt;&gt;"",H22&lt;&gt;""),"完整","缺失")</f>
        <v>缺失</v>
      </c>
    </row>
    <row r="23">
      <c r="A23" s="90" t="inlineStr">
        <is>
          <t>P019</t>
        </is>
      </c>
      <c r="B23" s="215" t="inlineStr">
        <is>
          <t/>
        </is>
      </c>
      <c r="C23" s="129" t="str">
        <f>IF(B23="方法A",VLOOKUP(A23,Participants!$A$5:$W$28,22,FALSE),IF(B23="方法B",VLOOKUP(A23,Participants!$A$5:$W$28,23,FALSE),IF(B23="无明显偏好","无明显偏好","")))</f>
      </c>
      <c r="D23" s="215"/>
      <c r="E23" s="215"/>
      <c r="F23" s="215" t="inlineStr">
        <is>
          <t/>
        </is>
      </c>
      <c r="G23" s="215" t="inlineStr">
        <is>
          <t/>
        </is>
      </c>
      <c r="H23" s="215" t="inlineStr">
        <is>
          <t/>
        </is>
      </c>
      <c r="I23" s="85" t="inlineStr">
        <is>
          <t>是</t>
        </is>
      </c>
      <c r="J23" s="215" t="inlineStr">
        <is>
          <t/>
        </is>
      </c>
      <c r="K23" s="130" t="str">
        <f>IF(AND(B23&lt;&gt;"",D23&lt;&gt;"",E23&lt;&gt;"",F23&lt;&gt;"",G23&lt;&gt;"",H23&lt;&gt;""),"完整","缺失")</f>
        <v>缺失</v>
      </c>
    </row>
    <row r="24">
      <c r="A24" s="90" t="inlineStr">
        <is>
          <t>P020</t>
        </is>
      </c>
      <c r="B24" s="215" t="inlineStr">
        <is>
          <t/>
        </is>
      </c>
      <c r="C24" s="129" t="str">
        <f>IF(B24="方法A",VLOOKUP(A24,Participants!$A$5:$W$28,22,FALSE),IF(B24="方法B",VLOOKUP(A24,Participants!$A$5:$W$28,23,FALSE),IF(B24="无明显偏好","无明显偏好","")))</f>
      </c>
      <c r="D24" s="215"/>
      <c r="E24" s="215"/>
      <c r="F24" s="215" t="inlineStr">
        <is>
          <t/>
        </is>
      </c>
      <c r="G24" s="215" t="inlineStr">
        <is>
          <t/>
        </is>
      </c>
      <c r="H24" s="215" t="inlineStr">
        <is>
          <t/>
        </is>
      </c>
      <c r="I24" s="85" t="inlineStr">
        <is>
          <t>是</t>
        </is>
      </c>
      <c r="J24" s="215" t="inlineStr">
        <is>
          <t/>
        </is>
      </c>
      <c r="K24" s="130" t="str">
        <f>IF(AND(B24&lt;&gt;"",D24&lt;&gt;"",E24&lt;&gt;"",F24&lt;&gt;"",G24&lt;&gt;"",H24&lt;&gt;""),"完整","缺失")</f>
        <v>缺失</v>
      </c>
    </row>
    <row r="25">
      <c r="A25" s="90" t="inlineStr">
        <is>
          <t>P021</t>
        </is>
      </c>
      <c r="B25" s="215" t="inlineStr">
        <is>
          <t/>
        </is>
      </c>
      <c r="C25" s="129" t="str">
        <f>IF(B25="方法A",VLOOKUP(A25,Participants!$A$5:$W$28,22,FALSE),IF(B25="方法B",VLOOKUP(A25,Participants!$A$5:$W$28,23,FALSE),IF(B25="无明显偏好","无明显偏好","")))</f>
      </c>
      <c r="D25" s="215"/>
      <c r="E25" s="215"/>
      <c r="F25" s="215" t="inlineStr">
        <is>
          <t/>
        </is>
      </c>
      <c r="G25" s="215" t="inlineStr">
        <is>
          <t/>
        </is>
      </c>
      <c r="H25" s="215" t="inlineStr">
        <is>
          <t/>
        </is>
      </c>
      <c r="I25" s="85" t="inlineStr">
        <is>
          <t>是</t>
        </is>
      </c>
      <c r="J25" s="215" t="inlineStr">
        <is>
          <t/>
        </is>
      </c>
      <c r="K25" s="130" t="str">
        <f>IF(AND(B25&lt;&gt;"",D25&lt;&gt;"",E25&lt;&gt;"",F25&lt;&gt;"",G25&lt;&gt;"",H25&lt;&gt;""),"完整","缺失")</f>
        <v>缺失</v>
      </c>
    </row>
    <row r="26">
      <c r="A26" s="90" t="inlineStr">
        <is>
          <t>P022</t>
        </is>
      </c>
      <c r="B26" s="215" t="inlineStr">
        <is>
          <t/>
        </is>
      </c>
      <c r="C26" s="129" t="str">
        <f>IF(B26="方法A",VLOOKUP(A26,Participants!$A$5:$W$28,22,FALSE),IF(B26="方法B",VLOOKUP(A26,Participants!$A$5:$W$28,23,FALSE),IF(B26="无明显偏好","无明显偏好","")))</f>
      </c>
      <c r="D26" s="215"/>
      <c r="E26" s="215"/>
      <c r="F26" s="215" t="inlineStr">
        <is>
          <t/>
        </is>
      </c>
      <c r="G26" s="215" t="inlineStr">
        <is>
          <t/>
        </is>
      </c>
      <c r="H26" s="215" t="inlineStr">
        <is>
          <t/>
        </is>
      </c>
      <c r="I26" s="85" t="inlineStr">
        <is>
          <t>是</t>
        </is>
      </c>
      <c r="J26" s="215" t="inlineStr">
        <is>
          <t/>
        </is>
      </c>
      <c r="K26" s="130" t="str">
        <f>IF(AND(B26&lt;&gt;"",D26&lt;&gt;"",E26&lt;&gt;"",F26&lt;&gt;"",G26&lt;&gt;"",H26&lt;&gt;""),"完整","缺失")</f>
        <v>缺失</v>
      </c>
    </row>
    <row r="27">
      <c r="A27" s="90" t="inlineStr">
        <is>
          <t>P023</t>
        </is>
      </c>
      <c r="B27" s="215" t="inlineStr">
        <is>
          <t/>
        </is>
      </c>
      <c r="C27" s="129" t="str">
        <f>IF(B27="方法A",VLOOKUP(A27,Participants!$A$5:$W$28,22,FALSE),IF(B27="方法B",VLOOKUP(A27,Participants!$A$5:$W$28,23,FALSE),IF(B27="无明显偏好","无明显偏好","")))</f>
      </c>
      <c r="D27" s="215"/>
      <c r="E27" s="215"/>
      <c r="F27" s="215" t="inlineStr">
        <is>
          <t/>
        </is>
      </c>
      <c r="G27" s="215" t="inlineStr">
        <is>
          <t/>
        </is>
      </c>
      <c r="H27" s="215" t="inlineStr">
        <is>
          <t/>
        </is>
      </c>
      <c r="I27" s="85" t="inlineStr">
        <is>
          <t>是</t>
        </is>
      </c>
      <c r="J27" s="215" t="inlineStr">
        <is>
          <t/>
        </is>
      </c>
      <c r="K27" s="130" t="str">
        <f>IF(AND(B27&lt;&gt;"",D27&lt;&gt;"",E27&lt;&gt;"",F27&lt;&gt;"",G27&lt;&gt;"",H27&lt;&gt;""),"完整","缺失")</f>
        <v>缺失</v>
      </c>
    </row>
    <row r="28">
      <c r="A28" s="91" t="inlineStr">
        <is>
          <t>P024</t>
        </is>
      </c>
      <c r="B28" s="218" t="inlineStr">
        <is>
          <t/>
        </is>
      </c>
      <c r="C28" s="131" t="str">
        <f>IF(B28="方法A",VLOOKUP(A28,Participants!$A$5:$W$28,22,FALSE),IF(B28="方法B",VLOOKUP(A28,Participants!$A$5:$W$28,23,FALSE),IF(B28="无明显偏好","无明显偏好","")))</f>
      </c>
      <c r="D28" s="218"/>
      <c r="E28" s="218"/>
      <c r="F28" s="218" t="inlineStr">
        <is>
          <t/>
        </is>
      </c>
      <c r="G28" s="218" t="inlineStr">
        <is>
          <t/>
        </is>
      </c>
      <c r="H28" s="218" t="inlineStr">
        <is>
          <t/>
        </is>
      </c>
      <c r="I28" s="109" t="inlineStr">
        <is>
          <t>是</t>
        </is>
      </c>
      <c r="J28" s="218" t="inlineStr">
        <is>
          <t/>
        </is>
      </c>
      <c r="K28" s="132" t="str">
        <f>IF(AND(B28&lt;&gt;"",D28&lt;&gt;"",E28&lt;&gt;"",F28&lt;&gt;"",G28&lt;&gt;"",H28&lt;&gt;""),"完整","缺失")</f>
        <v>缺失</v>
      </c>
    </row>
  </sheetData>
  <mergeCells>
    <mergeCell ref="A1:K1"/>
    <mergeCell ref="A2: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FormatPr defaultRowHeight="15"/>
  <cols>
    <col min="1" max="1" width="16" hidden="0" customWidth="1"/>
    <col min="2" max="2" width="11" hidden="0" customWidth="1"/>
    <col min="3" max="3" width="17" hidden="0" customWidth="1"/>
    <col min="4" max="4" width="14" hidden="0" customWidth="1"/>
    <col min="5" max="5" width="17" hidden="0" customWidth="1"/>
    <col min="6" max="6" width="19" hidden="0" customWidth="1"/>
    <col min="7" max="7" width="20" hidden="0" customWidth="1"/>
    <col min="8" max="8" width="21" hidden="0" customWidth="1"/>
    <col min="9" max="9" width="20" hidden="0" customWidth="1"/>
    <col min="10" max="10" width="18" hidden="0" customWidth="1"/>
    <col min="11" max="11" width="21" hidden="0" customWidth="1"/>
    <col min="12" max="12" width="27" hidden="0" customWidth="1"/>
    <col min="13" max="13" width="23" hidden="0" customWidth="1"/>
    <col min="14" max="14" width="22" hidden="0" customWidth="1"/>
    <col min="15" max="15" width="31" hidden="0" customWidth="1"/>
    <col min="16" max="16" width="20" hidden="0" customWidth="1"/>
    <col min="17" max="17" width="23" hidden="0" customWidth="1"/>
    <col min="18" max="18" width="22" hidden="0" customWidth="1"/>
    <col min="19" max="19" width="27" hidden="0" customWidth="1"/>
    <col min="20" max="20" width="17" hidden="0" customWidth="1"/>
    <col min="21" max="21" width="22" hidden="0" customWidth="1"/>
    <col min="22" max="22" width="14" hidden="0" customWidth="1"/>
    <col min="23" max="23" width="38" hidden="0" customWidth="1"/>
  </cols>
  <sheetData>
    <row r="1">
      <c r="A1" s="4" t="inlineStr">
        <is>
          <t>运行时日志与技术审计（不作为用户体验因变量）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68" t="inlineStr">
        <is>
          <t>全部指标为自参考运行时日志，不是绝对配准误差。可用于检查两条件是否接收到可比的候选观测、遮挡是否进入预期生命周期状态，以及技术问题是否影响某个区块。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</row>
    <row r="4">
      <c r="A4" s="26" t="inlineStr">
        <is>
          <t>Participant_ID</t>
        </is>
      </c>
      <c r="B4" s="27" t="inlineStr">
        <is>
          <t>Block_Index</t>
        </is>
      </c>
      <c r="C4" s="27" t="inlineStr">
        <is>
          <t>Object</t>
        </is>
      </c>
      <c r="D4" s="27" t="inlineStr">
        <is>
          <t>Shown_Label</t>
        </is>
      </c>
      <c r="E4" s="27" t="inlineStr">
        <is>
          <t>Condition</t>
        </is>
      </c>
      <c r="F4" s="27" t="inlineStr">
        <is>
          <t>Candidate_Rate_Hz</t>
        </is>
      </c>
      <c r="G4" s="27" t="inlineStr">
        <is>
          <t>VCD_Score_Median</t>
        </is>
      </c>
      <c r="H4" s="27" t="inlineStr">
        <is>
          <t>VCD_Admission_Rate</t>
        </is>
      </c>
      <c r="I4" s="27" t="inlineStr">
        <is>
          <t>Output_Availability</t>
        </is>
      </c>
      <c r="J4" s="27" t="inlineStr">
        <is>
          <t>Occlusion_Events</t>
        </is>
      </c>
      <c r="K4" s="27" t="inlineStr">
        <is>
          <t>Occlusion_Duration_s</t>
        </is>
      </c>
      <c r="L4" s="27" t="inlineStr">
        <is>
          <t>Occlusion_Lifecycle_State</t>
        </is>
      </c>
      <c r="M4" s="27" t="inlineStr">
        <is>
          <t>Server_Reacquire_Count</t>
        </is>
      </c>
      <c r="N4" s="27" t="inlineStr">
        <is>
          <t>StaticLock_Enter_Count</t>
        </is>
      </c>
      <c r="O4" s="27" t="inlineStr">
        <is>
          <t>Display_Frame_Increment_P95_mm</t>
        </is>
      </c>
      <c r="P4" s="27" t="inlineStr">
        <is>
          <t>Block_Duration_s</t>
        </is>
      </c>
      <c r="Q4" s="27" t="inlineStr">
        <is>
          <t>Static_Phase_Duration_s</t>
        </is>
      </c>
      <c r="R4" s="27" t="inlineStr">
        <is>
          <t>Move_Phase_Duration_s</t>
        </is>
      </c>
      <c r="S4" s="27" t="inlineStr">
        <is>
          <t>Occlusion_Phase_Duration_s</t>
        </is>
      </c>
      <c r="T4" s="27" t="inlineStr">
        <is>
          <t>AQ_Duration_s</t>
        </is>
      </c>
      <c r="U4" s="27" t="inlineStr">
        <is>
          <t>Technical_Issue</t>
        </is>
      </c>
      <c r="V4" s="27" t="inlineStr">
        <is>
          <t>Block_Valid</t>
        </is>
      </c>
      <c r="W4" s="101" t="inlineStr">
        <is>
          <t>Notes</t>
        </is>
      </c>
    </row>
    <row r="5">
      <c r="A5" s="90" t="inlineStr">
        <is>
          <t>P001</t>
        </is>
      </c>
      <c r="B5" s="85" t="n">
        <v>1</v>
      </c>
      <c r="C5" s="85" t="inlineStr">
        <is>
          <t>鼠标</t>
        </is>
      </c>
      <c r="D5" s="85" t="inlineStr">
        <is>
          <t>方法A</t>
        </is>
      </c>
      <c r="E5" s="85" t="inlineStr">
        <is>
          <t>EgoAnchor</t>
        </is>
      </c>
      <c r="F5" s="215"/>
      <c r="G5" s="215"/>
      <c r="H5" s="215"/>
      <c r="I5" s="215"/>
      <c r="J5" s="215"/>
      <c r="K5" s="215"/>
      <c r="L5" s="215" t="inlineStr">
        <is>
          <t/>
        </is>
      </c>
      <c r="M5" s="215"/>
      <c r="N5" s="215"/>
      <c r="O5" s="215"/>
      <c r="P5" s="215"/>
      <c r="Q5" s="215"/>
      <c r="R5" s="215"/>
      <c r="S5" s="215"/>
      <c r="T5" s="215"/>
      <c r="U5" s="215" t="inlineStr">
        <is>
          <t>无</t>
        </is>
      </c>
      <c r="V5" s="215" t="inlineStr">
        <is>
          <t>是</t>
        </is>
      </c>
      <c r="W5" s="243" t="inlineStr">
        <is>
          <t/>
        </is>
      </c>
    </row>
    <row r="6">
      <c r="A6" s="90" t="inlineStr">
        <is>
          <t>P001</t>
        </is>
      </c>
      <c r="B6" s="85" t="n">
        <v>2</v>
      </c>
      <c r="C6" s="85" t="inlineStr">
        <is>
          <t>鼠标</t>
        </is>
      </c>
      <c r="D6" s="85" t="inlineStr">
        <is>
          <t>方法B</t>
        </is>
      </c>
      <c r="E6" s="85" t="inlineStr">
        <is>
          <t>One-Euro</t>
        </is>
      </c>
      <c r="F6" s="215"/>
      <c r="G6" s="215"/>
      <c r="H6" s="215"/>
      <c r="I6" s="215"/>
      <c r="J6" s="215"/>
      <c r="K6" s="215"/>
      <c r="L6" s="215" t="inlineStr">
        <is>
          <t/>
        </is>
      </c>
      <c r="M6" s="215"/>
      <c r="N6" s="215"/>
      <c r="O6" s="215"/>
      <c r="P6" s="215"/>
      <c r="Q6" s="215"/>
      <c r="R6" s="215"/>
      <c r="S6" s="215"/>
      <c r="T6" s="215"/>
      <c r="U6" s="215" t="inlineStr">
        <is>
          <t>无</t>
        </is>
      </c>
      <c r="V6" s="215" t="inlineStr">
        <is>
          <t>是</t>
        </is>
      </c>
      <c r="W6" s="243" t="inlineStr">
        <is>
          <t/>
        </is>
      </c>
    </row>
    <row r="7">
      <c r="A7" s="90" t="inlineStr">
        <is>
          <t>P001</t>
        </is>
      </c>
      <c r="B7" s="85" t="n">
        <v>3</v>
      </c>
      <c r="C7" s="85" t="inlineStr">
        <is>
          <t>固定订书机</t>
        </is>
      </c>
      <c r="D7" s="85" t="inlineStr">
        <is>
          <t>方法B</t>
        </is>
      </c>
      <c r="E7" s="85" t="inlineStr">
        <is>
          <t>One-Euro</t>
        </is>
      </c>
      <c r="F7" s="215"/>
      <c r="G7" s="215"/>
      <c r="H7" s="215"/>
      <c r="I7" s="215"/>
      <c r="J7" s="215"/>
      <c r="K7" s="215"/>
      <c r="L7" s="215" t="inlineStr">
        <is>
          <t/>
        </is>
      </c>
      <c r="M7" s="215"/>
      <c r="N7" s="215"/>
      <c r="O7" s="215"/>
      <c r="P7" s="215"/>
      <c r="Q7" s="215"/>
      <c r="R7" s="215"/>
      <c r="S7" s="215"/>
      <c r="T7" s="215"/>
      <c r="U7" s="215" t="inlineStr">
        <is>
          <t>无</t>
        </is>
      </c>
      <c r="V7" s="215" t="inlineStr">
        <is>
          <t>是</t>
        </is>
      </c>
      <c r="W7" s="243" t="inlineStr">
        <is>
          <t/>
        </is>
      </c>
    </row>
    <row r="8">
      <c r="A8" s="90" t="inlineStr">
        <is>
          <t>P001</t>
        </is>
      </c>
      <c r="B8" s="85" t="n">
        <v>4</v>
      </c>
      <c r="C8" s="85" t="inlineStr">
        <is>
          <t>固定订书机</t>
        </is>
      </c>
      <c r="D8" s="85" t="inlineStr">
        <is>
          <t>方法A</t>
        </is>
      </c>
      <c r="E8" s="85" t="inlineStr">
        <is>
          <t>EgoAnchor</t>
        </is>
      </c>
      <c r="F8" s="215"/>
      <c r="G8" s="215"/>
      <c r="H8" s="215"/>
      <c r="I8" s="215"/>
      <c r="J8" s="215"/>
      <c r="K8" s="215"/>
      <c r="L8" s="215" t="inlineStr">
        <is>
          <t/>
        </is>
      </c>
      <c r="M8" s="215"/>
      <c r="N8" s="215"/>
      <c r="O8" s="215"/>
      <c r="P8" s="215"/>
      <c r="Q8" s="215"/>
      <c r="R8" s="215"/>
      <c r="S8" s="215"/>
      <c r="T8" s="215"/>
      <c r="U8" s="215" t="inlineStr">
        <is>
          <t>无</t>
        </is>
      </c>
      <c r="V8" s="215" t="inlineStr">
        <is>
          <t>是</t>
        </is>
      </c>
      <c r="W8" s="243" t="inlineStr">
        <is>
          <t/>
        </is>
      </c>
    </row>
    <row r="9">
      <c r="A9" s="90" t="inlineStr">
        <is>
          <t>P001</t>
        </is>
      </c>
      <c r="B9" s="85" t="n">
        <v>5</v>
      </c>
      <c r="C9" s="85" t="inlineStr">
        <is>
          <t>游戏手柄</t>
        </is>
      </c>
      <c r="D9" s="85" t="inlineStr">
        <is>
          <t>方法A</t>
        </is>
      </c>
      <c r="E9" s="85" t="inlineStr">
        <is>
          <t>EgoAnchor</t>
        </is>
      </c>
      <c r="F9" s="215"/>
      <c r="G9" s="215"/>
      <c r="H9" s="215"/>
      <c r="I9" s="215"/>
      <c r="J9" s="215"/>
      <c r="K9" s="215"/>
      <c r="L9" s="215" t="inlineStr">
        <is>
          <t/>
        </is>
      </c>
      <c r="M9" s="215"/>
      <c r="N9" s="215"/>
      <c r="O9" s="215"/>
      <c r="P9" s="215"/>
      <c r="Q9" s="215"/>
      <c r="R9" s="215"/>
      <c r="S9" s="215"/>
      <c r="T9" s="215"/>
      <c r="U9" s="215" t="inlineStr">
        <is>
          <t>无</t>
        </is>
      </c>
      <c r="V9" s="215" t="inlineStr">
        <is>
          <t>是</t>
        </is>
      </c>
      <c r="W9" s="243" t="inlineStr">
        <is>
          <t/>
        </is>
      </c>
    </row>
    <row r="10">
      <c r="A10" s="90" t="inlineStr">
        <is>
          <t>P001</t>
        </is>
      </c>
      <c r="B10" s="85" t="n">
        <v>6</v>
      </c>
      <c r="C10" s="85" t="inlineStr">
        <is>
          <t>游戏手柄</t>
        </is>
      </c>
      <c r="D10" s="85" t="inlineStr">
        <is>
          <t>方法B</t>
        </is>
      </c>
      <c r="E10" s="85" t="inlineStr">
        <is>
          <t>One-Euro</t>
        </is>
      </c>
      <c r="F10" s="215"/>
      <c r="G10" s="215"/>
      <c r="H10" s="215"/>
      <c r="I10" s="215"/>
      <c r="J10" s="215"/>
      <c r="K10" s="215"/>
      <c r="L10" s="215" t="inlineStr">
        <is>
          <t/>
        </is>
      </c>
      <c r="M10" s="215"/>
      <c r="N10" s="215"/>
      <c r="O10" s="215"/>
      <c r="P10" s="215"/>
      <c r="Q10" s="215"/>
      <c r="R10" s="215"/>
      <c r="S10" s="215"/>
      <c r="T10" s="215"/>
      <c r="U10" s="215" t="inlineStr">
        <is>
          <t>无</t>
        </is>
      </c>
      <c r="V10" s="215" t="inlineStr">
        <is>
          <t>是</t>
        </is>
      </c>
      <c r="W10" s="243" t="inlineStr">
        <is>
          <t/>
        </is>
      </c>
    </row>
    <row r="11">
      <c r="A11" s="90" t="inlineStr">
        <is>
          <t>P002</t>
        </is>
      </c>
      <c r="B11" s="85" t="n">
        <v>1</v>
      </c>
      <c r="C11" s="85" t="inlineStr">
        <is>
          <t>鼠标</t>
        </is>
      </c>
      <c r="D11" s="85" t="inlineStr">
        <is>
          <t>方法A</t>
        </is>
      </c>
      <c r="E11" s="85" t="inlineStr">
        <is>
          <t>EgoAnchor</t>
        </is>
      </c>
      <c r="F11" s="215"/>
      <c r="G11" s="215"/>
      <c r="H11" s="215"/>
      <c r="I11" s="215"/>
      <c r="J11" s="215"/>
      <c r="K11" s="215"/>
      <c r="L11" s="215" t="inlineStr">
        <is>
          <t/>
        </is>
      </c>
      <c r="M11" s="215"/>
      <c r="N11" s="215"/>
      <c r="O11" s="215"/>
      <c r="P11" s="215"/>
      <c r="Q11" s="215"/>
      <c r="R11" s="215"/>
      <c r="S11" s="215"/>
      <c r="T11" s="215"/>
      <c r="U11" s="215" t="inlineStr">
        <is>
          <t>无</t>
        </is>
      </c>
      <c r="V11" s="215" t="inlineStr">
        <is>
          <t>是</t>
        </is>
      </c>
      <c r="W11" s="243" t="inlineStr">
        <is>
          <t/>
        </is>
      </c>
    </row>
    <row r="12">
      <c r="A12" s="90" t="inlineStr">
        <is>
          <t>P002</t>
        </is>
      </c>
      <c r="B12" s="85" t="n">
        <v>2</v>
      </c>
      <c r="C12" s="85" t="inlineStr">
        <is>
          <t>鼠标</t>
        </is>
      </c>
      <c r="D12" s="85" t="inlineStr">
        <is>
          <t>方法B</t>
        </is>
      </c>
      <c r="E12" s="85" t="inlineStr">
        <is>
          <t>One-Euro</t>
        </is>
      </c>
      <c r="F12" s="215"/>
      <c r="G12" s="215"/>
      <c r="H12" s="215"/>
      <c r="I12" s="215"/>
      <c r="J12" s="215"/>
      <c r="K12" s="215"/>
      <c r="L12" s="215" t="inlineStr">
        <is>
          <t/>
        </is>
      </c>
      <c r="M12" s="215"/>
      <c r="N12" s="215"/>
      <c r="O12" s="215"/>
      <c r="P12" s="215"/>
      <c r="Q12" s="215"/>
      <c r="R12" s="215"/>
      <c r="S12" s="215"/>
      <c r="T12" s="215"/>
      <c r="U12" s="215" t="inlineStr">
        <is>
          <t>无</t>
        </is>
      </c>
      <c r="V12" s="215" t="inlineStr">
        <is>
          <t>是</t>
        </is>
      </c>
      <c r="W12" s="243" t="inlineStr">
        <is>
          <t/>
        </is>
      </c>
    </row>
    <row r="13">
      <c r="A13" s="90" t="inlineStr">
        <is>
          <t>P002</t>
        </is>
      </c>
      <c r="B13" s="85" t="n">
        <v>3</v>
      </c>
      <c r="C13" s="85" t="inlineStr">
        <is>
          <t>游戏手柄</t>
        </is>
      </c>
      <c r="D13" s="85" t="inlineStr">
        <is>
          <t>方法B</t>
        </is>
      </c>
      <c r="E13" s="85" t="inlineStr">
        <is>
          <t>One-Euro</t>
        </is>
      </c>
      <c r="F13" s="215"/>
      <c r="G13" s="215"/>
      <c r="H13" s="215"/>
      <c r="I13" s="215"/>
      <c r="J13" s="215"/>
      <c r="K13" s="215"/>
      <c r="L13" s="215" t="inlineStr">
        <is>
          <t/>
        </is>
      </c>
      <c r="M13" s="215"/>
      <c r="N13" s="215"/>
      <c r="O13" s="215"/>
      <c r="P13" s="215"/>
      <c r="Q13" s="215"/>
      <c r="R13" s="215"/>
      <c r="S13" s="215"/>
      <c r="T13" s="215"/>
      <c r="U13" s="215" t="inlineStr">
        <is>
          <t>无</t>
        </is>
      </c>
      <c r="V13" s="215" t="inlineStr">
        <is>
          <t>是</t>
        </is>
      </c>
      <c r="W13" s="243" t="inlineStr">
        <is>
          <t/>
        </is>
      </c>
    </row>
    <row r="14">
      <c r="A14" s="90" t="inlineStr">
        <is>
          <t>P002</t>
        </is>
      </c>
      <c r="B14" s="85" t="n">
        <v>4</v>
      </c>
      <c r="C14" s="85" t="inlineStr">
        <is>
          <t>游戏手柄</t>
        </is>
      </c>
      <c r="D14" s="85" t="inlineStr">
        <is>
          <t>方法A</t>
        </is>
      </c>
      <c r="E14" s="85" t="inlineStr">
        <is>
          <t>EgoAnchor</t>
        </is>
      </c>
      <c r="F14" s="215"/>
      <c r="G14" s="215"/>
      <c r="H14" s="215"/>
      <c r="I14" s="215"/>
      <c r="J14" s="215"/>
      <c r="K14" s="215"/>
      <c r="L14" s="215" t="inlineStr">
        <is>
          <t/>
        </is>
      </c>
      <c r="M14" s="215"/>
      <c r="N14" s="215"/>
      <c r="O14" s="215"/>
      <c r="P14" s="215"/>
      <c r="Q14" s="215"/>
      <c r="R14" s="215"/>
      <c r="S14" s="215"/>
      <c r="T14" s="215"/>
      <c r="U14" s="215" t="inlineStr">
        <is>
          <t>无</t>
        </is>
      </c>
      <c r="V14" s="215" t="inlineStr">
        <is>
          <t>是</t>
        </is>
      </c>
      <c r="W14" s="243" t="inlineStr">
        <is>
          <t/>
        </is>
      </c>
    </row>
    <row r="15">
      <c r="A15" s="90" t="inlineStr">
        <is>
          <t>P002</t>
        </is>
      </c>
      <c r="B15" s="85" t="n">
        <v>5</v>
      </c>
      <c r="C15" s="85" t="inlineStr">
        <is>
          <t>固定订书机</t>
        </is>
      </c>
      <c r="D15" s="85" t="inlineStr">
        <is>
          <t>方法A</t>
        </is>
      </c>
      <c r="E15" s="85" t="inlineStr">
        <is>
          <t>EgoAnchor</t>
        </is>
      </c>
      <c r="F15" s="215"/>
      <c r="G15" s="215"/>
      <c r="H15" s="215"/>
      <c r="I15" s="215"/>
      <c r="J15" s="215"/>
      <c r="K15" s="215"/>
      <c r="L15" s="215" t="inlineStr">
        <is>
          <t/>
        </is>
      </c>
      <c r="M15" s="215"/>
      <c r="N15" s="215"/>
      <c r="O15" s="215"/>
      <c r="P15" s="215"/>
      <c r="Q15" s="215"/>
      <c r="R15" s="215"/>
      <c r="S15" s="215"/>
      <c r="T15" s="215"/>
      <c r="U15" s="215" t="inlineStr">
        <is>
          <t>无</t>
        </is>
      </c>
      <c r="V15" s="215" t="inlineStr">
        <is>
          <t>是</t>
        </is>
      </c>
      <c r="W15" s="243" t="inlineStr">
        <is>
          <t/>
        </is>
      </c>
    </row>
    <row r="16">
      <c r="A16" s="90" t="inlineStr">
        <is>
          <t>P002</t>
        </is>
      </c>
      <c r="B16" s="85" t="n">
        <v>6</v>
      </c>
      <c r="C16" s="85" t="inlineStr">
        <is>
          <t>固定订书机</t>
        </is>
      </c>
      <c r="D16" s="85" t="inlineStr">
        <is>
          <t>方法B</t>
        </is>
      </c>
      <c r="E16" s="85" t="inlineStr">
        <is>
          <t>One-Euro</t>
        </is>
      </c>
      <c r="F16" s="215"/>
      <c r="G16" s="215"/>
      <c r="H16" s="215"/>
      <c r="I16" s="215"/>
      <c r="J16" s="215"/>
      <c r="K16" s="215"/>
      <c r="L16" s="215" t="inlineStr">
        <is>
          <t/>
        </is>
      </c>
      <c r="M16" s="215"/>
      <c r="N16" s="215"/>
      <c r="O16" s="215"/>
      <c r="P16" s="215"/>
      <c r="Q16" s="215"/>
      <c r="R16" s="215"/>
      <c r="S16" s="215"/>
      <c r="T16" s="215"/>
      <c r="U16" s="215" t="inlineStr">
        <is>
          <t>无</t>
        </is>
      </c>
      <c r="V16" s="215" t="inlineStr">
        <is>
          <t>是</t>
        </is>
      </c>
      <c r="W16" s="243" t="inlineStr">
        <is>
          <t/>
        </is>
      </c>
    </row>
    <row r="17">
      <c r="A17" s="90" t="inlineStr">
        <is>
          <t>P003</t>
        </is>
      </c>
      <c r="B17" s="85" t="n">
        <v>1</v>
      </c>
      <c r="C17" s="85" t="inlineStr">
        <is>
          <t>固定订书机</t>
        </is>
      </c>
      <c r="D17" s="85" t="inlineStr">
        <is>
          <t>方法A</t>
        </is>
      </c>
      <c r="E17" s="85" t="inlineStr">
        <is>
          <t>EgoAnchor</t>
        </is>
      </c>
      <c r="F17" s="215"/>
      <c r="G17" s="215"/>
      <c r="H17" s="215"/>
      <c r="I17" s="215"/>
      <c r="J17" s="215"/>
      <c r="K17" s="215"/>
      <c r="L17" s="215" t="inlineStr">
        <is>
          <t/>
        </is>
      </c>
      <c r="M17" s="215"/>
      <c r="N17" s="215"/>
      <c r="O17" s="215"/>
      <c r="P17" s="215"/>
      <c r="Q17" s="215"/>
      <c r="R17" s="215"/>
      <c r="S17" s="215"/>
      <c r="T17" s="215"/>
      <c r="U17" s="215" t="inlineStr">
        <is>
          <t>无</t>
        </is>
      </c>
      <c r="V17" s="215" t="inlineStr">
        <is>
          <t>是</t>
        </is>
      </c>
      <c r="W17" s="243" t="inlineStr">
        <is>
          <t/>
        </is>
      </c>
    </row>
    <row r="18">
      <c r="A18" s="90" t="inlineStr">
        <is>
          <t>P003</t>
        </is>
      </c>
      <c r="B18" s="85" t="n">
        <v>2</v>
      </c>
      <c r="C18" s="85" t="inlineStr">
        <is>
          <t>固定订书机</t>
        </is>
      </c>
      <c r="D18" s="85" t="inlineStr">
        <is>
          <t>方法B</t>
        </is>
      </c>
      <c r="E18" s="85" t="inlineStr">
        <is>
          <t>One-Euro</t>
        </is>
      </c>
      <c r="F18" s="215"/>
      <c r="G18" s="215"/>
      <c r="H18" s="215"/>
      <c r="I18" s="215"/>
      <c r="J18" s="215"/>
      <c r="K18" s="215"/>
      <c r="L18" s="215" t="inlineStr">
        <is>
          <t/>
        </is>
      </c>
      <c r="M18" s="215"/>
      <c r="N18" s="215"/>
      <c r="O18" s="215"/>
      <c r="P18" s="215"/>
      <c r="Q18" s="215"/>
      <c r="R18" s="215"/>
      <c r="S18" s="215"/>
      <c r="T18" s="215"/>
      <c r="U18" s="215" t="inlineStr">
        <is>
          <t>无</t>
        </is>
      </c>
      <c r="V18" s="215" t="inlineStr">
        <is>
          <t>是</t>
        </is>
      </c>
      <c r="W18" s="243" t="inlineStr">
        <is>
          <t/>
        </is>
      </c>
    </row>
    <row r="19">
      <c r="A19" s="90" t="inlineStr">
        <is>
          <t>P003</t>
        </is>
      </c>
      <c r="B19" s="85" t="n">
        <v>3</v>
      </c>
      <c r="C19" s="85" t="inlineStr">
        <is>
          <t>鼠标</t>
        </is>
      </c>
      <c r="D19" s="85" t="inlineStr">
        <is>
          <t>方法B</t>
        </is>
      </c>
      <c r="E19" s="85" t="inlineStr">
        <is>
          <t>One-Euro</t>
        </is>
      </c>
      <c r="F19" s="215"/>
      <c r="G19" s="215"/>
      <c r="H19" s="215"/>
      <c r="I19" s="215"/>
      <c r="J19" s="215"/>
      <c r="K19" s="215"/>
      <c r="L19" s="215" t="inlineStr">
        <is>
          <t/>
        </is>
      </c>
      <c r="M19" s="215"/>
      <c r="N19" s="215"/>
      <c r="O19" s="215"/>
      <c r="P19" s="215"/>
      <c r="Q19" s="215"/>
      <c r="R19" s="215"/>
      <c r="S19" s="215"/>
      <c r="T19" s="215"/>
      <c r="U19" s="215" t="inlineStr">
        <is>
          <t>无</t>
        </is>
      </c>
      <c r="V19" s="215" t="inlineStr">
        <is>
          <t>是</t>
        </is>
      </c>
      <c r="W19" s="243" t="inlineStr">
        <is>
          <t/>
        </is>
      </c>
    </row>
    <row r="20">
      <c r="A20" s="90" t="inlineStr">
        <is>
          <t>P003</t>
        </is>
      </c>
      <c r="B20" s="85" t="n">
        <v>4</v>
      </c>
      <c r="C20" s="85" t="inlineStr">
        <is>
          <t>鼠标</t>
        </is>
      </c>
      <c r="D20" s="85" t="inlineStr">
        <is>
          <t>方法A</t>
        </is>
      </c>
      <c r="E20" s="85" t="inlineStr">
        <is>
          <t>EgoAnchor</t>
        </is>
      </c>
      <c r="F20" s="215"/>
      <c r="G20" s="215"/>
      <c r="H20" s="215"/>
      <c r="I20" s="215"/>
      <c r="J20" s="215"/>
      <c r="K20" s="215"/>
      <c r="L20" s="215" t="inlineStr">
        <is>
          <t/>
        </is>
      </c>
      <c r="M20" s="215"/>
      <c r="N20" s="215"/>
      <c r="O20" s="215"/>
      <c r="P20" s="215"/>
      <c r="Q20" s="215"/>
      <c r="R20" s="215"/>
      <c r="S20" s="215"/>
      <c r="T20" s="215"/>
      <c r="U20" s="215" t="inlineStr">
        <is>
          <t>无</t>
        </is>
      </c>
      <c r="V20" s="215" t="inlineStr">
        <is>
          <t>是</t>
        </is>
      </c>
      <c r="W20" s="243" t="inlineStr">
        <is>
          <t/>
        </is>
      </c>
    </row>
    <row r="21">
      <c r="A21" s="90" t="inlineStr">
        <is>
          <t>P003</t>
        </is>
      </c>
      <c r="B21" s="85" t="n">
        <v>5</v>
      </c>
      <c r="C21" s="85" t="inlineStr">
        <is>
          <t>游戏手柄</t>
        </is>
      </c>
      <c r="D21" s="85" t="inlineStr">
        <is>
          <t>方法A</t>
        </is>
      </c>
      <c r="E21" s="85" t="inlineStr">
        <is>
          <t>EgoAnchor</t>
        </is>
      </c>
      <c r="F21" s="215"/>
      <c r="G21" s="215"/>
      <c r="H21" s="215"/>
      <c r="I21" s="215"/>
      <c r="J21" s="215"/>
      <c r="K21" s="215"/>
      <c r="L21" s="215" t="inlineStr">
        <is>
          <t/>
        </is>
      </c>
      <c r="M21" s="215"/>
      <c r="N21" s="215"/>
      <c r="O21" s="215"/>
      <c r="P21" s="215"/>
      <c r="Q21" s="215"/>
      <c r="R21" s="215"/>
      <c r="S21" s="215"/>
      <c r="T21" s="215"/>
      <c r="U21" s="215" t="inlineStr">
        <is>
          <t>无</t>
        </is>
      </c>
      <c r="V21" s="215" t="inlineStr">
        <is>
          <t>是</t>
        </is>
      </c>
      <c r="W21" s="243" t="inlineStr">
        <is>
          <t/>
        </is>
      </c>
    </row>
    <row r="22">
      <c r="A22" s="90" t="inlineStr">
        <is>
          <t>P003</t>
        </is>
      </c>
      <c r="B22" s="85" t="n">
        <v>6</v>
      </c>
      <c r="C22" s="85" t="inlineStr">
        <is>
          <t>游戏手柄</t>
        </is>
      </c>
      <c r="D22" s="85" t="inlineStr">
        <is>
          <t>方法B</t>
        </is>
      </c>
      <c r="E22" s="85" t="inlineStr">
        <is>
          <t>One-Euro</t>
        </is>
      </c>
      <c r="F22" s="215"/>
      <c r="G22" s="215"/>
      <c r="H22" s="215"/>
      <c r="I22" s="215"/>
      <c r="J22" s="215"/>
      <c r="K22" s="215"/>
      <c r="L22" s="215" t="inlineStr">
        <is>
          <t/>
        </is>
      </c>
      <c r="M22" s="215"/>
      <c r="N22" s="215"/>
      <c r="O22" s="215"/>
      <c r="P22" s="215"/>
      <c r="Q22" s="215"/>
      <c r="R22" s="215"/>
      <c r="S22" s="215"/>
      <c r="T22" s="215"/>
      <c r="U22" s="215" t="inlineStr">
        <is>
          <t>无</t>
        </is>
      </c>
      <c r="V22" s="215" t="inlineStr">
        <is>
          <t>是</t>
        </is>
      </c>
      <c r="W22" s="243" t="inlineStr">
        <is>
          <t/>
        </is>
      </c>
    </row>
    <row r="23">
      <c r="A23" s="90" t="inlineStr">
        <is>
          <t>P004</t>
        </is>
      </c>
      <c r="B23" s="85" t="n">
        <v>1</v>
      </c>
      <c r="C23" s="85" t="inlineStr">
        <is>
          <t>固定订书机</t>
        </is>
      </c>
      <c r="D23" s="85" t="inlineStr">
        <is>
          <t>方法A</t>
        </is>
      </c>
      <c r="E23" s="85" t="inlineStr">
        <is>
          <t>EgoAnchor</t>
        </is>
      </c>
      <c r="F23" s="215"/>
      <c r="G23" s="215"/>
      <c r="H23" s="215"/>
      <c r="I23" s="215"/>
      <c r="J23" s="215"/>
      <c r="K23" s="215"/>
      <c r="L23" s="215" t="inlineStr">
        <is>
          <t/>
        </is>
      </c>
      <c r="M23" s="215"/>
      <c r="N23" s="215"/>
      <c r="O23" s="215"/>
      <c r="P23" s="215"/>
      <c r="Q23" s="215"/>
      <c r="R23" s="215"/>
      <c r="S23" s="215"/>
      <c r="T23" s="215"/>
      <c r="U23" s="215" t="inlineStr">
        <is>
          <t>无</t>
        </is>
      </c>
      <c r="V23" s="215" t="inlineStr">
        <is>
          <t>是</t>
        </is>
      </c>
      <c r="W23" s="243" t="inlineStr">
        <is>
          <t/>
        </is>
      </c>
    </row>
    <row r="24">
      <c r="A24" s="90" t="inlineStr">
        <is>
          <t>P004</t>
        </is>
      </c>
      <c r="B24" s="85" t="n">
        <v>2</v>
      </c>
      <c r="C24" s="85" t="inlineStr">
        <is>
          <t>固定订书机</t>
        </is>
      </c>
      <c r="D24" s="85" t="inlineStr">
        <is>
          <t>方法B</t>
        </is>
      </c>
      <c r="E24" s="85" t="inlineStr">
        <is>
          <t>One-Euro</t>
        </is>
      </c>
      <c r="F24" s="215"/>
      <c r="G24" s="215"/>
      <c r="H24" s="215"/>
      <c r="I24" s="215"/>
      <c r="J24" s="215"/>
      <c r="K24" s="215"/>
      <c r="L24" s="215" t="inlineStr">
        <is>
          <t/>
        </is>
      </c>
      <c r="M24" s="215"/>
      <c r="N24" s="215"/>
      <c r="O24" s="215"/>
      <c r="P24" s="215"/>
      <c r="Q24" s="215"/>
      <c r="R24" s="215"/>
      <c r="S24" s="215"/>
      <c r="T24" s="215"/>
      <c r="U24" s="215" t="inlineStr">
        <is>
          <t>无</t>
        </is>
      </c>
      <c r="V24" s="215" t="inlineStr">
        <is>
          <t>是</t>
        </is>
      </c>
      <c r="W24" s="243" t="inlineStr">
        <is>
          <t/>
        </is>
      </c>
    </row>
    <row r="25">
      <c r="A25" s="90" t="inlineStr">
        <is>
          <t>P004</t>
        </is>
      </c>
      <c r="B25" s="85" t="n">
        <v>3</v>
      </c>
      <c r="C25" s="85" t="inlineStr">
        <is>
          <t>游戏手柄</t>
        </is>
      </c>
      <c r="D25" s="85" t="inlineStr">
        <is>
          <t>方法B</t>
        </is>
      </c>
      <c r="E25" s="85" t="inlineStr">
        <is>
          <t>One-Euro</t>
        </is>
      </c>
      <c r="F25" s="215"/>
      <c r="G25" s="215"/>
      <c r="H25" s="215"/>
      <c r="I25" s="215"/>
      <c r="J25" s="215"/>
      <c r="K25" s="215"/>
      <c r="L25" s="215" t="inlineStr">
        <is>
          <t/>
        </is>
      </c>
      <c r="M25" s="215"/>
      <c r="N25" s="215"/>
      <c r="O25" s="215"/>
      <c r="P25" s="215"/>
      <c r="Q25" s="215"/>
      <c r="R25" s="215"/>
      <c r="S25" s="215"/>
      <c r="T25" s="215"/>
      <c r="U25" s="215" t="inlineStr">
        <is>
          <t>无</t>
        </is>
      </c>
      <c r="V25" s="215" t="inlineStr">
        <is>
          <t>是</t>
        </is>
      </c>
      <c r="W25" s="243" t="inlineStr">
        <is>
          <t/>
        </is>
      </c>
    </row>
    <row r="26">
      <c r="A26" s="90" t="inlineStr">
        <is>
          <t>P004</t>
        </is>
      </c>
      <c r="B26" s="85" t="n">
        <v>4</v>
      </c>
      <c r="C26" s="85" t="inlineStr">
        <is>
          <t>游戏手柄</t>
        </is>
      </c>
      <c r="D26" s="85" t="inlineStr">
        <is>
          <t>方法A</t>
        </is>
      </c>
      <c r="E26" s="85" t="inlineStr">
        <is>
          <t>EgoAnchor</t>
        </is>
      </c>
      <c r="F26" s="215"/>
      <c r="G26" s="215"/>
      <c r="H26" s="215"/>
      <c r="I26" s="215"/>
      <c r="J26" s="215"/>
      <c r="K26" s="215"/>
      <c r="L26" s="215" t="inlineStr">
        <is>
          <t/>
        </is>
      </c>
      <c r="M26" s="215"/>
      <c r="N26" s="215"/>
      <c r="O26" s="215"/>
      <c r="P26" s="215"/>
      <c r="Q26" s="215"/>
      <c r="R26" s="215"/>
      <c r="S26" s="215"/>
      <c r="T26" s="215"/>
      <c r="U26" s="215" t="inlineStr">
        <is>
          <t>无</t>
        </is>
      </c>
      <c r="V26" s="215" t="inlineStr">
        <is>
          <t>是</t>
        </is>
      </c>
      <c r="W26" s="243" t="inlineStr">
        <is>
          <t/>
        </is>
      </c>
    </row>
    <row r="27">
      <c r="A27" s="90" t="inlineStr">
        <is>
          <t>P004</t>
        </is>
      </c>
      <c r="B27" s="85" t="n">
        <v>5</v>
      </c>
      <c r="C27" s="85" t="inlineStr">
        <is>
          <t>鼠标</t>
        </is>
      </c>
      <c r="D27" s="85" t="inlineStr">
        <is>
          <t>方法A</t>
        </is>
      </c>
      <c r="E27" s="85" t="inlineStr">
        <is>
          <t>EgoAnchor</t>
        </is>
      </c>
      <c r="F27" s="215"/>
      <c r="G27" s="215"/>
      <c r="H27" s="215"/>
      <c r="I27" s="215"/>
      <c r="J27" s="215"/>
      <c r="K27" s="215"/>
      <c r="L27" s="215" t="inlineStr">
        <is>
          <t/>
        </is>
      </c>
      <c r="M27" s="215"/>
      <c r="N27" s="215"/>
      <c r="O27" s="215"/>
      <c r="P27" s="215"/>
      <c r="Q27" s="215"/>
      <c r="R27" s="215"/>
      <c r="S27" s="215"/>
      <c r="T27" s="215"/>
      <c r="U27" s="215" t="inlineStr">
        <is>
          <t>无</t>
        </is>
      </c>
      <c r="V27" s="215" t="inlineStr">
        <is>
          <t>是</t>
        </is>
      </c>
      <c r="W27" s="243" t="inlineStr">
        <is>
          <t/>
        </is>
      </c>
    </row>
    <row r="28">
      <c r="A28" s="90" t="inlineStr">
        <is>
          <t>P004</t>
        </is>
      </c>
      <c r="B28" s="85" t="n">
        <v>6</v>
      </c>
      <c r="C28" s="85" t="inlineStr">
        <is>
          <t>鼠标</t>
        </is>
      </c>
      <c r="D28" s="85" t="inlineStr">
        <is>
          <t>方法B</t>
        </is>
      </c>
      <c r="E28" s="85" t="inlineStr">
        <is>
          <t>One-Euro</t>
        </is>
      </c>
      <c r="F28" s="215"/>
      <c r="G28" s="215"/>
      <c r="H28" s="215"/>
      <c r="I28" s="215"/>
      <c r="J28" s="215"/>
      <c r="K28" s="215"/>
      <c r="L28" s="215" t="inlineStr">
        <is>
          <t/>
        </is>
      </c>
      <c r="M28" s="215"/>
      <c r="N28" s="215"/>
      <c r="O28" s="215"/>
      <c r="P28" s="215"/>
      <c r="Q28" s="215"/>
      <c r="R28" s="215"/>
      <c r="S28" s="215"/>
      <c r="T28" s="215"/>
      <c r="U28" s="215" t="inlineStr">
        <is>
          <t>无</t>
        </is>
      </c>
      <c r="V28" s="215" t="inlineStr">
        <is>
          <t>是</t>
        </is>
      </c>
      <c r="W28" s="243" t="inlineStr">
        <is>
          <t/>
        </is>
      </c>
    </row>
    <row r="29">
      <c r="A29" s="90" t="inlineStr">
        <is>
          <t>P005</t>
        </is>
      </c>
      <c r="B29" s="85" t="n">
        <v>1</v>
      </c>
      <c r="C29" s="85" t="inlineStr">
        <is>
          <t>游戏手柄</t>
        </is>
      </c>
      <c r="D29" s="85" t="inlineStr">
        <is>
          <t>方法A</t>
        </is>
      </c>
      <c r="E29" s="85" t="inlineStr">
        <is>
          <t>EgoAnchor</t>
        </is>
      </c>
      <c r="F29" s="215"/>
      <c r="G29" s="215"/>
      <c r="H29" s="215"/>
      <c r="I29" s="215"/>
      <c r="J29" s="215"/>
      <c r="K29" s="215"/>
      <c r="L29" s="215" t="inlineStr">
        <is>
          <t/>
        </is>
      </c>
      <c r="M29" s="215"/>
      <c r="N29" s="215"/>
      <c r="O29" s="215"/>
      <c r="P29" s="215"/>
      <c r="Q29" s="215"/>
      <c r="R29" s="215"/>
      <c r="S29" s="215"/>
      <c r="T29" s="215"/>
      <c r="U29" s="215" t="inlineStr">
        <is>
          <t>无</t>
        </is>
      </c>
      <c r="V29" s="215" t="inlineStr">
        <is>
          <t>是</t>
        </is>
      </c>
      <c r="W29" s="243" t="inlineStr">
        <is>
          <t/>
        </is>
      </c>
    </row>
    <row r="30">
      <c r="A30" s="90" t="inlineStr">
        <is>
          <t>P005</t>
        </is>
      </c>
      <c r="B30" s="85" t="n">
        <v>2</v>
      </c>
      <c r="C30" s="85" t="inlineStr">
        <is>
          <t>游戏手柄</t>
        </is>
      </c>
      <c r="D30" s="85" t="inlineStr">
        <is>
          <t>方法B</t>
        </is>
      </c>
      <c r="E30" s="85" t="inlineStr">
        <is>
          <t>One-Euro</t>
        </is>
      </c>
      <c r="F30" s="215"/>
      <c r="G30" s="215"/>
      <c r="H30" s="215"/>
      <c r="I30" s="215"/>
      <c r="J30" s="215"/>
      <c r="K30" s="215"/>
      <c r="L30" s="215" t="inlineStr">
        <is>
          <t/>
        </is>
      </c>
      <c r="M30" s="215"/>
      <c r="N30" s="215"/>
      <c r="O30" s="215"/>
      <c r="P30" s="215"/>
      <c r="Q30" s="215"/>
      <c r="R30" s="215"/>
      <c r="S30" s="215"/>
      <c r="T30" s="215"/>
      <c r="U30" s="215" t="inlineStr">
        <is>
          <t>无</t>
        </is>
      </c>
      <c r="V30" s="215" t="inlineStr">
        <is>
          <t>是</t>
        </is>
      </c>
      <c r="W30" s="243" t="inlineStr">
        <is>
          <t/>
        </is>
      </c>
    </row>
    <row r="31">
      <c r="A31" s="90" t="inlineStr">
        <is>
          <t>P005</t>
        </is>
      </c>
      <c r="B31" s="85" t="n">
        <v>3</v>
      </c>
      <c r="C31" s="85" t="inlineStr">
        <is>
          <t>鼠标</t>
        </is>
      </c>
      <c r="D31" s="85" t="inlineStr">
        <is>
          <t>方法B</t>
        </is>
      </c>
      <c r="E31" s="85" t="inlineStr">
        <is>
          <t>One-Euro</t>
        </is>
      </c>
      <c r="F31" s="215"/>
      <c r="G31" s="215"/>
      <c r="H31" s="215"/>
      <c r="I31" s="215"/>
      <c r="J31" s="215"/>
      <c r="K31" s="215"/>
      <c r="L31" s="215" t="inlineStr">
        <is>
          <t/>
        </is>
      </c>
      <c r="M31" s="215"/>
      <c r="N31" s="215"/>
      <c r="O31" s="215"/>
      <c r="P31" s="215"/>
      <c r="Q31" s="215"/>
      <c r="R31" s="215"/>
      <c r="S31" s="215"/>
      <c r="T31" s="215"/>
      <c r="U31" s="215" t="inlineStr">
        <is>
          <t>无</t>
        </is>
      </c>
      <c r="V31" s="215" t="inlineStr">
        <is>
          <t>是</t>
        </is>
      </c>
      <c r="W31" s="243" t="inlineStr">
        <is>
          <t/>
        </is>
      </c>
    </row>
    <row r="32">
      <c r="A32" s="90" t="inlineStr">
        <is>
          <t>P005</t>
        </is>
      </c>
      <c r="B32" s="85" t="n">
        <v>4</v>
      </c>
      <c r="C32" s="85" t="inlineStr">
        <is>
          <t>鼠标</t>
        </is>
      </c>
      <c r="D32" s="85" t="inlineStr">
        <is>
          <t>方法A</t>
        </is>
      </c>
      <c r="E32" s="85" t="inlineStr">
        <is>
          <t>EgoAnchor</t>
        </is>
      </c>
      <c r="F32" s="215"/>
      <c r="G32" s="215"/>
      <c r="H32" s="215"/>
      <c r="I32" s="215"/>
      <c r="J32" s="215"/>
      <c r="K32" s="215"/>
      <c r="L32" s="215" t="inlineStr">
        <is>
          <t/>
        </is>
      </c>
      <c r="M32" s="215"/>
      <c r="N32" s="215"/>
      <c r="O32" s="215"/>
      <c r="P32" s="215"/>
      <c r="Q32" s="215"/>
      <c r="R32" s="215"/>
      <c r="S32" s="215"/>
      <c r="T32" s="215"/>
      <c r="U32" s="215" t="inlineStr">
        <is>
          <t>无</t>
        </is>
      </c>
      <c r="V32" s="215" t="inlineStr">
        <is>
          <t>是</t>
        </is>
      </c>
      <c r="W32" s="243" t="inlineStr">
        <is>
          <t/>
        </is>
      </c>
    </row>
    <row r="33">
      <c r="A33" s="90" t="inlineStr">
        <is>
          <t>P005</t>
        </is>
      </c>
      <c r="B33" s="85" t="n">
        <v>5</v>
      </c>
      <c r="C33" s="85" t="inlineStr">
        <is>
          <t>固定订书机</t>
        </is>
      </c>
      <c r="D33" s="85" t="inlineStr">
        <is>
          <t>方法A</t>
        </is>
      </c>
      <c r="E33" s="85" t="inlineStr">
        <is>
          <t>EgoAnchor</t>
        </is>
      </c>
      <c r="F33" s="215"/>
      <c r="G33" s="215"/>
      <c r="H33" s="215"/>
      <c r="I33" s="215"/>
      <c r="J33" s="215"/>
      <c r="K33" s="215"/>
      <c r="L33" s="215" t="inlineStr">
        <is>
          <t/>
        </is>
      </c>
      <c r="M33" s="215"/>
      <c r="N33" s="215"/>
      <c r="O33" s="215"/>
      <c r="P33" s="215"/>
      <c r="Q33" s="215"/>
      <c r="R33" s="215"/>
      <c r="S33" s="215"/>
      <c r="T33" s="215"/>
      <c r="U33" s="215" t="inlineStr">
        <is>
          <t>无</t>
        </is>
      </c>
      <c r="V33" s="215" t="inlineStr">
        <is>
          <t>是</t>
        </is>
      </c>
      <c r="W33" s="243" t="inlineStr">
        <is>
          <t/>
        </is>
      </c>
    </row>
    <row r="34">
      <c r="A34" s="90" t="inlineStr">
        <is>
          <t>P005</t>
        </is>
      </c>
      <c r="B34" s="85" t="n">
        <v>6</v>
      </c>
      <c r="C34" s="85" t="inlineStr">
        <is>
          <t>固定订书机</t>
        </is>
      </c>
      <c r="D34" s="85" t="inlineStr">
        <is>
          <t>方法B</t>
        </is>
      </c>
      <c r="E34" s="85" t="inlineStr">
        <is>
          <t>One-Euro</t>
        </is>
      </c>
      <c r="F34" s="215"/>
      <c r="G34" s="215"/>
      <c r="H34" s="215"/>
      <c r="I34" s="215"/>
      <c r="J34" s="215"/>
      <c r="K34" s="215"/>
      <c r="L34" s="215" t="inlineStr">
        <is>
          <t/>
        </is>
      </c>
      <c r="M34" s="215"/>
      <c r="N34" s="215"/>
      <c r="O34" s="215"/>
      <c r="P34" s="215"/>
      <c r="Q34" s="215"/>
      <c r="R34" s="215"/>
      <c r="S34" s="215"/>
      <c r="T34" s="215"/>
      <c r="U34" s="215" t="inlineStr">
        <is>
          <t>无</t>
        </is>
      </c>
      <c r="V34" s="215" t="inlineStr">
        <is>
          <t>是</t>
        </is>
      </c>
      <c r="W34" s="243" t="inlineStr">
        <is>
          <t/>
        </is>
      </c>
    </row>
    <row r="35">
      <c r="A35" s="90" t="inlineStr">
        <is>
          <t>P006</t>
        </is>
      </c>
      <c r="B35" s="85" t="n">
        <v>1</v>
      </c>
      <c r="C35" s="85" t="inlineStr">
        <is>
          <t>游戏手柄</t>
        </is>
      </c>
      <c r="D35" s="85" t="inlineStr">
        <is>
          <t>方法A</t>
        </is>
      </c>
      <c r="E35" s="85" t="inlineStr">
        <is>
          <t>EgoAnchor</t>
        </is>
      </c>
      <c r="F35" s="215"/>
      <c r="G35" s="215"/>
      <c r="H35" s="215"/>
      <c r="I35" s="215"/>
      <c r="J35" s="215"/>
      <c r="K35" s="215"/>
      <c r="L35" s="215" t="inlineStr">
        <is>
          <t/>
        </is>
      </c>
      <c r="M35" s="215"/>
      <c r="N35" s="215"/>
      <c r="O35" s="215"/>
      <c r="P35" s="215"/>
      <c r="Q35" s="215"/>
      <c r="R35" s="215"/>
      <c r="S35" s="215"/>
      <c r="T35" s="215"/>
      <c r="U35" s="215" t="inlineStr">
        <is>
          <t>无</t>
        </is>
      </c>
      <c r="V35" s="215" t="inlineStr">
        <is>
          <t>是</t>
        </is>
      </c>
      <c r="W35" s="243" t="inlineStr">
        <is>
          <t/>
        </is>
      </c>
    </row>
    <row r="36">
      <c r="A36" s="90" t="inlineStr">
        <is>
          <t>P006</t>
        </is>
      </c>
      <c r="B36" s="85" t="n">
        <v>2</v>
      </c>
      <c r="C36" s="85" t="inlineStr">
        <is>
          <t>游戏手柄</t>
        </is>
      </c>
      <c r="D36" s="85" t="inlineStr">
        <is>
          <t>方法B</t>
        </is>
      </c>
      <c r="E36" s="85" t="inlineStr">
        <is>
          <t>One-Euro</t>
        </is>
      </c>
      <c r="F36" s="215"/>
      <c r="G36" s="215"/>
      <c r="H36" s="215"/>
      <c r="I36" s="215"/>
      <c r="J36" s="215"/>
      <c r="K36" s="215"/>
      <c r="L36" s="215" t="inlineStr">
        <is>
          <t/>
        </is>
      </c>
      <c r="M36" s="215"/>
      <c r="N36" s="215"/>
      <c r="O36" s="215"/>
      <c r="P36" s="215"/>
      <c r="Q36" s="215"/>
      <c r="R36" s="215"/>
      <c r="S36" s="215"/>
      <c r="T36" s="215"/>
      <c r="U36" s="215" t="inlineStr">
        <is>
          <t>无</t>
        </is>
      </c>
      <c r="V36" s="215" t="inlineStr">
        <is>
          <t>是</t>
        </is>
      </c>
      <c r="W36" s="243" t="inlineStr">
        <is>
          <t/>
        </is>
      </c>
    </row>
    <row r="37">
      <c r="A37" s="90" t="inlineStr">
        <is>
          <t>P006</t>
        </is>
      </c>
      <c r="B37" s="85" t="n">
        <v>3</v>
      </c>
      <c r="C37" s="85" t="inlineStr">
        <is>
          <t>固定订书机</t>
        </is>
      </c>
      <c r="D37" s="85" t="inlineStr">
        <is>
          <t>方法B</t>
        </is>
      </c>
      <c r="E37" s="85" t="inlineStr">
        <is>
          <t>One-Euro</t>
        </is>
      </c>
      <c r="F37" s="215"/>
      <c r="G37" s="215"/>
      <c r="H37" s="215"/>
      <c r="I37" s="215"/>
      <c r="J37" s="215"/>
      <c r="K37" s="215"/>
      <c r="L37" s="215" t="inlineStr">
        <is>
          <t/>
        </is>
      </c>
      <c r="M37" s="215"/>
      <c r="N37" s="215"/>
      <c r="O37" s="215"/>
      <c r="P37" s="215"/>
      <c r="Q37" s="215"/>
      <c r="R37" s="215"/>
      <c r="S37" s="215"/>
      <c r="T37" s="215"/>
      <c r="U37" s="215" t="inlineStr">
        <is>
          <t>无</t>
        </is>
      </c>
      <c r="V37" s="215" t="inlineStr">
        <is>
          <t>是</t>
        </is>
      </c>
      <c r="W37" s="243" t="inlineStr">
        <is>
          <t/>
        </is>
      </c>
    </row>
    <row r="38">
      <c r="A38" s="90" t="inlineStr">
        <is>
          <t>P006</t>
        </is>
      </c>
      <c r="B38" s="85" t="n">
        <v>4</v>
      </c>
      <c r="C38" s="85" t="inlineStr">
        <is>
          <t>固定订书机</t>
        </is>
      </c>
      <c r="D38" s="85" t="inlineStr">
        <is>
          <t>方法A</t>
        </is>
      </c>
      <c r="E38" s="85" t="inlineStr">
        <is>
          <t>EgoAnchor</t>
        </is>
      </c>
      <c r="F38" s="215"/>
      <c r="G38" s="215"/>
      <c r="H38" s="215"/>
      <c r="I38" s="215"/>
      <c r="J38" s="215"/>
      <c r="K38" s="215"/>
      <c r="L38" s="215" t="inlineStr">
        <is>
          <t/>
        </is>
      </c>
      <c r="M38" s="215"/>
      <c r="N38" s="215"/>
      <c r="O38" s="215"/>
      <c r="P38" s="215"/>
      <c r="Q38" s="215"/>
      <c r="R38" s="215"/>
      <c r="S38" s="215"/>
      <c r="T38" s="215"/>
      <c r="U38" s="215" t="inlineStr">
        <is>
          <t>无</t>
        </is>
      </c>
      <c r="V38" s="215" t="inlineStr">
        <is>
          <t>是</t>
        </is>
      </c>
      <c r="W38" s="243" t="inlineStr">
        <is>
          <t/>
        </is>
      </c>
    </row>
    <row r="39">
      <c r="A39" s="90" t="inlineStr">
        <is>
          <t>P006</t>
        </is>
      </c>
      <c r="B39" s="85" t="n">
        <v>5</v>
      </c>
      <c r="C39" s="85" t="inlineStr">
        <is>
          <t>鼠标</t>
        </is>
      </c>
      <c r="D39" s="85" t="inlineStr">
        <is>
          <t>方法A</t>
        </is>
      </c>
      <c r="E39" s="85" t="inlineStr">
        <is>
          <t>EgoAnchor</t>
        </is>
      </c>
      <c r="F39" s="215"/>
      <c r="G39" s="215"/>
      <c r="H39" s="215"/>
      <c r="I39" s="215"/>
      <c r="J39" s="215"/>
      <c r="K39" s="215"/>
      <c r="L39" s="215" t="inlineStr">
        <is>
          <t/>
        </is>
      </c>
      <c r="M39" s="215"/>
      <c r="N39" s="215"/>
      <c r="O39" s="215"/>
      <c r="P39" s="215"/>
      <c r="Q39" s="215"/>
      <c r="R39" s="215"/>
      <c r="S39" s="215"/>
      <c r="T39" s="215"/>
      <c r="U39" s="215" t="inlineStr">
        <is>
          <t>无</t>
        </is>
      </c>
      <c r="V39" s="215" t="inlineStr">
        <is>
          <t>是</t>
        </is>
      </c>
      <c r="W39" s="243" t="inlineStr">
        <is>
          <t/>
        </is>
      </c>
    </row>
    <row r="40">
      <c r="A40" s="90" t="inlineStr">
        <is>
          <t>P006</t>
        </is>
      </c>
      <c r="B40" s="85" t="n">
        <v>6</v>
      </c>
      <c r="C40" s="85" t="inlineStr">
        <is>
          <t>鼠标</t>
        </is>
      </c>
      <c r="D40" s="85" t="inlineStr">
        <is>
          <t>方法B</t>
        </is>
      </c>
      <c r="E40" s="85" t="inlineStr">
        <is>
          <t>One-Euro</t>
        </is>
      </c>
      <c r="F40" s="215"/>
      <c r="G40" s="215"/>
      <c r="H40" s="215"/>
      <c r="I40" s="215"/>
      <c r="J40" s="215"/>
      <c r="K40" s="215"/>
      <c r="L40" s="215" t="inlineStr">
        <is>
          <t/>
        </is>
      </c>
      <c r="M40" s="215"/>
      <c r="N40" s="215"/>
      <c r="O40" s="215"/>
      <c r="P40" s="215"/>
      <c r="Q40" s="215"/>
      <c r="R40" s="215"/>
      <c r="S40" s="215"/>
      <c r="T40" s="215"/>
      <c r="U40" s="215" t="inlineStr">
        <is>
          <t>无</t>
        </is>
      </c>
      <c r="V40" s="215" t="inlineStr">
        <is>
          <t>是</t>
        </is>
      </c>
      <c r="W40" s="243" t="inlineStr">
        <is>
          <t/>
        </is>
      </c>
    </row>
    <row r="41">
      <c r="A41" s="90" t="inlineStr">
        <is>
          <t>P007</t>
        </is>
      </c>
      <c r="B41" s="85" t="n">
        <v>1</v>
      </c>
      <c r="C41" s="85" t="inlineStr">
        <is>
          <t>鼠标</t>
        </is>
      </c>
      <c r="D41" s="85" t="inlineStr">
        <is>
          <t>方法B</t>
        </is>
      </c>
      <c r="E41" s="85" t="inlineStr">
        <is>
          <t>One-Euro</t>
        </is>
      </c>
      <c r="F41" s="215"/>
      <c r="G41" s="215"/>
      <c r="H41" s="215"/>
      <c r="I41" s="215"/>
      <c r="J41" s="215"/>
      <c r="K41" s="215"/>
      <c r="L41" s="215" t="inlineStr">
        <is>
          <t/>
        </is>
      </c>
      <c r="M41" s="215"/>
      <c r="N41" s="215"/>
      <c r="O41" s="215"/>
      <c r="P41" s="215"/>
      <c r="Q41" s="215"/>
      <c r="R41" s="215"/>
      <c r="S41" s="215"/>
      <c r="T41" s="215"/>
      <c r="U41" s="215" t="inlineStr">
        <is>
          <t>无</t>
        </is>
      </c>
      <c r="V41" s="215" t="inlineStr">
        <is>
          <t>是</t>
        </is>
      </c>
      <c r="W41" s="243" t="inlineStr">
        <is>
          <t/>
        </is>
      </c>
    </row>
    <row r="42">
      <c r="A42" s="90" t="inlineStr">
        <is>
          <t>P007</t>
        </is>
      </c>
      <c r="B42" s="85" t="n">
        <v>2</v>
      </c>
      <c r="C42" s="85" t="inlineStr">
        <is>
          <t>鼠标</t>
        </is>
      </c>
      <c r="D42" s="85" t="inlineStr">
        <is>
          <t>方法A</t>
        </is>
      </c>
      <c r="E42" s="85" t="inlineStr">
        <is>
          <t>EgoAnchor</t>
        </is>
      </c>
      <c r="F42" s="215"/>
      <c r="G42" s="215"/>
      <c r="H42" s="215"/>
      <c r="I42" s="215"/>
      <c r="J42" s="215"/>
      <c r="K42" s="215"/>
      <c r="L42" s="215" t="inlineStr">
        <is>
          <t/>
        </is>
      </c>
      <c r="M42" s="215"/>
      <c r="N42" s="215"/>
      <c r="O42" s="215"/>
      <c r="P42" s="215"/>
      <c r="Q42" s="215"/>
      <c r="R42" s="215"/>
      <c r="S42" s="215"/>
      <c r="T42" s="215"/>
      <c r="U42" s="215" t="inlineStr">
        <is>
          <t>无</t>
        </is>
      </c>
      <c r="V42" s="215" t="inlineStr">
        <is>
          <t>是</t>
        </is>
      </c>
      <c r="W42" s="243" t="inlineStr">
        <is>
          <t/>
        </is>
      </c>
    </row>
    <row r="43">
      <c r="A43" s="90" t="inlineStr">
        <is>
          <t>P007</t>
        </is>
      </c>
      <c r="B43" s="85" t="n">
        <v>3</v>
      </c>
      <c r="C43" s="85" t="inlineStr">
        <is>
          <t>固定订书机</t>
        </is>
      </c>
      <c r="D43" s="85" t="inlineStr">
        <is>
          <t>方法A</t>
        </is>
      </c>
      <c r="E43" s="85" t="inlineStr">
        <is>
          <t>EgoAnchor</t>
        </is>
      </c>
      <c r="F43" s="215"/>
      <c r="G43" s="215"/>
      <c r="H43" s="215"/>
      <c r="I43" s="215"/>
      <c r="J43" s="215"/>
      <c r="K43" s="215"/>
      <c r="L43" s="215" t="inlineStr">
        <is>
          <t/>
        </is>
      </c>
      <c r="M43" s="215"/>
      <c r="N43" s="215"/>
      <c r="O43" s="215"/>
      <c r="P43" s="215"/>
      <c r="Q43" s="215"/>
      <c r="R43" s="215"/>
      <c r="S43" s="215"/>
      <c r="T43" s="215"/>
      <c r="U43" s="215" t="inlineStr">
        <is>
          <t>无</t>
        </is>
      </c>
      <c r="V43" s="215" t="inlineStr">
        <is>
          <t>是</t>
        </is>
      </c>
      <c r="W43" s="243" t="inlineStr">
        <is>
          <t/>
        </is>
      </c>
    </row>
    <row r="44">
      <c r="A44" s="90" t="inlineStr">
        <is>
          <t>P007</t>
        </is>
      </c>
      <c r="B44" s="85" t="n">
        <v>4</v>
      </c>
      <c r="C44" s="85" t="inlineStr">
        <is>
          <t>固定订书机</t>
        </is>
      </c>
      <c r="D44" s="85" t="inlineStr">
        <is>
          <t>方法B</t>
        </is>
      </c>
      <c r="E44" s="85" t="inlineStr">
        <is>
          <t>One-Euro</t>
        </is>
      </c>
      <c r="F44" s="215"/>
      <c r="G44" s="215"/>
      <c r="H44" s="215"/>
      <c r="I44" s="215"/>
      <c r="J44" s="215"/>
      <c r="K44" s="215"/>
      <c r="L44" s="215" t="inlineStr">
        <is>
          <t/>
        </is>
      </c>
      <c r="M44" s="215"/>
      <c r="N44" s="215"/>
      <c r="O44" s="215"/>
      <c r="P44" s="215"/>
      <c r="Q44" s="215"/>
      <c r="R44" s="215"/>
      <c r="S44" s="215"/>
      <c r="T44" s="215"/>
      <c r="U44" s="215" t="inlineStr">
        <is>
          <t>无</t>
        </is>
      </c>
      <c r="V44" s="215" t="inlineStr">
        <is>
          <t>是</t>
        </is>
      </c>
      <c r="W44" s="243" t="inlineStr">
        <is>
          <t/>
        </is>
      </c>
    </row>
    <row r="45">
      <c r="A45" s="90" t="inlineStr">
        <is>
          <t>P007</t>
        </is>
      </c>
      <c r="B45" s="85" t="n">
        <v>5</v>
      </c>
      <c r="C45" s="85" t="inlineStr">
        <is>
          <t>游戏手柄</t>
        </is>
      </c>
      <c r="D45" s="85" t="inlineStr">
        <is>
          <t>方法B</t>
        </is>
      </c>
      <c r="E45" s="85" t="inlineStr">
        <is>
          <t>One-Euro</t>
        </is>
      </c>
      <c r="F45" s="215"/>
      <c r="G45" s="215"/>
      <c r="H45" s="215"/>
      <c r="I45" s="215"/>
      <c r="J45" s="215"/>
      <c r="K45" s="215"/>
      <c r="L45" s="215" t="inlineStr">
        <is>
          <t/>
        </is>
      </c>
      <c r="M45" s="215"/>
      <c r="N45" s="215"/>
      <c r="O45" s="215"/>
      <c r="P45" s="215"/>
      <c r="Q45" s="215"/>
      <c r="R45" s="215"/>
      <c r="S45" s="215"/>
      <c r="T45" s="215"/>
      <c r="U45" s="215" t="inlineStr">
        <is>
          <t>无</t>
        </is>
      </c>
      <c r="V45" s="215" t="inlineStr">
        <is>
          <t>是</t>
        </is>
      </c>
      <c r="W45" s="243" t="inlineStr">
        <is>
          <t/>
        </is>
      </c>
    </row>
    <row r="46">
      <c r="A46" s="90" t="inlineStr">
        <is>
          <t>P007</t>
        </is>
      </c>
      <c r="B46" s="85" t="n">
        <v>6</v>
      </c>
      <c r="C46" s="85" t="inlineStr">
        <is>
          <t>游戏手柄</t>
        </is>
      </c>
      <c r="D46" s="85" t="inlineStr">
        <is>
          <t>方法A</t>
        </is>
      </c>
      <c r="E46" s="85" t="inlineStr">
        <is>
          <t>EgoAnchor</t>
        </is>
      </c>
      <c r="F46" s="215"/>
      <c r="G46" s="215"/>
      <c r="H46" s="215"/>
      <c r="I46" s="215"/>
      <c r="J46" s="215"/>
      <c r="K46" s="215"/>
      <c r="L46" s="215" t="inlineStr">
        <is>
          <t/>
        </is>
      </c>
      <c r="M46" s="215"/>
      <c r="N46" s="215"/>
      <c r="O46" s="215"/>
      <c r="P46" s="215"/>
      <c r="Q46" s="215"/>
      <c r="R46" s="215"/>
      <c r="S46" s="215"/>
      <c r="T46" s="215"/>
      <c r="U46" s="215" t="inlineStr">
        <is>
          <t>无</t>
        </is>
      </c>
      <c r="V46" s="215" t="inlineStr">
        <is>
          <t>是</t>
        </is>
      </c>
      <c r="W46" s="243" t="inlineStr">
        <is>
          <t/>
        </is>
      </c>
    </row>
    <row r="47">
      <c r="A47" s="90" t="inlineStr">
        <is>
          <t>P008</t>
        </is>
      </c>
      <c r="B47" s="85" t="n">
        <v>1</v>
      </c>
      <c r="C47" s="85" t="inlineStr">
        <is>
          <t>鼠标</t>
        </is>
      </c>
      <c r="D47" s="85" t="inlineStr">
        <is>
          <t>方法B</t>
        </is>
      </c>
      <c r="E47" s="85" t="inlineStr">
        <is>
          <t>One-Euro</t>
        </is>
      </c>
      <c r="F47" s="215"/>
      <c r="G47" s="215"/>
      <c r="H47" s="215"/>
      <c r="I47" s="215"/>
      <c r="J47" s="215"/>
      <c r="K47" s="215"/>
      <c r="L47" s="215" t="inlineStr">
        <is>
          <t/>
        </is>
      </c>
      <c r="M47" s="215"/>
      <c r="N47" s="215"/>
      <c r="O47" s="215"/>
      <c r="P47" s="215"/>
      <c r="Q47" s="215"/>
      <c r="R47" s="215"/>
      <c r="S47" s="215"/>
      <c r="T47" s="215"/>
      <c r="U47" s="215" t="inlineStr">
        <is>
          <t>无</t>
        </is>
      </c>
      <c r="V47" s="215" t="inlineStr">
        <is>
          <t>是</t>
        </is>
      </c>
      <c r="W47" s="243" t="inlineStr">
        <is>
          <t/>
        </is>
      </c>
    </row>
    <row r="48">
      <c r="A48" s="90" t="inlineStr">
        <is>
          <t>P008</t>
        </is>
      </c>
      <c r="B48" s="85" t="n">
        <v>2</v>
      </c>
      <c r="C48" s="85" t="inlineStr">
        <is>
          <t>鼠标</t>
        </is>
      </c>
      <c r="D48" s="85" t="inlineStr">
        <is>
          <t>方法A</t>
        </is>
      </c>
      <c r="E48" s="85" t="inlineStr">
        <is>
          <t>EgoAnchor</t>
        </is>
      </c>
      <c r="F48" s="215"/>
      <c r="G48" s="215"/>
      <c r="H48" s="215"/>
      <c r="I48" s="215"/>
      <c r="J48" s="215"/>
      <c r="K48" s="215"/>
      <c r="L48" s="215" t="inlineStr">
        <is>
          <t/>
        </is>
      </c>
      <c r="M48" s="215"/>
      <c r="N48" s="215"/>
      <c r="O48" s="215"/>
      <c r="P48" s="215"/>
      <c r="Q48" s="215"/>
      <c r="R48" s="215"/>
      <c r="S48" s="215"/>
      <c r="T48" s="215"/>
      <c r="U48" s="215" t="inlineStr">
        <is>
          <t>无</t>
        </is>
      </c>
      <c r="V48" s="215" t="inlineStr">
        <is>
          <t>是</t>
        </is>
      </c>
      <c r="W48" s="243" t="inlineStr">
        <is>
          <t/>
        </is>
      </c>
    </row>
    <row r="49">
      <c r="A49" s="90" t="inlineStr">
        <is>
          <t>P008</t>
        </is>
      </c>
      <c r="B49" s="85" t="n">
        <v>3</v>
      </c>
      <c r="C49" s="85" t="inlineStr">
        <is>
          <t>游戏手柄</t>
        </is>
      </c>
      <c r="D49" s="85" t="inlineStr">
        <is>
          <t>方法A</t>
        </is>
      </c>
      <c r="E49" s="85" t="inlineStr">
        <is>
          <t>EgoAnchor</t>
        </is>
      </c>
      <c r="F49" s="215"/>
      <c r="G49" s="215"/>
      <c r="H49" s="215"/>
      <c r="I49" s="215"/>
      <c r="J49" s="215"/>
      <c r="K49" s="215"/>
      <c r="L49" s="215" t="inlineStr">
        <is>
          <t/>
        </is>
      </c>
      <c r="M49" s="215"/>
      <c r="N49" s="215"/>
      <c r="O49" s="215"/>
      <c r="P49" s="215"/>
      <c r="Q49" s="215"/>
      <c r="R49" s="215"/>
      <c r="S49" s="215"/>
      <c r="T49" s="215"/>
      <c r="U49" s="215" t="inlineStr">
        <is>
          <t>无</t>
        </is>
      </c>
      <c r="V49" s="215" t="inlineStr">
        <is>
          <t>是</t>
        </is>
      </c>
      <c r="W49" s="243" t="inlineStr">
        <is>
          <t/>
        </is>
      </c>
    </row>
    <row r="50">
      <c r="A50" s="90" t="inlineStr">
        <is>
          <t>P008</t>
        </is>
      </c>
      <c r="B50" s="85" t="n">
        <v>4</v>
      </c>
      <c r="C50" s="85" t="inlineStr">
        <is>
          <t>游戏手柄</t>
        </is>
      </c>
      <c r="D50" s="85" t="inlineStr">
        <is>
          <t>方法B</t>
        </is>
      </c>
      <c r="E50" s="85" t="inlineStr">
        <is>
          <t>One-Euro</t>
        </is>
      </c>
      <c r="F50" s="215"/>
      <c r="G50" s="215"/>
      <c r="H50" s="215"/>
      <c r="I50" s="215"/>
      <c r="J50" s="215"/>
      <c r="K50" s="215"/>
      <c r="L50" s="215" t="inlineStr">
        <is>
          <t/>
        </is>
      </c>
      <c r="M50" s="215"/>
      <c r="N50" s="215"/>
      <c r="O50" s="215"/>
      <c r="P50" s="215"/>
      <c r="Q50" s="215"/>
      <c r="R50" s="215"/>
      <c r="S50" s="215"/>
      <c r="T50" s="215"/>
      <c r="U50" s="215" t="inlineStr">
        <is>
          <t>无</t>
        </is>
      </c>
      <c r="V50" s="215" t="inlineStr">
        <is>
          <t>是</t>
        </is>
      </c>
      <c r="W50" s="243" t="inlineStr">
        <is>
          <t/>
        </is>
      </c>
    </row>
    <row r="51">
      <c r="A51" s="90" t="inlineStr">
        <is>
          <t>P008</t>
        </is>
      </c>
      <c r="B51" s="85" t="n">
        <v>5</v>
      </c>
      <c r="C51" s="85" t="inlineStr">
        <is>
          <t>固定订书机</t>
        </is>
      </c>
      <c r="D51" s="85" t="inlineStr">
        <is>
          <t>方法B</t>
        </is>
      </c>
      <c r="E51" s="85" t="inlineStr">
        <is>
          <t>One-Euro</t>
        </is>
      </c>
      <c r="F51" s="215"/>
      <c r="G51" s="215"/>
      <c r="H51" s="215"/>
      <c r="I51" s="215"/>
      <c r="J51" s="215"/>
      <c r="K51" s="215"/>
      <c r="L51" s="215" t="inlineStr">
        <is>
          <t/>
        </is>
      </c>
      <c r="M51" s="215"/>
      <c r="N51" s="215"/>
      <c r="O51" s="215"/>
      <c r="P51" s="215"/>
      <c r="Q51" s="215"/>
      <c r="R51" s="215"/>
      <c r="S51" s="215"/>
      <c r="T51" s="215"/>
      <c r="U51" s="215" t="inlineStr">
        <is>
          <t>无</t>
        </is>
      </c>
      <c r="V51" s="215" t="inlineStr">
        <is>
          <t>是</t>
        </is>
      </c>
      <c r="W51" s="243" t="inlineStr">
        <is>
          <t/>
        </is>
      </c>
    </row>
    <row r="52">
      <c r="A52" s="90" t="inlineStr">
        <is>
          <t>P008</t>
        </is>
      </c>
      <c r="B52" s="85" t="n">
        <v>6</v>
      </c>
      <c r="C52" s="85" t="inlineStr">
        <is>
          <t>固定订书机</t>
        </is>
      </c>
      <c r="D52" s="85" t="inlineStr">
        <is>
          <t>方法A</t>
        </is>
      </c>
      <c r="E52" s="85" t="inlineStr">
        <is>
          <t>EgoAnchor</t>
        </is>
      </c>
      <c r="F52" s="215"/>
      <c r="G52" s="215"/>
      <c r="H52" s="215"/>
      <c r="I52" s="215"/>
      <c r="J52" s="215"/>
      <c r="K52" s="215"/>
      <c r="L52" s="215" t="inlineStr">
        <is>
          <t/>
        </is>
      </c>
      <c r="M52" s="215"/>
      <c r="N52" s="215"/>
      <c r="O52" s="215"/>
      <c r="P52" s="215"/>
      <c r="Q52" s="215"/>
      <c r="R52" s="215"/>
      <c r="S52" s="215"/>
      <c r="T52" s="215"/>
      <c r="U52" s="215" t="inlineStr">
        <is>
          <t>无</t>
        </is>
      </c>
      <c r="V52" s="215" t="inlineStr">
        <is>
          <t>是</t>
        </is>
      </c>
      <c r="W52" s="243" t="inlineStr">
        <is>
          <t/>
        </is>
      </c>
    </row>
    <row r="53">
      <c r="A53" s="90" t="inlineStr">
        <is>
          <t>P009</t>
        </is>
      </c>
      <c r="B53" s="85" t="n">
        <v>1</v>
      </c>
      <c r="C53" s="85" t="inlineStr">
        <is>
          <t>固定订书机</t>
        </is>
      </c>
      <c r="D53" s="85" t="inlineStr">
        <is>
          <t>方法B</t>
        </is>
      </c>
      <c r="E53" s="85" t="inlineStr">
        <is>
          <t>One-Euro</t>
        </is>
      </c>
      <c r="F53" s="215"/>
      <c r="G53" s="215"/>
      <c r="H53" s="215"/>
      <c r="I53" s="215"/>
      <c r="J53" s="215"/>
      <c r="K53" s="215"/>
      <c r="L53" s="215" t="inlineStr">
        <is>
          <t/>
        </is>
      </c>
      <c r="M53" s="215"/>
      <c r="N53" s="215"/>
      <c r="O53" s="215"/>
      <c r="P53" s="215"/>
      <c r="Q53" s="215"/>
      <c r="R53" s="215"/>
      <c r="S53" s="215"/>
      <c r="T53" s="215"/>
      <c r="U53" s="215" t="inlineStr">
        <is>
          <t>无</t>
        </is>
      </c>
      <c r="V53" s="215" t="inlineStr">
        <is>
          <t>是</t>
        </is>
      </c>
      <c r="W53" s="243" t="inlineStr">
        <is>
          <t/>
        </is>
      </c>
    </row>
    <row r="54">
      <c r="A54" s="90" t="inlineStr">
        <is>
          <t>P009</t>
        </is>
      </c>
      <c r="B54" s="85" t="n">
        <v>2</v>
      </c>
      <c r="C54" s="85" t="inlineStr">
        <is>
          <t>固定订书机</t>
        </is>
      </c>
      <c r="D54" s="85" t="inlineStr">
        <is>
          <t>方法A</t>
        </is>
      </c>
      <c r="E54" s="85" t="inlineStr">
        <is>
          <t>EgoAnchor</t>
        </is>
      </c>
      <c r="F54" s="215"/>
      <c r="G54" s="215"/>
      <c r="H54" s="215"/>
      <c r="I54" s="215"/>
      <c r="J54" s="215"/>
      <c r="K54" s="215"/>
      <c r="L54" s="215" t="inlineStr">
        <is>
          <t/>
        </is>
      </c>
      <c r="M54" s="215"/>
      <c r="N54" s="215"/>
      <c r="O54" s="215"/>
      <c r="P54" s="215"/>
      <c r="Q54" s="215"/>
      <c r="R54" s="215"/>
      <c r="S54" s="215"/>
      <c r="T54" s="215"/>
      <c r="U54" s="215" t="inlineStr">
        <is>
          <t>无</t>
        </is>
      </c>
      <c r="V54" s="215" t="inlineStr">
        <is>
          <t>是</t>
        </is>
      </c>
      <c r="W54" s="243" t="inlineStr">
        <is>
          <t/>
        </is>
      </c>
    </row>
    <row r="55">
      <c r="A55" s="90" t="inlineStr">
        <is>
          <t>P009</t>
        </is>
      </c>
      <c r="B55" s="85" t="n">
        <v>3</v>
      </c>
      <c r="C55" s="85" t="inlineStr">
        <is>
          <t>鼠标</t>
        </is>
      </c>
      <c r="D55" s="85" t="inlineStr">
        <is>
          <t>方法A</t>
        </is>
      </c>
      <c r="E55" s="85" t="inlineStr">
        <is>
          <t>EgoAnchor</t>
        </is>
      </c>
      <c r="F55" s="215"/>
      <c r="G55" s="215"/>
      <c r="H55" s="215"/>
      <c r="I55" s="215"/>
      <c r="J55" s="215"/>
      <c r="K55" s="215"/>
      <c r="L55" s="215" t="inlineStr">
        <is>
          <t/>
        </is>
      </c>
      <c r="M55" s="215"/>
      <c r="N55" s="215"/>
      <c r="O55" s="215"/>
      <c r="P55" s="215"/>
      <c r="Q55" s="215"/>
      <c r="R55" s="215"/>
      <c r="S55" s="215"/>
      <c r="T55" s="215"/>
      <c r="U55" s="215" t="inlineStr">
        <is>
          <t>无</t>
        </is>
      </c>
      <c r="V55" s="215" t="inlineStr">
        <is>
          <t>是</t>
        </is>
      </c>
      <c r="W55" s="243" t="inlineStr">
        <is>
          <t/>
        </is>
      </c>
    </row>
    <row r="56">
      <c r="A56" s="90" t="inlineStr">
        <is>
          <t>P009</t>
        </is>
      </c>
      <c r="B56" s="85" t="n">
        <v>4</v>
      </c>
      <c r="C56" s="85" t="inlineStr">
        <is>
          <t>鼠标</t>
        </is>
      </c>
      <c r="D56" s="85" t="inlineStr">
        <is>
          <t>方法B</t>
        </is>
      </c>
      <c r="E56" s="85" t="inlineStr">
        <is>
          <t>One-Euro</t>
        </is>
      </c>
      <c r="F56" s="215"/>
      <c r="G56" s="215"/>
      <c r="H56" s="215"/>
      <c r="I56" s="215"/>
      <c r="J56" s="215"/>
      <c r="K56" s="215"/>
      <c r="L56" s="215" t="inlineStr">
        <is>
          <t/>
        </is>
      </c>
      <c r="M56" s="215"/>
      <c r="N56" s="215"/>
      <c r="O56" s="215"/>
      <c r="P56" s="215"/>
      <c r="Q56" s="215"/>
      <c r="R56" s="215"/>
      <c r="S56" s="215"/>
      <c r="T56" s="215"/>
      <c r="U56" s="215" t="inlineStr">
        <is>
          <t>无</t>
        </is>
      </c>
      <c r="V56" s="215" t="inlineStr">
        <is>
          <t>是</t>
        </is>
      </c>
      <c r="W56" s="243" t="inlineStr">
        <is>
          <t/>
        </is>
      </c>
    </row>
    <row r="57">
      <c r="A57" s="90" t="inlineStr">
        <is>
          <t>P009</t>
        </is>
      </c>
      <c r="B57" s="85" t="n">
        <v>5</v>
      </c>
      <c r="C57" s="85" t="inlineStr">
        <is>
          <t>游戏手柄</t>
        </is>
      </c>
      <c r="D57" s="85" t="inlineStr">
        <is>
          <t>方法B</t>
        </is>
      </c>
      <c r="E57" s="85" t="inlineStr">
        <is>
          <t>One-Euro</t>
        </is>
      </c>
      <c r="F57" s="215"/>
      <c r="G57" s="215"/>
      <c r="H57" s="215"/>
      <c r="I57" s="215"/>
      <c r="J57" s="215"/>
      <c r="K57" s="215"/>
      <c r="L57" s="215" t="inlineStr">
        <is>
          <t/>
        </is>
      </c>
      <c r="M57" s="215"/>
      <c r="N57" s="215"/>
      <c r="O57" s="215"/>
      <c r="P57" s="215"/>
      <c r="Q57" s="215"/>
      <c r="R57" s="215"/>
      <c r="S57" s="215"/>
      <c r="T57" s="215"/>
      <c r="U57" s="215" t="inlineStr">
        <is>
          <t>无</t>
        </is>
      </c>
      <c r="V57" s="215" t="inlineStr">
        <is>
          <t>是</t>
        </is>
      </c>
      <c r="W57" s="243" t="inlineStr">
        <is>
          <t/>
        </is>
      </c>
    </row>
    <row r="58">
      <c r="A58" s="90" t="inlineStr">
        <is>
          <t>P009</t>
        </is>
      </c>
      <c r="B58" s="85" t="n">
        <v>6</v>
      </c>
      <c r="C58" s="85" t="inlineStr">
        <is>
          <t>游戏手柄</t>
        </is>
      </c>
      <c r="D58" s="85" t="inlineStr">
        <is>
          <t>方法A</t>
        </is>
      </c>
      <c r="E58" s="85" t="inlineStr">
        <is>
          <t>EgoAnchor</t>
        </is>
      </c>
      <c r="F58" s="215"/>
      <c r="G58" s="215"/>
      <c r="H58" s="215"/>
      <c r="I58" s="215"/>
      <c r="J58" s="215"/>
      <c r="K58" s="215"/>
      <c r="L58" s="215" t="inlineStr">
        <is>
          <t/>
        </is>
      </c>
      <c r="M58" s="215"/>
      <c r="N58" s="215"/>
      <c r="O58" s="215"/>
      <c r="P58" s="215"/>
      <c r="Q58" s="215"/>
      <c r="R58" s="215"/>
      <c r="S58" s="215"/>
      <c r="T58" s="215"/>
      <c r="U58" s="215" t="inlineStr">
        <is>
          <t>无</t>
        </is>
      </c>
      <c r="V58" s="215" t="inlineStr">
        <is>
          <t>是</t>
        </is>
      </c>
      <c r="W58" s="243" t="inlineStr">
        <is>
          <t/>
        </is>
      </c>
    </row>
    <row r="59">
      <c r="A59" s="90" t="inlineStr">
        <is>
          <t>P010</t>
        </is>
      </c>
      <c r="B59" s="85" t="n">
        <v>1</v>
      </c>
      <c r="C59" s="85" t="inlineStr">
        <is>
          <t>固定订书机</t>
        </is>
      </c>
      <c r="D59" s="85" t="inlineStr">
        <is>
          <t>方法B</t>
        </is>
      </c>
      <c r="E59" s="85" t="inlineStr">
        <is>
          <t>One-Euro</t>
        </is>
      </c>
      <c r="F59" s="215"/>
      <c r="G59" s="215"/>
      <c r="H59" s="215"/>
      <c r="I59" s="215"/>
      <c r="J59" s="215"/>
      <c r="K59" s="215"/>
      <c r="L59" s="215" t="inlineStr">
        <is>
          <t/>
        </is>
      </c>
      <c r="M59" s="215"/>
      <c r="N59" s="215"/>
      <c r="O59" s="215"/>
      <c r="P59" s="215"/>
      <c r="Q59" s="215"/>
      <c r="R59" s="215"/>
      <c r="S59" s="215"/>
      <c r="T59" s="215"/>
      <c r="U59" s="215" t="inlineStr">
        <is>
          <t>无</t>
        </is>
      </c>
      <c r="V59" s="215" t="inlineStr">
        <is>
          <t>是</t>
        </is>
      </c>
      <c r="W59" s="243" t="inlineStr">
        <is>
          <t/>
        </is>
      </c>
    </row>
    <row r="60">
      <c r="A60" s="90" t="inlineStr">
        <is>
          <t>P010</t>
        </is>
      </c>
      <c r="B60" s="85" t="n">
        <v>2</v>
      </c>
      <c r="C60" s="85" t="inlineStr">
        <is>
          <t>固定订书机</t>
        </is>
      </c>
      <c r="D60" s="85" t="inlineStr">
        <is>
          <t>方法A</t>
        </is>
      </c>
      <c r="E60" s="85" t="inlineStr">
        <is>
          <t>EgoAnchor</t>
        </is>
      </c>
      <c r="F60" s="215"/>
      <c r="G60" s="215"/>
      <c r="H60" s="215"/>
      <c r="I60" s="215"/>
      <c r="J60" s="215"/>
      <c r="K60" s="215"/>
      <c r="L60" s="215" t="inlineStr">
        <is>
          <t/>
        </is>
      </c>
      <c r="M60" s="215"/>
      <c r="N60" s="215"/>
      <c r="O60" s="215"/>
      <c r="P60" s="215"/>
      <c r="Q60" s="215"/>
      <c r="R60" s="215"/>
      <c r="S60" s="215"/>
      <c r="T60" s="215"/>
      <c r="U60" s="215" t="inlineStr">
        <is>
          <t>无</t>
        </is>
      </c>
      <c r="V60" s="215" t="inlineStr">
        <is>
          <t>是</t>
        </is>
      </c>
      <c r="W60" s="243" t="inlineStr">
        <is>
          <t/>
        </is>
      </c>
    </row>
    <row r="61">
      <c r="A61" s="90" t="inlineStr">
        <is>
          <t>P010</t>
        </is>
      </c>
      <c r="B61" s="85" t="n">
        <v>3</v>
      </c>
      <c r="C61" s="85" t="inlineStr">
        <is>
          <t>游戏手柄</t>
        </is>
      </c>
      <c r="D61" s="85" t="inlineStr">
        <is>
          <t>方法A</t>
        </is>
      </c>
      <c r="E61" s="85" t="inlineStr">
        <is>
          <t>EgoAnchor</t>
        </is>
      </c>
      <c r="F61" s="215"/>
      <c r="G61" s="215"/>
      <c r="H61" s="215"/>
      <c r="I61" s="215"/>
      <c r="J61" s="215"/>
      <c r="K61" s="215"/>
      <c r="L61" s="215" t="inlineStr">
        <is>
          <t/>
        </is>
      </c>
      <c r="M61" s="215"/>
      <c r="N61" s="215"/>
      <c r="O61" s="215"/>
      <c r="P61" s="215"/>
      <c r="Q61" s="215"/>
      <c r="R61" s="215"/>
      <c r="S61" s="215"/>
      <c r="T61" s="215"/>
      <c r="U61" s="215" t="inlineStr">
        <is>
          <t>无</t>
        </is>
      </c>
      <c r="V61" s="215" t="inlineStr">
        <is>
          <t>是</t>
        </is>
      </c>
      <c r="W61" s="243" t="inlineStr">
        <is>
          <t/>
        </is>
      </c>
    </row>
    <row r="62">
      <c r="A62" s="90" t="inlineStr">
        <is>
          <t>P010</t>
        </is>
      </c>
      <c r="B62" s="85" t="n">
        <v>4</v>
      </c>
      <c r="C62" s="85" t="inlineStr">
        <is>
          <t>游戏手柄</t>
        </is>
      </c>
      <c r="D62" s="85" t="inlineStr">
        <is>
          <t>方法B</t>
        </is>
      </c>
      <c r="E62" s="85" t="inlineStr">
        <is>
          <t>One-Euro</t>
        </is>
      </c>
      <c r="F62" s="215"/>
      <c r="G62" s="215"/>
      <c r="H62" s="215"/>
      <c r="I62" s="215"/>
      <c r="J62" s="215"/>
      <c r="K62" s="215"/>
      <c r="L62" s="215" t="inlineStr">
        <is>
          <t/>
        </is>
      </c>
      <c r="M62" s="215"/>
      <c r="N62" s="215"/>
      <c r="O62" s="215"/>
      <c r="P62" s="215"/>
      <c r="Q62" s="215"/>
      <c r="R62" s="215"/>
      <c r="S62" s="215"/>
      <c r="T62" s="215"/>
      <c r="U62" s="215" t="inlineStr">
        <is>
          <t>无</t>
        </is>
      </c>
      <c r="V62" s="215" t="inlineStr">
        <is>
          <t>是</t>
        </is>
      </c>
      <c r="W62" s="243" t="inlineStr">
        <is>
          <t/>
        </is>
      </c>
    </row>
    <row r="63">
      <c r="A63" s="90" t="inlineStr">
        <is>
          <t>P010</t>
        </is>
      </c>
      <c r="B63" s="85" t="n">
        <v>5</v>
      </c>
      <c r="C63" s="85" t="inlineStr">
        <is>
          <t>鼠标</t>
        </is>
      </c>
      <c r="D63" s="85" t="inlineStr">
        <is>
          <t>方法B</t>
        </is>
      </c>
      <c r="E63" s="85" t="inlineStr">
        <is>
          <t>One-Euro</t>
        </is>
      </c>
      <c r="F63" s="215"/>
      <c r="G63" s="215"/>
      <c r="H63" s="215"/>
      <c r="I63" s="215"/>
      <c r="J63" s="215"/>
      <c r="K63" s="215"/>
      <c r="L63" s="215" t="inlineStr">
        <is>
          <t/>
        </is>
      </c>
      <c r="M63" s="215"/>
      <c r="N63" s="215"/>
      <c r="O63" s="215"/>
      <c r="P63" s="215"/>
      <c r="Q63" s="215"/>
      <c r="R63" s="215"/>
      <c r="S63" s="215"/>
      <c r="T63" s="215"/>
      <c r="U63" s="215" t="inlineStr">
        <is>
          <t>无</t>
        </is>
      </c>
      <c r="V63" s="215" t="inlineStr">
        <is>
          <t>是</t>
        </is>
      </c>
      <c r="W63" s="243" t="inlineStr">
        <is>
          <t/>
        </is>
      </c>
    </row>
    <row r="64">
      <c r="A64" s="90" t="inlineStr">
        <is>
          <t>P010</t>
        </is>
      </c>
      <c r="B64" s="85" t="n">
        <v>6</v>
      </c>
      <c r="C64" s="85" t="inlineStr">
        <is>
          <t>鼠标</t>
        </is>
      </c>
      <c r="D64" s="85" t="inlineStr">
        <is>
          <t>方法A</t>
        </is>
      </c>
      <c r="E64" s="85" t="inlineStr">
        <is>
          <t>EgoAnchor</t>
        </is>
      </c>
      <c r="F64" s="215"/>
      <c r="G64" s="215"/>
      <c r="H64" s="215"/>
      <c r="I64" s="215"/>
      <c r="J64" s="215"/>
      <c r="K64" s="215"/>
      <c r="L64" s="215" t="inlineStr">
        <is>
          <t/>
        </is>
      </c>
      <c r="M64" s="215"/>
      <c r="N64" s="215"/>
      <c r="O64" s="215"/>
      <c r="P64" s="215"/>
      <c r="Q64" s="215"/>
      <c r="R64" s="215"/>
      <c r="S64" s="215"/>
      <c r="T64" s="215"/>
      <c r="U64" s="215" t="inlineStr">
        <is>
          <t>无</t>
        </is>
      </c>
      <c r="V64" s="215" t="inlineStr">
        <is>
          <t>是</t>
        </is>
      </c>
      <c r="W64" s="243" t="inlineStr">
        <is>
          <t/>
        </is>
      </c>
    </row>
    <row r="65">
      <c r="A65" s="90" t="inlineStr">
        <is>
          <t>P011</t>
        </is>
      </c>
      <c r="B65" s="85" t="n">
        <v>1</v>
      </c>
      <c r="C65" s="85" t="inlineStr">
        <is>
          <t>游戏手柄</t>
        </is>
      </c>
      <c r="D65" s="85" t="inlineStr">
        <is>
          <t>方法B</t>
        </is>
      </c>
      <c r="E65" s="85" t="inlineStr">
        <is>
          <t>One-Euro</t>
        </is>
      </c>
      <c r="F65" s="215"/>
      <c r="G65" s="215"/>
      <c r="H65" s="215"/>
      <c r="I65" s="215"/>
      <c r="J65" s="215"/>
      <c r="K65" s="215"/>
      <c r="L65" s="215" t="inlineStr">
        <is>
          <t/>
        </is>
      </c>
      <c r="M65" s="215"/>
      <c r="N65" s="215"/>
      <c r="O65" s="215"/>
      <c r="P65" s="215"/>
      <c r="Q65" s="215"/>
      <c r="R65" s="215"/>
      <c r="S65" s="215"/>
      <c r="T65" s="215"/>
      <c r="U65" s="215" t="inlineStr">
        <is>
          <t>无</t>
        </is>
      </c>
      <c r="V65" s="215" t="inlineStr">
        <is>
          <t>是</t>
        </is>
      </c>
      <c r="W65" s="243" t="inlineStr">
        <is>
          <t/>
        </is>
      </c>
    </row>
    <row r="66">
      <c r="A66" s="90" t="inlineStr">
        <is>
          <t>P011</t>
        </is>
      </c>
      <c r="B66" s="85" t="n">
        <v>2</v>
      </c>
      <c r="C66" s="85" t="inlineStr">
        <is>
          <t>游戏手柄</t>
        </is>
      </c>
      <c r="D66" s="85" t="inlineStr">
        <is>
          <t>方法A</t>
        </is>
      </c>
      <c r="E66" s="85" t="inlineStr">
        <is>
          <t>EgoAnchor</t>
        </is>
      </c>
      <c r="F66" s="215"/>
      <c r="G66" s="215"/>
      <c r="H66" s="215"/>
      <c r="I66" s="215"/>
      <c r="J66" s="215"/>
      <c r="K66" s="215"/>
      <c r="L66" s="215" t="inlineStr">
        <is>
          <t/>
        </is>
      </c>
      <c r="M66" s="215"/>
      <c r="N66" s="215"/>
      <c r="O66" s="215"/>
      <c r="P66" s="215"/>
      <c r="Q66" s="215"/>
      <c r="R66" s="215"/>
      <c r="S66" s="215"/>
      <c r="T66" s="215"/>
      <c r="U66" s="215" t="inlineStr">
        <is>
          <t>无</t>
        </is>
      </c>
      <c r="V66" s="215" t="inlineStr">
        <is>
          <t>是</t>
        </is>
      </c>
      <c r="W66" s="243" t="inlineStr">
        <is>
          <t/>
        </is>
      </c>
    </row>
    <row r="67">
      <c r="A67" s="90" t="inlineStr">
        <is>
          <t>P011</t>
        </is>
      </c>
      <c r="B67" s="85" t="n">
        <v>3</v>
      </c>
      <c r="C67" s="85" t="inlineStr">
        <is>
          <t>鼠标</t>
        </is>
      </c>
      <c r="D67" s="85" t="inlineStr">
        <is>
          <t>方法A</t>
        </is>
      </c>
      <c r="E67" s="85" t="inlineStr">
        <is>
          <t>EgoAnchor</t>
        </is>
      </c>
      <c r="F67" s="215"/>
      <c r="G67" s="215"/>
      <c r="H67" s="215"/>
      <c r="I67" s="215"/>
      <c r="J67" s="215"/>
      <c r="K67" s="215"/>
      <c r="L67" s="215" t="inlineStr">
        <is>
          <t/>
        </is>
      </c>
      <c r="M67" s="215"/>
      <c r="N67" s="215"/>
      <c r="O67" s="215"/>
      <c r="P67" s="215"/>
      <c r="Q67" s="215"/>
      <c r="R67" s="215"/>
      <c r="S67" s="215"/>
      <c r="T67" s="215"/>
      <c r="U67" s="215" t="inlineStr">
        <is>
          <t>无</t>
        </is>
      </c>
      <c r="V67" s="215" t="inlineStr">
        <is>
          <t>是</t>
        </is>
      </c>
      <c r="W67" s="243" t="inlineStr">
        <is>
          <t/>
        </is>
      </c>
    </row>
    <row r="68">
      <c r="A68" s="90" t="inlineStr">
        <is>
          <t>P011</t>
        </is>
      </c>
      <c r="B68" s="85" t="n">
        <v>4</v>
      </c>
      <c r="C68" s="85" t="inlineStr">
        <is>
          <t>鼠标</t>
        </is>
      </c>
      <c r="D68" s="85" t="inlineStr">
        <is>
          <t>方法B</t>
        </is>
      </c>
      <c r="E68" s="85" t="inlineStr">
        <is>
          <t>One-Euro</t>
        </is>
      </c>
      <c r="F68" s="215"/>
      <c r="G68" s="215"/>
      <c r="H68" s="215"/>
      <c r="I68" s="215"/>
      <c r="J68" s="215"/>
      <c r="K68" s="215"/>
      <c r="L68" s="215" t="inlineStr">
        <is>
          <t/>
        </is>
      </c>
      <c r="M68" s="215"/>
      <c r="N68" s="215"/>
      <c r="O68" s="215"/>
      <c r="P68" s="215"/>
      <c r="Q68" s="215"/>
      <c r="R68" s="215"/>
      <c r="S68" s="215"/>
      <c r="T68" s="215"/>
      <c r="U68" s="215" t="inlineStr">
        <is>
          <t>无</t>
        </is>
      </c>
      <c r="V68" s="215" t="inlineStr">
        <is>
          <t>是</t>
        </is>
      </c>
      <c r="W68" s="243" t="inlineStr">
        <is>
          <t/>
        </is>
      </c>
    </row>
    <row r="69">
      <c r="A69" s="90" t="inlineStr">
        <is>
          <t>P011</t>
        </is>
      </c>
      <c r="B69" s="85" t="n">
        <v>5</v>
      </c>
      <c r="C69" s="85" t="inlineStr">
        <is>
          <t>固定订书机</t>
        </is>
      </c>
      <c r="D69" s="85" t="inlineStr">
        <is>
          <t>方法B</t>
        </is>
      </c>
      <c r="E69" s="85" t="inlineStr">
        <is>
          <t>One-Euro</t>
        </is>
      </c>
      <c r="F69" s="215"/>
      <c r="G69" s="215"/>
      <c r="H69" s="215"/>
      <c r="I69" s="215"/>
      <c r="J69" s="215"/>
      <c r="K69" s="215"/>
      <c r="L69" s="215" t="inlineStr">
        <is>
          <t/>
        </is>
      </c>
      <c r="M69" s="215"/>
      <c r="N69" s="215"/>
      <c r="O69" s="215"/>
      <c r="P69" s="215"/>
      <c r="Q69" s="215"/>
      <c r="R69" s="215"/>
      <c r="S69" s="215"/>
      <c r="T69" s="215"/>
      <c r="U69" s="215" t="inlineStr">
        <is>
          <t>无</t>
        </is>
      </c>
      <c r="V69" s="215" t="inlineStr">
        <is>
          <t>是</t>
        </is>
      </c>
      <c r="W69" s="243" t="inlineStr">
        <is>
          <t/>
        </is>
      </c>
    </row>
    <row r="70">
      <c r="A70" s="90" t="inlineStr">
        <is>
          <t>P011</t>
        </is>
      </c>
      <c r="B70" s="85" t="n">
        <v>6</v>
      </c>
      <c r="C70" s="85" t="inlineStr">
        <is>
          <t>固定订书机</t>
        </is>
      </c>
      <c r="D70" s="85" t="inlineStr">
        <is>
          <t>方法A</t>
        </is>
      </c>
      <c r="E70" s="85" t="inlineStr">
        <is>
          <t>EgoAnchor</t>
        </is>
      </c>
      <c r="F70" s="215"/>
      <c r="G70" s="215"/>
      <c r="H70" s="215"/>
      <c r="I70" s="215"/>
      <c r="J70" s="215"/>
      <c r="K70" s="215"/>
      <c r="L70" s="215" t="inlineStr">
        <is>
          <t/>
        </is>
      </c>
      <c r="M70" s="215"/>
      <c r="N70" s="215"/>
      <c r="O70" s="215"/>
      <c r="P70" s="215"/>
      <c r="Q70" s="215"/>
      <c r="R70" s="215"/>
      <c r="S70" s="215"/>
      <c r="T70" s="215"/>
      <c r="U70" s="215" t="inlineStr">
        <is>
          <t>无</t>
        </is>
      </c>
      <c r="V70" s="215" t="inlineStr">
        <is>
          <t>是</t>
        </is>
      </c>
      <c r="W70" s="243" t="inlineStr">
        <is>
          <t/>
        </is>
      </c>
    </row>
    <row r="71">
      <c r="A71" s="90" t="inlineStr">
        <is>
          <t>P012</t>
        </is>
      </c>
      <c r="B71" s="85" t="n">
        <v>1</v>
      </c>
      <c r="C71" s="85" t="inlineStr">
        <is>
          <t>游戏手柄</t>
        </is>
      </c>
      <c r="D71" s="85" t="inlineStr">
        <is>
          <t>方法B</t>
        </is>
      </c>
      <c r="E71" s="85" t="inlineStr">
        <is>
          <t>One-Euro</t>
        </is>
      </c>
      <c r="F71" s="215"/>
      <c r="G71" s="215"/>
      <c r="H71" s="215"/>
      <c r="I71" s="215"/>
      <c r="J71" s="215"/>
      <c r="K71" s="215"/>
      <c r="L71" s="215" t="inlineStr">
        <is>
          <t/>
        </is>
      </c>
      <c r="M71" s="215"/>
      <c r="N71" s="215"/>
      <c r="O71" s="215"/>
      <c r="P71" s="215"/>
      <c r="Q71" s="215"/>
      <c r="R71" s="215"/>
      <c r="S71" s="215"/>
      <c r="T71" s="215"/>
      <c r="U71" s="215" t="inlineStr">
        <is>
          <t>无</t>
        </is>
      </c>
      <c r="V71" s="215" t="inlineStr">
        <is>
          <t>是</t>
        </is>
      </c>
      <c r="W71" s="243" t="inlineStr">
        <is>
          <t/>
        </is>
      </c>
    </row>
    <row r="72">
      <c r="A72" s="90" t="inlineStr">
        <is>
          <t>P012</t>
        </is>
      </c>
      <c r="B72" s="85" t="n">
        <v>2</v>
      </c>
      <c r="C72" s="85" t="inlineStr">
        <is>
          <t>游戏手柄</t>
        </is>
      </c>
      <c r="D72" s="85" t="inlineStr">
        <is>
          <t>方法A</t>
        </is>
      </c>
      <c r="E72" s="85" t="inlineStr">
        <is>
          <t>EgoAnchor</t>
        </is>
      </c>
      <c r="F72" s="215"/>
      <c r="G72" s="215"/>
      <c r="H72" s="215"/>
      <c r="I72" s="215"/>
      <c r="J72" s="215"/>
      <c r="K72" s="215"/>
      <c r="L72" s="215" t="inlineStr">
        <is>
          <t/>
        </is>
      </c>
      <c r="M72" s="215"/>
      <c r="N72" s="215"/>
      <c r="O72" s="215"/>
      <c r="P72" s="215"/>
      <c r="Q72" s="215"/>
      <c r="R72" s="215"/>
      <c r="S72" s="215"/>
      <c r="T72" s="215"/>
      <c r="U72" s="215" t="inlineStr">
        <is>
          <t>无</t>
        </is>
      </c>
      <c r="V72" s="215" t="inlineStr">
        <is>
          <t>是</t>
        </is>
      </c>
      <c r="W72" s="243" t="inlineStr">
        <is>
          <t/>
        </is>
      </c>
    </row>
    <row r="73">
      <c r="A73" s="90" t="inlineStr">
        <is>
          <t>P012</t>
        </is>
      </c>
      <c r="B73" s="85" t="n">
        <v>3</v>
      </c>
      <c r="C73" s="85" t="inlineStr">
        <is>
          <t>固定订书机</t>
        </is>
      </c>
      <c r="D73" s="85" t="inlineStr">
        <is>
          <t>方法A</t>
        </is>
      </c>
      <c r="E73" s="85" t="inlineStr">
        <is>
          <t>EgoAnchor</t>
        </is>
      </c>
      <c r="F73" s="215"/>
      <c r="G73" s="215"/>
      <c r="H73" s="215"/>
      <c r="I73" s="215"/>
      <c r="J73" s="215"/>
      <c r="K73" s="215"/>
      <c r="L73" s="215" t="inlineStr">
        <is>
          <t/>
        </is>
      </c>
      <c r="M73" s="215"/>
      <c r="N73" s="215"/>
      <c r="O73" s="215"/>
      <c r="P73" s="215"/>
      <c r="Q73" s="215"/>
      <c r="R73" s="215"/>
      <c r="S73" s="215"/>
      <c r="T73" s="215"/>
      <c r="U73" s="215" t="inlineStr">
        <is>
          <t>无</t>
        </is>
      </c>
      <c r="V73" s="215" t="inlineStr">
        <is>
          <t>是</t>
        </is>
      </c>
      <c r="W73" s="243" t="inlineStr">
        <is>
          <t/>
        </is>
      </c>
    </row>
    <row r="74">
      <c r="A74" s="90" t="inlineStr">
        <is>
          <t>P012</t>
        </is>
      </c>
      <c r="B74" s="85" t="n">
        <v>4</v>
      </c>
      <c r="C74" s="85" t="inlineStr">
        <is>
          <t>固定订书机</t>
        </is>
      </c>
      <c r="D74" s="85" t="inlineStr">
        <is>
          <t>方法B</t>
        </is>
      </c>
      <c r="E74" s="85" t="inlineStr">
        <is>
          <t>One-Euro</t>
        </is>
      </c>
      <c r="F74" s="215"/>
      <c r="G74" s="215"/>
      <c r="H74" s="215"/>
      <c r="I74" s="215"/>
      <c r="J74" s="215"/>
      <c r="K74" s="215"/>
      <c r="L74" s="215" t="inlineStr">
        <is>
          <t/>
        </is>
      </c>
      <c r="M74" s="215"/>
      <c r="N74" s="215"/>
      <c r="O74" s="215"/>
      <c r="P74" s="215"/>
      <c r="Q74" s="215"/>
      <c r="R74" s="215"/>
      <c r="S74" s="215"/>
      <c r="T74" s="215"/>
      <c r="U74" s="215" t="inlineStr">
        <is>
          <t>无</t>
        </is>
      </c>
      <c r="V74" s="215" t="inlineStr">
        <is>
          <t>是</t>
        </is>
      </c>
      <c r="W74" s="243" t="inlineStr">
        <is>
          <t/>
        </is>
      </c>
    </row>
    <row r="75">
      <c r="A75" s="90" t="inlineStr">
        <is>
          <t>P012</t>
        </is>
      </c>
      <c r="B75" s="85" t="n">
        <v>5</v>
      </c>
      <c r="C75" s="85" t="inlineStr">
        <is>
          <t>鼠标</t>
        </is>
      </c>
      <c r="D75" s="85" t="inlineStr">
        <is>
          <t>方法B</t>
        </is>
      </c>
      <c r="E75" s="85" t="inlineStr">
        <is>
          <t>One-Euro</t>
        </is>
      </c>
      <c r="F75" s="215"/>
      <c r="G75" s="215"/>
      <c r="H75" s="215"/>
      <c r="I75" s="215"/>
      <c r="J75" s="215"/>
      <c r="K75" s="215"/>
      <c r="L75" s="215" t="inlineStr">
        <is>
          <t/>
        </is>
      </c>
      <c r="M75" s="215"/>
      <c r="N75" s="215"/>
      <c r="O75" s="215"/>
      <c r="P75" s="215"/>
      <c r="Q75" s="215"/>
      <c r="R75" s="215"/>
      <c r="S75" s="215"/>
      <c r="T75" s="215"/>
      <c r="U75" s="215" t="inlineStr">
        <is>
          <t>无</t>
        </is>
      </c>
      <c r="V75" s="215" t="inlineStr">
        <is>
          <t>是</t>
        </is>
      </c>
      <c r="W75" s="243" t="inlineStr">
        <is>
          <t/>
        </is>
      </c>
    </row>
    <row r="76">
      <c r="A76" s="90" t="inlineStr">
        <is>
          <t>P012</t>
        </is>
      </c>
      <c r="B76" s="85" t="n">
        <v>6</v>
      </c>
      <c r="C76" s="85" t="inlineStr">
        <is>
          <t>鼠标</t>
        </is>
      </c>
      <c r="D76" s="85" t="inlineStr">
        <is>
          <t>方法A</t>
        </is>
      </c>
      <c r="E76" s="85" t="inlineStr">
        <is>
          <t>EgoAnchor</t>
        </is>
      </c>
      <c r="F76" s="215"/>
      <c r="G76" s="215"/>
      <c r="H76" s="215"/>
      <c r="I76" s="215"/>
      <c r="J76" s="215"/>
      <c r="K76" s="215"/>
      <c r="L76" s="215" t="inlineStr">
        <is>
          <t/>
        </is>
      </c>
      <c r="M76" s="215"/>
      <c r="N76" s="215"/>
      <c r="O76" s="215"/>
      <c r="P76" s="215"/>
      <c r="Q76" s="215"/>
      <c r="R76" s="215"/>
      <c r="S76" s="215"/>
      <c r="T76" s="215"/>
      <c r="U76" s="215" t="inlineStr">
        <is>
          <t>无</t>
        </is>
      </c>
      <c r="V76" s="215" t="inlineStr">
        <is>
          <t>是</t>
        </is>
      </c>
      <c r="W76" s="243" t="inlineStr">
        <is>
          <t/>
        </is>
      </c>
    </row>
    <row r="77">
      <c r="A77" s="90" t="inlineStr">
        <is>
          <t>P013</t>
        </is>
      </c>
      <c r="B77" s="85" t="n">
        <v>1</v>
      </c>
      <c r="C77" s="85" t="inlineStr">
        <is>
          <t>鼠标</t>
        </is>
      </c>
      <c r="D77" s="85" t="inlineStr">
        <is>
          <t>方法A</t>
        </is>
      </c>
      <c r="E77" s="85" t="inlineStr">
        <is>
          <t>One-Euro</t>
        </is>
      </c>
      <c r="F77" s="215"/>
      <c r="G77" s="215"/>
      <c r="H77" s="215"/>
      <c r="I77" s="215"/>
      <c r="J77" s="215"/>
      <c r="K77" s="215"/>
      <c r="L77" s="215" t="inlineStr">
        <is>
          <t/>
        </is>
      </c>
      <c r="M77" s="215"/>
      <c r="N77" s="215"/>
      <c r="O77" s="215"/>
      <c r="P77" s="215"/>
      <c r="Q77" s="215"/>
      <c r="R77" s="215"/>
      <c r="S77" s="215"/>
      <c r="T77" s="215"/>
      <c r="U77" s="215" t="inlineStr">
        <is>
          <t>无</t>
        </is>
      </c>
      <c r="V77" s="215" t="inlineStr">
        <is>
          <t>是</t>
        </is>
      </c>
      <c r="W77" s="243" t="inlineStr">
        <is>
          <t/>
        </is>
      </c>
    </row>
    <row r="78">
      <c r="A78" s="90" t="inlineStr">
        <is>
          <t>P013</t>
        </is>
      </c>
      <c r="B78" s="85" t="n">
        <v>2</v>
      </c>
      <c r="C78" s="85" t="inlineStr">
        <is>
          <t>鼠标</t>
        </is>
      </c>
      <c r="D78" s="85" t="inlineStr">
        <is>
          <t>方法B</t>
        </is>
      </c>
      <c r="E78" s="85" t="inlineStr">
        <is>
          <t>EgoAnchor</t>
        </is>
      </c>
      <c r="F78" s="215"/>
      <c r="G78" s="215"/>
      <c r="H78" s="215"/>
      <c r="I78" s="215"/>
      <c r="J78" s="215"/>
      <c r="K78" s="215"/>
      <c r="L78" s="215" t="inlineStr">
        <is>
          <t/>
        </is>
      </c>
      <c r="M78" s="215"/>
      <c r="N78" s="215"/>
      <c r="O78" s="215"/>
      <c r="P78" s="215"/>
      <c r="Q78" s="215"/>
      <c r="R78" s="215"/>
      <c r="S78" s="215"/>
      <c r="T78" s="215"/>
      <c r="U78" s="215" t="inlineStr">
        <is>
          <t>无</t>
        </is>
      </c>
      <c r="V78" s="215" t="inlineStr">
        <is>
          <t>是</t>
        </is>
      </c>
      <c r="W78" s="243" t="inlineStr">
        <is>
          <t/>
        </is>
      </c>
    </row>
    <row r="79">
      <c r="A79" s="90" t="inlineStr">
        <is>
          <t>P013</t>
        </is>
      </c>
      <c r="B79" s="85" t="n">
        <v>3</v>
      </c>
      <c r="C79" s="85" t="inlineStr">
        <is>
          <t>固定订书机</t>
        </is>
      </c>
      <c r="D79" s="85" t="inlineStr">
        <is>
          <t>方法B</t>
        </is>
      </c>
      <c r="E79" s="85" t="inlineStr">
        <is>
          <t>EgoAnchor</t>
        </is>
      </c>
      <c r="F79" s="215"/>
      <c r="G79" s="215"/>
      <c r="H79" s="215"/>
      <c r="I79" s="215"/>
      <c r="J79" s="215"/>
      <c r="K79" s="215"/>
      <c r="L79" s="215" t="inlineStr">
        <is>
          <t/>
        </is>
      </c>
      <c r="M79" s="215"/>
      <c r="N79" s="215"/>
      <c r="O79" s="215"/>
      <c r="P79" s="215"/>
      <c r="Q79" s="215"/>
      <c r="R79" s="215"/>
      <c r="S79" s="215"/>
      <c r="T79" s="215"/>
      <c r="U79" s="215" t="inlineStr">
        <is>
          <t>无</t>
        </is>
      </c>
      <c r="V79" s="215" t="inlineStr">
        <is>
          <t>是</t>
        </is>
      </c>
      <c r="W79" s="243" t="inlineStr">
        <is>
          <t/>
        </is>
      </c>
    </row>
    <row r="80">
      <c r="A80" s="90" t="inlineStr">
        <is>
          <t>P013</t>
        </is>
      </c>
      <c r="B80" s="85" t="n">
        <v>4</v>
      </c>
      <c r="C80" s="85" t="inlineStr">
        <is>
          <t>固定订书机</t>
        </is>
      </c>
      <c r="D80" s="85" t="inlineStr">
        <is>
          <t>方法A</t>
        </is>
      </c>
      <c r="E80" s="85" t="inlineStr">
        <is>
          <t>One-Euro</t>
        </is>
      </c>
      <c r="F80" s="215"/>
      <c r="G80" s="215"/>
      <c r="H80" s="215"/>
      <c r="I80" s="215"/>
      <c r="J80" s="215"/>
      <c r="K80" s="215"/>
      <c r="L80" s="215" t="inlineStr">
        <is>
          <t/>
        </is>
      </c>
      <c r="M80" s="215"/>
      <c r="N80" s="215"/>
      <c r="O80" s="215"/>
      <c r="P80" s="215"/>
      <c r="Q80" s="215"/>
      <c r="R80" s="215"/>
      <c r="S80" s="215"/>
      <c r="T80" s="215"/>
      <c r="U80" s="215" t="inlineStr">
        <is>
          <t>无</t>
        </is>
      </c>
      <c r="V80" s="215" t="inlineStr">
        <is>
          <t>是</t>
        </is>
      </c>
      <c r="W80" s="243" t="inlineStr">
        <is>
          <t/>
        </is>
      </c>
    </row>
    <row r="81">
      <c r="A81" s="90" t="inlineStr">
        <is>
          <t>P013</t>
        </is>
      </c>
      <c r="B81" s="85" t="n">
        <v>5</v>
      </c>
      <c r="C81" s="85" t="inlineStr">
        <is>
          <t>游戏手柄</t>
        </is>
      </c>
      <c r="D81" s="85" t="inlineStr">
        <is>
          <t>方法A</t>
        </is>
      </c>
      <c r="E81" s="85" t="inlineStr">
        <is>
          <t>One-Euro</t>
        </is>
      </c>
      <c r="F81" s="215"/>
      <c r="G81" s="215"/>
      <c r="H81" s="215"/>
      <c r="I81" s="215"/>
      <c r="J81" s="215"/>
      <c r="K81" s="215"/>
      <c r="L81" s="215" t="inlineStr">
        <is>
          <t/>
        </is>
      </c>
      <c r="M81" s="215"/>
      <c r="N81" s="215"/>
      <c r="O81" s="215"/>
      <c r="P81" s="215"/>
      <c r="Q81" s="215"/>
      <c r="R81" s="215"/>
      <c r="S81" s="215"/>
      <c r="T81" s="215"/>
      <c r="U81" s="215" t="inlineStr">
        <is>
          <t>无</t>
        </is>
      </c>
      <c r="V81" s="215" t="inlineStr">
        <is>
          <t>是</t>
        </is>
      </c>
      <c r="W81" s="243" t="inlineStr">
        <is>
          <t/>
        </is>
      </c>
    </row>
    <row r="82">
      <c r="A82" s="90" t="inlineStr">
        <is>
          <t>P013</t>
        </is>
      </c>
      <c r="B82" s="85" t="n">
        <v>6</v>
      </c>
      <c r="C82" s="85" t="inlineStr">
        <is>
          <t>游戏手柄</t>
        </is>
      </c>
      <c r="D82" s="85" t="inlineStr">
        <is>
          <t>方法B</t>
        </is>
      </c>
      <c r="E82" s="85" t="inlineStr">
        <is>
          <t>EgoAnchor</t>
        </is>
      </c>
      <c r="F82" s="215"/>
      <c r="G82" s="215"/>
      <c r="H82" s="215"/>
      <c r="I82" s="215"/>
      <c r="J82" s="215"/>
      <c r="K82" s="215"/>
      <c r="L82" s="215" t="inlineStr">
        <is>
          <t/>
        </is>
      </c>
      <c r="M82" s="215"/>
      <c r="N82" s="215"/>
      <c r="O82" s="215"/>
      <c r="P82" s="215"/>
      <c r="Q82" s="215"/>
      <c r="R82" s="215"/>
      <c r="S82" s="215"/>
      <c r="T82" s="215"/>
      <c r="U82" s="215" t="inlineStr">
        <is>
          <t>无</t>
        </is>
      </c>
      <c r="V82" s="215" t="inlineStr">
        <is>
          <t>是</t>
        </is>
      </c>
      <c r="W82" s="243" t="inlineStr">
        <is>
          <t/>
        </is>
      </c>
    </row>
    <row r="83">
      <c r="A83" s="90" t="inlineStr">
        <is>
          <t>P014</t>
        </is>
      </c>
      <c r="B83" s="85" t="n">
        <v>1</v>
      </c>
      <c r="C83" s="85" t="inlineStr">
        <is>
          <t>鼠标</t>
        </is>
      </c>
      <c r="D83" s="85" t="inlineStr">
        <is>
          <t>方法A</t>
        </is>
      </c>
      <c r="E83" s="85" t="inlineStr">
        <is>
          <t>One-Euro</t>
        </is>
      </c>
      <c r="F83" s="215"/>
      <c r="G83" s="215"/>
      <c r="H83" s="215"/>
      <c r="I83" s="215"/>
      <c r="J83" s="215"/>
      <c r="K83" s="215"/>
      <c r="L83" s="215" t="inlineStr">
        <is>
          <t/>
        </is>
      </c>
      <c r="M83" s="215"/>
      <c r="N83" s="215"/>
      <c r="O83" s="215"/>
      <c r="P83" s="215"/>
      <c r="Q83" s="215"/>
      <c r="R83" s="215"/>
      <c r="S83" s="215"/>
      <c r="T83" s="215"/>
      <c r="U83" s="215" t="inlineStr">
        <is>
          <t>无</t>
        </is>
      </c>
      <c r="V83" s="215" t="inlineStr">
        <is>
          <t>是</t>
        </is>
      </c>
      <c r="W83" s="243" t="inlineStr">
        <is>
          <t/>
        </is>
      </c>
    </row>
    <row r="84">
      <c r="A84" s="90" t="inlineStr">
        <is>
          <t>P014</t>
        </is>
      </c>
      <c r="B84" s="85" t="n">
        <v>2</v>
      </c>
      <c r="C84" s="85" t="inlineStr">
        <is>
          <t>鼠标</t>
        </is>
      </c>
      <c r="D84" s="85" t="inlineStr">
        <is>
          <t>方法B</t>
        </is>
      </c>
      <c r="E84" s="85" t="inlineStr">
        <is>
          <t>EgoAnchor</t>
        </is>
      </c>
      <c r="F84" s="215"/>
      <c r="G84" s="215"/>
      <c r="H84" s="215"/>
      <c r="I84" s="215"/>
      <c r="J84" s="215"/>
      <c r="K84" s="215"/>
      <c r="L84" s="215" t="inlineStr">
        <is>
          <t/>
        </is>
      </c>
      <c r="M84" s="215"/>
      <c r="N84" s="215"/>
      <c r="O84" s="215"/>
      <c r="P84" s="215"/>
      <c r="Q84" s="215"/>
      <c r="R84" s="215"/>
      <c r="S84" s="215"/>
      <c r="T84" s="215"/>
      <c r="U84" s="215" t="inlineStr">
        <is>
          <t>无</t>
        </is>
      </c>
      <c r="V84" s="215" t="inlineStr">
        <is>
          <t>是</t>
        </is>
      </c>
      <c r="W84" s="243" t="inlineStr">
        <is>
          <t/>
        </is>
      </c>
    </row>
    <row r="85">
      <c r="A85" s="90" t="inlineStr">
        <is>
          <t>P014</t>
        </is>
      </c>
      <c r="B85" s="85" t="n">
        <v>3</v>
      </c>
      <c r="C85" s="85" t="inlineStr">
        <is>
          <t>游戏手柄</t>
        </is>
      </c>
      <c r="D85" s="85" t="inlineStr">
        <is>
          <t>方法B</t>
        </is>
      </c>
      <c r="E85" s="85" t="inlineStr">
        <is>
          <t>EgoAnchor</t>
        </is>
      </c>
      <c r="F85" s="215"/>
      <c r="G85" s="215"/>
      <c r="H85" s="215"/>
      <c r="I85" s="215"/>
      <c r="J85" s="215"/>
      <c r="K85" s="215"/>
      <c r="L85" s="215" t="inlineStr">
        <is>
          <t/>
        </is>
      </c>
      <c r="M85" s="215"/>
      <c r="N85" s="215"/>
      <c r="O85" s="215"/>
      <c r="P85" s="215"/>
      <c r="Q85" s="215"/>
      <c r="R85" s="215"/>
      <c r="S85" s="215"/>
      <c r="T85" s="215"/>
      <c r="U85" s="215" t="inlineStr">
        <is>
          <t>无</t>
        </is>
      </c>
      <c r="V85" s="215" t="inlineStr">
        <is>
          <t>是</t>
        </is>
      </c>
      <c r="W85" s="243" t="inlineStr">
        <is>
          <t/>
        </is>
      </c>
    </row>
    <row r="86">
      <c r="A86" s="90" t="inlineStr">
        <is>
          <t>P014</t>
        </is>
      </c>
      <c r="B86" s="85" t="n">
        <v>4</v>
      </c>
      <c r="C86" s="85" t="inlineStr">
        <is>
          <t>游戏手柄</t>
        </is>
      </c>
      <c r="D86" s="85" t="inlineStr">
        <is>
          <t>方法A</t>
        </is>
      </c>
      <c r="E86" s="85" t="inlineStr">
        <is>
          <t>One-Euro</t>
        </is>
      </c>
      <c r="F86" s="215"/>
      <c r="G86" s="215"/>
      <c r="H86" s="215"/>
      <c r="I86" s="215"/>
      <c r="J86" s="215"/>
      <c r="K86" s="215"/>
      <c r="L86" s="215" t="inlineStr">
        <is>
          <t/>
        </is>
      </c>
      <c r="M86" s="215"/>
      <c r="N86" s="215"/>
      <c r="O86" s="215"/>
      <c r="P86" s="215"/>
      <c r="Q86" s="215"/>
      <c r="R86" s="215"/>
      <c r="S86" s="215"/>
      <c r="T86" s="215"/>
      <c r="U86" s="215" t="inlineStr">
        <is>
          <t>无</t>
        </is>
      </c>
      <c r="V86" s="215" t="inlineStr">
        <is>
          <t>是</t>
        </is>
      </c>
      <c r="W86" s="243" t="inlineStr">
        <is>
          <t/>
        </is>
      </c>
    </row>
    <row r="87">
      <c r="A87" s="90" t="inlineStr">
        <is>
          <t>P014</t>
        </is>
      </c>
      <c r="B87" s="85" t="n">
        <v>5</v>
      </c>
      <c r="C87" s="85" t="inlineStr">
        <is>
          <t>固定订书机</t>
        </is>
      </c>
      <c r="D87" s="85" t="inlineStr">
        <is>
          <t>方法A</t>
        </is>
      </c>
      <c r="E87" s="85" t="inlineStr">
        <is>
          <t>One-Euro</t>
        </is>
      </c>
      <c r="F87" s="215"/>
      <c r="G87" s="215"/>
      <c r="H87" s="215"/>
      <c r="I87" s="215"/>
      <c r="J87" s="215"/>
      <c r="K87" s="215"/>
      <c r="L87" s="215" t="inlineStr">
        <is>
          <t/>
        </is>
      </c>
      <c r="M87" s="215"/>
      <c r="N87" s="215"/>
      <c r="O87" s="215"/>
      <c r="P87" s="215"/>
      <c r="Q87" s="215"/>
      <c r="R87" s="215"/>
      <c r="S87" s="215"/>
      <c r="T87" s="215"/>
      <c r="U87" s="215" t="inlineStr">
        <is>
          <t>无</t>
        </is>
      </c>
      <c r="V87" s="215" t="inlineStr">
        <is>
          <t>是</t>
        </is>
      </c>
      <c r="W87" s="243" t="inlineStr">
        <is>
          <t/>
        </is>
      </c>
    </row>
    <row r="88">
      <c r="A88" s="90" t="inlineStr">
        <is>
          <t>P014</t>
        </is>
      </c>
      <c r="B88" s="85" t="n">
        <v>6</v>
      </c>
      <c r="C88" s="85" t="inlineStr">
        <is>
          <t>固定订书机</t>
        </is>
      </c>
      <c r="D88" s="85" t="inlineStr">
        <is>
          <t>方法B</t>
        </is>
      </c>
      <c r="E88" s="85" t="inlineStr">
        <is>
          <t>EgoAnchor</t>
        </is>
      </c>
      <c r="F88" s="215"/>
      <c r="G88" s="215"/>
      <c r="H88" s="215"/>
      <c r="I88" s="215"/>
      <c r="J88" s="215"/>
      <c r="K88" s="215"/>
      <c r="L88" s="215" t="inlineStr">
        <is>
          <t/>
        </is>
      </c>
      <c r="M88" s="215"/>
      <c r="N88" s="215"/>
      <c r="O88" s="215"/>
      <c r="P88" s="215"/>
      <c r="Q88" s="215"/>
      <c r="R88" s="215"/>
      <c r="S88" s="215"/>
      <c r="T88" s="215"/>
      <c r="U88" s="215" t="inlineStr">
        <is>
          <t>无</t>
        </is>
      </c>
      <c r="V88" s="215" t="inlineStr">
        <is>
          <t>是</t>
        </is>
      </c>
      <c r="W88" s="243" t="inlineStr">
        <is>
          <t/>
        </is>
      </c>
    </row>
    <row r="89">
      <c r="A89" s="90" t="inlineStr">
        <is>
          <t>P015</t>
        </is>
      </c>
      <c r="B89" s="85" t="n">
        <v>1</v>
      </c>
      <c r="C89" s="85" t="inlineStr">
        <is>
          <t>固定订书机</t>
        </is>
      </c>
      <c r="D89" s="85" t="inlineStr">
        <is>
          <t>方法A</t>
        </is>
      </c>
      <c r="E89" s="85" t="inlineStr">
        <is>
          <t>One-Euro</t>
        </is>
      </c>
      <c r="F89" s="215"/>
      <c r="G89" s="215"/>
      <c r="H89" s="215"/>
      <c r="I89" s="215"/>
      <c r="J89" s="215"/>
      <c r="K89" s="215"/>
      <c r="L89" s="215" t="inlineStr">
        <is>
          <t/>
        </is>
      </c>
      <c r="M89" s="215"/>
      <c r="N89" s="215"/>
      <c r="O89" s="215"/>
      <c r="P89" s="215"/>
      <c r="Q89" s="215"/>
      <c r="R89" s="215"/>
      <c r="S89" s="215"/>
      <c r="T89" s="215"/>
      <c r="U89" s="215" t="inlineStr">
        <is>
          <t>无</t>
        </is>
      </c>
      <c r="V89" s="215" t="inlineStr">
        <is>
          <t>是</t>
        </is>
      </c>
      <c r="W89" s="243" t="inlineStr">
        <is>
          <t/>
        </is>
      </c>
    </row>
    <row r="90">
      <c r="A90" s="90" t="inlineStr">
        <is>
          <t>P015</t>
        </is>
      </c>
      <c r="B90" s="85" t="n">
        <v>2</v>
      </c>
      <c r="C90" s="85" t="inlineStr">
        <is>
          <t>固定订书机</t>
        </is>
      </c>
      <c r="D90" s="85" t="inlineStr">
        <is>
          <t>方法B</t>
        </is>
      </c>
      <c r="E90" s="85" t="inlineStr">
        <is>
          <t>EgoAnchor</t>
        </is>
      </c>
      <c r="F90" s="215"/>
      <c r="G90" s="215"/>
      <c r="H90" s="215"/>
      <c r="I90" s="215"/>
      <c r="J90" s="215"/>
      <c r="K90" s="215"/>
      <c r="L90" s="215" t="inlineStr">
        <is>
          <t/>
        </is>
      </c>
      <c r="M90" s="215"/>
      <c r="N90" s="215"/>
      <c r="O90" s="215"/>
      <c r="P90" s="215"/>
      <c r="Q90" s="215"/>
      <c r="R90" s="215"/>
      <c r="S90" s="215"/>
      <c r="T90" s="215"/>
      <c r="U90" s="215" t="inlineStr">
        <is>
          <t>无</t>
        </is>
      </c>
      <c r="V90" s="215" t="inlineStr">
        <is>
          <t>是</t>
        </is>
      </c>
      <c r="W90" s="243" t="inlineStr">
        <is>
          <t/>
        </is>
      </c>
    </row>
    <row r="91">
      <c r="A91" s="90" t="inlineStr">
        <is>
          <t>P015</t>
        </is>
      </c>
      <c r="B91" s="85" t="n">
        <v>3</v>
      </c>
      <c r="C91" s="85" t="inlineStr">
        <is>
          <t>鼠标</t>
        </is>
      </c>
      <c r="D91" s="85" t="inlineStr">
        <is>
          <t>方法B</t>
        </is>
      </c>
      <c r="E91" s="85" t="inlineStr">
        <is>
          <t>EgoAnchor</t>
        </is>
      </c>
      <c r="F91" s="215"/>
      <c r="G91" s="215"/>
      <c r="H91" s="215"/>
      <c r="I91" s="215"/>
      <c r="J91" s="215"/>
      <c r="K91" s="215"/>
      <c r="L91" s="215" t="inlineStr">
        <is>
          <t/>
        </is>
      </c>
      <c r="M91" s="215"/>
      <c r="N91" s="215"/>
      <c r="O91" s="215"/>
      <c r="P91" s="215"/>
      <c r="Q91" s="215"/>
      <c r="R91" s="215"/>
      <c r="S91" s="215"/>
      <c r="T91" s="215"/>
      <c r="U91" s="215" t="inlineStr">
        <is>
          <t>无</t>
        </is>
      </c>
      <c r="V91" s="215" t="inlineStr">
        <is>
          <t>是</t>
        </is>
      </c>
      <c r="W91" s="243" t="inlineStr">
        <is>
          <t/>
        </is>
      </c>
    </row>
    <row r="92">
      <c r="A92" s="90" t="inlineStr">
        <is>
          <t>P015</t>
        </is>
      </c>
      <c r="B92" s="85" t="n">
        <v>4</v>
      </c>
      <c r="C92" s="85" t="inlineStr">
        <is>
          <t>鼠标</t>
        </is>
      </c>
      <c r="D92" s="85" t="inlineStr">
        <is>
          <t>方法A</t>
        </is>
      </c>
      <c r="E92" s="85" t="inlineStr">
        <is>
          <t>One-Euro</t>
        </is>
      </c>
      <c r="F92" s="215"/>
      <c r="G92" s="215"/>
      <c r="H92" s="215"/>
      <c r="I92" s="215"/>
      <c r="J92" s="215"/>
      <c r="K92" s="215"/>
      <c r="L92" s="215" t="inlineStr">
        <is>
          <t/>
        </is>
      </c>
      <c r="M92" s="215"/>
      <c r="N92" s="215"/>
      <c r="O92" s="215"/>
      <c r="P92" s="215"/>
      <c r="Q92" s="215"/>
      <c r="R92" s="215"/>
      <c r="S92" s="215"/>
      <c r="T92" s="215"/>
      <c r="U92" s="215" t="inlineStr">
        <is>
          <t>无</t>
        </is>
      </c>
      <c r="V92" s="215" t="inlineStr">
        <is>
          <t>是</t>
        </is>
      </c>
      <c r="W92" s="243" t="inlineStr">
        <is>
          <t/>
        </is>
      </c>
    </row>
    <row r="93">
      <c r="A93" s="90" t="inlineStr">
        <is>
          <t>P015</t>
        </is>
      </c>
      <c r="B93" s="85" t="n">
        <v>5</v>
      </c>
      <c r="C93" s="85" t="inlineStr">
        <is>
          <t>游戏手柄</t>
        </is>
      </c>
      <c r="D93" s="85" t="inlineStr">
        <is>
          <t>方法A</t>
        </is>
      </c>
      <c r="E93" s="85" t="inlineStr">
        <is>
          <t>One-Euro</t>
        </is>
      </c>
      <c r="F93" s="215"/>
      <c r="G93" s="215"/>
      <c r="H93" s="215"/>
      <c r="I93" s="215"/>
      <c r="J93" s="215"/>
      <c r="K93" s="215"/>
      <c r="L93" s="215" t="inlineStr">
        <is>
          <t/>
        </is>
      </c>
      <c r="M93" s="215"/>
      <c r="N93" s="215"/>
      <c r="O93" s="215"/>
      <c r="P93" s="215"/>
      <c r="Q93" s="215"/>
      <c r="R93" s="215"/>
      <c r="S93" s="215"/>
      <c r="T93" s="215"/>
      <c r="U93" s="215" t="inlineStr">
        <is>
          <t>无</t>
        </is>
      </c>
      <c r="V93" s="215" t="inlineStr">
        <is>
          <t>是</t>
        </is>
      </c>
      <c r="W93" s="243" t="inlineStr">
        <is>
          <t/>
        </is>
      </c>
    </row>
    <row r="94">
      <c r="A94" s="90" t="inlineStr">
        <is>
          <t>P015</t>
        </is>
      </c>
      <c r="B94" s="85" t="n">
        <v>6</v>
      </c>
      <c r="C94" s="85" t="inlineStr">
        <is>
          <t>游戏手柄</t>
        </is>
      </c>
      <c r="D94" s="85" t="inlineStr">
        <is>
          <t>方法B</t>
        </is>
      </c>
      <c r="E94" s="85" t="inlineStr">
        <is>
          <t>EgoAnchor</t>
        </is>
      </c>
      <c r="F94" s="215"/>
      <c r="G94" s="215"/>
      <c r="H94" s="215"/>
      <c r="I94" s="215"/>
      <c r="J94" s="215"/>
      <c r="K94" s="215"/>
      <c r="L94" s="215" t="inlineStr">
        <is>
          <t/>
        </is>
      </c>
      <c r="M94" s="215"/>
      <c r="N94" s="215"/>
      <c r="O94" s="215"/>
      <c r="P94" s="215"/>
      <c r="Q94" s="215"/>
      <c r="R94" s="215"/>
      <c r="S94" s="215"/>
      <c r="T94" s="215"/>
      <c r="U94" s="215" t="inlineStr">
        <is>
          <t>无</t>
        </is>
      </c>
      <c r="V94" s="215" t="inlineStr">
        <is>
          <t>是</t>
        </is>
      </c>
      <c r="W94" s="243" t="inlineStr">
        <is>
          <t/>
        </is>
      </c>
    </row>
    <row r="95">
      <c r="A95" s="90" t="inlineStr">
        <is>
          <t>P016</t>
        </is>
      </c>
      <c r="B95" s="85" t="n">
        <v>1</v>
      </c>
      <c r="C95" s="85" t="inlineStr">
        <is>
          <t>固定订书机</t>
        </is>
      </c>
      <c r="D95" s="85" t="inlineStr">
        <is>
          <t>方法A</t>
        </is>
      </c>
      <c r="E95" s="85" t="inlineStr">
        <is>
          <t>One-Euro</t>
        </is>
      </c>
      <c r="F95" s="215"/>
      <c r="G95" s="215"/>
      <c r="H95" s="215"/>
      <c r="I95" s="215"/>
      <c r="J95" s="215"/>
      <c r="K95" s="215"/>
      <c r="L95" s="215" t="inlineStr">
        <is>
          <t/>
        </is>
      </c>
      <c r="M95" s="215"/>
      <c r="N95" s="215"/>
      <c r="O95" s="215"/>
      <c r="P95" s="215"/>
      <c r="Q95" s="215"/>
      <c r="R95" s="215"/>
      <c r="S95" s="215"/>
      <c r="T95" s="215"/>
      <c r="U95" s="215" t="inlineStr">
        <is>
          <t>无</t>
        </is>
      </c>
      <c r="V95" s="215" t="inlineStr">
        <is>
          <t>是</t>
        </is>
      </c>
      <c r="W95" s="243" t="inlineStr">
        <is>
          <t/>
        </is>
      </c>
    </row>
    <row r="96">
      <c r="A96" s="90" t="inlineStr">
        <is>
          <t>P016</t>
        </is>
      </c>
      <c r="B96" s="85" t="n">
        <v>2</v>
      </c>
      <c r="C96" s="85" t="inlineStr">
        <is>
          <t>固定订书机</t>
        </is>
      </c>
      <c r="D96" s="85" t="inlineStr">
        <is>
          <t>方法B</t>
        </is>
      </c>
      <c r="E96" s="85" t="inlineStr">
        <is>
          <t>EgoAnchor</t>
        </is>
      </c>
      <c r="F96" s="215"/>
      <c r="G96" s="215"/>
      <c r="H96" s="215"/>
      <c r="I96" s="215"/>
      <c r="J96" s="215"/>
      <c r="K96" s="215"/>
      <c r="L96" s="215" t="inlineStr">
        <is>
          <t/>
        </is>
      </c>
      <c r="M96" s="215"/>
      <c r="N96" s="215"/>
      <c r="O96" s="215"/>
      <c r="P96" s="215"/>
      <c r="Q96" s="215"/>
      <c r="R96" s="215"/>
      <c r="S96" s="215"/>
      <c r="T96" s="215"/>
      <c r="U96" s="215" t="inlineStr">
        <is>
          <t>无</t>
        </is>
      </c>
      <c r="V96" s="215" t="inlineStr">
        <is>
          <t>是</t>
        </is>
      </c>
      <c r="W96" s="243" t="inlineStr">
        <is>
          <t/>
        </is>
      </c>
    </row>
    <row r="97">
      <c r="A97" s="90" t="inlineStr">
        <is>
          <t>P016</t>
        </is>
      </c>
      <c r="B97" s="85" t="n">
        <v>3</v>
      </c>
      <c r="C97" s="85" t="inlineStr">
        <is>
          <t>游戏手柄</t>
        </is>
      </c>
      <c r="D97" s="85" t="inlineStr">
        <is>
          <t>方法B</t>
        </is>
      </c>
      <c r="E97" s="85" t="inlineStr">
        <is>
          <t>EgoAnchor</t>
        </is>
      </c>
      <c r="F97" s="215"/>
      <c r="G97" s="215"/>
      <c r="H97" s="215"/>
      <c r="I97" s="215"/>
      <c r="J97" s="215"/>
      <c r="K97" s="215"/>
      <c r="L97" s="215" t="inlineStr">
        <is>
          <t/>
        </is>
      </c>
      <c r="M97" s="215"/>
      <c r="N97" s="215"/>
      <c r="O97" s="215"/>
      <c r="P97" s="215"/>
      <c r="Q97" s="215"/>
      <c r="R97" s="215"/>
      <c r="S97" s="215"/>
      <c r="T97" s="215"/>
      <c r="U97" s="215" t="inlineStr">
        <is>
          <t>无</t>
        </is>
      </c>
      <c r="V97" s="215" t="inlineStr">
        <is>
          <t>是</t>
        </is>
      </c>
      <c r="W97" s="243" t="inlineStr">
        <is>
          <t/>
        </is>
      </c>
    </row>
    <row r="98">
      <c r="A98" s="90" t="inlineStr">
        <is>
          <t>P016</t>
        </is>
      </c>
      <c r="B98" s="85" t="n">
        <v>4</v>
      </c>
      <c r="C98" s="85" t="inlineStr">
        <is>
          <t>游戏手柄</t>
        </is>
      </c>
      <c r="D98" s="85" t="inlineStr">
        <is>
          <t>方法A</t>
        </is>
      </c>
      <c r="E98" s="85" t="inlineStr">
        <is>
          <t>One-Euro</t>
        </is>
      </c>
      <c r="F98" s="215"/>
      <c r="G98" s="215"/>
      <c r="H98" s="215"/>
      <c r="I98" s="215"/>
      <c r="J98" s="215"/>
      <c r="K98" s="215"/>
      <c r="L98" s="215" t="inlineStr">
        <is>
          <t/>
        </is>
      </c>
      <c r="M98" s="215"/>
      <c r="N98" s="215"/>
      <c r="O98" s="215"/>
      <c r="P98" s="215"/>
      <c r="Q98" s="215"/>
      <c r="R98" s="215"/>
      <c r="S98" s="215"/>
      <c r="T98" s="215"/>
      <c r="U98" s="215" t="inlineStr">
        <is>
          <t>无</t>
        </is>
      </c>
      <c r="V98" s="215" t="inlineStr">
        <is>
          <t>是</t>
        </is>
      </c>
      <c r="W98" s="243" t="inlineStr">
        <is>
          <t/>
        </is>
      </c>
    </row>
    <row r="99">
      <c r="A99" s="90" t="inlineStr">
        <is>
          <t>P016</t>
        </is>
      </c>
      <c r="B99" s="85" t="n">
        <v>5</v>
      </c>
      <c r="C99" s="85" t="inlineStr">
        <is>
          <t>鼠标</t>
        </is>
      </c>
      <c r="D99" s="85" t="inlineStr">
        <is>
          <t>方法A</t>
        </is>
      </c>
      <c r="E99" s="85" t="inlineStr">
        <is>
          <t>One-Euro</t>
        </is>
      </c>
      <c r="F99" s="215"/>
      <c r="G99" s="215"/>
      <c r="H99" s="215"/>
      <c r="I99" s="215"/>
      <c r="J99" s="215"/>
      <c r="K99" s="215"/>
      <c r="L99" s="215" t="inlineStr">
        <is>
          <t/>
        </is>
      </c>
      <c r="M99" s="215"/>
      <c r="N99" s="215"/>
      <c r="O99" s="215"/>
      <c r="P99" s="215"/>
      <c r="Q99" s="215"/>
      <c r="R99" s="215"/>
      <c r="S99" s="215"/>
      <c r="T99" s="215"/>
      <c r="U99" s="215" t="inlineStr">
        <is>
          <t>无</t>
        </is>
      </c>
      <c r="V99" s="215" t="inlineStr">
        <is>
          <t>是</t>
        </is>
      </c>
      <c r="W99" s="243" t="inlineStr">
        <is>
          <t/>
        </is>
      </c>
    </row>
    <row r="100">
      <c r="A100" s="90" t="inlineStr">
        <is>
          <t>P016</t>
        </is>
      </c>
      <c r="B100" s="85" t="n">
        <v>6</v>
      </c>
      <c r="C100" s="85" t="inlineStr">
        <is>
          <t>鼠标</t>
        </is>
      </c>
      <c r="D100" s="85" t="inlineStr">
        <is>
          <t>方法B</t>
        </is>
      </c>
      <c r="E100" s="85" t="inlineStr">
        <is>
          <t>EgoAnchor</t>
        </is>
      </c>
      <c r="F100" s="215"/>
      <c r="G100" s="215"/>
      <c r="H100" s="215"/>
      <c r="I100" s="215"/>
      <c r="J100" s="215"/>
      <c r="K100" s="215"/>
      <c r="L100" s="215" t="inlineStr">
        <is>
          <t/>
        </is>
      </c>
      <c r="M100" s="215"/>
      <c r="N100" s="215"/>
      <c r="O100" s="215"/>
      <c r="P100" s="215"/>
      <c r="Q100" s="215"/>
      <c r="R100" s="215"/>
      <c r="S100" s="215"/>
      <c r="T100" s="215"/>
      <c r="U100" s="215" t="inlineStr">
        <is>
          <t>无</t>
        </is>
      </c>
      <c r="V100" s="215" t="inlineStr">
        <is>
          <t>是</t>
        </is>
      </c>
      <c r="W100" s="243" t="inlineStr">
        <is>
          <t/>
        </is>
      </c>
    </row>
    <row r="101">
      <c r="A101" s="90" t="inlineStr">
        <is>
          <t>P017</t>
        </is>
      </c>
      <c r="B101" s="85" t="n">
        <v>1</v>
      </c>
      <c r="C101" s="85" t="inlineStr">
        <is>
          <t>游戏手柄</t>
        </is>
      </c>
      <c r="D101" s="85" t="inlineStr">
        <is>
          <t>方法A</t>
        </is>
      </c>
      <c r="E101" s="85" t="inlineStr">
        <is>
          <t>One-Euro</t>
        </is>
      </c>
      <c r="F101" s="215"/>
      <c r="G101" s="215"/>
      <c r="H101" s="215"/>
      <c r="I101" s="215"/>
      <c r="J101" s="215"/>
      <c r="K101" s="215"/>
      <c r="L101" s="215" t="inlineStr">
        <is>
          <t/>
        </is>
      </c>
      <c r="M101" s="215"/>
      <c r="N101" s="215"/>
      <c r="O101" s="215"/>
      <c r="P101" s="215"/>
      <c r="Q101" s="215"/>
      <c r="R101" s="215"/>
      <c r="S101" s="215"/>
      <c r="T101" s="215"/>
      <c r="U101" s="215" t="inlineStr">
        <is>
          <t>无</t>
        </is>
      </c>
      <c r="V101" s="215" t="inlineStr">
        <is>
          <t>是</t>
        </is>
      </c>
      <c r="W101" s="243" t="inlineStr">
        <is>
          <t/>
        </is>
      </c>
    </row>
    <row r="102">
      <c r="A102" s="90" t="inlineStr">
        <is>
          <t>P017</t>
        </is>
      </c>
      <c r="B102" s="85" t="n">
        <v>2</v>
      </c>
      <c r="C102" s="85" t="inlineStr">
        <is>
          <t>游戏手柄</t>
        </is>
      </c>
      <c r="D102" s="85" t="inlineStr">
        <is>
          <t>方法B</t>
        </is>
      </c>
      <c r="E102" s="85" t="inlineStr">
        <is>
          <t>EgoAnchor</t>
        </is>
      </c>
      <c r="F102" s="215"/>
      <c r="G102" s="215"/>
      <c r="H102" s="215"/>
      <c r="I102" s="215"/>
      <c r="J102" s="215"/>
      <c r="K102" s="215"/>
      <c r="L102" s="215" t="inlineStr">
        <is>
          <t/>
        </is>
      </c>
      <c r="M102" s="215"/>
      <c r="N102" s="215"/>
      <c r="O102" s="215"/>
      <c r="P102" s="215"/>
      <c r="Q102" s="215"/>
      <c r="R102" s="215"/>
      <c r="S102" s="215"/>
      <c r="T102" s="215"/>
      <c r="U102" s="215" t="inlineStr">
        <is>
          <t>无</t>
        </is>
      </c>
      <c r="V102" s="215" t="inlineStr">
        <is>
          <t>是</t>
        </is>
      </c>
      <c r="W102" s="243" t="inlineStr">
        <is>
          <t/>
        </is>
      </c>
    </row>
    <row r="103">
      <c r="A103" s="90" t="inlineStr">
        <is>
          <t>P017</t>
        </is>
      </c>
      <c r="B103" s="85" t="n">
        <v>3</v>
      </c>
      <c r="C103" s="85" t="inlineStr">
        <is>
          <t>鼠标</t>
        </is>
      </c>
      <c r="D103" s="85" t="inlineStr">
        <is>
          <t>方法B</t>
        </is>
      </c>
      <c r="E103" s="85" t="inlineStr">
        <is>
          <t>EgoAnchor</t>
        </is>
      </c>
      <c r="F103" s="215"/>
      <c r="G103" s="215"/>
      <c r="H103" s="215"/>
      <c r="I103" s="215"/>
      <c r="J103" s="215"/>
      <c r="K103" s="215"/>
      <c r="L103" s="215" t="inlineStr">
        <is>
          <t/>
        </is>
      </c>
      <c r="M103" s="215"/>
      <c r="N103" s="215"/>
      <c r="O103" s="215"/>
      <c r="P103" s="215"/>
      <c r="Q103" s="215"/>
      <c r="R103" s="215"/>
      <c r="S103" s="215"/>
      <c r="T103" s="215"/>
      <c r="U103" s="215" t="inlineStr">
        <is>
          <t>无</t>
        </is>
      </c>
      <c r="V103" s="215" t="inlineStr">
        <is>
          <t>是</t>
        </is>
      </c>
      <c r="W103" s="243" t="inlineStr">
        <is>
          <t/>
        </is>
      </c>
    </row>
    <row r="104">
      <c r="A104" s="90" t="inlineStr">
        <is>
          <t>P017</t>
        </is>
      </c>
      <c r="B104" s="85" t="n">
        <v>4</v>
      </c>
      <c r="C104" s="85" t="inlineStr">
        <is>
          <t>鼠标</t>
        </is>
      </c>
      <c r="D104" s="85" t="inlineStr">
        <is>
          <t>方法A</t>
        </is>
      </c>
      <c r="E104" s="85" t="inlineStr">
        <is>
          <t>One-Euro</t>
        </is>
      </c>
      <c r="F104" s="215"/>
      <c r="G104" s="215"/>
      <c r="H104" s="215"/>
      <c r="I104" s="215"/>
      <c r="J104" s="215"/>
      <c r="K104" s="215"/>
      <c r="L104" s="215" t="inlineStr">
        <is>
          <t/>
        </is>
      </c>
      <c r="M104" s="215"/>
      <c r="N104" s="215"/>
      <c r="O104" s="215"/>
      <c r="P104" s="215"/>
      <c r="Q104" s="215"/>
      <c r="R104" s="215"/>
      <c r="S104" s="215"/>
      <c r="T104" s="215"/>
      <c r="U104" s="215" t="inlineStr">
        <is>
          <t>无</t>
        </is>
      </c>
      <c r="V104" s="215" t="inlineStr">
        <is>
          <t>是</t>
        </is>
      </c>
      <c r="W104" s="243" t="inlineStr">
        <is>
          <t/>
        </is>
      </c>
    </row>
    <row r="105">
      <c r="A105" s="90" t="inlineStr">
        <is>
          <t>P017</t>
        </is>
      </c>
      <c r="B105" s="85" t="n">
        <v>5</v>
      </c>
      <c r="C105" s="85" t="inlineStr">
        <is>
          <t>固定订书机</t>
        </is>
      </c>
      <c r="D105" s="85" t="inlineStr">
        <is>
          <t>方法A</t>
        </is>
      </c>
      <c r="E105" s="85" t="inlineStr">
        <is>
          <t>One-Euro</t>
        </is>
      </c>
      <c r="F105" s="215"/>
      <c r="G105" s="215"/>
      <c r="H105" s="215"/>
      <c r="I105" s="215"/>
      <c r="J105" s="215"/>
      <c r="K105" s="215"/>
      <c r="L105" s="215" t="inlineStr">
        <is>
          <t/>
        </is>
      </c>
      <c r="M105" s="215"/>
      <c r="N105" s="215"/>
      <c r="O105" s="215"/>
      <c r="P105" s="215"/>
      <c r="Q105" s="215"/>
      <c r="R105" s="215"/>
      <c r="S105" s="215"/>
      <c r="T105" s="215"/>
      <c r="U105" s="215" t="inlineStr">
        <is>
          <t>无</t>
        </is>
      </c>
      <c r="V105" s="215" t="inlineStr">
        <is>
          <t>是</t>
        </is>
      </c>
      <c r="W105" s="243" t="inlineStr">
        <is>
          <t/>
        </is>
      </c>
    </row>
    <row r="106">
      <c r="A106" s="90" t="inlineStr">
        <is>
          <t>P017</t>
        </is>
      </c>
      <c r="B106" s="85" t="n">
        <v>6</v>
      </c>
      <c r="C106" s="85" t="inlineStr">
        <is>
          <t>固定订书机</t>
        </is>
      </c>
      <c r="D106" s="85" t="inlineStr">
        <is>
          <t>方法B</t>
        </is>
      </c>
      <c r="E106" s="85" t="inlineStr">
        <is>
          <t>EgoAnchor</t>
        </is>
      </c>
      <c r="F106" s="215"/>
      <c r="G106" s="215"/>
      <c r="H106" s="215"/>
      <c r="I106" s="215"/>
      <c r="J106" s="215"/>
      <c r="K106" s="215"/>
      <c r="L106" s="215" t="inlineStr">
        <is>
          <t/>
        </is>
      </c>
      <c r="M106" s="215"/>
      <c r="N106" s="215"/>
      <c r="O106" s="215"/>
      <c r="P106" s="215"/>
      <c r="Q106" s="215"/>
      <c r="R106" s="215"/>
      <c r="S106" s="215"/>
      <c r="T106" s="215"/>
      <c r="U106" s="215" t="inlineStr">
        <is>
          <t>无</t>
        </is>
      </c>
      <c r="V106" s="215" t="inlineStr">
        <is>
          <t>是</t>
        </is>
      </c>
      <c r="W106" s="243" t="inlineStr">
        <is>
          <t/>
        </is>
      </c>
    </row>
    <row r="107">
      <c r="A107" s="90" t="inlineStr">
        <is>
          <t>P018</t>
        </is>
      </c>
      <c r="B107" s="85" t="n">
        <v>1</v>
      </c>
      <c r="C107" s="85" t="inlineStr">
        <is>
          <t>游戏手柄</t>
        </is>
      </c>
      <c r="D107" s="85" t="inlineStr">
        <is>
          <t>方法A</t>
        </is>
      </c>
      <c r="E107" s="85" t="inlineStr">
        <is>
          <t>One-Euro</t>
        </is>
      </c>
      <c r="F107" s="215"/>
      <c r="G107" s="215"/>
      <c r="H107" s="215"/>
      <c r="I107" s="215"/>
      <c r="J107" s="215"/>
      <c r="K107" s="215"/>
      <c r="L107" s="215" t="inlineStr">
        <is>
          <t/>
        </is>
      </c>
      <c r="M107" s="215"/>
      <c r="N107" s="215"/>
      <c r="O107" s="215"/>
      <c r="P107" s="215"/>
      <c r="Q107" s="215"/>
      <c r="R107" s="215"/>
      <c r="S107" s="215"/>
      <c r="T107" s="215"/>
      <c r="U107" s="215" t="inlineStr">
        <is>
          <t>无</t>
        </is>
      </c>
      <c r="V107" s="215" t="inlineStr">
        <is>
          <t>是</t>
        </is>
      </c>
      <c r="W107" s="243" t="inlineStr">
        <is>
          <t/>
        </is>
      </c>
    </row>
    <row r="108">
      <c r="A108" s="90" t="inlineStr">
        <is>
          <t>P018</t>
        </is>
      </c>
      <c r="B108" s="85" t="n">
        <v>2</v>
      </c>
      <c r="C108" s="85" t="inlineStr">
        <is>
          <t>游戏手柄</t>
        </is>
      </c>
      <c r="D108" s="85" t="inlineStr">
        <is>
          <t>方法B</t>
        </is>
      </c>
      <c r="E108" s="85" t="inlineStr">
        <is>
          <t>EgoAnchor</t>
        </is>
      </c>
      <c r="F108" s="215"/>
      <c r="G108" s="215"/>
      <c r="H108" s="215"/>
      <c r="I108" s="215"/>
      <c r="J108" s="215"/>
      <c r="K108" s="215"/>
      <c r="L108" s="215" t="inlineStr">
        <is>
          <t/>
        </is>
      </c>
      <c r="M108" s="215"/>
      <c r="N108" s="215"/>
      <c r="O108" s="215"/>
      <c r="P108" s="215"/>
      <c r="Q108" s="215"/>
      <c r="R108" s="215"/>
      <c r="S108" s="215"/>
      <c r="T108" s="215"/>
      <c r="U108" s="215" t="inlineStr">
        <is>
          <t>无</t>
        </is>
      </c>
      <c r="V108" s="215" t="inlineStr">
        <is>
          <t>是</t>
        </is>
      </c>
      <c r="W108" s="243" t="inlineStr">
        <is>
          <t/>
        </is>
      </c>
    </row>
    <row r="109">
      <c r="A109" s="90" t="inlineStr">
        <is>
          <t>P018</t>
        </is>
      </c>
      <c r="B109" s="85" t="n">
        <v>3</v>
      </c>
      <c r="C109" s="85" t="inlineStr">
        <is>
          <t>固定订书机</t>
        </is>
      </c>
      <c r="D109" s="85" t="inlineStr">
        <is>
          <t>方法B</t>
        </is>
      </c>
      <c r="E109" s="85" t="inlineStr">
        <is>
          <t>EgoAnchor</t>
        </is>
      </c>
      <c r="F109" s="215"/>
      <c r="G109" s="215"/>
      <c r="H109" s="215"/>
      <c r="I109" s="215"/>
      <c r="J109" s="215"/>
      <c r="K109" s="215"/>
      <c r="L109" s="215" t="inlineStr">
        <is>
          <t/>
        </is>
      </c>
      <c r="M109" s="215"/>
      <c r="N109" s="215"/>
      <c r="O109" s="215"/>
      <c r="P109" s="215"/>
      <c r="Q109" s="215"/>
      <c r="R109" s="215"/>
      <c r="S109" s="215"/>
      <c r="T109" s="215"/>
      <c r="U109" s="215" t="inlineStr">
        <is>
          <t>无</t>
        </is>
      </c>
      <c r="V109" s="215" t="inlineStr">
        <is>
          <t>是</t>
        </is>
      </c>
      <c r="W109" s="243" t="inlineStr">
        <is>
          <t/>
        </is>
      </c>
    </row>
    <row r="110">
      <c r="A110" s="90" t="inlineStr">
        <is>
          <t>P018</t>
        </is>
      </c>
      <c r="B110" s="85" t="n">
        <v>4</v>
      </c>
      <c r="C110" s="85" t="inlineStr">
        <is>
          <t>固定订书机</t>
        </is>
      </c>
      <c r="D110" s="85" t="inlineStr">
        <is>
          <t>方法A</t>
        </is>
      </c>
      <c r="E110" s="85" t="inlineStr">
        <is>
          <t>One-Euro</t>
        </is>
      </c>
      <c r="F110" s="215"/>
      <c r="G110" s="215"/>
      <c r="H110" s="215"/>
      <c r="I110" s="215"/>
      <c r="J110" s="215"/>
      <c r="K110" s="215"/>
      <c r="L110" s="215" t="inlineStr">
        <is>
          <t/>
        </is>
      </c>
      <c r="M110" s="215"/>
      <c r="N110" s="215"/>
      <c r="O110" s="215"/>
      <c r="P110" s="215"/>
      <c r="Q110" s="215"/>
      <c r="R110" s="215"/>
      <c r="S110" s="215"/>
      <c r="T110" s="215"/>
      <c r="U110" s="215" t="inlineStr">
        <is>
          <t>无</t>
        </is>
      </c>
      <c r="V110" s="215" t="inlineStr">
        <is>
          <t>是</t>
        </is>
      </c>
      <c r="W110" s="243" t="inlineStr">
        <is>
          <t/>
        </is>
      </c>
    </row>
    <row r="111">
      <c r="A111" s="90" t="inlineStr">
        <is>
          <t>P018</t>
        </is>
      </c>
      <c r="B111" s="85" t="n">
        <v>5</v>
      </c>
      <c r="C111" s="85" t="inlineStr">
        <is>
          <t>鼠标</t>
        </is>
      </c>
      <c r="D111" s="85" t="inlineStr">
        <is>
          <t>方法A</t>
        </is>
      </c>
      <c r="E111" s="85" t="inlineStr">
        <is>
          <t>One-Euro</t>
        </is>
      </c>
      <c r="F111" s="215"/>
      <c r="G111" s="215"/>
      <c r="H111" s="215"/>
      <c r="I111" s="215"/>
      <c r="J111" s="215"/>
      <c r="K111" s="215"/>
      <c r="L111" s="215" t="inlineStr">
        <is>
          <t/>
        </is>
      </c>
      <c r="M111" s="215"/>
      <c r="N111" s="215"/>
      <c r="O111" s="215"/>
      <c r="P111" s="215"/>
      <c r="Q111" s="215"/>
      <c r="R111" s="215"/>
      <c r="S111" s="215"/>
      <c r="T111" s="215"/>
      <c r="U111" s="215" t="inlineStr">
        <is>
          <t>无</t>
        </is>
      </c>
      <c r="V111" s="215" t="inlineStr">
        <is>
          <t>是</t>
        </is>
      </c>
      <c r="W111" s="243" t="inlineStr">
        <is>
          <t/>
        </is>
      </c>
    </row>
    <row r="112">
      <c r="A112" s="90" t="inlineStr">
        <is>
          <t>P018</t>
        </is>
      </c>
      <c r="B112" s="85" t="n">
        <v>6</v>
      </c>
      <c r="C112" s="85" t="inlineStr">
        <is>
          <t>鼠标</t>
        </is>
      </c>
      <c r="D112" s="85" t="inlineStr">
        <is>
          <t>方法B</t>
        </is>
      </c>
      <c r="E112" s="85" t="inlineStr">
        <is>
          <t>EgoAnchor</t>
        </is>
      </c>
      <c r="F112" s="215"/>
      <c r="G112" s="215"/>
      <c r="H112" s="215"/>
      <c r="I112" s="215"/>
      <c r="J112" s="215"/>
      <c r="K112" s="215"/>
      <c r="L112" s="215" t="inlineStr">
        <is>
          <t/>
        </is>
      </c>
      <c r="M112" s="215"/>
      <c r="N112" s="215"/>
      <c r="O112" s="215"/>
      <c r="P112" s="215"/>
      <c r="Q112" s="215"/>
      <c r="R112" s="215"/>
      <c r="S112" s="215"/>
      <c r="T112" s="215"/>
      <c r="U112" s="215" t="inlineStr">
        <is>
          <t>无</t>
        </is>
      </c>
      <c r="V112" s="215" t="inlineStr">
        <is>
          <t>是</t>
        </is>
      </c>
      <c r="W112" s="243" t="inlineStr">
        <is>
          <t/>
        </is>
      </c>
    </row>
    <row r="113">
      <c r="A113" s="90" t="inlineStr">
        <is>
          <t>P019</t>
        </is>
      </c>
      <c r="B113" s="85" t="n">
        <v>1</v>
      </c>
      <c r="C113" s="85" t="inlineStr">
        <is>
          <t>鼠标</t>
        </is>
      </c>
      <c r="D113" s="85" t="inlineStr">
        <is>
          <t>方法B</t>
        </is>
      </c>
      <c r="E113" s="85" t="inlineStr">
        <is>
          <t>EgoAnchor</t>
        </is>
      </c>
      <c r="F113" s="215"/>
      <c r="G113" s="215"/>
      <c r="H113" s="215"/>
      <c r="I113" s="215"/>
      <c r="J113" s="215"/>
      <c r="K113" s="215"/>
      <c r="L113" s="215" t="inlineStr">
        <is>
          <t/>
        </is>
      </c>
      <c r="M113" s="215"/>
      <c r="N113" s="215"/>
      <c r="O113" s="215"/>
      <c r="P113" s="215"/>
      <c r="Q113" s="215"/>
      <c r="R113" s="215"/>
      <c r="S113" s="215"/>
      <c r="T113" s="215"/>
      <c r="U113" s="215" t="inlineStr">
        <is>
          <t>无</t>
        </is>
      </c>
      <c r="V113" s="215" t="inlineStr">
        <is>
          <t>是</t>
        </is>
      </c>
      <c r="W113" s="243" t="inlineStr">
        <is>
          <t/>
        </is>
      </c>
    </row>
    <row r="114">
      <c r="A114" s="90" t="inlineStr">
        <is>
          <t>P019</t>
        </is>
      </c>
      <c r="B114" s="85" t="n">
        <v>2</v>
      </c>
      <c r="C114" s="85" t="inlineStr">
        <is>
          <t>鼠标</t>
        </is>
      </c>
      <c r="D114" s="85" t="inlineStr">
        <is>
          <t>方法A</t>
        </is>
      </c>
      <c r="E114" s="85" t="inlineStr">
        <is>
          <t>One-Euro</t>
        </is>
      </c>
      <c r="F114" s="215"/>
      <c r="G114" s="215"/>
      <c r="H114" s="215"/>
      <c r="I114" s="215"/>
      <c r="J114" s="215"/>
      <c r="K114" s="215"/>
      <c r="L114" s="215" t="inlineStr">
        <is>
          <t/>
        </is>
      </c>
      <c r="M114" s="215"/>
      <c r="N114" s="215"/>
      <c r="O114" s="215"/>
      <c r="P114" s="215"/>
      <c r="Q114" s="215"/>
      <c r="R114" s="215"/>
      <c r="S114" s="215"/>
      <c r="T114" s="215"/>
      <c r="U114" s="215" t="inlineStr">
        <is>
          <t>无</t>
        </is>
      </c>
      <c r="V114" s="215" t="inlineStr">
        <is>
          <t>是</t>
        </is>
      </c>
      <c r="W114" s="243" t="inlineStr">
        <is>
          <t/>
        </is>
      </c>
    </row>
    <row r="115">
      <c r="A115" s="90" t="inlineStr">
        <is>
          <t>P019</t>
        </is>
      </c>
      <c r="B115" s="85" t="n">
        <v>3</v>
      </c>
      <c r="C115" s="85" t="inlineStr">
        <is>
          <t>固定订书机</t>
        </is>
      </c>
      <c r="D115" s="85" t="inlineStr">
        <is>
          <t>方法A</t>
        </is>
      </c>
      <c r="E115" s="85" t="inlineStr">
        <is>
          <t>One-Euro</t>
        </is>
      </c>
      <c r="F115" s="215"/>
      <c r="G115" s="215"/>
      <c r="H115" s="215"/>
      <c r="I115" s="215"/>
      <c r="J115" s="215"/>
      <c r="K115" s="215"/>
      <c r="L115" s="215" t="inlineStr">
        <is>
          <t/>
        </is>
      </c>
      <c r="M115" s="215"/>
      <c r="N115" s="215"/>
      <c r="O115" s="215"/>
      <c r="P115" s="215"/>
      <c r="Q115" s="215"/>
      <c r="R115" s="215"/>
      <c r="S115" s="215"/>
      <c r="T115" s="215"/>
      <c r="U115" s="215" t="inlineStr">
        <is>
          <t>无</t>
        </is>
      </c>
      <c r="V115" s="215" t="inlineStr">
        <is>
          <t>是</t>
        </is>
      </c>
      <c r="W115" s="243" t="inlineStr">
        <is>
          <t/>
        </is>
      </c>
    </row>
    <row r="116">
      <c r="A116" s="90" t="inlineStr">
        <is>
          <t>P019</t>
        </is>
      </c>
      <c r="B116" s="85" t="n">
        <v>4</v>
      </c>
      <c r="C116" s="85" t="inlineStr">
        <is>
          <t>固定订书机</t>
        </is>
      </c>
      <c r="D116" s="85" t="inlineStr">
        <is>
          <t>方法B</t>
        </is>
      </c>
      <c r="E116" s="85" t="inlineStr">
        <is>
          <t>EgoAnchor</t>
        </is>
      </c>
      <c r="F116" s="215"/>
      <c r="G116" s="215"/>
      <c r="H116" s="215"/>
      <c r="I116" s="215"/>
      <c r="J116" s="215"/>
      <c r="K116" s="215"/>
      <c r="L116" s="215" t="inlineStr">
        <is>
          <t/>
        </is>
      </c>
      <c r="M116" s="215"/>
      <c r="N116" s="215"/>
      <c r="O116" s="215"/>
      <c r="P116" s="215"/>
      <c r="Q116" s="215"/>
      <c r="R116" s="215"/>
      <c r="S116" s="215"/>
      <c r="T116" s="215"/>
      <c r="U116" s="215" t="inlineStr">
        <is>
          <t>无</t>
        </is>
      </c>
      <c r="V116" s="215" t="inlineStr">
        <is>
          <t>是</t>
        </is>
      </c>
      <c r="W116" s="243" t="inlineStr">
        <is>
          <t/>
        </is>
      </c>
    </row>
    <row r="117">
      <c r="A117" s="90" t="inlineStr">
        <is>
          <t>P019</t>
        </is>
      </c>
      <c r="B117" s="85" t="n">
        <v>5</v>
      </c>
      <c r="C117" s="85" t="inlineStr">
        <is>
          <t>游戏手柄</t>
        </is>
      </c>
      <c r="D117" s="85" t="inlineStr">
        <is>
          <t>方法B</t>
        </is>
      </c>
      <c r="E117" s="85" t="inlineStr">
        <is>
          <t>EgoAnchor</t>
        </is>
      </c>
      <c r="F117" s="215"/>
      <c r="G117" s="215"/>
      <c r="H117" s="215"/>
      <c r="I117" s="215"/>
      <c r="J117" s="215"/>
      <c r="K117" s="215"/>
      <c r="L117" s="215" t="inlineStr">
        <is>
          <t/>
        </is>
      </c>
      <c r="M117" s="215"/>
      <c r="N117" s="215"/>
      <c r="O117" s="215"/>
      <c r="P117" s="215"/>
      <c r="Q117" s="215"/>
      <c r="R117" s="215"/>
      <c r="S117" s="215"/>
      <c r="T117" s="215"/>
      <c r="U117" s="215" t="inlineStr">
        <is>
          <t>无</t>
        </is>
      </c>
      <c r="V117" s="215" t="inlineStr">
        <is>
          <t>是</t>
        </is>
      </c>
      <c r="W117" s="243" t="inlineStr">
        <is>
          <t/>
        </is>
      </c>
    </row>
    <row r="118">
      <c r="A118" s="90" t="inlineStr">
        <is>
          <t>P019</t>
        </is>
      </c>
      <c r="B118" s="85" t="n">
        <v>6</v>
      </c>
      <c r="C118" s="85" t="inlineStr">
        <is>
          <t>游戏手柄</t>
        </is>
      </c>
      <c r="D118" s="85" t="inlineStr">
        <is>
          <t>方法A</t>
        </is>
      </c>
      <c r="E118" s="85" t="inlineStr">
        <is>
          <t>One-Euro</t>
        </is>
      </c>
      <c r="F118" s="215"/>
      <c r="G118" s="215"/>
      <c r="H118" s="215"/>
      <c r="I118" s="215"/>
      <c r="J118" s="215"/>
      <c r="K118" s="215"/>
      <c r="L118" s="215" t="inlineStr">
        <is>
          <t/>
        </is>
      </c>
      <c r="M118" s="215"/>
      <c r="N118" s="215"/>
      <c r="O118" s="215"/>
      <c r="P118" s="215"/>
      <c r="Q118" s="215"/>
      <c r="R118" s="215"/>
      <c r="S118" s="215"/>
      <c r="T118" s="215"/>
      <c r="U118" s="215" t="inlineStr">
        <is>
          <t>无</t>
        </is>
      </c>
      <c r="V118" s="215" t="inlineStr">
        <is>
          <t>是</t>
        </is>
      </c>
      <c r="W118" s="243" t="inlineStr">
        <is>
          <t/>
        </is>
      </c>
    </row>
    <row r="119">
      <c r="A119" s="90" t="inlineStr">
        <is>
          <t>P020</t>
        </is>
      </c>
      <c r="B119" s="85" t="n">
        <v>1</v>
      </c>
      <c r="C119" s="85" t="inlineStr">
        <is>
          <t>鼠标</t>
        </is>
      </c>
      <c r="D119" s="85" t="inlineStr">
        <is>
          <t>方法B</t>
        </is>
      </c>
      <c r="E119" s="85" t="inlineStr">
        <is>
          <t>EgoAnchor</t>
        </is>
      </c>
      <c r="F119" s="215"/>
      <c r="G119" s="215"/>
      <c r="H119" s="215"/>
      <c r="I119" s="215"/>
      <c r="J119" s="215"/>
      <c r="K119" s="215"/>
      <c r="L119" s="215" t="inlineStr">
        <is>
          <t/>
        </is>
      </c>
      <c r="M119" s="215"/>
      <c r="N119" s="215"/>
      <c r="O119" s="215"/>
      <c r="P119" s="215"/>
      <c r="Q119" s="215"/>
      <c r="R119" s="215"/>
      <c r="S119" s="215"/>
      <c r="T119" s="215"/>
      <c r="U119" s="215" t="inlineStr">
        <is>
          <t>无</t>
        </is>
      </c>
      <c r="V119" s="215" t="inlineStr">
        <is>
          <t>是</t>
        </is>
      </c>
      <c r="W119" s="243" t="inlineStr">
        <is>
          <t/>
        </is>
      </c>
    </row>
    <row r="120">
      <c r="A120" s="90" t="inlineStr">
        <is>
          <t>P020</t>
        </is>
      </c>
      <c r="B120" s="85" t="n">
        <v>2</v>
      </c>
      <c r="C120" s="85" t="inlineStr">
        <is>
          <t>鼠标</t>
        </is>
      </c>
      <c r="D120" s="85" t="inlineStr">
        <is>
          <t>方法A</t>
        </is>
      </c>
      <c r="E120" s="85" t="inlineStr">
        <is>
          <t>One-Euro</t>
        </is>
      </c>
      <c r="F120" s="215"/>
      <c r="G120" s="215"/>
      <c r="H120" s="215"/>
      <c r="I120" s="215"/>
      <c r="J120" s="215"/>
      <c r="K120" s="215"/>
      <c r="L120" s="215" t="inlineStr">
        <is>
          <t/>
        </is>
      </c>
      <c r="M120" s="215"/>
      <c r="N120" s="215"/>
      <c r="O120" s="215"/>
      <c r="P120" s="215"/>
      <c r="Q120" s="215"/>
      <c r="R120" s="215"/>
      <c r="S120" s="215"/>
      <c r="T120" s="215"/>
      <c r="U120" s="215" t="inlineStr">
        <is>
          <t>无</t>
        </is>
      </c>
      <c r="V120" s="215" t="inlineStr">
        <is>
          <t>是</t>
        </is>
      </c>
      <c r="W120" s="243" t="inlineStr">
        <is>
          <t/>
        </is>
      </c>
    </row>
    <row r="121">
      <c r="A121" s="90" t="inlineStr">
        <is>
          <t>P020</t>
        </is>
      </c>
      <c r="B121" s="85" t="n">
        <v>3</v>
      </c>
      <c r="C121" s="85" t="inlineStr">
        <is>
          <t>游戏手柄</t>
        </is>
      </c>
      <c r="D121" s="85" t="inlineStr">
        <is>
          <t>方法A</t>
        </is>
      </c>
      <c r="E121" s="85" t="inlineStr">
        <is>
          <t>One-Euro</t>
        </is>
      </c>
      <c r="F121" s="215"/>
      <c r="G121" s="215"/>
      <c r="H121" s="215"/>
      <c r="I121" s="215"/>
      <c r="J121" s="215"/>
      <c r="K121" s="215"/>
      <c r="L121" s="215" t="inlineStr">
        <is>
          <t/>
        </is>
      </c>
      <c r="M121" s="215"/>
      <c r="N121" s="215"/>
      <c r="O121" s="215"/>
      <c r="P121" s="215"/>
      <c r="Q121" s="215"/>
      <c r="R121" s="215"/>
      <c r="S121" s="215"/>
      <c r="T121" s="215"/>
      <c r="U121" s="215" t="inlineStr">
        <is>
          <t>无</t>
        </is>
      </c>
      <c r="V121" s="215" t="inlineStr">
        <is>
          <t>是</t>
        </is>
      </c>
      <c r="W121" s="243" t="inlineStr">
        <is>
          <t/>
        </is>
      </c>
    </row>
    <row r="122">
      <c r="A122" s="90" t="inlineStr">
        <is>
          <t>P020</t>
        </is>
      </c>
      <c r="B122" s="85" t="n">
        <v>4</v>
      </c>
      <c r="C122" s="85" t="inlineStr">
        <is>
          <t>游戏手柄</t>
        </is>
      </c>
      <c r="D122" s="85" t="inlineStr">
        <is>
          <t>方法B</t>
        </is>
      </c>
      <c r="E122" s="85" t="inlineStr">
        <is>
          <t>EgoAnchor</t>
        </is>
      </c>
      <c r="F122" s="215"/>
      <c r="G122" s="215"/>
      <c r="H122" s="215"/>
      <c r="I122" s="215"/>
      <c r="J122" s="215"/>
      <c r="K122" s="215"/>
      <c r="L122" s="215" t="inlineStr">
        <is>
          <t/>
        </is>
      </c>
      <c r="M122" s="215"/>
      <c r="N122" s="215"/>
      <c r="O122" s="215"/>
      <c r="P122" s="215"/>
      <c r="Q122" s="215"/>
      <c r="R122" s="215"/>
      <c r="S122" s="215"/>
      <c r="T122" s="215"/>
      <c r="U122" s="215" t="inlineStr">
        <is>
          <t>无</t>
        </is>
      </c>
      <c r="V122" s="215" t="inlineStr">
        <is>
          <t>是</t>
        </is>
      </c>
      <c r="W122" s="243" t="inlineStr">
        <is>
          <t/>
        </is>
      </c>
    </row>
    <row r="123">
      <c r="A123" s="90" t="inlineStr">
        <is>
          <t>P020</t>
        </is>
      </c>
      <c r="B123" s="85" t="n">
        <v>5</v>
      </c>
      <c r="C123" s="85" t="inlineStr">
        <is>
          <t>固定订书机</t>
        </is>
      </c>
      <c r="D123" s="85" t="inlineStr">
        <is>
          <t>方法B</t>
        </is>
      </c>
      <c r="E123" s="85" t="inlineStr">
        <is>
          <t>EgoAnchor</t>
        </is>
      </c>
      <c r="F123" s="215"/>
      <c r="G123" s="215"/>
      <c r="H123" s="215"/>
      <c r="I123" s="215"/>
      <c r="J123" s="215"/>
      <c r="K123" s="215"/>
      <c r="L123" s="215" t="inlineStr">
        <is>
          <t/>
        </is>
      </c>
      <c r="M123" s="215"/>
      <c r="N123" s="215"/>
      <c r="O123" s="215"/>
      <c r="P123" s="215"/>
      <c r="Q123" s="215"/>
      <c r="R123" s="215"/>
      <c r="S123" s="215"/>
      <c r="T123" s="215"/>
      <c r="U123" s="215" t="inlineStr">
        <is>
          <t>无</t>
        </is>
      </c>
      <c r="V123" s="215" t="inlineStr">
        <is>
          <t>是</t>
        </is>
      </c>
      <c r="W123" s="243" t="inlineStr">
        <is>
          <t/>
        </is>
      </c>
    </row>
    <row r="124">
      <c r="A124" s="90" t="inlineStr">
        <is>
          <t>P020</t>
        </is>
      </c>
      <c r="B124" s="85" t="n">
        <v>6</v>
      </c>
      <c r="C124" s="85" t="inlineStr">
        <is>
          <t>固定订书机</t>
        </is>
      </c>
      <c r="D124" s="85" t="inlineStr">
        <is>
          <t>方法A</t>
        </is>
      </c>
      <c r="E124" s="85" t="inlineStr">
        <is>
          <t>One-Euro</t>
        </is>
      </c>
      <c r="F124" s="215"/>
      <c r="G124" s="215"/>
      <c r="H124" s="215"/>
      <c r="I124" s="215"/>
      <c r="J124" s="215"/>
      <c r="K124" s="215"/>
      <c r="L124" s="215" t="inlineStr">
        <is>
          <t/>
        </is>
      </c>
      <c r="M124" s="215"/>
      <c r="N124" s="215"/>
      <c r="O124" s="215"/>
      <c r="P124" s="215"/>
      <c r="Q124" s="215"/>
      <c r="R124" s="215"/>
      <c r="S124" s="215"/>
      <c r="T124" s="215"/>
      <c r="U124" s="215" t="inlineStr">
        <is>
          <t>无</t>
        </is>
      </c>
      <c r="V124" s="215" t="inlineStr">
        <is>
          <t>是</t>
        </is>
      </c>
      <c r="W124" s="243" t="inlineStr">
        <is>
          <t/>
        </is>
      </c>
    </row>
    <row r="125">
      <c r="A125" s="90" t="inlineStr">
        <is>
          <t>P021</t>
        </is>
      </c>
      <c r="B125" s="85" t="n">
        <v>1</v>
      </c>
      <c r="C125" s="85" t="inlineStr">
        <is>
          <t>固定订书机</t>
        </is>
      </c>
      <c r="D125" s="85" t="inlineStr">
        <is>
          <t>方法B</t>
        </is>
      </c>
      <c r="E125" s="85" t="inlineStr">
        <is>
          <t>EgoAnchor</t>
        </is>
      </c>
      <c r="F125" s="215"/>
      <c r="G125" s="215"/>
      <c r="H125" s="215"/>
      <c r="I125" s="215"/>
      <c r="J125" s="215"/>
      <c r="K125" s="215"/>
      <c r="L125" s="215" t="inlineStr">
        <is>
          <t/>
        </is>
      </c>
      <c r="M125" s="215"/>
      <c r="N125" s="215"/>
      <c r="O125" s="215"/>
      <c r="P125" s="215"/>
      <c r="Q125" s="215"/>
      <c r="R125" s="215"/>
      <c r="S125" s="215"/>
      <c r="T125" s="215"/>
      <c r="U125" s="215" t="inlineStr">
        <is>
          <t>无</t>
        </is>
      </c>
      <c r="V125" s="215" t="inlineStr">
        <is>
          <t>是</t>
        </is>
      </c>
      <c r="W125" s="243" t="inlineStr">
        <is>
          <t/>
        </is>
      </c>
    </row>
    <row r="126">
      <c r="A126" s="90" t="inlineStr">
        <is>
          <t>P021</t>
        </is>
      </c>
      <c r="B126" s="85" t="n">
        <v>2</v>
      </c>
      <c r="C126" s="85" t="inlineStr">
        <is>
          <t>固定订书机</t>
        </is>
      </c>
      <c r="D126" s="85" t="inlineStr">
        <is>
          <t>方法A</t>
        </is>
      </c>
      <c r="E126" s="85" t="inlineStr">
        <is>
          <t>One-Euro</t>
        </is>
      </c>
      <c r="F126" s="215"/>
      <c r="G126" s="215"/>
      <c r="H126" s="215"/>
      <c r="I126" s="215"/>
      <c r="J126" s="215"/>
      <c r="K126" s="215"/>
      <c r="L126" s="215" t="inlineStr">
        <is>
          <t/>
        </is>
      </c>
      <c r="M126" s="215"/>
      <c r="N126" s="215"/>
      <c r="O126" s="215"/>
      <c r="P126" s="215"/>
      <c r="Q126" s="215"/>
      <c r="R126" s="215"/>
      <c r="S126" s="215"/>
      <c r="T126" s="215"/>
      <c r="U126" s="215" t="inlineStr">
        <is>
          <t>无</t>
        </is>
      </c>
      <c r="V126" s="215" t="inlineStr">
        <is>
          <t>是</t>
        </is>
      </c>
      <c r="W126" s="243" t="inlineStr">
        <is>
          <t/>
        </is>
      </c>
    </row>
    <row r="127">
      <c r="A127" s="90" t="inlineStr">
        <is>
          <t>P021</t>
        </is>
      </c>
      <c r="B127" s="85" t="n">
        <v>3</v>
      </c>
      <c r="C127" s="85" t="inlineStr">
        <is>
          <t>鼠标</t>
        </is>
      </c>
      <c r="D127" s="85" t="inlineStr">
        <is>
          <t>方法A</t>
        </is>
      </c>
      <c r="E127" s="85" t="inlineStr">
        <is>
          <t>One-Euro</t>
        </is>
      </c>
      <c r="F127" s="215"/>
      <c r="G127" s="215"/>
      <c r="H127" s="215"/>
      <c r="I127" s="215"/>
      <c r="J127" s="215"/>
      <c r="K127" s="215"/>
      <c r="L127" s="215" t="inlineStr">
        <is>
          <t/>
        </is>
      </c>
      <c r="M127" s="215"/>
      <c r="N127" s="215"/>
      <c r="O127" s="215"/>
      <c r="P127" s="215"/>
      <c r="Q127" s="215"/>
      <c r="R127" s="215"/>
      <c r="S127" s="215"/>
      <c r="T127" s="215"/>
      <c r="U127" s="215" t="inlineStr">
        <is>
          <t>无</t>
        </is>
      </c>
      <c r="V127" s="215" t="inlineStr">
        <is>
          <t>是</t>
        </is>
      </c>
      <c r="W127" s="243" t="inlineStr">
        <is>
          <t/>
        </is>
      </c>
    </row>
    <row r="128">
      <c r="A128" s="90" t="inlineStr">
        <is>
          <t>P021</t>
        </is>
      </c>
      <c r="B128" s="85" t="n">
        <v>4</v>
      </c>
      <c r="C128" s="85" t="inlineStr">
        <is>
          <t>鼠标</t>
        </is>
      </c>
      <c r="D128" s="85" t="inlineStr">
        <is>
          <t>方法B</t>
        </is>
      </c>
      <c r="E128" s="85" t="inlineStr">
        <is>
          <t>EgoAnchor</t>
        </is>
      </c>
      <c r="F128" s="215"/>
      <c r="G128" s="215"/>
      <c r="H128" s="215"/>
      <c r="I128" s="215"/>
      <c r="J128" s="215"/>
      <c r="K128" s="215"/>
      <c r="L128" s="215" t="inlineStr">
        <is>
          <t/>
        </is>
      </c>
      <c r="M128" s="215"/>
      <c r="N128" s="215"/>
      <c r="O128" s="215"/>
      <c r="P128" s="215"/>
      <c r="Q128" s="215"/>
      <c r="R128" s="215"/>
      <c r="S128" s="215"/>
      <c r="T128" s="215"/>
      <c r="U128" s="215" t="inlineStr">
        <is>
          <t>无</t>
        </is>
      </c>
      <c r="V128" s="215" t="inlineStr">
        <is>
          <t>是</t>
        </is>
      </c>
      <c r="W128" s="243" t="inlineStr">
        <is>
          <t/>
        </is>
      </c>
    </row>
    <row r="129">
      <c r="A129" s="90" t="inlineStr">
        <is>
          <t>P021</t>
        </is>
      </c>
      <c r="B129" s="85" t="n">
        <v>5</v>
      </c>
      <c r="C129" s="85" t="inlineStr">
        <is>
          <t>游戏手柄</t>
        </is>
      </c>
      <c r="D129" s="85" t="inlineStr">
        <is>
          <t>方法B</t>
        </is>
      </c>
      <c r="E129" s="85" t="inlineStr">
        <is>
          <t>EgoAnchor</t>
        </is>
      </c>
      <c r="F129" s="215"/>
      <c r="G129" s="215"/>
      <c r="H129" s="215"/>
      <c r="I129" s="215"/>
      <c r="J129" s="215"/>
      <c r="K129" s="215"/>
      <c r="L129" s="215" t="inlineStr">
        <is>
          <t/>
        </is>
      </c>
      <c r="M129" s="215"/>
      <c r="N129" s="215"/>
      <c r="O129" s="215"/>
      <c r="P129" s="215"/>
      <c r="Q129" s="215"/>
      <c r="R129" s="215"/>
      <c r="S129" s="215"/>
      <c r="T129" s="215"/>
      <c r="U129" s="215" t="inlineStr">
        <is>
          <t>无</t>
        </is>
      </c>
      <c r="V129" s="215" t="inlineStr">
        <is>
          <t>是</t>
        </is>
      </c>
      <c r="W129" s="243" t="inlineStr">
        <is>
          <t/>
        </is>
      </c>
    </row>
    <row r="130">
      <c r="A130" s="90" t="inlineStr">
        <is>
          <t>P021</t>
        </is>
      </c>
      <c r="B130" s="85" t="n">
        <v>6</v>
      </c>
      <c r="C130" s="85" t="inlineStr">
        <is>
          <t>游戏手柄</t>
        </is>
      </c>
      <c r="D130" s="85" t="inlineStr">
        <is>
          <t>方法A</t>
        </is>
      </c>
      <c r="E130" s="85" t="inlineStr">
        <is>
          <t>One-Euro</t>
        </is>
      </c>
      <c r="F130" s="215"/>
      <c r="G130" s="215"/>
      <c r="H130" s="215"/>
      <c r="I130" s="215"/>
      <c r="J130" s="215"/>
      <c r="K130" s="215"/>
      <c r="L130" s="215" t="inlineStr">
        <is>
          <t/>
        </is>
      </c>
      <c r="M130" s="215"/>
      <c r="N130" s="215"/>
      <c r="O130" s="215"/>
      <c r="P130" s="215"/>
      <c r="Q130" s="215"/>
      <c r="R130" s="215"/>
      <c r="S130" s="215"/>
      <c r="T130" s="215"/>
      <c r="U130" s="215" t="inlineStr">
        <is>
          <t>无</t>
        </is>
      </c>
      <c r="V130" s="215" t="inlineStr">
        <is>
          <t>是</t>
        </is>
      </c>
      <c r="W130" s="243" t="inlineStr">
        <is>
          <t/>
        </is>
      </c>
    </row>
    <row r="131">
      <c r="A131" s="90" t="inlineStr">
        <is>
          <t>P022</t>
        </is>
      </c>
      <c r="B131" s="85" t="n">
        <v>1</v>
      </c>
      <c r="C131" s="85" t="inlineStr">
        <is>
          <t>固定订书机</t>
        </is>
      </c>
      <c r="D131" s="85" t="inlineStr">
        <is>
          <t>方法B</t>
        </is>
      </c>
      <c r="E131" s="85" t="inlineStr">
        <is>
          <t>EgoAnchor</t>
        </is>
      </c>
      <c r="F131" s="215"/>
      <c r="G131" s="215"/>
      <c r="H131" s="215"/>
      <c r="I131" s="215"/>
      <c r="J131" s="215"/>
      <c r="K131" s="215"/>
      <c r="L131" s="215" t="inlineStr">
        <is>
          <t/>
        </is>
      </c>
      <c r="M131" s="215"/>
      <c r="N131" s="215"/>
      <c r="O131" s="215"/>
      <c r="P131" s="215"/>
      <c r="Q131" s="215"/>
      <c r="R131" s="215"/>
      <c r="S131" s="215"/>
      <c r="T131" s="215"/>
      <c r="U131" s="215" t="inlineStr">
        <is>
          <t>无</t>
        </is>
      </c>
      <c r="V131" s="215" t="inlineStr">
        <is>
          <t>是</t>
        </is>
      </c>
      <c r="W131" s="243" t="inlineStr">
        <is>
          <t/>
        </is>
      </c>
    </row>
    <row r="132">
      <c r="A132" s="90" t="inlineStr">
        <is>
          <t>P022</t>
        </is>
      </c>
      <c r="B132" s="85" t="n">
        <v>2</v>
      </c>
      <c r="C132" s="85" t="inlineStr">
        <is>
          <t>固定订书机</t>
        </is>
      </c>
      <c r="D132" s="85" t="inlineStr">
        <is>
          <t>方法A</t>
        </is>
      </c>
      <c r="E132" s="85" t="inlineStr">
        <is>
          <t>One-Euro</t>
        </is>
      </c>
      <c r="F132" s="215"/>
      <c r="G132" s="215"/>
      <c r="H132" s="215"/>
      <c r="I132" s="215"/>
      <c r="J132" s="215"/>
      <c r="K132" s="215"/>
      <c r="L132" s="215" t="inlineStr">
        <is>
          <t/>
        </is>
      </c>
      <c r="M132" s="215"/>
      <c r="N132" s="215"/>
      <c r="O132" s="215"/>
      <c r="P132" s="215"/>
      <c r="Q132" s="215"/>
      <c r="R132" s="215"/>
      <c r="S132" s="215"/>
      <c r="T132" s="215"/>
      <c r="U132" s="215" t="inlineStr">
        <is>
          <t>无</t>
        </is>
      </c>
      <c r="V132" s="215" t="inlineStr">
        <is>
          <t>是</t>
        </is>
      </c>
      <c r="W132" s="243" t="inlineStr">
        <is>
          <t/>
        </is>
      </c>
    </row>
    <row r="133">
      <c r="A133" s="90" t="inlineStr">
        <is>
          <t>P022</t>
        </is>
      </c>
      <c r="B133" s="85" t="n">
        <v>3</v>
      </c>
      <c r="C133" s="85" t="inlineStr">
        <is>
          <t>游戏手柄</t>
        </is>
      </c>
      <c r="D133" s="85" t="inlineStr">
        <is>
          <t>方法A</t>
        </is>
      </c>
      <c r="E133" s="85" t="inlineStr">
        <is>
          <t>One-Euro</t>
        </is>
      </c>
      <c r="F133" s="215"/>
      <c r="G133" s="215"/>
      <c r="H133" s="215"/>
      <c r="I133" s="215"/>
      <c r="J133" s="215"/>
      <c r="K133" s="215"/>
      <c r="L133" s="215" t="inlineStr">
        <is>
          <t/>
        </is>
      </c>
      <c r="M133" s="215"/>
      <c r="N133" s="215"/>
      <c r="O133" s="215"/>
      <c r="P133" s="215"/>
      <c r="Q133" s="215"/>
      <c r="R133" s="215"/>
      <c r="S133" s="215"/>
      <c r="T133" s="215"/>
      <c r="U133" s="215" t="inlineStr">
        <is>
          <t>无</t>
        </is>
      </c>
      <c r="V133" s="215" t="inlineStr">
        <is>
          <t>是</t>
        </is>
      </c>
      <c r="W133" s="243" t="inlineStr">
        <is>
          <t/>
        </is>
      </c>
    </row>
    <row r="134">
      <c r="A134" s="90" t="inlineStr">
        <is>
          <t>P022</t>
        </is>
      </c>
      <c r="B134" s="85" t="n">
        <v>4</v>
      </c>
      <c r="C134" s="85" t="inlineStr">
        <is>
          <t>游戏手柄</t>
        </is>
      </c>
      <c r="D134" s="85" t="inlineStr">
        <is>
          <t>方法B</t>
        </is>
      </c>
      <c r="E134" s="85" t="inlineStr">
        <is>
          <t>EgoAnchor</t>
        </is>
      </c>
      <c r="F134" s="215"/>
      <c r="G134" s="215"/>
      <c r="H134" s="215"/>
      <c r="I134" s="215"/>
      <c r="J134" s="215"/>
      <c r="K134" s="215"/>
      <c r="L134" s="215" t="inlineStr">
        <is>
          <t/>
        </is>
      </c>
      <c r="M134" s="215"/>
      <c r="N134" s="215"/>
      <c r="O134" s="215"/>
      <c r="P134" s="215"/>
      <c r="Q134" s="215"/>
      <c r="R134" s="215"/>
      <c r="S134" s="215"/>
      <c r="T134" s="215"/>
      <c r="U134" s="215" t="inlineStr">
        <is>
          <t>无</t>
        </is>
      </c>
      <c r="V134" s="215" t="inlineStr">
        <is>
          <t>是</t>
        </is>
      </c>
      <c r="W134" s="243" t="inlineStr">
        <is>
          <t/>
        </is>
      </c>
    </row>
    <row r="135">
      <c r="A135" s="90" t="inlineStr">
        <is>
          <t>P022</t>
        </is>
      </c>
      <c r="B135" s="85" t="n">
        <v>5</v>
      </c>
      <c r="C135" s="85" t="inlineStr">
        <is>
          <t>鼠标</t>
        </is>
      </c>
      <c r="D135" s="85" t="inlineStr">
        <is>
          <t>方法B</t>
        </is>
      </c>
      <c r="E135" s="85" t="inlineStr">
        <is>
          <t>EgoAnchor</t>
        </is>
      </c>
      <c r="F135" s="215"/>
      <c r="G135" s="215"/>
      <c r="H135" s="215"/>
      <c r="I135" s="215"/>
      <c r="J135" s="215"/>
      <c r="K135" s="215"/>
      <c r="L135" s="215" t="inlineStr">
        <is>
          <t/>
        </is>
      </c>
      <c r="M135" s="215"/>
      <c r="N135" s="215"/>
      <c r="O135" s="215"/>
      <c r="P135" s="215"/>
      <c r="Q135" s="215"/>
      <c r="R135" s="215"/>
      <c r="S135" s="215"/>
      <c r="T135" s="215"/>
      <c r="U135" s="215" t="inlineStr">
        <is>
          <t>无</t>
        </is>
      </c>
      <c r="V135" s="215" t="inlineStr">
        <is>
          <t>是</t>
        </is>
      </c>
      <c r="W135" s="243" t="inlineStr">
        <is>
          <t/>
        </is>
      </c>
    </row>
    <row r="136">
      <c r="A136" s="90" t="inlineStr">
        <is>
          <t>P022</t>
        </is>
      </c>
      <c r="B136" s="85" t="n">
        <v>6</v>
      </c>
      <c r="C136" s="85" t="inlineStr">
        <is>
          <t>鼠标</t>
        </is>
      </c>
      <c r="D136" s="85" t="inlineStr">
        <is>
          <t>方法A</t>
        </is>
      </c>
      <c r="E136" s="85" t="inlineStr">
        <is>
          <t>One-Euro</t>
        </is>
      </c>
      <c r="F136" s="215"/>
      <c r="G136" s="215"/>
      <c r="H136" s="215"/>
      <c r="I136" s="215"/>
      <c r="J136" s="215"/>
      <c r="K136" s="215"/>
      <c r="L136" s="215" t="inlineStr">
        <is>
          <t/>
        </is>
      </c>
      <c r="M136" s="215"/>
      <c r="N136" s="215"/>
      <c r="O136" s="215"/>
      <c r="P136" s="215"/>
      <c r="Q136" s="215"/>
      <c r="R136" s="215"/>
      <c r="S136" s="215"/>
      <c r="T136" s="215"/>
      <c r="U136" s="215" t="inlineStr">
        <is>
          <t>无</t>
        </is>
      </c>
      <c r="V136" s="215" t="inlineStr">
        <is>
          <t>是</t>
        </is>
      </c>
      <c r="W136" s="243" t="inlineStr">
        <is>
          <t/>
        </is>
      </c>
    </row>
    <row r="137">
      <c r="A137" s="90" t="inlineStr">
        <is>
          <t>P023</t>
        </is>
      </c>
      <c r="B137" s="85" t="n">
        <v>1</v>
      </c>
      <c r="C137" s="85" t="inlineStr">
        <is>
          <t>游戏手柄</t>
        </is>
      </c>
      <c r="D137" s="85" t="inlineStr">
        <is>
          <t>方法B</t>
        </is>
      </c>
      <c r="E137" s="85" t="inlineStr">
        <is>
          <t>EgoAnchor</t>
        </is>
      </c>
      <c r="F137" s="215"/>
      <c r="G137" s="215"/>
      <c r="H137" s="215"/>
      <c r="I137" s="215"/>
      <c r="J137" s="215"/>
      <c r="K137" s="215"/>
      <c r="L137" s="215" t="inlineStr">
        <is>
          <t/>
        </is>
      </c>
      <c r="M137" s="215"/>
      <c r="N137" s="215"/>
      <c r="O137" s="215"/>
      <c r="P137" s="215"/>
      <c r="Q137" s="215"/>
      <c r="R137" s="215"/>
      <c r="S137" s="215"/>
      <c r="T137" s="215"/>
      <c r="U137" s="215" t="inlineStr">
        <is>
          <t>无</t>
        </is>
      </c>
      <c r="V137" s="215" t="inlineStr">
        <is>
          <t>是</t>
        </is>
      </c>
      <c r="W137" s="243" t="inlineStr">
        <is>
          <t/>
        </is>
      </c>
    </row>
    <row r="138">
      <c r="A138" s="90" t="inlineStr">
        <is>
          <t>P023</t>
        </is>
      </c>
      <c r="B138" s="85" t="n">
        <v>2</v>
      </c>
      <c r="C138" s="85" t="inlineStr">
        <is>
          <t>游戏手柄</t>
        </is>
      </c>
      <c r="D138" s="85" t="inlineStr">
        <is>
          <t>方法A</t>
        </is>
      </c>
      <c r="E138" s="85" t="inlineStr">
        <is>
          <t>One-Euro</t>
        </is>
      </c>
      <c r="F138" s="215"/>
      <c r="G138" s="215"/>
      <c r="H138" s="215"/>
      <c r="I138" s="215"/>
      <c r="J138" s="215"/>
      <c r="K138" s="215"/>
      <c r="L138" s="215" t="inlineStr">
        <is>
          <t/>
        </is>
      </c>
      <c r="M138" s="215"/>
      <c r="N138" s="215"/>
      <c r="O138" s="215"/>
      <c r="P138" s="215"/>
      <c r="Q138" s="215"/>
      <c r="R138" s="215"/>
      <c r="S138" s="215"/>
      <c r="T138" s="215"/>
      <c r="U138" s="215" t="inlineStr">
        <is>
          <t>无</t>
        </is>
      </c>
      <c r="V138" s="215" t="inlineStr">
        <is>
          <t>是</t>
        </is>
      </c>
      <c r="W138" s="243" t="inlineStr">
        <is>
          <t/>
        </is>
      </c>
    </row>
    <row r="139">
      <c r="A139" s="90" t="inlineStr">
        <is>
          <t>P023</t>
        </is>
      </c>
      <c r="B139" s="85" t="n">
        <v>3</v>
      </c>
      <c r="C139" s="85" t="inlineStr">
        <is>
          <t>鼠标</t>
        </is>
      </c>
      <c r="D139" s="85" t="inlineStr">
        <is>
          <t>方法A</t>
        </is>
      </c>
      <c r="E139" s="85" t="inlineStr">
        <is>
          <t>One-Euro</t>
        </is>
      </c>
      <c r="F139" s="215"/>
      <c r="G139" s="215"/>
      <c r="H139" s="215"/>
      <c r="I139" s="215"/>
      <c r="J139" s="215"/>
      <c r="K139" s="215"/>
      <c r="L139" s="215" t="inlineStr">
        <is>
          <t/>
        </is>
      </c>
      <c r="M139" s="215"/>
      <c r="N139" s="215"/>
      <c r="O139" s="215"/>
      <c r="P139" s="215"/>
      <c r="Q139" s="215"/>
      <c r="R139" s="215"/>
      <c r="S139" s="215"/>
      <c r="T139" s="215"/>
      <c r="U139" s="215" t="inlineStr">
        <is>
          <t>无</t>
        </is>
      </c>
      <c r="V139" s="215" t="inlineStr">
        <is>
          <t>是</t>
        </is>
      </c>
      <c r="W139" s="243" t="inlineStr">
        <is>
          <t/>
        </is>
      </c>
    </row>
    <row r="140">
      <c r="A140" s="90" t="inlineStr">
        <is>
          <t>P023</t>
        </is>
      </c>
      <c r="B140" s="85" t="n">
        <v>4</v>
      </c>
      <c r="C140" s="85" t="inlineStr">
        <is>
          <t>鼠标</t>
        </is>
      </c>
      <c r="D140" s="85" t="inlineStr">
        <is>
          <t>方法B</t>
        </is>
      </c>
      <c r="E140" s="85" t="inlineStr">
        <is>
          <t>EgoAnchor</t>
        </is>
      </c>
      <c r="F140" s="215"/>
      <c r="G140" s="215"/>
      <c r="H140" s="215"/>
      <c r="I140" s="215"/>
      <c r="J140" s="215"/>
      <c r="K140" s="215"/>
      <c r="L140" s="215" t="inlineStr">
        <is>
          <t/>
        </is>
      </c>
      <c r="M140" s="215"/>
      <c r="N140" s="215"/>
      <c r="O140" s="215"/>
      <c r="P140" s="215"/>
      <c r="Q140" s="215"/>
      <c r="R140" s="215"/>
      <c r="S140" s="215"/>
      <c r="T140" s="215"/>
      <c r="U140" s="215" t="inlineStr">
        <is>
          <t>无</t>
        </is>
      </c>
      <c r="V140" s="215" t="inlineStr">
        <is>
          <t>是</t>
        </is>
      </c>
      <c r="W140" s="243" t="inlineStr">
        <is>
          <t/>
        </is>
      </c>
    </row>
    <row r="141">
      <c r="A141" s="90" t="inlineStr">
        <is>
          <t>P023</t>
        </is>
      </c>
      <c r="B141" s="85" t="n">
        <v>5</v>
      </c>
      <c r="C141" s="85" t="inlineStr">
        <is>
          <t>固定订书机</t>
        </is>
      </c>
      <c r="D141" s="85" t="inlineStr">
        <is>
          <t>方法B</t>
        </is>
      </c>
      <c r="E141" s="85" t="inlineStr">
        <is>
          <t>EgoAnchor</t>
        </is>
      </c>
      <c r="F141" s="215"/>
      <c r="G141" s="215"/>
      <c r="H141" s="215"/>
      <c r="I141" s="215"/>
      <c r="J141" s="215"/>
      <c r="K141" s="215"/>
      <c r="L141" s="215" t="inlineStr">
        <is>
          <t/>
        </is>
      </c>
      <c r="M141" s="215"/>
      <c r="N141" s="215"/>
      <c r="O141" s="215"/>
      <c r="P141" s="215"/>
      <c r="Q141" s="215"/>
      <c r="R141" s="215"/>
      <c r="S141" s="215"/>
      <c r="T141" s="215"/>
      <c r="U141" s="215" t="inlineStr">
        <is>
          <t>无</t>
        </is>
      </c>
      <c r="V141" s="215" t="inlineStr">
        <is>
          <t>是</t>
        </is>
      </c>
      <c r="W141" s="243" t="inlineStr">
        <is>
          <t/>
        </is>
      </c>
    </row>
    <row r="142">
      <c r="A142" s="90" t="inlineStr">
        <is>
          <t>P023</t>
        </is>
      </c>
      <c r="B142" s="85" t="n">
        <v>6</v>
      </c>
      <c r="C142" s="85" t="inlineStr">
        <is>
          <t>固定订书机</t>
        </is>
      </c>
      <c r="D142" s="85" t="inlineStr">
        <is>
          <t>方法A</t>
        </is>
      </c>
      <c r="E142" s="85" t="inlineStr">
        <is>
          <t>One-Euro</t>
        </is>
      </c>
      <c r="F142" s="215"/>
      <c r="G142" s="215"/>
      <c r="H142" s="215"/>
      <c r="I142" s="215"/>
      <c r="J142" s="215"/>
      <c r="K142" s="215"/>
      <c r="L142" s="215" t="inlineStr">
        <is>
          <t/>
        </is>
      </c>
      <c r="M142" s="215"/>
      <c r="N142" s="215"/>
      <c r="O142" s="215"/>
      <c r="P142" s="215"/>
      <c r="Q142" s="215"/>
      <c r="R142" s="215"/>
      <c r="S142" s="215"/>
      <c r="T142" s="215"/>
      <c r="U142" s="215" t="inlineStr">
        <is>
          <t>无</t>
        </is>
      </c>
      <c r="V142" s="215" t="inlineStr">
        <is>
          <t>是</t>
        </is>
      </c>
      <c r="W142" s="243" t="inlineStr">
        <is>
          <t/>
        </is>
      </c>
    </row>
    <row r="143">
      <c r="A143" s="90" t="inlineStr">
        <is>
          <t>P024</t>
        </is>
      </c>
      <c r="B143" s="85" t="n">
        <v>1</v>
      </c>
      <c r="C143" s="85" t="inlineStr">
        <is>
          <t>游戏手柄</t>
        </is>
      </c>
      <c r="D143" s="85" t="inlineStr">
        <is>
          <t>方法B</t>
        </is>
      </c>
      <c r="E143" s="85" t="inlineStr">
        <is>
          <t>EgoAnchor</t>
        </is>
      </c>
      <c r="F143" s="215"/>
      <c r="G143" s="215"/>
      <c r="H143" s="215"/>
      <c r="I143" s="215"/>
      <c r="J143" s="215"/>
      <c r="K143" s="215"/>
      <c r="L143" s="215" t="inlineStr">
        <is>
          <t/>
        </is>
      </c>
      <c r="M143" s="215"/>
      <c r="N143" s="215"/>
      <c r="O143" s="215"/>
      <c r="P143" s="215"/>
      <c r="Q143" s="215"/>
      <c r="R143" s="215"/>
      <c r="S143" s="215"/>
      <c r="T143" s="215"/>
      <c r="U143" s="215" t="inlineStr">
        <is>
          <t>无</t>
        </is>
      </c>
      <c r="V143" s="215" t="inlineStr">
        <is>
          <t>是</t>
        </is>
      </c>
      <c r="W143" s="243" t="inlineStr">
        <is>
          <t/>
        </is>
      </c>
    </row>
    <row r="144">
      <c r="A144" s="90" t="inlineStr">
        <is>
          <t>P024</t>
        </is>
      </c>
      <c r="B144" s="85" t="n">
        <v>2</v>
      </c>
      <c r="C144" s="85" t="inlineStr">
        <is>
          <t>游戏手柄</t>
        </is>
      </c>
      <c r="D144" s="85" t="inlineStr">
        <is>
          <t>方法A</t>
        </is>
      </c>
      <c r="E144" s="85" t="inlineStr">
        <is>
          <t>One-Euro</t>
        </is>
      </c>
      <c r="F144" s="215"/>
      <c r="G144" s="215"/>
      <c r="H144" s="215"/>
      <c r="I144" s="215"/>
      <c r="J144" s="215"/>
      <c r="K144" s="215"/>
      <c r="L144" s="215" t="inlineStr">
        <is>
          <t/>
        </is>
      </c>
      <c r="M144" s="215"/>
      <c r="N144" s="215"/>
      <c r="O144" s="215"/>
      <c r="P144" s="215"/>
      <c r="Q144" s="215"/>
      <c r="R144" s="215"/>
      <c r="S144" s="215"/>
      <c r="T144" s="215"/>
      <c r="U144" s="215" t="inlineStr">
        <is>
          <t>无</t>
        </is>
      </c>
      <c r="V144" s="215" t="inlineStr">
        <is>
          <t>是</t>
        </is>
      </c>
      <c r="W144" s="243" t="inlineStr">
        <is>
          <t/>
        </is>
      </c>
    </row>
    <row r="145">
      <c r="A145" s="90" t="inlineStr">
        <is>
          <t>P024</t>
        </is>
      </c>
      <c r="B145" s="85" t="n">
        <v>3</v>
      </c>
      <c r="C145" s="85" t="inlineStr">
        <is>
          <t>固定订书机</t>
        </is>
      </c>
      <c r="D145" s="85" t="inlineStr">
        <is>
          <t>方法A</t>
        </is>
      </c>
      <c r="E145" s="85" t="inlineStr">
        <is>
          <t>One-Euro</t>
        </is>
      </c>
      <c r="F145" s="215"/>
      <c r="G145" s="215"/>
      <c r="H145" s="215"/>
      <c r="I145" s="215"/>
      <c r="J145" s="215"/>
      <c r="K145" s="215"/>
      <c r="L145" s="215" t="inlineStr">
        <is>
          <t/>
        </is>
      </c>
      <c r="M145" s="215"/>
      <c r="N145" s="215"/>
      <c r="O145" s="215"/>
      <c r="P145" s="215"/>
      <c r="Q145" s="215"/>
      <c r="R145" s="215"/>
      <c r="S145" s="215"/>
      <c r="T145" s="215"/>
      <c r="U145" s="215" t="inlineStr">
        <is>
          <t>无</t>
        </is>
      </c>
      <c r="V145" s="215" t="inlineStr">
        <is>
          <t>是</t>
        </is>
      </c>
      <c r="W145" s="243" t="inlineStr">
        <is>
          <t/>
        </is>
      </c>
    </row>
    <row r="146">
      <c r="A146" s="90" t="inlineStr">
        <is>
          <t>P024</t>
        </is>
      </c>
      <c r="B146" s="85" t="n">
        <v>4</v>
      </c>
      <c r="C146" s="85" t="inlineStr">
        <is>
          <t>固定订书机</t>
        </is>
      </c>
      <c r="D146" s="85" t="inlineStr">
        <is>
          <t>方法B</t>
        </is>
      </c>
      <c r="E146" s="85" t="inlineStr">
        <is>
          <t>EgoAnchor</t>
        </is>
      </c>
      <c r="F146" s="215"/>
      <c r="G146" s="215"/>
      <c r="H146" s="215"/>
      <c r="I146" s="215"/>
      <c r="J146" s="215"/>
      <c r="K146" s="215"/>
      <c r="L146" s="215" t="inlineStr">
        <is>
          <t/>
        </is>
      </c>
      <c r="M146" s="215"/>
      <c r="N146" s="215"/>
      <c r="O146" s="215"/>
      <c r="P146" s="215"/>
      <c r="Q146" s="215"/>
      <c r="R146" s="215"/>
      <c r="S146" s="215"/>
      <c r="T146" s="215"/>
      <c r="U146" s="215" t="inlineStr">
        <is>
          <t>无</t>
        </is>
      </c>
      <c r="V146" s="215" t="inlineStr">
        <is>
          <t>是</t>
        </is>
      </c>
      <c r="W146" s="243" t="inlineStr">
        <is>
          <t/>
        </is>
      </c>
    </row>
    <row r="147">
      <c r="A147" s="90" t="inlineStr">
        <is>
          <t>P024</t>
        </is>
      </c>
      <c r="B147" s="85" t="n">
        <v>5</v>
      </c>
      <c r="C147" s="85" t="inlineStr">
        <is>
          <t>鼠标</t>
        </is>
      </c>
      <c r="D147" s="85" t="inlineStr">
        <is>
          <t>方法B</t>
        </is>
      </c>
      <c r="E147" s="85" t="inlineStr">
        <is>
          <t>EgoAnchor</t>
        </is>
      </c>
      <c r="F147" s="215"/>
      <c r="G147" s="215"/>
      <c r="H147" s="215"/>
      <c r="I147" s="215"/>
      <c r="J147" s="215"/>
      <c r="K147" s="215"/>
      <c r="L147" s="215" t="inlineStr">
        <is>
          <t/>
        </is>
      </c>
      <c r="M147" s="215"/>
      <c r="N147" s="215"/>
      <c r="O147" s="215"/>
      <c r="P147" s="215"/>
      <c r="Q147" s="215"/>
      <c r="R147" s="215"/>
      <c r="S147" s="215"/>
      <c r="T147" s="215"/>
      <c r="U147" s="215" t="inlineStr">
        <is>
          <t>无</t>
        </is>
      </c>
      <c r="V147" s="215" t="inlineStr">
        <is>
          <t>是</t>
        </is>
      </c>
      <c r="W147" s="243" t="inlineStr">
        <is>
          <t/>
        </is>
      </c>
    </row>
    <row r="148">
      <c r="A148" s="91" t="inlineStr">
        <is>
          <t>P024</t>
        </is>
      </c>
      <c r="B148" s="109" t="n">
        <v>6</v>
      </c>
      <c r="C148" s="109" t="inlineStr">
        <is>
          <t>鼠标</t>
        </is>
      </c>
      <c r="D148" s="109" t="inlineStr">
        <is>
          <t>方法A</t>
        </is>
      </c>
      <c r="E148" s="109" t="inlineStr">
        <is>
          <t>One-Euro</t>
        </is>
      </c>
      <c r="F148" s="218"/>
      <c r="G148" s="218"/>
      <c r="H148" s="218"/>
      <c r="I148" s="218"/>
      <c r="J148" s="218"/>
      <c r="K148" s="218"/>
      <c r="L148" s="218" t="inlineStr">
        <is>
          <t/>
        </is>
      </c>
      <c r="M148" s="218"/>
      <c r="N148" s="218"/>
      <c r="O148" s="218"/>
      <c r="P148" s="218"/>
      <c r="Q148" s="218"/>
      <c r="R148" s="218"/>
      <c r="S148" s="218"/>
      <c r="T148" s="218"/>
      <c r="U148" s="218" t="inlineStr">
        <is>
          <t>无</t>
        </is>
      </c>
      <c r="V148" s="218" t="inlineStr">
        <is>
          <t>是</t>
        </is>
      </c>
      <c r="W148" s="244" t="inlineStr">
        <is>
          <t/>
        </is>
      </c>
    </row>
  </sheetData>
  <mergeCells>
    <mergeCell ref="A1:W1"/>
    <mergeCell ref="A2:W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FormatPr defaultRowHeight="15"/>
  <cols>
    <col min="1" max="1" width="16" hidden="0" customWidth="1"/>
    <col min="2" max="2" width="17" hidden="0" customWidth="1"/>
    <col min="3" max="3" width="14" hidden="0" customWidth="1"/>
    <col min="4" max="4" width="19" hidden="0" customWidth="1"/>
    <col min="5" max="5" width="18" hidden="0" customWidth="1"/>
    <col min="6" max="6" width="18" hidden="0" customWidth="1"/>
    <col min="7" max="7" width="18" hidden="0" customWidth="1"/>
    <col min="8" max="8" width="20" hidden="0" customWidth="1"/>
    <col min="9" max="9" width="14" hidden="0" customWidth="1"/>
    <col min="10" max="10" width="14" hidden="0" customWidth="1"/>
    <col min="11" max="11" width="14" hidden="0" customWidth="1"/>
    <col min="12" max="12" width="23" hidden="0" customWidth="1"/>
    <col min="13" max="13" width="14" hidden="0" customWidth="1"/>
    <col min="14" max="14" width="14" hidden="0" customWidth="1"/>
    <col min="15" max="15" width="14" hidden="0" customWidth="1"/>
    <col min="16" max="16" width="24" hidden="0" customWidth="1"/>
    <col min="17" max="17" width="11" hidden="0" customWidth="1"/>
    <col min="18" max="18" width="11" hidden="0" customWidth="1"/>
    <col min="19" max="19" width="11" hidden="0" customWidth="1"/>
    <col min="20" max="20" width="17" hidden="0" customWidth="1"/>
    <col min="21" max="21" width="11" hidden="0" customWidth="1"/>
    <col min="22" max="22" width="11" hidden="0" customWidth="1"/>
    <col min="23" max="23" width="11" hidden="0" customWidth="1"/>
    <col min="24" max="24" width="23" hidden="0" customWidth="1"/>
    <col min="25" max="25" width="11" hidden="0" customWidth="1"/>
    <col min="26" max="26" width="11" hidden="0" customWidth="1"/>
    <col min="27" max="27" width="11" hidden="0" customWidth="1"/>
    <col min="28" max="28" width="16" hidden="0" customWidth="1"/>
    <col min="29" max="29" width="16" hidden="0" customWidth="1"/>
    <col min="30" max="30" width="18" hidden="0" customWidth="1"/>
    <col min="31" max="31" width="18" hidden="0" customWidth="1"/>
    <col min="32" max="32" width="17" hidden="0" customWidth="1"/>
  </cols>
  <sheetData>
    <row r="1">
      <c r="A1" s="4" t="inlineStr">
        <is>
          <t>参与者×方法汇总分（自动计算；48行）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68" t="inlineStr">
        <is>
          <t>每名参与者先列EgoAnchor、再列One-Euro。任务和AQ项目在三个物体上取有效区块平均；方法级项目直接从MethodRatings提取。AB–AE为信度计算辅助总分。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</row>
    <row r="4">
      <c r="A4" s="26" t="inlineStr">
        <is>
          <t>Participant_ID</t>
        </is>
      </c>
      <c r="B4" s="27" t="inlineStr">
        <is>
          <t>Condition</t>
        </is>
      </c>
      <c r="C4" s="27" t="inlineStr">
        <is>
          <t>Shown_Label</t>
        </is>
      </c>
      <c r="D4" s="27" t="inlineStr">
        <is>
          <t>Participant_Included</t>
        </is>
      </c>
      <c r="E4" s="27" t="inlineStr">
        <is>
          <t>Valid_Block_Count</t>
        </is>
      </c>
      <c r="F4" s="27" t="inlineStr">
        <is>
          <t>T1_Static_Mean</t>
        </is>
      </c>
      <c r="G4" s="27" t="inlineStr">
        <is>
          <t>T2_Motion_Mean</t>
        </is>
      </c>
      <c r="H4" s="27" t="inlineStr">
        <is>
          <t>T3_Recovery_Mean</t>
        </is>
      </c>
      <c r="I4" s="27" t="inlineStr">
        <is>
          <t>EQ1_Mean</t>
        </is>
      </c>
      <c r="J4" s="27" t="inlineStr">
        <is>
          <t>EQ2_Mean</t>
        </is>
      </c>
      <c r="K4" s="27" t="inlineStr">
        <is>
          <t>EQ3_Mean</t>
        </is>
      </c>
      <c r="L4" s="27" t="inlineStr">
        <is>
          <t>EmbeddingQuality_Mean</t>
        </is>
      </c>
      <c r="M4" s="27" t="inlineStr">
        <is>
          <t>IQ1_Mean</t>
        </is>
      </c>
      <c r="N4" s="27" t="inlineStr">
        <is>
          <t>IQ2_Mean</t>
        </is>
      </c>
      <c r="O4" s="27" t="inlineStr">
        <is>
          <t>IQ3_Mean</t>
        </is>
      </c>
      <c r="P4" s="27" t="inlineStr">
        <is>
          <t>InteractionQuality_Mean</t>
        </is>
      </c>
      <c r="Q4" s="27" t="inlineStr">
        <is>
          <t>ST1</t>
        </is>
      </c>
      <c r="R4" s="27" t="inlineStr">
        <is>
          <t>ST2</t>
        </is>
      </c>
      <c r="S4" s="27" t="inlineStr">
        <is>
          <t>ST3</t>
        </is>
      </c>
      <c r="T4" s="27" t="inlineStr">
        <is>
          <t>STIAS_Mean</t>
        </is>
      </c>
      <c r="U4" s="27" t="inlineStr">
        <is>
          <t>CR1</t>
        </is>
      </c>
      <c r="V4" s="27" t="inlineStr">
        <is>
          <t>CR2</t>
        </is>
      </c>
      <c r="W4" s="27" t="inlineStr">
        <is>
          <t>CR3</t>
        </is>
      </c>
      <c r="X4" s="27" t="inlineStr">
        <is>
          <t>CRIQ_Exploratory_Mean</t>
        </is>
      </c>
      <c r="Y4" s="27" t="inlineStr">
        <is>
          <t>CI1</t>
        </is>
      </c>
      <c r="Z4" s="27" t="inlineStr">
        <is>
          <t>CI2</t>
        </is>
      </c>
      <c r="AA4" s="27" t="inlineStr">
        <is>
          <t>SB1</t>
        </is>
      </c>
      <c r="AB4" s="27" t="inlineStr">
        <is>
          <t>EQ_Item_Total</t>
        </is>
      </c>
      <c r="AC4" s="27" t="inlineStr">
        <is>
          <t>IQ_Item_Total</t>
        </is>
      </c>
      <c r="AD4" s="27" t="inlineStr">
        <is>
          <t>STIAS_Item_Total</t>
        </is>
      </c>
      <c r="AE4" s="27" t="inlineStr">
        <is>
          <t>CRIQ_Item_Total</t>
        </is>
      </c>
      <c r="AF4" s="101" t="inlineStr">
        <is>
          <t>Data_Complete</t>
        </is>
      </c>
    </row>
    <row r="5">
      <c r="A5" s="90" t="inlineStr">
        <is>
          <t>P001</t>
        </is>
      </c>
      <c r="B5" s="85" t="inlineStr">
        <is>
          <t>EgoAnchor</t>
        </is>
      </c>
      <c r="C5" s="129" t="str">
        <f>IF(B5=VLOOKUP(A5,Participants!$A$5:$W$28,22,FALSE),"方法A","方法B")</f>
        <v>方法A</v>
      </c>
      <c r="D5" s="129" t="str">
        <f>VLOOKUP(A5,Participants!$A$5:$B$28,2,FALSE)</f>
        <v>是</v>
      </c>
      <c r="E5" s="129" t="n">
        <f>COUNTIFS(TaskRatings!$A$5:$A$148,A5,TaskRatings!$F$5:$F$148,B5,TaskRatings!$O$5:$O$148,"是")</f>
        <v>3</v>
      </c>
      <c r="F5" s="149" t="str">
        <f>IFERROR(SUMIFS(TaskRatings!$H$5:$H$148,TaskRatings!$A$5:$A$148,A5,TaskRatings!$F$5:$F$148,B5,TaskRatings!$O$5:$O$148,"是",TaskRatings!$H$5:$H$148,"&gt;0")/COUNTIFS(TaskRatings!$A$5:$A$148,A5,TaskRatings!$F$5:$F$148,B5,TaskRatings!$O$5:$O$148,"是",TaskRatings!$H$5:$H$148,"&gt;0"),"")</f>
      </c>
      <c r="G5" s="149" t="str">
        <f>IFERROR(SUMIFS(TaskRatings!$J$5:$J$148,TaskRatings!$A$5:$A$148,A5,TaskRatings!$F$5:$F$148,B5,TaskRatings!$O$5:$O$148,"是",TaskRatings!$J$5:$J$148,"&gt;0")/COUNTIFS(TaskRatings!$A$5:$A$148,A5,TaskRatings!$F$5:$F$148,B5,TaskRatings!$O$5:$O$148,"是",TaskRatings!$J$5:$J$148,"&gt;0"),"")</f>
      </c>
      <c r="H5" s="149" t="str">
        <f>IFERROR(SUMIFS(TaskRatings!$L$5:$L$148,TaskRatings!$A$5:$A$148,A5,TaskRatings!$F$5:$F$148,B5,TaskRatings!$O$5:$O$148,"是",TaskRatings!$L$5:$L$148,"&gt;0")/COUNTIFS(TaskRatings!$A$5:$A$148,A5,TaskRatings!$F$5:$F$148,B5,TaskRatings!$O$5:$O$148,"是",TaskRatings!$L$5:$L$148,"&gt;0"),"")</f>
      </c>
      <c r="I5" s="149" t="str">
        <f>IFERROR(SUMIFS(BlockRatings_AQ!$H$5:$H$148,BlockRatings_AQ!$A$5:$A$148,A5,BlockRatings_AQ!$F$5:$F$148,B5,BlockRatings_AQ!$R$5:$R$148,"是",BlockRatings_AQ!$H$5:$H$148,"&gt;0")/COUNTIFS(BlockRatings_AQ!$A$5:$A$148,A5,BlockRatings_AQ!$F$5:$F$148,B5,BlockRatings_AQ!$R$5:$R$148,"是",BlockRatings_AQ!$H$5:$H$148,"&gt;0"),"")</f>
      </c>
      <c r="J5" s="149" t="str">
        <f>IFERROR(SUMIFS(BlockRatings_AQ!$I$5:$I$148,BlockRatings_AQ!$A$5:$A$148,A5,BlockRatings_AQ!$F$5:$F$148,B5,BlockRatings_AQ!$R$5:$R$148,"是",BlockRatings_AQ!$I$5:$I$148,"&gt;0")/COUNTIFS(BlockRatings_AQ!$A$5:$A$148,A5,BlockRatings_AQ!$F$5:$F$148,B5,BlockRatings_AQ!$R$5:$R$148,"是",BlockRatings_AQ!$I$5:$I$148,"&gt;0"),"")</f>
      </c>
      <c r="K5" s="149" t="str">
        <f>IFERROR(SUMIFS(BlockRatings_AQ!$J$5:$J$148,BlockRatings_AQ!$A$5:$A$148,A5,BlockRatings_AQ!$F$5:$F$148,B5,BlockRatings_AQ!$R$5:$R$148,"是",BlockRatings_AQ!$J$5:$J$148,"&gt;0")/COUNTIFS(BlockRatings_AQ!$A$5:$A$148,A5,BlockRatings_AQ!$F$5:$F$148,B5,BlockRatings_AQ!$R$5:$R$148,"是",BlockRatings_AQ!$J$5:$J$148,"&gt;0"),"")</f>
      </c>
      <c r="L5" s="149" t="str">
        <f>IF(COUNT(I5:K5)=3,AVERAGE(I5:K5),"")</f>
      </c>
      <c r="M5" s="149" t="str">
        <f>IFERROR(SUMIFS(BlockRatings_AQ!$L$5:$L$148,BlockRatings_AQ!$A$5:$A$148,A5,BlockRatings_AQ!$F$5:$F$148,B5,BlockRatings_AQ!$R$5:$R$148,"是",BlockRatings_AQ!$L$5:$L$148,"&gt;0")/COUNTIFS(BlockRatings_AQ!$A$5:$A$148,A5,BlockRatings_AQ!$F$5:$F$148,B5,BlockRatings_AQ!$R$5:$R$148,"是",BlockRatings_AQ!$L$5:$L$148,"&gt;0"),"")</f>
      </c>
      <c r="N5" s="149" t="str">
        <f>IFERROR(SUMIFS(BlockRatings_AQ!$M$5:$M$148,BlockRatings_AQ!$A$5:$A$148,A5,BlockRatings_AQ!$F$5:$F$148,B5,BlockRatings_AQ!$R$5:$R$148,"是",BlockRatings_AQ!$M$5:$M$148,"&gt;0")/COUNTIFS(BlockRatings_AQ!$A$5:$A$148,A5,BlockRatings_AQ!$F$5:$F$148,B5,BlockRatings_AQ!$R$5:$R$148,"是",BlockRatings_AQ!$M$5:$M$148,"&gt;0"),"")</f>
      </c>
      <c r="O5" s="149" t="str">
        <f>IFERROR(SUMIFS(BlockRatings_AQ!$N$5:$N$148,BlockRatings_AQ!$A$5:$A$148,A5,BlockRatings_AQ!$F$5:$F$148,B5,BlockRatings_AQ!$R$5:$R$148,"是",BlockRatings_AQ!$N$5:$N$148,"&gt;0")/COUNTIFS(BlockRatings_AQ!$A$5:$A$148,A5,BlockRatings_AQ!$F$5:$F$148,B5,BlockRatings_AQ!$R$5:$R$148,"是",BlockRatings_AQ!$N$5:$N$148,"&gt;0"),"")</f>
      </c>
      <c r="P5" s="149" t="str">
        <f>IF(COUNT(M5:O5)=3,AVERAGE(M5:O5),"")</f>
      </c>
      <c r="Q5" s="149" t="str">
        <f>IFERROR(SUMIFS(MethodRatings!$E$5:$E$52,MethodRatings!$A$5:$A$52,A5,MethodRatings!$D$5:$D$52,B5,MethodRatings!$E$5:$E$52,"&gt;0")/COUNTIFS(MethodRatings!$A$5:$A$52,A5,MethodRatings!$D$5:$D$52,B5,MethodRatings!$E$5:$E$52,"&gt;0"),"")</f>
      </c>
      <c r="R5" s="149" t="str">
        <f>IFERROR(SUMIFS(MethodRatings!$F$5:$F$52,MethodRatings!$A$5:$A$52,A5,MethodRatings!$D$5:$D$52,B5,MethodRatings!$F$5:$F$52,"&gt;0")/COUNTIFS(MethodRatings!$A$5:$A$52,A5,MethodRatings!$D$5:$D$52,B5,MethodRatings!$F$5:$F$52,"&gt;0"),"")</f>
      </c>
      <c r="S5" s="149" t="str">
        <f>IFERROR(SUMIFS(MethodRatings!$G$5:$G$52,MethodRatings!$A$5:$A$52,A5,MethodRatings!$D$5:$D$52,B5,MethodRatings!$G$5:$G$52,"&gt;0")/COUNTIFS(MethodRatings!$A$5:$A$52,A5,MethodRatings!$D$5:$D$52,B5,MethodRatings!$G$5:$G$52,"&gt;0"),"")</f>
      </c>
      <c r="T5" s="149" t="str">
        <f>IF(COUNT(Q5:S5)=3,AVERAGE(Q5:S5),"")</f>
      </c>
      <c r="U5" s="149" t="str">
        <f>IFERROR(SUMIFS(MethodRatings!$I$5:$I$52,MethodRatings!$A$5:$A$52,A5,MethodRatings!$D$5:$D$52,B5,MethodRatings!$I$5:$I$52,"&gt;0")/COUNTIFS(MethodRatings!$A$5:$A$52,A5,MethodRatings!$D$5:$D$52,B5,MethodRatings!$I$5:$I$52,"&gt;0"),"")</f>
      </c>
      <c r="V5" s="149" t="str">
        <f>IFERROR(SUMIFS(MethodRatings!$J$5:$J$52,MethodRatings!$A$5:$A$52,A5,MethodRatings!$D$5:$D$52,B5,MethodRatings!$J$5:$J$52,"&gt;0")/COUNTIFS(MethodRatings!$A$5:$A$52,A5,MethodRatings!$D$5:$D$52,B5,MethodRatings!$J$5:$J$52,"&gt;0"),"")</f>
      </c>
      <c r="W5" s="149" t="str">
        <f>IFERROR(SUMIFS(MethodRatings!$K$5:$K$52,MethodRatings!$A$5:$A$52,A5,MethodRatings!$D$5:$D$52,B5,MethodRatings!$K$5:$K$52,"&gt;0")/COUNTIFS(MethodRatings!$A$5:$A$52,A5,MethodRatings!$D$5:$D$52,B5,MethodRatings!$K$5:$K$52,"&gt;0"),"")</f>
      </c>
      <c r="X5" s="149" t="str">
        <f>IF(COUNT(U5:W5)=3,AVERAGE(U5:W5),"")</f>
      </c>
      <c r="Y5" s="149" t="str">
        <f>IFERROR(SUMIFS(MethodRatings!$M$5:$M$52,MethodRatings!$A$5:$A$52,A5,MethodRatings!$D$5:$D$52,B5,MethodRatings!$M$5:$M$52,"&gt;0")/COUNTIFS(MethodRatings!$A$5:$A$52,A5,MethodRatings!$D$5:$D$52,B5,MethodRatings!$M$5:$M$52,"&gt;0"),"")</f>
      </c>
      <c r="Z5" s="149" t="str">
        <f>IFERROR(SUMIFS(MethodRatings!$N$5:$N$52,MethodRatings!$A$5:$A$52,A5,MethodRatings!$D$5:$D$52,B5,MethodRatings!$N$5:$N$52,"&gt;0")/COUNTIFS(MethodRatings!$A$5:$A$52,A5,MethodRatings!$D$5:$D$52,B5,MethodRatings!$N$5:$N$52,"&gt;0"),"")</f>
      </c>
      <c r="AA5" s="149" t="str">
        <f>IFERROR(SUMIFS(MethodRatings!$O$5:$O$52,MethodRatings!$A$5:$A$52,A5,MethodRatings!$D$5:$D$52,B5,MethodRatings!$O$5:$O$52,"&gt;0")/COUNTIFS(MethodRatings!$A$5:$A$52,A5,MethodRatings!$D$5:$D$52,B5,MethodRatings!$O$5:$O$52,"&gt;0"),"")</f>
      </c>
      <c r="AB5" s="149" t="str">
        <f>IF(COUNT(I5:K5)=3,SUM(I5:K5),"")</f>
      </c>
      <c r="AC5" s="149" t="str">
        <f>IF(COUNT(M5:O5)=3,SUM(M5:O5),"")</f>
      </c>
      <c r="AD5" s="149" t="str">
        <f>IF(COUNT(Q5:S5)=3,SUM(Q5:S5),"")</f>
      </c>
      <c r="AE5" s="149" t="str">
        <f>IF(COUNT(U5:W5)=3,SUM(U5:W5),"")</f>
      </c>
      <c r="AF5" s="130" t="str">
        <f>IF((COUNT(F5:K5)+COUNT(M5:O5)+COUNT(Q5:S5)+COUNT(U5:W5)+COUNT(Y5:AA5))=18,"完整","缺失")</f>
        <v>缺失</v>
      </c>
    </row>
    <row r="6">
      <c r="A6" s="90" t="inlineStr">
        <is>
          <t>P002</t>
        </is>
      </c>
      <c r="B6" s="85" t="inlineStr">
        <is>
          <t>EgoAnchor</t>
        </is>
      </c>
      <c r="C6" s="129" t="str">
        <f>IF(B6=VLOOKUP(A6,Participants!$A$5:$W$28,22,FALSE),"方法A","方法B")</f>
        <v>方法A</v>
      </c>
      <c r="D6" s="129" t="str">
        <f>VLOOKUP(A6,Participants!$A$5:$B$28,2,FALSE)</f>
        <v>是</v>
      </c>
      <c r="E6" s="129" t="n">
        <f>COUNTIFS(TaskRatings!$A$5:$A$148,A6,TaskRatings!$F$5:$F$148,B6,TaskRatings!$O$5:$O$148,"是")</f>
        <v>3</v>
      </c>
      <c r="F6" s="149" t="str">
        <f>IFERROR(SUMIFS(TaskRatings!$H$5:$H$148,TaskRatings!$A$5:$A$148,A6,TaskRatings!$F$5:$F$148,B6,TaskRatings!$O$5:$O$148,"是",TaskRatings!$H$5:$H$148,"&gt;0")/COUNTIFS(TaskRatings!$A$5:$A$148,A6,TaskRatings!$F$5:$F$148,B6,TaskRatings!$O$5:$O$148,"是",TaskRatings!$H$5:$H$148,"&gt;0"),"")</f>
      </c>
      <c r="G6" s="149" t="str">
        <f>IFERROR(SUMIFS(TaskRatings!$J$5:$J$148,TaskRatings!$A$5:$A$148,A6,TaskRatings!$F$5:$F$148,B6,TaskRatings!$O$5:$O$148,"是",TaskRatings!$J$5:$J$148,"&gt;0")/COUNTIFS(TaskRatings!$A$5:$A$148,A6,TaskRatings!$F$5:$F$148,B6,TaskRatings!$O$5:$O$148,"是",TaskRatings!$J$5:$J$148,"&gt;0"),"")</f>
      </c>
      <c r="H6" s="149" t="str">
        <f>IFERROR(SUMIFS(TaskRatings!$L$5:$L$148,TaskRatings!$A$5:$A$148,A6,TaskRatings!$F$5:$F$148,B6,TaskRatings!$O$5:$O$148,"是",TaskRatings!$L$5:$L$148,"&gt;0")/COUNTIFS(TaskRatings!$A$5:$A$148,A6,TaskRatings!$F$5:$F$148,B6,TaskRatings!$O$5:$O$148,"是",TaskRatings!$L$5:$L$148,"&gt;0"),"")</f>
      </c>
      <c r="I6" s="149" t="str">
        <f>IFERROR(SUMIFS(BlockRatings_AQ!$H$5:$H$148,BlockRatings_AQ!$A$5:$A$148,A6,BlockRatings_AQ!$F$5:$F$148,B6,BlockRatings_AQ!$R$5:$R$148,"是",BlockRatings_AQ!$H$5:$H$148,"&gt;0")/COUNTIFS(BlockRatings_AQ!$A$5:$A$148,A6,BlockRatings_AQ!$F$5:$F$148,B6,BlockRatings_AQ!$R$5:$R$148,"是",BlockRatings_AQ!$H$5:$H$148,"&gt;0"),"")</f>
      </c>
      <c r="J6" s="149" t="str">
        <f>IFERROR(SUMIFS(BlockRatings_AQ!$I$5:$I$148,BlockRatings_AQ!$A$5:$A$148,A6,BlockRatings_AQ!$F$5:$F$148,B6,BlockRatings_AQ!$R$5:$R$148,"是",BlockRatings_AQ!$I$5:$I$148,"&gt;0")/COUNTIFS(BlockRatings_AQ!$A$5:$A$148,A6,BlockRatings_AQ!$F$5:$F$148,B6,BlockRatings_AQ!$R$5:$R$148,"是",BlockRatings_AQ!$I$5:$I$148,"&gt;0"),"")</f>
      </c>
      <c r="K6" s="149" t="str">
        <f>IFERROR(SUMIFS(BlockRatings_AQ!$J$5:$J$148,BlockRatings_AQ!$A$5:$A$148,A6,BlockRatings_AQ!$F$5:$F$148,B6,BlockRatings_AQ!$R$5:$R$148,"是",BlockRatings_AQ!$J$5:$J$148,"&gt;0")/COUNTIFS(BlockRatings_AQ!$A$5:$A$148,A6,BlockRatings_AQ!$F$5:$F$148,B6,BlockRatings_AQ!$R$5:$R$148,"是",BlockRatings_AQ!$J$5:$J$148,"&gt;0"),"")</f>
      </c>
      <c r="L6" s="149" t="str">
        <f>IF(COUNT(I6:K6)=3,AVERAGE(I6:K6),"")</f>
      </c>
      <c r="M6" s="149" t="str">
        <f>IFERROR(SUMIFS(BlockRatings_AQ!$L$5:$L$148,BlockRatings_AQ!$A$5:$A$148,A6,BlockRatings_AQ!$F$5:$F$148,B6,BlockRatings_AQ!$R$5:$R$148,"是",BlockRatings_AQ!$L$5:$L$148,"&gt;0")/COUNTIFS(BlockRatings_AQ!$A$5:$A$148,A6,BlockRatings_AQ!$F$5:$F$148,B6,BlockRatings_AQ!$R$5:$R$148,"是",BlockRatings_AQ!$L$5:$L$148,"&gt;0"),"")</f>
      </c>
      <c r="N6" s="149" t="str">
        <f>IFERROR(SUMIFS(BlockRatings_AQ!$M$5:$M$148,BlockRatings_AQ!$A$5:$A$148,A6,BlockRatings_AQ!$F$5:$F$148,B6,BlockRatings_AQ!$R$5:$R$148,"是",BlockRatings_AQ!$M$5:$M$148,"&gt;0")/COUNTIFS(BlockRatings_AQ!$A$5:$A$148,A6,BlockRatings_AQ!$F$5:$F$148,B6,BlockRatings_AQ!$R$5:$R$148,"是",BlockRatings_AQ!$M$5:$M$148,"&gt;0"),"")</f>
      </c>
      <c r="O6" s="149" t="str">
        <f>IFERROR(SUMIFS(BlockRatings_AQ!$N$5:$N$148,BlockRatings_AQ!$A$5:$A$148,A6,BlockRatings_AQ!$F$5:$F$148,B6,BlockRatings_AQ!$R$5:$R$148,"是",BlockRatings_AQ!$N$5:$N$148,"&gt;0")/COUNTIFS(BlockRatings_AQ!$A$5:$A$148,A6,BlockRatings_AQ!$F$5:$F$148,B6,BlockRatings_AQ!$R$5:$R$148,"是",BlockRatings_AQ!$N$5:$N$148,"&gt;0"),"")</f>
      </c>
      <c r="P6" s="149" t="str">
        <f>IF(COUNT(M6:O6)=3,AVERAGE(M6:O6),"")</f>
      </c>
      <c r="Q6" s="149" t="str">
        <f>IFERROR(SUMIFS(MethodRatings!$E$5:$E$52,MethodRatings!$A$5:$A$52,A6,MethodRatings!$D$5:$D$52,B6,MethodRatings!$E$5:$E$52,"&gt;0")/COUNTIFS(MethodRatings!$A$5:$A$52,A6,MethodRatings!$D$5:$D$52,B6,MethodRatings!$E$5:$E$52,"&gt;0"),"")</f>
      </c>
      <c r="R6" s="149" t="str">
        <f>IFERROR(SUMIFS(MethodRatings!$F$5:$F$52,MethodRatings!$A$5:$A$52,A6,MethodRatings!$D$5:$D$52,B6,MethodRatings!$F$5:$F$52,"&gt;0")/COUNTIFS(MethodRatings!$A$5:$A$52,A6,MethodRatings!$D$5:$D$52,B6,MethodRatings!$F$5:$F$52,"&gt;0"),"")</f>
      </c>
      <c r="S6" s="149" t="str">
        <f>IFERROR(SUMIFS(MethodRatings!$G$5:$G$52,MethodRatings!$A$5:$A$52,A6,MethodRatings!$D$5:$D$52,B6,MethodRatings!$G$5:$G$52,"&gt;0")/COUNTIFS(MethodRatings!$A$5:$A$52,A6,MethodRatings!$D$5:$D$52,B6,MethodRatings!$G$5:$G$52,"&gt;0"),"")</f>
      </c>
      <c r="T6" s="149" t="str">
        <f>IF(COUNT(Q6:S6)=3,AVERAGE(Q6:S6),"")</f>
      </c>
      <c r="U6" s="149" t="str">
        <f>IFERROR(SUMIFS(MethodRatings!$I$5:$I$52,MethodRatings!$A$5:$A$52,A6,MethodRatings!$D$5:$D$52,B6,MethodRatings!$I$5:$I$52,"&gt;0")/COUNTIFS(MethodRatings!$A$5:$A$52,A6,MethodRatings!$D$5:$D$52,B6,MethodRatings!$I$5:$I$52,"&gt;0"),"")</f>
      </c>
      <c r="V6" s="149" t="str">
        <f>IFERROR(SUMIFS(MethodRatings!$J$5:$J$52,MethodRatings!$A$5:$A$52,A6,MethodRatings!$D$5:$D$52,B6,MethodRatings!$J$5:$J$52,"&gt;0")/COUNTIFS(MethodRatings!$A$5:$A$52,A6,MethodRatings!$D$5:$D$52,B6,MethodRatings!$J$5:$J$52,"&gt;0"),"")</f>
      </c>
      <c r="W6" s="149" t="str">
        <f>IFERROR(SUMIFS(MethodRatings!$K$5:$K$52,MethodRatings!$A$5:$A$52,A6,MethodRatings!$D$5:$D$52,B6,MethodRatings!$K$5:$K$52,"&gt;0")/COUNTIFS(MethodRatings!$A$5:$A$52,A6,MethodRatings!$D$5:$D$52,B6,MethodRatings!$K$5:$K$52,"&gt;0"),"")</f>
      </c>
      <c r="X6" s="149" t="str">
        <f>IF(COUNT(U6:W6)=3,AVERAGE(U6:W6),"")</f>
      </c>
      <c r="Y6" s="149" t="str">
        <f>IFERROR(SUMIFS(MethodRatings!$M$5:$M$52,MethodRatings!$A$5:$A$52,A6,MethodRatings!$D$5:$D$52,B6,MethodRatings!$M$5:$M$52,"&gt;0")/COUNTIFS(MethodRatings!$A$5:$A$52,A6,MethodRatings!$D$5:$D$52,B6,MethodRatings!$M$5:$M$52,"&gt;0"),"")</f>
      </c>
      <c r="Z6" s="149" t="str">
        <f>IFERROR(SUMIFS(MethodRatings!$N$5:$N$52,MethodRatings!$A$5:$A$52,A6,MethodRatings!$D$5:$D$52,B6,MethodRatings!$N$5:$N$52,"&gt;0")/COUNTIFS(MethodRatings!$A$5:$A$52,A6,MethodRatings!$D$5:$D$52,B6,MethodRatings!$N$5:$N$52,"&gt;0"),"")</f>
      </c>
      <c r="AA6" s="149" t="str">
        <f>IFERROR(SUMIFS(MethodRatings!$O$5:$O$52,MethodRatings!$A$5:$A$52,A6,MethodRatings!$D$5:$D$52,B6,MethodRatings!$O$5:$O$52,"&gt;0")/COUNTIFS(MethodRatings!$A$5:$A$52,A6,MethodRatings!$D$5:$D$52,B6,MethodRatings!$O$5:$O$52,"&gt;0"),"")</f>
      </c>
      <c r="AB6" s="149" t="str">
        <f>IF(COUNT(I6:K6)=3,SUM(I6:K6),"")</f>
      </c>
      <c r="AC6" s="149" t="str">
        <f>IF(COUNT(M6:O6)=3,SUM(M6:O6),"")</f>
      </c>
      <c r="AD6" s="149" t="str">
        <f>IF(COUNT(Q6:S6)=3,SUM(Q6:S6),"")</f>
      </c>
      <c r="AE6" s="149" t="str">
        <f>IF(COUNT(U6:W6)=3,SUM(U6:W6),"")</f>
      </c>
      <c r="AF6" s="130" t="str">
        <f>IF((COUNT(F6:K6)+COUNT(M6:O6)+COUNT(Q6:S6)+COUNT(U6:W6)+COUNT(Y6:AA6))=18,"完整","缺失")</f>
        <v>缺失</v>
      </c>
    </row>
    <row r="7">
      <c r="A7" s="90" t="inlineStr">
        <is>
          <t>P003</t>
        </is>
      </c>
      <c r="B7" s="85" t="inlineStr">
        <is>
          <t>EgoAnchor</t>
        </is>
      </c>
      <c r="C7" s="129" t="str">
        <f>IF(B7=VLOOKUP(A7,Participants!$A$5:$W$28,22,FALSE),"方法A","方法B")</f>
        <v>方法A</v>
      </c>
      <c r="D7" s="129" t="str">
        <f>VLOOKUP(A7,Participants!$A$5:$B$28,2,FALSE)</f>
        <v>是</v>
      </c>
      <c r="E7" s="129" t="n">
        <f>COUNTIFS(TaskRatings!$A$5:$A$148,A7,TaskRatings!$F$5:$F$148,B7,TaskRatings!$O$5:$O$148,"是")</f>
        <v>3</v>
      </c>
      <c r="F7" s="149" t="str">
        <f>IFERROR(SUMIFS(TaskRatings!$H$5:$H$148,TaskRatings!$A$5:$A$148,A7,TaskRatings!$F$5:$F$148,B7,TaskRatings!$O$5:$O$148,"是",TaskRatings!$H$5:$H$148,"&gt;0")/COUNTIFS(TaskRatings!$A$5:$A$148,A7,TaskRatings!$F$5:$F$148,B7,TaskRatings!$O$5:$O$148,"是",TaskRatings!$H$5:$H$148,"&gt;0"),"")</f>
      </c>
      <c r="G7" s="149" t="str">
        <f>IFERROR(SUMIFS(TaskRatings!$J$5:$J$148,TaskRatings!$A$5:$A$148,A7,TaskRatings!$F$5:$F$148,B7,TaskRatings!$O$5:$O$148,"是",TaskRatings!$J$5:$J$148,"&gt;0")/COUNTIFS(TaskRatings!$A$5:$A$148,A7,TaskRatings!$F$5:$F$148,B7,TaskRatings!$O$5:$O$148,"是",TaskRatings!$J$5:$J$148,"&gt;0"),"")</f>
      </c>
      <c r="H7" s="149" t="str">
        <f>IFERROR(SUMIFS(TaskRatings!$L$5:$L$148,TaskRatings!$A$5:$A$148,A7,TaskRatings!$F$5:$F$148,B7,TaskRatings!$O$5:$O$148,"是",TaskRatings!$L$5:$L$148,"&gt;0")/COUNTIFS(TaskRatings!$A$5:$A$148,A7,TaskRatings!$F$5:$F$148,B7,TaskRatings!$O$5:$O$148,"是",TaskRatings!$L$5:$L$148,"&gt;0"),"")</f>
      </c>
      <c r="I7" s="149" t="str">
        <f>IFERROR(SUMIFS(BlockRatings_AQ!$H$5:$H$148,BlockRatings_AQ!$A$5:$A$148,A7,BlockRatings_AQ!$F$5:$F$148,B7,BlockRatings_AQ!$R$5:$R$148,"是",BlockRatings_AQ!$H$5:$H$148,"&gt;0")/COUNTIFS(BlockRatings_AQ!$A$5:$A$148,A7,BlockRatings_AQ!$F$5:$F$148,B7,BlockRatings_AQ!$R$5:$R$148,"是",BlockRatings_AQ!$H$5:$H$148,"&gt;0"),"")</f>
      </c>
      <c r="J7" s="149" t="str">
        <f>IFERROR(SUMIFS(BlockRatings_AQ!$I$5:$I$148,BlockRatings_AQ!$A$5:$A$148,A7,BlockRatings_AQ!$F$5:$F$148,B7,BlockRatings_AQ!$R$5:$R$148,"是",BlockRatings_AQ!$I$5:$I$148,"&gt;0")/COUNTIFS(BlockRatings_AQ!$A$5:$A$148,A7,BlockRatings_AQ!$F$5:$F$148,B7,BlockRatings_AQ!$R$5:$R$148,"是",BlockRatings_AQ!$I$5:$I$148,"&gt;0"),"")</f>
      </c>
      <c r="K7" s="149" t="str">
        <f>IFERROR(SUMIFS(BlockRatings_AQ!$J$5:$J$148,BlockRatings_AQ!$A$5:$A$148,A7,BlockRatings_AQ!$F$5:$F$148,B7,BlockRatings_AQ!$R$5:$R$148,"是",BlockRatings_AQ!$J$5:$J$148,"&gt;0")/COUNTIFS(BlockRatings_AQ!$A$5:$A$148,A7,BlockRatings_AQ!$F$5:$F$148,B7,BlockRatings_AQ!$R$5:$R$148,"是",BlockRatings_AQ!$J$5:$J$148,"&gt;0"),"")</f>
      </c>
      <c r="L7" s="149" t="str">
        <f>IF(COUNT(I7:K7)=3,AVERAGE(I7:K7),"")</f>
      </c>
      <c r="M7" s="149" t="str">
        <f>IFERROR(SUMIFS(BlockRatings_AQ!$L$5:$L$148,BlockRatings_AQ!$A$5:$A$148,A7,BlockRatings_AQ!$F$5:$F$148,B7,BlockRatings_AQ!$R$5:$R$148,"是",BlockRatings_AQ!$L$5:$L$148,"&gt;0")/COUNTIFS(BlockRatings_AQ!$A$5:$A$148,A7,BlockRatings_AQ!$F$5:$F$148,B7,BlockRatings_AQ!$R$5:$R$148,"是",BlockRatings_AQ!$L$5:$L$148,"&gt;0"),"")</f>
      </c>
      <c r="N7" s="149" t="str">
        <f>IFERROR(SUMIFS(BlockRatings_AQ!$M$5:$M$148,BlockRatings_AQ!$A$5:$A$148,A7,BlockRatings_AQ!$F$5:$F$148,B7,BlockRatings_AQ!$R$5:$R$148,"是",BlockRatings_AQ!$M$5:$M$148,"&gt;0")/COUNTIFS(BlockRatings_AQ!$A$5:$A$148,A7,BlockRatings_AQ!$F$5:$F$148,B7,BlockRatings_AQ!$R$5:$R$148,"是",BlockRatings_AQ!$M$5:$M$148,"&gt;0"),"")</f>
      </c>
      <c r="O7" s="149" t="str">
        <f>IFERROR(SUMIFS(BlockRatings_AQ!$N$5:$N$148,BlockRatings_AQ!$A$5:$A$148,A7,BlockRatings_AQ!$F$5:$F$148,B7,BlockRatings_AQ!$R$5:$R$148,"是",BlockRatings_AQ!$N$5:$N$148,"&gt;0")/COUNTIFS(BlockRatings_AQ!$A$5:$A$148,A7,BlockRatings_AQ!$F$5:$F$148,B7,BlockRatings_AQ!$R$5:$R$148,"是",BlockRatings_AQ!$N$5:$N$148,"&gt;0"),"")</f>
      </c>
      <c r="P7" s="149" t="str">
        <f>IF(COUNT(M7:O7)=3,AVERAGE(M7:O7),"")</f>
      </c>
      <c r="Q7" s="149" t="str">
        <f>IFERROR(SUMIFS(MethodRatings!$E$5:$E$52,MethodRatings!$A$5:$A$52,A7,MethodRatings!$D$5:$D$52,B7,MethodRatings!$E$5:$E$52,"&gt;0")/COUNTIFS(MethodRatings!$A$5:$A$52,A7,MethodRatings!$D$5:$D$52,B7,MethodRatings!$E$5:$E$52,"&gt;0"),"")</f>
      </c>
      <c r="R7" s="149" t="str">
        <f>IFERROR(SUMIFS(MethodRatings!$F$5:$F$52,MethodRatings!$A$5:$A$52,A7,MethodRatings!$D$5:$D$52,B7,MethodRatings!$F$5:$F$52,"&gt;0")/COUNTIFS(MethodRatings!$A$5:$A$52,A7,MethodRatings!$D$5:$D$52,B7,MethodRatings!$F$5:$F$52,"&gt;0"),"")</f>
      </c>
      <c r="S7" s="149" t="str">
        <f>IFERROR(SUMIFS(MethodRatings!$G$5:$G$52,MethodRatings!$A$5:$A$52,A7,MethodRatings!$D$5:$D$52,B7,MethodRatings!$G$5:$G$52,"&gt;0")/COUNTIFS(MethodRatings!$A$5:$A$52,A7,MethodRatings!$D$5:$D$52,B7,MethodRatings!$G$5:$G$52,"&gt;0"),"")</f>
      </c>
      <c r="T7" s="149" t="str">
        <f>IF(COUNT(Q7:S7)=3,AVERAGE(Q7:S7),"")</f>
      </c>
      <c r="U7" s="149" t="str">
        <f>IFERROR(SUMIFS(MethodRatings!$I$5:$I$52,MethodRatings!$A$5:$A$52,A7,MethodRatings!$D$5:$D$52,B7,MethodRatings!$I$5:$I$52,"&gt;0")/COUNTIFS(MethodRatings!$A$5:$A$52,A7,MethodRatings!$D$5:$D$52,B7,MethodRatings!$I$5:$I$52,"&gt;0"),"")</f>
      </c>
      <c r="V7" s="149" t="str">
        <f>IFERROR(SUMIFS(MethodRatings!$J$5:$J$52,MethodRatings!$A$5:$A$52,A7,MethodRatings!$D$5:$D$52,B7,MethodRatings!$J$5:$J$52,"&gt;0")/COUNTIFS(MethodRatings!$A$5:$A$52,A7,MethodRatings!$D$5:$D$52,B7,MethodRatings!$J$5:$J$52,"&gt;0"),"")</f>
      </c>
      <c r="W7" s="149" t="str">
        <f>IFERROR(SUMIFS(MethodRatings!$K$5:$K$52,MethodRatings!$A$5:$A$52,A7,MethodRatings!$D$5:$D$52,B7,MethodRatings!$K$5:$K$52,"&gt;0")/COUNTIFS(MethodRatings!$A$5:$A$52,A7,MethodRatings!$D$5:$D$52,B7,MethodRatings!$K$5:$K$52,"&gt;0"),"")</f>
      </c>
      <c r="X7" s="149" t="str">
        <f>IF(COUNT(U7:W7)=3,AVERAGE(U7:W7),"")</f>
      </c>
      <c r="Y7" s="149" t="str">
        <f>IFERROR(SUMIFS(MethodRatings!$M$5:$M$52,MethodRatings!$A$5:$A$52,A7,MethodRatings!$D$5:$D$52,B7,MethodRatings!$M$5:$M$52,"&gt;0")/COUNTIFS(MethodRatings!$A$5:$A$52,A7,MethodRatings!$D$5:$D$52,B7,MethodRatings!$M$5:$M$52,"&gt;0"),"")</f>
      </c>
      <c r="Z7" s="149" t="str">
        <f>IFERROR(SUMIFS(MethodRatings!$N$5:$N$52,MethodRatings!$A$5:$A$52,A7,MethodRatings!$D$5:$D$52,B7,MethodRatings!$N$5:$N$52,"&gt;0")/COUNTIFS(MethodRatings!$A$5:$A$52,A7,MethodRatings!$D$5:$D$52,B7,MethodRatings!$N$5:$N$52,"&gt;0"),"")</f>
      </c>
      <c r="AA7" s="149" t="str">
        <f>IFERROR(SUMIFS(MethodRatings!$O$5:$O$52,MethodRatings!$A$5:$A$52,A7,MethodRatings!$D$5:$D$52,B7,MethodRatings!$O$5:$O$52,"&gt;0")/COUNTIFS(MethodRatings!$A$5:$A$52,A7,MethodRatings!$D$5:$D$52,B7,MethodRatings!$O$5:$O$52,"&gt;0"),"")</f>
      </c>
      <c r="AB7" s="149" t="str">
        <f>IF(COUNT(I7:K7)=3,SUM(I7:K7),"")</f>
      </c>
      <c r="AC7" s="149" t="str">
        <f>IF(COUNT(M7:O7)=3,SUM(M7:O7),"")</f>
      </c>
      <c r="AD7" s="149" t="str">
        <f>IF(COUNT(Q7:S7)=3,SUM(Q7:S7),"")</f>
      </c>
      <c r="AE7" s="149" t="str">
        <f>IF(COUNT(U7:W7)=3,SUM(U7:W7),"")</f>
      </c>
      <c r="AF7" s="130" t="str">
        <f>IF((COUNT(F7:K7)+COUNT(M7:O7)+COUNT(Q7:S7)+COUNT(U7:W7)+COUNT(Y7:AA7))=18,"完整","缺失")</f>
        <v>缺失</v>
      </c>
    </row>
    <row r="8">
      <c r="A8" s="90" t="inlineStr">
        <is>
          <t>P004</t>
        </is>
      </c>
      <c r="B8" s="85" t="inlineStr">
        <is>
          <t>EgoAnchor</t>
        </is>
      </c>
      <c r="C8" s="129" t="str">
        <f>IF(B8=VLOOKUP(A8,Participants!$A$5:$W$28,22,FALSE),"方法A","方法B")</f>
        <v>方法A</v>
      </c>
      <c r="D8" s="129" t="str">
        <f>VLOOKUP(A8,Participants!$A$5:$B$28,2,FALSE)</f>
        <v>是</v>
      </c>
      <c r="E8" s="129" t="n">
        <f>COUNTIFS(TaskRatings!$A$5:$A$148,A8,TaskRatings!$F$5:$F$148,B8,TaskRatings!$O$5:$O$148,"是")</f>
        <v>3</v>
      </c>
      <c r="F8" s="149" t="str">
        <f>IFERROR(SUMIFS(TaskRatings!$H$5:$H$148,TaskRatings!$A$5:$A$148,A8,TaskRatings!$F$5:$F$148,B8,TaskRatings!$O$5:$O$148,"是",TaskRatings!$H$5:$H$148,"&gt;0")/COUNTIFS(TaskRatings!$A$5:$A$148,A8,TaskRatings!$F$5:$F$148,B8,TaskRatings!$O$5:$O$148,"是",TaskRatings!$H$5:$H$148,"&gt;0"),"")</f>
      </c>
      <c r="G8" s="149" t="str">
        <f>IFERROR(SUMIFS(TaskRatings!$J$5:$J$148,TaskRatings!$A$5:$A$148,A8,TaskRatings!$F$5:$F$148,B8,TaskRatings!$O$5:$O$148,"是",TaskRatings!$J$5:$J$148,"&gt;0")/COUNTIFS(TaskRatings!$A$5:$A$148,A8,TaskRatings!$F$5:$F$148,B8,TaskRatings!$O$5:$O$148,"是",TaskRatings!$J$5:$J$148,"&gt;0"),"")</f>
      </c>
      <c r="H8" s="149" t="str">
        <f>IFERROR(SUMIFS(TaskRatings!$L$5:$L$148,TaskRatings!$A$5:$A$148,A8,TaskRatings!$F$5:$F$148,B8,TaskRatings!$O$5:$O$148,"是",TaskRatings!$L$5:$L$148,"&gt;0")/COUNTIFS(TaskRatings!$A$5:$A$148,A8,TaskRatings!$F$5:$F$148,B8,TaskRatings!$O$5:$O$148,"是",TaskRatings!$L$5:$L$148,"&gt;0"),"")</f>
      </c>
      <c r="I8" s="149" t="str">
        <f>IFERROR(SUMIFS(BlockRatings_AQ!$H$5:$H$148,BlockRatings_AQ!$A$5:$A$148,A8,BlockRatings_AQ!$F$5:$F$148,B8,BlockRatings_AQ!$R$5:$R$148,"是",BlockRatings_AQ!$H$5:$H$148,"&gt;0")/COUNTIFS(BlockRatings_AQ!$A$5:$A$148,A8,BlockRatings_AQ!$F$5:$F$148,B8,BlockRatings_AQ!$R$5:$R$148,"是",BlockRatings_AQ!$H$5:$H$148,"&gt;0"),"")</f>
      </c>
      <c r="J8" s="149" t="str">
        <f>IFERROR(SUMIFS(BlockRatings_AQ!$I$5:$I$148,BlockRatings_AQ!$A$5:$A$148,A8,BlockRatings_AQ!$F$5:$F$148,B8,BlockRatings_AQ!$R$5:$R$148,"是",BlockRatings_AQ!$I$5:$I$148,"&gt;0")/COUNTIFS(BlockRatings_AQ!$A$5:$A$148,A8,BlockRatings_AQ!$F$5:$F$148,B8,BlockRatings_AQ!$R$5:$R$148,"是",BlockRatings_AQ!$I$5:$I$148,"&gt;0"),"")</f>
      </c>
      <c r="K8" s="149" t="str">
        <f>IFERROR(SUMIFS(BlockRatings_AQ!$J$5:$J$148,BlockRatings_AQ!$A$5:$A$148,A8,BlockRatings_AQ!$F$5:$F$148,B8,BlockRatings_AQ!$R$5:$R$148,"是",BlockRatings_AQ!$J$5:$J$148,"&gt;0")/COUNTIFS(BlockRatings_AQ!$A$5:$A$148,A8,BlockRatings_AQ!$F$5:$F$148,B8,BlockRatings_AQ!$R$5:$R$148,"是",BlockRatings_AQ!$J$5:$J$148,"&gt;0"),"")</f>
      </c>
      <c r="L8" s="149" t="str">
        <f>IF(COUNT(I8:K8)=3,AVERAGE(I8:K8),"")</f>
      </c>
      <c r="M8" s="149" t="str">
        <f>IFERROR(SUMIFS(BlockRatings_AQ!$L$5:$L$148,BlockRatings_AQ!$A$5:$A$148,A8,BlockRatings_AQ!$F$5:$F$148,B8,BlockRatings_AQ!$R$5:$R$148,"是",BlockRatings_AQ!$L$5:$L$148,"&gt;0")/COUNTIFS(BlockRatings_AQ!$A$5:$A$148,A8,BlockRatings_AQ!$F$5:$F$148,B8,BlockRatings_AQ!$R$5:$R$148,"是",BlockRatings_AQ!$L$5:$L$148,"&gt;0"),"")</f>
      </c>
      <c r="N8" s="149" t="str">
        <f>IFERROR(SUMIFS(BlockRatings_AQ!$M$5:$M$148,BlockRatings_AQ!$A$5:$A$148,A8,BlockRatings_AQ!$F$5:$F$148,B8,BlockRatings_AQ!$R$5:$R$148,"是",BlockRatings_AQ!$M$5:$M$148,"&gt;0")/COUNTIFS(BlockRatings_AQ!$A$5:$A$148,A8,BlockRatings_AQ!$F$5:$F$148,B8,BlockRatings_AQ!$R$5:$R$148,"是",BlockRatings_AQ!$M$5:$M$148,"&gt;0"),"")</f>
      </c>
      <c r="O8" s="149" t="str">
        <f>IFERROR(SUMIFS(BlockRatings_AQ!$N$5:$N$148,BlockRatings_AQ!$A$5:$A$148,A8,BlockRatings_AQ!$F$5:$F$148,B8,BlockRatings_AQ!$R$5:$R$148,"是",BlockRatings_AQ!$N$5:$N$148,"&gt;0")/COUNTIFS(BlockRatings_AQ!$A$5:$A$148,A8,BlockRatings_AQ!$F$5:$F$148,B8,BlockRatings_AQ!$R$5:$R$148,"是",BlockRatings_AQ!$N$5:$N$148,"&gt;0"),"")</f>
      </c>
      <c r="P8" s="149" t="str">
        <f>IF(COUNT(M8:O8)=3,AVERAGE(M8:O8),"")</f>
      </c>
      <c r="Q8" s="149" t="str">
        <f>IFERROR(SUMIFS(MethodRatings!$E$5:$E$52,MethodRatings!$A$5:$A$52,A8,MethodRatings!$D$5:$D$52,B8,MethodRatings!$E$5:$E$52,"&gt;0")/COUNTIFS(MethodRatings!$A$5:$A$52,A8,MethodRatings!$D$5:$D$52,B8,MethodRatings!$E$5:$E$52,"&gt;0"),"")</f>
      </c>
      <c r="R8" s="149" t="str">
        <f>IFERROR(SUMIFS(MethodRatings!$F$5:$F$52,MethodRatings!$A$5:$A$52,A8,MethodRatings!$D$5:$D$52,B8,MethodRatings!$F$5:$F$52,"&gt;0")/COUNTIFS(MethodRatings!$A$5:$A$52,A8,MethodRatings!$D$5:$D$52,B8,MethodRatings!$F$5:$F$52,"&gt;0"),"")</f>
      </c>
      <c r="S8" s="149" t="str">
        <f>IFERROR(SUMIFS(MethodRatings!$G$5:$G$52,MethodRatings!$A$5:$A$52,A8,MethodRatings!$D$5:$D$52,B8,MethodRatings!$G$5:$G$52,"&gt;0")/COUNTIFS(MethodRatings!$A$5:$A$52,A8,MethodRatings!$D$5:$D$52,B8,MethodRatings!$G$5:$G$52,"&gt;0"),"")</f>
      </c>
      <c r="T8" s="149" t="str">
        <f>IF(COUNT(Q8:S8)=3,AVERAGE(Q8:S8),"")</f>
      </c>
      <c r="U8" s="149" t="str">
        <f>IFERROR(SUMIFS(MethodRatings!$I$5:$I$52,MethodRatings!$A$5:$A$52,A8,MethodRatings!$D$5:$D$52,B8,MethodRatings!$I$5:$I$52,"&gt;0")/COUNTIFS(MethodRatings!$A$5:$A$52,A8,MethodRatings!$D$5:$D$52,B8,MethodRatings!$I$5:$I$52,"&gt;0"),"")</f>
      </c>
      <c r="V8" s="149" t="str">
        <f>IFERROR(SUMIFS(MethodRatings!$J$5:$J$52,MethodRatings!$A$5:$A$52,A8,MethodRatings!$D$5:$D$52,B8,MethodRatings!$J$5:$J$52,"&gt;0")/COUNTIFS(MethodRatings!$A$5:$A$52,A8,MethodRatings!$D$5:$D$52,B8,MethodRatings!$J$5:$J$52,"&gt;0"),"")</f>
      </c>
      <c r="W8" s="149" t="str">
        <f>IFERROR(SUMIFS(MethodRatings!$K$5:$K$52,MethodRatings!$A$5:$A$52,A8,MethodRatings!$D$5:$D$52,B8,MethodRatings!$K$5:$K$52,"&gt;0")/COUNTIFS(MethodRatings!$A$5:$A$52,A8,MethodRatings!$D$5:$D$52,B8,MethodRatings!$K$5:$K$52,"&gt;0"),"")</f>
      </c>
      <c r="X8" s="149" t="str">
        <f>IF(COUNT(U8:W8)=3,AVERAGE(U8:W8),"")</f>
      </c>
      <c r="Y8" s="149" t="str">
        <f>IFERROR(SUMIFS(MethodRatings!$M$5:$M$52,MethodRatings!$A$5:$A$52,A8,MethodRatings!$D$5:$D$52,B8,MethodRatings!$M$5:$M$52,"&gt;0")/COUNTIFS(MethodRatings!$A$5:$A$52,A8,MethodRatings!$D$5:$D$52,B8,MethodRatings!$M$5:$M$52,"&gt;0"),"")</f>
      </c>
      <c r="Z8" s="149" t="str">
        <f>IFERROR(SUMIFS(MethodRatings!$N$5:$N$52,MethodRatings!$A$5:$A$52,A8,MethodRatings!$D$5:$D$52,B8,MethodRatings!$N$5:$N$52,"&gt;0")/COUNTIFS(MethodRatings!$A$5:$A$52,A8,MethodRatings!$D$5:$D$52,B8,MethodRatings!$N$5:$N$52,"&gt;0"),"")</f>
      </c>
      <c r="AA8" s="149" t="str">
        <f>IFERROR(SUMIFS(MethodRatings!$O$5:$O$52,MethodRatings!$A$5:$A$52,A8,MethodRatings!$D$5:$D$52,B8,MethodRatings!$O$5:$O$52,"&gt;0")/COUNTIFS(MethodRatings!$A$5:$A$52,A8,MethodRatings!$D$5:$D$52,B8,MethodRatings!$O$5:$O$52,"&gt;0"),"")</f>
      </c>
      <c r="AB8" s="149" t="str">
        <f>IF(COUNT(I8:K8)=3,SUM(I8:K8),"")</f>
      </c>
      <c r="AC8" s="149" t="str">
        <f>IF(COUNT(M8:O8)=3,SUM(M8:O8),"")</f>
      </c>
      <c r="AD8" s="149" t="str">
        <f>IF(COUNT(Q8:S8)=3,SUM(Q8:S8),"")</f>
      </c>
      <c r="AE8" s="149" t="str">
        <f>IF(COUNT(U8:W8)=3,SUM(U8:W8),"")</f>
      </c>
      <c r="AF8" s="130" t="str">
        <f>IF((COUNT(F8:K8)+COUNT(M8:O8)+COUNT(Q8:S8)+COUNT(U8:W8)+COUNT(Y8:AA8))=18,"完整","缺失")</f>
        <v>缺失</v>
      </c>
    </row>
    <row r="9">
      <c r="A9" s="90" t="inlineStr">
        <is>
          <t>P005</t>
        </is>
      </c>
      <c r="B9" s="85" t="inlineStr">
        <is>
          <t>EgoAnchor</t>
        </is>
      </c>
      <c r="C9" s="129" t="str">
        <f>IF(B9=VLOOKUP(A9,Participants!$A$5:$W$28,22,FALSE),"方法A","方法B")</f>
        <v>方法A</v>
      </c>
      <c r="D9" s="129" t="str">
        <f>VLOOKUP(A9,Participants!$A$5:$B$28,2,FALSE)</f>
        <v>是</v>
      </c>
      <c r="E9" s="129" t="n">
        <f>COUNTIFS(TaskRatings!$A$5:$A$148,A9,TaskRatings!$F$5:$F$148,B9,TaskRatings!$O$5:$O$148,"是")</f>
        <v>3</v>
      </c>
      <c r="F9" s="149" t="str">
        <f>IFERROR(SUMIFS(TaskRatings!$H$5:$H$148,TaskRatings!$A$5:$A$148,A9,TaskRatings!$F$5:$F$148,B9,TaskRatings!$O$5:$O$148,"是",TaskRatings!$H$5:$H$148,"&gt;0")/COUNTIFS(TaskRatings!$A$5:$A$148,A9,TaskRatings!$F$5:$F$148,B9,TaskRatings!$O$5:$O$148,"是",TaskRatings!$H$5:$H$148,"&gt;0"),"")</f>
      </c>
      <c r="G9" s="149" t="str">
        <f>IFERROR(SUMIFS(TaskRatings!$J$5:$J$148,TaskRatings!$A$5:$A$148,A9,TaskRatings!$F$5:$F$148,B9,TaskRatings!$O$5:$O$148,"是",TaskRatings!$J$5:$J$148,"&gt;0")/COUNTIFS(TaskRatings!$A$5:$A$148,A9,TaskRatings!$F$5:$F$148,B9,TaskRatings!$O$5:$O$148,"是",TaskRatings!$J$5:$J$148,"&gt;0"),"")</f>
      </c>
      <c r="H9" s="149" t="str">
        <f>IFERROR(SUMIFS(TaskRatings!$L$5:$L$148,TaskRatings!$A$5:$A$148,A9,TaskRatings!$F$5:$F$148,B9,TaskRatings!$O$5:$O$148,"是",TaskRatings!$L$5:$L$148,"&gt;0")/COUNTIFS(TaskRatings!$A$5:$A$148,A9,TaskRatings!$F$5:$F$148,B9,TaskRatings!$O$5:$O$148,"是",TaskRatings!$L$5:$L$148,"&gt;0"),"")</f>
      </c>
      <c r="I9" s="149" t="str">
        <f>IFERROR(SUMIFS(BlockRatings_AQ!$H$5:$H$148,BlockRatings_AQ!$A$5:$A$148,A9,BlockRatings_AQ!$F$5:$F$148,B9,BlockRatings_AQ!$R$5:$R$148,"是",BlockRatings_AQ!$H$5:$H$148,"&gt;0")/COUNTIFS(BlockRatings_AQ!$A$5:$A$148,A9,BlockRatings_AQ!$F$5:$F$148,B9,BlockRatings_AQ!$R$5:$R$148,"是",BlockRatings_AQ!$H$5:$H$148,"&gt;0"),"")</f>
      </c>
      <c r="J9" s="149" t="str">
        <f>IFERROR(SUMIFS(BlockRatings_AQ!$I$5:$I$148,BlockRatings_AQ!$A$5:$A$148,A9,BlockRatings_AQ!$F$5:$F$148,B9,BlockRatings_AQ!$R$5:$R$148,"是",BlockRatings_AQ!$I$5:$I$148,"&gt;0")/COUNTIFS(BlockRatings_AQ!$A$5:$A$148,A9,BlockRatings_AQ!$F$5:$F$148,B9,BlockRatings_AQ!$R$5:$R$148,"是",BlockRatings_AQ!$I$5:$I$148,"&gt;0"),"")</f>
      </c>
      <c r="K9" s="149" t="str">
        <f>IFERROR(SUMIFS(BlockRatings_AQ!$J$5:$J$148,BlockRatings_AQ!$A$5:$A$148,A9,BlockRatings_AQ!$F$5:$F$148,B9,BlockRatings_AQ!$R$5:$R$148,"是",BlockRatings_AQ!$J$5:$J$148,"&gt;0")/COUNTIFS(BlockRatings_AQ!$A$5:$A$148,A9,BlockRatings_AQ!$F$5:$F$148,B9,BlockRatings_AQ!$R$5:$R$148,"是",BlockRatings_AQ!$J$5:$J$148,"&gt;0"),"")</f>
      </c>
      <c r="L9" s="149" t="str">
        <f>IF(COUNT(I9:K9)=3,AVERAGE(I9:K9),"")</f>
      </c>
      <c r="M9" s="149" t="str">
        <f>IFERROR(SUMIFS(BlockRatings_AQ!$L$5:$L$148,BlockRatings_AQ!$A$5:$A$148,A9,BlockRatings_AQ!$F$5:$F$148,B9,BlockRatings_AQ!$R$5:$R$148,"是",BlockRatings_AQ!$L$5:$L$148,"&gt;0")/COUNTIFS(BlockRatings_AQ!$A$5:$A$148,A9,BlockRatings_AQ!$F$5:$F$148,B9,BlockRatings_AQ!$R$5:$R$148,"是",BlockRatings_AQ!$L$5:$L$148,"&gt;0"),"")</f>
      </c>
      <c r="N9" s="149" t="str">
        <f>IFERROR(SUMIFS(BlockRatings_AQ!$M$5:$M$148,BlockRatings_AQ!$A$5:$A$148,A9,BlockRatings_AQ!$F$5:$F$148,B9,BlockRatings_AQ!$R$5:$R$148,"是",BlockRatings_AQ!$M$5:$M$148,"&gt;0")/COUNTIFS(BlockRatings_AQ!$A$5:$A$148,A9,BlockRatings_AQ!$F$5:$F$148,B9,BlockRatings_AQ!$R$5:$R$148,"是",BlockRatings_AQ!$M$5:$M$148,"&gt;0"),"")</f>
      </c>
      <c r="O9" s="149" t="str">
        <f>IFERROR(SUMIFS(BlockRatings_AQ!$N$5:$N$148,BlockRatings_AQ!$A$5:$A$148,A9,BlockRatings_AQ!$F$5:$F$148,B9,BlockRatings_AQ!$R$5:$R$148,"是",BlockRatings_AQ!$N$5:$N$148,"&gt;0")/COUNTIFS(BlockRatings_AQ!$A$5:$A$148,A9,BlockRatings_AQ!$F$5:$F$148,B9,BlockRatings_AQ!$R$5:$R$148,"是",BlockRatings_AQ!$N$5:$N$148,"&gt;0"),"")</f>
      </c>
      <c r="P9" s="149" t="str">
        <f>IF(COUNT(M9:O9)=3,AVERAGE(M9:O9),"")</f>
      </c>
      <c r="Q9" s="149" t="str">
        <f>IFERROR(SUMIFS(MethodRatings!$E$5:$E$52,MethodRatings!$A$5:$A$52,A9,MethodRatings!$D$5:$D$52,B9,MethodRatings!$E$5:$E$52,"&gt;0")/COUNTIFS(MethodRatings!$A$5:$A$52,A9,MethodRatings!$D$5:$D$52,B9,MethodRatings!$E$5:$E$52,"&gt;0"),"")</f>
      </c>
      <c r="R9" s="149" t="str">
        <f>IFERROR(SUMIFS(MethodRatings!$F$5:$F$52,MethodRatings!$A$5:$A$52,A9,MethodRatings!$D$5:$D$52,B9,MethodRatings!$F$5:$F$52,"&gt;0")/COUNTIFS(MethodRatings!$A$5:$A$52,A9,MethodRatings!$D$5:$D$52,B9,MethodRatings!$F$5:$F$52,"&gt;0"),"")</f>
      </c>
      <c r="S9" s="149" t="str">
        <f>IFERROR(SUMIFS(MethodRatings!$G$5:$G$52,MethodRatings!$A$5:$A$52,A9,MethodRatings!$D$5:$D$52,B9,MethodRatings!$G$5:$G$52,"&gt;0")/COUNTIFS(MethodRatings!$A$5:$A$52,A9,MethodRatings!$D$5:$D$52,B9,MethodRatings!$G$5:$G$52,"&gt;0"),"")</f>
      </c>
      <c r="T9" s="149" t="str">
        <f>IF(COUNT(Q9:S9)=3,AVERAGE(Q9:S9),"")</f>
      </c>
      <c r="U9" s="149" t="str">
        <f>IFERROR(SUMIFS(MethodRatings!$I$5:$I$52,MethodRatings!$A$5:$A$52,A9,MethodRatings!$D$5:$D$52,B9,MethodRatings!$I$5:$I$52,"&gt;0")/COUNTIFS(MethodRatings!$A$5:$A$52,A9,MethodRatings!$D$5:$D$52,B9,MethodRatings!$I$5:$I$52,"&gt;0"),"")</f>
      </c>
      <c r="V9" s="149" t="str">
        <f>IFERROR(SUMIFS(MethodRatings!$J$5:$J$52,MethodRatings!$A$5:$A$52,A9,MethodRatings!$D$5:$D$52,B9,MethodRatings!$J$5:$J$52,"&gt;0")/COUNTIFS(MethodRatings!$A$5:$A$52,A9,MethodRatings!$D$5:$D$52,B9,MethodRatings!$J$5:$J$52,"&gt;0"),"")</f>
      </c>
      <c r="W9" s="149" t="str">
        <f>IFERROR(SUMIFS(MethodRatings!$K$5:$K$52,MethodRatings!$A$5:$A$52,A9,MethodRatings!$D$5:$D$52,B9,MethodRatings!$K$5:$K$52,"&gt;0")/COUNTIFS(MethodRatings!$A$5:$A$52,A9,MethodRatings!$D$5:$D$52,B9,MethodRatings!$K$5:$K$52,"&gt;0"),"")</f>
      </c>
      <c r="X9" s="149" t="str">
        <f>IF(COUNT(U9:W9)=3,AVERAGE(U9:W9),"")</f>
      </c>
      <c r="Y9" s="149" t="str">
        <f>IFERROR(SUMIFS(MethodRatings!$M$5:$M$52,MethodRatings!$A$5:$A$52,A9,MethodRatings!$D$5:$D$52,B9,MethodRatings!$M$5:$M$52,"&gt;0")/COUNTIFS(MethodRatings!$A$5:$A$52,A9,MethodRatings!$D$5:$D$52,B9,MethodRatings!$M$5:$M$52,"&gt;0"),"")</f>
      </c>
      <c r="Z9" s="149" t="str">
        <f>IFERROR(SUMIFS(MethodRatings!$N$5:$N$52,MethodRatings!$A$5:$A$52,A9,MethodRatings!$D$5:$D$52,B9,MethodRatings!$N$5:$N$52,"&gt;0")/COUNTIFS(MethodRatings!$A$5:$A$52,A9,MethodRatings!$D$5:$D$52,B9,MethodRatings!$N$5:$N$52,"&gt;0"),"")</f>
      </c>
      <c r="AA9" s="149" t="str">
        <f>IFERROR(SUMIFS(MethodRatings!$O$5:$O$52,MethodRatings!$A$5:$A$52,A9,MethodRatings!$D$5:$D$52,B9,MethodRatings!$O$5:$O$52,"&gt;0")/COUNTIFS(MethodRatings!$A$5:$A$52,A9,MethodRatings!$D$5:$D$52,B9,MethodRatings!$O$5:$O$52,"&gt;0"),"")</f>
      </c>
      <c r="AB9" s="149" t="str">
        <f>IF(COUNT(I9:K9)=3,SUM(I9:K9),"")</f>
      </c>
      <c r="AC9" s="149" t="str">
        <f>IF(COUNT(M9:O9)=3,SUM(M9:O9),"")</f>
      </c>
      <c r="AD9" s="149" t="str">
        <f>IF(COUNT(Q9:S9)=3,SUM(Q9:S9),"")</f>
      </c>
      <c r="AE9" s="149" t="str">
        <f>IF(COUNT(U9:W9)=3,SUM(U9:W9),"")</f>
      </c>
      <c r="AF9" s="130" t="str">
        <f>IF((COUNT(F9:K9)+COUNT(M9:O9)+COUNT(Q9:S9)+COUNT(U9:W9)+COUNT(Y9:AA9))=18,"完整","缺失")</f>
        <v>缺失</v>
      </c>
    </row>
    <row r="10">
      <c r="A10" s="90" t="inlineStr">
        <is>
          <t>P006</t>
        </is>
      </c>
      <c r="B10" s="85" t="inlineStr">
        <is>
          <t>EgoAnchor</t>
        </is>
      </c>
      <c r="C10" s="129" t="str">
        <f>IF(B10=VLOOKUP(A10,Participants!$A$5:$W$28,22,FALSE),"方法A","方法B")</f>
        <v>方法A</v>
      </c>
      <c r="D10" s="129" t="str">
        <f>VLOOKUP(A10,Participants!$A$5:$B$28,2,FALSE)</f>
        <v>是</v>
      </c>
      <c r="E10" s="129" t="n">
        <f>COUNTIFS(TaskRatings!$A$5:$A$148,A10,TaskRatings!$F$5:$F$148,B10,TaskRatings!$O$5:$O$148,"是")</f>
        <v>3</v>
      </c>
      <c r="F10" s="149" t="str">
        <f>IFERROR(SUMIFS(TaskRatings!$H$5:$H$148,TaskRatings!$A$5:$A$148,A10,TaskRatings!$F$5:$F$148,B10,TaskRatings!$O$5:$O$148,"是",TaskRatings!$H$5:$H$148,"&gt;0")/COUNTIFS(TaskRatings!$A$5:$A$148,A10,TaskRatings!$F$5:$F$148,B10,TaskRatings!$O$5:$O$148,"是",TaskRatings!$H$5:$H$148,"&gt;0"),"")</f>
      </c>
      <c r="G10" s="149" t="str">
        <f>IFERROR(SUMIFS(TaskRatings!$J$5:$J$148,TaskRatings!$A$5:$A$148,A10,TaskRatings!$F$5:$F$148,B10,TaskRatings!$O$5:$O$148,"是",TaskRatings!$J$5:$J$148,"&gt;0")/COUNTIFS(TaskRatings!$A$5:$A$148,A10,TaskRatings!$F$5:$F$148,B10,TaskRatings!$O$5:$O$148,"是",TaskRatings!$J$5:$J$148,"&gt;0"),"")</f>
      </c>
      <c r="H10" s="149" t="str">
        <f>IFERROR(SUMIFS(TaskRatings!$L$5:$L$148,TaskRatings!$A$5:$A$148,A10,TaskRatings!$F$5:$F$148,B10,TaskRatings!$O$5:$O$148,"是",TaskRatings!$L$5:$L$148,"&gt;0")/COUNTIFS(TaskRatings!$A$5:$A$148,A10,TaskRatings!$F$5:$F$148,B10,TaskRatings!$O$5:$O$148,"是",TaskRatings!$L$5:$L$148,"&gt;0"),"")</f>
      </c>
      <c r="I10" s="149" t="str">
        <f>IFERROR(SUMIFS(BlockRatings_AQ!$H$5:$H$148,BlockRatings_AQ!$A$5:$A$148,A10,BlockRatings_AQ!$F$5:$F$148,B10,BlockRatings_AQ!$R$5:$R$148,"是",BlockRatings_AQ!$H$5:$H$148,"&gt;0")/COUNTIFS(BlockRatings_AQ!$A$5:$A$148,A10,BlockRatings_AQ!$F$5:$F$148,B10,BlockRatings_AQ!$R$5:$R$148,"是",BlockRatings_AQ!$H$5:$H$148,"&gt;0"),"")</f>
      </c>
      <c r="J10" s="149" t="str">
        <f>IFERROR(SUMIFS(BlockRatings_AQ!$I$5:$I$148,BlockRatings_AQ!$A$5:$A$148,A10,BlockRatings_AQ!$F$5:$F$148,B10,BlockRatings_AQ!$R$5:$R$148,"是",BlockRatings_AQ!$I$5:$I$148,"&gt;0")/COUNTIFS(BlockRatings_AQ!$A$5:$A$148,A10,BlockRatings_AQ!$F$5:$F$148,B10,BlockRatings_AQ!$R$5:$R$148,"是",BlockRatings_AQ!$I$5:$I$148,"&gt;0"),"")</f>
      </c>
      <c r="K10" s="149" t="str">
        <f>IFERROR(SUMIFS(BlockRatings_AQ!$J$5:$J$148,BlockRatings_AQ!$A$5:$A$148,A10,BlockRatings_AQ!$F$5:$F$148,B10,BlockRatings_AQ!$R$5:$R$148,"是",BlockRatings_AQ!$J$5:$J$148,"&gt;0")/COUNTIFS(BlockRatings_AQ!$A$5:$A$148,A10,BlockRatings_AQ!$F$5:$F$148,B10,BlockRatings_AQ!$R$5:$R$148,"是",BlockRatings_AQ!$J$5:$J$148,"&gt;0"),"")</f>
      </c>
      <c r="L10" s="149" t="str">
        <f>IF(COUNT(I10:K10)=3,AVERAGE(I10:K10),"")</f>
      </c>
      <c r="M10" s="149" t="str">
        <f>IFERROR(SUMIFS(BlockRatings_AQ!$L$5:$L$148,BlockRatings_AQ!$A$5:$A$148,A10,BlockRatings_AQ!$F$5:$F$148,B10,BlockRatings_AQ!$R$5:$R$148,"是",BlockRatings_AQ!$L$5:$L$148,"&gt;0")/COUNTIFS(BlockRatings_AQ!$A$5:$A$148,A10,BlockRatings_AQ!$F$5:$F$148,B10,BlockRatings_AQ!$R$5:$R$148,"是",BlockRatings_AQ!$L$5:$L$148,"&gt;0"),"")</f>
      </c>
      <c r="N10" s="149" t="str">
        <f>IFERROR(SUMIFS(BlockRatings_AQ!$M$5:$M$148,BlockRatings_AQ!$A$5:$A$148,A10,BlockRatings_AQ!$F$5:$F$148,B10,BlockRatings_AQ!$R$5:$R$148,"是",BlockRatings_AQ!$M$5:$M$148,"&gt;0")/COUNTIFS(BlockRatings_AQ!$A$5:$A$148,A10,BlockRatings_AQ!$F$5:$F$148,B10,BlockRatings_AQ!$R$5:$R$148,"是",BlockRatings_AQ!$M$5:$M$148,"&gt;0"),"")</f>
      </c>
      <c r="O10" s="149" t="str">
        <f>IFERROR(SUMIFS(BlockRatings_AQ!$N$5:$N$148,BlockRatings_AQ!$A$5:$A$148,A10,BlockRatings_AQ!$F$5:$F$148,B10,BlockRatings_AQ!$R$5:$R$148,"是",BlockRatings_AQ!$N$5:$N$148,"&gt;0")/COUNTIFS(BlockRatings_AQ!$A$5:$A$148,A10,BlockRatings_AQ!$F$5:$F$148,B10,BlockRatings_AQ!$R$5:$R$148,"是",BlockRatings_AQ!$N$5:$N$148,"&gt;0"),"")</f>
      </c>
      <c r="P10" s="149" t="str">
        <f>IF(COUNT(M10:O10)=3,AVERAGE(M10:O10),"")</f>
      </c>
      <c r="Q10" s="149" t="str">
        <f>IFERROR(SUMIFS(MethodRatings!$E$5:$E$52,MethodRatings!$A$5:$A$52,A10,MethodRatings!$D$5:$D$52,B10,MethodRatings!$E$5:$E$52,"&gt;0")/COUNTIFS(MethodRatings!$A$5:$A$52,A10,MethodRatings!$D$5:$D$52,B10,MethodRatings!$E$5:$E$52,"&gt;0"),"")</f>
      </c>
      <c r="R10" s="149" t="str">
        <f>IFERROR(SUMIFS(MethodRatings!$F$5:$F$52,MethodRatings!$A$5:$A$52,A10,MethodRatings!$D$5:$D$52,B10,MethodRatings!$F$5:$F$52,"&gt;0")/COUNTIFS(MethodRatings!$A$5:$A$52,A10,MethodRatings!$D$5:$D$52,B10,MethodRatings!$F$5:$F$52,"&gt;0"),"")</f>
      </c>
      <c r="S10" s="149" t="str">
        <f>IFERROR(SUMIFS(MethodRatings!$G$5:$G$52,MethodRatings!$A$5:$A$52,A10,MethodRatings!$D$5:$D$52,B10,MethodRatings!$G$5:$G$52,"&gt;0")/COUNTIFS(MethodRatings!$A$5:$A$52,A10,MethodRatings!$D$5:$D$52,B10,MethodRatings!$G$5:$G$52,"&gt;0"),"")</f>
      </c>
      <c r="T10" s="149" t="str">
        <f>IF(COUNT(Q10:S10)=3,AVERAGE(Q10:S10),"")</f>
      </c>
      <c r="U10" s="149" t="str">
        <f>IFERROR(SUMIFS(MethodRatings!$I$5:$I$52,MethodRatings!$A$5:$A$52,A10,MethodRatings!$D$5:$D$52,B10,MethodRatings!$I$5:$I$52,"&gt;0")/COUNTIFS(MethodRatings!$A$5:$A$52,A10,MethodRatings!$D$5:$D$52,B10,MethodRatings!$I$5:$I$52,"&gt;0"),"")</f>
      </c>
      <c r="V10" s="149" t="str">
        <f>IFERROR(SUMIFS(MethodRatings!$J$5:$J$52,MethodRatings!$A$5:$A$52,A10,MethodRatings!$D$5:$D$52,B10,MethodRatings!$J$5:$J$52,"&gt;0")/COUNTIFS(MethodRatings!$A$5:$A$52,A10,MethodRatings!$D$5:$D$52,B10,MethodRatings!$J$5:$J$52,"&gt;0"),"")</f>
      </c>
      <c r="W10" s="149" t="str">
        <f>IFERROR(SUMIFS(MethodRatings!$K$5:$K$52,MethodRatings!$A$5:$A$52,A10,MethodRatings!$D$5:$D$52,B10,MethodRatings!$K$5:$K$52,"&gt;0")/COUNTIFS(MethodRatings!$A$5:$A$52,A10,MethodRatings!$D$5:$D$52,B10,MethodRatings!$K$5:$K$52,"&gt;0"),"")</f>
      </c>
      <c r="X10" s="149" t="str">
        <f>IF(COUNT(U10:W10)=3,AVERAGE(U10:W10),"")</f>
      </c>
      <c r="Y10" s="149" t="str">
        <f>IFERROR(SUMIFS(MethodRatings!$M$5:$M$52,MethodRatings!$A$5:$A$52,A10,MethodRatings!$D$5:$D$52,B10,MethodRatings!$M$5:$M$52,"&gt;0")/COUNTIFS(MethodRatings!$A$5:$A$52,A10,MethodRatings!$D$5:$D$52,B10,MethodRatings!$M$5:$M$52,"&gt;0"),"")</f>
      </c>
      <c r="Z10" s="149" t="str">
        <f>IFERROR(SUMIFS(MethodRatings!$N$5:$N$52,MethodRatings!$A$5:$A$52,A10,MethodRatings!$D$5:$D$52,B10,MethodRatings!$N$5:$N$52,"&gt;0")/COUNTIFS(MethodRatings!$A$5:$A$52,A10,MethodRatings!$D$5:$D$52,B10,MethodRatings!$N$5:$N$52,"&gt;0"),"")</f>
      </c>
      <c r="AA10" s="149" t="str">
        <f>IFERROR(SUMIFS(MethodRatings!$O$5:$O$52,MethodRatings!$A$5:$A$52,A10,MethodRatings!$D$5:$D$52,B10,MethodRatings!$O$5:$O$52,"&gt;0")/COUNTIFS(MethodRatings!$A$5:$A$52,A10,MethodRatings!$D$5:$D$52,B10,MethodRatings!$O$5:$O$52,"&gt;0"),"")</f>
      </c>
      <c r="AB10" s="149" t="str">
        <f>IF(COUNT(I10:K10)=3,SUM(I10:K10),"")</f>
      </c>
      <c r="AC10" s="149" t="str">
        <f>IF(COUNT(M10:O10)=3,SUM(M10:O10),"")</f>
      </c>
      <c r="AD10" s="149" t="str">
        <f>IF(COUNT(Q10:S10)=3,SUM(Q10:S10),"")</f>
      </c>
      <c r="AE10" s="149" t="str">
        <f>IF(COUNT(U10:W10)=3,SUM(U10:W10),"")</f>
      </c>
      <c r="AF10" s="130" t="str">
        <f>IF((COUNT(F10:K10)+COUNT(M10:O10)+COUNT(Q10:S10)+COUNT(U10:W10)+COUNT(Y10:AA10))=18,"完整","缺失")</f>
        <v>缺失</v>
      </c>
    </row>
    <row r="11">
      <c r="A11" s="90" t="inlineStr">
        <is>
          <t>P007</t>
        </is>
      </c>
      <c r="B11" s="85" t="inlineStr">
        <is>
          <t>EgoAnchor</t>
        </is>
      </c>
      <c r="C11" s="129" t="str">
        <f>IF(B11=VLOOKUP(A11,Participants!$A$5:$W$28,22,FALSE),"方法A","方法B")</f>
        <v>方法A</v>
      </c>
      <c r="D11" s="129" t="str">
        <f>VLOOKUP(A11,Participants!$A$5:$B$28,2,FALSE)</f>
        <v>是</v>
      </c>
      <c r="E11" s="129" t="n">
        <f>COUNTIFS(TaskRatings!$A$5:$A$148,A11,TaskRatings!$F$5:$F$148,B11,TaskRatings!$O$5:$O$148,"是")</f>
        <v>3</v>
      </c>
      <c r="F11" s="149" t="str">
        <f>IFERROR(SUMIFS(TaskRatings!$H$5:$H$148,TaskRatings!$A$5:$A$148,A11,TaskRatings!$F$5:$F$148,B11,TaskRatings!$O$5:$O$148,"是",TaskRatings!$H$5:$H$148,"&gt;0")/COUNTIFS(TaskRatings!$A$5:$A$148,A11,TaskRatings!$F$5:$F$148,B11,TaskRatings!$O$5:$O$148,"是",TaskRatings!$H$5:$H$148,"&gt;0"),"")</f>
      </c>
      <c r="G11" s="149" t="str">
        <f>IFERROR(SUMIFS(TaskRatings!$J$5:$J$148,TaskRatings!$A$5:$A$148,A11,TaskRatings!$F$5:$F$148,B11,TaskRatings!$O$5:$O$148,"是",TaskRatings!$J$5:$J$148,"&gt;0")/COUNTIFS(TaskRatings!$A$5:$A$148,A11,TaskRatings!$F$5:$F$148,B11,TaskRatings!$O$5:$O$148,"是",TaskRatings!$J$5:$J$148,"&gt;0"),"")</f>
      </c>
      <c r="H11" s="149" t="str">
        <f>IFERROR(SUMIFS(TaskRatings!$L$5:$L$148,TaskRatings!$A$5:$A$148,A11,TaskRatings!$F$5:$F$148,B11,TaskRatings!$O$5:$O$148,"是",TaskRatings!$L$5:$L$148,"&gt;0")/COUNTIFS(TaskRatings!$A$5:$A$148,A11,TaskRatings!$F$5:$F$148,B11,TaskRatings!$O$5:$O$148,"是",TaskRatings!$L$5:$L$148,"&gt;0"),"")</f>
      </c>
      <c r="I11" s="149" t="str">
        <f>IFERROR(SUMIFS(BlockRatings_AQ!$H$5:$H$148,BlockRatings_AQ!$A$5:$A$148,A11,BlockRatings_AQ!$F$5:$F$148,B11,BlockRatings_AQ!$R$5:$R$148,"是",BlockRatings_AQ!$H$5:$H$148,"&gt;0")/COUNTIFS(BlockRatings_AQ!$A$5:$A$148,A11,BlockRatings_AQ!$F$5:$F$148,B11,BlockRatings_AQ!$R$5:$R$148,"是",BlockRatings_AQ!$H$5:$H$148,"&gt;0"),"")</f>
      </c>
      <c r="J11" s="149" t="str">
        <f>IFERROR(SUMIFS(BlockRatings_AQ!$I$5:$I$148,BlockRatings_AQ!$A$5:$A$148,A11,BlockRatings_AQ!$F$5:$F$148,B11,BlockRatings_AQ!$R$5:$R$148,"是",BlockRatings_AQ!$I$5:$I$148,"&gt;0")/COUNTIFS(BlockRatings_AQ!$A$5:$A$148,A11,BlockRatings_AQ!$F$5:$F$148,B11,BlockRatings_AQ!$R$5:$R$148,"是",BlockRatings_AQ!$I$5:$I$148,"&gt;0"),"")</f>
      </c>
      <c r="K11" s="149" t="str">
        <f>IFERROR(SUMIFS(BlockRatings_AQ!$J$5:$J$148,BlockRatings_AQ!$A$5:$A$148,A11,BlockRatings_AQ!$F$5:$F$148,B11,BlockRatings_AQ!$R$5:$R$148,"是",BlockRatings_AQ!$J$5:$J$148,"&gt;0")/COUNTIFS(BlockRatings_AQ!$A$5:$A$148,A11,BlockRatings_AQ!$F$5:$F$148,B11,BlockRatings_AQ!$R$5:$R$148,"是",BlockRatings_AQ!$J$5:$J$148,"&gt;0"),"")</f>
      </c>
      <c r="L11" s="149" t="str">
        <f>IF(COUNT(I11:K11)=3,AVERAGE(I11:K11),"")</f>
      </c>
      <c r="M11" s="149" t="str">
        <f>IFERROR(SUMIFS(BlockRatings_AQ!$L$5:$L$148,BlockRatings_AQ!$A$5:$A$148,A11,BlockRatings_AQ!$F$5:$F$148,B11,BlockRatings_AQ!$R$5:$R$148,"是",BlockRatings_AQ!$L$5:$L$148,"&gt;0")/COUNTIFS(BlockRatings_AQ!$A$5:$A$148,A11,BlockRatings_AQ!$F$5:$F$148,B11,BlockRatings_AQ!$R$5:$R$148,"是",BlockRatings_AQ!$L$5:$L$148,"&gt;0"),"")</f>
      </c>
      <c r="N11" s="149" t="str">
        <f>IFERROR(SUMIFS(BlockRatings_AQ!$M$5:$M$148,BlockRatings_AQ!$A$5:$A$148,A11,BlockRatings_AQ!$F$5:$F$148,B11,BlockRatings_AQ!$R$5:$R$148,"是",BlockRatings_AQ!$M$5:$M$148,"&gt;0")/COUNTIFS(BlockRatings_AQ!$A$5:$A$148,A11,BlockRatings_AQ!$F$5:$F$148,B11,BlockRatings_AQ!$R$5:$R$148,"是",BlockRatings_AQ!$M$5:$M$148,"&gt;0"),"")</f>
      </c>
      <c r="O11" s="149" t="str">
        <f>IFERROR(SUMIFS(BlockRatings_AQ!$N$5:$N$148,BlockRatings_AQ!$A$5:$A$148,A11,BlockRatings_AQ!$F$5:$F$148,B11,BlockRatings_AQ!$R$5:$R$148,"是",BlockRatings_AQ!$N$5:$N$148,"&gt;0")/COUNTIFS(BlockRatings_AQ!$A$5:$A$148,A11,BlockRatings_AQ!$F$5:$F$148,B11,BlockRatings_AQ!$R$5:$R$148,"是",BlockRatings_AQ!$N$5:$N$148,"&gt;0"),"")</f>
      </c>
      <c r="P11" s="149" t="str">
        <f>IF(COUNT(M11:O11)=3,AVERAGE(M11:O11),"")</f>
      </c>
      <c r="Q11" s="149" t="str">
        <f>IFERROR(SUMIFS(MethodRatings!$E$5:$E$52,MethodRatings!$A$5:$A$52,A11,MethodRatings!$D$5:$D$52,B11,MethodRatings!$E$5:$E$52,"&gt;0")/COUNTIFS(MethodRatings!$A$5:$A$52,A11,MethodRatings!$D$5:$D$52,B11,MethodRatings!$E$5:$E$52,"&gt;0"),"")</f>
      </c>
      <c r="R11" s="149" t="str">
        <f>IFERROR(SUMIFS(MethodRatings!$F$5:$F$52,MethodRatings!$A$5:$A$52,A11,MethodRatings!$D$5:$D$52,B11,MethodRatings!$F$5:$F$52,"&gt;0")/COUNTIFS(MethodRatings!$A$5:$A$52,A11,MethodRatings!$D$5:$D$52,B11,MethodRatings!$F$5:$F$52,"&gt;0"),"")</f>
      </c>
      <c r="S11" s="149" t="str">
        <f>IFERROR(SUMIFS(MethodRatings!$G$5:$G$52,MethodRatings!$A$5:$A$52,A11,MethodRatings!$D$5:$D$52,B11,MethodRatings!$G$5:$G$52,"&gt;0")/COUNTIFS(MethodRatings!$A$5:$A$52,A11,MethodRatings!$D$5:$D$52,B11,MethodRatings!$G$5:$G$52,"&gt;0"),"")</f>
      </c>
      <c r="T11" s="149" t="str">
        <f>IF(COUNT(Q11:S11)=3,AVERAGE(Q11:S11),"")</f>
      </c>
      <c r="U11" s="149" t="str">
        <f>IFERROR(SUMIFS(MethodRatings!$I$5:$I$52,MethodRatings!$A$5:$A$52,A11,MethodRatings!$D$5:$D$52,B11,MethodRatings!$I$5:$I$52,"&gt;0")/COUNTIFS(MethodRatings!$A$5:$A$52,A11,MethodRatings!$D$5:$D$52,B11,MethodRatings!$I$5:$I$52,"&gt;0"),"")</f>
      </c>
      <c r="V11" s="149" t="str">
        <f>IFERROR(SUMIFS(MethodRatings!$J$5:$J$52,MethodRatings!$A$5:$A$52,A11,MethodRatings!$D$5:$D$52,B11,MethodRatings!$J$5:$J$52,"&gt;0")/COUNTIFS(MethodRatings!$A$5:$A$52,A11,MethodRatings!$D$5:$D$52,B11,MethodRatings!$J$5:$J$52,"&gt;0"),"")</f>
      </c>
      <c r="W11" s="149" t="str">
        <f>IFERROR(SUMIFS(MethodRatings!$K$5:$K$52,MethodRatings!$A$5:$A$52,A11,MethodRatings!$D$5:$D$52,B11,MethodRatings!$K$5:$K$52,"&gt;0")/COUNTIFS(MethodRatings!$A$5:$A$52,A11,MethodRatings!$D$5:$D$52,B11,MethodRatings!$K$5:$K$52,"&gt;0"),"")</f>
      </c>
      <c r="X11" s="149" t="str">
        <f>IF(COUNT(U11:W11)=3,AVERAGE(U11:W11),"")</f>
      </c>
      <c r="Y11" s="149" t="str">
        <f>IFERROR(SUMIFS(MethodRatings!$M$5:$M$52,MethodRatings!$A$5:$A$52,A11,MethodRatings!$D$5:$D$52,B11,MethodRatings!$M$5:$M$52,"&gt;0")/COUNTIFS(MethodRatings!$A$5:$A$52,A11,MethodRatings!$D$5:$D$52,B11,MethodRatings!$M$5:$M$52,"&gt;0"),"")</f>
      </c>
      <c r="Z11" s="149" t="str">
        <f>IFERROR(SUMIFS(MethodRatings!$N$5:$N$52,MethodRatings!$A$5:$A$52,A11,MethodRatings!$D$5:$D$52,B11,MethodRatings!$N$5:$N$52,"&gt;0")/COUNTIFS(MethodRatings!$A$5:$A$52,A11,MethodRatings!$D$5:$D$52,B11,MethodRatings!$N$5:$N$52,"&gt;0"),"")</f>
      </c>
      <c r="AA11" s="149" t="str">
        <f>IFERROR(SUMIFS(MethodRatings!$O$5:$O$52,MethodRatings!$A$5:$A$52,A11,MethodRatings!$D$5:$D$52,B11,MethodRatings!$O$5:$O$52,"&gt;0")/COUNTIFS(MethodRatings!$A$5:$A$52,A11,MethodRatings!$D$5:$D$52,B11,MethodRatings!$O$5:$O$52,"&gt;0"),"")</f>
      </c>
      <c r="AB11" s="149" t="str">
        <f>IF(COUNT(I11:K11)=3,SUM(I11:K11),"")</f>
      </c>
      <c r="AC11" s="149" t="str">
        <f>IF(COUNT(M11:O11)=3,SUM(M11:O11),"")</f>
      </c>
      <c r="AD11" s="149" t="str">
        <f>IF(COUNT(Q11:S11)=3,SUM(Q11:S11),"")</f>
      </c>
      <c r="AE11" s="149" t="str">
        <f>IF(COUNT(U11:W11)=3,SUM(U11:W11),"")</f>
      </c>
      <c r="AF11" s="130" t="str">
        <f>IF((COUNT(F11:K11)+COUNT(M11:O11)+COUNT(Q11:S11)+COUNT(U11:W11)+COUNT(Y11:AA11))=18,"完整","缺失")</f>
        <v>缺失</v>
      </c>
    </row>
    <row r="12">
      <c r="A12" s="90" t="inlineStr">
        <is>
          <t>P008</t>
        </is>
      </c>
      <c r="B12" s="85" t="inlineStr">
        <is>
          <t>EgoAnchor</t>
        </is>
      </c>
      <c r="C12" s="129" t="str">
        <f>IF(B12=VLOOKUP(A12,Participants!$A$5:$W$28,22,FALSE),"方法A","方法B")</f>
        <v>方法A</v>
      </c>
      <c r="D12" s="129" t="str">
        <f>VLOOKUP(A12,Participants!$A$5:$B$28,2,FALSE)</f>
        <v>是</v>
      </c>
      <c r="E12" s="129" t="n">
        <f>COUNTIFS(TaskRatings!$A$5:$A$148,A12,TaskRatings!$F$5:$F$148,B12,TaskRatings!$O$5:$O$148,"是")</f>
        <v>3</v>
      </c>
      <c r="F12" s="149" t="str">
        <f>IFERROR(SUMIFS(TaskRatings!$H$5:$H$148,TaskRatings!$A$5:$A$148,A12,TaskRatings!$F$5:$F$148,B12,TaskRatings!$O$5:$O$148,"是",TaskRatings!$H$5:$H$148,"&gt;0")/COUNTIFS(TaskRatings!$A$5:$A$148,A12,TaskRatings!$F$5:$F$148,B12,TaskRatings!$O$5:$O$148,"是",TaskRatings!$H$5:$H$148,"&gt;0"),"")</f>
      </c>
      <c r="G12" s="149" t="str">
        <f>IFERROR(SUMIFS(TaskRatings!$J$5:$J$148,TaskRatings!$A$5:$A$148,A12,TaskRatings!$F$5:$F$148,B12,TaskRatings!$O$5:$O$148,"是",TaskRatings!$J$5:$J$148,"&gt;0")/COUNTIFS(TaskRatings!$A$5:$A$148,A12,TaskRatings!$F$5:$F$148,B12,TaskRatings!$O$5:$O$148,"是",TaskRatings!$J$5:$J$148,"&gt;0"),"")</f>
      </c>
      <c r="H12" s="149" t="str">
        <f>IFERROR(SUMIFS(TaskRatings!$L$5:$L$148,TaskRatings!$A$5:$A$148,A12,TaskRatings!$F$5:$F$148,B12,TaskRatings!$O$5:$O$148,"是",TaskRatings!$L$5:$L$148,"&gt;0")/COUNTIFS(TaskRatings!$A$5:$A$148,A12,TaskRatings!$F$5:$F$148,B12,TaskRatings!$O$5:$O$148,"是",TaskRatings!$L$5:$L$148,"&gt;0"),"")</f>
      </c>
      <c r="I12" s="149" t="str">
        <f>IFERROR(SUMIFS(BlockRatings_AQ!$H$5:$H$148,BlockRatings_AQ!$A$5:$A$148,A12,BlockRatings_AQ!$F$5:$F$148,B12,BlockRatings_AQ!$R$5:$R$148,"是",BlockRatings_AQ!$H$5:$H$148,"&gt;0")/COUNTIFS(BlockRatings_AQ!$A$5:$A$148,A12,BlockRatings_AQ!$F$5:$F$148,B12,BlockRatings_AQ!$R$5:$R$148,"是",BlockRatings_AQ!$H$5:$H$148,"&gt;0"),"")</f>
      </c>
      <c r="J12" s="149" t="str">
        <f>IFERROR(SUMIFS(BlockRatings_AQ!$I$5:$I$148,BlockRatings_AQ!$A$5:$A$148,A12,BlockRatings_AQ!$F$5:$F$148,B12,BlockRatings_AQ!$R$5:$R$148,"是",BlockRatings_AQ!$I$5:$I$148,"&gt;0")/COUNTIFS(BlockRatings_AQ!$A$5:$A$148,A12,BlockRatings_AQ!$F$5:$F$148,B12,BlockRatings_AQ!$R$5:$R$148,"是",BlockRatings_AQ!$I$5:$I$148,"&gt;0"),"")</f>
      </c>
      <c r="K12" s="149" t="str">
        <f>IFERROR(SUMIFS(BlockRatings_AQ!$J$5:$J$148,BlockRatings_AQ!$A$5:$A$148,A12,BlockRatings_AQ!$F$5:$F$148,B12,BlockRatings_AQ!$R$5:$R$148,"是",BlockRatings_AQ!$J$5:$J$148,"&gt;0")/COUNTIFS(BlockRatings_AQ!$A$5:$A$148,A12,BlockRatings_AQ!$F$5:$F$148,B12,BlockRatings_AQ!$R$5:$R$148,"是",BlockRatings_AQ!$J$5:$J$148,"&gt;0"),"")</f>
      </c>
      <c r="L12" s="149" t="str">
        <f>IF(COUNT(I12:K12)=3,AVERAGE(I12:K12),"")</f>
      </c>
      <c r="M12" s="149" t="str">
        <f>IFERROR(SUMIFS(BlockRatings_AQ!$L$5:$L$148,BlockRatings_AQ!$A$5:$A$148,A12,BlockRatings_AQ!$F$5:$F$148,B12,BlockRatings_AQ!$R$5:$R$148,"是",BlockRatings_AQ!$L$5:$L$148,"&gt;0")/COUNTIFS(BlockRatings_AQ!$A$5:$A$148,A12,BlockRatings_AQ!$F$5:$F$148,B12,BlockRatings_AQ!$R$5:$R$148,"是",BlockRatings_AQ!$L$5:$L$148,"&gt;0"),"")</f>
      </c>
      <c r="N12" s="149" t="str">
        <f>IFERROR(SUMIFS(BlockRatings_AQ!$M$5:$M$148,BlockRatings_AQ!$A$5:$A$148,A12,BlockRatings_AQ!$F$5:$F$148,B12,BlockRatings_AQ!$R$5:$R$148,"是",BlockRatings_AQ!$M$5:$M$148,"&gt;0")/COUNTIFS(BlockRatings_AQ!$A$5:$A$148,A12,BlockRatings_AQ!$F$5:$F$148,B12,BlockRatings_AQ!$R$5:$R$148,"是",BlockRatings_AQ!$M$5:$M$148,"&gt;0"),"")</f>
      </c>
      <c r="O12" s="149" t="str">
        <f>IFERROR(SUMIFS(BlockRatings_AQ!$N$5:$N$148,BlockRatings_AQ!$A$5:$A$148,A12,BlockRatings_AQ!$F$5:$F$148,B12,BlockRatings_AQ!$R$5:$R$148,"是",BlockRatings_AQ!$N$5:$N$148,"&gt;0")/COUNTIFS(BlockRatings_AQ!$A$5:$A$148,A12,BlockRatings_AQ!$F$5:$F$148,B12,BlockRatings_AQ!$R$5:$R$148,"是",BlockRatings_AQ!$N$5:$N$148,"&gt;0"),"")</f>
      </c>
      <c r="P12" s="149" t="str">
        <f>IF(COUNT(M12:O12)=3,AVERAGE(M12:O12),"")</f>
      </c>
      <c r="Q12" s="149" t="str">
        <f>IFERROR(SUMIFS(MethodRatings!$E$5:$E$52,MethodRatings!$A$5:$A$52,A12,MethodRatings!$D$5:$D$52,B12,MethodRatings!$E$5:$E$52,"&gt;0")/COUNTIFS(MethodRatings!$A$5:$A$52,A12,MethodRatings!$D$5:$D$52,B12,MethodRatings!$E$5:$E$52,"&gt;0"),"")</f>
      </c>
      <c r="R12" s="149" t="str">
        <f>IFERROR(SUMIFS(MethodRatings!$F$5:$F$52,MethodRatings!$A$5:$A$52,A12,MethodRatings!$D$5:$D$52,B12,MethodRatings!$F$5:$F$52,"&gt;0")/COUNTIFS(MethodRatings!$A$5:$A$52,A12,MethodRatings!$D$5:$D$52,B12,MethodRatings!$F$5:$F$52,"&gt;0"),"")</f>
      </c>
      <c r="S12" s="149" t="str">
        <f>IFERROR(SUMIFS(MethodRatings!$G$5:$G$52,MethodRatings!$A$5:$A$52,A12,MethodRatings!$D$5:$D$52,B12,MethodRatings!$G$5:$G$52,"&gt;0")/COUNTIFS(MethodRatings!$A$5:$A$52,A12,MethodRatings!$D$5:$D$52,B12,MethodRatings!$G$5:$G$52,"&gt;0"),"")</f>
      </c>
      <c r="T12" s="149" t="str">
        <f>IF(COUNT(Q12:S12)=3,AVERAGE(Q12:S12),"")</f>
      </c>
      <c r="U12" s="149" t="str">
        <f>IFERROR(SUMIFS(MethodRatings!$I$5:$I$52,MethodRatings!$A$5:$A$52,A12,MethodRatings!$D$5:$D$52,B12,MethodRatings!$I$5:$I$52,"&gt;0")/COUNTIFS(MethodRatings!$A$5:$A$52,A12,MethodRatings!$D$5:$D$52,B12,MethodRatings!$I$5:$I$52,"&gt;0"),"")</f>
      </c>
      <c r="V12" s="149" t="str">
        <f>IFERROR(SUMIFS(MethodRatings!$J$5:$J$52,MethodRatings!$A$5:$A$52,A12,MethodRatings!$D$5:$D$52,B12,MethodRatings!$J$5:$J$52,"&gt;0")/COUNTIFS(MethodRatings!$A$5:$A$52,A12,MethodRatings!$D$5:$D$52,B12,MethodRatings!$J$5:$J$52,"&gt;0"),"")</f>
      </c>
      <c r="W12" s="149" t="str">
        <f>IFERROR(SUMIFS(MethodRatings!$K$5:$K$52,MethodRatings!$A$5:$A$52,A12,MethodRatings!$D$5:$D$52,B12,MethodRatings!$K$5:$K$52,"&gt;0")/COUNTIFS(MethodRatings!$A$5:$A$52,A12,MethodRatings!$D$5:$D$52,B12,MethodRatings!$K$5:$K$52,"&gt;0"),"")</f>
      </c>
      <c r="X12" s="149" t="str">
        <f>IF(COUNT(U12:W12)=3,AVERAGE(U12:W12),"")</f>
      </c>
      <c r="Y12" s="149" t="str">
        <f>IFERROR(SUMIFS(MethodRatings!$M$5:$M$52,MethodRatings!$A$5:$A$52,A12,MethodRatings!$D$5:$D$52,B12,MethodRatings!$M$5:$M$52,"&gt;0")/COUNTIFS(MethodRatings!$A$5:$A$52,A12,MethodRatings!$D$5:$D$52,B12,MethodRatings!$M$5:$M$52,"&gt;0"),"")</f>
      </c>
      <c r="Z12" s="149" t="str">
        <f>IFERROR(SUMIFS(MethodRatings!$N$5:$N$52,MethodRatings!$A$5:$A$52,A12,MethodRatings!$D$5:$D$52,B12,MethodRatings!$N$5:$N$52,"&gt;0")/COUNTIFS(MethodRatings!$A$5:$A$52,A12,MethodRatings!$D$5:$D$52,B12,MethodRatings!$N$5:$N$52,"&gt;0"),"")</f>
      </c>
      <c r="AA12" s="149" t="str">
        <f>IFERROR(SUMIFS(MethodRatings!$O$5:$O$52,MethodRatings!$A$5:$A$52,A12,MethodRatings!$D$5:$D$52,B12,MethodRatings!$O$5:$O$52,"&gt;0")/COUNTIFS(MethodRatings!$A$5:$A$52,A12,MethodRatings!$D$5:$D$52,B12,MethodRatings!$O$5:$O$52,"&gt;0"),"")</f>
      </c>
      <c r="AB12" s="149" t="str">
        <f>IF(COUNT(I12:K12)=3,SUM(I12:K12),"")</f>
      </c>
      <c r="AC12" s="149" t="str">
        <f>IF(COUNT(M12:O12)=3,SUM(M12:O12),"")</f>
      </c>
      <c r="AD12" s="149" t="str">
        <f>IF(COUNT(Q12:S12)=3,SUM(Q12:S12),"")</f>
      </c>
      <c r="AE12" s="149" t="str">
        <f>IF(COUNT(U12:W12)=3,SUM(U12:W12),"")</f>
      </c>
      <c r="AF12" s="130" t="str">
        <f>IF((COUNT(F12:K12)+COUNT(M12:O12)+COUNT(Q12:S12)+COUNT(U12:W12)+COUNT(Y12:AA12))=18,"完整","缺失")</f>
        <v>缺失</v>
      </c>
    </row>
    <row r="13">
      <c r="A13" s="90" t="inlineStr">
        <is>
          <t>P009</t>
        </is>
      </c>
      <c r="B13" s="85" t="inlineStr">
        <is>
          <t>EgoAnchor</t>
        </is>
      </c>
      <c r="C13" s="129" t="str">
        <f>IF(B13=VLOOKUP(A13,Participants!$A$5:$W$28,22,FALSE),"方法A","方法B")</f>
        <v>方法A</v>
      </c>
      <c r="D13" s="129" t="str">
        <f>VLOOKUP(A13,Participants!$A$5:$B$28,2,FALSE)</f>
        <v>是</v>
      </c>
      <c r="E13" s="129" t="n">
        <f>COUNTIFS(TaskRatings!$A$5:$A$148,A13,TaskRatings!$F$5:$F$148,B13,TaskRatings!$O$5:$O$148,"是")</f>
        <v>3</v>
      </c>
      <c r="F13" s="149" t="str">
        <f>IFERROR(SUMIFS(TaskRatings!$H$5:$H$148,TaskRatings!$A$5:$A$148,A13,TaskRatings!$F$5:$F$148,B13,TaskRatings!$O$5:$O$148,"是",TaskRatings!$H$5:$H$148,"&gt;0")/COUNTIFS(TaskRatings!$A$5:$A$148,A13,TaskRatings!$F$5:$F$148,B13,TaskRatings!$O$5:$O$148,"是",TaskRatings!$H$5:$H$148,"&gt;0"),"")</f>
      </c>
      <c r="G13" s="149" t="str">
        <f>IFERROR(SUMIFS(TaskRatings!$J$5:$J$148,TaskRatings!$A$5:$A$148,A13,TaskRatings!$F$5:$F$148,B13,TaskRatings!$O$5:$O$148,"是",TaskRatings!$J$5:$J$148,"&gt;0")/COUNTIFS(TaskRatings!$A$5:$A$148,A13,TaskRatings!$F$5:$F$148,B13,TaskRatings!$O$5:$O$148,"是",TaskRatings!$J$5:$J$148,"&gt;0"),"")</f>
      </c>
      <c r="H13" s="149" t="str">
        <f>IFERROR(SUMIFS(TaskRatings!$L$5:$L$148,TaskRatings!$A$5:$A$148,A13,TaskRatings!$F$5:$F$148,B13,TaskRatings!$O$5:$O$148,"是",TaskRatings!$L$5:$L$148,"&gt;0")/COUNTIFS(TaskRatings!$A$5:$A$148,A13,TaskRatings!$F$5:$F$148,B13,TaskRatings!$O$5:$O$148,"是",TaskRatings!$L$5:$L$148,"&gt;0"),"")</f>
      </c>
      <c r="I13" s="149" t="str">
        <f>IFERROR(SUMIFS(BlockRatings_AQ!$H$5:$H$148,BlockRatings_AQ!$A$5:$A$148,A13,BlockRatings_AQ!$F$5:$F$148,B13,BlockRatings_AQ!$R$5:$R$148,"是",BlockRatings_AQ!$H$5:$H$148,"&gt;0")/COUNTIFS(BlockRatings_AQ!$A$5:$A$148,A13,BlockRatings_AQ!$F$5:$F$148,B13,BlockRatings_AQ!$R$5:$R$148,"是",BlockRatings_AQ!$H$5:$H$148,"&gt;0"),"")</f>
      </c>
      <c r="J13" s="149" t="str">
        <f>IFERROR(SUMIFS(BlockRatings_AQ!$I$5:$I$148,BlockRatings_AQ!$A$5:$A$148,A13,BlockRatings_AQ!$F$5:$F$148,B13,BlockRatings_AQ!$R$5:$R$148,"是",BlockRatings_AQ!$I$5:$I$148,"&gt;0")/COUNTIFS(BlockRatings_AQ!$A$5:$A$148,A13,BlockRatings_AQ!$F$5:$F$148,B13,BlockRatings_AQ!$R$5:$R$148,"是",BlockRatings_AQ!$I$5:$I$148,"&gt;0"),"")</f>
      </c>
      <c r="K13" s="149" t="str">
        <f>IFERROR(SUMIFS(BlockRatings_AQ!$J$5:$J$148,BlockRatings_AQ!$A$5:$A$148,A13,BlockRatings_AQ!$F$5:$F$148,B13,BlockRatings_AQ!$R$5:$R$148,"是",BlockRatings_AQ!$J$5:$J$148,"&gt;0")/COUNTIFS(BlockRatings_AQ!$A$5:$A$148,A13,BlockRatings_AQ!$F$5:$F$148,B13,BlockRatings_AQ!$R$5:$R$148,"是",BlockRatings_AQ!$J$5:$J$148,"&gt;0"),"")</f>
      </c>
      <c r="L13" s="149" t="str">
        <f>IF(COUNT(I13:K13)=3,AVERAGE(I13:K13),"")</f>
      </c>
      <c r="M13" s="149" t="str">
        <f>IFERROR(SUMIFS(BlockRatings_AQ!$L$5:$L$148,BlockRatings_AQ!$A$5:$A$148,A13,BlockRatings_AQ!$F$5:$F$148,B13,BlockRatings_AQ!$R$5:$R$148,"是",BlockRatings_AQ!$L$5:$L$148,"&gt;0")/COUNTIFS(BlockRatings_AQ!$A$5:$A$148,A13,BlockRatings_AQ!$F$5:$F$148,B13,BlockRatings_AQ!$R$5:$R$148,"是",BlockRatings_AQ!$L$5:$L$148,"&gt;0"),"")</f>
      </c>
      <c r="N13" s="149" t="str">
        <f>IFERROR(SUMIFS(BlockRatings_AQ!$M$5:$M$148,BlockRatings_AQ!$A$5:$A$148,A13,BlockRatings_AQ!$F$5:$F$148,B13,BlockRatings_AQ!$R$5:$R$148,"是",BlockRatings_AQ!$M$5:$M$148,"&gt;0")/COUNTIFS(BlockRatings_AQ!$A$5:$A$148,A13,BlockRatings_AQ!$F$5:$F$148,B13,BlockRatings_AQ!$R$5:$R$148,"是",BlockRatings_AQ!$M$5:$M$148,"&gt;0"),"")</f>
      </c>
      <c r="O13" s="149" t="str">
        <f>IFERROR(SUMIFS(BlockRatings_AQ!$N$5:$N$148,BlockRatings_AQ!$A$5:$A$148,A13,BlockRatings_AQ!$F$5:$F$148,B13,BlockRatings_AQ!$R$5:$R$148,"是",BlockRatings_AQ!$N$5:$N$148,"&gt;0")/COUNTIFS(BlockRatings_AQ!$A$5:$A$148,A13,BlockRatings_AQ!$F$5:$F$148,B13,BlockRatings_AQ!$R$5:$R$148,"是",BlockRatings_AQ!$N$5:$N$148,"&gt;0"),"")</f>
      </c>
      <c r="P13" s="149" t="str">
        <f>IF(COUNT(M13:O13)=3,AVERAGE(M13:O13),"")</f>
      </c>
      <c r="Q13" s="149" t="str">
        <f>IFERROR(SUMIFS(MethodRatings!$E$5:$E$52,MethodRatings!$A$5:$A$52,A13,MethodRatings!$D$5:$D$52,B13,MethodRatings!$E$5:$E$52,"&gt;0")/COUNTIFS(MethodRatings!$A$5:$A$52,A13,MethodRatings!$D$5:$D$52,B13,MethodRatings!$E$5:$E$52,"&gt;0"),"")</f>
      </c>
      <c r="R13" s="149" t="str">
        <f>IFERROR(SUMIFS(MethodRatings!$F$5:$F$52,MethodRatings!$A$5:$A$52,A13,MethodRatings!$D$5:$D$52,B13,MethodRatings!$F$5:$F$52,"&gt;0")/COUNTIFS(MethodRatings!$A$5:$A$52,A13,MethodRatings!$D$5:$D$52,B13,MethodRatings!$F$5:$F$52,"&gt;0"),"")</f>
      </c>
      <c r="S13" s="149" t="str">
        <f>IFERROR(SUMIFS(MethodRatings!$G$5:$G$52,MethodRatings!$A$5:$A$52,A13,MethodRatings!$D$5:$D$52,B13,MethodRatings!$G$5:$G$52,"&gt;0")/COUNTIFS(MethodRatings!$A$5:$A$52,A13,MethodRatings!$D$5:$D$52,B13,MethodRatings!$G$5:$G$52,"&gt;0"),"")</f>
      </c>
      <c r="T13" s="149" t="str">
        <f>IF(COUNT(Q13:S13)=3,AVERAGE(Q13:S13),"")</f>
      </c>
      <c r="U13" s="149" t="str">
        <f>IFERROR(SUMIFS(MethodRatings!$I$5:$I$52,MethodRatings!$A$5:$A$52,A13,MethodRatings!$D$5:$D$52,B13,MethodRatings!$I$5:$I$52,"&gt;0")/COUNTIFS(MethodRatings!$A$5:$A$52,A13,MethodRatings!$D$5:$D$52,B13,MethodRatings!$I$5:$I$52,"&gt;0"),"")</f>
      </c>
      <c r="V13" s="149" t="str">
        <f>IFERROR(SUMIFS(MethodRatings!$J$5:$J$52,MethodRatings!$A$5:$A$52,A13,MethodRatings!$D$5:$D$52,B13,MethodRatings!$J$5:$J$52,"&gt;0")/COUNTIFS(MethodRatings!$A$5:$A$52,A13,MethodRatings!$D$5:$D$52,B13,MethodRatings!$J$5:$J$52,"&gt;0"),"")</f>
      </c>
      <c r="W13" s="149" t="str">
        <f>IFERROR(SUMIFS(MethodRatings!$K$5:$K$52,MethodRatings!$A$5:$A$52,A13,MethodRatings!$D$5:$D$52,B13,MethodRatings!$K$5:$K$52,"&gt;0")/COUNTIFS(MethodRatings!$A$5:$A$52,A13,MethodRatings!$D$5:$D$52,B13,MethodRatings!$K$5:$K$52,"&gt;0"),"")</f>
      </c>
      <c r="X13" s="149" t="str">
        <f>IF(COUNT(U13:W13)=3,AVERAGE(U13:W13),"")</f>
      </c>
      <c r="Y13" s="149" t="str">
        <f>IFERROR(SUMIFS(MethodRatings!$M$5:$M$52,MethodRatings!$A$5:$A$52,A13,MethodRatings!$D$5:$D$52,B13,MethodRatings!$M$5:$M$52,"&gt;0")/COUNTIFS(MethodRatings!$A$5:$A$52,A13,MethodRatings!$D$5:$D$52,B13,MethodRatings!$M$5:$M$52,"&gt;0"),"")</f>
      </c>
      <c r="Z13" s="149" t="str">
        <f>IFERROR(SUMIFS(MethodRatings!$N$5:$N$52,MethodRatings!$A$5:$A$52,A13,MethodRatings!$D$5:$D$52,B13,MethodRatings!$N$5:$N$52,"&gt;0")/COUNTIFS(MethodRatings!$A$5:$A$52,A13,MethodRatings!$D$5:$D$52,B13,MethodRatings!$N$5:$N$52,"&gt;0"),"")</f>
      </c>
      <c r="AA13" s="149" t="str">
        <f>IFERROR(SUMIFS(MethodRatings!$O$5:$O$52,MethodRatings!$A$5:$A$52,A13,MethodRatings!$D$5:$D$52,B13,MethodRatings!$O$5:$O$52,"&gt;0")/COUNTIFS(MethodRatings!$A$5:$A$52,A13,MethodRatings!$D$5:$D$52,B13,MethodRatings!$O$5:$O$52,"&gt;0"),"")</f>
      </c>
      <c r="AB13" s="149" t="str">
        <f>IF(COUNT(I13:K13)=3,SUM(I13:K13),"")</f>
      </c>
      <c r="AC13" s="149" t="str">
        <f>IF(COUNT(M13:O13)=3,SUM(M13:O13),"")</f>
      </c>
      <c r="AD13" s="149" t="str">
        <f>IF(COUNT(Q13:S13)=3,SUM(Q13:S13),"")</f>
      </c>
      <c r="AE13" s="149" t="str">
        <f>IF(COUNT(U13:W13)=3,SUM(U13:W13),"")</f>
      </c>
      <c r="AF13" s="130" t="str">
        <f>IF((COUNT(F13:K13)+COUNT(M13:O13)+COUNT(Q13:S13)+COUNT(U13:W13)+COUNT(Y13:AA13))=18,"完整","缺失")</f>
        <v>缺失</v>
      </c>
    </row>
    <row r="14">
      <c r="A14" s="90" t="inlineStr">
        <is>
          <t>P010</t>
        </is>
      </c>
      <c r="B14" s="85" t="inlineStr">
        <is>
          <t>EgoAnchor</t>
        </is>
      </c>
      <c r="C14" s="129" t="str">
        <f>IF(B14=VLOOKUP(A14,Participants!$A$5:$W$28,22,FALSE),"方法A","方法B")</f>
        <v>方法A</v>
      </c>
      <c r="D14" s="129" t="str">
        <f>VLOOKUP(A14,Participants!$A$5:$B$28,2,FALSE)</f>
        <v>是</v>
      </c>
      <c r="E14" s="129" t="n">
        <f>COUNTIFS(TaskRatings!$A$5:$A$148,A14,TaskRatings!$F$5:$F$148,B14,TaskRatings!$O$5:$O$148,"是")</f>
        <v>3</v>
      </c>
      <c r="F14" s="149" t="str">
        <f>IFERROR(SUMIFS(TaskRatings!$H$5:$H$148,TaskRatings!$A$5:$A$148,A14,TaskRatings!$F$5:$F$148,B14,TaskRatings!$O$5:$O$148,"是",TaskRatings!$H$5:$H$148,"&gt;0")/COUNTIFS(TaskRatings!$A$5:$A$148,A14,TaskRatings!$F$5:$F$148,B14,TaskRatings!$O$5:$O$148,"是",TaskRatings!$H$5:$H$148,"&gt;0"),"")</f>
      </c>
      <c r="G14" s="149" t="str">
        <f>IFERROR(SUMIFS(TaskRatings!$J$5:$J$148,TaskRatings!$A$5:$A$148,A14,TaskRatings!$F$5:$F$148,B14,TaskRatings!$O$5:$O$148,"是",TaskRatings!$J$5:$J$148,"&gt;0")/COUNTIFS(TaskRatings!$A$5:$A$148,A14,TaskRatings!$F$5:$F$148,B14,TaskRatings!$O$5:$O$148,"是",TaskRatings!$J$5:$J$148,"&gt;0"),"")</f>
      </c>
      <c r="H14" s="149" t="str">
        <f>IFERROR(SUMIFS(TaskRatings!$L$5:$L$148,TaskRatings!$A$5:$A$148,A14,TaskRatings!$F$5:$F$148,B14,TaskRatings!$O$5:$O$148,"是",TaskRatings!$L$5:$L$148,"&gt;0")/COUNTIFS(TaskRatings!$A$5:$A$148,A14,TaskRatings!$F$5:$F$148,B14,TaskRatings!$O$5:$O$148,"是",TaskRatings!$L$5:$L$148,"&gt;0"),"")</f>
      </c>
      <c r="I14" s="149" t="str">
        <f>IFERROR(SUMIFS(BlockRatings_AQ!$H$5:$H$148,BlockRatings_AQ!$A$5:$A$148,A14,BlockRatings_AQ!$F$5:$F$148,B14,BlockRatings_AQ!$R$5:$R$148,"是",BlockRatings_AQ!$H$5:$H$148,"&gt;0")/COUNTIFS(BlockRatings_AQ!$A$5:$A$148,A14,BlockRatings_AQ!$F$5:$F$148,B14,BlockRatings_AQ!$R$5:$R$148,"是",BlockRatings_AQ!$H$5:$H$148,"&gt;0"),"")</f>
      </c>
      <c r="J14" s="149" t="str">
        <f>IFERROR(SUMIFS(BlockRatings_AQ!$I$5:$I$148,BlockRatings_AQ!$A$5:$A$148,A14,BlockRatings_AQ!$F$5:$F$148,B14,BlockRatings_AQ!$R$5:$R$148,"是",BlockRatings_AQ!$I$5:$I$148,"&gt;0")/COUNTIFS(BlockRatings_AQ!$A$5:$A$148,A14,BlockRatings_AQ!$F$5:$F$148,B14,BlockRatings_AQ!$R$5:$R$148,"是",BlockRatings_AQ!$I$5:$I$148,"&gt;0"),"")</f>
      </c>
      <c r="K14" s="149" t="str">
        <f>IFERROR(SUMIFS(BlockRatings_AQ!$J$5:$J$148,BlockRatings_AQ!$A$5:$A$148,A14,BlockRatings_AQ!$F$5:$F$148,B14,BlockRatings_AQ!$R$5:$R$148,"是",BlockRatings_AQ!$J$5:$J$148,"&gt;0")/COUNTIFS(BlockRatings_AQ!$A$5:$A$148,A14,BlockRatings_AQ!$F$5:$F$148,B14,BlockRatings_AQ!$R$5:$R$148,"是",BlockRatings_AQ!$J$5:$J$148,"&gt;0"),"")</f>
      </c>
      <c r="L14" s="149" t="str">
        <f>IF(COUNT(I14:K14)=3,AVERAGE(I14:K14),"")</f>
      </c>
      <c r="M14" s="149" t="str">
        <f>IFERROR(SUMIFS(BlockRatings_AQ!$L$5:$L$148,BlockRatings_AQ!$A$5:$A$148,A14,BlockRatings_AQ!$F$5:$F$148,B14,BlockRatings_AQ!$R$5:$R$148,"是",BlockRatings_AQ!$L$5:$L$148,"&gt;0")/COUNTIFS(BlockRatings_AQ!$A$5:$A$148,A14,BlockRatings_AQ!$F$5:$F$148,B14,BlockRatings_AQ!$R$5:$R$148,"是",BlockRatings_AQ!$L$5:$L$148,"&gt;0"),"")</f>
      </c>
      <c r="N14" s="149" t="str">
        <f>IFERROR(SUMIFS(BlockRatings_AQ!$M$5:$M$148,BlockRatings_AQ!$A$5:$A$148,A14,BlockRatings_AQ!$F$5:$F$148,B14,BlockRatings_AQ!$R$5:$R$148,"是",BlockRatings_AQ!$M$5:$M$148,"&gt;0")/COUNTIFS(BlockRatings_AQ!$A$5:$A$148,A14,BlockRatings_AQ!$F$5:$F$148,B14,BlockRatings_AQ!$R$5:$R$148,"是",BlockRatings_AQ!$M$5:$M$148,"&gt;0"),"")</f>
      </c>
      <c r="O14" s="149" t="str">
        <f>IFERROR(SUMIFS(BlockRatings_AQ!$N$5:$N$148,BlockRatings_AQ!$A$5:$A$148,A14,BlockRatings_AQ!$F$5:$F$148,B14,BlockRatings_AQ!$R$5:$R$148,"是",BlockRatings_AQ!$N$5:$N$148,"&gt;0")/COUNTIFS(BlockRatings_AQ!$A$5:$A$148,A14,BlockRatings_AQ!$F$5:$F$148,B14,BlockRatings_AQ!$R$5:$R$148,"是",BlockRatings_AQ!$N$5:$N$148,"&gt;0"),"")</f>
      </c>
      <c r="P14" s="149" t="str">
        <f>IF(COUNT(M14:O14)=3,AVERAGE(M14:O14),"")</f>
      </c>
      <c r="Q14" s="149" t="str">
        <f>IFERROR(SUMIFS(MethodRatings!$E$5:$E$52,MethodRatings!$A$5:$A$52,A14,MethodRatings!$D$5:$D$52,B14,MethodRatings!$E$5:$E$52,"&gt;0")/COUNTIFS(MethodRatings!$A$5:$A$52,A14,MethodRatings!$D$5:$D$52,B14,MethodRatings!$E$5:$E$52,"&gt;0"),"")</f>
      </c>
      <c r="R14" s="149" t="str">
        <f>IFERROR(SUMIFS(MethodRatings!$F$5:$F$52,MethodRatings!$A$5:$A$52,A14,MethodRatings!$D$5:$D$52,B14,MethodRatings!$F$5:$F$52,"&gt;0")/COUNTIFS(MethodRatings!$A$5:$A$52,A14,MethodRatings!$D$5:$D$52,B14,MethodRatings!$F$5:$F$52,"&gt;0"),"")</f>
      </c>
      <c r="S14" s="149" t="str">
        <f>IFERROR(SUMIFS(MethodRatings!$G$5:$G$52,MethodRatings!$A$5:$A$52,A14,MethodRatings!$D$5:$D$52,B14,MethodRatings!$G$5:$G$52,"&gt;0")/COUNTIFS(MethodRatings!$A$5:$A$52,A14,MethodRatings!$D$5:$D$52,B14,MethodRatings!$G$5:$G$52,"&gt;0"),"")</f>
      </c>
      <c r="T14" s="149" t="str">
        <f>IF(COUNT(Q14:S14)=3,AVERAGE(Q14:S14),"")</f>
      </c>
      <c r="U14" s="149" t="str">
        <f>IFERROR(SUMIFS(MethodRatings!$I$5:$I$52,MethodRatings!$A$5:$A$52,A14,MethodRatings!$D$5:$D$52,B14,MethodRatings!$I$5:$I$52,"&gt;0")/COUNTIFS(MethodRatings!$A$5:$A$52,A14,MethodRatings!$D$5:$D$52,B14,MethodRatings!$I$5:$I$52,"&gt;0"),"")</f>
      </c>
      <c r="V14" s="149" t="str">
        <f>IFERROR(SUMIFS(MethodRatings!$J$5:$J$52,MethodRatings!$A$5:$A$52,A14,MethodRatings!$D$5:$D$52,B14,MethodRatings!$J$5:$J$52,"&gt;0")/COUNTIFS(MethodRatings!$A$5:$A$52,A14,MethodRatings!$D$5:$D$52,B14,MethodRatings!$J$5:$J$52,"&gt;0"),"")</f>
      </c>
      <c r="W14" s="149" t="str">
        <f>IFERROR(SUMIFS(MethodRatings!$K$5:$K$52,MethodRatings!$A$5:$A$52,A14,MethodRatings!$D$5:$D$52,B14,MethodRatings!$K$5:$K$52,"&gt;0")/COUNTIFS(MethodRatings!$A$5:$A$52,A14,MethodRatings!$D$5:$D$52,B14,MethodRatings!$K$5:$K$52,"&gt;0"),"")</f>
      </c>
      <c r="X14" s="149" t="str">
        <f>IF(COUNT(U14:W14)=3,AVERAGE(U14:W14),"")</f>
      </c>
      <c r="Y14" s="149" t="str">
        <f>IFERROR(SUMIFS(MethodRatings!$M$5:$M$52,MethodRatings!$A$5:$A$52,A14,MethodRatings!$D$5:$D$52,B14,MethodRatings!$M$5:$M$52,"&gt;0")/COUNTIFS(MethodRatings!$A$5:$A$52,A14,MethodRatings!$D$5:$D$52,B14,MethodRatings!$M$5:$M$52,"&gt;0"),"")</f>
      </c>
      <c r="Z14" s="149" t="str">
        <f>IFERROR(SUMIFS(MethodRatings!$N$5:$N$52,MethodRatings!$A$5:$A$52,A14,MethodRatings!$D$5:$D$52,B14,MethodRatings!$N$5:$N$52,"&gt;0")/COUNTIFS(MethodRatings!$A$5:$A$52,A14,MethodRatings!$D$5:$D$52,B14,MethodRatings!$N$5:$N$52,"&gt;0"),"")</f>
      </c>
      <c r="AA14" s="149" t="str">
        <f>IFERROR(SUMIFS(MethodRatings!$O$5:$O$52,MethodRatings!$A$5:$A$52,A14,MethodRatings!$D$5:$D$52,B14,MethodRatings!$O$5:$O$52,"&gt;0")/COUNTIFS(MethodRatings!$A$5:$A$52,A14,MethodRatings!$D$5:$D$52,B14,MethodRatings!$O$5:$O$52,"&gt;0"),"")</f>
      </c>
      <c r="AB14" s="149" t="str">
        <f>IF(COUNT(I14:K14)=3,SUM(I14:K14),"")</f>
      </c>
      <c r="AC14" s="149" t="str">
        <f>IF(COUNT(M14:O14)=3,SUM(M14:O14),"")</f>
      </c>
      <c r="AD14" s="149" t="str">
        <f>IF(COUNT(Q14:S14)=3,SUM(Q14:S14),"")</f>
      </c>
      <c r="AE14" s="149" t="str">
        <f>IF(COUNT(U14:W14)=3,SUM(U14:W14),"")</f>
      </c>
      <c r="AF14" s="130" t="str">
        <f>IF((COUNT(F14:K14)+COUNT(M14:O14)+COUNT(Q14:S14)+COUNT(U14:W14)+COUNT(Y14:AA14))=18,"完整","缺失")</f>
        <v>缺失</v>
      </c>
    </row>
    <row r="15">
      <c r="A15" s="90" t="inlineStr">
        <is>
          <t>P011</t>
        </is>
      </c>
      <c r="B15" s="85" t="inlineStr">
        <is>
          <t>EgoAnchor</t>
        </is>
      </c>
      <c r="C15" s="129" t="str">
        <f>IF(B15=VLOOKUP(A15,Participants!$A$5:$W$28,22,FALSE),"方法A","方法B")</f>
        <v>方法A</v>
      </c>
      <c r="D15" s="129" t="str">
        <f>VLOOKUP(A15,Participants!$A$5:$B$28,2,FALSE)</f>
        <v>是</v>
      </c>
      <c r="E15" s="129" t="n">
        <f>COUNTIFS(TaskRatings!$A$5:$A$148,A15,TaskRatings!$F$5:$F$148,B15,TaskRatings!$O$5:$O$148,"是")</f>
        <v>3</v>
      </c>
      <c r="F15" s="149" t="str">
        <f>IFERROR(SUMIFS(TaskRatings!$H$5:$H$148,TaskRatings!$A$5:$A$148,A15,TaskRatings!$F$5:$F$148,B15,TaskRatings!$O$5:$O$148,"是",TaskRatings!$H$5:$H$148,"&gt;0")/COUNTIFS(TaskRatings!$A$5:$A$148,A15,TaskRatings!$F$5:$F$148,B15,TaskRatings!$O$5:$O$148,"是",TaskRatings!$H$5:$H$148,"&gt;0"),"")</f>
      </c>
      <c r="G15" s="149" t="str">
        <f>IFERROR(SUMIFS(TaskRatings!$J$5:$J$148,TaskRatings!$A$5:$A$148,A15,TaskRatings!$F$5:$F$148,B15,TaskRatings!$O$5:$O$148,"是",TaskRatings!$J$5:$J$148,"&gt;0")/COUNTIFS(TaskRatings!$A$5:$A$148,A15,TaskRatings!$F$5:$F$148,B15,TaskRatings!$O$5:$O$148,"是",TaskRatings!$J$5:$J$148,"&gt;0"),"")</f>
      </c>
      <c r="H15" s="149" t="str">
        <f>IFERROR(SUMIFS(TaskRatings!$L$5:$L$148,TaskRatings!$A$5:$A$148,A15,TaskRatings!$F$5:$F$148,B15,TaskRatings!$O$5:$O$148,"是",TaskRatings!$L$5:$L$148,"&gt;0")/COUNTIFS(TaskRatings!$A$5:$A$148,A15,TaskRatings!$F$5:$F$148,B15,TaskRatings!$O$5:$O$148,"是",TaskRatings!$L$5:$L$148,"&gt;0"),"")</f>
      </c>
      <c r="I15" s="149" t="str">
        <f>IFERROR(SUMIFS(BlockRatings_AQ!$H$5:$H$148,BlockRatings_AQ!$A$5:$A$148,A15,BlockRatings_AQ!$F$5:$F$148,B15,BlockRatings_AQ!$R$5:$R$148,"是",BlockRatings_AQ!$H$5:$H$148,"&gt;0")/COUNTIFS(BlockRatings_AQ!$A$5:$A$148,A15,BlockRatings_AQ!$F$5:$F$148,B15,BlockRatings_AQ!$R$5:$R$148,"是",BlockRatings_AQ!$H$5:$H$148,"&gt;0"),"")</f>
      </c>
      <c r="J15" s="149" t="str">
        <f>IFERROR(SUMIFS(BlockRatings_AQ!$I$5:$I$148,BlockRatings_AQ!$A$5:$A$148,A15,BlockRatings_AQ!$F$5:$F$148,B15,BlockRatings_AQ!$R$5:$R$148,"是",BlockRatings_AQ!$I$5:$I$148,"&gt;0")/COUNTIFS(BlockRatings_AQ!$A$5:$A$148,A15,BlockRatings_AQ!$F$5:$F$148,B15,BlockRatings_AQ!$R$5:$R$148,"是",BlockRatings_AQ!$I$5:$I$148,"&gt;0"),"")</f>
      </c>
      <c r="K15" s="149" t="str">
        <f>IFERROR(SUMIFS(BlockRatings_AQ!$J$5:$J$148,BlockRatings_AQ!$A$5:$A$148,A15,BlockRatings_AQ!$F$5:$F$148,B15,BlockRatings_AQ!$R$5:$R$148,"是",BlockRatings_AQ!$J$5:$J$148,"&gt;0")/COUNTIFS(BlockRatings_AQ!$A$5:$A$148,A15,BlockRatings_AQ!$F$5:$F$148,B15,BlockRatings_AQ!$R$5:$R$148,"是",BlockRatings_AQ!$J$5:$J$148,"&gt;0"),"")</f>
      </c>
      <c r="L15" s="149" t="str">
        <f>IF(COUNT(I15:K15)=3,AVERAGE(I15:K15),"")</f>
      </c>
      <c r="M15" s="149" t="str">
        <f>IFERROR(SUMIFS(BlockRatings_AQ!$L$5:$L$148,BlockRatings_AQ!$A$5:$A$148,A15,BlockRatings_AQ!$F$5:$F$148,B15,BlockRatings_AQ!$R$5:$R$148,"是",BlockRatings_AQ!$L$5:$L$148,"&gt;0")/COUNTIFS(BlockRatings_AQ!$A$5:$A$148,A15,BlockRatings_AQ!$F$5:$F$148,B15,BlockRatings_AQ!$R$5:$R$148,"是",BlockRatings_AQ!$L$5:$L$148,"&gt;0"),"")</f>
      </c>
      <c r="N15" s="149" t="str">
        <f>IFERROR(SUMIFS(BlockRatings_AQ!$M$5:$M$148,BlockRatings_AQ!$A$5:$A$148,A15,BlockRatings_AQ!$F$5:$F$148,B15,BlockRatings_AQ!$R$5:$R$148,"是",BlockRatings_AQ!$M$5:$M$148,"&gt;0")/COUNTIFS(BlockRatings_AQ!$A$5:$A$148,A15,BlockRatings_AQ!$F$5:$F$148,B15,BlockRatings_AQ!$R$5:$R$148,"是",BlockRatings_AQ!$M$5:$M$148,"&gt;0"),"")</f>
      </c>
      <c r="O15" s="149" t="str">
        <f>IFERROR(SUMIFS(BlockRatings_AQ!$N$5:$N$148,BlockRatings_AQ!$A$5:$A$148,A15,BlockRatings_AQ!$F$5:$F$148,B15,BlockRatings_AQ!$R$5:$R$148,"是",BlockRatings_AQ!$N$5:$N$148,"&gt;0")/COUNTIFS(BlockRatings_AQ!$A$5:$A$148,A15,BlockRatings_AQ!$F$5:$F$148,B15,BlockRatings_AQ!$R$5:$R$148,"是",BlockRatings_AQ!$N$5:$N$148,"&gt;0"),"")</f>
      </c>
      <c r="P15" s="149" t="str">
        <f>IF(COUNT(M15:O15)=3,AVERAGE(M15:O15),"")</f>
      </c>
      <c r="Q15" s="149" t="str">
        <f>IFERROR(SUMIFS(MethodRatings!$E$5:$E$52,MethodRatings!$A$5:$A$52,A15,MethodRatings!$D$5:$D$52,B15,MethodRatings!$E$5:$E$52,"&gt;0")/COUNTIFS(MethodRatings!$A$5:$A$52,A15,MethodRatings!$D$5:$D$52,B15,MethodRatings!$E$5:$E$52,"&gt;0"),"")</f>
      </c>
      <c r="R15" s="149" t="str">
        <f>IFERROR(SUMIFS(MethodRatings!$F$5:$F$52,MethodRatings!$A$5:$A$52,A15,MethodRatings!$D$5:$D$52,B15,MethodRatings!$F$5:$F$52,"&gt;0")/COUNTIFS(MethodRatings!$A$5:$A$52,A15,MethodRatings!$D$5:$D$52,B15,MethodRatings!$F$5:$F$52,"&gt;0"),"")</f>
      </c>
      <c r="S15" s="149" t="str">
        <f>IFERROR(SUMIFS(MethodRatings!$G$5:$G$52,MethodRatings!$A$5:$A$52,A15,MethodRatings!$D$5:$D$52,B15,MethodRatings!$G$5:$G$52,"&gt;0")/COUNTIFS(MethodRatings!$A$5:$A$52,A15,MethodRatings!$D$5:$D$52,B15,MethodRatings!$G$5:$G$52,"&gt;0"),"")</f>
      </c>
      <c r="T15" s="149" t="str">
        <f>IF(COUNT(Q15:S15)=3,AVERAGE(Q15:S15),"")</f>
      </c>
      <c r="U15" s="149" t="str">
        <f>IFERROR(SUMIFS(MethodRatings!$I$5:$I$52,MethodRatings!$A$5:$A$52,A15,MethodRatings!$D$5:$D$52,B15,MethodRatings!$I$5:$I$52,"&gt;0")/COUNTIFS(MethodRatings!$A$5:$A$52,A15,MethodRatings!$D$5:$D$52,B15,MethodRatings!$I$5:$I$52,"&gt;0"),"")</f>
      </c>
      <c r="V15" s="149" t="str">
        <f>IFERROR(SUMIFS(MethodRatings!$J$5:$J$52,MethodRatings!$A$5:$A$52,A15,MethodRatings!$D$5:$D$52,B15,MethodRatings!$J$5:$J$52,"&gt;0")/COUNTIFS(MethodRatings!$A$5:$A$52,A15,MethodRatings!$D$5:$D$52,B15,MethodRatings!$J$5:$J$52,"&gt;0"),"")</f>
      </c>
      <c r="W15" s="149" t="str">
        <f>IFERROR(SUMIFS(MethodRatings!$K$5:$K$52,MethodRatings!$A$5:$A$52,A15,MethodRatings!$D$5:$D$52,B15,MethodRatings!$K$5:$K$52,"&gt;0")/COUNTIFS(MethodRatings!$A$5:$A$52,A15,MethodRatings!$D$5:$D$52,B15,MethodRatings!$K$5:$K$52,"&gt;0"),"")</f>
      </c>
      <c r="X15" s="149" t="str">
        <f>IF(COUNT(U15:W15)=3,AVERAGE(U15:W15),"")</f>
      </c>
      <c r="Y15" s="149" t="str">
        <f>IFERROR(SUMIFS(MethodRatings!$M$5:$M$52,MethodRatings!$A$5:$A$52,A15,MethodRatings!$D$5:$D$52,B15,MethodRatings!$M$5:$M$52,"&gt;0")/COUNTIFS(MethodRatings!$A$5:$A$52,A15,MethodRatings!$D$5:$D$52,B15,MethodRatings!$M$5:$M$52,"&gt;0"),"")</f>
      </c>
      <c r="Z15" s="149" t="str">
        <f>IFERROR(SUMIFS(MethodRatings!$N$5:$N$52,MethodRatings!$A$5:$A$52,A15,MethodRatings!$D$5:$D$52,B15,MethodRatings!$N$5:$N$52,"&gt;0")/COUNTIFS(MethodRatings!$A$5:$A$52,A15,MethodRatings!$D$5:$D$52,B15,MethodRatings!$N$5:$N$52,"&gt;0"),"")</f>
      </c>
      <c r="AA15" s="149" t="str">
        <f>IFERROR(SUMIFS(MethodRatings!$O$5:$O$52,MethodRatings!$A$5:$A$52,A15,MethodRatings!$D$5:$D$52,B15,MethodRatings!$O$5:$O$52,"&gt;0")/COUNTIFS(MethodRatings!$A$5:$A$52,A15,MethodRatings!$D$5:$D$52,B15,MethodRatings!$O$5:$O$52,"&gt;0"),"")</f>
      </c>
      <c r="AB15" s="149" t="str">
        <f>IF(COUNT(I15:K15)=3,SUM(I15:K15),"")</f>
      </c>
      <c r="AC15" s="149" t="str">
        <f>IF(COUNT(M15:O15)=3,SUM(M15:O15),"")</f>
      </c>
      <c r="AD15" s="149" t="str">
        <f>IF(COUNT(Q15:S15)=3,SUM(Q15:S15),"")</f>
      </c>
      <c r="AE15" s="149" t="str">
        <f>IF(COUNT(U15:W15)=3,SUM(U15:W15),"")</f>
      </c>
      <c r="AF15" s="130" t="str">
        <f>IF((COUNT(F15:K15)+COUNT(M15:O15)+COUNT(Q15:S15)+COUNT(U15:W15)+COUNT(Y15:AA15))=18,"完整","缺失")</f>
        <v>缺失</v>
      </c>
    </row>
    <row r="16">
      <c r="A16" s="90" t="inlineStr">
        <is>
          <t>P012</t>
        </is>
      </c>
      <c r="B16" s="85" t="inlineStr">
        <is>
          <t>EgoAnchor</t>
        </is>
      </c>
      <c r="C16" s="129" t="str">
        <f>IF(B16=VLOOKUP(A16,Participants!$A$5:$W$28,22,FALSE),"方法A","方法B")</f>
        <v>方法A</v>
      </c>
      <c r="D16" s="129" t="str">
        <f>VLOOKUP(A16,Participants!$A$5:$B$28,2,FALSE)</f>
        <v>是</v>
      </c>
      <c r="E16" s="129" t="n">
        <f>COUNTIFS(TaskRatings!$A$5:$A$148,A16,TaskRatings!$F$5:$F$148,B16,TaskRatings!$O$5:$O$148,"是")</f>
        <v>3</v>
      </c>
      <c r="F16" s="149" t="str">
        <f>IFERROR(SUMIFS(TaskRatings!$H$5:$H$148,TaskRatings!$A$5:$A$148,A16,TaskRatings!$F$5:$F$148,B16,TaskRatings!$O$5:$O$148,"是",TaskRatings!$H$5:$H$148,"&gt;0")/COUNTIFS(TaskRatings!$A$5:$A$148,A16,TaskRatings!$F$5:$F$148,B16,TaskRatings!$O$5:$O$148,"是",TaskRatings!$H$5:$H$148,"&gt;0"),"")</f>
      </c>
      <c r="G16" s="149" t="str">
        <f>IFERROR(SUMIFS(TaskRatings!$J$5:$J$148,TaskRatings!$A$5:$A$148,A16,TaskRatings!$F$5:$F$148,B16,TaskRatings!$O$5:$O$148,"是",TaskRatings!$J$5:$J$148,"&gt;0")/COUNTIFS(TaskRatings!$A$5:$A$148,A16,TaskRatings!$F$5:$F$148,B16,TaskRatings!$O$5:$O$148,"是",TaskRatings!$J$5:$J$148,"&gt;0"),"")</f>
      </c>
      <c r="H16" s="149" t="str">
        <f>IFERROR(SUMIFS(TaskRatings!$L$5:$L$148,TaskRatings!$A$5:$A$148,A16,TaskRatings!$F$5:$F$148,B16,TaskRatings!$O$5:$O$148,"是",TaskRatings!$L$5:$L$148,"&gt;0")/COUNTIFS(TaskRatings!$A$5:$A$148,A16,TaskRatings!$F$5:$F$148,B16,TaskRatings!$O$5:$O$148,"是",TaskRatings!$L$5:$L$148,"&gt;0"),"")</f>
      </c>
      <c r="I16" s="149" t="str">
        <f>IFERROR(SUMIFS(BlockRatings_AQ!$H$5:$H$148,BlockRatings_AQ!$A$5:$A$148,A16,BlockRatings_AQ!$F$5:$F$148,B16,BlockRatings_AQ!$R$5:$R$148,"是",BlockRatings_AQ!$H$5:$H$148,"&gt;0")/COUNTIFS(BlockRatings_AQ!$A$5:$A$148,A16,BlockRatings_AQ!$F$5:$F$148,B16,BlockRatings_AQ!$R$5:$R$148,"是",BlockRatings_AQ!$H$5:$H$148,"&gt;0"),"")</f>
      </c>
      <c r="J16" s="149" t="str">
        <f>IFERROR(SUMIFS(BlockRatings_AQ!$I$5:$I$148,BlockRatings_AQ!$A$5:$A$148,A16,BlockRatings_AQ!$F$5:$F$148,B16,BlockRatings_AQ!$R$5:$R$148,"是",BlockRatings_AQ!$I$5:$I$148,"&gt;0")/COUNTIFS(BlockRatings_AQ!$A$5:$A$148,A16,BlockRatings_AQ!$F$5:$F$148,B16,BlockRatings_AQ!$R$5:$R$148,"是",BlockRatings_AQ!$I$5:$I$148,"&gt;0"),"")</f>
      </c>
      <c r="K16" s="149" t="str">
        <f>IFERROR(SUMIFS(BlockRatings_AQ!$J$5:$J$148,BlockRatings_AQ!$A$5:$A$148,A16,BlockRatings_AQ!$F$5:$F$148,B16,BlockRatings_AQ!$R$5:$R$148,"是",BlockRatings_AQ!$J$5:$J$148,"&gt;0")/COUNTIFS(BlockRatings_AQ!$A$5:$A$148,A16,BlockRatings_AQ!$F$5:$F$148,B16,BlockRatings_AQ!$R$5:$R$148,"是",BlockRatings_AQ!$J$5:$J$148,"&gt;0"),"")</f>
      </c>
      <c r="L16" s="149" t="str">
        <f>IF(COUNT(I16:K16)=3,AVERAGE(I16:K16),"")</f>
      </c>
      <c r="M16" s="149" t="str">
        <f>IFERROR(SUMIFS(BlockRatings_AQ!$L$5:$L$148,BlockRatings_AQ!$A$5:$A$148,A16,BlockRatings_AQ!$F$5:$F$148,B16,BlockRatings_AQ!$R$5:$R$148,"是",BlockRatings_AQ!$L$5:$L$148,"&gt;0")/COUNTIFS(BlockRatings_AQ!$A$5:$A$148,A16,BlockRatings_AQ!$F$5:$F$148,B16,BlockRatings_AQ!$R$5:$R$148,"是",BlockRatings_AQ!$L$5:$L$148,"&gt;0"),"")</f>
      </c>
      <c r="N16" s="149" t="str">
        <f>IFERROR(SUMIFS(BlockRatings_AQ!$M$5:$M$148,BlockRatings_AQ!$A$5:$A$148,A16,BlockRatings_AQ!$F$5:$F$148,B16,BlockRatings_AQ!$R$5:$R$148,"是",BlockRatings_AQ!$M$5:$M$148,"&gt;0")/COUNTIFS(BlockRatings_AQ!$A$5:$A$148,A16,BlockRatings_AQ!$F$5:$F$148,B16,BlockRatings_AQ!$R$5:$R$148,"是",BlockRatings_AQ!$M$5:$M$148,"&gt;0"),"")</f>
      </c>
      <c r="O16" s="149" t="str">
        <f>IFERROR(SUMIFS(BlockRatings_AQ!$N$5:$N$148,BlockRatings_AQ!$A$5:$A$148,A16,BlockRatings_AQ!$F$5:$F$148,B16,BlockRatings_AQ!$R$5:$R$148,"是",BlockRatings_AQ!$N$5:$N$148,"&gt;0")/COUNTIFS(BlockRatings_AQ!$A$5:$A$148,A16,BlockRatings_AQ!$F$5:$F$148,B16,BlockRatings_AQ!$R$5:$R$148,"是",BlockRatings_AQ!$N$5:$N$148,"&gt;0"),"")</f>
      </c>
      <c r="P16" s="149" t="str">
        <f>IF(COUNT(M16:O16)=3,AVERAGE(M16:O16),"")</f>
      </c>
      <c r="Q16" s="149" t="str">
        <f>IFERROR(SUMIFS(MethodRatings!$E$5:$E$52,MethodRatings!$A$5:$A$52,A16,MethodRatings!$D$5:$D$52,B16,MethodRatings!$E$5:$E$52,"&gt;0")/COUNTIFS(MethodRatings!$A$5:$A$52,A16,MethodRatings!$D$5:$D$52,B16,MethodRatings!$E$5:$E$52,"&gt;0"),"")</f>
      </c>
      <c r="R16" s="149" t="str">
        <f>IFERROR(SUMIFS(MethodRatings!$F$5:$F$52,MethodRatings!$A$5:$A$52,A16,MethodRatings!$D$5:$D$52,B16,MethodRatings!$F$5:$F$52,"&gt;0")/COUNTIFS(MethodRatings!$A$5:$A$52,A16,MethodRatings!$D$5:$D$52,B16,MethodRatings!$F$5:$F$52,"&gt;0"),"")</f>
      </c>
      <c r="S16" s="149" t="str">
        <f>IFERROR(SUMIFS(MethodRatings!$G$5:$G$52,MethodRatings!$A$5:$A$52,A16,MethodRatings!$D$5:$D$52,B16,MethodRatings!$G$5:$G$52,"&gt;0")/COUNTIFS(MethodRatings!$A$5:$A$52,A16,MethodRatings!$D$5:$D$52,B16,MethodRatings!$G$5:$G$52,"&gt;0"),"")</f>
      </c>
      <c r="T16" s="149" t="str">
        <f>IF(COUNT(Q16:S16)=3,AVERAGE(Q16:S16),"")</f>
      </c>
      <c r="U16" s="149" t="str">
        <f>IFERROR(SUMIFS(MethodRatings!$I$5:$I$52,MethodRatings!$A$5:$A$52,A16,MethodRatings!$D$5:$D$52,B16,MethodRatings!$I$5:$I$52,"&gt;0")/COUNTIFS(MethodRatings!$A$5:$A$52,A16,MethodRatings!$D$5:$D$52,B16,MethodRatings!$I$5:$I$52,"&gt;0"),"")</f>
      </c>
      <c r="V16" s="149" t="str">
        <f>IFERROR(SUMIFS(MethodRatings!$J$5:$J$52,MethodRatings!$A$5:$A$52,A16,MethodRatings!$D$5:$D$52,B16,MethodRatings!$J$5:$J$52,"&gt;0")/COUNTIFS(MethodRatings!$A$5:$A$52,A16,MethodRatings!$D$5:$D$52,B16,MethodRatings!$J$5:$J$52,"&gt;0"),"")</f>
      </c>
      <c r="W16" s="149" t="str">
        <f>IFERROR(SUMIFS(MethodRatings!$K$5:$K$52,MethodRatings!$A$5:$A$52,A16,MethodRatings!$D$5:$D$52,B16,MethodRatings!$K$5:$K$52,"&gt;0")/COUNTIFS(MethodRatings!$A$5:$A$52,A16,MethodRatings!$D$5:$D$52,B16,MethodRatings!$K$5:$K$52,"&gt;0"),"")</f>
      </c>
      <c r="X16" s="149" t="str">
        <f>IF(COUNT(U16:W16)=3,AVERAGE(U16:W16),"")</f>
      </c>
      <c r="Y16" s="149" t="str">
        <f>IFERROR(SUMIFS(MethodRatings!$M$5:$M$52,MethodRatings!$A$5:$A$52,A16,MethodRatings!$D$5:$D$52,B16,MethodRatings!$M$5:$M$52,"&gt;0")/COUNTIFS(MethodRatings!$A$5:$A$52,A16,MethodRatings!$D$5:$D$52,B16,MethodRatings!$M$5:$M$52,"&gt;0"),"")</f>
      </c>
      <c r="Z16" s="149" t="str">
        <f>IFERROR(SUMIFS(MethodRatings!$N$5:$N$52,MethodRatings!$A$5:$A$52,A16,MethodRatings!$D$5:$D$52,B16,MethodRatings!$N$5:$N$52,"&gt;0")/COUNTIFS(MethodRatings!$A$5:$A$52,A16,MethodRatings!$D$5:$D$52,B16,MethodRatings!$N$5:$N$52,"&gt;0"),"")</f>
      </c>
      <c r="AA16" s="149" t="str">
        <f>IFERROR(SUMIFS(MethodRatings!$O$5:$O$52,MethodRatings!$A$5:$A$52,A16,MethodRatings!$D$5:$D$52,B16,MethodRatings!$O$5:$O$52,"&gt;0")/COUNTIFS(MethodRatings!$A$5:$A$52,A16,MethodRatings!$D$5:$D$52,B16,MethodRatings!$O$5:$O$52,"&gt;0"),"")</f>
      </c>
      <c r="AB16" s="149" t="str">
        <f>IF(COUNT(I16:K16)=3,SUM(I16:K16),"")</f>
      </c>
      <c r="AC16" s="149" t="str">
        <f>IF(COUNT(M16:O16)=3,SUM(M16:O16),"")</f>
      </c>
      <c r="AD16" s="149" t="str">
        <f>IF(COUNT(Q16:S16)=3,SUM(Q16:S16),"")</f>
      </c>
      <c r="AE16" s="149" t="str">
        <f>IF(COUNT(U16:W16)=3,SUM(U16:W16),"")</f>
      </c>
      <c r="AF16" s="130" t="str">
        <f>IF((COUNT(F16:K16)+COUNT(M16:O16)+COUNT(Q16:S16)+COUNT(U16:W16)+COUNT(Y16:AA16))=18,"完整","缺失")</f>
        <v>缺失</v>
      </c>
    </row>
    <row r="17">
      <c r="A17" s="90" t="inlineStr">
        <is>
          <t>P013</t>
        </is>
      </c>
      <c r="B17" s="85" t="inlineStr">
        <is>
          <t>EgoAnchor</t>
        </is>
      </c>
      <c r="C17" s="129" t="str">
        <f>IF(B17=VLOOKUP(A17,Participants!$A$5:$W$28,22,FALSE),"方法A","方法B")</f>
        <v>方法B</v>
      </c>
      <c r="D17" s="129" t="str">
        <f>VLOOKUP(A17,Participants!$A$5:$B$28,2,FALSE)</f>
        <v>是</v>
      </c>
      <c r="E17" s="129" t="n">
        <f>COUNTIFS(TaskRatings!$A$5:$A$148,A17,TaskRatings!$F$5:$F$148,B17,TaskRatings!$O$5:$O$148,"是")</f>
        <v>3</v>
      </c>
      <c r="F17" s="149" t="str">
        <f>IFERROR(SUMIFS(TaskRatings!$H$5:$H$148,TaskRatings!$A$5:$A$148,A17,TaskRatings!$F$5:$F$148,B17,TaskRatings!$O$5:$O$148,"是",TaskRatings!$H$5:$H$148,"&gt;0")/COUNTIFS(TaskRatings!$A$5:$A$148,A17,TaskRatings!$F$5:$F$148,B17,TaskRatings!$O$5:$O$148,"是",TaskRatings!$H$5:$H$148,"&gt;0"),"")</f>
      </c>
      <c r="G17" s="149" t="str">
        <f>IFERROR(SUMIFS(TaskRatings!$J$5:$J$148,TaskRatings!$A$5:$A$148,A17,TaskRatings!$F$5:$F$148,B17,TaskRatings!$O$5:$O$148,"是",TaskRatings!$J$5:$J$148,"&gt;0")/COUNTIFS(TaskRatings!$A$5:$A$148,A17,TaskRatings!$F$5:$F$148,B17,TaskRatings!$O$5:$O$148,"是",TaskRatings!$J$5:$J$148,"&gt;0"),"")</f>
      </c>
      <c r="H17" s="149" t="str">
        <f>IFERROR(SUMIFS(TaskRatings!$L$5:$L$148,TaskRatings!$A$5:$A$148,A17,TaskRatings!$F$5:$F$148,B17,TaskRatings!$O$5:$O$148,"是",TaskRatings!$L$5:$L$148,"&gt;0")/COUNTIFS(TaskRatings!$A$5:$A$148,A17,TaskRatings!$F$5:$F$148,B17,TaskRatings!$O$5:$O$148,"是",TaskRatings!$L$5:$L$148,"&gt;0"),"")</f>
      </c>
      <c r="I17" s="149" t="str">
        <f>IFERROR(SUMIFS(BlockRatings_AQ!$H$5:$H$148,BlockRatings_AQ!$A$5:$A$148,A17,BlockRatings_AQ!$F$5:$F$148,B17,BlockRatings_AQ!$R$5:$R$148,"是",BlockRatings_AQ!$H$5:$H$148,"&gt;0")/COUNTIFS(BlockRatings_AQ!$A$5:$A$148,A17,BlockRatings_AQ!$F$5:$F$148,B17,BlockRatings_AQ!$R$5:$R$148,"是",BlockRatings_AQ!$H$5:$H$148,"&gt;0"),"")</f>
      </c>
      <c r="J17" s="149" t="str">
        <f>IFERROR(SUMIFS(BlockRatings_AQ!$I$5:$I$148,BlockRatings_AQ!$A$5:$A$148,A17,BlockRatings_AQ!$F$5:$F$148,B17,BlockRatings_AQ!$R$5:$R$148,"是",BlockRatings_AQ!$I$5:$I$148,"&gt;0")/COUNTIFS(BlockRatings_AQ!$A$5:$A$148,A17,BlockRatings_AQ!$F$5:$F$148,B17,BlockRatings_AQ!$R$5:$R$148,"是",BlockRatings_AQ!$I$5:$I$148,"&gt;0"),"")</f>
      </c>
      <c r="K17" s="149" t="str">
        <f>IFERROR(SUMIFS(BlockRatings_AQ!$J$5:$J$148,BlockRatings_AQ!$A$5:$A$148,A17,BlockRatings_AQ!$F$5:$F$148,B17,BlockRatings_AQ!$R$5:$R$148,"是",BlockRatings_AQ!$J$5:$J$148,"&gt;0")/COUNTIFS(BlockRatings_AQ!$A$5:$A$148,A17,BlockRatings_AQ!$F$5:$F$148,B17,BlockRatings_AQ!$R$5:$R$148,"是",BlockRatings_AQ!$J$5:$J$148,"&gt;0"),"")</f>
      </c>
      <c r="L17" s="149" t="str">
        <f>IF(COUNT(I17:K17)=3,AVERAGE(I17:K17),"")</f>
      </c>
      <c r="M17" s="149" t="str">
        <f>IFERROR(SUMIFS(BlockRatings_AQ!$L$5:$L$148,BlockRatings_AQ!$A$5:$A$148,A17,BlockRatings_AQ!$F$5:$F$148,B17,BlockRatings_AQ!$R$5:$R$148,"是",BlockRatings_AQ!$L$5:$L$148,"&gt;0")/COUNTIFS(BlockRatings_AQ!$A$5:$A$148,A17,BlockRatings_AQ!$F$5:$F$148,B17,BlockRatings_AQ!$R$5:$R$148,"是",BlockRatings_AQ!$L$5:$L$148,"&gt;0"),"")</f>
      </c>
      <c r="N17" s="149" t="str">
        <f>IFERROR(SUMIFS(BlockRatings_AQ!$M$5:$M$148,BlockRatings_AQ!$A$5:$A$148,A17,BlockRatings_AQ!$F$5:$F$148,B17,BlockRatings_AQ!$R$5:$R$148,"是",BlockRatings_AQ!$M$5:$M$148,"&gt;0")/COUNTIFS(BlockRatings_AQ!$A$5:$A$148,A17,BlockRatings_AQ!$F$5:$F$148,B17,BlockRatings_AQ!$R$5:$R$148,"是",BlockRatings_AQ!$M$5:$M$148,"&gt;0"),"")</f>
      </c>
      <c r="O17" s="149" t="str">
        <f>IFERROR(SUMIFS(BlockRatings_AQ!$N$5:$N$148,BlockRatings_AQ!$A$5:$A$148,A17,BlockRatings_AQ!$F$5:$F$148,B17,BlockRatings_AQ!$R$5:$R$148,"是",BlockRatings_AQ!$N$5:$N$148,"&gt;0")/COUNTIFS(BlockRatings_AQ!$A$5:$A$148,A17,BlockRatings_AQ!$F$5:$F$148,B17,BlockRatings_AQ!$R$5:$R$148,"是",BlockRatings_AQ!$N$5:$N$148,"&gt;0"),"")</f>
      </c>
      <c r="P17" s="149" t="str">
        <f>IF(COUNT(M17:O17)=3,AVERAGE(M17:O17),"")</f>
      </c>
      <c r="Q17" s="149" t="str">
        <f>IFERROR(SUMIFS(MethodRatings!$E$5:$E$52,MethodRatings!$A$5:$A$52,A17,MethodRatings!$D$5:$D$52,B17,MethodRatings!$E$5:$E$52,"&gt;0")/COUNTIFS(MethodRatings!$A$5:$A$52,A17,MethodRatings!$D$5:$D$52,B17,MethodRatings!$E$5:$E$52,"&gt;0"),"")</f>
      </c>
      <c r="R17" s="149" t="str">
        <f>IFERROR(SUMIFS(MethodRatings!$F$5:$F$52,MethodRatings!$A$5:$A$52,A17,MethodRatings!$D$5:$D$52,B17,MethodRatings!$F$5:$F$52,"&gt;0")/COUNTIFS(MethodRatings!$A$5:$A$52,A17,MethodRatings!$D$5:$D$52,B17,MethodRatings!$F$5:$F$52,"&gt;0"),"")</f>
      </c>
      <c r="S17" s="149" t="str">
        <f>IFERROR(SUMIFS(MethodRatings!$G$5:$G$52,MethodRatings!$A$5:$A$52,A17,MethodRatings!$D$5:$D$52,B17,MethodRatings!$G$5:$G$52,"&gt;0")/COUNTIFS(MethodRatings!$A$5:$A$52,A17,MethodRatings!$D$5:$D$52,B17,MethodRatings!$G$5:$G$52,"&gt;0"),"")</f>
      </c>
      <c r="T17" s="149" t="str">
        <f>IF(COUNT(Q17:S17)=3,AVERAGE(Q17:S17),"")</f>
      </c>
      <c r="U17" s="149" t="str">
        <f>IFERROR(SUMIFS(MethodRatings!$I$5:$I$52,MethodRatings!$A$5:$A$52,A17,MethodRatings!$D$5:$D$52,B17,MethodRatings!$I$5:$I$52,"&gt;0")/COUNTIFS(MethodRatings!$A$5:$A$52,A17,MethodRatings!$D$5:$D$52,B17,MethodRatings!$I$5:$I$52,"&gt;0"),"")</f>
      </c>
      <c r="V17" s="149" t="str">
        <f>IFERROR(SUMIFS(MethodRatings!$J$5:$J$52,MethodRatings!$A$5:$A$52,A17,MethodRatings!$D$5:$D$52,B17,MethodRatings!$J$5:$J$52,"&gt;0")/COUNTIFS(MethodRatings!$A$5:$A$52,A17,MethodRatings!$D$5:$D$52,B17,MethodRatings!$J$5:$J$52,"&gt;0"),"")</f>
      </c>
      <c r="W17" s="149" t="str">
        <f>IFERROR(SUMIFS(MethodRatings!$K$5:$K$52,MethodRatings!$A$5:$A$52,A17,MethodRatings!$D$5:$D$52,B17,MethodRatings!$K$5:$K$52,"&gt;0")/COUNTIFS(MethodRatings!$A$5:$A$52,A17,MethodRatings!$D$5:$D$52,B17,MethodRatings!$K$5:$K$52,"&gt;0"),"")</f>
      </c>
      <c r="X17" s="149" t="str">
        <f>IF(COUNT(U17:W17)=3,AVERAGE(U17:W17),"")</f>
      </c>
      <c r="Y17" s="149" t="str">
        <f>IFERROR(SUMIFS(MethodRatings!$M$5:$M$52,MethodRatings!$A$5:$A$52,A17,MethodRatings!$D$5:$D$52,B17,MethodRatings!$M$5:$M$52,"&gt;0")/COUNTIFS(MethodRatings!$A$5:$A$52,A17,MethodRatings!$D$5:$D$52,B17,MethodRatings!$M$5:$M$52,"&gt;0"),"")</f>
      </c>
      <c r="Z17" s="149" t="str">
        <f>IFERROR(SUMIFS(MethodRatings!$N$5:$N$52,MethodRatings!$A$5:$A$52,A17,MethodRatings!$D$5:$D$52,B17,MethodRatings!$N$5:$N$52,"&gt;0")/COUNTIFS(MethodRatings!$A$5:$A$52,A17,MethodRatings!$D$5:$D$52,B17,MethodRatings!$N$5:$N$52,"&gt;0"),"")</f>
      </c>
      <c r="AA17" s="149" t="str">
        <f>IFERROR(SUMIFS(MethodRatings!$O$5:$O$52,MethodRatings!$A$5:$A$52,A17,MethodRatings!$D$5:$D$52,B17,MethodRatings!$O$5:$O$52,"&gt;0")/COUNTIFS(MethodRatings!$A$5:$A$52,A17,MethodRatings!$D$5:$D$52,B17,MethodRatings!$O$5:$O$52,"&gt;0"),"")</f>
      </c>
      <c r="AB17" s="149" t="str">
        <f>IF(COUNT(I17:K17)=3,SUM(I17:K17),"")</f>
      </c>
      <c r="AC17" s="149" t="str">
        <f>IF(COUNT(M17:O17)=3,SUM(M17:O17),"")</f>
      </c>
      <c r="AD17" s="149" t="str">
        <f>IF(COUNT(Q17:S17)=3,SUM(Q17:S17),"")</f>
      </c>
      <c r="AE17" s="149" t="str">
        <f>IF(COUNT(U17:W17)=3,SUM(U17:W17),"")</f>
      </c>
      <c r="AF17" s="130" t="str">
        <f>IF((COUNT(F17:K17)+COUNT(M17:O17)+COUNT(Q17:S17)+COUNT(U17:W17)+COUNT(Y17:AA17))=18,"完整","缺失")</f>
        <v>缺失</v>
      </c>
    </row>
    <row r="18">
      <c r="A18" s="90" t="inlineStr">
        <is>
          <t>P014</t>
        </is>
      </c>
      <c r="B18" s="85" t="inlineStr">
        <is>
          <t>EgoAnchor</t>
        </is>
      </c>
      <c r="C18" s="129" t="str">
        <f>IF(B18=VLOOKUP(A18,Participants!$A$5:$W$28,22,FALSE),"方法A","方法B")</f>
        <v>方法B</v>
      </c>
      <c r="D18" s="129" t="str">
        <f>VLOOKUP(A18,Participants!$A$5:$B$28,2,FALSE)</f>
        <v>是</v>
      </c>
      <c r="E18" s="129" t="n">
        <f>COUNTIFS(TaskRatings!$A$5:$A$148,A18,TaskRatings!$F$5:$F$148,B18,TaskRatings!$O$5:$O$148,"是")</f>
        <v>3</v>
      </c>
      <c r="F18" s="149" t="str">
        <f>IFERROR(SUMIFS(TaskRatings!$H$5:$H$148,TaskRatings!$A$5:$A$148,A18,TaskRatings!$F$5:$F$148,B18,TaskRatings!$O$5:$O$148,"是",TaskRatings!$H$5:$H$148,"&gt;0")/COUNTIFS(TaskRatings!$A$5:$A$148,A18,TaskRatings!$F$5:$F$148,B18,TaskRatings!$O$5:$O$148,"是",TaskRatings!$H$5:$H$148,"&gt;0"),"")</f>
      </c>
      <c r="G18" s="149" t="str">
        <f>IFERROR(SUMIFS(TaskRatings!$J$5:$J$148,TaskRatings!$A$5:$A$148,A18,TaskRatings!$F$5:$F$148,B18,TaskRatings!$O$5:$O$148,"是",TaskRatings!$J$5:$J$148,"&gt;0")/COUNTIFS(TaskRatings!$A$5:$A$148,A18,TaskRatings!$F$5:$F$148,B18,TaskRatings!$O$5:$O$148,"是",TaskRatings!$J$5:$J$148,"&gt;0"),"")</f>
      </c>
      <c r="H18" s="149" t="str">
        <f>IFERROR(SUMIFS(TaskRatings!$L$5:$L$148,TaskRatings!$A$5:$A$148,A18,TaskRatings!$F$5:$F$148,B18,TaskRatings!$O$5:$O$148,"是",TaskRatings!$L$5:$L$148,"&gt;0")/COUNTIFS(TaskRatings!$A$5:$A$148,A18,TaskRatings!$F$5:$F$148,B18,TaskRatings!$O$5:$O$148,"是",TaskRatings!$L$5:$L$148,"&gt;0"),"")</f>
      </c>
      <c r="I18" s="149" t="str">
        <f>IFERROR(SUMIFS(BlockRatings_AQ!$H$5:$H$148,BlockRatings_AQ!$A$5:$A$148,A18,BlockRatings_AQ!$F$5:$F$148,B18,BlockRatings_AQ!$R$5:$R$148,"是",BlockRatings_AQ!$H$5:$H$148,"&gt;0")/COUNTIFS(BlockRatings_AQ!$A$5:$A$148,A18,BlockRatings_AQ!$F$5:$F$148,B18,BlockRatings_AQ!$R$5:$R$148,"是",BlockRatings_AQ!$H$5:$H$148,"&gt;0"),"")</f>
      </c>
      <c r="J18" s="149" t="str">
        <f>IFERROR(SUMIFS(BlockRatings_AQ!$I$5:$I$148,BlockRatings_AQ!$A$5:$A$148,A18,BlockRatings_AQ!$F$5:$F$148,B18,BlockRatings_AQ!$R$5:$R$148,"是",BlockRatings_AQ!$I$5:$I$148,"&gt;0")/COUNTIFS(BlockRatings_AQ!$A$5:$A$148,A18,BlockRatings_AQ!$F$5:$F$148,B18,BlockRatings_AQ!$R$5:$R$148,"是",BlockRatings_AQ!$I$5:$I$148,"&gt;0"),"")</f>
      </c>
      <c r="K18" s="149" t="str">
        <f>IFERROR(SUMIFS(BlockRatings_AQ!$J$5:$J$148,BlockRatings_AQ!$A$5:$A$148,A18,BlockRatings_AQ!$F$5:$F$148,B18,BlockRatings_AQ!$R$5:$R$148,"是",BlockRatings_AQ!$J$5:$J$148,"&gt;0")/COUNTIFS(BlockRatings_AQ!$A$5:$A$148,A18,BlockRatings_AQ!$F$5:$F$148,B18,BlockRatings_AQ!$R$5:$R$148,"是",BlockRatings_AQ!$J$5:$J$148,"&gt;0"),"")</f>
      </c>
      <c r="L18" s="149" t="str">
        <f>IF(COUNT(I18:K18)=3,AVERAGE(I18:K18),"")</f>
      </c>
      <c r="M18" s="149" t="str">
        <f>IFERROR(SUMIFS(BlockRatings_AQ!$L$5:$L$148,BlockRatings_AQ!$A$5:$A$148,A18,BlockRatings_AQ!$F$5:$F$148,B18,BlockRatings_AQ!$R$5:$R$148,"是",BlockRatings_AQ!$L$5:$L$148,"&gt;0")/COUNTIFS(BlockRatings_AQ!$A$5:$A$148,A18,BlockRatings_AQ!$F$5:$F$148,B18,BlockRatings_AQ!$R$5:$R$148,"是",BlockRatings_AQ!$L$5:$L$148,"&gt;0"),"")</f>
      </c>
      <c r="N18" s="149" t="str">
        <f>IFERROR(SUMIFS(BlockRatings_AQ!$M$5:$M$148,BlockRatings_AQ!$A$5:$A$148,A18,BlockRatings_AQ!$F$5:$F$148,B18,BlockRatings_AQ!$R$5:$R$148,"是",BlockRatings_AQ!$M$5:$M$148,"&gt;0")/COUNTIFS(BlockRatings_AQ!$A$5:$A$148,A18,BlockRatings_AQ!$F$5:$F$148,B18,BlockRatings_AQ!$R$5:$R$148,"是",BlockRatings_AQ!$M$5:$M$148,"&gt;0"),"")</f>
      </c>
      <c r="O18" s="149" t="str">
        <f>IFERROR(SUMIFS(BlockRatings_AQ!$N$5:$N$148,BlockRatings_AQ!$A$5:$A$148,A18,BlockRatings_AQ!$F$5:$F$148,B18,BlockRatings_AQ!$R$5:$R$148,"是",BlockRatings_AQ!$N$5:$N$148,"&gt;0")/COUNTIFS(BlockRatings_AQ!$A$5:$A$148,A18,BlockRatings_AQ!$F$5:$F$148,B18,BlockRatings_AQ!$R$5:$R$148,"是",BlockRatings_AQ!$N$5:$N$148,"&gt;0"),"")</f>
      </c>
      <c r="P18" s="149" t="str">
        <f>IF(COUNT(M18:O18)=3,AVERAGE(M18:O18),"")</f>
      </c>
      <c r="Q18" s="149" t="str">
        <f>IFERROR(SUMIFS(MethodRatings!$E$5:$E$52,MethodRatings!$A$5:$A$52,A18,MethodRatings!$D$5:$D$52,B18,MethodRatings!$E$5:$E$52,"&gt;0")/COUNTIFS(MethodRatings!$A$5:$A$52,A18,MethodRatings!$D$5:$D$52,B18,MethodRatings!$E$5:$E$52,"&gt;0"),"")</f>
      </c>
      <c r="R18" s="149" t="str">
        <f>IFERROR(SUMIFS(MethodRatings!$F$5:$F$52,MethodRatings!$A$5:$A$52,A18,MethodRatings!$D$5:$D$52,B18,MethodRatings!$F$5:$F$52,"&gt;0")/COUNTIFS(MethodRatings!$A$5:$A$52,A18,MethodRatings!$D$5:$D$52,B18,MethodRatings!$F$5:$F$52,"&gt;0"),"")</f>
      </c>
      <c r="S18" s="149" t="str">
        <f>IFERROR(SUMIFS(MethodRatings!$G$5:$G$52,MethodRatings!$A$5:$A$52,A18,MethodRatings!$D$5:$D$52,B18,MethodRatings!$G$5:$G$52,"&gt;0")/COUNTIFS(MethodRatings!$A$5:$A$52,A18,MethodRatings!$D$5:$D$52,B18,MethodRatings!$G$5:$G$52,"&gt;0"),"")</f>
      </c>
      <c r="T18" s="149" t="str">
        <f>IF(COUNT(Q18:S18)=3,AVERAGE(Q18:S18),"")</f>
      </c>
      <c r="U18" s="149" t="str">
        <f>IFERROR(SUMIFS(MethodRatings!$I$5:$I$52,MethodRatings!$A$5:$A$52,A18,MethodRatings!$D$5:$D$52,B18,MethodRatings!$I$5:$I$52,"&gt;0")/COUNTIFS(MethodRatings!$A$5:$A$52,A18,MethodRatings!$D$5:$D$52,B18,MethodRatings!$I$5:$I$52,"&gt;0"),"")</f>
      </c>
      <c r="V18" s="149" t="str">
        <f>IFERROR(SUMIFS(MethodRatings!$J$5:$J$52,MethodRatings!$A$5:$A$52,A18,MethodRatings!$D$5:$D$52,B18,MethodRatings!$J$5:$J$52,"&gt;0")/COUNTIFS(MethodRatings!$A$5:$A$52,A18,MethodRatings!$D$5:$D$52,B18,MethodRatings!$J$5:$J$52,"&gt;0"),"")</f>
      </c>
      <c r="W18" s="149" t="str">
        <f>IFERROR(SUMIFS(MethodRatings!$K$5:$K$52,MethodRatings!$A$5:$A$52,A18,MethodRatings!$D$5:$D$52,B18,MethodRatings!$K$5:$K$52,"&gt;0")/COUNTIFS(MethodRatings!$A$5:$A$52,A18,MethodRatings!$D$5:$D$52,B18,MethodRatings!$K$5:$K$52,"&gt;0"),"")</f>
      </c>
      <c r="X18" s="149" t="str">
        <f>IF(COUNT(U18:W18)=3,AVERAGE(U18:W18),"")</f>
      </c>
      <c r="Y18" s="149" t="str">
        <f>IFERROR(SUMIFS(MethodRatings!$M$5:$M$52,MethodRatings!$A$5:$A$52,A18,MethodRatings!$D$5:$D$52,B18,MethodRatings!$M$5:$M$52,"&gt;0")/COUNTIFS(MethodRatings!$A$5:$A$52,A18,MethodRatings!$D$5:$D$52,B18,MethodRatings!$M$5:$M$52,"&gt;0"),"")</f>
      </c>
      <c r="Z18" s="149" t="str">
        <f>IFERROR(SUMIFS(MethodRatings!$N$5:$N$52,MethodRatings!$A$5:$A$52,A18,MethodRatings!$D$5:$D$52,B18,MethodRatings!$N$5:$N$52,"&gt;0")/COUNTIFS(MethodRatings!$A$5:$A$52,A18,MethodRatings!$D$5:$D$52,B18,MethodRatings!$N$5:$N$52,"&gt;0"),"")</f>
      </c>
      <c r="AA18" s="149" t="str">
        <f>IFERROR(SUMIFS(MethodRatings!$O$5:$O$52,MethodRatings!$A$5:$A$52,A18,MethodRatings!$D$5:$D$52,B18,MethodRatings!$O$5:$O$52,"&gt;0")/COUNTIFS(MethodRatings!$A$5:$A$52,A18,MethodRatings!$D$5:$D$52,B18,MethodRatings!$O$5:$O$52,"&gt;0"),"")</f>
      </c>
      <c r="AB18" s="149" t="str">
        <f>IF(COUNT(I18:K18)=3,SUM(I18:K18),"")</f>
      </c>
      <c r="AC18" s="149" t="str">
        <f>IF(COUNT(M18:O18)=3,SUM(M18:O18),"")</f>
      </c>
      <c r="AD18" s="149" t="str">
        <f>IF(COUNT(Q18:S18)=3,SUM(Q18:S18),"")</f>
      </c>
      <c r="AE18" s="149" t="str">
        <f>IF(COUNT(U18:W18)=3,SUM(U18:W18),"")</f>
      </c>
      <c r="AF18" s="130" t="str">
        <f>IF((COUNT(F18:K18)+COUNT(M18:O18)+COUNT(Q18:S18)+COUNT(U18:W18)+COUNT(Y18:AA18))=18,"完整","缺失")</f>
        <v>缺失</v>
      </c>
    </row>
    <row r="19">
      <c r="A19" s="90" t="inlineStr">
        <is>
          <t>P015</t>
        </is>
      </c>
      <c r="B19" s="85" t="inlineStr">
        <is>
          <t>EgoAnchor</t>
        </is>
      </c>
      <c r="C19" s="129" t="str">
        <f>IF(B19=VLOOKUP(A19,Participants!$A$5:$W$28,22,FALSE),"方法A","方法B")</f>
        <v>方法B</v>
      </c>
      <c r="D19" s="129" t="str">
        <f>VLOOKUP(A19,Participants!$A$5:$B$28,2,FALSE)</f>
        <v>是</v>
      </c>
      <c r="E19" s="129" t="n">
        <f>COUNTIFS(TaskRatings!$A$5:$A$148,A19,TaskRatings!$F$5:$F$148,B19,TaskRatings!$O$5:$O$148,"是")</f>
        <v>3</v>
      </c>
      <c r="F19" s="149" t="str">
        <f>IFERROR(SUMIFS(TaskRatings!$H$5:$H$148,TaskRatings!$A$5:$A$148,A19,TaskRatings!$F$5:$F$148,B19,TaskRatings!$O$5:$O$148,"是",TaskRatings!$H$5:$H$148,"&gt;0")/COUNTIFS(TaskRatings!$A$5:$A$148,A19,TaskRatings!$F$5:$F$148,B19,TaskRatings!$O$5:$O$148,"是",TaskRatings!$H$5:$H$148,"&gt;0"),"")</f>
      </c>
      <c r="G19" s="149" t="str">
        <f>IFERROR(SUMIFS(TaskRatings!$J$5:$J$148,TaskRatings!$A$5:$A$148,A19,TaskRatings!$F$5:$F$148,B19,TaskRatings!$O$5:$O$148,"是",TaskRatings!$J$5:$J$148,"&gt;0")/COUNTIFS(TaskRatings!$A$5:$A$148,A19,TaskRatings!$F$5:$F$148,B19,TaskRatings!$O$5:$O$148,"是",TaskRatings!$J$5:$J$148,"&gt;0"),"")</f>
      </c>
      <c r="H19" s="149" t="str">
        <f>IFERROR(SUMIFS(TaskRatings!$L$5:$L$148,TaskRatings!$A$5:$A$148,A19,TaskRatings!$F$5:$F$148,B19,TaskRatings!$O$5:$O$148,"是",TaskRatings!$L$5:$L$148,"&gt;0")/COUNTIFS(TaskRatings!$A$5:$A$148,A19,TaskRatings!$F$5:$F$148,B19,TaskRatings!$O$5:$O$148,"是",TaskRatings!$L$5:$L$148,"&gt;0"),"")</f>
      </c>
      <c r="I19" s="149" t="str">
        <f>IFERROR(SUMIFS(BlockRatings_AQ!$H$5:$H$148,BlockRatings_AQ!$A$5:$A$148,A19,BlockRatings_AQ!$F$5:$F$148,B19,BlockRatings_AQ!$R$5:$R$148,"是",BlockRatings_AQ!$H$5:$H$148,"&gt;0")/COUNTIFS(BlockRatings_AQ!$A$5:$A$148,A19,BlockRatings_AQ!$F$5:$F$148,B19,BlockRatings_AQ!$R$5:$R$148,"是",BlockRatings_AQ!$H$5:$H$148,"&gt;0"),"")</f>
      </c>
      <c r="J19" s="149" t="str">
        <f>IFERROR(SUMIFS(BlockRatings_AQ!$I$5:$I$148,BlockRatings_AQ!$A$5:$A$148,A19,BlockRatings_AQ!$F$5:$F$148,B19,BlockRatings_AQ!$R$5:$R$148,"是",BlockRatings_AQ!$I$5:$I$148,"&gt;0")/COUNTIFS(BlockRatings_AQ!$A$5:$A$148,A19,BlockRatings_AQ!$F$5:$F$148,B19,BlockRatings_AQ!$R$5:$R$148,"是",BlockRatings_AQ!$I$5:$I$148,"&gt;0"),"")</f>
      </c>
      <c r="K19" s="149" t="str">
        <f>IFERROR(SUMIFS(BlockRatings_AQ!$J$5:$J$148,BlockRatings_AQ!$A$5:$A$148,A19,BlockRatings_AQ!$F$5:$F$148,B19,BlockRatings_AQ!$R$5:$R$148,"是",BlockRatings_AQ!$J$5:$J$148,"&gt;0")/COUNTIFS(BlockRatings_AQ!$A$5:$A$148,A19,BlockRatings_AQ!$F$5:$F$148,B19,BlockRatings_AQ!$R$5:$R$148,"是",BlockRatings_AQ!$J$5:$J$148,"&gt;0"),"")</f>
      </c>
      <c r="L19" s="149" t="str">
        <f>IF(COUNT(I19:K19)=3,AVERAGE(I19:K19),"")</f>
      </c>
      <c r="M19" s="149" t="str">
        <f>IFERROR(SUMIFS(BlockRatings_AQ!$L$5:$L$148,BlockRatings_AQ!$A$5:$A$148,A19,BlockRatings_AQ!$F$5:$F$148,B19,BlockRatings_AQ!$R$5:$R$148,"是",BlockRatings_AQ!$L$5:$L$148,"&gt;0")/COUNTIFS(BlockRatings_AQ!$A$5:$A$148,A19,BlockRatings_AQ!$F$5:$F$148,B19,BlockRatings_AQ!$R$5:$R$148,"是",BlockRatings_AQ!$L$5:$L$148,"&gt;0"),"")</f>
      </c>
      <c r="N19" s="149" t="str">
        <f>IFERROR(SUMIFS(BlockRatings_AQ!$M$5:$M$148,BlockRatings_AQ!$A$5:$A$148,A19,BlockRatings_AQ!$F$5:$F$148,B19,BlockRatings_AQ!$R$5:$R$148,"是",BlockRatings_AQ!$M$5:$M$148,"&gt;0")/COUNTIFS(BlockRatings_AQ!$A$5:$A$148,A19,BlockRatings_AQ!$F$5:$F$148,B19,BlockRatings_AQ!$R$5:$R$148,"是",BlockRatings_AQ!$M$5:$M$148,"&gt;0"),"")</f>
      </c>
      <c r="O19" s="149" t="str">
        <f>IFERROR(SUMIFS(BlockRatings_AQ!$N$5:$N$148,BlockRatings_AQ!$A$5:$A$148,A19,BlockRatings_AQ!$F$5:$F$148,B19,BlockRatings_AQ!$R$5:$R$148,"是",BlockRatings_AQ!$N$5:$N$148,"&gt;0")/COUNTIFS(BlockRatings_AQ!$A$5:$A$148,A19,BlockRatings_AQ!$F$5:$F$148,B19,BlockRatings_AQ!$R$5:$R$148,"是",BlockRatings_AQ!$N$5:$N$148,"&gt;0"),"")</f>
      </c>
      <c r="P19" s="149" t="str">
        <f>IF(COUNT(M19:O19)=3,AVERAGE(M19:O19),"")</f>
      </c>
      <c r="Q19" s="149" t="str">
        <f>IFERROR(SUMIFS(MethodRatings!$E$5:$E$52,MethodRatings!$A$5:$A$52,A19,MethodRatings!$D$5:$D$52,B19,MethodRatings!$E$5:$E$52,"&gt;0")/COUNTIFS(MethodRatings!$A$5:$A$52,A19,MethodRatings!$D$5:$D$52,B19,MethodRatings!$E$5:$E$52,"&gt;0"),"")</f>
      </c>
      <c r="R19" s="149" t="str">
        <f>IFERROR(SUMIFS(MethodRatings!$F$5:$F$52,MethodRatings!$A$5:$A$52,A19,MethodRatings!$D$5:$D$52,B19,MethodRatings!$F$5:$F$52,"&gt;0")/COUNTIFS(MethodRatings!$A$5:$A$52,A19,MethodRatings!$D$5:$D$52,B19,MethodRatings!$F$5:$F$52,"&gt;0"),"")</f>
      </c>
      <c r="S19" s="149" t="str">
        <f>IFERROR(SUMIFS(MethodRatings!$G$5:$G$52,MethodRatings!$A$5:$A$52,A19,MethodRatings!$D$5:$D$52,B19,MethodRatings!$G$5:$G$52,"&gt;0")/COUNTIFS(MethodRatings!$A$5:$A$52,A19,MethodRatings!$D$5:$D$52,B19,MethodRatings!$G$5:$G$52,"&gt;0"),"")</f>
      </c>
      <c r="T19" s="149" t="str">
        <f>IF(COUNT(Q19:S19)=3,AVERAGE(Q19:S19),"")</f>
      </c>
      <c r="U19" s="149" t="str">
        <f>IFERROR(SUMIFS(MethodRatings!$I$5:$I$52,MethodRatings!$A$5:$A$52,A19,MethodRatings!$D$5:$D$52,B19,MethodRatings!$I$5:$I$52,"&gt;0")/COUNTIFS(MethodRatings!$A$5:$A$52,A19,MethodRatings!$D$5:$D$52,B19,MethodRatings!$I$5:$I$52,"&gt;0"),"")</f>
      </c>
      <c r="V19" s="149" t="str">
        <f>IFERROR(SUMIFS(MethodRatings!$J$5:$J$52,MethodRatings!$A$5:$A$52,A19,MethodRatings!$D$5:$D$52,B19,MethodRatings!$J$5:$J$52,"&gt;0")/COUNTIFS(MethodRatings!$A$5:$A$52,A19,MethodRatings!$D$5:$D$52,B19,MethodRatings!$J$5:$J$52,"&gt;0"),"")</f>
      </c>
      <c r="W19" s="149" t="str">
        <f>IFERROR(SUMIFS(MethodRatings!$K$5:$K$52,MethodRatings!$A$5:$A$52,A19,MethodRatings!$D$5:$D$52,B19,MethodRatings!$K$5:$K$52,"&gt;0")/COUNTIFS(MethodRatings!$A$5:$A$52,A19,MethodRatings!$D$5:$D$52,B19,MethodRatings!$K$5:$K$52,"&gt;0"),"")</f>
      </c>
      <c r="X19" s="149" t="str">
        <f>IF(COUNT(U19:W19)=3,AVERAGE(U19:W19),"")</f>
      </c>
      <c r="Y19" s="149" t="str">
        <f>IFERROR(SUMIFS(MethodRatings!$M$5:$M$52,MethodRatings!$A$5:$A$52,A19,MethodRatings!$D$5:$D$52,B19,MethodRatings!$M$5:$M$52,"&gt;0")/COUNTIFS(MethodRatings!$A$5:$A$52,A19,MethodRatings!$D$5:$D$52,B19,MethodRatings!$M$5:$M$52,"&gt;0"),"")</f>
      </c>
      <c r="Z19" s="149" t="str">
        <f>IFERROR(SUMIFS(MethodRatings!$N$5:$N$52,MethodRatings!$A$5:$A$52,A19,MethodRatings!$D$5:$D$52,B19,MethodRatings!$N$5:$N$52,"&gt;0")/COUNTIFS(MethodRatings!$A$5:$A$52,A19,MethodRatings!$D$5:$D$52,B19,MethodRatings!$N$5:$N$52,"&gt;0"),"")</f>
      </c>
      <c r="AA19" s="149" t="str">
        <f>IFERROR(SUMIFS(MethodRatings!$O$5:$O$52,MethodRatings!$A$5:$A$52,A19,MethodRatings!$D$5:$D$52,B19,MethodRatings!$O$5:$O$52,"&gt;0")/COUNTIFS(MethodRatings!$A$5:$A$52,A19,MethodRatings!$D$5:$D$52,B19,MethodRatings!$O$5:$O$52,"&gt;0"),"")</f>
      </c>
      <c r="AB19" s="149" t="str">
        <f>IF(COUNT(I19:K19)=3,SUM(I19:K19),"")</f>
      </c>
      <c r="AC19" s="149" t="str">
        <f>IF(COUNT(M19:O19)=3,SUM(M19:O19),"")</f>
      </c>
      <c r="AD19" s="149" t="str">
        <f>IF(COUNT(Q19:S19)=3,SUM(Q19:S19),"")</f>
      </c>
      <c r="AE19" s="149" t="str">
        <f>IF(COUNT(U19:W19)=3,SUM(U19:W19),"")</f>
      </c>
      <c r="AF19" s="130" t="str">
        <f>IF((COUNT(F19:K19)+COUNT(M19:O19)+COUNT(Q19:S19)+COUNT(U19:W19)+COUNT(Y19:AA19))=18,"完整","缺失")</f>
        <v>缺失</v>
      </c>
    </row>
    <row r="20">
      <c r="A20" s="90" t="inlineStr">
        <is>
          <t>P016</t>
        </is>
      </c>
      <c r="B20" s="85" t="inlineStr">
        <is>
          <t>EgoAnchor</t>
        </is>
      </c>
      <c r="C20" s="129" t="str">
        <f>IF(B20=VLOOKUP(A20,Participants!$A$5:$W$28,22,FALSE),"方法A","方法B")</f>
        <v>方法B</v>
      </c>
      <c r="D20" s="129" t="str">
        <f>VLOOKUP(A20,Participants!$A$5:$B$28,2,FALSE)</f>
        <v>是</v>
      </c>
      <c r="E20" s="129" t="n">
        <f>COUNTIFS(TaskRatings!$A$5:$A$148,A20,TaskRatings!$F$5:$F$148,B20,TaskRatings!$O$5:$O$148,"是")</f>
        <v>3</v>
      </c>
      <c r="F20" s="149" t="str">
        <f>IFERROR(SUMIFS(TaskRatings!$H$5:$H$148,TaskRatings!$A$5:$A$148,A20,TaskRatings!$F$5:$F$148,B20,TaskRatings!$O$5:$O$148,"是",TaskRatings!$H$5:$H$148,"&gt;0")/COUNTIFS(TaskRatings!$A$5:$A$148,A20,TaskRatings!$F$5:$F$148,B20,TaskRatings!$O$5:$O$148,"是",TaskRatings!$H$5:$H$148,"&gt;0"),"")</f>
      </c>
      <c r="G20" s="149" t="str">
        <f>IFERROR(SUMIFS(TaskRatings!$J$5:$J$148,TaskRatings!$A$5:$A$148,A20,TaskRatings!$F$5:$F$148,B20,TaskRatings!$O$5:$O$148,"是",TaskRatings!$J$5:$J$148,"&gt;0")/COUNTIFS(TaskRatings!$A$5:$A$148,A20,TaskRatings!$F$5:$F$148,B20,TaskRatings!$O$5:$O$148,"是",TaskRatings!$J$5:$J$148,"&gt;0"),"")</f>
      </c>
      <c r="H20" s="149" t="str">
        <f>IFERROR(SUMIFS(TaskRatings!$L$5:$L$148,TaskRatings!$A$5:$A$148,A20,TaskRatings!$F$5:$F$148,B20,TaskRatings!$O$5:$O$148,"是",TaskRatings!$L$5:$L$148,"&gt;0")/COUNTIFS(TaskRatings!$A$5:$A$148,A20,TaskRatings!$F$5:$F$148,B20,TaskRatings!$O$5:$O$148,"是",TaskRatings!$L$5:$L$148,"&gt;0"),"")</f>
      </c>
      <c r="I20" s="149" t="str">
        <f>IFERROR(SUMIFS(BlockRatings_AQ!$H$5:$H$148,BlockRatings_AQ!$A$5:$A$148,A20,BlockRatings_AQ!$F$5:$F$148,B20,BlockRatings_AQ!$R$5:$R$148,"是",BlockRatings_AQ!$H$5:$H$148,"&gt;0")/COUNTIFS(BlockRatings_AQ!$A$5:$A$148,A20,BlockRatings_AQ!$F$5:$F$148,B20,BlockRatings_AQ!$R$5:$R$148,"是",BlockRatings_AQ!$H$5:$H$148,"&gt;0"),"")</f>
      </c>
      <c r="J20" s="149" t="str">
        <f>IFERROR(SUMIFS(BlockRatings_AQ!$I$5:$I$148,BlockRatings_AQ!$A$5:$A$148,A20,BlockRatings_AQ!$F$5:$F$148,B20,BlockRatings_AQ!$R$5:$R$148,"是",BlockRatings_AQ!$I$5:$I$148,"&gt;0")/COUNTIFS(BlockRatings_AQ!$A$5:$A$148,A20,BlockRatings_AQ!$F$5:$F$148,B20,BlockRatings_AQ!$R$5:$R$148,"是",BlockRatings_AQ!$I$5:$I$148,"&gt;0"),"")</f>
      </c>
      <c r="K20" s="149" t="str">
        <f>IFERROR(SUMIFS(BlockRatings_AQ!$J$5:$J$148,BlockRatings_AQ!$A$5:$A$148,A20,BlockRatings_AQ!$F$5:$F$148,B20,BlockRatings_AQ!$R$5:$R$148,"是",BlockRatings_AQ!$J$5:$J$148,"&gt;0")/COUNTIFS(BlockRatings_AQ!$A$5:$A$148,A20,BlockRatings_AQ!$F$5:$F$148,B20,BlockRatings_AQ!$R$5:$R$148,"是",BlockRatings_AQ!$J$5:$J$148,"&gt;0"),"")</f>
      </c>
      <c r="L20" s="149" t="str">
        <f>IF(COUNT(I20:K20)=3,AVERAGE(I20:K20),"")</f>
      </c>
      <c r="M20" s="149" t="str">
        <f>IFERROR(SUMIFS(BlockRatings_AQ!$L$5:$L$148,BlockRatings_AQ!$A$5:$A$148,A20,BlockRatings_AQ!$F$5:$F$148,B20,BlockRatings_AQ!$R$5:$R$148,"是",BlockRatings_AQ!$L$5:$L$148,"&gt;0")/COUNTIFS(BlockRatings_AQ!$A$5:$A$148,A20,BlockRatings_AQ!$F$5:$F$148,B20,BlockRatings_AQ!$R$5:$R$148,"是",BlockRatings_AQ!$L$5:$L$148,"&gt;0"),"")</f>
      </c>
      <c r="N20" s="149" t="str">
        <f>IFERROR(SUMIFS(BlockRatings_AQ!$M$5:$M$148,BlockRatings_AQ!$A$5:$A$148,A20,BlockRatings_AQ!$F$5:$F$148,B20,BlockRatings_AQ!$R$5:$R$148,"是",BlockRatings_AQ!$M$5:$M$148,"&gt;0")/COUNTIFS(BlockRatings_AQ!$A$5:$A$148,A20,BlockRatings_AQ!$F$5:$F$148,B20,BlockRatings_AQ!$R$5:$R$148,"是",BlockRatings_AQ!$M$5:$M$148,"&gt;0"),"")</f>
      </c>
      <c r="O20" s="149" t="str">
        <f>IFERROR(SUMIFS(BlockRatings_AQ!$N$5:$N$148,BlockRatings_AQ!$A$5:$A$148,A20,BlockRatings_AQ!$F$5:$F$148,B20,BlockRatings_AQ!$R$5:$R$148,"是",BlockRatings_AQ!$N$5:$N$148,"&gt;0")/COUNTIFS(BlockRatings_AQ!$A$5:$A$148,A20,BlockRatings_AQ!$F$5:$F$148,B20,BlockRatings_AQ!$R$5:$R$148,"是",BlockRatings_AQ!$N$5:$N$148,"&gt;0"),"")</f>
      </c>
      <c r="P20" s="149" t="str">
        <f>IF(COUNT(M20:O20)=3,AVERAGE(M20:O20),"")</f>
      </c>
      <c r="Q20" s="149" t="str">
        <f>IFERROR(SUMIFS(MethodRatings!$E$5:$E$52,MethodRatings!$A$5:$A$52,A20,MethodRatings!$D$5:$D$52,B20,MethodRatings!$E$5:$E$52,"&gt;0")/COUNTIFS(MethodRatings!$A$5:$A$52,A20,MethodRatings!$D$5:$D$52,B20,MethodRatings!$E$5:$E$52,"&gt;0"),"")</f>
      </c>
      <c r="R20" s="149" t="str">
        <f>IFERROR(SUMIFS(MethodRatings!$F$5:$F$52,MethodRatings!$A$5:$A$52,A20,MethodRatings!$D$5:$D$52,B20,MethodRatings!$F$5:$F$52,"&gt;0")/COUNTIFS(MethodRatings!$A$5:$A$52,A20,MethodRatings!$D$5:$D$52,B20,MethodRatings!$F$5:$F$52,"&gt;0"),"")</f>
      </c>
      <c r="S20" s="149" t="str">
        <f>IFERROR(SUMIFS(MethodRatings!$G$5:$G$52,MethodRatings!$A$5:$A$52,A20,MethodRatings!$D$5:$D$52,B20,MethodRatings!$G$5:$G$52,"&gt;0")/COUNTIFS(MethodRatings!$A$5:$A$52,A20,MethodRatings!$D$5:$D$52,B20,MethodRatings!$G$5:$G$52,"&gt;0"),"")</f>
      </c>
      <c r="T20" s="149" t="str">
        <f>IF(COUNT(Q20:S20)=3,AVERAGE(Q20:S20),"")</f>
      </c>
      <c r="U20" s="149" t="str">
        <f>IFERROR(SUMIFS(MethodRatings!$I$5:$I$52,MethodRatings!$A$5:$A$52,A20,MethodRatings!$D$5:$D$52,B20,MethodRatings!$I$5:$I$52,"&gt;0")/COUNTIFS(MethodRatings!$A$5:$A$52,A20,MethodRatings!$D$5:$D$52,B20,MethodRatings!$I$5:$I$52,"&gt;0"),"")</f>
      </c>
      <c r="V20" s="149" t="str">
        <f>IFERROR(SUMIFS(MethodRatings!$J$5:$J$52,MethodRatings!$A$5:$A$52,A20,MethodRatings!$D$5:$D$52,B20,MethodRatings!$J$5:$J$52,"&gt;0")/COUNTIFS(MethodRatings!$A$5:$A$52,A20,MethodRatings!$D$5:$D$52,B20,MethodRatings!$J$5:$J$52,"&gt;0"),"")</f>
      </c>
      <c r="W20" s="149" t="str">
        <f>IFERROR(SUMIFS(MethodRatings!$K$5:$K$52,MethodRatings!$A$5:$A$52,A20,MethodRatings!$D$5:$D$52,B20,MethodRatings!$K$5:$K$52,"&gt;0")/COUNTIFS(MethodRatings!$A$5:$A$52,A20,MethodRatings!$D$5:$D$52,B20,MethodRatings!$K$5:$K$52,"&gt;0"),"")</f>
      </c>
      <c r="X20" s="149" t="str">
        <f>IF(COUNT(U20:W20)=3,AVERAGE(U20:W20),"")</f>
      </c>
      <c r="Y20" s="149" t="str">
        <f>IFERROR(SUMIFS(MethodRatings!$M$5:$M$52,MethodRatings!$A$5:$A$52,A20,MethodRatings!$D$5:$D$52,B20,MethodRatings!$M$5:$M$52,"&gt;0")/COUNTIFS(MethodRatings!$A$5:$A$52,A20,MethodRatings!$D$5:$D$52,B20,MethodRatings!$M$5:$M$52,"&gt;0"),"")</f>
      </c>
      <c r="Z20" s="149" t="str">
        <f>IFERROR(SUMIFS(MethodRatings!$N$5:$N$52,MethodRatings!$A$5:$A$52,A20,MethodRatings!$D$5:$D$52,B20,MethodRatings!$N$5:$N$52,"&gt;0")/COUNTIFS(MethodRatings!$A$5:$A$52,A20,MethodRatings!$D$5:$D$52,B20,MethodRatings!$N$5:$N$52,"&gt;0"),"")</f>
      </c>
      <c r="AA20" s="149" t="str">
        <f>IFERROR(SUMIFS(MethodRatings!$O$5:$O$52,MethodRatings!$A$5:$A$52,A20,MethodRatings!$D$5:$D$52,B20,MethodRatings!$O$5:$O$52,"&gt;0")/COUNTIFS(MethodRatings!$A$5:$A$52,A20,MethodRatings!$D$5:$D$52,B20,MethodRatings!$O$5:$O$52,"&gt;0"),"")</f>
      </c>
      <c r="AB20" s="149" t="str">
        <f>IF(COUNT(I20:K20)=3,SUM(I20:K20),"")</f>
      </c>
      <c r="AC20" s="149" t="str">
        <f>IF(COUNT(M20:O20)=3,SUM(M20:O20),"")</f>
      </c>
      <c r="AD20" s="149" t="str">
        <f>IF(COUNT(Q20:S20)=3,SUM(Q20:S20),"")</f>
      </c>
      <c r="AE20" s="149" t="str">
        <f>IF(COUNT(U20:W20)=3,SUM(U20:W20),"")</f>
      </c>
      <c r="AF20" s="130" t="str">
        <f>IF((COUNT(F20:K20)+COUNT(M20:O20)+COUNT(Q20:S20)+COUNT(U20:W20)+COUNT(Y20:AA20))=18,"完整","缺失")</f>
        <v>缺失</v>
      </c>
    </row>
    <row r="21">
      <c r="A21" s="90" t="inlineStr">
        <is>
          <t>P017</t>
        </is>
      </c>
      <c r="B21" s="85" t="inlineStr">
        <is>
          <t>EgoAnchor</t>
        </is>
      </c>
      <c r="C21" s="129" t="str">
        <f>IF(B21=VLOOKUP(A21,Participants!$A$5:$W$28,22,FALSE),"方法A","方法B")</f>
        <v>方法B</v>
      </c>
      <c r="D21" s="129" t="str">
        <f>VLOOKUP(A21,Participants!$A$5:$B$28,2,FALSE)</f>
        <v>是</v>
      </c>
      <c r="E21" s="129" t="n">
        <f>COUNTIFS(TaskRatings!$A$5:$A$148,A21,TaskRatings!$F$5:$F$148,B21,TaskRatings!$O$5:$O$148,"是")</f>
        <v>3</v>
      </c>
      <c r="F21" s="149" t="str">
        <f>IFERROR(SUMIFS(TaskRatings!$H$5:$H$148,TaskRatings!$A$5:$A$148,A21,TaskRatings!$F$5:$F$148,B21,TaskRatings!$O$5:$O$148,"是",TaskRatings!$H$5:$H$148,"&gt;0")/COUNTIFS(TaskRatings!$A$5:$A$148,A21,TaskRatings!$F$5:$F$148,B21,TaskRatings!$O$5:$O$148,"是",TaskRatings!$H$5:$H$148,"&gt;0"),"")</f>
      </c>
      <c r="G21" s="149" t="str">
        <f>IFERROR(SUMIFS(TaskRatings!$J$5:$J$148,TaskRatings!$A$5:$A$148,A21,TaskRatings!$F$5:$F$148,B21,TaskRatings!$O$5:$O$148,"是",TaskRatings!$J$5:$J$148,"&gt;0")/COUNTIFS(TaskRatings!$A$5:$A$148,A21,TaskRatings!$F$5:$F$148,B21,TaskRatings!$O$5:$O$148,"是",TaskRatings!$J$5:$J$148,"&gt;0"),"")</f>
      </c>
      <c r="H21" s="149" t="str">
        <f>IFERROR(SUMIFS(TaskRatings!$L$5:$L$148,TaskRatings!$A$5:$A$148,A21,TaskRatings!$F$5:$F$148,B21,TaskRatings!$O$5:$O$148,"是",TaskRatings!$L$5:$L$148,"&gt;0")/COUNTIFS(TaskRatings!$A$5:$A$148,A21,TaskRatings!$F$5:$F$148,B21,TaskRatings!$O$5:$O$148,"是",TaskRatings!$L$5:$L$148,"&gt;0"),"")</f>
      </c>
      <c r="I21" s="149" t="str">
        <f>IFERROR(SUMIFS(BlockRatings_AQ!$H$5:$H$148,BlockRatings_AQ!$A$5:$A$148,A21,BlockRatings_AQ!$F$5:$F$148,B21,BlockRatings_AQ!$R$5:$R$148,"是",BlockRatings_AQ!$H$5:$H$148,"&gt;0")/COUNTIFS(BlockRatings_AQ!$A$5:$A$148,A21,BlockRatings_AQ!$F$5:$F$148,B21,BlockRatings_AQ!$R$5:$R$148,"是",BlockRatings_AQ!$H$5:$H$148,"&gt;0"),"")</f>
      </c>
      <c r="J21" s="149" t="str">
        <f>IFERROR(SUMIFS(BlockRatings_AQ!$I$5:$I$148,BlockRatings_AQ!$A$5:$A$148,A21,BlockRatings_AQ!$F$5:$F$148,B21,BlockRatings_AQ!$R$5:$R$148,"是",BlockRatings_AQ!$I$5:$I$148,"&gt;0")/COUNTIFS(BlockRatings_AQ!$A$5:$A$148,A21,BlockRatings_AQ!$F$5:$F$148,B21,BlockRatings_AQ!$R$5:$R$148,"是",BlockRatings_AQ!$I$5:$I$148,"&gt;0"),"")</f>
      </c>
      <c r="K21" s="149" t="str">
        <f>IFERROR(SUMIFS(BlockRatings_AQ!$J$5:$J$148,BlockRatings_AQ!$A$5:$A$148,A21,BlockRatings_AQ!$F$5:$F$148,B21,BlockRatings_AQ!$R$5:$R$148,"是",BlockRatings_AQ!$J$5:$J$148,"&gt;0")/COUNTIFS(BlockRatings_AQ!$A$5:$A$148,A21,BlockRatings_AQ!$F$5:$F$148,B21,BlockRatings_AQ!$R$5:$R$148,"是",BlockRatings_AQ!$J$5:$J$148,"&gt;0"),"")</f>
      </c>
      <c r="L21" s="149" t="str">
        <f>IF(COUNT(I21:K21)=3,AVERAGE(I21:K21),"")</f>
      </c>
      <c r="M21" s="149" t="str">
        <f>IFERROR(SUMIFS(BlockRatings_AQ!$L$5:$L$148,BlockRatings_AQ!$A$5:$A$148,A21,BlockRatings_AQ!$F$5:$F$148,B21,BlockRatings_AQ!$R$5:$R$148,"是",BlockRatings_AQ!$L$5:$L$148,"&gt;0")/COUNTIFS(BlockRatings_AQ!$A$5:$A$148,A21,BlockRatings_AQ!$F$5:$F$148,B21,BlockRatings_AQ!$R$5:$R$148,"是",BlockRatings_AQ!$L$5:$L$148,"&gt;0"),"")</f>
      </c>
      <c r="N21" s="149" t="str">
        <f>IFERROR(SUMIFS(BlockRatings_AQ!$M$5:$M$148,BlockRatings_AQ!$A$5:$A$148,A21,BlockRatings_AQ!$F$5:$F$148,B21,BlockRatings_AQ!$R$5:$R$148,"是",BlockRatings_AQ!$M$5:$M$148,"&gt;0")/COUNTIFS(BlockRatings_AQ!$A$5:$A$148,A21,BlockRatings_AQ!$F$5:$F$148,B21,BlockRatings_AQ!$R$5:$R$148,"是",BlockRatings_AQ!$M$5:$M$148,"&gt;0"),"")</f>
      </c>
      <c r="O21" s="149" t="str">
        <f>IFERROR(SUMIFS(BlockRatings_AQ!$N$5:$N$148,BlockRatings_AQ!$A$5:$A$148,A21,BlockRatings_AQ!$F$5:$F$148,B21,BlockRatings_AQ!$R$5:$R$148,"是",BlockRatings_AQ!$N$5:$N$148,"&gt;0")/COUNTIFS(BlockRatings_AQ!$A$5:$A$148,A21,BlockRatings_AQ!$F$5:$F$148,B21,BlockRatings_AQ!$R$5:$R$148,"是",BlockRatings_AQ!$N$5:$N$148,"&gt;0"),"")</f>
      </c>
      <c r="P21" s="149" t="str">
        <f>IF(COUNT(M21:O21)=3,AVERAGE(M21:O21),"")</f>
      </c>
      <c r="Q21" s="149" t="str">
        <f>IFERROR(SUMIFS(MethodRatings!$E$5:$E$52,MethodRatings!$A$5:$A$52,A21,MethodRatings!$D$5:$D$52,B21,MethodRatings!$E$5:$E$52,"&gt;0")/COUNTIFS(MethodRatings!$A$5:$A$52,A21,MethodRatings!$D$5:$D$52,B21,MethodRatings!$E$5:$E$52,"&gt;0"),"")</f>
      </c>
      <c r="R21" s="149" t="str">
        <f>IFERROR(SUMIFS(MethodRatings!$F$5:$F$52,MethodRatings!$A$5:$A$52,A21,MethodRatings!$D$5:$D$52,B21,MethodRatings!$F$5:$F$52,"&gt;0")/COUNTIFS(MethodRatings!$A$5:$A$52,A21,MethodRatings!$D$5:$D$52,B21,MethodRatings!$F$5:$F$52,"&gt;0"),"")</f>
      </c>
      <c r="S21" s="149" t="str">
        <f>IFERROR(SUMIFS(MethodRatings!$G$5:$G$52,MethodRatings!$A$5:$A$52,A21,MethodRatings!$D$5:$D$52,B21,MethodRatings!$G$5:$G$52,"&gt;0")/COUNTIFS(MethodRatings!$A$5:$A$52,A21,MethodRatings!$D$5:$D$52,B21,MethodRatings!$G$5:$G$52,"&gt;0"),"")</f>
      </c>
      <c r="T21" s="149" t="str">
        <f>IF(COUNT(Q21:S21)=3,AVERAGE(Q21:S21),"")</f>
      </c>
      <c r="U21" s="149" t="str">
        <f>IFERROR(SUMIFS(MethodRatings!$I$5:$I$52,MethodRatings!$A$5:$A$52,A21,MethodRatings!$D$5:$D$52,B21,MethodRatings!$I$5:$I$52,"&gt;0")/COUNTIFS(MethodRatings!$A$5:$A$52,A21,MethodRatings!$D$5:$D$52,B21,MethodRatings!$I$5:$I$52,"&gt;0"),"")</f>
      </c>
      <c r="V21" s="149" t="str">
        <f>IFERROR(SUMIFS(MethodRatings!$J$5:$J$52,MethodRatings!$A$5:$A$52,A21,MethodRatings!$D$5:$D$52,B21,MethodRatings!$J$5:$J$52,"&gt;0")/COUNTIFS(MethodRatings!$A$5:$A$52,A21,MethodRatings!$D$5:$D$52,B21,MethodRatings!$J$5:$J$52,"&gt;0"),"")</f>
      </c>
      <c r="W21" s="149" t="str">
        <f>IFERROR(SUMIFS(MethodRatings!$K$5:$K$52,MethodRatings!$A$5:$A$52,A21,MethodRatings!$D$5:$D$52,B21,MethodRatings!$K$5:$K$52,"&gt;0")/COUNTIFS(MethodRatings!$A$5:$A$52,A21,MethodRatings!$D$5:$D$52,B21,MethodRatings!$K$5:$K$52,"&gt;0"),"")</f>
      </c>
      <c r="X21" s="149" t="str">
        <f>IF(COUNT(U21:W21)=3,AVERAGE(U21:W21),"")</f>
      </c>
      <c r="Y21" s="149" t="str">
        <f>IFERROR(SUMIFS(MethodRatings!$M$5:$M$52,MethodRatings!$A$5:$A$52,A21,MethodRatings!$D$5:$D$52,B21,MethodRatings!$M$5:$M$52,"&gt;0")/COUNTIFS(MethodRatings!$A$5:$A$52,A21,MethodRatings!$D$5:$D$52,B21,MethodRatings!$M$5:$M$52,"&gt;0"),"")</f>
      </c>
      <c r="Z21" s="149" t="str">
        <f>IFERROR(SUMIFS(MethodRatings!$N$5:$N$52,MethodRatings!$A$5:$A$52,A21,MethodRatings!$D$5:$D$52,B21,MethodRatings!$N$5:$N$52,"&gt;0")/COUNTIFS(MethodRatings!$A$5:$A$52,A21,MethodRatings!$D$5:$D$52,B21,MethodRatings!$N$5:$N$52,"&gt;0"),"")</f>
      </c>
      <c r="AA21" s="149" t="str">
        <f>IFERROR(SUMIFS(MethodRatings!$O$5:$O$52,MethodRatings!$A$5:$A$52,A21,MethodRatings!$D$5:$D$52,B21,MethodRatings!$O$5:$O$52,"&gt;0")/COUNTIFS(MethodRatings!$A$5:$A$52,A21,MethodRatings!$D$5:$D$52,B21,MethodRatings!$O$5:$O$52,"&gt;0"),"")</f>
      </c>
      <c r="AB21" s="149" t="str">
        <f>IF(COUNT(I21:K21)=3,SUM(I21:K21),"")</f>
      </c>
      <c r="AC21" s="149" t="str">
        <f>IF(COUNT(M21:O21)=3,SUM(M21:O21),"")</f>
      </c>
      <c r="AD21" s="149" t="str">
        <f>IF(COUNT(Q21:S21)=3,SUM(Q21:S21),"")</f>
      </c>
      <c r="AE21" s="149" t="str">
        <f>IF(COUNT(U21:W21)=3,SUM(U21:W21),"")</f>
      </c>
      <c r="AF21" s="130" t="str">
        <f>IF((COUNT(F21:K21)+COUNT(M21:O21)+COUNT(Q21:S21)+COUNT(U21:W21)+COUNT(Y21:AA21))=18,"完整","缺失")</f>
        <v>缺失</v>
      </c>
    </row>
    <row r="22">
      <c r="A22" s="90" t="inlineStr">
        <is>
          <t>P018</t>
        </is>
      </c>
      <c r="B22" s="85" t="inlineStr">
        <is>
          <t>EgoAnchor</t>
        </is>
      </c>
      <c r="C22" s="129" t="str">
        <f>IF(B22=VLOOKUP(A22,Participants!$A$5:$W$28,22,FALSE),"方法A","方法B")</f>
        <v>方法B</v>
      </c>
      <c r="D22" s="129" t="str">
        <f>VLOOKUP(A22,Participants!$A$5:$B$28,2,FALSE)</f>
        <v>是</v>
      </c>
      <c r="E22" s="129" t="n">
        <f>COUNTIFS(TaskRatings!$A$5:$A$148,A22,TaskRatings!$F$5:$F$148,B22,TaskRatings!$O$5:$O$148,"是")</f>
        <v>3</v>
      </c>
      <c r="F22" s="149" t="str">
        <f>IFERROR(SUMIFS(TaskRatings!$H$5:$H$148,TaskRatings!$A$5:$A$148,A22,TaskRatings!$F$5:$F$148,B22,TaskRatings!$O$5:$O$148,"是",TaskRatings!$H$5:$H$148,"&gt;0")/COUNTIFS(TaskRatings!$A$5:$A$148,A22,TaskRatings!$F$5:$F$148,B22,TaskRatings!$O$5:$O$148,"是",TaskRatings!$H$5:$H$148,"&gt;0"),"")</f>
      </c>
      <c r="G22" s="149" t="str">
        <f>IFERROR(SUMIFS(TaskRatings!$J$5:$J$148,TaskRatings!$A$5:$A$148,A22,TaskRatings!$F$5:$F$148,B22,TaskRatings!$O$5:$O$148,"是",TaskRatings!$J$5:$J$148,"&gt;0")/COUNTIFS(TaskRatings!$A$5:$A$148,A22,TaskRatings!$F$5:$F$148,B22,TaskRatings!$O$5:$O$148,"是",TaskRatings!$J$5:$J$148,"&gt;0"),"")</f>
      </c>
      <c r="H22" s="149" t="str">
        <f>IFERROR(SUMIFS(TaskRatings!$L$5:$L$148,TaskRatings!$A$5:$A$148,A22,TaskRatings!$F$5:$F$148,B22,TaskRatings!$O$5:$O$148,"是",TaskRatings!$L$5:$L$148,"&gt;0")/COUNTIFS(TaskRatings!$A$5:$A$148,A22,TaskRatings!$F$5:$F$148,B22,TaskRatings!$O$5:$O$148,"是",TaskRatings!$L$5:$L$148,"&gt;0"),"")</f>
      </c>
      <c r="I22" s="149" t="str">
        <f>IFERROR(SUMIFS(BlockRatings_AQ!$H$5:$H$148,BlockRatings_AQ!$A$5:$A$148,A22,BlockRatings_AQ!$F$5:$F$148,B22,BlockRatings_AQ!$R$5:$R$148,"是",BlockRatings_AQ!$H$5:$H$148,"&gt;0")/COUNTIFS(BlockRatings_AQ!$A$5:$A$148,A22,BlockRatings_AQ!$F$5:$F$148,B22,BlockRatings_AQ!$R$5:$R$148,"是",BlockRatings_AQ!$H$5:$H$148,"&gt;0"),"")</f>
      </c>
      <c r="J22" s="149" t="str">
        <f>IFERROR(SUMIFS(BlockRatings_AQ!$I$5:$I$148,BlockRatings_AQ!$A$5:$A$148,A22,BlockRatings_AQ!$F$5:$F$148,B22,BlockRatings_AQ!$R$5:$R$148,"是",BlockRatings_AQ!$I$5:$I$148,"&gt;0")/COUNTIFS(BlockRatings_AQ!$A$5:$A$148,A22,BlockRatings_AQ!$F$5:$F$148,B22,BlockRatings_AQ!$R$5:$R$148,"是",BlockRatings_AQ!$I$5:$I$148,"&gt;0"),"")</f>
      </c>
      <c r="K22" s="149" t="str">
        <f>IFERROR(SUMIFS(BlockRatings_AQ!$J$5:$J$148,BlockRatings_AQ!$A$5:$A$148,A22,BlockRatings_AQ!$F$5:$F$148,B22,BlockRatings_AQ!$R$5:$R$148,"是",BlockRatings_AQ!$J$5:$J$148,"&gt;0")/COUNTIFS(BlockRatings_AQ!$A$5:$A$148,A22,BlockRatings_AQ!$F$5:$F$148,B22,BlockRatings_AQ!$R$5:$R$148,"是",BlockRatings_AQ!$J$5:$J$148,"&gt;0"),"")</f>
      </c>
      <c r="L22" s="149" t="str">
        <f>IF(COUNT(I22:K22)=3,AVERAGE(I22:K22),"")</f>
      </c>
      <c r="M22" s="149" t="str">
        <f>IFERROR(SUMIFS(BlockRatings_AQ!$L$5:$L$148,BlockRatings_AQ!$A$5:$A$148,A22,BlockRatings_AQ!$F$5:$F$148,B22,BlockRatings_AQ!$R$5:$R$148,"是",BlockRatings_AQ!$L$5:$L$148,"&gt;0")/COUNTIFS(BlockRatings_AQ!$A$5:$A$148,A22,BlockRatings_AQ!$F$5:$F$148,B22,BlockRatings_AQ!$R$5:$R$148,"是",BlockRatings_AQ!$L$5:$L$148,"&gt;0"),"")</f>
      </c>
      <c r="N22" s="149" t="str">
        <f>IFERROR(SUMIFS(BlockRatings_AQ!$M$5:$M$148,BlockRatings_AQ!$A$5:$A$148,A22,BlockRatings_AQ!$F$5:$F$148,B22,BlockRatings_AQ!$R$5:$R$148,"是",BlockRatings_AQ!$M$5:$M$148,"&gt;0")/COUNTIFS(BlockRatings_AQ!$A$5:$A$148,A22,BlockRatings_AQ!$F$5:$F$148,B22,BlockRatings_AQ!$R$5:$R$148,"是",BlockRatings_AQ!$M$5:$M$148,"&gt;0"),"")</f>
      </c>
      <c r="O22" s="149" t="str">
        <f>IFERROR(SUMIFS(BlockRatings_AQ!$N$5:$N$148,BlockRatings_AQ!$A$5:$A$148,A22,BlockRatings_AQ!$F$5:$F$148,B22,BlockRatings_AQ!$R$5:$R$148,"是",BlockRatings_AQ!$N$5:$N$148,"&gt;0")/COUNTIFS(BlockRatings_AQ!$A$5:$A$148,A22,BlockRatings_AQ!$F$5:$F$148,B22,BlockRatings_AQ!$R$5:$R$148,"是",BlockRatings_AQ!$N$5:$N$148,"&gt;0"),"")</f>
      </c>
      <c r="P22" s="149" t="str">
        <f>IF(COUNT(M22:O22)=3,AVERAGE(M22:O22),"")</f>
      </c>
      <c r="Q22" s="149" t="str">
        <f>IFERROR(SUMIFS(MethodRatings!$E$5:$E$52,MethodRatings!$A$5:$A$52,A22,MethodRatings!$D$5:$D$52,B22,MethodRatings!$E$5:$E$52,"&gt;0")/COUNTIFS(MethodRatings!$A$5:$A$52,A22,MethodRatings!$D$5:$D$52,B22,MethodRatings!$E$5:$E$52,"&gt;0"),"")</f>
      </c>
      <c r="R22" s="149" t="str">
        <f>IFERROR(SUMIFS(MethodRatings!$F$5:$F$52,MethodRatings!$A$5:$A$52,A22,MethodRatings!$D$5:$D$52,B22,MethodRatings!$F$5:$F$52,"&gt;0")/COUNTIFS(MethodRatings!$A$5:$A$52,A22,MethodRatings!$D$5:$D$52,B22,MethodRatings!$F$5:$F$52,"&gt;0"),"")</f>
      </c>
      <c r="S22" s="149" t="str">
        <f>IFERROR(SUMIFS(MethodRatings!$G$5:$G$52,MethodRatings!$A$5:$A$52,A22,MethodRatings!$D$5:$D$52,B22,MethodRatings!$G$5:$G$52,"&gt;0")/COUNTIFS(MethodRatings!$A$5:$A$52,A22,MethodRatings!$D$5:$D$52,B22,MethodRatings!$G$5:$G$52,"&gt;0"),"")</f>
      </c>
      <c r="T22" s="149" t="str">
        <f>IF(COUNT(Q22:S22)=3,AVERAGE(Q22:S22),"")</f>
      </c>
      <c r="U22" s="149" t="str">
        <f>IFERROR(SUMIFS(MethodRatings!$I$5:$I$52,MethodRatings!$A$5:$A$52,A22,MethodRatings!$D$5:$D$52,B22,MethodRatings!$I$5:$I$52,"&gt;0")/COUNTIFS(MethodRatings!$A$5:$A$52,A22,MethodRatings!$D$5:$D$52,B22,MethodRatings!$I$5:$I$52,"&gt;0"),"")</f>
      </c>
      <c r="V22" s="149" t="str">
        <f>IFERROR(SUMIFS(MethodRatings!$J$5:$J$52,MethodRatings!$A$5:$A$52,A22,MethodRatings!$D$5:$D$52,B22,MethodRatings!$J$5:$J$52,"&gt;0")/COUNTIFS(MethodRatings!$A$5:$A$52,A22,MethodRatings!$D$5:$D$52,B22,MethodRatings!$J$5:$J$52,"&gt;0"),"")</f>
      </c>
      <c r="W22" s="149" t="str">
        <f>IFERROR(SUMIFS(MethodRatings!$K$5:$K$52,MethodRatings!$A$5:$A$52,A22,MethodRatings!$D$5:$D$52,B22,MethodRatings!$K$5:$K$52,"&gt;0")/COUNTIFS(MethodRatings!$A$5:$A$52,A22,MethodRatings!$D$5:$D$52,B22,MethodRatings!$K$5:$K$52,"&gt;0"),"")</f>
      </c>
      <c r="X22" s="149" t="str">
        <f>IF(COUNT(U22:W22)=3,AVERAGE(U22:W22),"")</f>
      </c>
      <c r="Y22" s="149" t="str">
        <f>IFERROR(SUMIFS(MethodRatings!$M$5:$M$52,MethodRatings!$A$5:$A$52,A22,MethodRatings!$D$5:$D$52,B22,MethodRatings!$M$5:$M$52,"&gt;0")/COUNTIFS(MethodRatings!$A$5:$A$52,A22,MethodRatings!$D$5:$D$52,B22,MethodRatings!$M$5:$M$52,"&gt;0"),"")</f>
      </c>
      <c r="Z22" s="149" t="str">
        <f>IFERROR(SUMIFS(MethodRatings!$N$5:$N$52,MethodRatings!$A$5:$A$52,A22,MethodRatings!$D$5:$D$52,B22,MethodRatings!$N$5:$N$52,"&gt;0")/COUNTIFS(MethodRatings!$A$5:$A$52,A22,MethodRatings!$D$5:$D$52,B22,MethodRatings!$N$5:$N$52,"&gt;0"),"")</f>
      </c>
      <c r="AA22" s="149" t="str">
        <f>IFERROR(SUMIFS(MethodRatings!$O$5:$O$52,MethodRatings!$A$5:$A$52,A22,MethodRatings!$D$5:$D$52,B22,MethodRatings!$O$5:$O$52,"&gt;0")/COUNTIFS(MethodRatings!$A$5:$A$52,A22,MethodRatings!$D$5:$D$52,B22,MethodRatings!$O$5:$O$52,"&gt;0"),"")</f>
      </c>
      <c r="AB22" s="149" t="str">
        <f>IF(COUNT(I22:K22)=3,SUM(I22:K22),"")</f>
      </c>
      <c r="AC22" s="149" t="str">
        <f>IF(COUNT(M22:O22)=3,SUM(M22:O22),"")</f>
      </c>
      <c r="AD22" s="149" t="str">
        <f>IF(COUNT(Q22:S22)=3,SUM(Q22:S22),"")</f>
      </c>
      <c r="AE22" s="149" t="str">
        <f>IF(COUNT(U22:W22)=3,SUM(U22:W22),"")</f>
      </c>
      <c r="AF22" s="130" t="str">
        <f>IF((COUNT(F22:K22)+COUNT(M22:O22)+COUNT(Q22:S22)+COUNT(U22:W22)+COUNT(Y22:AA22))=18,"完整","缺失")</f>
        <v>缺失</v>
      </c>
    </row>
    <row r="23">
      <c r="A23" s="90" t="inlineStr">
        <is>
          <t>P019</t>
        </is>
      </c>
      <c r="B23" s="85" t="inlineStr">
        <is>
          <t>EgoAnchor</t>
        </is>
      </c>
      <c r="C23" s="129" t="str">
        <f>IF(B23=VLOOKUP(A23,Participants!$A$5:$W$28,22,FALSE),"方法A","方法B")</f>
        <v>方法B</v>
      </c>
      <c r="D23" s="129" t="str">
        <f>VLOOKUP(A23,Participants!$A$5:$B$28,2,FALSE)</f>
        <v>是</v>
      </c>
      <c r="E23" s="129" t="n">
        <f>COUNTIFS(TaskRatings!$A$5:$A$148,A23,TaskRatings!$F$5:$F$148,B23,TaskRatings!$O$5:$O$148,"是")</f>
        <v>3</v>
      </c>
      <c r="F23" s="149" t="str">
        <f>IFERROR(SUMIFS(TaskRatings!$H$5:$H$148,TaskRatings!$A$5:$A$148,A23,TaskRatings!$F$5:$F$148,B23,TaskRatings!$O$5:$O$148,"是",TaskRatings!$H$5:$H$148,"&gt;0")/COUNTIFS(TaskRatings!$A$5:$A$148,A23,TaskRatings!$F$5:$F$148,B23,TaskRatings!$O$5:$O$148,"是",TaskRatings!$H$5:$H$148,"&gt;0"),"")</f>
      </c>
      <c r="G23" s="149" t="str">
        <f>IFERROR(SUMIFS(TaskRatings!$J$5:$J$148,TaskRatings!$A$5:$A$148,A23,TaskRatings!$F$5:$F$148,B23,TaskRatings!$O$5:$O$148,"是",TaskRatings!$J$5:$J$148,"&gt;0")/COUNTIFS(TaskRatings!$A$5:$A$148,A23,TaskRatings!$F$5:$F$148,B23,TaskRatings!$O$5:$O$148,"是",TaskRatings!$J$5:$J$148,"&gt;0"),"")</f>
      </c>
      <c r="H23" s="149" t="str">
        <f>IFERROR(SUMIFS(TaskRatings!$L$5:$L$148,TaskRatings!$A$5:$A$148,A23,TaskRatings!$F$5:$F$148,B23,TaskRatings!$O$5:$O$148,"是",TaskRatings!$L$5:$L$148,"&gt;0")/COUNTIFS(TaskRatings!$A$5:$A$148,A23,TaskRatings!$F$5:$F$148,B23,TaskRatings!$O$5:$O$148,"是",TaskRatings!$L$5:$L$148,"&gt;0"),"")</f>
      </c>
      <c r="I23" s="149" t="str">
        <f>IFERROR(SUMIFS(BlockRatings_AQ!$H$5:$H$148,BlockRatings_AQ!$A$5:$A$148,A23,BlockRatings_AQ!$F$5:$F$148,B23,BlockRatings_AQ!$R$5:$R$148,"是",BlockRatings_AQ!$H$5:$H$148,"&gt;0")/COUNTIFS(BlockRatings_AQ!$A$5:$A$148,A23,BlockRatings_AQ!$F$5:$F$148,B23,BlockRatings_AQ!$R$5:$R$148,"是",BlockRatings_AQ!$H$5:$H$148,"&gt;0"),"")</f>
      </c>
      <c r="J23" s="149" t="str">
        <f>IFERROR(SUMIFS(BlockRatings_AQ!$I$5:$I$148,BlockRatings_AQ!$A$5:$A$148,A23,BlockRatings_AQ!$F$5:$F$148,B23,BlockRatings_AQ!$R$5:$R$148,"是",BlockRatings_AQ!$I$5:$I$148,"&gt;0")/COUNTIFS(BlockRatings_AQ!$A$5:$A$148,A23,BlockRatings_AQ!$F$5:$F$148,B23,BlockRatings_AQ!$R$5:$R$148,"是",BlockRatings_AQ!$I$5:$I$148,"&gt;0"),"")</f>
      </c>
      <c r="K23" s="149" t="str">
        <f>IFERROR(SUMIFS(BlockRatings_AQ!$J$5:$J$148,BlockRatings_AQ!$A$5:$A$148,A23,BlockRatings_AQ!$F$5:$F$148,B23,BlockRatings_AQ!$R$5:$R$148,"是",BlockRatings_AQ!$J$5:$J$148,"&gt;0")/COUNTIFS(BlockRatings_AQ!$A$5:$A$148,A23,BlockRatings_AQ!$F$5:$F$148,B23,BlockRatings_AQ!$R$5:$R$148,"是",BlockRatings_AQ!$J$5:$J$148,"&gt;0"),"")</f>
      </c>
      <c r="L23" s="149" t="str">
        <f>IF(COUNT(I23:K23)=3,AVERAGE(I23:K23),"")</f>
      </c>
      <c r="M23" s="149" t="str">
        <f>IFERROR(SUMIFS(BlockRatings_AQ!$L$5:$L$148,BlockRatings_AQ!$A$5:$A$148,A23,BlockRatings_AQ!$F$5:$F$148,B23,BlockRatings_AQ!$R$5:$R$148,"是",BlockRatings_AQ!$L$5:$L$148,"&gt;0")/COUNTIFS(BlockRatings_AQ!$A$5:$A$148,A23,BlockRatings_AQ!$F$5:$F$148,B23,BlockRatings_AQ!$R$5:$R$148,"是",BlockRatings_AQ!$L$5:$L$148,"&gt;0"),"")</f>
      </c>
      <c r="N23" s="149" t="str">
        <f>IFERROR(SUMIFS(BlockRatings_AQ!$M$5:$M$148,BlockRatings_AQ!$A$5:$A$148,A23,BlockRatings_AQ!$F$5:$F$148,B23,BlockRatings_AQ!$R$5:$R$148,"是",BlockRatings_AQ!$M$5:$M$148,"&gt;0")/COUNTIFS(BlockRatings_AQ!$A$5:$A$148,A23,BlockRatings_AQ!$F$5:$F$148,B23,BlockRatings_AQ!$R$5:$R$148,"是",BlockRatings_AQ!$M$5:$M$148,"&gt;0"),"")</f>
      </c>
      <c r="O23" s="149" t="str">
        <f>IFERROR(SUMIFS(BlockRatings_AQ!$N$5:$N$148,BlockRatings_AQ!$A$5:$A$148,A23,BlockRatings_AQ!$F$5:$F$148,B23,BlockRatings_AQ!$R$5:$R$148,"是",BlockRatings_AQ!$N$5:$N$148,"&gt;0")/COUNTIFS(BlockRatings_AQ!$A$5:$A$148,A23,BlockRatings_AQ!$F$5:$F$148,B23,BlockRatings_AQ!$R$5:$R$148,"是",BlockRatings_AQ!$N$5:$N$148,"&gt;0"),"")</f>
      </c>
      <c r="P23" s="149" t="str">
        <f>IF(COUNT(M23:O23)=3,AVERAGE(M23:O23),"")</f>
      </c>
      <c r="Q23" s="149" t="str">
        <f>IFERROR(SUMIFS(MethodRatings!$E$5:$E$52,MethodRatings!$A$5:$A$52,A23,MethodRatings!$D$5:$D$52,B23,MethodRatings!$E$5:$E$52,"&gt;0")/COUNTIFS(MethodRatings!$A$5:$A$52,A23,MethodRatings!$D$5:$D$52,B23,MethodRatings!$E$5:$E$52,"&gt;0"),"")</f>
      </c>
      <c r="R23" s="149" t="str">
        <f>IFERROR(SUMIFS(MethodRatings!$F$5:$F$52,MethodRatings!$A$5:$A$52,A23,MethodRatings!$D$5:$D$52,B23,MethodRatings!$F$5:$F$52,"&gt;0")/COUNTIFS(MethodRatings!$A$5:$A$52,A23,MethodRatings!$D$5:$D$52,B23,MethodRatings!$F$5:$F$52,"&gt;0"),"")</f>
      </c>
      <c r="S23" s="149" t="str">
        <f>IFERROR(SUMIFS(MethodRatings!$G$5:$G$52,MethodRatings!$A$5:$A$52,A23,MethodRatings!$D$5:$D$52,B23,MethodRatings!$G$5:$G$52,"&gt;0")/COUNTIFS(MethodRatings!$A$5:$A$52,A23,MethodRatings!$D$5:$D$52,B23,MethodRatings!$G$5:$G$52,"&gt;0"),"")</f>
      </c>
      <c r="T23" s="149" t="str">
        <f>IF(COUNT(Q23:S23)=3,AVERAGE(Q23:S23),"")</f>
      </c>
      <c r="U23" s="149" t="str">
        <f>IFERROR(SUMIFS(MethodRatings!$I$5:$I$52,MethodRatings!$A$5:$A$52,A23,MethodRatings!$D$5:$D$52,B23,MethodRatings!$I$5:$I$52,"&gt;0")/COUNTIFS(MethodRatings!$A$5:$A$52,A23,MethodRatings!$D$5:$D$52,B23,MethodRatings!$I$5:$I$52,"&gt;0"),"")</f>
      </c>
      <c r="V23" s="149" t="str">
        <f>IFERROR(SUMIFS(MethodRatings!$J$5:$J$52,MethodRatings!$A$5:$A$52,A23,MethodRatings!$D$5:$D$52,B23,MethodRatings!$J$5:$J$52,"&gt;0")/COUNTIFS(MethodRatings!$A$5:$A$52,A23,MethodRatings!$D$5:$D$52,B23,MethodRatings!$J$5:$J$52,"&gt;0"),"")</f>
      </c>
      <c r="W23" s="149" t="str">
        <f>IFERROR(SUMIFS(MethodRatings!$K$5:$K$52,MethodRatings!$A$5:$A$52,A23,MethodRatings!$D$5:$D$52,B23,MethodRatings!$K$5:$K$52,"&gt;0")/COUNTIFS(MethodRatings!$A$5:$A$52,A23,MethodRatings!$D$5:$D$52,B23,MethodRatings!$K$5:$K$52,"&gt;0"),"")</f>
      </c>
      <c r="X23" s="149" t="str">
        <f>IF(COUNT(U23:W23)=3,AVERAGE(U23:W23),"")</f>
      </c>
      <c r="Y23" s="149" t="str">
        <f>IFERROR(SUMIFS(MethodRatings!$M$5:$M$52,MethodRatings!$A$5:$A$52,A23,MethodRatings!$D$5:$D$52,B23,MethodRatings!$M$5:$M$52,"&gt;0")/COUNTIFS(MethodRatings!$A$5:$A$52,A23,MethodRatings!$D$5:$D$52,B23,MethodRatings!$M$5:$M$52,"&gt;0"),"")</f>
      </c>
      <c r="Z23" s="149" t="str">
        <f>IFERROR(SUMIFS(MethodRatings!$N$5:$N$52,MethodRatings!$A$5:$A$52,A23,MethodRatings!$D$5:$D$52,B23,MethodRatings!$N$5:$N$52,"&gt;0")/COUNTIFS(MethodRatings!$A$5:$A$52,A23,MethodRatings!$D$5:$D$52,B23,MethodRatings!$N$5:$N$52,"&gt;0"),"")</f>
      </c>
      <c r="AA23" s="149" t="str">
        <f>IFERROR(SUMIFS(MethodRatings!$O$5:$O$52,MethodRatings!$A$5:$A$52,A23,MethodRatings!$D$5:$D$52,B23,MethodRatings!$O$5:$O$52,"&gt;0")/COUNTIFS(MethodRatings!$A$5:$A$52,A23,MethodRatings!$D$5:$D$52,B23,MethodRatings!$O$5:$O$52,"&gt;0"),"")</f>
      </c>
      <c r="AB23" s="149" t="str">
        <f>IF(COUNT(I23:K23)=3,SUM(I23:K23),"")</f>
      </c>
      <c r="AC23" s="149" t="str">
        <f>IF(COUNT(M23:O23)=3,SUM(M23:O23),"")</f>
      </c>
      <c r="AD23" s="149" t="str">
        <f>IF(COUNT(Q23:S23)=3,SUM(Q23:S23),"")</f>
      </c>
      <c r="AE23" s="149" t="str">
        <f>IF(COUNT(U23:W23)=3,SUM(U23:W23),"")</f>
      </c>
      <c r="AF23" s="130" t="str">
        <f>IF((COUNT(F23:K23)+COUNT(M23:O23)+COUNT(Q23:S23)+COUNT(U23:W23)+COUNT(Y23:AA23))=18,"完整","缺失")</f>
        <v>缺失</v>
      </c>
    </row>
    <row r="24">
      <c r="A24" s="90" t="inlineStr">
        <is>
          <t>P020</t>
        </is>
      </c>
      <c r="B24" s="85" t="inlineStr">
        <is>
          <t>EgoAnchor</t>
        </is>
      </c>
      <c r="C24" s="129" t="str">
        <f>IF(B24=VLOOKUP(A24,Participants!$A$5:$W$28,22,FALSE),"方法A","方法B")</f>
        <v>方法B</v>
      </c>
      <c r="D24" s="129" t="str">
        <f>VLOOKUP(A24,Participants!$A$5:$B$28,2,FALSE)</f>
        <v>是</v>
      </c>
      <c r="E24" s="129" t="n">
        <f>COUNTIFS(TaskRatings!$A$5:$A$148,A24,TaskRatings!$F$5:$F$148,B24,TaskRatings!$O$5:$O$148,"是")</f>
        <v>3</v>
      </c>
      <c r="F24" s="149" t="str">
        <f>IFERROR(SUMIFS(TaskRatings!$H$5:$H$148,TaskRatings!$A$5:$A$148,A24,TaskRatings!$F$5:$F$148,B24,TaskRatings!$O$5:$O$148,"是",TaskRatings!$H$5:$H$148,"&gt;0")/COUNTIFS(TaskRatings!$A$5:$A$148,A24,TaskRatings!$F$5:$F$148,B24,TaskRatings!$O$5:$O$148,"是",TaskRatings!$H$5:$H$148,"&gt;0"),"")</f>
      </c>
      <c r="G24" s="149" t="str">
        <f>IFERROR(SUMIFS(TaskRatings!$J$5:$J$148,TaskRatings!$A$5:$A$148,A24,TaskRatings!$F$5:$F$148,B24,TaskRatings!$O$5:$O$148,"是",TaskRatings!$J$5:$J$148,"&gt;0")/COUNTIFS(TaskRatings!$A$5:$A$148,A24,TaskRatings!$F$5:$F$148,B24,TaskRatings!$O$5:$O$148,"是",TaskRatings!$J$5:$J$148,"&gt;0"),"")</f>
      </c>
      <c r="H24" s="149" t="str">
        <f>IFERROR(SUMIFS(TaskRatings!$L$5:$L$148,TaskRatings!$A$5:$A$148,A24,TaskRatings!$F$5:$F$148,B24,TaskRatings!$O$5:$O$148,"是",TaskRatings!$L$5:$L$148,"&gt;0")/COUNTIFS(TaskRatings!$A$5:$A$148,A24,TaskRatings!$F$5:$F$148,B24,TaskRatings!$O$5:$O$148,"是",TaskRatings!$L$5:$L$148,"&gt;0"),"")</f>
      </c>
      <c r="I24" s="149" t="str">
        <f>IFERROR(SUMIFS(BlockRatings_AQ!$H$5:$H$148,BlockRatings_AQ!$A$5:$A$148,A24,BlockRatings_AQ!$F$5:$F$148,B24,BlockRatings_AQ!$R$5:$R$148,"是",BlockRatings_AQ!$H$5:$H$148,"&gt;0")/COUNTIFS(BlockRatings_AQ!$A$5:$A$148,A24,BlockRatings_AQ!$F$5:$F$148,B24,BlockRatings_AQ!$R$5:$R$148,"是",BlockRatings_AQ!$H$5:$H$148,"&gt;0"),"")</f>
      </c>
      <c r="J24" s="149" t="str">
        <f>IFERROR(SUMIFS(BlockRatings_AQ!$I$5:$I$148,BlockRatings_AQ!$A$5:$A$148,A24,BlockRatings_AQ!$F$5:$F$148,B24,BlockRatings_AQ!$R$5:$R$148,"是",BlockRatings_AQ!$I$5:$I$148,"&gt;0")/COUNTIFS(BlockRatings_AQ!$A$5:$A$148,A24,BlockRatings_AQ!$F$5:$F$148,B24,BlockRatings_AQ!$R$5:$R$148,"是",BlockRatings_AQ!$I$5:$I$148,"&gt;0"),"")</f>
      </c>
      <c r="K24" s="149" t="str">
        <f>IFERROR(SUMIFS(BlockRatings_AQ!$J$5:$J$148,BlockRatings_AQ!$A$5:$A$148,A24,BlockRatings_AQ!$F$5:$F$148,B24,BlockRatings_AQ!$R$5:$R$148,"是",BlockRatings_AQ!$J$5:$J$148,"&gt;0")/COUNTIFS(BlockRatings_AQ!$A$5:$A$148,A24,BlockRatings_AQ!$F$5:$F$148,B24,BlockRatings_AQ!$R$5:$R$148,"是",BlockRatings_AQ!$J$5:$J$148,"&gt;0"),"")</f>
      </c>
      <c r="L24" s="149" t="str">
        <f>IF(COUNT(I24:K24)=3,AVERAGE(I24:K24),"")</f>
      </c>
      <c r="M24" s="149" t="str">
        <f>IFERROR(SUMIFS(BlockRatings_AQ!$L$5:$L$148,BlockRatings_AQ!$A$5:$A$148,A24,BlockRatings_AQ!$F$5:$F$148,B24,BlockRatings_AQ!$R$5:$R$148,"是",BlockRatings_AQ!$L$5:$L$148,"&gt;0")/COUNTIFS(BlockRatings_AQ!$A$5:$A$148,A24,BlockRatings_AQ!$F$5:$F$148,B24,BlockRatings_AQ!$R$5:$R$148,"是",BlockRatings_AQ!$L$5:$L$148,"&gt;0"),"")</f>
      </c>
      <c r="N24" s="149" t="str">
        <f>IFERROR(SUMIFS(BlockRatings_AQ!$M$5:$M$148,BlockRatings_AQ!$A$5:$A$148,A24,BlockRatings_AQ!$F$5:$F$148,B24,BlockRatings_AQ!$R$5:$R$148,"是",BlockRatings_AQ!$M$5:$M$148,"&gt;0")/COUNTIFS(BlockRatings_AQ!$A$5:$A$148,A24,BlockRatings_AQ!$F$5:$F$148,B24,BlockRatings_AQ!$R$5:$R$148,"是",BlockRatings_AQ!$M$5:$M$148,"&gt;0"),"")</f>
      </c>
      <c r="O24" s="149" t="str">
        <f>IFERROR(SUMIFS(BlockRatings_AQ!$N$5:$N$148,BlockRatings_AQ!$A$5:$A$148,A24,BlockRatings_AQ!$F$5:$F$148,B24,BlockRatings_AQ!$R$5:$R$148,"是",BlockRatings_AQ!$N$5:$N$148,"&gt;0")/COUNTIFS(BlockRatings_AQ!$A$5:$A$148,A24,BlockRatings_AQ!$F$5:$F$148,B24,BlockRatings_AQ!$R$5:$R$148,"是",BlockRatings_AQ!$N$5:$N$148,"&gt;0"),"")</f>
      </c>
      <c r="P24" s="149" t="str">
        <f>IF(COUNT(M24:O24)=3,AVERAGE(M24:O24),"")</f>
      </c>
      <c r="Q24" s="149" t="str">
        <f>IFERROR(SUMIFS(MethodRatings!$E$5:$E$52,MethodRatings!$A$5:$A$52,A24,MethodRatings!$D$5:$D$52,B24,MethodRatings!$E$5:$E$52,"&gt;0")/COUNTIFS(MethodRatings!$A$5:$A$52,A24,MethodRatings!$D$5:$D$52,B24,MethodRatings!$E$5:$E$52,"&gt;0"),"")</f>
      </c>
      <c r="R24" s="149" t="str">
        <f>IFERROR(SUMIFS(MethodRatings!$F$5:$F$52,MethodRatings!$A$5:$A$52,A24,MethodRatings!$D$5:$D$52,B24,MethodRatings!$F$5:$F$52,"&gt;0")/COUNTIFS(MethodRatings!$A$5:$A$52,A24,MethodRatings!$D$5:$D$52,B24,MethodRatings!$F$5:$F$52,"&gt;0"),"")</f>
      </c>
      <c r="S24" s="149" t="str">
        <f>IFERROR(SUMIFS(MethodRatings!$G$5:$G$52,MethodRatings!$A$5:$A$52,A24,MethodRatings!$D$5:$D$52,B24,MethodRatings!$G$5:$G$52,"&gt;0")/COUNTIFS(MethodRatings!$A$5:$A$52,A24,MethodRatings!$D$5:$D$52,B24,MethodRatings!$G$5:$G$52,"&gt;0"),"")</f>
      </c>
      <c r="T24" s="149" t="str">
        <f>IF(COUNT(Q24:S24)=3,AVERAGE(Q24:S24),"")</f>
      </c>
      <c r="U24" s="149" t="str">
        <f>IFERROR(SUMIFS(MethodRatings!$I$5:$I$52,MethodRatings!$A$5:$A$52,A24,MethodRatings!$D$5:$D$52,B24,MethodRatings!$I$5:$I$52,"&gt;0")/COUNTIFS(MethodRatings!$A$5:$A$52,A24,MethodRatings!$D$5:$D$52,B24,MethodRatings!$I$5:$I$52,"&gt;0"),"")</f>
      </c>
      <c r="V24" s="149" t="str">
        <f>IFERROR(SUMIFS(MethodRatings!$J$5:$J$52,MethodRatings!$A$5:$A$52,A24,MethodRatings!$D$5:$D$52,B24,MethodRatings!$J$5:$J$52,"&gt;0")/COUNTIFS(MethodRatings!$A$5:$A$52,A24,MethodRatings!$D$5:$D$52,B24,MethodRatings!$J$5:$J$52,"&gt;0"),"")</f>
      </c>
      <c r="W24" s="149" t="str">
        <f>IFERROR(SUMIFS(MethodRatings!$K$5:$K$52,MethodRatings!$A$5:$A$52,A24,MethodRatings!$D$5:$D$52,B24,MethodRatings!$K$5:$K$52,"&gt;0")/COUNTIFS(MethodRatings!$A$5:$A$52,A24,MethodRatings!$D$5:$D$52,B24,MethodRatings!$K$5:$K$52,"&gt;0"),"")</f>
      </c>
      <c r="X24" s="149" t="str">
        <f>IF(COUNT(U24:W24)=3,AVERAGE(U24:W24),"")</f>
      </c>
      <c r="Y24" s="149" t="str">
        <f>IFERROR(SUMIFS(MethodRatings!$M$5:$M$52,MethodRatings!$A$5:$A$52,A24,MethodRatings!$D$5:$D$52,B24,MethodRatings!$M$5:$M$52,"&gt;0")/COUNTIFS(MethodRatings!$A$5:$A$52,A24,MethodRatings!$D$5:$D$52,B24,MethodRatings!$M$5:$M$52,"&gt;0"),"")</f>
      </c>
      <c r="Z24" s="149" t="str">
        <f>IFERROR(SUMIFS(MethodRatings!$N$5:$N$52,MethodRatings!$A$5:$A$52,A24,MethodRatings!$D$5:$D$52,B24,MethodRatings!$N$5:$N$52,"&gt;0")/COUNTIFS(MethodRatings!$A$5:$A$52,A24,MethodRatings!$D$5:$D$52,B24,MethodRatings!$N$5:$N$52,"&gt;0"),"")</f>
      </c>
      <c r="AA24" s="149" t="str">
        <f>IFERROR(SUMIFS(MethodRatings!$O$5:$O$52,MethodRatings!$A$5:$A$52,A24,MethodRatings!$D$5:$D$52,B24,MethodRatings!$O$5:$O$52,"&gt;0")/COUNTIFS(MethodRatings!$A$5:$A$52,A24,MethodRatings!$D$5:$D$52,B24,MethodRatings!$O$5:$O$52,"&gt;0"),"")</f>
      </c>
      <c r="AB24" s="149" t="str">
        <f>IF(COUNT(I24:K24)=3,SUM(I24:K24),"")</f>
      </c>
      <c r="AC24" s="149" t="str">
        <f>IF(COUNT(M24:O24)=3,SUM(M24:O24),"")</f>
      </c>
      <c r="AD24" s="149" t="str">
        <f>IF(COUNT(Q24:S24)=3,SUM(Q24:S24),"")</f>
      </c>
      <c r="AE24" s="149" t="str">
        <f>IF(COUNT(U24:W24)=3,SUM(U24:W24),"")</f>
      </c>
      <c r="AF24" s="130" t="str">
        <f>IF((COUNT(F24:K24)+COUNT(M24:O24)+COUNT(Q24:S24)+COUNT(U24:W24)+COUNT(Y24:AA24))=18,"完整","缺失")</f>
        <v>缺失</v>
      </c>
    </row>
    <row r="25">
      <c r="A25" s="90" t="inlineStr">
        <is>
          <t>P021</t>
        </is>
      </c>
      <c r="B25" s="85" t="inlineStr">
        <is>
          <t>EgoAnchor</t>
        </is>
      </c>
      <c r="C25" s="129" t="str">
        <f>IF(B25=VLOOKUP(A25,Participants!$A$5:$W$28,22,FALSE),"方法A","方法B")</f>
        <v>方法B</v>
      </c>
      <c r="D25" s="129" t="str">
        <f>VLOOKUP(A25,Participants!$A$5:$B$28,2,FALSE)</f>
        <v>是</v>
      </c>
      <c r="E25" s="129" t="n">
        <f>COUNTIFS(TaskRatings!$A$5:$A$148,A25,TaskRatings!$F$5:$F$148,B25,TaskRatings!$O$5:$O$148,"是")</f>
        <v>3</v>
      </c>
      <c r="F25" s="149" t="str">
        <f>IFERROR(SUMIFS(TaskRatings!$H$5:$H$148,TaskRatings!$A$5:$A$148,A25,TaskRatings!$F$5:$F$148,B25,TaskRatings!$O$5:$O$148,"是",TaskRatings!$H$5:$H$148,"&gt;0")/COUNTIFS(TaskRatings!$A$5:$A$148,A25,TaskRatings!$F$5:$F$148,B25,TaskRatings!$O$5:$O$148,"是",TaskRatings!$H$5:$H$148,"&gt;0"),"")</f>
      </c>
      <c r="G25" s="149" t="str">
        <f>IFERROR(SUMIFS(TaskRatings!$J$5:$J$148,TaskRatings!$A$5:$A$148,A25,TaskRatings!$F$5:$F$148,B25,TaskRatings!$O$5:$O$148,"是",TaskRatings!$J$5:$J$148,"&gt;0")/COUNTIFS(TaskRatings!$A$5:$A$148,A25,TaskRatings!$F$5:$F$148,B25,TaskRatings!$O$5:$O$148,"是",TaskRatings!$J$5:$J$148,"&gt;0"),"")</f>
      </c>
      <c r="H25" s="149" t="str">
        <f>IFERROR(SUMIFS(TaskRatings!$L$5:$L$148,TaskRatings!$A$5:$A$148,A25,TaskRatings!$F$5:$F$148,B25,TaskRatings!$O$5:$O$148,"是",TaskRatings!$L$5:$L$148,"&gt;0")/COUNTIFS(TaskRatings!$A$5:$A$148,A25,TaskRatings!$F$5:$F$148,B25,TaskRatings!$O$5:$O$148,"是",TaskRatings!$L$5:$L$148,"&gt;0"),"")</f>
      </c>
      <c r="I25" s="149" t="str">
        <f>IFERROR(SUMIFS(BlockRatings_AQ!$H$5:$H$148,BlockRatings_AQ!$A$5:$A$148,A25,BlockRatings_AQ!$F$5:$F$148,B25,BlockRatings_AQ!$R$5:$R$148,"是",BlockRatings_AQ!$H$5:$H$148,"&gt;0")/COUNTIFS(BlockRatings_AQ!$A$5:$A$148,A25,BlockRatings_AQ!$F$5:$F$148,B25,BlockRatings_AQ!$R$5:$R$148,"是",BlockRatings_AQ!$H$5:$H$148,"&gt;0"),"")</f>
      </c>
      <c r="J25" s="149" t="str">
        <f>IFERROR(SUMIFS(BlockRatings_AQ!$I$5:$I$148,BlockRatings_AQ!$A$5:$A$148,A25,BlockRatings_AQ!$F$5:$F$148,B25,BlockRatings_AQ!$R$5:$R$148,"是",BlockRatings_AQ!$I$5:$I$148,"&gt;0")/COUNTIFS(BlockRatings_AQ!$A$5:$A$148,A25,BlockRatings_AQ!$F$5:$F$148,B25,BlockRatings_AQ!$R$5:$R$148,"是",BlockRatings_AQ!$I$5:$I$148,"&gt;0"),"")</f>
      </c>
      <c r="K25" s="149" t="str">
        <f>IFERROR(SUMIFS(BlockRatings_AQ!$J$5:$J$148,BlockRatings_AQ!$A$5:$A$148,A25,BlockRatings_AQ!$F$5:$F$148,B25,BlockRatings_AQ!$R$5:$R$148,"是",BlockRatings_AQ!$J$5:$J$148,"&gt;0")/COUNTIFS(BlockRatings_AQ!$A$5:$A$148,A25,BlockRatings_AQ!$F$5:$F$148,B25,BlockRatings_AQ!$R$5:$R$148,"是",BlockRatings_AQ!$J$5:$J$148,"&gt;0"),"")</f>
      </c>
      <c r="L25" s="149" t="str">
        <f>IF(COUNT(I25:K25)=3,AVERAGE(I25:K25),"")</f>
      </c>
      <c r="M25" s="149" t="str">
        <f>IFERROR(SUMIFS(BlockRatings_AQ!$L$5:$L$148,BlockRatings_AQ!$A$5:$A$148,A25,BlockRatings_AQ!$F$5:$F$148,B25,BlockRatings_AQ!$R$5:$R$148,"是",BlockRatings_AQ!$L$5:$L$148,"&gt;0")/COUNTIFS(BlockRatings_AQ!$A$5:$A$148,A25,BlockRatings_AQ!$F$5:$F$148,B25,BlockRatings_AQ!$R$5:$R$148,"是",BlockRatings_AQ!$L$5:$L$148,"&gt;0"),"")</f>
      </c>
      <c r="N25" s="149" t="str">
        <f>IFERROR(SUMIFS(BlockRatings_AQ!$M$5:$M$148,BlockRatings_AQ!$A$5:$A$148,A25,BlockRatings_AQ!$F$5:$F$148,B25,BlockRatings_AQ!$R$5:$R$148,"是",BlockRatings_AQ!$M$5:$M$148,"&gt;0")/COUNTIFS(BlockRatings_AQ!$A$5:$A$148,A25,BlockRatings_AQ!$F$5:$F$148,B25,BlockRatings_AQ!$R$5:$R$148,"是",BlockRatings_AQ!$M$5:$M$148,"&gt;0"),"")</f>
      </c>
      <c r="O25" s="149" t="str">
        <f>IFERROR(SUMIFS(BlockRatings_AQ!$N$5:$N$148,BlockRatings_AQ!$A$5:$A$148,A25,BlockRatings_AQ!$F$5:$F$148,B25,BlockRatings_AQ!$R$5:$R$148,"是",BlockRatings_AQ!$N$5:$N$148,"&gt;0")/COUNTIFS(BlockRatings_AQ!$A$5:$A$148,A25,BlockRatings_AQ!$F$5:$F$148,B25,BlockRatings_AQ!$R$5:$R$148,"是",BlockRatings_AQ!$N$5:$N$148,"&gt;0"),"")</f>
      </c>
      <c r="P25" s="149" t="str">
        <f>IF(COUNT(M25:O25)=3,AVERAGE(M25:O25),"")</f>
      </c>
      <c r="Q25" s="149" t="str">
        <f>IFERROR(SUMIFS(MethodRatings!$E$5:$E$52,MethodRatings!$A$5:$A$52,A25,MethodRatings!$D$5:$D$52,B25,MethodRatings!$E$5:$E$52,"&gt;0")/COUNTIFS(MethodRatings!$A$5:$A$52,A25,MethodRatings!$D$5:$D$52,B25,MethodRatings!$E$5:$E$52,"&gt;0"),"")</f>
      </c>
      <c r="R25" s="149" t="str">
        <f>IFERROR(SUMIFS(MethodRatings!$F$5:$F$52,MethodRatings!$A$5:$A$52,A25,MethodRatings!$D$5:$D$52,B25,MethodRatings!$F$5:$F$52,"&gt;0")/COUNTIFS(MethodRatings!$A$5:$A$52,A25,MethodRatings!$D$5:$D$52,B25,MethodRatings!$F$5:$F$52,"&gt;0"),"")</f>
      </c>
      <c r="S25" s="149" t="str">
        <f>IFERROR(SUMIFS(MethodRatings!$G$5:$G$52,MethodRatings!$A$5:$A$52,A25,MethodRatings!$D$5:$D$52,B25,MethodRatings!$G$5:$G$52,"&gt;0")/COUNTIFS(MethodRatings!$A$5:$A$52,A25,MethodRatings!$D$5:$D$52,B25,MethodRatings!$G$5:$G$52,"&gt;0"),"")</f>
      </c>
      <c r="T25" s="149" t="str">
        <f>IF(COUNT(Q25:S25)=3,AVERAGE(Q25:S25),"")</f>
      </c>
      <c r="U25" s="149" t="str">
        <f>IFERROR(SUMIFS(MethodRatings!$I$5:$I$52,MethodRatings!$A$5:$A$52,A25,MethodRatings!$D$5:$D$52,B25,MethodRatings!$I$5:$I$52,"&gt;0")/COUNTIFS(MethodRatings!$A$5:$A$52,A25,MethodRatings!$D$5:$D$52,B25,MethodRatings!$I$5:$I$52,"&gt;0"),"")</f>
      </c>
      <c r="V25" s="149" t="str">
        <f>IFERROR(SUMIFS(MethodRatings!$J$5:$J$52,MethodRatings!$A$5:$A$52,A25,MethodRatings!$D$5:$D$52,B25,MethodRatings!$J$5:$J$52,"&gt;0")/COUNTIFS(MethodRatings!$A$5:$A$52,A25,MethodRatings!$D$5:$D$52,B25,MethodRatings!$J$5:$J$52,"&gt;0"),"")</f>
      </c>
      <c r="W25" s="149" t="str">
        <f>IFERROR(SUMIFS(MethodRatings!$K$5:$K$52,MethodRatings!$A$5:$A$52,A25,MethodRatings!$D$5:$D$52,B25,MethodRatings!$K$5:$K$52,"&gt;0")/COUNTIFS(MethodRatings!$A$5:$A$52,A25,MethodRatings!$D$5:$D$52,B25,MethodRatings!$K$5:$K$52,"&gt;0"),"")</f>
      </c>
      <c r="X25" s="149" t="str">
        <f>IF(COUNT(U25:W25)=3,AVERAGE(U25:W25),"")</f>
      </c>
      <c r="Y25" s="149" t="str">
        <f>IFERROR(SUMIFS(MethodRatings!$M$5:$M$52,MethodRatings!$A$5:$A$52,A25,MethodRatings!$D$5:$D$52,B25,MethodRatings!$M$5:$M$52,"&gt;0")/COUNTIFS(MethodRatings!$A$5:$A$52,A25,MethodRatings!$D$5:$D$52,B25,MethodRatings!$M$5:$M$52,"&gt;0"),"")</f>
      </c>
      <c r="Z25" s="149" t="str">
        <f>IFERROR(SUMIFS(MethodRatings!$N$5:$N$52,MethodRatings!$A$5:$A$52,A25,MethodRatings!$D$5:$D$52,B25,MethodRatings!$N$5:$N$52,"&gt;0")/COUNTIFS(MethodRatings!$A$5:$A$52,A25,MethodRatings!$D$5:$D$52,B25,MethodRatings!$N$5:$N$52,"&gt;0"),"")</f>
      </c>
      <c r="AA25" s="149" t="str">
        <f>IFERROR(SUMIFS(MethodRatings!$O$5:$O$52,MethodRatings!$A$5:$A$52,A25,MethodRatings!$D$5:$D$52,B25,MethodRatings!$O$5:$O$52,"&gt;0")/COUNTIFS(MethodRatings!$A$5:$A$52,A25,MethodRatings!$D$5:$D$52,B25,MethodRatings!$O$5:$O$52,"&gt;0"),"")</f>
      </c>
      <c r="AB25" s="149" t="str">
        <f>IF(COUNT(I25:K25)=3,SUM(I25:K25),"")</f>
      </c>
      <c r="AC25" s="149" t="str">
        <f>IF(COUNT(M25:O25)=3,SUM(M25:O25),"")</f>
      </c>
      <c r="AD25" s="149" t="str">
        <f>IF(COUNT(Q25:S25)=3,SUM(Q25:S25),"")</f>
      </c>
      <c r="AE25" s="149" t="str">
        <f>IF(COUNT(U25:W25)=3,SUM(U25:W25),"")</f>
      </c>
      <c r="AF25" s="130" t="str">
        <f>IF((COUNT(F25:K25)+COUNT(M25:O25)+COUNT(Q25:S25)+COUNT(U25:W25)+COUNT(Y25:AA25))=18,"完整","缺失")</f>
        <v>缺失</v>
      </c>
    </row>
    <row r="26">
      <c r="A26" s="90" t="inlineStr">
        <is>
          <t>P022</t>
        </is>
      </c>
      <c r="B26" s="85" t="inlineStr">
        <is>
          <t>EgoAnchor</t>
        </is>
      </c>
      <c r="C26" s="129" t="str">
        <f>IF(B26=VLOOKUP(A26,Participants!$A$5:$W$28,22,FALSE),"方法A","方法B")</f>
        <v>方法B</v>
      </c>
      <c r="D26" s="129" t="str">
        <f>VLOOKUP(A26,Participants!$A$5:$B$28,2,FALSE)</f>
        <v>是</v>
      </c>
      <c r="E26" s="129" t="n">
        <f>COUNTIFS(TaskRatings!$A$5:$A$148,A26,TaskRatings!$F$5:$F$148,B26,TaskRatings!$O$5:$O$148,"是")</f>
        <v>3</v>
      </c>
      <c r="F26" s="149" t="str">
        <f>IFERROR(SUMIFS(TaskRatings!$H$5:$H$148,TaskRatings!$A$5:$A$148,A26,TaskRatings!$F$5:$F$148,B26,TaskRatings!$O$5:$O$148,"是",TaskRatings!$H$5:$H$148,"&gt;0")/COUNTIFS(TaskRatings!$A$5:$A$148,A26,TaskRatings!$F$5:$F$148,B26,TaskRatings!$O$5:$O$148,"是",TaskRatings!$H$5:$H$148,"&gt;0"),"")</f>
      </c>
      <c r="G26" s="149" t="str">
        <f>IFERROR(SUMIFS(TaskRatings!$J$5:$J$148,TaskRatings!$A$5:$A$148,A26,TaskRatings!$F$5:$F$148,B26,TaskRatings!$O$5:$O$148,"是",TaskRatings!$J$5:$J$148,"&gt;0")/COUNTIFS(TaskRatings!$A$5:$A$148,A26,TaskRatings!$F$5:$F$148,B26,TaskRatings!$O$5:$O$148,"是",TaskRatings!$J$5:$J$148,"&gt;0"),"")</f>
      </c>
      <c r="H26" s="149" t="str">
        <f>IFERROR(SUMIFS(TaskRatings!$L$5:$L$148,TaskRatings!$A$5:$A$148,A26,TaskRatings!$F$5:$F$148,B26,TaskRatings!$O$5:$O$148,"是",TaskRatings!$L$5:$L$148,"&gt;0")/COUNTIFS(TaskRatings!$A$5:$A$148,A26,TaskRatings!$F$5:$F$148,B26,TaskRatings!$O$5:$O$148,"是",TaskRatings!$L$5:$L$148,"&gt;0"),"")</f>
      </c>
      <c r="I26" s="149" t="str">
        <f>IFERROR(SUMIFS(BlockRatings_AQ!$H$5:$H$148,BlockRatings_AQ!$A$5:$A$148,A26,BlockRatings_AQ!$F$5:$F$148,B26,BlockRatings_AQ!$R$5:$R$148,"是",BlockRatings_AQ!$H$5:$H$148,"&gt;0")/COUNTIFS(BlockRatings_AQ!$A$5:$A$148,A26,BlockRatings_AQ!$F$5:$F$148,B26,BlockRatings_AQ!$R$5:$R$148,"是",BlockRatings_AQ!$H$5:$H$148,"&gt;0"),"")</f>
      </c>
      <c r="J26" s="149" t="str">
        <f>IFERROR(SUMIFS(BlockRatings_AQ!$I$5:$I$148,BlockRatings_AQ!$A$5:$A$148,A26,BlockRatings_AQ!$F$5:$F$148,B26,BlockRatings_AQ!$R$5:$R$148,"是",BlockRatings_AQ!$I$5:$I$148,"&gt;0")/COUNTIFS(BlockRatings_AQ!$A$5:$A$148,A26,BlockRatings_AQ!$F$5:$F$148,B26,BlockRatings_AQ!$R$5:$R$148,"是",BlockRatings_AQ!$I$5:$I$148,"&gt;0"),"")</f>
      </c>
      <c r="K26" s="149" t="str">
        <f>IFERROR(SUMIFS(BlockRatings_AQ!$J$5:$J$148,BlockRatings_AQ!$A$5:$A$148,A26,BlockRatings_AQ!$F$5:$F$148,B26,BlockRatings_AQ!$R$5:$R$148,"是",BlockRatings_AQ!$J$5:$J$148,"&gt;0")/COUNTIFS(BlockRatings_AQ!$A$5:$A$148,A26,BlockRatings_AQ!$F$5:$F$148,B26,BlockRatings_AQ!$R$5:$R$148,"是",BlockRatings_AQ!$J$5:$J$148,"&gt;0"),"")</f>
      </c>
      <c r="L26" s="149" t="str">
        <f>IF(COUNT(I26:K26)=3,AVERAGE(I26:K26),"")</f>
      </c>
      <c r="M26" s="149" t="str">
        <f>IFERROR(SUMIFS(BlockRatings_AQ!$L$5:$L$148,BlockRatings_AQ!$A$5:$A$148,A26,BlockRatings_AQ!$F$5:$F$148,B26,BlockRatings_AQ!$R$5:$R$148,"是",BlockRatings_AQ!$L$5:$L$148,"&gt;0")/COUNTIFS(BlockRatings_AQ!$A$5:$A$148,A26,BlockRatings_AQ!$F$5:$F$148,B26,BlockRatings_AQ!$R$5:$R$148,"是",BlockRatings_AQ!$L$5:$L$148,"&gt;0"),"")</f>
      </c>
      <c r="N26" s="149" t="str">
        <f>IFERROR(SUMIFS(BlockRatings_AQ!$M$5:$M$148,BlockRatings_AQ!$A$5:$A$148,A26,BlockRatings_AQ!$F$5:$F$148,B26,BlockRatings_AQ!$R$5:$R$148,"是",BlockRatings_AQ!$M$5:$M$148,"&gt;0")/COUNTIFS(BlockRatings_AQ!$A$5:$A$148,A26,BlockRatings_AQ!$F$5:$F$148,B26,BlockRatings_AQ!$R$5:$R$148,"是",BlockRatings_AQ!$M$5:$M$148,"&gt;0"),"")</f>
      </c>
      <c r="O26" s="149" t="str">
        <f>IFERROR(SUMIFS(BlockRatings_AQ!$N$5:$N$148,BlockRatings_AQ!$A$5:$A$148,A26,BlockRatings_AQ!$F$5:$F$148,B26,BlockRatings_AQ!$R$5:$R$148,"是",BlockRatings_AQ!$N$5:$N$148,"&gt;0")/COUNTIFS(BlockRatings_AQ!$A$5:$A$148,A26,BlockRatings_AQ!$F$5:$F$148,B26,BlockRatings_AQ!$R$5:$R$148,"是",BlockRatings_AQ!$N$5:$N$148,"&gt;0"),"")</f>
      </c>
      <c r="P26" s="149" t="str">
        <f>IF(COUNT(M26:O26)=3,AVERAGE(M26:O26),"")</f>
      </c>
      <c r="Q26" s="149" t="str">
        <f>IFERROR(SUMIFS(MethodRatings!$E$5:$E$52,MethodRatings!$A$5:$A$52,A26,MethodRatings!$D$5:$D$52,B26,MethodRatings!$E$5:$E$52,"&gt;0")/COUNTIFS(MethodRatings!$A$5:$A$52,A26,MethodRatings!$D$5:$D$52,B26,MethodRatings!$E$5:$E$52,"&gt;0"),"")</f>
      </c>
      <c r="R26" s="149" t="str">
        <f>IFERROR(SUMIFS(MethodRatings!$F$5:$F$52,MethodRatings!$A$5:$A$52,A26,MethodRatings!$D$5:$D$52,B26,MethodRatings!$F$5:$F$52,"&gt;0")/COUNTIFS(MethodRatings!$A$5:$A$52,A26,MethodRatings!$D$5:$D$52,B26,MethodRatings!$F$5:$F$52,"&gt;0"),"")</f>
      </c>
      <c r="S26" s="149" t="str">
        <f>IFERROR(SUMIFS(MethodRatings!$G$5:$G$52,MethodRatings!$A$5:$A$52,A26,MethodRatings!$D$5:$D$52,B26,MethodRatings!$G$5:$G$52,"&gt;0")/COUNTIFS(MethodRatings!$A$5:$A$52,A26,MethodRatings!$D$5:$D$52,B26,MethodRatings!$G$5:$G$52,"&gt;0"),"")</f>
      </c>
      <c r="T26" s="149" t="str">
        <f>IF(COUNT(Q26:S26)=3,AVERAGE(Q26:S26),"")</f>
      </c>
      <c r="U26" s="149" t="str">
        <f>IFERROR(SUMIFS(MethodRatings!$I$5:$I$52,MethodRatings!$A$5:$A$52,A26,MethodRatings!$D$5:$D$52,B26,MethodRatings!$I$5:$I$52,"&gt;0")/COUNTIFS(MethodRatings!$A$5:$A$52,A26,MethodRatings!$D$5:$D$52,B26,MethodRatings!$I$5:$I$52,"&gt;0"),"")</f>
      </c>
      <c r="V26" s="149" t="str">
        <f>IFERROR(SUMIFS(MethodRatings!$J$5:$J$52,MethodRatings!$A$5:$A$52,A26,MethodRatings!$D$5:$D$52,B26,MethodRatings!$J$5:$J$52,"&gt;0")/COUNTIFS(MethodRatings!$A$5:$A$52,A26,MethodRatings!$D$5:$D$52,B26,MethodRatings!$J$5:$J$52,"&gt;0"),"")</f>
      </c>
      <c r="W26" s="149" t="str">
        <f>IFERROR(SUMIFS(MethodRatings!$K$5:$K$52,MethodRatings!$A$5:$A$52,A26,MethodRatings!$D$5:$D$52,B26,MethodRatings!$K$5:$K$52,"&gt;0")/COUNTIFS(MethodRatings!$A$5:$A$52,A26,MethodRatings!$D$5:$D$52,B26,MethodRatings!$K$5:$K$52,"&gt;0"),"")</f>
      </c>
      <c r="X26" s="149" t="str">
        <f>IF(COUNT(U26:W26)=3,AVERAGE(U26:W26),"")</f>
      </c>
      <c r="Y26" s="149" t="str">
        <f>IFERROR(SUMIFS(MethodRatings!$M$5:$M$52,MethodRatings!$A$5:$A$52,A26,MethodRatings!$D$5:$D$52,B26,MethodRatings!$M$5:$M$52,"&gt;0")/COUNTIFS(MethodRatings!$A$5:$A$52,A26,MethodRatings!$D$5:$D$52,B26,MethodRatings!$M$5:$M$52,"&gt;0"),"")</f>
      </c>
      <c r="Z26" s="149" t="str">
        <f>IFERROR(SUMIFS(MethodRatings!$N$5:$N$52,MethodRatings!$A$5:$A$52,A26,MethodRatings!$D$5:$D$52,B26,MethodRatings!$N$5:$N$52,"&gt;0")/COUNTIFS(MethodRatings!$A$5:$A$52,A26,MethodRatings!$D$5:$D$52,B26,MethodRatings!$N$5:$N$52,"&gt;0"),"")</f>
      </c>
      <c r="AA26" s="149" t="str">
        <f>IFERROR(SUMIFS(MethodRatings!$O$5:$O$52,MethodRatings!$A$5:$A$52,A26,MethodRatings!$D$5:$D$52,B26,MethodRatings!$O$5:$O$52,"&gt;0")/COUNTIFS(MethodRatings!$A$5:$A$52,A26,MethodRatings!$D$5:$D$52,B26,MethodRatings!$O$5:$O$52,"&gt;0"),"")</f>
      </c>
      <c r="AB26" s="149" t="str">
        <f>IF(COUNT(I26:K26)=3,SUM(I26:K26),"")</f>
      </c>
      <c r="AC26" s="149" t="str">
        <f>IF(COUNT(M26:O26)=3,SUM(M26:O26),"")</f>
      </c>
      <c r="AD26" s="149" t="str">
        <f>IF(COUNT(Q26:S26)=3,SUM(Q26:S26),"")</f>
      </c>
      <c r="AE26" s="149" t="str">
        <f>IF(COUNT(U26:W26)=3,SUM(U26:W26),"")</f>
      </c>
      <c r="AF26" s="130" t="str">
        <f>IF((COUNT(F26:K26)+COUNT(M26:O26)+COUNT(Q26:S26)+COUNT(U26:W26)+COUNT(Y26:AA26))=18,"完整","缺失")</f>
        <v>缺失</v>
      </c>
    </row>
    <row r="27">
      <c r="A27" s="90" t="inlineStr">
        <is>
          <t>P023</t>
        </is>
      </c>
      <c r="B27" s="85" t="inlineStr">
        <is>
          <t>EgoAnchor</t>
        </is>
      </c>
      <c r="C27" s="129" t="str">
        <f>IF(B27=VLOOKUP(A27,Participants!$A$5:$W$28,22,FALSE),"方法A","方法B")</f>
        <v>方法B</v>
      </c>
      <c r="D27" s="129" t="str">
        <f>VLOOKUP(A27,Participants!$A$5:$B$28,2,FALSE)</f>
        <v>是</v>
      </c>
      <c r="E27" s="129" t="n">
        <f>COUNTIFS(TaskRatings!$A$5:$A$148,A27,TaskRatings!$F$5:$F$148,B27,TaskRatings!$O$5:$O$148,"是")</f>
        <v>3</v>
      </c>
      <c r="F27" s="149" t="str">
        <f>IFERROR(SUMIFS(TaskRatings!$H$5:$H$148,TaskRatings!$A$5:$A$148,A27,TaskRatings!$F$5:$F$148,B27,TaskRatings!$O$5:$O$148,"是",TaskRatings!$H$5:$H$148,"&gt;0")/COUNTIFS(TaskRatings!$A$5:$A$148,A27,TaskRatings!$F$5:$F$148,B27,TaskRatings!$O$5:$O$148,"是",TaskRatings!$H$5:$H$148,"&gt;0"),"")</f>
      </c>
      <c r="G27" s="149" t="str">
        <f>IFERROR(SUMIFS(TaskRatings!$J$5:$J$148,TaskRatings!$A$5:$A$148,A27,TaskRatings!$F$5:$F$148,B27,TaskRatings!$O$5:$O$148,"是",TaskRatings!$J$5:$J$148,"&gt;0")/COUNTIFS(TaskRatings!$A$5:$A$148,A27,TaskRatings!$F$5:$F$148,B27,TaskRatings!$O$5:$O$148,"是",TaskRatings!$J$5:$J$148,"&gt;0"),"")</f>
      </c>
      <c r="H27" s="149" t="str">
        <f>IFERROR(SUMIFS(TaskRatings!$L$5:$L$148,TaskRatings!$A$5:$A$148,A27,TaskRatings!$F$5:$F$148,B27,TaskRatings!$O$5:$O$148,"是",TaskRatings!$L$5:$L$148,"&gt;0")/COUNTIFS(TaskRatings!$A$5:$A$148,A27,TaskRatings!$F$5:$F$148,B27,TaskRatings!$O$5:$O$148,"是",TaskRatings!$L$5:$L$148,"&gt;0"),"")</f>
      </c>
      <c r="I27" s="149" t="str">
        <f>IFERROR(SUMIFS(BlockRatings_AQ!$H$5:$H$148,BlockRatings_AQ!$A$5:$A$148,A27,BlockRatings_AQ!$F$5:$F$148,B27,BlockRatings_AQ!$R$5:$R$148,"是",BlockRatings_AQ!$H$5:$H$148,"&gt;0")/COUNTIFS(BlockRatings_AQ!$A$5:$A$148,A27,BlockRatings_AQ!$F$5:$F$148,B27,BlockRatings_AQ!$R$5:$R$148,"是",BlockRatings_AQ!$H$5:$H$148,"&gt;0"),"")</f>
      </c>
      <c r="J27" s="149" t="str">
        <f>IFERROR(SUMIFS(BlockRatings_AQ!$I$5:$I$148,BlockRatings_AQ!$A$5:$A$148,A27,BlockRatings_AQ!$F$5:$F$148,B27,BlockRatings_AQ!$R$5:$R$148,"是",BlockRatings_AQ!$I$5:$I$148,"&gt;0")/COUNTIFS(BlockRatings_AQ!$A$5:$A$148,A27,BlockRatings_AQ!$F$5:$F$148,B27,BlockRatings_AQ!$R$5:$R$148,"是",BlockRatings_AQ!$I$5:$I$148,"&gt;0"),"")</f>
      </c>
      <c r="K27" s="149" t="str">
        <f>IFERROR(SUMIFS(BlockRatings_AQ!$J$5:$J$148,BlockRatings_AQ!$A$5:$A$148,A27,BlockRatings_AQ!$F$5:$F$148,B27,BlockRatings_AQ!$R$5:$R$148,"是",BlockRatings_AQ!$J$5:$J$148,"&gt;0")/COUNTIFS(BlockRatings_AQ!$A$5:$A$148,A27,BlockRatings_AQ!$F$5:$F$148,B27,BlockRatings_AQ!$R$5:$R$148,"是",BlockRatings_AQ!$J$5:$J$148,"&gt;0"),"")</f>
      </c>
      <c r="L27" s="149" t="str">
        <f>IF(COUNT(I27:K27)=3,AVERAGE(I27:K27),"")</f>
      </c>
      <c r="M27" s="149" t="str">
        <f>IFERROR(SUMIFS(BlockRatings_AQ!$L$5:$L$148,BlockRatings_AQ!$A$5:$A$148,A27,BlockRatings_AQ!$F$5:$F$148,B27,BlockRatings_AQ!$R$5:$R$148,"是",BlockRatings_AQ!$L$5:$L$148,"&gt;0")/COUNTIFS(BlockRatings_AQ!$A$5:$A$148,A27,BlockRatings_AQ!$F$5:$F$148,B27,BlockRatings_AQ!$R$5:$R$148,"是",BlockRatings_AQ!$L$5:$L$148,"&gt;0"),"")</f>
      </c>
      <c r="N27" s="149" t="str">
        <f>IFERROR(SUMIFS(BlockRatings_AQ!$M$5:$M$148,BlockRatings_AQ!$A$5:$A$148,A27,BlockRatings_AQ!$F$5:$F$148,B27,BlockRatings_AQ!$R$5:$R$148,"是",BlockRatings_AQ!$M$5:$M$148,"&gt;0")/COUNTIFS(BlockRatings_AQ!$A$5:$A$148,A27,BlockRatings_AQ!$F$5:$F$148,B27,BlockRatings_AQ!$R$5:$R$148,"是",BlockRatings_AQ!$M$5:$M$148,"&gt;0"),"")</f>
      </c>
      <c r="O27" s="149" t="str">
        <f>IFERROR(SUMIFS(BlockRatings_AQ!$N$5:$N$148,BlockRatings_AQ!$A$5:$A$148,A27,BlockRatings_AQ!$F$5:$F$148,B27,BlockRatings_AQ!$R$5:$R$148,"是",BlockRatings_AQ!$N$5:$N$148,"&gt;0")/COUNTIFS(BlockRatings_AQ!$A$5:$A$148,A27,BlockRatings_AQ!$F$5:$F$148,B27,BlockRatings_AQ!$R$5:$R$148,"是",BlockRatings_AQ!$N$5:$N$148,"&gt;0"),"")</f>
      </c>
      <c r="P27" s="149" t="str">
        <f>IF(COUNT(M27:O27)=3,AVERAGE(M27:O27),"")</f>
      </c>
      <c r="Q27" s="149" t="str">
        <f>IFERROR(SUMIFS(MethodRatings!$E$5:$E$52,MethodRatings!$A$5:$A$52,A27,MethodRatings!$D$5:$D$52,B27,MethodRatings!$E$5:$E$52,"&gt;0")/COUNTIFS(MethodRatings!$A$5:$A$52,A27,MethodRatings!$D$5:$D$52,B27,MethodRatings!$E$5:$E$52,"&gt;0"),"")</f>
      </c>
      <c r="R27" s="149" t="str">
        <f>IFERROR(SUMIFS(MethodRatings!$F$5:$F$52,MethodRatings!$A$5:$A$52,A27,MethodRatings!$D$5:$D$52,B27,MethodRatings!$F$5:$F$52,"&gt;0")/COUNTIFS(MethodRatings!$A$5:$A$52,A27,MethodRatings!$D$5:$D$52,B27,MethodRatings!$F$5:$F$52,"&gt;0"),"")</f>
      </c>
      <c r="S27" s="149" t="str">
        <f>IFERROR(SUMIFS(MethodRatings!$G$5:$G$52,MethodRatings!$A$5:$A$52,A27,MethodRatings!$D$5:$D$52,B27,MethodRatings!$G$5:$G$52,"&gt;0")/COUNTIFS(MethodRatings!$A$5:$A$52,A27,MethodRatings!$D$5:$D$52,B27,MethodRatings!$G$5:$G$52,"&gt;0"),"")</f>
      </c>
      <c r="T27" s="149" t="str">
        <f>IF(COUNT(Q27:S27)=3,AVERAGE(Q27:S27),"")</f>
      </c>
      <c r="U27" s="149" t="str">
        <f>IFERROR(SUMIFS(MethodRatings!$I$5:$I$52,MethodRatings!$A$5:$A$52,A27,MethodRatings!$D$5:$D$52,B27,MethodRatings!$I$5:$I$52,"&gt;0")/COUNTIFS(MethodRatings!$A$5:$A$52,A27,MethodRatings!$D$5:$D$52,B27,MethodRatings!$I$5:$I$52,"&gt;0"),"")</f>
      </c>
      <c r="V27" s="149" t="str">
        <f>IFERROR(SUMIFS(MethodRatings!$J$5:$J$52,MethodRatings!$A$5:$A$52,A27,MethodRatings!$D$5:$D$52,B27,MethodRatings!$J$5:$J$52,"&gt;0")/COUNTIFS(MethodRatings!$A$5:$A$52,A27,MethodRatings!$D$5:$D$52,B27,MethodRatings!$J$5:$J$52,"&gt;0"),"")</f>
      </c>
      <c r="W27" s="149" t="str">
        <f>IFERROR(SUMIFS(MethodRatings!$K$5:$K$52,MethodRatings!$A$5:$A$52,A27,MethodRatings!$D$5:$D$52,B27,MethodRatings!$K$5:$K$52,"&gt;0")/COUNTIFS(MethodRatings!$A$5:$A$52,A27,MethodRatings!$D$5:$D$52,B27,MethodRatings!$K$5:$K$52,"&gt;0"),"")</f>
      </c>
      <c r="X27" s="149" t="str">
        <f>IF(COUNT(U27:W27)=3,AVERAGE(U27:W27),"")</f>
      </c>
      <c r="Y27" s="149" t="str">
        <f>IFERROR(SUMIFS(MethodRatings!$M$5:$M$52,MethodRatings!$A$5:$A$52,A27,MethodRatings!$D$5:$D$52,B27,MethodRatings!$M$5:$M$52,"&gt;0")/COUNTIFS(MethodRatings!$A$5:$A$52,A27,MethodRatings!$D$5:$D$52,B27,MethodRatings!$M$5:$M$52,"&gt;0"),"")</f>
      </c>
      <c r="Z27" s="149" t="str">
        <f>IFERROR(SUMIFS(MethodRatings!$N$5:$N$52,MethodRatings!$A$5:$A$52,A27,MethodRatings!$D$5:$D$52,B27,MethodRatings!$N$5:$N$52,"&gt;0")/COUNTIFS(MethodRatings!$A$5:$A$52,A27,MethodRatings!$D$5:$D$52,B27,MethodRatings!$N$5:$N$52,"&gt;0"),"")</f>
      </c>
      <c r="AA27" s="149" t="str">
        <f>IFERROR(SUMIFS(MethodRatings!$O$5:$O$52,MethodRatings!$A$5:$A$52,A27,MethodRatings!$D$5:$D$52,B27,MethodRatings!$O$5:$O$52,"&gt;0")/COUNTIFS(MethodRatings!$A$5:$A$52,A27,MethodRatings!$D$5:$D$52,B27,MethodRatings!$O$5:$O$52,"&gt;0"),"")</f>
      </c>
      <c r="AB27" s="149" t="str">
        <f>IF(COUNT(I27:K27)=3,SUM(I27:K27),"")</f>
      </c>
      <c r="AC27" s="149" t="str">
        <f>IF(COUNT(M27:O27)=3,SUM(M27:O27),"")</f>
      </c>
      <c r="AD27" s="149" t="str">
        <f>IF(COUNT(Q27:S27)=3,SUM(Q27:S27),"")</f>
      </c>
      <c r="AE27" s="149" t="str">
        <f>IF(COUNT(U27:W27)=3,SUM(U27:W27),"")</f>
      </c>
      <c r="AF27" s="130" t="str">
        <f>IF((COUNT(F27:K27)+COUNT(M27:O27)+COUNT(Q27:S27)+COUNT(U27:W27)+COUNT(Y27:AA27))=18,"完整","缺失")</f>
        <v>缺失</v>
      </c>
    </row>
    <row r="28">
      <c r="A28" s="90" t="inlineStr">
        <is>
          <t>P024</t>
        </is>
      </c>
      <c r="B28" s="85" t="inlineStr">
        <is>
          <t>EgoAnchor</t>
        </is>
      </c>
      <c r="C28" s="129" t="str">
        <f>IF(B28=VLOOKUP(A28,Participants!$A$5:$W$28,22,FALSE),"方法A","方法B")</f>
        <v>方法B</v>
      </c>
      <c r="D28" s="129" t="str">
        <f>VLOOKUP(A28,Participants!$A$5:$B$28,2,FALSE)</f>
        <v>是</v>
      </c>
      <c r="E28" s="129" t="n">
        <f>COUNTIFS(TaskRatings!$A$5:$A$148,A28,TaskRatings!$F$5:$F$148,B28,TaskRatings!$O$5:$O$148,"是")</f>
        <v>3</v>
      </c>
      <c r="F28" s="149" t="str">
        <f>IFERROR(SUMIFS(TaskRatings!$H$5:$H$148,TaskRatings!$A$5:$A$148,A28,TaskRatings!$F$5:$F$148,B28,TaskRatings!$O$5:$O$148,"是",TaskRatings!$H$5:$H$148,"&gt;0")/COUNTIFS(TaskRatings!$A$5:$A$148,A28,TaskRatings!$F$5:$F$148,B28,TaskRatings!$O$5:$O$148,"是",TaskRatings!$H$5:$H$148,"&gt;0"),"")</f>
      </c>
      <c r="G28" s="149" t="str">
        <f>IFERROR(SUMIFS(TaskRatings!$J$5:$J$148,TaskRatings!$A$5:$A$148,A28,TaskRatings!$F$5:$F$148,B28,TaskRatings!$O$5:$O$148,"是",TaskRatings!$J$5:$J$148,"&gt;0")/COUNTIFS(TaskRatings!$A$5:$A$148,A28,TaskRatings!$F$5:$F$148,B28,TaskRatings!$O$5:$O$148,"是",TaskRatings!$J$5:$J$148,"&gt;0"),"")</f>
      </c>
      <c r="H28" s="149" t="str">
        <f>IFERROR(SUMIFS(TaskRatings!$L$5:$L$148,TaskRatings!$A$5:$A$148,A28,TaskRatings!$F$5:$F$148,B28,TaskRatings!$O$5:$O$148,"是",TaskRatings!$L$5:$L$148,"&gt;0")/COUNTIFS(TaskRatings!$A$5:$A$148,A28,TaskRatings!$F$5:$F$148,B28,TaskRatings!$O$5:$O$148,"是",TaskRatings!$L$5:$L$148,"&gt;0"),"")</f>
      </c>
      <c r="I28" s="149" t="str">
        <f>IFERROR(SUMIFS(BlockRatings_AQ!$H$5:$H$148,BlockRatings_AQ!$A$5:$A$148,A28,BlockRatings_AQ!$F$5:$F$148,B28,BlockRatings_AQ!$R$5:$R$148,"是",BlockRatings_AQ!$H$5:$H$148,"&gt;0")/COUNTIFS(BlockRatings_AQ!$A$5:$A$148,A28,BlockRatings_AQ!$F$5:$F$148,B28,BlockRatings_AQ!$R$5:$R$148,"是",BlockRatings_AQ!$H$5:$H$148,"&gt;0"),"")</f>
      </c>
      <c r="J28" s="149" t="str">
        <f>IFERROR(SUMIFS(BlockRatings_AQ!$I$5:$I$148,BlockRatings_AQ!$A$5:$A$148,A28,BlockRatings_AQ!$F$5:$F$148,B28,BlockRatings_AQ!$R$5:$R$148,"是",BlockRatings_AQ!$I$5:$I$148,"&gt;0")/COUNTIFS(BlockRatings_AQ!$A$5:$A$148,A28,BlockRatings_AQ!$F$5:$F$148,B28,BlockRatings_AQ!$R$5:$R$148,"是",BlockRatings_AQ!$I$5:$I$148,"&gt;0"),"")</f>
      </c>
      <c r="K28" s="149" t="str">
        <f>IFERROR(SUMIFS(BlockRatings_AQ!$J$5:$J$148,BlockRatings_AQ!$A$5:$A$148,A28,BlockRatings_AQ!$F$5:$F$148,B28,BlockRatings_AQ!$R$5:$R$148,"是",BlockRatings_AQ!$J$5:$J$148,"&gt;0")/COUNTIFS(BlockRatings_AQ!$A$5:$A$148,A28,BlockRatings_AQ!$F$5:$F$148,B28,BlockRatings_AQ!$R$5:$R$148,"是",BlockRatings_AQ!$J$5:$J$148,"&gt;0"),"")</f>
      </c>
      <c r="L28" s="149" t="str">
        <f>IF(COUNT(I28:K28)=3,AVERAGE(I28:K28),"")</f>
      </c>
      <c r="M28" s="149" t="str">
        <f>IFERROR(SUMIFS(BlockRatings_AQ!$L$5:$L$148,BlockRatings_AQ!$A$5:$A$148,A28,BlockRatings_AQ!$F$5:$F$148,B28,BlockRatings_AQ!$R$5:$R$148,"是",BlockRatings_AQ!$L$5:$L$148,"&gt;0")/COUNTIFS(BlockRatings_AQ!$A$5:$A$148,A28,BlockRatings_AQ!$F$5:$F$148,B28,BlockRatings_AQ!$R$5:$R$148,"是",BlockRatings_AQ!$L$5:$L$148,"&gt;0"),"")</f>
      </c>
      <c r="N28" s="149" t="str">
        <f>IFERROR(SUMIFS(BlockRatings_AQ!$M$5:$M$148,BlockRatings_AQ!$A$5:$A$148,A28,BlockRatings_AQ!$F$5:$F$148,B28,BlockRatings_AQ!$R$5:$R$148,"是",BlockRatings_AQ!$M$5:$M$148,"&gt;0")/COUNTIFS(BlockRatings_AQ!$A$5:$A$148,A28,BlockRatings_AQ!$F$5:$F$148,B28,BlockRatings_AQ!$R$5:$R$148,"是",BlockRatings_AQ!$M$5:$M$148,"&gt;0"),"")</f>
      </c>
      <c r="O28" s="149" t="str">
        <f>IFERROR(SUMIFS(BlockRatings_AQ!$N$5:$N$148,BlockRatings_AQ!$A$5:$A$148,A28,BlockRatings_AQ!$F$5:$F$148,B28,BlockRatings_AQ!$R$5:$R$148,"是",BlockRatings_AQ!$N$5:$N$148,"&gt;0")/COUNTIFS(BlockRatings_AQ!$A$5:$A$148,A28,BlockRatings_AQ!$F$5:$F$148,B28,BlockRatings_AQ!$R$5:$R$148,"是",BlockRatings_AQ!$N$5:$N$148,"&gt;0"),"")</f>
      </c>
      <c r="P28" s="149" t="str">
        <f>IF(COUNT(M28:O28)=3,AVERAGE(M28:O28),"")</f>
      </c>
      <c r="Q28" s="149" t="str">
        <f>IFERROR(SUMIFS(MethodRatings!$E$5:$E$52,MethodRatings!$A$5:$A$52,A28,MethodRatings!$D$5:$D$52,B28,MethodRatings!$E$5:$E$52,"&gt;0")/COUNTIFS(MethodRatings!$A$5:$A$52,A28,MethodRatings!$D$5:$D$52,B28,MethodRatings!$E$5:$E$52,"&gt;0"),"")</f>
      </c>
      <c r="R28" s="149" t="str">
        <f>IFERROR(SUMIFS(MethodRatings!$F$5:$F$52,MethodRatings!$A$5:$A$52,A28,MethodRatings!$D$5:$D$52,B28,MethodRatings!$F$5:$F$52,"&gt;0")/COUNTIFS(MethodRatings!$A$5:$A$52,A28,MethodRatings!$D$5:$D$52,B28,MethodRatings!$F$5:$F$52,"&gt;0"),"")</f>
      </c>
      <c r="S28" s="149" t="str">
        <f>IFERROR(SUMIFS(MethodRatings!$G$5:$G$52,MethodRatings!$A$5:$A$52,A28,MethodRatings!$D$5:$D$52,B28,MethodRatings!$G$5:$G$52,"&gt;0")/COUNTIFS(MethodRatings!$A$5:$A$52,A28,MethodRatings!$D$5:$D$52,B28,MethodRatings!$G$5:$G$52,"&gt;0"),"")</f>
      </c>
      <c r="T28" s="149" t="str">
        <f>IF(COUNT(Q28:S28)=3,AVERAGE(Q28:S28),"")</f>
      </c>
      <c r="U28" s="149" t="str">
        <f>IFERROR(SUMIFS(MethodRatings!$I$5:$I$52,MethodRatings!$A$5:$A$52,A28,MethodRatings!$D$5:$D$52,B28,MethodRatings!$I$5:$I$52,"&gt;0")/COUNTIFS(MethodRatings!$A$5:$A$52,A28,MethodRatings!$D$5:$D$52,B28,MethodRatings!$I$5:$I$52,"&gt;0"),"")</f>
      </c>
      <c r="V28" s="149" t="str">
        <f>IFERROR(SUMIFS(MethodRatings!$J$5:$J$52,MethodRatings!$A$5:$A$52,A28,MethodRatings!$D$5:$D$52,B28,MethodRatings!$J$5:$J$52,"&gt;0")/COUNTIFS(MethodRatings!$A$5:$A$52,A28,MethodRatings!$D$5:$D$52,B28,MethodRatings!$J$5:$J$52,"&gt;0"),"")</f>
      </c>
      <c r="W28" s="149" t="str">
        <f>IFERROR(SUMIFS(MethodRatings!$K$5:$K$52,MethodRatings!$A$5:$A$52,A28,MethodRatings!$D$5:$D$52,B28,MethodRatings!$K$5:$K$52,"&gt;0")/COUNTIFS(MethodRatings!$A$5:$A$52,A28,MethodRatings!$D$5:$D$52,B28,MethodRatings!$K$5:$K$52,"&gt;0"),"")</f>
      </c>
      <c r="X28" s="149" t="str">
        <f>IF(COUNT(U28:W28)=3,AVERAGE(U28:W28),"")</f>
      </c>
      <c r="Y28" s="149" t="str">
        <f>IFERROR(SUMIFS(MethodRatings!$M$5:$M$52,MethodRatings!$A$5:$A$52,A28,MethodRatings!$D$5:$D$52,B28,MethodRatings!$M$5:$M$52,"&gt;0")/COUNTIFS(MethodRatings!$A$5:$A$52,A28,MethodRatings!$D$5:$D$52,B28,MethodRatings!$M$5:$M$52,"&gt;0"),"")</f>
      </c>
      <c r="Z28" s="149" t="str">
        <f>IFERROR(SUMIFS(MethodRatings!$N$5:$N$52,MethodRatings!$A$5:$A$52,A28,MethodRatings!$D$5:$D$52,B28,MethodRatings!$N$5:$N$52,"&gt;0")/COUNTIFS(MethodRatings!$A$5:$A$52,A28,MethodRatings!$D$5:$D$52,B28,MethodRatings!$N$5:$N$52,"&gt;0"),"")</f>
      </c>
      <c r="AA28" s="149" t="str">
        <f>IFERROR(SUMIFS(MethodRatings!$O$5:$O$52,MethodRatings!$A$5:$A$52,A28,MethodRatings!$D$5:$D$52,B28,MethodRatings!$O$5:$O$52,"&gt;0")/COUNTIFS(MethodRatings!$A$5:$A$52,A28,MethodRatings!$D$5:$D$52,B28,MethodRatings!$O$5:$O$52,"&gt;0"),"")</f>
      </c>
      <c r="AB28" s="149" t="str">
        <f>IF(COUNT(I28:K28)=3,SUM(I28:K28),"")</f>
      </c>
      <c r="AC28" s="149" t="str">
        <f>IF(COUNT(M28:O28)=3,SUM(M28:O28),"")</f>
      </c>
      <c r="AD28" s="149" t="str">
        <f>IF(COUNT(Q28:S28)=3,SUM(Q28:S28),"")</f>
      </c>
      <c r="AE28" s="149" t="str">
        <f>IF(COUNT(U28:W28)=3,SUM(U28:W28),"")</f>
      </c>
      <c r="AF28" s="130" t="str">
        <f>IF((COUNT(F28:K28)+COUNT(M28:O28)+COUNT(Q28:S28)+COUNT(U28:W28)+COUNT(Y28:AA28))=18,"完整","缺失")</f>
        <v>缺失</v>
      </c>
    </row>
    <row r="29">
      <c r="A29" s="90" t="inlineStr">
        <is>
          <t>P001</t>
        </is>
      </c>
      <c r="B29" s="85" t="inlineStr">
        <is>
          <t>One-Euro</t>
        </is>
      </c>
      <c r="C29" s="129" t="str">
        <f>IF(B29=VLOOKUP(A29,Participants!$A$5:$W$28,22,FALSE),"方法A","方法B")</f>
        <v>方法B</v>
      </c>
      <c r="D29" s="129" t="str">
        <f>VLOOKUP(A29,Participants!$A$5:$B$28,2,FALSE)</f>
        <v>是</v>
      </c>
      <c r="E29" s="129" t="n">
        <f>COUNTIFS(TaskRatings!$A$5:$A$148,A29,TaskRatings!$F$5:$F$148,B29,TaskRatings!$O$5:$O$148,"是")</f>
        <v>3</v>
      </c>
      <c r="F29" s="149" t="str">
        <f>IFERROR(SUMIFS(TaskRatings!$H$5:$H$148,TaskRatings!$A$5:$A$148,A29,TaskRatings!$F$5:$F$148,B29,TaskRatings!$O$5:$O$148,"是",TaskRatings!$H$5:$H$148,"&gt;0")/COUNTIFS(TaskRatings!$A$5:$A$148,A29,TaskRatings!$F$5:$F$148,B29,TaskRatings!$O$5:$O$148,"是",TaskRatings!$H$5:$H$148,"&gt;0"),"")</f>
      </c>
      <c r="G29" s="149" t="str">
        <f>IFERROR(SUMIFS(TaskRatings!$J$5:$J$148,TaskRatings!$A$5:$A$148,A29,TaskRatings!$F$5:$F$148,B29,TaskRatings!$O$5:$O$148,"是",TaskRatings!$J$5:$J$148,"&gt;0")/COUNTIFS(TaskRatings!$A$5:$A$148,A29,TaskRatings!$F$5:$F$148,B29,TaskRatings!$O$5:$O$148,"是",TaskRatings!$J$5:$J$148,"&gt;0"),"")</f>
      </c>
      <c r="H29" s="149" t="str">
        <f>IFERROR(SUMIFS(TaskRatings!$L$5:$L$148,TaskRatings!$A$5:$A$148,A29,TaskRatings!$F$5:$F$148,B29,TaskRatings!$O$5:$O$148,"是",TaskRatings!$L$5:$L$148,"&gt;0")/COUNTIFS(TaskRatings!$A$5:$A$148,A29,TaskRatings!$F$5:$F$148,B29,TaskRatings!$O$5:$O$148,"是",TaskRatings!$L$5:$L$148,"&gt;0"),"")</f>
      </c>
      <c r="I29" s="149" t="str">
        <f>IFERROR(SUMIFS(BlockRatings_AQ!$H$5:$H$148,BlockRatings_AQ!$A$5:$A$148,A29,BlockRatings_AQ!$F$5:$F$148,B29,BlockRatings_AQ!$R$5:$R$148,"是",BlockRatings_AQ!$H$5:$H$148,"&gt;0")/COUNTIFS(BlockRatings_AQ!$A$5:$A$148,A29,BlockRatings_AQ!$F$5:$F$148,B29,BlockRatings_AQ!$R$5:$R$148,"是",BlockRatings_AQ!$H$5:$H$148,"&gt;0"),"")</f>
      </c>
      <c r="J29" s="149" t="str">
        <f>IFERROR(SUMIFS(BlockRatings_AQ!$I$5:$I$148,BlockRatings_AQ!$A$5:$A$148,A29,BlockRatings_AQ!$F$5:$F$148,B29,BlockRatings_AQ!$R$5:$R$148,"是",BlockRatings_AQ!$I$5:$I$148,"&gt;0")/COUNTIFS(BlockRatings_AQ!$A$5:$A$148,A29,BlockRatings_AQ!$F$5:$F$148,B29,BlockRatings_AQ!$R$5:$R$148,"是",BlockRatings_AQ!$I$5:$I$148,"&gt;0"),"")</f>
      </c>
      <c r="K29" s="149" t="str">
        <f>IFERROR(SUMIFS(BlockRatings_AQ!$J$5:$J$148,BlockRatings_AQ!$A$5:$A$148,A29,BlockRatings_AQ!$F$5:$F$148,B29,BlockRatings_AQ!$R$5:$R$148,"是",BlockRatings_AQ!$J$5:$J$148,"&gt;0")/COUNTIFS(BlockRatings_AQ!$A$5:$A$148,A29,BlockRatings_AQ!$F$5:$F$148,B29,BlockRatings_AQ!$R$5:$R$148,"是",BlockRatings_AQ!$J$5:$J$148,"&gt;0"),"")</f>
      </c>
      <c r="L29" s="149" t="str">
        <f>IF(COUNT(I29:K29)=3,AVERAGE(I29:K29),"")</f>
      </c>
      <c r="M29" s="149" t="str">
        <f>IFERROR(SUMIFS(BlockRatings_AQ!$L$5:$L$148,BlockRatings_AQ!$A$5:$A$148,A29,BlockRatings_AQ!$F$5:$F$148,B29,BlockRatings_AQ!$R$5:$R$148,"是",BlockRatings_AQ!$L$5:$L$148,"&gt;0")/COUNTIFS(BlockRatings_AQ!$A$5:$A$148,A29,BlockRatings_AQ!$F$5:$F$148,B29,BlockRatings_AQ!$R$5:$R$148,"是",BlockRatings_AQ!$L$5:$L$148,"&gt;0"),"")</f>
      </c>
      <c r="N29" s="149" t="str">
        <f>IFERROR(SUMIFS(BlockRatings_AQ!$M$5:$M$148,BlockRatings_AQ!$A$5:$A$148,A29,BlockRatings_AQ!$F$5:$F$148,B29,BlockRatings_AQ!$R$5:$R$148,"是",BlockRatings_AQ!$M$5:$M$148,"&gt;0")/COUNTIFS(BlockRatings_AQ!$A$5:$A$148,A29,BlockRatings_AQ!$F$5:$F$148,B29,BlockRatings_AQ!$R$5:$R$148,"是",BlockRatings_AQ!$M$5:$M$148,"&gt;0"),"")</f>
      </c>
      <c r="O29" s="149" t="str">
        <f>IFERROR(SUMIFS(BlockRatings_AQ!$N$5:$N$148,BlockRatings_AQ!$A$5:$A$148,A29,BlockRatings_AQ!$F$5:$F$148,B29,BlockRatings_AQ!$R$5:$R$148,"是",BlockRatings_AQ!$N$5:$N$148,"&gt;0")/COUNTIFS(BlockRatings_AQ!$A$5:$A$148,A29,BlockRatings_AQ!$F$5:$F$148,B29,BlockRatings_AQ!$R$5:$R$148,"是",BlockRatings_AQ!$N$5:$N$148,"&gt;0"),"")</f>
      </c>
      <c r="P29" s="149" t="str">
        <f>IF(COUNT(M29:O29)=3,AVERAGE(M29:O29),"")</f>
      </c>
      <c r="Q29" s="149" t="str">
        <f>IFERROR(SUMIFS(MethodRatings!$E$5:$E$52,MethodRatings!$A$5:$A$52,A29,MethodRatings!$D$5:$D$52,B29,MethodRatings!$E$5:$E$52,"&gt;0")/COUNTIFS(MethodRatings!$A$5:$A$52,A29,MethodRatings!$D$5:$D$52,B29,MethodRatings!$E$5:$E$52,"&gt;0"),"")</f>
      </c>
      <c r="R29" s="149" t="str">
        <f>IFERROR(SUMIFS(MethodRatings!$F$5:$F$52,MethodRatings!$A$5:$A$52,A29,MethodRatings!$D$5:$D$52,B29,MethodRatings!$F$5:$F$52,"&gt;0")/COUNTIFS(MethodRatings!$A$5:$A$52,A29,MethodRatings!$D$5:$D$52,B29,MethodRatings!$F$5:$F$52,"&gt;0"),"")</f>
      </c>
      <c r="S29" s="149" t="str">
        <f>IFERROR(SUMIFS(MethodRatings!$G$5:$G$52,MethodRatings!$A$5:$A$52,A29,MethodRatings!$D$5:$D$52,B29,MethodRatings!$G$5:$G$52,"&gt;0")/COUNTIFS(MethodRatings!$A$5:$A$52,A29,MethodRatings!$D$5:$D$52,B29,MethodRatings!$G$5:$G$52,"&gt;0"),"")</f>
      </c>
      <c r="T29" s="149" t="str">
        <f>IF(COUNT(Q29:S29)=3,AVERAGE(Q29:S29),"")</f>
      </c>
      <c r="U29" s="149" t="str">
        <f>IFERROR(SUMIFS(MethodRatings!$I$5:$I$52,MethodRatings!$A$5:$A$52,A29,MethodRatings!$D$5:$D$52,B29,MethodRatings!$I$5:$I$52,"&gt;0")/COUNTIFS(MethodRatings!$A$5:$A$52,A29,MethodRatings!$D$5:$D$52,B29,MethodRatings!$I$5:$I$52,"&gt;0"),"")</f>
      </c>
      <c r="V29" s="149" t="str">
        <f>IFERROR(SUMIFS(MethodRatings!$J$5:$J$52,MethodRatings!$A$5:$A$52,A29,MethodRatings!$D$5:$D$52,B29,MethodRatings!$J$5:$J$52,"&gt;0")/COUNTIFS(MethodRatings!$A$5:$A$52,A29,MethodRatings!$D$5:$D$52,B29,MethodRatings!$J$5:$J$52,"&gt;0"),"")</f>
      </c>
      <c r="W29" s="149" t="str">
        <f>IFERROR(SUMIFS(MethodRatings!$K$5:$K$52,MethodRatings!$A$5:$A$52,A29,MethodRatings!$D$5:$D$52,B29,MethodRatings!$K$5:$K$52,"&gt;0")/COUNTIFS(MethodRatings!$A$5:$A$52,A29,MethodRatings!$D$5:$D$52,B29,MethodRatings!$K$5:$K$52,"&gt;0"),"")</f>
      </c>
      <c r="X29" s="149" t="str">
        <f>IF(COUNT(U29:W29)=3,AVERAGE(U29:W29),"")</f>
      </c>
      <c r="Y29" s="149" t="str">
        <f>IFERROR(SUMIFS(MethodRatings!$M$5:$M$52,MethodRatings!$A$5:$A$52,A29,MethodRatings!$D$5:$D$52,B29,MethodRatings!$M$5:$M$52,"&gt;0")/COUNTIFS(MethodRatings!$A$5:$A$52,A29,MethodRatings!$D$5:$D$52,B29,MethodRatings!$M$5:$M$52,"&gt;0"),"")</f>
      </c>
      <c r="Z29" s="149" t="str">
        <f>IFERROR(SUMIFS(MethodRatings!$N$5:$N$52,MethodRatings!$A$5:$A$52,A29,MethodRatings!$D$5:$D$52,B29,MethodRatings!$N$5:$N$52,"&gt;0")/COUNTIFS(MethodRatings!$A$5:$A$52,A29,MethodRatings!$D$5:$D$52,B29,MethodRatings!$N$5:$N$52,"&gt;0"),"")</f>
      </c>
      <c r="AA29" s="149" t="str">
        <f>IFERROR(SUMIFS(MethodRatings!$O$5:$O$52,MethodRatings!$A$5:$A$52,A29,MethodRatings!$D$5:$D$52,B29,MethodRatings!$O$5:$O$52,"&gt;0")/COUNTIFS(MethodRatings!$A$5:$A$52,A29,MethodRatings!$D$5:$D$52,B29,MethodRatings!$O$5:$O$52,"&gt;0"),"")</f>
      </c>
      <c r="AB29" s="149" t="str">
        <f>IF(COUNT(I29:K29)=3,SUM(I29:K29),"")</f>
      </c>
      <c r="AC29" s="149" t="str">
        <f>IF(COUNT(M29:O29)=3,SUM(M29:O29),"")</f>
      </c>
      <c r="AD29" s="149" t="str">
        <f>IF(COUNT(Q29:S29)=3,SUM(Q29:S29),"")</f>
      </c>
      <c r="AE29" s="149" t="str">
        <f>IF(COUNT(U29:W29)=3,SUM(U29:W29),"")</f>
      </c>
      <c r="AF29" s="130" t="str">
        <f>IF((COUNT(F29:K29)+COUNT(M29:O29)+COUNT(Q29:S29)+COUNT(U29:W29)+COUNT(Y29:AA29))=18,"完整","缺失")</f>
        <v>缺失</v>
      </c>
    </row>
    <row r="30">
      <c r="A30" s="90" t="inlineStr">
        <is>
          <t>P002</t>
        </is>
      </c>
      <c r="B30" s="85" t="inlineStr">
        <is>
          <t>One-Euro</t>
        </is>
      </c>
      <c r="C30" s="129" t="str">
        <f>IF(B30=VLOOKUP(A30,Participants!$A$5:$W$28,22,FALSE),"方法A","方法B")</f>
        <v>方法B</v>
      </c>
      <c r="D30" s="129" t="str">
        <f>VLOOKUP(A30,Participants!$A$5:$B$28,2,FALSE)</f>
        <v>是</v>
      </c>
      <c r="E30" s="129" t="n">
        <f>COUNTIFS(TaskRatings!$A$5:$A$148,A30,TaskRatings!$F$5:$F$148,B30,TaskRatings!$O$5:$O$148,"是")</f>
        <v>3</v>
      </c>
      <c r="F30" s="149" t="str">
        <f>IFERROR(SUMIFS(TaskRatings!$H$5:$H$148,TaskRatings!$A$5:$A$148,A30,TaskRatings!$F$5:$F$148,B30,TaskRatings!$O$5:$O$148,"是",TaskRatings!$H$5:$H$148,"&gt;0")/COUNTIFS(TaskRatings!$A$5:$A$148,A30,TaskRatings!$F$5:$F$148,B30,TaskRatings!$O$5:$O$148,"是",TaskRatings!$H$5:$H$148,"&gt;0"),"")</f>
      </c>
      <c r="G30" s="149" t="str">
        <f>IFERROR(SUMIFS(TaskRatings!$J$5:$J$148,TaskRatings!$A$5:$A$148,A30,TaskRatings!$F$5:$F$148,B30,TaskRatings!$O$5:$O$148,"是",TaskRatings!$J$5:$J$148,"&gt;0")/COUNTIFS(TaskRatings!$A$5:$A$148,A30,TaskRatings!$F$5:$F$148,B30,TaskRatings!$O$5:$O$148,"是",TaskRatings!$J$5:$J$148,"&gt;0"),"")</f>
      </c>
      <c r="H30" s="149" t="str">
        <f>IFERROR(SUMIFS(TaskRatings!$L$5:$L$148,TaskRatings!$A$5:$A$148,A30,TaskRatings!$F$5:$F$148,B30,TaskRatings!$O$5:$O$148,"是",TaskRatings!$L$5:$L$148,"&gt;0")/COUNTIFS(TaskRatings!$A$5:$A$148,A30,TaskRatings!$F$5:$F$148,B30,TaskRatings!$O$5:$O$148,"是",TaskRatings!$L$5:$L$148,"&gt;0"),"")</f>
      </c>
      <c r="I30" s="149" t="str">
        <f>IFERROR(SUMIFS(BlockRatings_AQ!$H$5:$H$148,BlockRatings_AQ!$A$5:$A$148,A30,BlockRatings_AQ!$F$5:$F$148,B30,BlockRatings_AQ!$R$5:$R$148,"是",BlockRatings_AQ!$H$5:$H$148,"&gt;0")/COUNTIFS(BlockRatings_AQ!$A$5:$A$148,A30,BlockRatings_AQ!$F$5:$F$148,B30,BlockRatings_AQ!$R$5:$R$148,"是",BlockRatings_AQ!$H$5:$H$148,"&gt;0"),"")</f>
      </c>
      <c r="J30" s="149" t="str">
        <f>IFERROR(SUMIFS(BlockRatings_AQ!$I$5:$I$148,BlockRatings_AQ!$A$5:$A$148,A30,BlockRatings_AQ!$F$5:$F$148,B30,BlockRatings_AQ!$R$5:$R$148,"是",BlockRatings_AQ!$I$5:$I$148,"&gt;0")/COUNTIFS(BlockRatings_AQ!$A$5:$A$148,A30,BlockRatings_AQ!$F$5:$F$148,B30,BlockRatings_AQ!$R$5:$R$148,"是",BlockRatings_AQ!$I$5:$I$148,"&gt;0"),"")</f>
      </c>
      <c r="K30" s="149" t="str">
        <f>IFERROR(SUMIFS(BlockRatings_AQ!$J$5:$J$148,BlockRatings_AQ!$A$5:$A$148,A30,BlockRatings_AQ!$F$5:$F$148,B30,BlockRatings_AQ!$R$5:$R$148,"是",BlockRatings_AQ!$J$5:$J$148,"&gt;0")/COUNTIFS(BlockRatings_AQ!$A$5:$A$148,A30,BlockRatings_AQ!$F$5:$F$148,B30,BlockRatings_AQ!$R$5:$R$148,"是",BlockRatings_AQ!$J$5:$J$148,"&gt;0"),"")</f>
      </c>
      <c r="L30" s="149" t="str">
        <f>IF(COUNT(I30:K30)=3,AVERAGE(I30:K30),"")</f>
      </c>
      <c r="M30" s="149" t="str">
        <f>IFERROR(SUMIFS(BlockRatings_AQ!$L$5:$L$148,BlockRatings_AQ!$A$5:$A$148,A30,BlockRatings_AQ!$F$5:$F$148,B30,BlockRatings_AQ!$R$5:$R$148,"是",BlockRatings_AQ!$L$5:$L$148,"&gt;0")/COUNTIFS(BlockRatings_AQ!$A$5:$A$148,A30,BlockRatings_AQ!$F$5:$F$148,B30,BlockRatings_AQ!$R$5:$R$148,"是",BlockRatings_AQ!$L$5:$L$148,"&gt;0"),"")</f>
      </c>
      <c r="N30" s="149" t="str">
        <f>IFERROR(SUMIFS(BlockRatings_AQ!$M$5:$M$148,BlockRatings_AQ!$A$5:$A$148,A30,BlockRatings_AQ!$F$5:$F$148,B30,BlockRatings_AQ!$R$5:$R$148,"是",BlockRatings_AQ!$M$5:$M$148,"&gt;0")/COUNTIFS(BlockRatings_AQ!$A$5:$A$148,A30,BlockRatings_AQ!$F$5:$F$148,B30,BlockRatings_AQ!$R$5:$R$148,"是",BlockRatings_AQ!$M$5:$M$148,"&gt;0"),"")</f>
      </c>
      <c r="O30" s="149" t="str">
        <f>IFERROR(SUMIFS(BlockRatings_AQ!$N$5:$N$148,BlockRatings_AQ!$A$5:$A$148,A30,BlockRatings_AQ!$F$5:$F$148,B30,BlockRatings_AQ!$R$5:$R$148,"是",BlockRatings_AQ!$N$5:$N$148,"&gt;0")/COUNTIFS(BlockRatings_AQ!$A$5:$A$148,A30,BlockRatings_AQ!$F$5:$F$148,B30,BlockRatings_AQ!$R$5:$R$148,"是",BlockRatings_AQ!$N$5:$N$148,"&gt;0"),"")</f>
      </c>
      <c r="P30" s="149" t="str">
        <f>IF(COUNT(M30:O30)=3,AVERAGE(M30:O30),"")</f>
      </c>
      <c r="Q30" s="149" t="str">
        <f>IFERROR(SUMIFS(MethodRatings!$E$5:$E$52,MethodRatings!$A$5:$A$52,A30,MethodRatings!$D$5:$D$52,B30,MethodRatings!$E$5:$E$52,"&gt;0")/COUNTIFS(MethodRatings!$A$5:$A$52,A30,MethodRatings!$D$5:$D$52,B30,MethodRatings!$E$5:$E$52,"&gt;0"),"")</f>
      </c>
      <c r="R30" s="149" t="str">
        <f>IFERROR(SUMIFS(MethodRatings!$F$5:$F$52,MethodRatings!$A$5:$A$52,A30,MethodRatings!$D$5:$D$52,B30,MethodRatings!$F$5:$F$52,"&gt;0")/COUNTIFS(MethodRatings!$A$5:$A$52,A30,MethodRatings!$D$5:$D$52,B30,MethodRatings!$F$5:$F$52,"&gt;0"),"")</f>
      </c>
      <c r="S30" s="149" t="str">
        <f>IFERROR(SUMIFS(MethodRatings!$G$5:$G$52,MethodRatings!$A$5:$A$52,A30,MethodRatings!$D$5:$D$52,B30,MethodRatings!$G$5:$G$52,"&gt;0")/COUNTIFS(MethodRatings!$A$5:$A$52,A30,MethodRatings!$D$5:$D$52,B30,MethodRatings!$G$5:$G$52,"&gt;0"),"")</f>
      </c>
      <c r="T30" s="149" t="str">
        <f>IF(COUNT(Q30:S30)=3,AVERAGE(Q30:S30),"")</f>
      </c>
      <c r="U30" s="149" t="str">
        <f>IFERROR(SUMIFS(MethodRatings!$I$5:$I$52,MethodRatings!$A$5:$A$52,A30,MethodRatings!$D$5:$D$52,B30,MethodRatings!$I$5:$I$52,"&gt;0")/COUNTIFS(MethodRatings!$A$5:$A$52,A30,MethodRatings!$D$5:$D$52,B30,MethodRatings!$I$5:$I$52,"&gt;0"),"")</f>
      </c>
      <c r="V30" s="149" t="str">
        <f>IFERROR(SUMIFS(MethodRatings!$J$5:$J$52,MethodRatings!$A$5:$A$52,A30,MethodRatings!$D$5:$D$52,B30,MethodRatings!$J$5:$J$52,"&gt;0")/COUNTIFS(MethodRatings!$A$5:$A$52,A30,MethodRatings!$D$5:$D$52,B30,MethodRatings!$J$5:$J$52,"&gt;0"),"")</f>
      </c>
      <c r="W30" s="149" t="str">
        <f>IFERROR(SUMIFS(MethodRatings!$K$5:$K$52,MethodRatings!$A$5:$A$52,A30,MethodRatings!$D$5:$D$52,B30,MethodRatings!$K$5:$K$52,"&gt;0")/COUNTIFS(MethodRatings!$A$5:$A$52,A30,MethodRatings!$D$5:$D$52,B30,MethodRatings!$K$5:$K$52,"&gt;0"),"")</f>
      </c>
      <c r="X30" s="149" t="str">
        <f>IF(COUNT(U30:W30)=3,AVERAGE(U30:W30),"")</f>
      </c>
      <c r="Y30" s="149" t="str">
        <f>IFERROR(SUMIFS(MethodRatings!$M$5:$M$52,MethodRatings!$A$5:$A$52,A30,MethodRatings!$D$5:$D$52,B30,MethodRatings!$M$5:$M$52,"&gt;0")/COUNTIFS(MethodRatings!$A$5:$A$52,A30,MethodRatings!$D$5:$D$52,B30,MethodRatings!$M$5:$M$52,"&gt;0"),"")</f>
      </c>
      <c r="Z30" s="149" t="str">
        <f>IFERROR(SUMIFS(MethodRatings!$N$5:$N$52,MethodRatings!$A$5:$A$52,A30,MethodRatings!$D$5:$D$52,B30,MethodRatings!$N$5:$N$52,"&gt;0")/COUNTIFS(MethodRatings!$A$5:$A$52,A30,MethodRatings!$D$5:$D$52,B30,MethodRatings!$N$5:$N$52,"&gt;0"),"")</f>
      </c>
      <c r="AA30" s="149" t="str">
        <f>IFERROR(SUMIFS(MethodRatings!$O$5:$O$52,MethodRatings!$A$5:$A$52,A30,MethodRatings!$D$5:$D$52,B30,MethodRatings!$O$5:$O$52,"&gt;0")/COUNTIFS(MethodRatings!$A$5:$A$52,A30,MethodRatings!$D$5:$D$52,B30,MethodRatings!$O$5:$O$52,"&gt;0"),"")</f>
      </c>
      <c r="AB30" s="149" t="str">
        <f>IF(COUNT(I30:K30)=3,SUM(I30:K30),"")</f>
      </c>
      <c r="AC30" s="149" t="str">
        <f>IF(COUNT(M30:O30)=3,SUM(M30:O30),"")</f>
      </c>
      <c r="AD30" s="149" t="str">
        <f>IF(COUNT(Q30:S30)=3,SUM(Q30:S30),"")</f>
      </c>
      <c r="AE30" s="149" t="str">
        <f>IF(COUNT(U30:W30)=3,SUM(U30:W30),"")</f>
      </c>
      <c r="AF30" s="130" t="str">
        <f>IF((COUNT(F30:K30)+COUNT(M30:O30)+COUNT(Q30:S30)+COUNT(U30:W30)+COUNT(Y30:AA30))=18,"完整","缺失")</f>
        <v>缺失</v>
      </c>
    </row>
    <row r="31">
      <c r="A31" s="90" t="inlineStr">
        <is>
          <t>P003</t>
        </is>
      </c>
      <c r="B31" s="85" t="inlineStr">
        <is>
          <t>One-Euro</t>
        </is>
      </c>
      <c r="C31" s="129" t="str">
        <f>IF(B31=VLOOKUP(A31,Participants!$A$5:$W$28,22,FALSE),"方法A","方法B")</f>
        <v>方法B</v>
      </c>
      <c r="D31" s="129" t="str">
        <f>VLOOKUP(A31,Participants!$A$5:$B$28,2,FALSE)</f>
        <v>是</v>
      </c>
      <c r="E31" s="129" t="n">
        <f>COUNTIFS(TaskRatings!$A$5:$A$148,A31,TaskRatings!$F$5:$F$148,B31,TaskRatings!$O$5:$O$148,"是")</f>
        <v>3</v>
      </c>
      <c r="F31" s="149" t="str">
        <f>IFERROR(SUMIFS(TaskRatings!$H$5:$H$148,TaskRatings!$A$5:$A$148,A31,TaskRatings!$F$5:$F$148,B31,TaskRatings!$O$5:$O$148,"是",TaskRatings!$H$5:$H$148,"&gt;0")/COUNTIFS(TaskRatings!$A$5:$A$148,A31,TaskRatings!$F$5:$F$148,B31,TaskRatings!$O$5:$O$148,"是",TaskRatings!$H$5:$H$148,"&gt;0"),"")</f>
      </c>
      <c r="G31" s="149" t="str">
        <f>IFERROR(SUMIFS(TaskRatings!$J$5:$J$148,TaskRatings!$A$5:$A$148,A31,TaskRatings!$F$5:$F$148,B31,TaskRatings!$O$5:$O$148,"是",TaskRatings!$J$5:$J$148,"&gt;0")/COUNTIFS(TaskRatings!$A$5:$A$148,A31,TaskRatings!$F$5:$F$148,B31,TaskRatings!$O$5:$O$148,"是",TaskRatings!$J$5:$J$148,"&gt;0"),"")</f>
      </c>
      <c r="H31" s="149" t="str">
        <f>IFERROR(SUMIFS(TaskRatings!$L$5:$L$148,TaskRatings!$A$5:$A$148,A31,TaskRatings!$F$5:$F$148,B31,TaskRatings!$O$5:$O$148,"是",TaskRatings!$L$5:$L$148,"&gt;0")/COUNTIFS(TaskRatings!$A$5:$A$148,A31,TaskRatings!$F$5:$F$148,B31,TaskRatings!$O$5:$O$148,"是",TaskRatings!$L$5:$L$148,"&gt;0"),"")</f>
      </c>
      <c r="I31" s="149" t="str">
        <f>IFERROR(SUMIFS(BlockRatings_AQ!$H$5:$H$148,BlockRatings_AQ!$A$5:$A$148,A31,BlockRatings_AQ!$F$5:$F$148,B31,BlockRatings_AQ!$R$5:$R$148,"是",BlockRatings_AQ!$H$5:$H$148,"&gt;0")/COUNTIFS(BlockRatings_AQ!$A$5:$A$148,A31,BlockRatings_AQ!$F$5:$F$148,B31,BlockRatings_AQ!$R$5:$R$148,"是",BlockRatings_AQ!$H$5:$H$148,"&gt;0"),"")</f>
      </c>
      <c r="J31" s="149" t="str">
        <f>IFERROR(SUMIFS(BlockRatings_AQ!$I$5:$I$148,BlockRatings_AQ!$A$5:$A$148,A31,BlockRatings_AQ!$F$5:$F$148,B31,BlockRatings_AQ!$R$5:$R$148,"是",BlockRatings_AQ!$I$5:$I$148,"&gt;0")/COUNTIFS(BlockRatings_AQ!$A$5:$A$148,A31,BlockRatings_AQ!$F$5:$F$148,B31,BlockRatings_AQ!$R$5:$R$148,"是",BlockRatings_AQ!$I$5:$I$148,"&gt;0"),"")</f>
      </c>
      <c r="K31" s="149" t="str">
        <f>IFERROR(SUMIFS(BlockRatings_AQ!$J$5:$J$148,BlockRatings_AQ!$A$5:$A$148,A31,BlockRatings_AQ!$F$5:$F$148,B31,BlockRatings_AQ!$R$5:$R$148,"是",BlockRatings_AQ!$J$5:$J$148,"&gt;0")/COUNTIFS(BlockRatings_AQ!$A$5:$A$148,A31,BlockRatings_AQ!$F$5:$F$148,B31,BlockRatings_AQ!$R$5:$R$148,"是",BlockRatings_AQ!$J$5:$J$148,"&gt;0"),"")</f>
      </c>
      <c r="L31" s="149" t="str">
        <f>IF(COUNT(I31:K31)=3,AVERAGE(I31:K31),"")</f>
      </c>
      <c r="M31" s="149" t="str">
        <f>IFERROR(SUMIFS(BlockRatings_AQ!$L$5:$L$148,BlockRatings_AQ!$A$5:$A$148,A31,BlockRatings_AQ!$F$5:$F$148,B31,BlockRatings_AQ!$R$5:$R$148,"是",BlockRatings_AQ!$L$5:$L$148,"&gt;0")/COUNTIFS(BlockRatings_AQ!$A$5:$A$148,A31,BlockRatings_AQ!$F$5:$F$148,B31,BlockRatings_AQ!$R$5:$R$148,"是",BlockRatings_AQ!$L$5:$L$148,"&gt;0"),"")</f>
      </c>
      <c r="N31" s="149" t="str">
        <f>IFERROR(SUMIFS(BlockRatings_AQ!$M$5:$M$148,BlockRatings_AQ!$A$5:$A$148,A31,BlockRatings_AQ!$F$5:$F$148,B31,BlockRatings_AQ!$R$5:$R$148,"是",BlockRatings_AQ!$M$5:$M$148,"&gt;0")/COUNTIFS(BlockRatings_AQ!$A$5:$A$148,A31,BlockRatings_AQ!$F$5:$F$148,B31,BlockRatings_AQ!$R$5:$R$148,"是",BlockRatings_AQ!$M$5:$M$148,"&gt;0"),"")</f>
      </c>
      <c r="O31" s="149" t="str">
        <f>IFERROR(SUMIFS(BlockRatings_AQ!$N$5:$N$148,BlockRatings_AQ!$A$5:$A$148,A31,BlockRatings_AQ!$F$5:$F$148,B31,BlockRatings_AQ!$R$5:$R$148,"是",BlockRatings_AQ!$N$5:$N$148,"&gt;0")/COUNTIFS(BlockRatings_AQ!$A$5:$A$148,A31,BlockRatings_AQ!$F$5:$F$148,B31,BlockRatings_AQ!$R$5:$R$148,"是",BlockRatings_AQ!$N$5:$N$148,"&gt;0"),"")</f>
      </c>
      <c r="P31" s="149" t="str">
        <f>IF(COUNT(M31:O31)=3,AVERAGE(M31:O31),"")</f>
      </c>
      <c r="Q31" s="149" t="str">
        <f>IFERROR(SUMIFS(MethodRatings!$E$5:$E$52,MethodRatings!$A$5:$A$52,A31,MethodRatings!$D$5:$D$52,B31,MethodRatings!$E$5:$E$52,"&gt;0")/COUNTIFS(MethodRatings!$A$5:$A$52,A31,MethodRatings!$D$5:$D$52,B31,MethodRatings!$E$5:$E$52,"&gt;0"),"")</f>
      </c>
      <c r="R31" s="149" t="str">
        <f>IFERROR(SUMIFS(MethodRatings!$F$5:$F$52,MethodRatings!$A$5:$A$52,A31,MethodRatings!$D$5:$D$52,B31,MethodRatings!$F$5:$F$52,"&gt;0")/COUNTIFS(MethodRatings!$A$5:$A$52,A31,MethodRatings!$D$5:$D$52,B31,MethodRatings!$F$5:$F$52,"&gt;0"),"")</f>
      </c>
      <c r="S31" s="149" t="str">
        <f>IFERROR(SUMIFS(MethodRatings!$G$5:$G$52,MethodRatings!$A$5:$A$52,A31,MethodRatings!$D$5:$D$52,B31,MethodRatings!$G$5:$G$52,"&gt;0")/COUNTIFS(MethodRatings!$A$5:$A$52,A31,MethodRatings!$D$5:$D$52,B31,MethodRatings!$G$5:$G$52,"&gt;0"),"")</f>
      </c>
      <c r="T31" s="149" t="str">
        <f>IF(COUNT(Q31:S31)=3,AVERAGE(Q31:S31),"")</f>
      </c>
      <c r="U31" s="149" t="str">
        <f>IFERROR(SUMIFS(MethodRatings!$I$5:$I$52,MethodRatings!$A$5:$A$52,A31,MethodRatings!$D$5:$D$52,B31,MethodRatings!$I$5:$I$52,"&gt;0")/COUNTIFS(MethodRatings!$A$5:$A$52,A31,MethodRatings!$D$5:$D$52,B31,MethodRatings!$I$5:$I$52,"&gt;0"),"")</f>
      </c>
      <c r="V31" s="149" t="str">
        <f>IFERROR(SUMIFS(MethodRatings!$J$5:$J$52,MethodRatings!$A$5:$A$52,A31,MethodRatings!$D$5:$D$52,B31,MethodRatings!$J$5:$J$52,"&gt;0")/COUNTIFS(MethodRatings!$A$5:$A$52,A31,MethodRatings!$D$5:$D$52,B31,MethodRatings!$J$5:$J$52,"&gt;0"),"")</f>
      </c>
      <c r="W31" s="149" t="str">
        <f>IFERROR(SUMIFS(MethodRatings!$K$5:$K$52,MethodRatings!$A$5:$A$52,A31,MethodRatings!$D$5:$D$52,B31,MethodRatings!$K$5:$K$52,"&gt;0")/COUNTIFS(MethodRatings!$A$5:$A$52,A31,MethodRatings!$D$5:$D$52,B31,MethodRatings!$K$5:$K$52,"&gt;0"),"")</f>
      </c>
      <c r="X31" s="149" t="str">
        <f>IF(COUNT(U31:W31)=3,AVERAGE(U31:W31),"")</f>
      </c>
      <c r="Y31" s="149" t="str">
        <f>IFERROR(SUMIFS(MethodRatings!$M$5:$M$52,MethodRatings!$A$5:$A$52,A31,MethodRatings!$D$5:$D$52,B31,MethodRatings!$M$5:$M$52,"&gt;0")/COUNTIFS(MethodRatings!$A$5:$A$52,A31,MethodRatings!$D$5:$D$52,B31,MethodRatings!$M$5:$M$52,"&gt;0"),"")</f>
      </c>
      <c r="Z31" s="149" t="str">
        <f>IFERROR(SUMIFS(MethodRatings!$N$5:$N$52,MethodRatings!$A$5:$A$52,A31,MethodRatings!$D$5:$D$52,B31,MethodRatings!$N$5:$N$52,"&gt;0")/COUNTIFS(MethodRatings!$A$5:$A$52,A31,MethodRatings!$D$5:$D$52,B31,MethodRatings!$N$5:$N$52,"&gt;0"),"")</f>
      </c>
      <c r="AA31" s="149" t="str">
        <f>IFERROR(SUMIFS(MethodRatings!$O$5:$O$52,MethodRatings!$A$5:$A$52,A31,MethodRatings!$D$5:$D$52,B31,MethodRatings!$O$5:$O$52,"&gt;0")/COUNTIFS(MethodRatings!$A$5:$A$52,A31,MethodRatings!$D$5:$D$52,B31,MethodRatings!$O$5:$O$52,"&gt;0"),"")</f>
      </c>
      <c r="AB31" s="149" t="str">
        <f>IF(COUNT(I31:K31)=3,SUM(I31:K31),"")</f>
      </c>
      <c r="AC31" s="149" t="str">
        <f>IF(COUNT(M31:O31)=3,SUM(M31:O31),"")</f>
      </c>
      <c r="AD31" s="149" t="str">
        <f>IF(COUNT(Q31:S31)=3,SUM(Q31:S31),"")</f>
      </c>
      <c r="AE31" s="149" t="str">
        <f>IF(COUNT(U31:W31)=3,SUM(U31:W31),"")</f>
      </c>
      <c r="AF31" s="130" t="str">
        <f>IF((COUNT(F31:K31)+COUNT(M31:O31)+COUNT(Q31:S31)+COUNT(U31:W31)+COUNT(Y31:AA31))=18,"完整","缺失")</f>
        <v>缺失</v>
      </c>
    </row>
    <row r="32">
      <c r="A32" s="90" t="inlineStr">
        <is>
          <t>P004</t>
        </is>
      </c>
      <c r="B32" s="85" t="inlineStr">
        <is>
          <t>One-Euro</t>
        </is>
      </c>
      <c r="C32" s="129" t="str">
        <f>IF(B32=VLOOKUP(A32,Participants!$A$5:$W$28,22,FALSE),"方法A","方法B")</f>
        <v>方法B</v>
      </c>
      <c r="D32" s="129" t="str">
        <f>VLOOKUP(A32,Participants!$A$5:$B$28,2,FALSE)</f>
        <v>是</v>
      </c>
      <c r="E32" s="129" t="n">
        <f>COUNTIFS(TaskRatings!$A$5:$A$148,A32,TaskRatings!$F$5:$F$148,B32,TaskRatings!$O$5:$O$148,"是")</f>
        <v>3</v>
      </c>
      <c r="F32" s="149" t="str">
        <f>IFERROR(SUMIFS(TaskRatings!$H$5:$H$148,TaskRatings!$A$5:$A$148,A32,TaskRatings!$F$5:$F$148,B32,TaskRatings!$O$5:$O$148,"是",TaskRatings!$H$5:$H$148,"&gt;0")/COUNTIFS(TaskRatings!$A$5:$A$148,A32,TaskRatings!$F$5:$F$148,B32,TaskRatings!$O$5:$O$148,"是",TaskRatings!$H$5:$H$148,"&gt;0"),"")</f>
      </c>
      <c r="G32" s="149" t="str">
        <f>IFERROR(SUMIFS(TaskRatings!$J$5:$J$148,TaskRatings!$A$5:$A$148,A32,TaskRatings!$F$5:$F$148,B32,TaskRatings!$O$5:$O$148,"是",TaskRatings!$J$5:$J$148,"&gt;0")/COUNTIFS(TaskRatings!$A$5:$A$148,A32,TaskRatings!$F$5:$F$148,B32,TaskRatings!$O$5:$O$148,"是",TaskRatings!$J$5:$J$148,"&gt;0"),"")</f>
      </c>
      <c r="H32" s="149" t="str">
        <f>IFERROR(SUMIFS(TaskRatings!$L$5:$L$148,TaskRatings!$A$5:$A$148,A32,TaskRatings!$F$5:$F$148,B32,TaskRatings!$O$5:$O$148,"是",TaskRatings!$L$5:$L$148,"&gt;0")/COUNTIFS(TaskRatings!$A$5:$A$148,A32,TaskRatings!$F$5:$F$148,B32,TaskRatings!$O$5:$O$148,"是",TaskRatings!$L$5:$L$148,"&gt;0"),"")</f>
      </c>
      <c r="I32" s="149" t="str">
        <f>IFERROR(SUMIFS(BlockRatings_AQ!$H$5:$H$148,BlockRatings_AQ!$A$5:$A$148,A32,BlockRatings_AQ!$F$5:$F$148,B32,BlockRatings_AQ!$R$5:$R$148,"是",BlockRatings_AQ!$H$5:$H$148,"&gt;0")/COUNTIFS(BlockRatings_AQ!$A$5:$A$148,A32,BlockRatings_AQ!$F$5:$F$148,B32,BlockRatings_AQ!$R$5:$R$148,"是",BlockRatings_AQ!$H$5:$H$148,"&gt;0"),"")</f>
      </c>
      <c r="J32" s="149" t="str">
        <f>IFERROR(SUMIFS(BlockRatings_AQ!$I$5:$I$148,BlockRatings_AQ!$A$5:$A$148,A32,BlockRatings_AQ!$F$5:$F$148,B32,BlockRatings_AQ!$R$5:$R$148,"是",BlockRatings_AQ!$I$5:$I$148,"&gt;0")/COUNTIFS(BlockRatings_AQ!$A$5:$A$148,A32,BlockRatings_AQ!$F$5:$F$148,B32,BlockRatings_AQ!$R$5:$R$148,"是",BlockRatings_AQ!$I$5:$I$148,"&gt;0"),"")</f>
      </c>
      <c r="K32" s="149" t="str">
        <f>IFERROR(SUMIFS(BlockRatings_AQ!$J$5:$J$148,BlockRatings_AQ!$A$5:$A$148,A32,BlockRatings_AQ!$F$5:$F$148,B32,BlockRatings_AQ!$R$5:$R$148,"是",BlockRatings_AQ!$J$5:$J$148,"&gt;0")/COUNTIFS(BlockRatings_AQ!$A$5:$A$148,A32,BlockRatings_AQ!$F$5:$F$148,B32,BlockRatings_AQ!$R$5:$R$148,"是",BlockRatings_AQ!$J$5:$J$148,"&gt;0"),"")</f>
      </c>
      <c r="L32" s="149" t="str">
        <f>IF(COUNT(I32:K32)=3,AVERAGE(I32:K32),"")</f>
      </c>
      <c r="M32" s="149" t="str">
        <f>IFERROR(SUMIFS(BlockRatings_AQ!$L$5:$L$148,BlockRatings_AQ!$A$5:$A$148,A32,BlockRatings_AQ!$F$5:$F$148,B32,BlockRatings_AQ!$R$5:$R$148,"是",BlockRatings_AQ!$L$5:$L$148,"&gt;0")/COUNTIFS(BlockRatings_AQ!$A$5:$A$148,A32,BlockRatings_AQ!$F$5:$F$148,B32,BlockRatings_AQ!$R$5:$R$148,"是",BlockRatings_AQ!$L$5:$L$148,"&gt;0"),"")</f>
      </c>
      <c r="N32" s="149" t="str">
        <f>IFERROR(SUMIFS(BlockRatings_AQ!$M$5:$M$148,BlockRatings_AQ!$A$5:$A$148,A32,BlockRatings_AQ!$F$5:$F$148,B32,BlockRatings_AQ!$R$5:$R$148,"是",BlockRatings_AQ!$M$5:$M$148,"&gt;0")/COUNTIFS(BlockRatings_AQ!$A$5:$A$148,A32,BlockRatings_AQ!$F$5:$F$148,B32,BlockRatings_AQ!$R$5:$R$148,"是",BlockRatings_AQ!$M$5:$M$148,"&gt;0"),"")</f>
      </c>
      <c r="O32" s="149" t="str">
        <f>IFERROR(SUMIFS(BlockRatings_AQ!$N$5:$N$148,BlockRatings_AQ!$A$5:$A$148,A32,BlockRatings_AQ!$F$5:$F$148,B32,BlockRatings_AQ!$R$5:$R$148,"是",BlockRatings_AQ!$N$5:$N$148,"&gt;0")/COUNTIFS(BlockRatings_AQ!$A$5:$A$148,A32,BlockRatings_AQ!$F$5:$F$148,B32,BlockRatings_AQ!$R$5:$R$148,"是",BlockRatings_AQ!$N$5:$N$148,"&gt;0"),"")</f>
      </c>
      <c r="P32" s="149" t="str">
        <f>IF(COUNT(M32:O32)=3,AVERAGE(M32:O32),"")</f>
      </c>
      <c r="Q32" s="149" t="str">
        <f>IFERROR(SUMIFS(MethodRatings!$E$5:$E$52,MethodRatings!$A$5:$A$52,A32,MethodRatings!$D$5:$D$52,B32,MethodRatings!$E$5:$E$52,"&gt;0")/COUNTIFS(MethodRatings!$A$5:$A$52,A32,MethodRatings!$D$5:$D$52,B32,MethodRatings!$E$5:$E$52,"&gt;0"),"")</f>
      </c>
      <c r="R32" s="149" t="str">
        <f>IFERROR(SUMIFS(MethodRatings!$F$5:$F$52,MethodRatings!$A$5:$A$52,A32,MethodRatings!$D$5:$D$52,B32,MethodRatings!$F$5:$F$52,"&gt;0")/COUNTIFS(MethodRatings!$A$5:$A$52,A32,MethodRatings!$D$5:$D$52,B32,MethodRatings!$F$5:$F$52,"&gt;0"),"")</f>
      </c>
      <c r="S32" s="149" t="str">
        <f>IFERROR(SUMIFS(MethodRatings!$G$5:$G$52,MethodRatings!$A$5:$A$52,A32,MethodRatings!$D$5:$D$52,B32,MethodRatings!$G$5:$G$52,"&gt;0")/COUNTIFS(MethodRatings!$A$5:$A$52,A32,MethodRatings!$D$5:$D$52,B32,MethodRatings!$G$5:$G$52,"&gt;0"),"")</f>
      </c>
      <c r="T32" s="149" t="str">
        <f>IF(COUNT(Q32:S32)=3,AVERAGE(Q32:S32),"")</f>
      </c>
      <c r="U32" s="149" t="str">
        <f>IFERROR(SUMIFS(MethodRatings!$I$5:$I$52,MethodRatings!$A$5:$A$52,A32,MethodRatings!$D$5:$D$52,B32,MethodRatings!$I$5:$I$52,"&gt;0")/COUNTIFS(MethodRatings!$A$5:$A$52,A32,MethodRatings!$D$5:$D$52,B32,MethodRatings!$I$5:$I$52,"&gt;0"),"")</f>
      </c>
      <c r="V32" s="149" t="str">
        <f>IFERROR(SUMIFS(MethodRatings!$J$5:$J$52,MethodRatings!$A$5:$A$52,A32,MethodRatings!$D$5:$D$52,B32,MethodRatings!$J$5:$J$52,"&gt;0")/COUNTIFS(MethodRatings!$A$5:$A$52,A32,MethodRatings!$D$5:$D$52,B32,MethodRatings!$J$5:$J$52,"&gt;0"),"")</f>
      </c>
      <c r="W32" s="149" t="str">
        <f>IFERROR(SUMIFS(MethodRatings!$K$5:$K$52,MethodRatings!$A$5:$A$52,A32,MethodRatings!$D$5:$D$52,B32,MethodRatings!$K$5:$K$52,"&gt;0")/COUNTIFS(MethodRatings!$A$5:$A$52,A32,MethodRatings!$D$5:$D$52,B32,MethodRatings!$K$5:$K$52,"&gt;0"),"")</f>
      </c>
      <c r="X32" s="149" t="str">
        <f>IF(COUNT(U32:W32)=3,AVERAGE(U32:W32),"")</f>
      </c>
      <c r="Y32" s="149" t="str">
        <f>IFERROR(SUMIFS(MethodRatings!$M$5:$M$52,MethodRatings!$A$5:$A$52,A32,MethodRatings!$D$5:$D$52,B32,MethodRatings!$M$5:$M$52,"&gt;0")/COUNTIFS(MethodRatings!$A$5:$A$52,A32,MethodRatings!$D$5:$D$52,B32,MethodRatings!$M$5:$M$52,"&gt;0"),"")</f>
      </c>
      <c r="Z32" s="149" t="str">
        <f>IFERROR(SUMIFS(MethodRatings!$N$5:$N$52,MethodRatings!$A$5:$A$52,A32,MethodRatings!$D$5:$D$52,B32,MethodRatings!$N$5:$N$52,"&gt;0")/COUNTIFS(MethodRatings!$A$5:$A$52,A32,MethodRatings!$D$5:$D$52,B32,MethodRatings!$N$5:$N$52,"&gt;0"),"")</f>
      </c>
      <c r="AA32" s="149" t="str">
        <f>IFERROR(SUMIFS(MethodRatings!$O$5:$O$52,MethodRatings!$A$5:$A$52,A32,MethodRatings!$D$5:$D$52,B32,MethodRatings!$O$5:$O$52,"&gt;0")/COUNTIFS(MethodRatings!$A$5:$A$52,A32,MethodRatings!$D$5:$D$52,B32,MethodRatings!$O$5:$O$52,"&gt;0"),"")</f>
      </c>
      <c r="AB32" s="149" t="str">
        <f>IF(COUNT(I32:K32)=3,SUM(I32:K32),"")</f>
      </c>
      <c r="AC32" s="149" t="str">
        <f>IF(COUNT(M32:O32)=3,SUM(M32:O32),"")</f>
      </c>
      <c r="AD32" s="149" t="str">
        <f>IF(COUNT(Q32:S32)=3,SUM(Q32:S32),"")</f>
      </c>
      <c r="AE32" s="149" t="str">
        <f>IF(COUNT(U32:W32)=3,SUM(U32:W32),"")</f>
      </c>
      <c r="AF32" s="130" t="str">
        <f>IF((COUNT(F32:K32)+COUNT(M32:O32)+COUNT(Q32:S32)+COUNT(U32:W32)+COUNT(Y32:AA32))=18,"完整","缺失")</f>
        <v>缺失</v>
      </c>
    </row>
    <row r="33">
      <c r="A33" s="90" t="inlineStr">
        <is>
          <t>P005</t>
        </is>
      </c>
      <c r="B33" s="85" t="inlineStr">
        <is>
          <t>One-Euro</t>
        </is>
      </c>
      <c r="C33" s="129" t="str">
        <f>IF(B33=VLOOKUP(A33,Participants!$A$5:$W$28,22,FALSE),"方法A","方法B")</f>
        <v>方法B</v>
      </c>
      <c r="D33" s="129" t="str">
        <f>VLOOKUP(A33,Participants!$A$5:$B$28,2,FALSE)</f>
        <v>是</v>
      </c>
      <c r="E33" s="129" t="n">
        <f>COUNTIFS(TaskRatings!$A$5:$A$148,A33,TaskRatings!$F$5:$F$148,B33,TaskRatings!$O$5:$O$148,"是")</f>
        <v>3</v>
      </c>
      <c r="F33" s="149" t="str">
        <f>IFERROR(SUMIFS(TaskRatings!$H$5:$H$148,TaskRatings!$A$5:$A$148,A33,TaskRatings!$F$5:$F$148,B33,TaskRatings!$O$5:$O$148,"是",TaskRatings!$H$5:$H$148,"&gt;0")/COUNTIFS(TaskRatings!$A$5:$A$148,A33,TaskRatings!$F$5:$F$148,B33,TaskRatings!$O$5:$O$148,"是",TaskRatings!$H$5:$H$148,"&gt;0"),"")</f>
      </c>
      <c r="G33" s="149" t="str">
        <f>IFERROR(SUMIFS(TaskRatings!$J$5:$J$148,TaskRatings!$A$5:$A$148,A33,TaskRatings!$F$5:$F$148,B33,TaskRatings!$O$5:$O$148,"是",TaskRatings!$J$5:$J$148,"&gt;0")/COUNTIFS(TaskRatings!$A$5:$A$148,A33,TaskRatings!$F$5:$F$148,B33,TaskRatings!$O$5:$O$148,"是",TaskRatings!$J$5:$J$148,"&gt;0"),"")</f>
      </c>
      <c r="H33" s="149" t="str">
        <f>IFERROR(SUMIFS(TaskRatings!$L$5:$L$148,TaskRatings!$A$5:$A$148,A33,TaskRatings!$F$5:$F$148,B33,TaskRatings!$O$5:$O$148,"是",TaskRatings!$L$5:$L$148,"&gt;0")/COUNTIFS(TaskRatings!$A$5:$A$148,A33,TaskRatings!$F$5:$F$148,B33,TaskRatings!$O$5:$O$148,"是",TaskRatings!$L$5:$L$148,"&gt;0"),"")</f>
      </c>
      <c r="I33" s="149" t="str">
        <f>IFERROR(SUMIFS(BlockRatings_AQ!$H$5:$H$148,BlockRatings_AQ!$A$5:$A$148,A33,BlockRatings_AQ!$F$5:$F$148,B33,BlockRatings_AQ!$R$5:$R$148,"是",BlockRatings_AQ!$H$5:$H$148,"&gt;0")/COUNTIFS(BlockRatings_AQ!$A$5:$A$148,A33,BlockRatings_AQ!$F$5:$F$148,B33,BlockRatings_AQ!$R$5:$R$148,"是",BlockRatings_AQ!$H$5:$H$148,"&gt;0"),"")</f>
      </c>
      <c r="J33" s="149" t="str">
        <f>IFERROR(SUMIFS(BlockRatings_AQ!$I$5:$I$148,BlockRatings_AQ!$A$5:$A$148,A33,BlockRatings_AQ!$F$5:$F$148,B33,BlockRatings_AQ!$R$5:$R$148,"是",BlockRatings_AQ!$I$5:$I$148,"&gt;0")/COUNTIFS(BlockRatings_AQ!$A$5:$A$148,A33,BlockRatings_AQ!$F$5:$F$148,B33,BlockRatings_AQ!$R$5:$R$148,"是",BlockRatings_AQ!$I$5:$I$148,"&gt;0"),"")</f>
      </c>
      <c r="K33" s="149" t="str">
        <f>IFERROR(SUMIFS(BlockRatings_AQ!$J$5:$J$148,BlockRatings_AQ!$A$5:$A$148,A33,BlockRatings_AQ!$F$5:$F$148,B33,BlockRatings_AQ!$R$5:$R$148,"是",BlockRatings_AQ!$J$5:$J$148,"&gt;0")/COUNTIFS(BlockRatings_AQ!$A$5:$A$148,A33,BlockRatings_AQ!$F$5:$F$148,B33,BlockRatings_AQ!$R$5:$R$148,"是",BlockRatings_AQ!$J$5:$J$148,"&gt;0"),"")</f>
      </c>
      <c r="L33" s="149" t="str">
        <f>IF(COUNT(I33:K33)=3,AVERAGE(I33:K33),"")</f>
      </c>
      <c r="M33" s="149" t="str">
        <f>IFERROR(SUMIFS(BlockRatings_AQ!$L$5:$L$148,BlockRatings_AQ!$A$5:$A$148,A33,BlockRatings_AQ!$F$5:$F$148,B33,BlockRatings_AQ!$R$5:$R$148,"是",BlockRatings_AQ!$L$5:$L$148,"&gt;0")/COUNTIFS(BlockRatings_AQ!$A$5:$A$148,A33,BlockRatings_AQ!$F$5:$F$148,B33,BlockRatings_AQ!$R$5:$R$148,"是",BlockRatings_AQ!$L$5:$L$148,"&gt;0"),"")</f>
      </c>
      <c r="N33" s="149" t="str">
        <f>IFERROR(SUMIFS(BlockRatings_AQ!$M$5:$M$148,BlockRatings_AQ!$A$5:$A$148,A33,BlockRatings_AQ!$F$5:$F$148,B33,BlockRatings_AQ!$R$5:$R$148,"是",BlockRatings_AQ!$M$5:$M$148,"&gt;0")/COUNTIFS(BlockRatings_AQ!$A$5:$A$148,A33,BlockRatings_AQ!$F$5:$F$148,B33,BlockRatings_AQ!$R$5:$R$148,"是",BlockRatings_AQ!$M$5:$M$148,"&gt;0"),"")</f>
      </c>
      <c r="O33" s="149" t="str">
        <f>IFERROR(SUMIFS(BlockRatings_AQ!$N$5:$N$148,BlockRatings_AQ!$A$5:$A$148,A33,BlockRatings_AQ!$F$5:$F$148,B33,BlockRatings_AQ!$R$5:$R$148,"是",BlockRatings_AQ!$N$5:$N$148,"&gt;0")/COUNTIFS(BlockRatings_AQ!$A$5:$A$148,A33,BlockRatings_AQ!$F$5:$F$148,B33,BlockRatings_AQ!$R$5:$R$148,"是",BlockRatings_AQ!$N$5:$N$148,"&gt;0"),"")</f>
      </c>
      <c r="P33" s="149" t="str">
        <f>IF(COUNT(M33:O33)=3,AVERAGE(M33:O33),"")</f>
      </c>
      <c r="Q33" s="149" t="str">
        <f>IFERROR(SUMIFS(MethodRatings!$E$5:$E$52,MethodRatings!$A$5:$A$52,A33,MethodRatings!$D$5:$D$52,B33,MethodRatings!$E$5:$E$52,"&gt;0")/COUNTIFS(MethodRatings!$A$5:$A$52,A33,MethodRatings!$D$5:$D$52,B33,MethodRatings!$E$5:$E$52,"&gt;0"),"")</f>
      </c>
      <c r="R33" s="149" t="str">
        <f>IFERROR(SUMIFS(MethodRatings!$F$5:$F$52,MethodRatings!$A$5:$A$52,A33,MethodRatings!$D$5:$D$52,B33,MethodRatings!$F$5:$F$52,"&gt;0")/COUNTIFS(MethodRatings!$A$5:$A$52,A33,MethodRatings!$D$5:$D$52,B33,MethodRatings!$F$5:$F$52,"&gt;0"),"")</f>
      </c>
      <c r="S33" s="149" t="str">
        <f>IFERROR(SUMIFS(MethodRatings!$G$5:$G$52,MethodRatings!$A$5:$A$52,A33,MethodRatings!$D$5:$D$52,B33,MethodRatings!$G$5:$G$52,"&gt;0")/COUNTIFS(MethodRatings!$A$5:$A$52,A33,MethodRatings!$D$5:$D$52,B33,MethodRatings!$G$5:$G$52,"&gt;0"),"")</f>
      </c>
      <c r="T33" s="149" t="str">
        <f>IF(COUNT(Q33:S33)=3,AVERAGE(Q33:S33),"")</f>
      </c>
      <c r="U33" s="149" t="str">
        <f>IFERROR(SUMIFS(MethodRatings!$I$5:$I$52,MethodRatings!$A$5:$A$52,A33,MethodRatings!$D$5:$D$52,B33,MethodRatings!$I$5:$I$52,"&gt;0")/COUNTIFS(MethodRatings!$A$5:$A$52,A33,MethodRatings!$D$5:$D$52,B33,MethodRatings!$I$5:$I$52,"&gt;0"),"")</f>
      </c>
      <c r="V33" s="149" t="str">
        <f>IFERROR(SUMIFS(MethodRatings!$J$5:$J$52,MethodRatings!$A$5:$A$52,A33,MethodRatings!$D$5:$D$52,B33,MethodRatings!$J$5:$J$52,"&gt;0")/COUNTIFS(MethodRatings!$A$5:$A$52,A33,MethodRatings!$D$5:$D$52,B33,MethodRatings!$J$5:$J$52,"&gt;0"),"")</f>
      </c>
      <c r="W33" s="149" t="str">
        <f>IFERROR(SUMIFS(MethodRatings!$K$5:$K$52,MethodRatings!$A$5:$A$52,A33,MethodRatings!$D$5:$D$52,B33,MethodRatings!$K$5:$K$52,"&gt;0")/COUNTIFS(MethodRatings!$A$5:$A$52,A33,MethodRatings!$D$5:$D$52,B33,MethodRatings!$K$5:$K$52,"&gt;0"),"")</f>
      </c>
      <c r="X33" s="149" t="str">
        <f>IF(COUNT(U33:W33)=3,AVERAGE(U33:W33),"")</f>
      </c>
      <c r="Y33" s="149" t="str">
        <f>IFERROR(SUMIFS(MethodRatings!$M$5:$M$52,MethodRatings!$A$5:$A$52,A33,MethodRatings!$D$5:$D$52,B33,MethodRatings!$M$5:$M$52,"&gt;0")/COUNTIFS(MethodRatings!$A$5:$A$52,A33,MethodRatings!$D$5:$D$52,B33,MethodRatings!$M$5:$M$52,"&gt;0"),"")</f>
      </c>
      <c r="Z33" s="149" t="str">
        <f>IFERROR(SUMIFS(MethodRatings!$N$5:$N$52,MethodRatings!$A$5:$A$52,A33,MethodRatings!$D$5:$D$52,B33,MethodRatings!$N$5:$N$52,"&gt;0")/COUNTIFS(MethodRatings!$A$5:$A$52,A33,MethodRatings!$D$5:$D$52,B33,MethodRatings!$N$5:$N$52,"&gt;0"),"")</f>
      </c>
      <c r="AA33" s="149" t="str">
        <f>IFERROR(SUMIFS(MethodRatings!$O$5:$O$52,MethodRatings!$A$5:$A$52,A33,MethodRatings!$D$5:$D$52,B33,MethodRatings!$O$5:$O$52,"&gt;0")/COUNTIFS(MethodRatings!$A$5:$A$52,A33,MethodRatings!$D$5:$D$52,B33,MethodRatings!$O$5:$O$52,"&gt;0"),"")</f>
      </c>
      <c r="AB33" s="149" t="str">
        <f>IF(COUNT(I33:K33)=3,SUM(I33:K33),"")</f>
      </c>
      <c r="AC33" s="149" t="str">
        <f>IF(COUNT(M33:O33)=3,SUM(M33:O33),"")</f>
      </c>
      <c r="AD33" s="149" t="str">
        <f>IF(COUNT(Q33:S33)=3,SUM(Q33:S33),"")</f>
      </c>
      <c r="AE33" s="149" t="str">
        <f>IF(COUNT(U33:W33)=3,SUM(U33:W33),"")</f>
      </c>
      <c r="AF33" s="130" t="str">
        <f>IF((COUNT(F33:K33)+COUNT(M33:O33)+COUNT(Q33:S33)+COUNT(U33:W33)+COUNT(Y33:AA33))=18,"完整","缺失")</f>
        <v>缺失</v>
      </c>
    </row>
    <row r="34">
      <c r="A34" s="90" t="inlineStr">
        <is>
          <t>P006</t>
        </is>
      </c>
      <c r="B34" s="85" t="inlineStr">
        <is>
          <t>One-Euro</t>
        </is>
      </c>
      <c r="C34" s="129" t="str">
        <f>IF(B34=VLOOKUP(A34,Participants!$A$5:$W$28,22,FALSE),"方法A","方法B")</f>
        <v>方法B</v>
      </c>
      <c r="D34" s="129" t="str">
        <f>VLOOKUP(A34,Participants!$A$5:$B$28,2,FALSE)</f>
        <v>是</v>
      </c>
      <c r="E34" s="129" t="n">
        <f>COUNTIFS(TaskRatings!$A$5:$A$148,A34,TaskRatings!$F$5:$F$148,B34,TaskRatings!$O$5:$O$148,"是")</f>
        <v>3</v>
      </c>
      <c r="F34" s="149" t="str">
        <f>IFERROR(SUMIFS(TaskRatings!$H$5:$H$148,TaskRatings!$A$5:$A$148,A34,TaskRatings!$F$5:$F$148,B34,TaskRatings!$O$5:$O$148,"是",TaskRatings!$H$5:$H$148,"&gt;0")/COUNTIFS(TaskRatings!$A$5:$A$148,A34,TaskRatings!$F$5:$F$148,B34,TaskRatings!$O$5:$O$148,"是",TaskRatings!$H$5:$H$148,"&gt;0"),"")</f>
      </c>
      <c r="G34" s="149" t="str">
        <f>IFERROR(SUMIFS(TaskRatings!$J$5:$J$148,TaskRatings!$A$5:$A$148,A34,TaskRatings!$F$5:$F$148,B34,TaskRatings!$O$5:$O$148,"是",TaskRatings!$J$5:$J$148,"&gt;0")/COUNTIFS(TaskRatings!$A$5:$A$148,A34,TaskRatings!$F$5:$F$148,B34,TaskRatings!$O$5:$O$148,"是",TaskRatings!$J$5:$J$148,"&gt;0"),"")</f>
      </c>
      <c r="H34" s="149" t="str">
        <f>IFERROR(SUMIFS(TaskRatings!$L$5:$L$148,TaskRatings!$A$5:$A$148,A34,TaskRatings!$F$5:$F$148,B34,TaskRatings!$O$5:$O$148,"是",TaskRatings!$L$5:$L$148,"&gt;0")/COUNTIFS(TaskRatings!$A$5:$A$148,A34,TaskRatings!$F$5:$F$148,B34,TaskRatings!$O$5:$O$148,"是",TaskRatings!$L$5:$L$148,"&gt;0"),"")</f>
      </c>
      <c r="I34" s="149" t="str">
        <f>IFERROR(SUMIFS(BlockRatings_AQ!$H$5:$H$148,BlockRatings_AQ!$A$5:$A$148,A34,BlockRatings_AQ!$F$5:$F$148,B34,BlockRatings_AQ!$R$5:$R$148,"是",BlockRatings_AQ!$H$5:$H$148,"&gt;0")/COUNTIFS(BlockRatings_AQ!$A$5:$A$148,A34,BlockRatings_AQ!$F$5:$F$148,B34,BlockRatings_AQ!$R$5:$R$148,"是",BlockRatings_AQ!$H$5:$H$148,"&gt;0"),"")</f>
      </c>
      <c r="J34" s="149" t="str">
        <f>IFERROR(SUMIFS(BlockRatings_AQ!$I$5:$I$148,BlockRatings_AQ!$A$5:$A$148,A34,BlockRatings_AQ!$F$5:$F$148,B34,BlockRatings_AQ!$R$5:$R$148,"是",BlockRatings_AQ!$I$5:$I$148,"&gt;0")/COUNTIFS(BlockRatings_AQ!$A$5:$A$148,A34,BlockRatings_AQ!$F$5:$F$148,B34,BlockRatings_AQ!$R$5:$R$148,"是",BlockRatings_AQ!$I$5:$I$148,"&gt;0"),"")</f>
      </c>
      <c r="K34" s="149" t="str">
        <f>IFERROR(SUMIFS(BlockRatings_AQ!$J$5:$J$148,BlockRatings_AQ!$A$5:$A$148,A34,BlockRatings_AQ!$F$5:$F$148,B34,BlockRatings_AQ!$R$5:$R$148,"是",BlockRatings_AQ!$J$5:$J$148,"&gt;0")/COUNTIFS(BlockRatings_AQ!$A$5:$A$148,A34,BlockRatings_AQ!$F$5:$F$148,B34,BlockRatings_AQ!$R$5:$R$148,"是",BlockRatings_AQ!$J$5:$J$148,"&gt;0"),"")</f>
      </c>
      <c r="L34" s="149" t="str">
        <f>IF(COUNT(I34:K34)=3,AVERAGE(I34:K34),"")</f>
      </c>
      <c r="M34" s="149" t="str">
        <f>IFERROR(SUMIFS(BlockRatings_AQ!$L$5:$L$148,BlockRatings_AQ!$A$5:$A$148,A34,BlockRatings_AQ!$F$5:$F$148,B34,BlockRatings_AQ!$R$5:$R$148,"是",BlockRatings_AQ!$L$5:$L$148,"&gt;0")/COUNTIFS(BlockRatings_AQ!$A$5:$A$148,A34,BlockRatings_AQ!$F$5:$F$148,B34,BlockRatings_AQ!$R$5:$R$148,"是",BlockRatings_AQ!$L$5:$L$148,"&gt;0"),"")</f>
      </c>
      <c r="N34" s="149" t="str">
        <f>IFERROR(SUMIFS(BlockRatings_AQ!$M$5:$M$148,BlockRatings_AQ!$A$5:$A$148,A34,BlockRatings_AQ!$F$5:$F$148,B34,BlockRatings_AQ!$R$5:$R$148,"是",BlockRatings_AQ!$M$5:$M$148,"&gt;0")/COUNTIFS(BlockRatings_AQ!$A$5:$A$148,A34,BlockRatings_AQ!$F$5:$F$148,B34,BlockRatings_AQ!$R$5:$R$148,"是",BlockRatings_AQ!$M$5:$M$148,"&gt;0"),"")</f>
      </c>
      <c r="O34" s="149" t="str">
        <f>IFERROR(SUMIFS(BlockRatings_AQ!$N$5:$N$148,BlockRatings_AQ!$A$5:$A$148,A34,BlockRatings_AQ!$F$5:$F$148,B34,BlockRatings_AQ!$R$5:$R$148,"是",BlockRatings_AQ!$N$5:$N$148,"&gt;0")/COUNTIFS(BlockRatings_AQ!$A$5:$A$148,A34,BlockRatings_AQ!$F$5:$F$148,B34,BlockRatings_AQ!$R$5:$R$148,"是",BlockRatings_AQ!$N$5:$N$148,"&gt;0"),"")</f>
      </c>
      <c r="P34" s="149" t="str">
        <f>IF(COUNT(M34:O34)=3,AVERAGE(M34:O34),"")</f>
      </c>
      <c r="Q34" s="149" t="str">
        <f>IFERROR(SUMIFS(MethodRatings!$E$5:$E$52,MethodRatings!$A$5:$A$52,A34,MethodRatings!$D$5:$D$52,B34,MethodRatings!$E$5:$E$52,"&gt;0")/COUNTIFS(MethodRatings!$A$5:$A$52,A34,MethodRatings!$D$5:$D$52,B34,MethodRatings!$E$5:$E$52,"&gt;0"),"")</f>
      </c>
      <c r="R34" s="149" t="str">
        <f>IFERROR(SUMIFS(MethodRatings!$F$5:$F$52,MethodRatings!$A$5:$A$52,A34,MethodRatings!$D$5:$D$52,B34,MethodRatings!$F$5:$F$52,"&gt;0")/COUNTIFS(MethodRatings!$A$5:$A$52,A34,MethodRatings!$D$5:$D$52,B34,MethodRatings!$F$5:$F$52,"&gt;0"),"")</f>
      </c>
      <c r="S34" s="149" t="str">
        <f>IFERROR(SUMIFS(MethodRatings!$G$5:$G$52,MethodRatings!$A$5:$A$52,A34,MethodRatings!$D$5:$D$52,B34,MethodRatings!$G$5:$G$52,"&gt;0")/COUNTIFS(MethodRatings!$A$5:$A$52,A34,MethodRatings!$D$5:$D$52,B34,MethodRatings!$G$5:$G$52,"&gt;0"),"")</f>
      </c>
      <c r="T34" s="149" t="str">
        <f>IF(COUNT(Q34:S34)=3,AVERAGE(Q34:S34),"")</f>
      </c>
      <c r="U34" s="149" t="str">
        <f>IFERROR(SUMIFS(MethodRatings!$I$5:$I$52,MethodRatings!$A$5:$A$52,A34,MethodRatings!$D$5:$D$52,B34,MethodRatings!$I$5:$I$52,"&gt;0")/COUNTIFS(MethodRatings!$A$5:$A$52,A34,MethodRatings!$D$5:$D$52,B34,MethodRatings!$I$5:$I$52,"&gt;0"),"")</f>
      </c>
      <c r="V34" s="149" t="str">
        <f>IFERROR(SUMIFS(MethodRatings!$J$5:$J$52,MethodRatings!$A$5:$A$52,A34,MethodRatings!$D$5:$D$52,B34,MethodRatings!$J$5:$J$52,"&gt;0")/COUNTIFS(MethodRatings!$A$5:$A$52,A34,MethodRatings!$D$5:$D$52,B34,MethodRatings!$J$5:$J$52,"&gt;0"),"")</f>
      </c>
      <c r="W34" s="149" t="str">
        <f>IFERROR(SUMIFS(MethodRatings!$K$5:$K$52,MethodRatings!$A$5:$A$52,A34,MethodRatings!$D$5:$D$52,B34,MethodRatings!$K$5:$K$52,"&gt;0")/COUNTIFS(MethodRatings!$A$5:$A$52,A34,MethodRatings!$D$5:$D$52,B34,MethodRatings!$K$5:$K$52,"&gt;0"),"")</f>
      </c>
      <c r="X34" s="149" t="str">
        <f>IF(COUNT(U34:W34)=3,AVERAGE(U34:W34),"")</f>
      </c>
      <c r="Y34" s="149" t="str">
        <f>IFERROR(SUMIFS(MethodRatings!$M$5:$M$52,MethodRatings!$A$5:$A$52,A34,MethodRatings!$D$5:$D$52,B34,MethodRatings!$M$5:$M$52,"&gt;0")/COUNTIFS(MethodRatings!$A$5:$A$52,A34,MethodRatings!$D$5:$D$52,B34,MethodRatings!$M$5:$M$52,"&gt;0"),"")</f>
      </c>
      <c r="Z34" s="149" t="str">
        <f>IFERROR(SUMIFS(MethodRatings!$N$5:$N$52,MethodRatings!$A$5:$A$52,A34,MethodRatings!$D$5:$D$52,B34,MethodRatings!$N$5:$N$52,"&gt;0")/COUNTIFS(MethodRatings!$A$5:$A$52,A34,MethodRatings!$D$5:$D$52,B34,MethodRatings!$N$5:$N$52,"&gt;0"),"")</f>
      </c>
      <c r="AA34" s="149" t="str">
        <f>IFERROR(SUMIFS(MethodRatings!$O$5:$O$52,MethodRatings!$A$5:$A$52,A34,MethodRatings!$D$5:$D$52,B34,MethodRatings!$O$5:$O$52,"&gt;0")/COUNTIFS(MethodRatings!$A$5:$A$52,A34,MethodRatings!$D$5:$D$52,B34,MethodRatings!$O$5:$O$52,"&gt;0"),"")</f>
      </c>
      <c r="AB34" s="149" t="str">
        <f>IF(COUNT(I34:K34)=3,SUM(I34:K34),"")</f>
      </c>
      <c r="AC34" s="149" t="str">
        <f>IF(COUNT(M34:O34)=3,SUM(M34:O34),"")</f>
      </c>
      <c r="AD34" s="149" t="str">
        <f>IF(COUNT(Q34:S34)=3,SUM(Q34:S34),"")</f>
      </c>
      <c r="AE34" s="149" t="str">
        <f>IF(COUNT(U34:W34)=3,SUM(U34:W34),"")</f>
      </c>
      <c r="AF34" s="130" t="str">
        <f>IF((COUNT(F34:K34)+COUNT(M34:O34)+COUNT(Q34:S34)+COUNT(U34:W34)+COUNT(Y34:AA34))=18,"完整","缺失")</f>
        <v>缺失</v>
      </c>
    </row>
    <row r="35">
      <c r="A35" s="90" t="inlineStr">
        <is>
          <t>P007</t>
        </is>
      </c>
      <c r="B35" s="85" t="inlineStr">
        <is>
          <t>One-Euro</t>
        </is>
      </c>
      <c r="C35" s="129" t="str">
        <f>IF(B35=VLOOKUP(A35,Participants!$A$5:$W$28,22,FALSE),"方法A","方法B")</f>
        <v>方法B</v>
      </c>
      <c r="D35" s="129" t="str">
        <f>VLOOKUP(A35,Participants!$A$5:$B$28,2,FALSE)</f>
        <v>是</v>
      </c>
      <c r="E35" s="129" t="n">
        <f>COUNTIFS(TaskRatings!$A$5:$A$148,A35,TaskRatings!$F$5:$F$148,B35,TaskRatings!$O$5:$O$148,"是")</f>
        <v>3</v>
      </c>
      <c r="F35" s="149" t="str">
        <f>IFERROR(SUMIFS(TaskRatings!$H$5:$H$148,TaskRatings!$A$5:$A$148,A35,TaskRatings!$F$5:$F$148,B35,TaskRatings!$O$5:$O$148,"是",TaskRatings!$H$5:$H$148,"&gt;0")/COUNTIFS(TaskRatings!$A$5:$A$148,A35,TaskRatings!$F$5:$F$148,B35,TaskRatings!$O$5:$O$148,"是",TaskRatings!$H$5:$H$148,"&gt;0"),"")</f>
      </c>
      <c r="G35" s="149" t="str">
        <f>IFERROR(SUMIFS(TaskRatings!$J$5:$J$148,TaskRatings!$A$5:$A$148,A35,TaskRatings!$F$5:$F$148,B35,TaskRatings!$O$5:$O$148,"是",TaskRatings!$J$5:$J$148,"&gt;0")/COUNTIFS(TaskRatings!$A$5:$A$148,A35,TaskRatings!$F$5:$F$148,B35,TaskRatings!$O$5:$O$148,"是",TaskRatings!$J$5:$J$148,"&gt;0"),"")</f>
      </c>
      <c r="H35" s="149" t="str">
        <f>IFERROR(SUMIFS(TaskRatings!$L$5:$L$148,TaskRatings!$A$5:$A$148,A35,TaskRatings!$F$5:$F$148,B35,TaskRatings!$O$5:$O$148,"是",TaskRatings!$L$5:$L$148,"&gt;0")/COUNTIFS(TaskRatings!$A$5:$A$148,A35,TaskRatings!$F$5:$F$148,B35,TaskRatings!$O$5:$O$148,"是",TaskRatings!$L$5:$L$148,"&gt;0"),"")</f>
      </c>
      <c r="I35" s="149" t="str">
        <f>IFERROR(SUMIFS(BlockRatings_AQ!$H$5:$H$148,BlockRatings_AQ!$A$5:$A$148,A35,BlockRatings_AQ!$F$5:$F$148,B35,BlockRatings_AQ!$R$5:$R$148,"是",BlockRatings_AQ!$H$5:$H$148,"&gt;0")/COUNTIFS(BlockRatings_AQ!$A$5:$A$148,A35,BlockRatings_AQ!$F$5:$F$148,B35,BlockRatings_AQ!$R$5:$R$148,"是",BlockRatings_AQ!$H$5:$H$148,"&gt;0"),"")</f>
      </c>
      <c r="J35" s="149" t="str">
        <f>IFERROR(SUMIFS(BlockRatings_AQ!$I$5:$I$148,BlockRatings_AQ!$A$5:$A$148,A35,BlockRatings_AQ!$F$5:$F$148,B35,BlockRatings_AQ!$R$5:$R$148,"是",BlockRatings_AQ!$I$5:$I$148,"&gt;0")/COUNTIFS(BlockRatings_AQ!$A$5:$A$148,A35,BlockRatings_AQ!$F$5:$F$148,B35,BlockRatings_AQ!$R$5:$R$148,"是",BlockRatings_AQ!$I$5:$I$148,"&gt;0"),"")</f>
      </c>
      <c r="K35" s="149" t="str">
        <f>IFERROR(SUMIFS(BlockRatings_AQ!$J$5:$J$148,BlockRatings_AQ!$A$5:$A$148,A35,BlockRatings_AQ!$F$5:$F$148,B35,BlockRatings_AQ!$R$5:$R$148,"是",BlockRatings_AQ!$J$5:$J$148,"&gt;0")/COUNTIFS(BlockRatings_AQ!$A$5:$A$148,A35,BlockRatings_AQ!$F$5:$F$148,B35,BlockRatings_AQ!$R$5:$R$148,"是",BlockRatings_AQ!$J$5:$J$148,"&gt;0"),"")</f>
      </c>
      <c r="L35" s="149" t="str">
        <f>IF(COUNT(I35:K35)=3,AVERAGE(I35:K35),"")</f>
      </c>
      <c r="M35" s="149" t="str">
        <f>IFERROR(SUMIFS(BlockRatings_AQ!$L$5:$L$148,BlockRatings_AQ!$A$5:$A$148,A35,BlockRatings_AQ!$F$5:$F$148,B35,BlockRatings_AQ!$R$5:$R$148,"是",BlockRatings_AQ!$L$5:$L$148,"&gt;0")/COUNTIFS(BlockRatings_AQ!$A$5:$A$148,A35,BlockRatings_AQ!$F$5:$F$148,B35,BlockRatings_AQ!$R$5:$R$148,"是",BlockRatings_AQ!$L$5:$L$148,"&gt;0"),"")</f>
      </c>
      <c r="N35" s="149" t="str">
        <f>IFERROR(SUMIFS(BlockRatings_AQ!$M$5:$M$148,BlockRatings_AQ!$A$5:$A$148,A35,BlockRatings_AQ!$F$5:$F$148,B35,BlockRatings_AQ!$R$5:$R$148,"是",BlockRatings_AQ!$M$5:$M$148,"&gt;0")/COUNTIFS(BlockRatings_AQ!$A$5:$A$148,A35,BlockRatings_AQ!$F$5:$F$148,B35,BlockRatings_AQ!$R$5:$R$148,"是",BlockRatings_AQ!$M$5:$M$148,"&gt;0"),"")</f>
      </c>
      <c r="O35" s="149" t="str">
        <f>IFERROR(SUMIFS(BlockRatings_AQ!$N$5:$N$148,BlockRatings_AQ!$A$5:$A$148,A35,BlockRatings_AQ!$F$5:$F$148,B35,BlockRatings_AQ!$R$5:$R$148,"是",BlockRatings_AQ!$N$5:$N$148,"&gt;0")/COUNTIFS(BlockRatings_AQ!$A$5:$A$148,A35,BlockRatings_AQ!$F$5:$F$148,B35,BlockRatings_AQ!$R$5:$R$148,"是",BlockRatings_AQ!$N$5:$N$148,"&gt;0"),"")</f>
      </c>
      <c r="P35" s="149" t="str">
        <f>IF(COUNT(M35:O35)=3,AVERAGE(M35:O35),"")</f>
      </c>
      <c r="Q35" s="149" t="str">
        <f>IFERROR(SUMIFS(MethodRatings!$E$5:$E$52,MethodRatings!$A$5:$A$52,A35,MethodRatings!$D$5:$D$52,B35,MethodRatings!$E$5:$E$52,"&gt;0")/COUNTIFS(MethodRatings!$A$5:$A$52,A35,MethodRatings!$D$5:$D$52,B35,MethodRatings!$E$5:$E$52,"&gt;0"),"")</f>
      </c>
      <c r="R35" s="149" t="str">
        <f>IFERROR(SUMIFS(MethodRatings!$F$5:$F$52,MethodRatings!$A$5:$A$52,A35,MethodRatings!$D$5:$D$52,B35,MethodRatings!$F$5:$F$52,"&gt;0")/COUNTIFS(MethodRatings!$A$5:$A$52,A35,MethodRatings!$D$5:$D$52,B35,MethodRatings!$F$5:$F$52,"&gt;0"),"")</f>
      </c>
      <c r="S35" s="149" t="str">
        <f>IFERROR(SUMIFS(MethodRatings!$G$5:$G$52,MethodRatings!$A$5:$A$52,A35,MethodRatings!$D$5:$D$52,B35,MethodRatings!$G$5:$G$52,"&gt;0")/COUNTIFS(MethodRatings!$A$5:$A$52,A35,MethodRatings!$D$5:$D$52,B35,MethodRatings!$G$5:$G$52,"&gt;0"),"")</f>
      </c>
      <c r="T35" s="149" t="str">
        <f>IF(COUNT(Q35:S35)=3,AVERAGE(Q35:S35),"")</f>
      </c>
      <c r="U35" s="149" t="str">
        <f>IFERROR(SUMIFS(MethodRatings!$I$5:$I$52,MethodRatings!$A$5:$A$52,A35,MethodRatings!$D$5:$D$52,B35,MethodRatings!$I$5:$I$52,"&gt;0")/COUNTIFS(MethodRatings!$A$5:$A$52,A35,MethodRatings!$D$5:$D$52,B35,MethodRatings!$I$5:$I$52,"&gt;0"),"")</f>
      </c>
      <c r="V35" s="149" t="str">
        <f>IFERROR(SUMIFS(MethodRatings!$J$5:$J$52,MethodRatings!$A$5:$A$52,A35,MethodRatings!$D$5:$D$52,B35,MethodRatings!$J$5:$J$52,"&gt;0")/COUNTIFS(MethodRatings!$A$5:$A$52,A35,MethodRatings!$D$5:$D$52,B35,MethodRatings!$J$5:$J$52,"&gt;0"),"")</f>
      </c>
      <c r="W35" s="149" t="str">
        <f>IFERROR(SUMIFS(MethodRatings!$K$5:$K$52,MethodRatings!$A$5:$A$52,A35,MethodRatings!$D$5:$D$52,B35,MethodRatings!$K$5:$K$52,"&gt;0")/COUNTIFS(MethodRatings!$A$5:$A$52,A35,MethodRatings!$D$5:$D$52,B35,MethodRatings!$K$5:$K$52,"&gt;0"),"")</f>
      </c>
      <c r="X35" s="149" t="str">
        <f>IF(COUNT(U35:W35)=3,AVERAGE(U35:W35),"")</f>
      </c>
      <c r="Y35" s="149" t="str">
        <f>IFERROR(SUMIFS(MethodRatings!$M$5:$M$52,MethodRatings!$A$5:$A$52,A35,MethodRatings!$D$5:$D$52,B35,MethodRatings!$M$5:$M$52,"&gt;0")/COUNTIFS(MethodRatings!$A$5:$A$52,A35,MethodRatings!$D$5:$D$52,B35,MethodRatings!$M$5:$M$52,"&gt;0"),"")</f>
      </c>
      <c r="Z35" s="149" t="str">
        <f>IFERROR(SUMIFS(MethodRatings!$N$5:$N$52,MethodRatings!$A$5:$A$52,A35,MethodRatings!$D$5:$D$52,B35,MethodRatings!$N$5:$N$52,"&gt;0")/COUNTIFS(MethodRatings!$A$5:$A$52,A35,MethodRatings!$D$5:$D$52,B35,MethodRatings!$N$5:$N$52,"&gt;0"),"")</f>
      </c>
      <c r="AA35" s="149" t="str">
        <f>IFERROR(SUMIFS(MethodRatings!$O$5:$O$52,MethodRatings!$A$5:$A$52,A35,MethodRatings!$D$5:$D$52,B35,MethodRatings!$O$5:$O$52,"&gt;0")/COUNTIFS(MethodRatings!$A$5:$A$52,A35,MethodRatings!$D$5:$D$52,B35,MethodRatings!$O$5:$O$52,"&gt;0"),"")</f>
      </c>
      <c r="AB35" s="149" t="str">
        <f>IF(COUNT(I35:K35)=3,SUM(I35:K35),"")</f>
      </c>
      <c r="AC35" s="149" t="str">
        <f>IF(COUNT(M35:O35)=3,SUM(M35:O35),"")</f>
      </c>
      <c r="AD35" s="149" t="str">
        <f>IF(COUNT(Q35:S35)=3,SUM(Q35:S35),"")</f>
      </c>
      <c r="AE35" s="149" t="str">
        <f>IF(COUNT(U35:W35)=3,SUM(U35:W35),"")</f>
      </c>
      <c r="AF35" s="130" t="str">
        <f>IF((COUNT(F35:K35)+COUNT(M35:O35)+COUNT(Q35:S35)+COUNT(U35:W35)+COUNT(Y35:AA35))=18,"完整","缺失")</f>
        <v>缺失</v>
      </c>
    </row>
    <row r="36">
      <c r="A36" s="90" t="inlineStr">
        <is>
          <t>P008</t>
        </is>
      </c>
      <c r="B36" s="85" t="inlineStr">
        <is>
          <t>One-Euro</t>
        </is>
      </c>
      <c r="C36" s="129" t="str">
        <f>IF(B36=VLOOKUP(A36,Participants!$A$5:$W$28,22,FALSE),"方法A","方法B")</f>
        <v>方法B</v>
      </c>
      <c r="D36" s="129" t="str">
        <f>VLOOKUP(A36,Participants!$A$5:$B$28,2,FALSE)</f>
        <v>是</v>
      </c>
      <c r="E36" s="129" t="n">
        <f>COUNTIFS(TaskRatings!$A$5:$A$148,A36,TaskRatings!$F$5:$F$148,B36,TaskRatings!$O$5:$O$148,"是")</f>
        <v>3</v>
      </c>
      <c r="F36" s="149" t="str">
        <f>IFERROR(SUMIFS(TaskRatings!$H$5:$H$148,TaskRatings!$A$5:$A$148,A36,TaskRatings!$F$5:$F$148,B36,TaskRatings!$O$5:$O$148,"是",TaskRatings!$H$5:$H$148,"&gt;0")/COUNTIFS(TaskRatings!$A$5:$A$148,A36,TaskRatings!$F$5:$F$148,B36,TaskRatings!$O$5:$O$148,"是",TaskRatings!$H$5:$H$148,"&gt;0"),"")</f>
      </c>
      <c r="G36" s="149" t="str">
        <f>IFERROR(SUMIFS(TaskRatings!$J$5:$J$148,TaskRatings!$A$5:$A$148,A36,TaskRatings!$F$5:$F$148,B36,TaskRatings!$O$5:$O$148,"是",TaskRatings!$J$5:$J$148,"&gt;0")/COUNTIFS(TaskRatings!$A$5:$A$148,A36,TaskRatings!$F$5:$F$148,B36,TaskRatings!$O$5:$O$148,"是",TaskRatings!$J$5:$J$148,"&gt;0"),"")</f>
      </c>
      <c r="H36" s="149" t="str">
        <f>IFERROR(SUMIFS(TaskRatings!$L$5:$L$148,TaskRatings!$A$5:$A$148,A36,TaskRatings!$F$5:$F$148,B36,TaskRatings!$O$5:$O$148,"是",TaskRatings!$L$5:$L$148,"&gt;0")/COUNTIFS(TaskRatings!$A$5:$A$148,A36,TaskRatings!$F$5:$F$148,B36,TaskRatings!$O$5:$O$148,"是",TaskRatings!$L$5:$L$148,"&gt;0"),"")</f>
      </c>
      <c r="I36" s="149" t="str">
        <f>IFERROR(SUMIFS(BlockRatings_AQ!$H$5:$H$148,BlockRatings_AQ!$A$5:$A$148,A36,BlockRatings_AQ!$F$5:$F$148,B36,BlockRatings_AQ!$R$5:$R$148,"是",BlockRatings_AQ!$H$5:$H$148,"&gt;0")/COUNTIFS(BlockRatings_AQ!$A$5:$A$148,A36,BlockRatings_AQ!$F$5:$F$148,B36,BlockRatings_AQ!$R$5:$R$148,"是",BlockRatings_AQ!$H$5:$H$148,"&gt;0"),"")</f>
      </c>
      <c r="J36" s="149" t="str">
        <f>IFERROR(SUMIFS(BlockRatings_AQ!$I$5:$I$148,BlockRatings_AQ!$A$5:$A$148,A36,BlockRatings_AQ!$F$5:$F$148,B36,BlockRatings_AQ!$R$5:$R$148,"是",BlockRatings_AQ!$I$5:$I$148,"&gt;0")/COUNTIFS(BlockRatings_AQ!$A$5:$A$148,A36,BlockRatings_AQ!$F$5:$F$148,B36,BlockRatings_AQ!$R$5:$R$148,"是",BlockRatings_AQ!$I$5:$I$148,"&gt;0"),"")</f>
      </c>
      <c r="K36" s="149" t="str">
        <f>IFERROR(SUMIFS(BlockRatings_AQ!$J$5:$J$148,BlockRatings_AQ!$A$5:$A$148,A36,BlockRatings_AQ!$F$5:$F$148,B36,BlockRatings_AQ!$R$5:$R$148,"是",BlockRatings_AQ!$J$5:$J$148,"&gt;0")/COUNTIFS(BlockRatings_AQ!$A$5:$A$148,A36,BlockRatings_AQ!$F$5:$F$148,B36,BlockRatings_AQ!$R$5:$R$148,"是",BlockRatings_AQ!$J$5:$J$148,"&gt;0"),"")</f>
      </c>
      <c r="L36" s="149" t="str">
        <f>IF(COUNT(I36:K36)=3,AVERAGE(I36:K36),"")</f>
      </c>
      <c r="M36" s="149" t="str">
        <f>IFERROR(SUMIFS(BlockRatings_AQ!$L$5:$L$148,BlockRatings_AQ!$A$5:$A$148,A36,BlockRatings_AQ!$F$5:$F$148,B36,BlockRatings_AQ!$R$5:$R$148,"是",BlockRatings_AQ!$L$5:$L$148,"&gt;0")/COUNTIFS(BlockRatings_AQ!$A$5:$A$148,A36,BlockRatings_AQ!$F$5:$F$148,B36,BlockRatings_AQ!$R$5:$R$148,"是",BlockRatings_AQ!$L$5:$L$148,"&gt;0"),"")</f>
      </c>
      <c r="N36" s="149" t="str">
        <f>IFERROR(SUMIFS(BlockRatings_AQ!$M$5:$M$148,BlockRatings_AQ!$A$5:$A$148,A36,BlockRatings_AQ!$F$5:$F$148,B36,BlockRatings_AQ!$R$5:$R$148,"是",BlockRatings_AQ!$M$5:$M$148,"&gt;0")/COUNTIFS(BlockRatings_AQ!$A$5:$A$148,A36,BlockRatings_AQ!$F$5:$F$148,B36,BlockRatings_AQ!$R$5:$R$148,"是",BlockRatings_AQ!$M$5:$M$148,"&gt;0"),"")</f>
      </c>
      <c r="O36" s="149" t="str">
        <f>IFERROR(SUMIFS(BlockRatings_AQ!$N$5:$N$148,BlockRatings_AQ!$A$5:$A$148,A36,BlockRatings_AQ!$F$5:$F$148,B36,BlockRatings_AQ!$R$5:$R$148,"是",BlockRatings_AQ!$N$5:$N$148,"&gt;0")/COUNTIFS(BlockRatings_AQ!$A$5:$A$148,A36,BlockRatings_AQ!$F$5:$F$148,B36,BlockRatings_AQ!$R$5:$R$148,"是",BlockRatings_AQ!$N$5:$N$148,"&gt;0"),"")</f>
      </c>
      <c r="P36" s="149" t="str">
        <f>IF(COUNT(M36:O36)=3,AVERAGE(M36:O36),"")</f>
      </c>
      <c r="Q36" s="149" t="str">
        <f>IFERROR(SUMIFS(MethodRatings!$E$5:$E$52,MethodRatings!$A$5:$A$52,A36,MethodRatings!$D$5:$D$52,B36,MethodRatings!$E$5:$E$52,"&gt;0")/COUNTIFS(MethodRatings!$A$5:$A$52,A36,MethodRatings!$D$5:$D$52,B36,MethodRatings!$E$5:$E$52,"&gt;0"),"")</f>
      </c>
      <c r="R36" s="149" t="str">
        <f>IFERROR(SUMIFS(MethodRatings!$F$5:$F$52,MethodRatings!$A$5:$A$52,A36,MethodRatings!$D$5:$D$52,B36,MethodRatings!$F$5:$F$52,"&gt;0")/COUNTIFS(MethodRatings!$A$5:$A$52,A36,MethodRatings!$D$5:$D$52,B36,MethodRatings!$F$5:$F$52,"&gt;0"),"")</f>
      </c>
      <c r="S36" s="149" t="str">
        <f>IFERROR(SUMIFS(MethodRatings!$G$5:$G$52,MethodRatings!$A$5:$A$52,A36,MethodRatings!$D$5:$D$52,B36,MethodRatings!$G$5:$G$52,"&gt;0")/COUNTIFS(MethodRatings!$A$5:$A$52,A36,MethodRatings!$D$5:$D$52,B36,MethodRatings!$G$5:$G$52,"&gt;0"),"")</f>
      </c>
      <c r="T36" s="149" t="str">
        <f>IF(COUNT(Q36:S36)=3,AVERAGE(Q36:S36),"")</f>
      </c>
      <c r="U36" s="149" t="str">
        <f>IFERROR(SUMIFS(MethodRatings!$I$5:$I$52,MethodRatings!$A$5:$A$52,A36,MethodRatings!$D$5:$D$52,B36,MethodRatings!$I$5:$I$52,"&gt;0")/COUNTIFS(MethodRatings!$A$5:$A$52,A36,MethodRatings!$D$5:$D$52,B36,MethodRatings!$I$5:$I$52,"&gt;0"),"")</f>
      </c>
      <c r="V36" s="149" t="str">
        <f>IFERROR(SUMIFS(MethodRatings!$J$5:$J$52,MethodRatings!$A$5:$A$52,A36,MethodRatings!$D$5:$D$52,B36,MethodRatings!$J$5:$J$52,"&gt;0")/COUNTIFS(MethodRatings!$A$5:$A$52,A36,MethodRatings!$D$5:$D$52,B36,MethodRatings!$J$5:$J$52,"&gt;0"),"")</f>
      </c>
      <c r="W36" s="149" t="str">
        <f>IFERROR(SUMIFS(MethodRatings!$K$5:$K$52,MethodRatings!$A$5:$A$52,A36,MethodRatings!$D$5:$D$52,B36,MethodRatings!$K$5:$K$52,"&gt;0")/COUNTIFS(MethodRatings!$A$5:$A$52,A36,MethodRatings!$D$5:$D$52,B36,MethodRatings!$K$5:$K$52,"&gt;0"),"")</f>
      </c>
      <c r="X36" s="149" t="str">
        <f>IF(COUNT(U36:W36)=3,AVERAGE(U36:W36),"")</f>
      </c>
      <c r="Y36" s="149" t="str">
        <f>IFERROR(SUMIFS(MethodRatings!$M$5:$M$52,MethodRatings!$A$5:$A$52,A36,MethodRatings!$D$5:$D$52,B36,MethodRatings!$M$5:$M$52,"&gt;0")/COUNTIFS(MethodRatings!$A$5:$A$52,A36,MethodRatings!$D$5:$D$52,B36,MethodRatings!$M$5:$M$52,"&gt;0"),"")</f>
      </c>
      <c r="Z36" s="149" t="str">
        <f>IFERROR(SUMIFS(MethodRatings!$N$5:$N$52,MethodRatings!$A$5:$A$52,A36,MethodRatings!$D$5:$D$52,B36,MethodRatings!$N$5:$N$52,"&gt;0")/COUNTIFS(MethodRatings!$A$5:$A$52,A36,MethodRatings!$D$5:$D$52,B36,MethodRatings!$N$5:$N$52,"&gt;0"),"")</f>
      </c>
      <c r="AA36" s="149" t="str">
        <f>IFERROR(SUMIFS(MethodRatings!$O$5:$O$52,MethodRatings!$A$5:$A$52,A36,MethodRatings!$D$5:$D$52,B36,MethodRatings!$O$5:$O$52,"&gt;0")/COUNTIFS(MethodRatings!$A$5:$A$52,A36,MethodRatings!$D$5:$D$52,B36,MethodRatings!$O$5:$O$52,"&gt;0"),"")</f>
      </c>
      <c r="AB36" s="149" t="str">
        <f>IF(COUNT(I36:K36)=3,SUM(I36:K36),"")</f>
      </c>
      <c r="AC36" s="149" t="str">
        <f>IF(COUNT(M36:O36)=3,SUM(M36:O36),"")</f>
      </c>
      <c r="AD36" s="149" t="str">
        <f>IF(COUNT(Q36:S36)=3,SUM(Q36:S36),"")</f>
      </c>
      <c r="AE36" s="149" t="str">
        <f>IF(COUNT(U36:W36)=3,SUM(U36:W36),"")</f>
      </c>
      <c r="AF36" s="130" t="str">
        <f>IF((COUNT(F36:K36)+COUNT(M36:O36)+COUNT(Q36:S36)+COUNT(U36:W36)+COUNT(Y36:AA36))=18,"完整","缺失")</f>
        <v>缺失</v>
      </c>
    </row>
    <row r="37">
      <c r="A37" s="90" t="inlineStr">
        <is>
          <t>P009</t>
        </is>
      </c>
      <c r="B37" s="85" t="inlineStr">
        <is>
          <t>One-Euro</t>
        </is>
      </c>
      <c r="C37" s="129" t="str">
        <f>IF(B37=VLOOKUP(A37,Participants!$A$5:$W$28,22,FALSE),"方法A","方法B")</f>
        <v>方法B</v>
      </c>
      <c r="D37" s="129" t="str">
        <f>VLOOKUP(A37,Participants!$A$5:$B$28,2,FALSE)</f>
        <v>是</v>
      </c>
      <c r="E37" s="129" t="n">
        <f>COUNTIFS(TaskRatings!$A$5:$A$148,A37,TaskRatings!$F$5:$F$148,B37,TaskRatings!$O$5:$O$148,"是")</f>
        <v>3</v>
      </c>
      <c r="F37" s="149" t="str">
        <f>IFERROR(SUMIFS(TaskRatings!$H$5:$H$148,TaskRatings!$A$5:$A$148,A37,TaskRatings!$F$5:$F$148,B37,TaskRatings!$O$5:$O$148,"是",TaskRatings!$H$5:$H$148,"&gt;0")/COUNTIFS(TaskRatings!$A$5:$A$148,A37,TaskRatings!$F$5:$F$148,B37,TaskRatings!$O$5:$O$148,"是",TaskRatings!$H$5:$H$148,"&gt;0"),"")</f>
      </c>
      <c r="G37" s="149" t="str">
        <f>IFERROR(SUMIFS(TaskRatings!$J$5:$J$148,TaskRatings!$A$5:$A$148,A37,TaskRatings!$F$5:$F$148,B37,TaskRatings!$O$5:$O$148,"是",TaskRatings!$J$5:$J$148,"&gt;0")/COUNTIFS(TaskRatings!$A$5:$A$148,A37,TaskRatings!$F$5:$F$148,B37,TaskRatings!$O$5:$O$148,"是",TaskRatings!$J$5:$J$148,"&gt;0"),"")</f>
      </c>
      <c r="H37" s="149" t="str">
        <f>IFERROR(SUMIFS(TaskRatings!$L$5:$L$148,TaskRatings!$A$5:$A$148,A37,TaskRatings!$F$5:$F$148,B37,TaskRatings!$O$5:$O$148,"是",TaskRatings!$L$5:$L$148,"&gt;0")/COUNTIFS(TaskRatings!$A$5:$A$148,A37,TaskRatings!$F$5:$F$148,B37,TaskRatings!$O$5:$O$148,"是",TaskRatings!$L$5:$L$148,"&gt;0"),"")</f>
      </c>
      <c r="I37" s="149" t="str">
        <f>IFERROR(SUMIFS(BlockRatings_AQ!$H$5:$H$148,BlockRatings_AQ!$A$5:$A$148,A37,BlockRatings_AQ!$F$5:$F$148,B37,BlockRatings_AQ!$R$5:$R$148,"是",BlockRatings_AQ!$H$5:$H$148,"&gt;0")/COUNTIFS(BlockRatings_AQ!$A$5:$A$148,A37,BlockRatings_AQ!$F$5:$F$148,B37,BlockRatings_AQ!$R$5:$R$148,"是",BlockRatings_AQ!$H$5:$H$148,"&gt;0"),"")</f>
      </c>
      <c r="J37" s="149" t="str">
        <f>IFERROR(SUMIFS(BlockRatings_AQ!$I$5:$I$148,BlockRatings_AQ!$A$5:$A$148,A37,BlockRatings_AQ!$F$5:$F$148,B37,BlockRatings_AQ!$R$5:$R$148,"是",BlockRatings_AQ!$I$5:$I$148,"&gt;0")/COUNTIFS(BlockRatings_AQ!$A$5:$A$148,A37,BlockRatings_AQ!$F$5:$F$148,B37,BlockRatings_AQ!$R$5:$R$148,"是",BlockRatings_AQ!$I$5:$I$148,"&gt;0"),"")</f>
      </c>
      <c r="K37" s="149" t="str">
        <f>IFERROR(SUMIFS(BlockRatings_AQ!$J$5:$J$148,BlockRatings_AQ!$A$5:$A$148,A37,BlockRatings_AQ!$F$5:$F$148,B37,BlockRatings_AQ!$R$5:$R$148,"是",BlockRatings_AQ!$J$5:$J$148,"&gt;0")/COUNTIFS(BlockRatings_AQ!$A$5:$A$148,A37,BlockRatings_AQ!$F$5:$F$148,B37,BlockRatings_AQ!$R$5:$R$148,"是",BlockRatings_AQ!$J$5:$J$148,"&gt;0"),"")</f>
      </c>
      <c r="L37" s="149" t="str">
        <f>IF(COUNT(I37:K37)=3,AVERAGE(I37:K37),"")</f>
      </c>
      <c r="M37" s="149" t="str">
        <f>IFERROR(SUMIFS(BlockRatings_AQ!$L$5:$L$148,BlockRatings_AQ!$A$5:$A$148,A37,BlockRatings_AQ!$F$5:$F$148,B37,BlockRatings_AQ!$R$5:$R$148,"是",BlockRatings_AQ!$L$5:$L$148,"&gt;0")/COUNTIFS(BlockRatings_AQ!$A$5:$A$148,A37,BlockRatings_AQ!$F$5:$F$148,B37,BlockRatings_AQ!$R$5:$R$148,"是",BlockRatings_AQ!$L$5:$L$148,"&gt;0"),"")</f>
      </c>
      <c r="N37" s="149" t="str">
        <f>IFERROR(SUMIFS(BlockRatings_AQ!$M$5:$M$148,BlockRatings_AQ!$A$5:$A$148,A37,BlockRatings_AQ!$F$5:$F$148,B37,BlockRatings_AQ!$R$5:$R$148,"是",BlockRatings_AQ!$M$5:$M$148,"&gt;0")/COUNTIFS(BlockRatings_AQ!$A$5:$A$148,A37,BlockRatings_AQ!$F$5:$F$148,B37,BlockRatings_AQ!$R$5:$R$148,"是",BlockRatings_AQ!$M$5:$M$148,"&gt;0"),"")</f>
      </c>
      <c r="O37" s="149" t="str">
        <f>IFERROR(SUMIFS(BlockRatings_AQ!$N$5:$N$148,BlockRatings_AQ!$A$5:$A$148,A37,BlockRatings_AQ!$F$5:$F$148,B37,BlockRatings_AQ!$R$5:$R$148,"是",BlockRatings_AQ!$N$5:$N$148,"&gt;0")/COUNTIFS(BlockRatings_AQ!$A$5:$A$148,A37,BlockRatings_AQ!$F$5:$F$148,B37,BlockRatings_AQ!$R$5:$R$148,"是",BlockRatings_AQ!$N$5:$N$148,"&gt;0"),"")</f>
      </c>
      <c r="P37" s="149" t="str">
        <f>IF(COUNT(M37:O37)=3,AVERAGE(M37:O37),"")</f>
      </c>
      <c r="Q37" s="149" t="str">
        <f>IFERROR(SUMIFS(MethodRatings!$E$5:$E$52,MethodRatings!$A$5:$A$52,A37,MethodRatings!$D$5:$D$52,B37,MethodRatings!$E$5:$E$52,"&gt;0")/COUNTIFS(MethodRatings!$A$5:$A$52,A37,MethodRatings!$D$5:$D$52,B37,MethodRatings!$E$5:$E$52,"&gt;0"),"")</f>
      </c>
      <c r="R37" s="149" t="str">
        <f>IFERROR(SUMIFS(MethodRatings!$F$5:$F$52,MethodRatings!$A$5:$A$52,A37,MethodRatings!$D$5:$D$52,B37,MethodRatings!$F$5:$F$52,"&gt;0")/COUNTIFS(MethodRatings!$A$5:$A$52,A37,MethodRatings!$D$5:$D$52,B37,MethodRatings!$F$5:$F$52,"&gt;0"),"")</f>
      </c>
      <c r="S37" s="149" t="str">
        <f>IFERROR(SUMIFS(MethodRatings!$G$5:$G$52,MethodRatings!$A$5:$A$52,A37,MethodRatings!$D$5:$D$52,B37,MethodRatings!$G$5:$G$52,"&gt;0")/COUNTIFS(MethodRatings!$A$5:$A$52,A37,MethodRatings!$D$5:$D$52,B37,MethodRatings!$G$5:$G$52,"&gt;0"),"")</f>
      </c>
      <c r="T37" s="149" t="str">
        <f>IF(COUNT(Q37:S37)=3,AVERAGE(Q37:S37),"")</f>
      </c>
      <c r="U37" s="149" t="str">
        <f>IFERROR(SUMIFS(MethodRatings!$I$5:$I$52,MethodRatings!$A$5:$A$52,A37,MethodRatings!$D$5:$D$52,B37,MethodRatings!$I$5:$I$52,"&gt;0")/COUNTIFS(MethodRatings!$A$5:$A$52,A37,MethodRatings!$D$5:$D$52,B37,MethodRatings!$I$5:$I$52,"&gt;0"),"")</f>
      </c>
      <c r="V37" s="149" t="str">
        <f>IFERROR(SUMIFS(MethodRatings!$J$5:$J$52,MethodRatings!$A$5:$A$52,A37,MethodRatings!$D$5:$D$52,B37,MethodRatings!$J$5:$J$52,"&gt;0")/COUNTIFS(MethodRatings!$A$5:$A$52,A37,MethodRatings!$D$5:$D$52,B37,MethodRatings!$J$5:$J$52,"&gt;0"),"")</f>
      </c>
      <c r="W37" s="149" t="str">
        <f>IFERROR(SUMIFS(MethodRatings!$K$5:$K$52,MethodRatings!$A$5:$A$52,A37,MethodRatings!$D$5:$D$52,B37,MethodRatings!$K$5:$K$52,"&gt;0")/COUNTIFS(MethodRatings!$A$5:$A$52,A37,MethodRatings!$D$5:$D$52,B37,MethodRatings!$K$5:$K$52,"&gt;0"),"")</f>
      </c>
      <c r="X37" s="149" t="str">
        <f>IF(COUNT(U37:W37)=3,AVERAGE(U37:W37),"")</f>
      </c>
      <c r="Y37" s="149" t="str">
        <f>IFERROR(SUMIFS(MethodRatings!$M$5:$M$52,MethodRatings!$A$5:$A$52,A37,MethodRatings!$D$5:$D$52,B37,MethodRatings!$M$5:$M$52,"&gt;0")/COUNTIFS(MethodRatings!$A$5:$A$52,A37,MethodRatings!$D$5:$D$52,B37,MethodRatings!$M$5:$M$52,"&gt;0"),"")</f>
      </c>
      <c r="Z37" s="149" t="str">
        <f>IFERROR(SUMIFS(MethodRatings!$N$5:$N$52,MethodRatings!$A$5:$A$52,A37,MethodRatings!$D$5:$D$52,B37,MethodRatings!$N$5:$N$52,"&gt;0")/COUNTIFS(MethodRatings!$A$5:$A$52,A37,MethodRatings!$D$5:$D$52,B37,MethodRatings!$N$5:$N$52,"&gt;0"),"")</f>
      </c>
      <c r="AA37" s="149" t="str">
        <f>IFERROR(SUMIFS(MethodRatings!$O$5:$O$52,MethodRatings!$A$5:$A$52,A37,MethodRatings!$D$5:$D$52,B37,MethodRatings!$O$5:$O$52,"&gt;0")/COUNTIFS(MethodRatings!$A$5:$A$52,A37,MethodRatings!$D$5:$D$52,B37,MethodRatings!$O$5:$O$52,"&gt;0"),"")</f>
      </c>
      <c r="AB37" s="149" t="str">
        <f>IF(COUNT(I37:K37)=3,SUM(I37:K37),"")</f>
      </c>
      <c r="AC37" s="149" t="str">
        <f>IF(COUNT(M37:O37)=3,SUM(M37:O37),"")</f>
      </c>
      <c r="AD37" s="149" t="str">
        <f>IF(COUNT(Q37:S37)=3,SUM(Q37:S37),"")</f>
      </c>
      <c r="AE37" s="149" t="str">
        <f>IF(COUNT(U37:W37)=3,SUM(U37:W37),"")</f>
      </c>
      <c r="AF37" s="130" t="str">
        <f>IF((COUNT(F37:K37)+COUNT(M37:O37)+COUNT(Q37:S37)+COUNT(U37:W37)+COUNT(Y37:AA37))=18,"完整","缺失")</f>
        <v>缺失</v>
      </c>
    </row>
    <row r="38">
      <c r="A38" s="90" t="inlineStr">
        <is>
          <t>P010</t>
        </is>
      </c>
      <c r="B38" s="85" t="inlineStr">
        <is>
          <t>One-Euro</t>
        </is>
      </c>
      <c r="C38" s="129" t="str">
        <f>IF(B38=VLOOKUP(A38,Participants!$A$5:$W$28,22,FALSE),"方法A","方法B")</f>
        <v>方法B</v>
      </c>
      <c r="D38" s="129" t="str">
        <f>VLOOKUP(A38,Participants!$A$5:$B$28,2,FALSE)</f>
        <v>是</v>
      </c>
      <c r="E38" s="129" t="n">
        <f>COUNTIFS(TaskRatings!$A$5:$A$148,A38,TaskRatings!$F$5:$F$148,B38,TaskRatings!$O$5:$O$148,"是")</f>
        <v>3</v>
      </c>
      <c r="F38" s="149" t="str">
        <f>IFERROR(SUMIFS(TaskRatings!$H$5:$H$148,TaskRatings!$A$5:$A$148,A38,TaskRatings!$F$5:$F$148,B38,TaskRatings!$O$5:$O$148,"是",TaskRatings!$H$5:$H$148,"&gt;0")/COUNTIFS(TaskRatings!$A$5:$A$148,A38,TaskRatings!$F$5:$F$148,B38,TaskRatings!$O$5:$O$148,"是",TaskRatings!$H$5:$H$148,"&gt;0"),"")</f>
      </c>
      <c r="G38" s="149" t="str">
        <f>IFERROR(SUMIFS(TaskRatings!$J$5:$J$148,TaskRatings!$A$5:$A$148,A38,TaskRatings!$F$5:$F$148,B38,TaskRatings!$O$5:$O$148,"是",TaskRatings!$J$5:$J$148,"&gt;0")/COUNTIFS(TaskRatings!$A$5:$A$148,A38,TaskRatings!$F$5:$F$148,B38,TaskRatings!$O$5:$O$148,"是",TaskRatings!$J$5:$J$148,"&gt;0"),"")</f>
      </c>
      <c r="H38" s="149" t="str">
        <f>IFERROR(SUMIFS(TaskRatings!$L$5:$L$148,TaskRatings!$A$5:$A$148,A38,TaskRatings!$F$5:$F$148,B38,TaskRatings!$O$5:$O$148,"是",TaskRatings!$L$5:$L$148,"&gt;0")/COUNTIFS(TaskRatings!$A$5:$A$148,A38,TaskRatings!$F$5:$F$148,B38,TaskRatings!$O$5:$O$148,"是",TaskRatings!$L$5:$L$148,"&gt;0"),"")</f>
      </c>
      <c r="I38" s="149" t="str">
        <f>IFERROR(SUMIFS(BlockRatings_AQ!$H$5:$H$148,BlockRatings_AQ!$A$5:$A$148,A38,BlockRatings_AQ!$F$5:$F$148,B38,BlockRatings_AQ!$R$5:$R$148,"是",BlockRatings_AQ!$H$5:$H$148,"&gt;0")/COUNTIFS(BlockRatings_AQ!$A$5:$A$148,A38,BlockRatings_AQ!$F$5:$F$148,B38,BlockRatings_AQ!$R$5:$R$148,"是",BlockRatings_AQ!$H$5:$H$148,"&gt;0"),"")</f>
      </c>
      <c r="J38" s="149" t="str">
        <f>IFERROR(SUMIFS(BlockRatings_AQ!$I$5:$I$148,BlockRatings_AQ!$A$5:$A$148,A38,BlockRatings_AQ!$F$5:$F$148,B38,BlockRatings_AQ!$R$5:$R$148,"是",BlockRatings_AQ!$I$5:$I$148,"&gt;0")/COUNTIFS(BlockRatings_AQ!$A$5:$A$148,A38,BlockRatings_AQ!$F$5:$F$148,B38,BlockRatings_AQ!$R$5:$R$148,"是",BlockRatings_AQ!$I$5:$I$148,"&gt;0"),"")</f>
      </c>
      <c r="K38" s="149" t="str">
        <f>IFERROR(SUMIFS(BlockRatings_AQ!$J$5:$J$148,BlockRatings_AQ!$A$5:$A$148,A38,BlockRatings_AQ!$F$5:$F$148,B38,BlockRatings_AQ!$R$5:$R$148,"是",BlockRatings_AQ!$J$5:$J$148,"&gt;0")/COUNTIFS(BlockRatings_AQ!$A$5:$A$148,A38,BlockRatings_AQ!$F$5:$F$148,B38,BlockRatings_AQ!$R$5:$R$148,"是",BlockRatings_AQ!$J$5:$J$148,"&gt;0"),"")</f>
      </c>
      <c r="L38" s="149" t="str">
        <f>IF(COUNT(I38:K38)=3,AVERAGE(I38:K38),"")</f>
      </c>
      <c r="M38" s="149" t="str">
        <f>IFERROR(SUMIFS(BlockRatings_AQ!$L$5:$L$148,BlockRatings_AQ!$A$5:$A$148,A38,BlockRatings_AQ!$F$5:$F$148,B38,BlockRatings_AQ!$R$5:$R$148,"是",BlockRatings_AQ!$L$5:$L$148,"&gt;0")/COUNTIFS(BlockRatings_AQ!$A$5:$A$148,A38,BlockRatings_AQ!$F$5:$F$148,B38,BlockRatings_AQ!$R$5:$R$148,"是",BlockRatings_AQ!$L$5:$L$148,"&gt;0"),"")</f>
      </c>
      <c r="N38" s="149" t="str">
        <f>IFERROR(SUMIFS(BlockRatings_AQ!$M$5:$M$148,BlockRatings_AQ!$A$5:$A$148,A38,BlockRatings_AQ!$F$5:$F$148,B38,BlockRatings_AQ!$R$5:$R$148,"是",BlockRatings_AQ!$M$5:$M$148,"&gt;0")/COUNTIFS(BlockRatings_AQ!$A$5:$A$148,A38,BlockRatings_AQ!$F$5:$F$148,B38,BlockRatings_AQ!$R$5:$R$148,"是",BlockRatings_AQ!$M$5:$M$148,"&gt;0"),"")</f>
      </c>
      <c r="O38" s="149" t="str">
        <f>IFERROR(SUMIFS(BlockRatings_AQ!$N$5:$N$148,BlockRatings_AQ!$A$5:$A$148,A38,BlockRatings_AQ!$F$5:$F$148,B38,BlockRatings_AQ!$R$5:$R$148,"是",BlockRatings_AQ!$N$5:$N$148,"&gt;0")/COUNTIFS(BlockRatings_AQ!$A$5:$A$148,A38,BlockRatings_AQ!$F$5:$F$148,B38,BlockRatings_AQ!$R$5:$R$148,"是",BlockRatings_AQ!$N$5:$N$148,"&gt;0"),"")</f>
      </c>
      <c r="P38" s="149" t="str">
        <f>IF(COUNT(M38:O38)=3,AVERAGE(M38:O38),"")</f>
      </c>
      <c r="Q38" s="149" t="str">
        <f>IFERROR(SUMIFS(MethodRatings!$E$5:$E$52,MethodRatings!$A$5:$A$52,A38,MethodRatings!$D$5:$D$52,B38,MethodRatings!$E$5:$E$52,"&gt;0")/COUNTIFS(MethodRatings!$A$5:$A$52,A38,MethodRatings!$D$5:$D$52,B38,MethodRatings!$E$5:$E$52,"&gt;0"),"")</f>
      </c>
      <c r="R38" s="149" t="str">
        <f>IFERROR(SUMIFS(MethodRatings!$F$5:$F$52,MethodRatings!$A$5:$A$52,A38,MethodRatings!$D$5:$D$52,B38,MethodRatings!$F$5:$F$52,"&gt;0")/COUNTIFS(MethodRatings!$A$5:$A$52,A38,MethodRatings!$D$5:$D$52,B38,MethodRatings!$F$5:$F$52,"&gt;0"),"")</f>
      </c>
      <c r="S38" s="149" t="str">
        <f>IFERROR(SUMIFS(MethodRatings!$G$5:$G$52,MethodRatings!$A$5:$A$52,A38,MethodRatings!$D$5:$D$52,B38,MethodRatings!$G$5:$G$52,"&gt;0")/COUNTIFS(MethodRatings!$A$5:$A$52,A38,MethodRatings!$D$5:$D$52,B38,MethodRatings!$G$5:$G$52,"&gt;0"),"")</f>
      </c>
      <c r="T38" s="149" t="str">
        <f>IF(COUNT(Q38:S38)=3,AVERAGE(Q38:S38),"")</f>
      </c>
      <c r="U38" s="149" t="str">
        <f>IFERROR(SUMIFS(MethodRatings!$I$5:$I$52,MethodRatings!$A$5:$A$52,A38,MethodRatings!$D$5:$D$52,B38,MethodRatings!$I$5:$I$52,"&gt;0")/COUNTIFS(MethodRatings!$A$5:$A$52,A38,MethodRatings!$D$5:$D$52,B38,MethodRatings!$I$5:$I$52,"&gt;0"),"")</f>
      </c>
      <c r="V38" s="149" t="str">
        <f>IFERROR(SUMIFS(MethodRatings!$J$5:$J$52,MethodRatings!$A$5:$A$52,A38,MethodRatings!$D$5:$D$52,B38,MethodRatings!$J$5:$J$52,"&gt;0")/COUNTIFS(MethodRatings!$A$5:$A$52,A38,MethodRatings!$D$5:$D$52,B38,MethodRatings!$J$5:$J$52,"&gt;0"),"")</f>
      </c>
      <c r="W38" s="149" t="str">
        <f>IFERROR(SUMIFS(MethodRatings!$K$5:$K$52,MethodRatings!$A$5:$A$52,A38,MethodRatings!$D$5:$D$52,B38,MethodRatings!$K$5:$K$52,"&gt;0")/COUNTIFS(MethodRatings!$A$5:$A$52,A38,MethodRatings!$D$5:$D$52,B38,MethodRatings!$K$5:$K$52,"&gt;0"),"")</f>
      </c>
      <c r="X38" s="149" t="str">
        <f>IF(COUNT(U38:W38)=3,AVERAGE(U38:W38),"")</f>
      </c>
      <c r="Y38" s="149" t="str">
        <f>IFERROR(SUMIFS(MethodRatings!$M$5:$M$52,MethodRatings!$A$5:$A$52,A38,MethodRatings!$D$5:$D$52,B38,MethodRatings!$M$5:$M$52,"&gt;0")/COUNTIFS(MethodRatings!$A$5:$A$52,A38,MethodRatings!$D$5:$D$52,B38,MethodRatings!$M$5:$M$52,"&gt;0"),"")</f>
      </c>
      <c r="Z38" s="149" t="str">
        <f>IFERROR(SUMIFS(MethodRatings!$N$5:$N$52,MethodRatings!$A$5:$A$52,A38,MethodRatings!$D$5:$D$52,B38,MethodRatings!$N$5:$N$52,"&gt;0")/COUNTIFS(MethodRatings!$A$5:$A$52,A38,MethodRatings!$D$5:$D$52,B38,MethodRatings!$N$5:$N$52,"&gt;0"),"")</f>
      </c>
      <c r="AA38" s="149" t="str">
        <f>IFERROR(SUMIFS(MethodRatings!$O$5:$O$52,MethodRatings!$A$5:$A$52,A38,MethodRatings!$D$5:$D$52,B38,MethodRatings!$O$5:$O$52,"&gt;0")/COUNTIFS(MethodRatings!$A$5:$A$52,A38,MethodRatings!$D$5:$D$52,B38,MethodRatings!$O$5:$O$52,"&gt;0"),"")</f>
      </c>
      <c r="AB38" s="149" t="str">
        <f>IF(COUNT(I38:K38)=3,SUM(I38:K38),"")</f>
      </c>
      <c r="AC38" s="149" t="str">
        <f>IF(COUNT(M38:O38)=3,SUM(M38:O38),"")</f>
      </c>
      <c r="AD38" s="149" t="str">
        <f>IF(COUNT(Q38:S38)=3,SUM(Q38:S38),"")</f>
      </c>
      <c r="AE38" s="149" t="str">
        <f>IF(COUNT(U38:W38)=3,SUM(U38:W38),"")</f>
      </c>
      <c r="AF38" s="130" t="str">
        <f>IF((COUNT(F38:K38)+COUNT(M38:O38)+COUNT(Q38:S38)+COUNT(U38:W38)+COUNT(Y38:AA38))=18,"完整","缺失")</f>
        <v>缺失</v>
      </c>
    </row>
    <row r="39">
      <c r="A39" s="90" t="inlineStr">
        <is>
          <t>P011</t>
        </is>
      </c>
      <c r="B39" s="85" t="inlineStr">
        <is>
          <t>One-Euro</t>
        </is>
      </c>
      <c r="C39" s="129" t="str">
        <f>IF(B39=VLOOKUP(A39,Participants!$A$5:$W$28,22,FALSE),"方法A","方法B")</f>
        <v>方法B</v>
      </c>
      <c r="D39" s="129" t="str">
        <f>VLOOKUP(A39,Participants!$A$5:$B$28,2,FALSE)</f>
        <v>是</v>
      </c>
      <c r="E39" s="129" t="n">
        <f>COUNTIFS(TaskRatings!$A$5:$A$148,A39,TaskRatings!$F$5:$F$148,B39,TaskRatings!$O$5:$O$148,"是")</f>
        <v>3</v>
      </c>
      <c r="F39" s="149" t="str">
        <f>IFERROR(SUMIFS(TaskRatings!$H$5:$H$148,TaskRatings!$A$5:$A$148,A39,TaskRatings!$F$5:$F$148,B39,TaskRatings!$O$5:$O$148,"是",TaskRatings!$H$5:$H$148,"&gt;0")/COUNTIFS(TaskRatings!$A$5:$A$148,A39,TaskRatings!$F$5:$F$148,B39,TaskRatings!$O$5:$O$148,"是",TaskRatings!$H$5:$H$148,"&gt;0"),"")</f>
      </c>
      <c r="G39" s="149" t="str">
        <f>IFERROR(SUMIFS(TaskRatings!$J$5:$J$148,TaskRatings!$A$5:$A$148,A39,TaskRatings!$F$5:$F$148,B39,TaskRatings!$O$5:$O$148,"是",TaskRatings!$J$5:$J$148,"&gt;0")/COUNTIFS(TaskRatings!$A$5:$A$148,A39,TaskRatings!$F$5:$F$148,B39,TaskRatings!$O$5:$O$148,"是",TaskRatings!$J$5:$J$148,"&gt;0"),"")</f>
      </c>
      <c r="H39" s="149" t="str">
        <f>IFERROR(SUMIFS(TaskRatings!$L$5:$L$148,TaskRatings!$A$5:$A$148,A39,TaskRatings!$F$5:$F$148,B39,TaskRatings!$O$5:$O$148,"是",TaskRatings!$L$5:$L$148,"&gt;0")/COUNTIFS(TaskRatings!$A$5:$A$148,A39,TaskRatings!$F$5:$F$148,B39,TaskRatings!$O$5:$O$148,"是",TaskRatings!$L$5:$L$148,"&gt;0"),"")</f>
      </c>
      <c r="I39" s="149" t="str">
        <f>IFERROR(SUMIFS(BlockRatings_AQ!$H$5:$H$148,BlockRatings_AQ!$A$5:$A$148,A39,BlockRatings_AQ!$F$5:$F$148,B39,BlockRatings_AQ!$R$5:$R$148,"是",BlockRatings_AQ!$H$5:$H$148,"&gt;0")/COUNTIFS(BlockRatings_AQ!$A$5:$A$148,A39,BlockRatings_AQ!$F$5:$F$148,B39,BlockRatings_AQ!$R$5:$R$148,"是",BlockRatings_AQ!$H$5:$H$148,"&gt;0"),"")</f>
      </c>
      <c r="J39" s="149" t="str">
        <f>IFERROR(SUMIFS(BlockRatings_AQ!$I$5:$I$148,BlockRatings_AQ!$A$5:$A$148,A39,BlockRatings_AQ!$F$5:$F$148,B39,BlockRatings_AQ!$R$5:$R$148,"是",BlockRatings_AQ!$I$5:$I$148,"&gt;0")/COUNTIFS(BlockRatings_AQ!$A$5:$A$148,A39,BlockRatings_AQ!$F$5:$F$148,B39,BlockRatings_AQ!$R$5:$R$148,"是",BlockRatings_AQ!$I$5:$I$148,"&gt;0"),"")</f>
      </c>
      <c r="K39" s="149" t="str">
        <f>IFERROR(SUMIFS(BlockRatings_AQ!$J$5:$J$148,BlockRatings_AQ!$A$5:$A$148,A39,BlockRatings_AQ!$F$5:$F$148,B39,BlockRatings_AQ!$R$5:$R$148,"是",BlockRatings_AQ!$J$5:$J$148,"&gt;0")/COUNTIFS(BlockRatings_AQ!$A$5:$A$148,A39,BlockRatings_AQ!$F$5:$F$148,B39,BlockRatings_AQ!$R$5:$R$148,"是",BlockRatings_AQ!$J$5:$J$148,"&gt;0"),"")</f>
      </c>
      <c r="L39" s="149" t="str">
        <f>IF(COUNT(I39:K39)=3,AVERAGE(I39:K39),"")</f>
      </c>
      <c r="M39" s="149" t="str">
        <f>IFERROR(SUMIFS(BlockRatings_AQ!$L$5:$L$148,BlockRatings_AQ!$A$5:$A$148,A39,BlockRatings_AQ!$F$5:$F$148,B39,BlockRatings_AQ!$R$5:$R$148,"是",BlockRatings_AQ!$L$5:$L$148,"&gt;0")/COUNTIFS(BlockRatings_AQ!$A$5:$A$148,A39,BlockRatings_AQ!$F$5:$F$148,B39,BlockRatings_AQ!$R$5:$R$148,"是",BlockRatings_AQ!$L$5:$L$148,"&gt;0"),"")</f>
      </c>
      <c r="N39" s="149" t="str">
        <f>IFERROR(SUMIFS(BlockRatings_AQ!$M$5:$M$148,BlockRatings_AQ!$A$5:$A$148,A39,BlockRatings_AQ!$F$5:$F$148,B39,BlockRatings_AQ!$R$5:$R$148,"是",BlockRatings_AQ!$M$5:$M$148,"&gt;0")/COUNTIFS(BlockRatings_AQ!$A$5:$A$148,A39,BlockRatings_AQ!$F$5:$F$148,B39,BlockRatings_AQ!$R$5:$R$148,"是",BlockRatings_AQ!$M$5:$M$148,"&gt;0"),"")</f>
      </c>
      <c r="O39" s="149" t="str">
        <f>IFERROR(SUMIFS(BlockRatings_AQ!$N$5:$N$148,BlockRatings_AQ!$A$5:$A$148,A39,BlockRatings_AQ!$F$5:$F$148,B39,BlockRatings_AQ!$R$5:$R$148,"是",BlockRatings_AQ!$N$5:$N$148,"&gt;0")/COUNTIFS(BlockRatings_AQ!$A$5:$A$148,A39,BlockRatings_AQ!$F$5:$F$148,B39,BlockRatings_AQ!$R$5:$R$148,"是",BlockRatings_AQ!$N$5:$N$148,"&gt;0"),"")</f>
      </c>
      <c r="P39" s="149" t="str">
        <f>IF(COUNT(M39:O39)=3,AVERAGE(M39:O39),"")</f>
      </c>
      <c r="Q39" s="149" t="str">
        <f>IFERROR(SUMIFS(MethodRatings!$E$5:$E$52,MethodRatings!$A$5:$A$52,A39,MethodRatings!$D$5:$D$52,B39,MethodRatings!$E$5:$E$52,"&gt;0")/COUNTIFS(MethodRatings!$A$5:$A$52,A39,MethodRatings!$D$5:$D$52,B39,MethodRatings!$E$5:$E$52,"&gt;0"),"")</f>
      </c>
      <c r="R39" s="149" t="str">
        <f>IFERROR(SUMIFS(MethodRatings!$F$5:$F$52,MethodRatings!$A$5:$A$52,A39,MethodRatings!$D$5:$D$52,B39,MethodRatings!$F$5:$F$52,"&gt;0")/COUNTIFS(MethodRatings!$A$5:$A$52,A39,MethodRatings!$D$5:$D$52,B39,MethodRatings!$F$5:$F$52,"&gt;0"),"")</f>
      </c>
      <c r="S39" s="149" t="str">
        <f>IFERROR(SUMIFS(MethodRatings!$G$5:$G$52,MethodRatings!$A$5:$A$52,A39,MethodRatings!$D$5:$D$52,B39,MethodRatings!$G$5:$G$52,"&gt;0")/COUNTIFS(MethodRatings!$A$5:$A$52,A39,MethodRatings!$D$5:$D$52,B39,MethodRatings!$G$5:$G$52,"&gt;0"),"")</f>
      </c>
      <c r="T39" s="149" t="str">
        <f>IF(COUNT(Q39:S39)=3,AVERAGE(Q39:S39),"")</f>
      </c>
      <c r="U39" s="149" t="str">
        <f>IFERROR(SUMIFS(MethodRatings!$I$5:$I$52,MethodRatings!$A$5:$A$52,A39,MethodRatings!$D$5:$D$52,B39,MethodRatings!$I$5:$I$52,"&gt;0")/COUNTIFS(MethodRatings!$A$5:$A$52,A39,MethodRatings!$D$5:$D$52,B39,MethodRatings!$I$5:$I$52,"&gt;0"),"")</f>
      </c>
      <c r="V39" s="149" t="str">
        <f>IFERROR(SUMIFS(MethodRatings!$J$5:$J$52,MethodRatings!$A$5:$A$52,A39,MethodRatings!$D$5:$D$52,B39,MethodRatings!$J$5:$J$52,"&gt;0")/COUNTIFS(MethodRatings!$A$5:$A$52,A39,MethodRatings!$D$5:$D$52,B39,MethodRatings!$J$5:$J$52,"&gt;0"),"")</f>
      </c>
      <c r="W39" s="149" t="str">
        <f>IFERROR(SUMIFS(MethodRatings!$K$5:$K$52,MethodRatings!$A$5:$A$52,A39,MethodRatings!$D$5:$D$52,B39,MethodRatings!$K$5:$K$52,"&gt;0")/COUNTIFS(MethodRatings!$A$5:$A$52,A39,MethodRatings!$D$5:$D$52,B39,MethodRatings!$K$5:$K$52,"&gt;0"),"")</f>
      </c>
      <c r="X39" s="149" t="str">
        <f>IF(COUNT(U39:W39)=3,AVERAGE(U39:W39),"")</f>
      </c>
      <c r="Y39" s="149" t="str">
        <f>IFERROR(SUMIFS(MethodRatings!$M$5:$M$52,MethodRatings!$A$5:$A$52,A39,MethodRatings!$D$5:$D$52,B39,MethodRatings!$M$5:$M$52,"&gt;0")/COUNTIFS(MethodRatings!$A$5:$A$52,A39,MethodRatings!$D$5:$D$52,B39,MethodRatings!$M$5:$M$52,"&gt;0"),"")</f>
      </c>
      <c r="Z39" s="149" t="str">
        <f>IFERROR(SUMIFS(MethodRatings!$N$5:$N$52,MethodRatings!$A$5:$A$52,A39,MethodRatings!$D$5:$D$52,B39,MethodRatings!$N$5:$N$52,"&gt;0")/COUNTIFS(MethodRatings!$A$5:$A$52,A39,MethodRatings!$D$5:$D$52,B39,MethodRatings!$N$5:$N$52,"&gt;0"),"")</f>
      </c>
      <c r="AA39" s="149" t="str">
        <f>IFERROR(SUMIFS(MethodRatings!$O$5:$O$52,MethodRatings!$A$5:$A$52,A39,MethodRatings!$D$5:$D$52,B39,MethodRatings!$O$5:$O$52,"&gt;0")/COUNTIFS(MethodRatings!$A$5:$A$52,A39,MethodRatings!$D$5:$D$52,B39,MethodRatings!$O$5:$O$52,"&gt;0"),"")</f>
      </c>
      <c r="AB39" s="149" t="str">
        <f>IF(COUNT(I39:K39)=3,SUM(I39:K39),"")</f>
      </c>
      <c r="AC39" s="149" t="str">
        <f>IF(COUNT(M39:O39)=3,SUM(M39:O39),"")</f>
      </c>
      <c r="AD39" s="149" t="str">
        <f>IF(COUNT(Q39:S39)=3,SUM(Q39:S39),"")</f>
      </c>
      <c r="AE39" s="149" t="str">
        <f>IF(COUNT(U39:W39)=3,SUM(U39:W39),"")</f>
      </c>
      <c r="AF39" s="130" t="str">
        <f>IF((COUNT(F39:K39)+COUNT(M39:O39)+COUNT(Q39:S39)+COUNT(U39:W39)+COUNT(Y39:AA39))=18,"完整","缺失")</f>
        <v>缺失</v>
      </c>
    </row>
    <row r="40">
      <c r="A40" s="90" t="inlineStr">
        <is>
          <t>P012</t>
        </is>
      </c>
      <c r="B40" s="85" t="inlineStr">
        <is>
          <t>One-Euro</t>
        </is>
      </c>
      <c r="C40" s="129" t="str">
        <f>IF(B40=VLOOKUP(A40,Participants!$A$5:$W$28,22,FALSE),"方法A","方法B")</f>
        <v>方法B</v>
      </c>
      <c r="D40" s="129" t="str">
        <f>VLOOKUP(A40,Participants!$A$5:$B$28,2,FALSE)</f>
        <v>是</v>
      </c>
      <c r="E40" s="129" t="n">
        <f>COUNTIFS(TaskRatings!$A$5:$A$148,A40,TaskRatings!$F$5:$F$148,B40,TaskRatings!$O$5:$O$148,"是")</f>
        <v>3</v>
      </c>
      <c r="F40" s="149" t="str">
        <f>IFERROR(SUMIFS(TaskRatings!$H$5:$H$148,TaskRatings!$A$5:$A$148,A40,TaskRatings!$F$5:$F$148,B40,TaskRatings!$O$5:$O$148,"是",TaskRatings!$H$5:$H$148,"&gt;0")/COUNTIFS(TaskRatings!$A$5:$A$148,A40,TaskRatings!$F$5:$F$148,B40,TaskRatings!$O$5:$O$148,"是",TaskRatings!$H$5:$H$148,"&gt;0"),"")</f>
      </c>
      <c r="G40" s="149" t="str">
        <f>IFERROR(SUMIFS(TaskRatings!$J$5:$J$148,TaskRatings!$A$5:$A$148,A40,TaskRatings!$F$5:$F$148,B40,TaskRatings!$O$5:$O$148,"是",TaskRatings!$J$5:$J$148,"&gt;0")/COUNTIFS(TaskRatings!$A$5:$A$148,A40,TaskRatings!$F$5:$F$148,B40,TaskRatings!$O$5:$O$148,"是",TaskRatings!$J$5:$J$148,"&gt;0"),"")</f>
      </c>
      <c r="H40" s="149" t="str">
        <f>IFERROR(SUMIFS(TaskRatings!$L$5:$L$148,TaskRatings!$A$5:$A$148,A40,TaskRatings!$F$5:$F$148,B40,TaskRatings!$O$5:$O$148,"是",TaskRatings!$L$5:$L$148,"&gt;0")/COUNTIFS(TaskRatings!$A$5:$A$148,A40,TaskRatings!$F$5:$F$148,B40,TaskRatings!$O$5:$O$148,"是",TaskRatings!$L$5:$L$148,"&gt;0"),"")</f>
      </c>
      <c r="I40" s="149" t="str">
        <f>IFERROR(SUMIFS(BlockRatings_AQ!$H$5:$H$148,BlockRatings_AQ!$A$5:$A$148,A40,BlockRatings_AQ!$F$5:$F$148,B40,BlockRatings_AQ!$R$5:$R$148,"是",BlockRatings_AQ!$H$5:$H$148,"&gt;0")/COUNTIFS(BlockRatings_AQ!$A$5:$A$148,A40,BlockRatings_AQ!$F$5:$F$148,B40,BlockRatings_AQ!$R$5:$R$148,"是",BlockRatings_AQ!$H$5:$H$148,"&gt;0"),"")</f>
      </c>
      <c r="J40" s="149" t="str">
        <f>IFERROR(SUMIFS(BlockRatings_AQ!$I$5:$I$148,BlockRatings_AQ!$A$5:$A$148,A40,BlockRatings_AQ!$F$5:$F$148,B40,BlockRatings_AQ!$R$5:$R$148,"是",BlockRatings_AQ!$I$5:$I$148,"&gt;0")/COUNTIFS(BlockRatings_AQ!$A$5:$A$148,A40,BlockRatings_AQ!$F$5:$F$148,B40,BlockRatings_AQ!$R$5:$R$148,"是",BlockRatings_AQ!$I$5:$I$148,"&gt;0"),"")</f>
      </c>
      <c r="K40" s="149" t="str">
        <f>IFERROR(SUMIFS(BlockRatings_AQ!$J$5:$J$148,BlockRatings_AQ!$A$5:$A$148,A40,BlockRatings_AQ!$F$5:$F$148,B40,BlockRatings_AQ!$R$5:$R$148,"是",BlockRatings_AQ!$J$5:$J$148,"&gt;0")/COUNTIFS(BlockRatings_AQ!$A$5:$A$148,A40,BlockRatings_AQ!$F$5:$F$148,B40,BlockRatings_AQ!$R$5:$R$148,"是",BlockRatings_AQ!$J$5:$J$148,"&gt;0"),"")</f>
      </c>
      <c r="L40" s="149" t="str">
        <f>IF(COUNT(I40:K40)=3,AVERAGE(I40:K40),"")</f>
      </c>
      <c r="M40" s="149" t="str">
        <f>IFERROR(SUMIFS(BlockRatings_AQ!$L$5:$L$148,BlockRatings_AQ!$A$5:$A$148,A40,BlockRatings_AQ!$F$5:$F$148,B40,BlockRatings_AQ!$R$5:$R$148,"是",BlockRatings_AQ!$L$5:$L$148,"&gt;0")/COUNTIFS(BlockRatings_AQ!$A$5:$A$148,A40,BlockRatings_AQ!$F$5:$F$148,B40,BlockRatings_AQ!$R$5:$R$148,"是",BlockRatings_AQ!$L$5:$L$148,"&gt;0"),"")</f>
      </c>
      <c r="N40" s="149" t="str">
        <f>IFERROR(SUMIFS(BlockRatings_AQ!$M$5:$M$148,BlockRatings_AQ!$A$5:$A$148,A40,BlockRatings_AQ!$F$5:$F$148,B40,BlockRatings_AQ!$R$5:$R$148,"是",BlockRatings_AQ!$M$5:$M$148,"&gt;0")/COUNTIFS(BlockRatings_AQ!$A$5:$A$148,A40,BlockRatings_AQ!$F$5:$F$148,B40,BlockRatings_AQ!$R$5:$R$148,"是",BlockRatings_AQ!$M$5:$M$148,"&gt;0"),"")</f>
      </c>
      <c r="O40" s="149" t="str">
        <f>IFERROR(SUMIFS(BlockRatings_AQ!$N$5:$N$148,BlockRatings_AQ!$A$5:$A$148,A40,BlockRatings_AQ!$F$5:$F$148,B40,BlockRatings_AQ!$R$5:$R$148,"是",BlockRatings_AQ!$N$5:$N$148,"&gt;0")/COUNTIFS(BlockRatings_AQ!$A$5:$A$148,A40,BlockRatings_AQ!$F$5:$F$148,B40,BlockRatings_AQ!$R$5:$R$148,"是",BlockRatings_AQ!$N$5:$N$148,"&gt;0"),"")</f>
      </c>
      <c r="P40" s="149" t="str">
        <f>IF(COUNT(M40:O40)=3,AVERAGE(M40:O40),"")</f>
      </c>
      <c r="Q40" s="149" t="str">
        <f>IFERROR(SUMIFS(MethodRatings!$E$5:$E$52,MethodRatings!$A$5:$A$52,A40,MethodRatings!$D$5:$D$52,B40,MethodRatings!$E$5:$E$52,"&gt;0")/COUNTIFS(MethodRatings!$A$5:$A$52,A40,MethodRatings!$D$5:$D$52,B40,MethodRatings!$E$5:$E$52,"&gt;0"),"")</f>
      </c>
      <c r="R40" s="149" t="str">
        <f>IFERROR(SUMIFS(MethodRatings!$F$5:$F$52,MethodRatings!$A$5:$A$52,A40,MethodRatings!$D$5:$D$52,B40,MethodRatings!$F$5:$F$52,"&gt;0")/COUNTIFS(MethodRatings!$A$5:$A$52,A40,MethodRatings!$D$5:$D$52,B40,MethodRatings!$F$5:$F$52,"&gt;0"),"")</f>
      </c>
      <c r="S40" s="149" t="str">
        <f>IFERROR(SUMIFS(MethodRatings!$G$5:$G$52,MethodRatings!$A$5:$A$52,A40,MethodRatings!$D$5:$D$52,B40,MethodRatings!$G$5:$G$52,"&gt;0")/COUNTIFS(MethodRatings!$A$5:$A$52,A40,MethodRatings!$D$5:$D$52,B40,MethodRatings!$G$5:$G$52,"&gt;0"),"")</f>
      </c>
      <c r="T40" s="149" t="str">
        <f>IF(COUNT(Q40:S40)=3,AVERAGE(Q40:S40),"")</f>
      </c>
      <c r="U40" s="149" t="str">
        <f>IFERROR(SUMIFS(MethodRatings!$I$5:$I$52,MethodRatings!$A$5:$A$52,A40,MethodRatings!$D$5:$D$52,B40,MethodRatings!$I$5:$I$52,"&gt;0")/COUNTIFS(MethodRatings!$A$5:$A$52,A40,MethodRatings!$D$5:$D$52,B40,MethodRatings!$I$5:$I$52,"&gt;0"),"")</f>
      </c>
      <c r="V40" s="149" t="str">
        <f>IFERROR(SUMIFS(MethodRatings!$J$5:$J$52,MethodRatings!$A$5:$A$52,A40,MethodRatings!$D$5:$D$52,B40,MethodRatings!$J$5:$J$52,"&gt;0")/COUNTIFS(MethodRatings!$A$5:$A$52,A40,MethodRatings!$D$5:$D$52,B40,MethodRatings!$J$5:$J$52,"&gt;0"),"")</f>
      </c>
      <c r="W40" s="149" t="str">
        <f>IFERROR(SUMIFS(MethodRatings!$K$5:$K$52,MethodRatings!$A$5:$A$52,A40,MethodRatings!$D$5:$D$52,B40,MethodRatings!$K$5:$K$52,"&gt;0")/COUNTIFS(MethodRatings!$A$5:$A$52,A40,MethodRatings!$D$5:$D$52,B40,MethodRatings!$K$5:$K$52,"&gt;0"),"")</f>
      </c>
      <c r="X40" s="149" t="str">
        <f>IF(COUNT(U40:W40)=3,AVERAGE(U40:W40),"")</f>
      </c>
      <c r="Y40" s="149" t="str">
        <f>IFERROR(SUMIFS(MethodRatings!$M$5:$M$52,MethodRatings!$A$5:$A$52,A40,MethodRatings!$D$5:$D$52,B40,MethodRatings!$M$5:$M$52,"&gt;0")/COUNTIFS(MethodRatings!$A$5:$A$52,A40,MethodRatings!$D$5:$D$52,B40,MethodRatings!$M$5:$M$52,"&gt;0"),"")</f>
      </c>
      <c r="Z40" s="149" t="str">
        <f>IFERROR(SUMIFS(MethodRatings!$N$5:$N$52,MethodRatings!$A$5:$A$52,A40,MethodRatings!$D$5:$D$52,B40,MethodRatings!$N$5:$N$52,"&gt;0")/COUNTIFS(MethodRatings!$A$5:$A$52,A40,MethodRatings!$D$5:$D$52,B40,MethodRatings!$N$5:$N$52,"&gt;0"),"")</f>
      </c>
      <c r="AA40" s="149" t="str">
        <f>IFERROR(SUMIFS(MethodRatings!$O$5:$O$52,MethodRatings!$A$5:$A$52,A40,MethodRatings!$D$5:$D$52,B40,MethodRatings!$O$5:$O$52,"&gt;0")/COUNTIFS(MethodRatings!$A$5:$A$52,A40,MethodRatings!$D$5:$D$52,B40,MethodRatings!$O$5:$O$52,"&gt;0"),"")</f>
      </c>
      <c r="AB40" s="149" t="str">
        <f>IF(COUNT(I40:K40)=3,SUM(I40:K40),"")</f>
      </c>
      <c r="AC40" s="149" t="str">
        <f>IF(COUNT(M40:O40)=3,SUM(M40:O40),"")</f>
      </c>
      <c r="AD40" s="149" t="str">
        <f>IF(COUNT(Q40:S40)=3,SUM(Q40:S40),"")</f>
      </c>
      <c r="AE40" s="149" t="str">
        <f>IF(COUNT(U40:W40)=3,SUM(U40:W40),"")</f>
      </c>
      <c r="AF40" s="130" t="str">
        <f>IF((COUNT(F40:K40)+COUNT(M40:O40)+COUNT(Q40:S40)+COUNT(U40:W40)+COUNT(Y40:AA40))=18,"完整","缺失")</f>
        <v>缺失</v>
      </c>
    </row>
    <row r="41">
      <c r="A41" s="90" t="inlineStr">
        <is>
          <t>P013</t>
        </is>
      </c>
      <c r="B41" s="85" t="inlineStr">
        <is>
          <t>One-Euro</t>
        </is>
      </c>
      <c r="C41" s="129" t="str">
        <f>IF(B41=VLOOKUP(A41,Participants!$A$5:$W$28,22,FALSE),"方法A","方法B")</f>
        <v>方法A</v>
      </c>
      <c r="D41" s="129" t="str">
        <f>VLOOKUP(A41,Participants!$A$5:$B$28,2,FALSE)</f>
        <v>是</v>
      </c>
      <c r="E41" s="129" t="n">
        <f>COUNTIFS(TaskRatings!$A$5:$A$148,A41,TaskRatings!$F$5:$F$148,B41,TaskRatings!$O$5:$O$148,"是")</f>
        <v>3</v>
      </c>
      <c r="F41" s="149" t="str">
        <f>IFERROR(SUMIFS(TaskRatings!$H$5:$H$148,TaskRatings!$A$5:$A$148,A41,TaskRatings!$F$5:$F$148,B41,TaskRatings!$O$5:$O$148,"是",TaskRatings!$H$5:$H$148,"&gt;0")/COUNTIFS(TaskRatings!$A$5:$A$148,A41,TaskRatings!$F$5:$F$148,B41,TaskRatings!$O$5:$O$148,"是",TaskRatings!$H$5:$H$148,"&gt;0"),"")</f>
      </c>
      <c r="G41" s="149" t="str">
        <f>IFERROR(SUMIFS(TaskRatings!$J$5:$J$148,TaskRatings!$A$5:$A$148,A41,TaskRatings!$F$5:$F$148,B41,TaskRatings!$O$5:$O$148,"是",TaskRatings!$J$5:$J$148,"&gt;0")/COUNTIFS(TaskRatings!$A$5:$A$148,A41,TaskRatings!$F$5:$F$148,B41,TaskRatings!$O$5:$O$148,"是",TaskRatings!$J$5:$J$148,"&gt;0"),"")</f>
      </c>
      <c r="H41" s="149" t="str">
        <f>IFERROR(SUMIFS(TaskRatings!$L$5:$L$148,TaskRatings!$A$5:$A$148,A41,TaskRatings!$F$5:$F$148,B41,TaskRatings!$O$5:$O$148,"是",TaskRatings!$L$5:$L$148,"&gt;0")/COUNTIFS(TaskRatings!$A$5:$A$148,A41,TaskRatings!$F$5:$F$148,B41,TaskRatings!$O$5:$O$148,"是",TaskRatings!$L$5:$L$148,"&gt;0"),"")</f>
      </c>
      <c r="I41" s="149" t="str">
        <f>IFERROR(SUMIFS(BlockRatings_AQ!$H$5:$H$148,BlockRatings_AQ!$A$5:$A$148,A41,BlockRatings_AQ!$F$5:$F$148,B41,BlockRatings_AQ!$R$5:$R$148,"是",BlockRatings_AQ!$H$5:$H$148,"&gt;0")/COUNTIFS(BlockRatings_AQ!$A$5:$A$148,A41,BlockRatings_AQ!$F$5:$F$148,B41,BlockRatings_AQ!$R$5:$R$148,"是",BlockRatings_AQ!$H$5:$H$148,"&gt;0"),"")</f>
      </c>
      <c r="J41" s="149" t="str">
        <f>IFERROR(SUMIFS(BlockRatings_AQ!$I$5:$I$148,BlockRatings_AQ!$A$5:$A$148,A41,BlockRatings_AQ!$F$5:$F$148,B41,BlockRatings_AQ!$R$5:$R$148,"是",BlockRatings_AQ!$I$5:$I$148,"&gt;0")/COUNTIFS(BlockRatings_AQ!$A$5:$A$148,A41,BlockRatings_AQ!$F$5:$F$148,B41,BlockRatings_AQ!$R$5:$R$148,"是",BlockRatings_AQ!$I$5:$I$148,"&gt;0"),"")</f>
      </c>
      <c r="K41" s="149" t="str">
        <f>IFERROR(SUMIFS(BlockRatings_AQ!$J$5:$J$148,BlockRatings_AQ!$A$5:$A$148,A41,BlockRatings_AQ!$F$5:$F$148,B41,BlockRatings_AQ!$R$5:$R$148,"是",BlockRatings_AQ!$J$5:$J$148,"&gt;0")/COUNTIFS(BlockRatings_AQ!$A$5:$A$148,A41,BlockRatings_AQ!$F$5:$F$148,B41,BlockRatings_AQ!$R$5:$R$148,"是",BlockRatings_AQ!$J$5:$J$148,"&gt;0"),"")</f>
      </c>
      <c r="L41" s="149" t="str">
        <f>IF(COUNT(I41:K41)=3,AVERAGE(I41:K41),"")</f>
      </c>
      <c r="M41" s="149" t="str">
        <f>IFERROR(SUMIFS(BlockRatings_AQ!$L$5:$L$148,BlockRatings_AQ!$A$5:$A$148,A41,BlockRatings_AQ!$F$5:$F$148,B41,BlockRatings_AQ!$R$5:$R$148,"是",BlockRatings_AQ!$L$5:$L$148,"&gt;0")/COUNTIFS(BlockRatings_AQ!$A$5:$A$148,A41,BlockRatings_AQ!$F$5:$F$148,B41,BlockRatings_AQ!$R$5:$R$148,"是",BlockRatings_AQ!$L$5:$L$148,"&gt;0"),"")</f>
      </c>
      <c r="N41" s="149" t="str">
        <f>IFERROR(SUMIFS(BlockRatings_AQ!$M$5:$M$148,BlockRatings_AQ!$A$5:$A$148,A41,BlockRatings_AQ!$F$5:$F$148,B41,BlockRatings_AQ!$R$5:$R$148,"是",BlockRatings_AQ!$M$5:$M$148,"&gt;0")/COUNTIFS(BlockRatings_AQ!$A$5:$A$148,A41,BlockRatings_AQ!$F$5:$F$148,B41,BlockRatings_AQ!$R$5:$R$148,"是",BlockRatings_AQ!$M$5:$M$148,"&gt;0"),"")</f>
      </c>
      <c r="O41" s="149" t="str">
        <f>IFERROR(SUMIFS(BlockRatings_AQ!$N$5:$N$148,BlockRatings_AQ!$A$5:$A$148,A41,BlockRatings_AQ!$F$5:$F$148,B41,BlockRatings_AQ!$R$5:$R$148,"是",BlockRatings_AQ!$N$5:$N$148,"&gt;0")/COUNTIFS(BlockRatings_AQ!$A$5:$A$148,A41,BlockRatings_AQ!$F$5:$F$148,B41,BlockRatings_AQ!$R$5:$R$148,"是",BlockRatings_AQ!$N$5:$N$148,"&gt;0"),"")</f>
      </c>
      <c r="P41" s="149" t="str">
        <f>IF(COUNT(M41:O41)=3,AVERAGE(M41:O41),"")</f>
      </c>
      <c r="Q41" s="149" t="str">
        <f>IFERROR(SUMIFS(MethodRatings!$E$5:$E$52,MethodRatings!$A$5:$A$52,A41,MethodRatings!$D$5:$D$52,B41,MethodRatings!$E$5:$E$52,"&gt;0")/COUNTIFS(MethodRatings!$A$5:$A$52,A41,MethodRatings!$D$5:$D$52,B41,MethodRatings!$E$5:$E$52,"&gt;0"),"")</f>
      </c>
      <c r="R41" s="149" t="str">
        <f>IFERROR(SUMIFS(MethodRatings!$F$5:$F$52,MethodRatings!$A$5:$A$52,A41,MethodRatings!$D$5:$D$52,B41,MethodRatings!$F$5:$F$52,"&gt;0")/COUNTIFS(MethodRatings!$A$5:$A$52,A41,MethodRatings!$D$5:$D$52,B41,MethodRatings!$F$5:$F$52,"&gt;0"),"")</f>
      </c>
      <c r="S41" s="149" t="str">
        <f>IFERROR(SUMIFS(MethodRatings!$G$5:$G$52,MethodRatings!$A$5:$A$52,A41,MethodRatings!$D$5:$D$52,B41,MethodRatings!$G$5:$G$52,"&gt;0")/COUNTIFS(MethodRatings!$A$5:$A$52,A41,MethodRatings!$D$5:$D$52,B41,MethodRatings!$G$5:$G$52,"&gt;0"),"")</f>
      </c>
      <c r="T41" s="149" t="str">
        <f>IF(COUNT(Q41:S41)=3,AVERAGE(Q41:S41),"")</f>
      </c>
      <c r="U41" s="149" t="str">
        <f>IFERROR(SUMIFS(MethodRatings!$I$5:$I$52,MethodRatings!$A$5:$A$52,A41,MethodRatings!$D$5:$D$52,B41,MethodRatings!$I$5:$I$52,"&gt;0")/COUNTIFS(MethodRatings!$A$5:$A$52,A41,MethodRatings!$D$5:$D$52,B41,MethodRatings!$I$5:$I$52,"&gt;0"),"")</f>
      </c>
      <c r="V41" s="149" t="str">
        <f>IFERROR(SUMIFS(MethodRatings!$J$5:$J$52,MethodRatings!$A$5:$A$52,A41,MethodRatings!$D$5:$D$52,B41,MethodRatings!$J$5:$J$52,"&gt;0")/COUNTIFS(MethodRatings!$A$5:$A$52,A41,MethodRatings!$D$5:$D$52,B41,MethodRatings!$J$5:$J$52,"&gt;0"),"")</f>
      </c>
      <c r="W41" s="149" t="str">
        <f>IFERROR(SUMIFS(MethodRatings!$K$5:$K$52,MethodRatings!$A$5:$A$52,A41,MethodRatings!$D$5:$D$52,B41,MethodRatings!$K$5:$K$52,"&gt;0")/COUNTIFS(MethodRatings!$A$5:$A$52,A41,MethodRatings!$D$5:$D$52,B41,MethodRatings!$K$5:$K$52,"&gt;0"),"")</f>
      </c>
      <c r="X41" s="149" t="str">
        <f>IF(COUNT(U41:W41)=3,AVERAGE(U41:W41),"")</f>
      </c>
      <c r="Y41" s="149" t="str">
        <f>IFERROR(SUMIFS(MethodRatings!$M$5:$M$52,MethodRatings!$A$5:$A$52,A41,MethodRatings!$D$5:$D$52,B41,MethodRatings!$M$5:$M$52,"&gt;0")/COUNTIFS(MethodRatings!$A$5:$A$52,A41,MethodRatings!$D$5:$D$52,B41,MethodRatings!$M$5:$M$52,"&gt;0"),"")</f>
      </c>
      <c r="Z41" s="149" t="str">
        <f>IFERROR(SUMIFS(MethodRatings!$N$5:$N$52,MethodRatings!$A$5:$A$52,A41,MethodRatings!$D$5:$D$52,B41,MethodRatings!$N$5:$N$52,"&gt;0")/COUNTIFS(MethodRatings!$A$5:$A$52,A41,MethodRatings!$D$5:$D$52,B41,MethodRatings!$N$5:$N$52,"&gt;0"),"")</f>
      </c>
      <c r="AA41" s="149" t="str">
        <f>IFERROR(SUMIFS(MethodRatings!$O$5:$O$52,MethodRatings!$A$5:$A$52,A41,MethodRatings!$D$5:$D$52,B41,MethodRatings!$O$5:$O$52,"&gt;0")/COUNTIFS(MethodRatings!$A$5:$A$52,A41,MethodRatings!$D$5:$D$52,B41,MethodRatings!$O$5:$O$52,"&gt;0"),"")</f>
      </c>
      <c r="AB41" s="149" t="str">
        <f>IF(COUNT(I41:K41)=3,SUM(I41:K41),"")</f>
      </c>
      <c r="AC41" s="149" t="str">
        <f>IF(COUNT(M41:O41)=3,SUM(M41:O41),"")</f>
      </c>
      <c r="AD41" s="149" t="str">
        <f>IF(COUNT(Q41:S41)=3,SUM(Q41:S41),"")</f>
      </c>
      <c r="AE41" s="149" t="str">
        <f>IF(COUNT(U41:W41)=3,SUM(U41:W41),"")</f>
      </c>
      <c r="AF41" s="130" t="str">
        <f>IF((COUNT(F41:K41)+COUNT(M41:O41)+COUNT(Q41:S41)+COUNT(U41:W41)+COUNT(Y41:AA41))=18,"完整","缺失")</f>
        <v>缺失</v>
      </c>
    </row>
    <row r="42">
      <c r="A42" s="90" t="inlineStr">
        <is>
          <t>P014</t>
        </is>
      </c>
      <c r="B42" s="85" t="inlineStr">
        <is>
          <t>One-Euro</t>
        </is>
      </c>
      <c r="C42" s="129" t="str">
        <f>IF(B42=VLOOKUP(A42,Participants!$A$5:$W$28,22,FALSE),"方法A","方法B")</f>
        <v>方法A</v>
      </c>
      <c r="D42" s="129" t="str">
        <f>VLOOKUP(A42,Participants!$A$5:$B$28,2,FALSE)</f>
        <v>是</v>
      </c>
      <c r="E42" s="129" t="n">
        <f>COUNTIFS(TaskRatings!$A$5:$A$148,A42,TaskRatings!$F$5:$F$148,B42,TaskRatings!$O$5:$O$148,"是")</f>
        <v>3</v>
      </c>
      <c r="F42" s="149" t="str">
        <f>IFERROR(SUMIFS(TaskRatings!$H$5:$H$148,TaskRatings!$A$5:$A$148,A42,TaskRatings!$F$5:$F$148,B42,TaskRatings!$O$5:$O$148,"是",TaskRatings!$H$5:$H$148,"&gt;0")/COUNTIFS(TaskRatings!$A$5:$A$148,A42,TaskRatings!$F$5:$F$148,B42,TaskRatings!$O$5:$O$148,"是",TaskRatings!$H$5:$H$148,"&gt;0"),"")</f>
      </c>
      <c r="G42" s="149" t="str">
        <f>IFERROR(SUMIFS(TaskRatings!$J$5:$J$148,TaskRatings!$A$5:$A$148,A42,TaskRatings!$F$5:$F$148,B42,TaskRatings!$O$5:$O$148,"是",TaskRatings!$J$5:$J$148,"&gt;0")/COUNTIFS(TaskRatings!$A$5:$A$148,A42,TaskRatings!$F$5:$F$148,B42,TaskRatings!$O$5:$O$148,"是",TaskRatings!$J$5:$J$148,"&gt;0"),"")</f>
      </c>
      <c r="H42" s="149" t="str">
        <f>IFERROR(SUMIFS(TaskRatings!$L$5:$L$148,TaskRatings!$A$5:$A$148,A42,TaskRatings!$F$5:$F$148,B42,TaskRatings!$O$5:$O$148,"是",TaskRatings!$L$5:$L$148,"&gt;0")/COUNTIFS(TaskRatings!$A$5:$A$148,A42,TaskRatings!$F$5:$F$148,B42,TaskRatings!$O$5:$O$148,"是",TaskRatings!$L$5:$L$148,"&gt;0"),"")</f>
      </c>
      <c r="I42" s="149" t="str">
        <f>IFERROR(SUMIFS(BlockRatings_AQ!$H$5:$H$148,BlockRatings_AQ!$A$5:$A$148,A42,BlockRatings_AQ!$F$5:$F$148,B42,BlockRatings_AQ!$R$5:$R$148,"是",BlockRatings_AQ!$H$5:$H$148,"&gt;0")/COUNTIFS(BlockRatings_AQ!$A$5:$A$148,A42,BlockRatings_AQ!$F$5:$F$148,B42,BlockRatings_AQ!$R$5:$R$148,"是",BlockRatings_AQ!$H$5:$H$148,"&gt;0"),"")</f>
      </c>
      <c r="J42" s="149" t="str">
        <f>IFERROR(SUMIFS(BlockRatings_AQ!$I$5:$I$148,BlockRatings_AQ!$A$5:$A$148,A42,BlockRatings_AQ!$F$5:$F$148,B42,BlockRatings_AQ!$R$5:$R$148,"是",BlockRatings_AQ!$I$5:$I$148,"&gt;0")/COUNTIFS(BlockRatings_AQ!$A$5:$A$148,A42,BlockRatings_AQ!$F$5:$F$148,B42,BlockRatings_AQ!$R$5:$R$148,"是",BlockRatings_AQ!$I$5:$I$148,"&gt;0"),"")</f>
      </c>
      <c r="K42" s="149" t="str">
        <f>IFERROR(SUMIFS(BlockRatings_AQ!$J$5:$J$148,BlockRatings_AQ!$A$5:$A$148,A42,BlockRatings_AQ!$F$5:$F$148,B42,BlockRatings_AQ!$R$5:$R$148,"是",BlockRatings_AQ!$J$5:$J$148,"&gt;0")/COUNTIFS(BlockRatings_AQ!$A$5:$A$148,A42,BlockRatings_AQ!$F$5:$F$148,B42,BlockRatings_AQ!$R$5:$R$148,"是",BlockRatings_AQ!$J$5:$J$148,"&gt;0"),"")</f>
      </c>
      <c r="L42" s="149" t="str">
        <f>IF(COUNT(I42:K42)=3,AVERAGE(I42:K42),"")</f>
      </c>
      <c r="M42" s="149" t="str">
        <f>IFERROR(SUMIFS(BlockRatings_AQ!$L$5:$L$148,BlockRatings_AQ!$A$5:$A$148,A42,BlockRatings_AQ!$F$5:$F$148,B42,BlockRatings_AQ!$R$5:$R$148,"是",BlockRatings_AQ!$L$5:$L$148,"&gt;0")/COUNTIFS(BlockRatings_AQ!$A$5:$A$148,A42,BlockRatings_AQ!$F$5:$F$148,B42,BlockRatings_AQ!$R$5:$R$148,"是",BlockRatings_AQ!$L$5:$L$148,"&gt;0"),"")</f>
      </c>
      <c r="N42" s="149" t="str">
        <f>IFERROR(SUMIFS(BlockRatings_AQ!$M$5:$M$148,BlockRatings_AQ!$A$5:$A$148,A42,BlockRatings_AQ!$F$5:$F$148,B42,BlockRatings_AQ!$R$5:$R$148,"是",BlockRatings_AQ!$M$5:$M$148,"&gt;0")/COUNTIFS(BlockRatings_AQ!$A$5:$A$148,A42,BlockRatings_AQ!$F$5:$F$148,B42,BlockRatings_AQ!$R$5:$R$148,"是",BlockRatings_AQ!$M$5:$M$148,"&gt;0"),"")</f>
      </c>
      <c r="O42" s="149" t="str">
        <f>IFERROR(SUMIFS(BlockRatings_AQ!$N$5:$N$148,BlockRatings_AQ!$A$5:$A$148,A42,BlockRatings_AQ!$F$5:$F$148,B42,BlockRatings_AQ!$R$5:$R$148,"是",BlockRatings_AQ!$N$5:$N$148,"&gt;0")/COUNTIFS(BlockRatings_AQ!$A$5:$A$148,A42,BlockRatings_AQ!$F$5:$F$148,B42,BlockRatings_AQ!$R$5:$R$148,"是",BlockRatings_AQ!$N$5:$N$148,"&gt;0"),"")</f>
      </c>
      <c r="P42" s="149" t="str">
        <f>IF(COUNT(M42:O42)=3,AVERAGE(M42:O42),"")</f>
      </c>
      <c r="Q42" s="149" t="str">
        <f>IFERROR(SUMIFS(MethodRatings!$E$5:$E$52,MethodRatings!$A$5:$A$52,A42,MethodRatings!$D$5:$D$52,B42,MethodRatings!$E$5:$E$52,"&gt;0")/COUNTIFS(MethodRatings!$A$5:$A$52,A42,MethodRatings!$D$5:$D$52,B42,MethodRatings!$E$5:$E$52,"&gt;0"),"")</f>
      </c>
      <c r="R42" s="149" t="str">
        <f>IFERROR(SUMIFS(MethodRatings!$F$5:$F$52,MethodRatings!$A$5:$A$52,A42,MethodRatings!$D$5:$D$52,B42,MethodRatings!$F$5:$F$52,"&gt;0")/COUNTIFS(MethodRatings!$A$5:$A$52,A42,MethodRatings!$D$5:$D$52,B42,MethodRatings!$F$5:$F$52,"&gt;0"),"")</f>
      </c>
      <c r="S42" s="149" t="str">
        <f>IFERROR(SUMIFS(MethodRatings!$G$5:$G$52,MethodRatings!$A$5:$A$52,A42,MethodRatings!$D$5:$D$52,B42,MethodRatings!$G$5:$G$52,"&gt;0")/COUNTIFS(MethodRatings!$A$5:$A$52,A42,MethodRatings!$D$5:$D$52,B42,MethodRatings!$G$5:$G$52,"&gt;0"),"")</f>
      </c>
      <c r="T42" s="149" t="str">
        <f>IF(COUNT(Q42:S42)=3,AVERAGE(Q42:S42),"")</f>
      </c>
      <c r="U42" s="149" t="str">
        <f>IFERROR(SUMIFS(MethodRatings!$I$5:$I$52,MethodRatings!$A$5:$A$52,A42,MethodRatings!$D$5:$D$52,B42,MethodRatings!$I$5:$I$52,"&gt;0")/COUNTIFS(MethodRatings!$A$5:$A$52,A42,MethodRatings!$D$5:$D$52,B42,MethodRatings!$I$5:$I$52,"&gt;0"),"")</f>
      </c>
      <c r="V42" s="149" t="str">
        <f>IFERROR(SUMIFS(MethodRatings!$J$5:$J$52,MethodRatings!$A$5:$A$52,A42,MethodRatings!$D$5:$D$52,B42,MethodRatings!$J$5:$J$52,"&gt;0")/COUNTIFS(MethodRatings!$A$5:$A$52,A42,MethodRatings!$D$5:$D$52,B42,MethodRatings!$J$5:$J$52,"&gt;0"),"")</f>
      </c>
      <c r="W42" s="149" t="str">
        <f>IFERROR(SUMIFS(MethodRatings!$K$5:$K$52,MethodRatings!$A$5:$A$52,A42,MethodRatings!$D$5:$D$52,B42,MethodRatings!$K$5:$K$52,"&gt;0")/COUNTIFS(MethodRatings!$A$5:$A$52,A42,MethodRatings!$D$5:$D$52,B42,MethodRatings!$K$5:$K$52,"&gt;0"),"")</f>
      </c>
      <c r="X42" s="149" t="str">
        <f>IF(COUNT(U42:W42)=3,AVERAGE(U42:W42),"")</f>
      </c>
      <c r="Y42" s="149" t="str">
        <f>IFERROR(SUMIFS(MethodRatings!$M$5:$M$52,MethodRatings!$A$5:$A$52,A42,MethodRatings!$D$5:$D$52,B42,MethodRatings!$M$5:$M$52,"&gt;0")/COUNTIFS(MethodRatings!$A$5:$A$52,A42,MethodRatings!$D$5:$D$52,B42,MethodRatings!$M$5:$M$52,"&gt;0"),"")</f>
      </c>
      <c r="Z42" s="149" t="str">
        <f>IFERROR(SUMIFS(MethodRatings!$N$5:$N$52,MethodRatings!$A$5:$A$52,A42,MethodRatings!$D$5:$D$52,B42,MethodRatings!$N$5:$N$52,"&gt;0")/COUNTIFS(MethodRatings!$A$5:$A$52,A42,MethodRatings!$D$5:$D$52,B42,MethodRatings!$N$5:$N$52,"&gt;0"),"")</f>
      </c>
      <c r="AA42" s="149" t="str">
        <f>IFERROR(SUMIFS(MethodRatings!$O$5:$O$52,MethodRatings!$A$5:$A$52,A42,MethodRatings!$D$5:$D$52,B42,MethodRatings!$O$5:$O$52,"&gt;0")/COUNTIFS(MethodRatings!$A$5:$A$52,A42,MethodRatings!$D$5:$D$52,B42,MethodRatings!$O$5:$O$52,"&gt;0"),"")</f>
      </c>
      <c r="AB42" s="149" t="str">
        <f>IF(COUNT(I42:K42)=3,SUM(I42:K42),"")</f>
      </c>
      <c r="AC42" s="149" t="str">
        <f>IF(COUNT(M42:O42)=3,SUM(M42:O42),"")</f>
      </c>
      <c r="AD42" s="149" t="str">
        <f>IF(COUNT(Q42:S42)=3,SUM(Q42:S42),"")</f>
      </c>
      <c r="AE42" s="149" t="str">
        <f>IF(COUNT(U42:W42)=3,SUM(U42:W42),"")</f>
      </c>
      <c r="AF42" s="130" t="str">
        <f>IF((COUNT(F42:K42)+COUNT(M42:O42)+COUNT(Q42:S42)+COUNT(U42:W42)+COUNT(Y42:AA42))=18,"完整","缺失")</f>
        <v>缺失</v>
      </c>
    </row>
    <row r="43">
      <c r="A43" s="90" t="inlineStr">
        <is>
          <t>P015</t>
        </is>
      </c>
      <c r="B43" s="85" t="inlineStr">
        <is>
          <t>One-Euro</t>
        </is>
      </c>
      <c r="C43" s="129" t="str">
        <f>IF(B43=VLOOKUP(A43,Participants!$A$5:$W$28,22,FALSE),"方法A","方法B")</f>
        <v>方法A</v>
      </c>
      <c r="D43" s="129" t="str">
        <f>VLOOKUP(A43,Participants!$A$5:$B$28,2,FALSE)</f>
        <v>是</v>
      </c>
      <c r="E43" s="129" t="n">
        <f>COUNTIFS(TaskRatings!$A$5:$A$148,A43,TaskRatings!$F$5:$F$148,B43,TaskRatings!$O$5:$O$148,"是")</f>
        <v>3</v>
      </c>
      <c r="F43" s="149" t="str">
        <f>IFERROR(SUMIFS(TaskRatings!$H$5:$H$148,TaskRatings!$A$5:$A$148,A43,TaskRatings!$F$5:$F$148,B43,TaskRatings!$O$5:$O$148,"是",TaskRatings!$H$5:$H$148,"&gt;0")/COUNTIFS(TaskRatings!$A$5:$A$148,A43,TaskRatings!$F$5:$F$148,B43,TaskRatings!$O$5:$O$148,"是",TaskRatings!$H$5:$H$148,"&gt;0"),"")</f>
      </c>
      <c r="G43" s="149" t="str">
        <f>IFERROR(SUMIFS(TaskRatings!$J$5:$J$148,TaskRatings!$A$5:$A$148,A43,TaskRatings!$F$5:$F$148,B43,TaskRatings!$O$5:$O$148,"是",TaskRatings!$J$5:$J$148,"&gt;0")/COUNTIFS(TaskRatings!$A$5:$A$148,A43,TaskRatings!$F$5:$F$148,B43,TaskRatings!$O$5:$O$148,"是",TaskRatings!$J$5:$J$148,"&gt;0"),"")</f>
      </c>
      <c r="H43" s="149" t="str">
        <f>IFERROR(SUMIFS(TaskRatings!$L$5:$L$148,TaskRatings!$A$5:$A$148,A43,TaskRatings!$F$5:$F$148,B43,TaskRatings!$O$5:$O$148,"是",TaskRatings!$L$5:$L$148,"&gt;0")/COUNTIFS(TaskRatings!$A$5:$A$148,A43,TaskRatings!$F$5:$F$148,B43,TaskRatings!$O$5:$O$148,"是",TaskRatings!$L$5:$L$148,"&gt;0"),"")</f>
      </c>
      <c r="I43" s="149" t="str">
        <f>IFERROR(SUMIFS(BlockRatings_AQ!$H$5:$H$148,BlockRatings_AQ!$A$5:$A$148,A43,BlockRatings_AQ!$F$5:$F$148,B43,BlockRatings_AQ!$R$5:$R$148,"是",BlockRatings_AQ!$H$5:$H$148,"&gt;0")/COUNTIFS(BlockRatings_AQ!$A$5:$A$148,A43,BlockRatings_AQ!$F$5:$F$148,B43,BlockRatings_AQ!$R$5:$R$148,"是",BlockRatings_AQ!$H$5:$H$148,"&gt;0"),"")</f>
      </c>
      <c r="J43" s="149" t="str">
        <f>IFERROR(SUMIFS(BlockRatings_AQ!$I$5:$I$148,BlockRatings_AQ!$A$5:$A$148,A43,BlockRatings_AQ!$F$5:$F$148,B43,BlockRatings_AQ!$R$5:$R$148,"是",BlockRatings_AQ!$I$5:$I$148,"&gt;0")/COUNTIFS(BlockRatings_AQ!$A$5:$A$148,A43,BlockRatings_AQ!$F$5:$F$148,B43,BlockRatings_AQ!$R$5:$R$148,"是",BlockRatings_AQ!$I$5:$I$148,"&gt;0"),"")</f>
      </c>
      <c r="K43" s="149" t="str">
        <f>IFERROR(SUMIFS(BlockRatings_AQ!$J$5:$J$148,BlockRatings_AQ!$A$5:$A$148,A43,BlockRatings_AQ!$F$5:$F$148,B43,BlockRatings_AQ!$R$5:$R$148,"是",BlockRatings_AQ!$J$5:$J$148,"&gt;0")/COUNTIFS(BlockRatings_AQ!$A$5:$A$148,A43,BlockRatings_AQ!$F$5:$F$148,B43,BlockRatings_AQ!$R$5:$R$148,"是",BlockRatings_AQ!$J$5:$J$148,"&gt;0"),"")</f>
      </c>
      <c r="L43" s="149" t="str">
        <f>IF(COUNT(I43:K43)=3,AVERAGE(I43:K43),"")</f>
      </c>
      <c r="M43" s="149" t="str">
        <f>IFERROR(SUMIFS(BlockRatings_AQ!$L$5:$L$148,BlockRatings_AQ!$A$5:$A$148,A43,BlockRatings_AQ!$F$5:$F$148,B43,BlockRatings_AQ!$R$5:$R$148,"是",BlockRatings_AQ!$L$5:$L$148,"&gt;0")/COUNTIFS(BlockRatings_AQ!$A$5:$A$148,A43,BlockRatings_AQ!$F$5:$F$148,B43,BlockRatings_AQ!$R$5:$R$148,"是",BlockRatings_AQ!$L$5:$L$148,"&gt;0"),"")</f>
      </c>
      <c r="N43" s="149" t="str">
        <f>IFERROR(SUMIFS(BlockRatings_AQ!$M$5:$M$148,BlockRatings_AQ!$A$5:$A$148,A43,BlockRatings_AQ!$F$5:$F$148,B43,BlockRatings_AQ!$R$5:$R$148,"是",BlockRatings_AQ!$M$5:$M$148,"&gt;0")/COUNTIFS(BlockRatings_AQ!$A$5:$A$148,A43,BlockRatings_AQ!$F$5:$F$148,B43,BlockRatings_AQ!$R$5:$R$148,"是",BlockRatings_AQ!$M$5:$M$148,"&gt;0"),"")</f>
      </c>
      <c r="O43" s="149" t="str">
        <f>IFERROR(SUMIFS(BlockRatings_AQ!$N$5:$N$148,BlockRatings_AQ!$A$5:$A$148,A43,BlockRatings_AQ!$F$5:$F$148,B43,BlockRatings_AQ!$R$5:$R$148,"是",BlockRatings_AQ!$N$5:$N$148,"&gt;0")/COUNTIFS(BlockRatings_AQ!$A$5:$A$148,A43,BlockRatings_AQ!$F$5:$F$148,B43,BlockRatings_AQ!$R$5:$R$148,"是",BlockRatings_AQ!$N$5:$N$148,"&gt;0"),"")</f>
      </c>
      <c r="P43" s="149" t="str">
        <f>IF(COUNT(M43:O43)=3,AVERAGE(M43:O43),"")</f>
      </c>
      <c r="Q43" s="149" t="str">
        <f>IFERROR(SUMIFS(MethodRatings!$E$5:$E$52,MethodRatings!$A$5:$A$52,A43,MethodRatings!$D$5:$D$52,B43,MethodRatings!$E$5:$E$52,"&gt;0")/COUNTIFS(MethodRatings!$A$5:$A$52,A43,MethodRatings!$D$5:$D$52,B43,MethodRatings!$E$5:$E$52,"&gt;0"),"")</f>
      </c>
      <c r="R43" s="149" t="str">
        <f>IFERROR(SUMIFS(MethodRatings!$F$5:$F$52,MethodRatings!$A$5:$A$52,A43,MethodRatings!$D$5:$D$52,B43,MethodRatings!$F$5:$F$52,"&gt;0")/COUNTIFS(MethodRatings!$A$5:$A$52,A43,MethodRatings!$D$5:$D$52,B43,MethodRatings!$F$5:$F$52,"&gt;0"),"")</f>
      </c>
      <c r="S43" s="149" t="str">
        <f>IFERROR(SUMIFS(MethodRatings!$G$5:$G$52,MethodRatings!$A$5:$A$52,A43,MethodRatings!$D$5:$D$52,B43,MethodRatings!$G$5:$G$52,"&gt;0")/COUNTIFS(MethodRatings!$A$5:$A$52,A43,MethodRatings!$D$5:$D$52,B43,MethodRatings!$G$5:$G$52,"&gt;0"),"")</f>
      </c>
      <c r="T43" s="149" t="str">
        <f>IF(COUNT(Q43:S43)=3,AVERAGE(Q43:S43),"")</f>
      </c>
      <c r="U43" s="149" t="str">
        <f>IFERROR(SUMIFS(MethodRatings!$I$5:$I$52,MethodRatings!$A$5:$A$52,A43,MethodRatings!$D$5:$D$52,B43,MethodRatings!$I$5:$I$52,"&gt;0")/COUNTIFS(MethodRatings!$A$5:$A$52,A43,MethodRatings!$D$5:$D$52,B43,MethodRatings!$I$5:$I$52,"&gt;0"),"")</f>
      </c>
      <c r="V43" s="149" t="str">
        <f>IFERROR(SUMIFS(MethodRatings!$J$5:$J$52,MethodRatings!$A$5:$A$52,A43,MethodRatings!$D$5:$D$52,B43,MethodRatings!$J$5:$J$52,"&gt;0")/COUNTIFS(MethodRatings!$A$5:$A$52,A43,MethodRatings!$D$5:$D$52,B43,MethodRatings!$J$5:$J$52,"&gt;0"),"")</f>
      </c>
      <c r="W43" s="149" t="str">
        <f>IFERROR(SUMIFS(MethodRatings!$K$5:$K$52,MethodRatings!$A$5:$A$52,A43,MethodRatings!$D$5:$D$52,B43,MethodRatings!$K$5:$K$52,"&gt;0")/COUNTIFS(MethodRatings!$A$5:$A$52,A43,MethodRatings!$D$5:$D$52,B43,MethodRatings!$K$5:$K$52,"&gt;0"),"")</f>
      </c>
      <c r="X43" s="149" t="str">
        <f>IF(COUNT(U43:W43)=3,AVERAGE(U43:W43),"")</f>
      </c>
      <c r="Y43" s="149" t="str">
        <f>IFERROR(SUMIFS(MethodRatings!$M$5:$M$52,MethodRatings!$A$5:$A$52,A43,MethodRatings!$D$5:$D$52,B43,MethodRatings!$M$5:$M$52,"&gt;0")/COUNTIFS(MethodRatings!$A$5:$A$52,A43,MethodRatings!$D$5:$D$52,B43,MethodRatings!$M$5:$M$52,"&gt;0"),"")</f>
      </c>
      <c r="Z43" s="149" t="str">
        <f>IFERROR(SUMIFS(MethodRatings!$N$5:$N$52,MethodRatings!$A$5:$A$52,A43,MethodRatings!$D$5:$D$52,B43,MethodRatings!$N$5:$N$52,"&gt;0")/COUNTIFS(MethodRatings!$A$5:$A$52,A43,MethodRatings!$D$5:$D$52,B43,MethodRatings!$N$5:$N$52,"&gt;0"),"")</f>
      </c>
      <c r="AA43" s="149" t="str">
        <f>IFERROR(SUMIFS(MethodRatings!$O$5:$O$52,MethodRatings!$A$5:$A$52,A43,MethodRatings!$D$5:$D$52,B43,MethodRatings!$O$5:$O$52,"&gt;0")/COUNTIFS(MethodRatings!$A$5:$A$52,A43,MethodRatings!$D$5:$D$52,B43,MethodRatings!$O$5:$O$52,"&gt;0"),"")</f>
      </c>
      <c r="AB43" s="149" t="str">
        <f>IF(COUNT(I43:K43)=3,SUM(I43:K43),"")</f>
      </c>
      <c r="AC43" s="149" t="str">
        <f>IF(COUNT(M43:O43)=3,SUM(M43:O43),"")</f>
      </c>
      <c r="AD43" s="149" t="str">
        <f>IF(COUNT(Q43:S43)=3,SUM(Q43:S43),"")</f>
      </c>
      <c r="AE43" s="149" t="str">
        <f>IF(COUNT(U43:W43)=3,SUM(U43:W43),"")</f>
      </c>
      <c r="AF43" s="130" t="str">
        <f>IF((COUNT(F43:K43)+COUNT(M43:O43)+COUNT(Q43:S43)+COUNT(U43:W43)+COUNT(Y43:AA43))=18,"完整","缺失")</f>
        <v>缺失</v>
      </c>
    </row>
    <row r="44">
      <c r="A44" s="90" t="inlineStr">
        <is>
          <t>P016</t>
        </is>
      </c>
      <c r="B44" s="85" t="inlineStr">
        <is>
          <t>One-Euro</t>
        </is>
      </c>
      <c r="C44" s="129" t="str">
        <f>IF(B44=VLOOKUP(A44,Participants!$A$5:$W$28,22,FALSE),"方法A","方法B")</f>
        <v>方法A</v>
      </c>
      <c r="D44" s="129" t="str">
        <f>VLOOKUP(A44,Participants!$A$5:$B$28,2,FALSE)</f>
        <v>是</v>
      </c>
      <c r="E44" s="129" t="n">
        <f>COUNTIFS(TaskRatings!$A$5:$A$148,A44,TaskRatings!$F$5:$F$148,B44,TaskRatings!$O$5:$O$148,"是")</f>
        <v>3</v>
      </c>
      <c r="F44" s="149" t="str">
        <f>IFERROR(SUMIFS(TaskRatings!$H$5:$H$148,TaskRatings!$A$5:$A$148,A44,TaskRatings!$F$5:$F$148,B44,TaskRatings!$O$5:$O$148,"是",TaskRatings!$H$5:$H$148,"&gt;0")/COUNTIFS(TaskRatings!$A$5:$A$148,A44,TaskRatings!$F$5:$F$148,B44,TaskRatings!$O$5:$O$148,"是",TaskRatings!$H$5:$H$148,"&gt;0"),"")</f>
      </c>
      <c r="G44" s="149" t="str">
        <f>IFERROR(SUMIFS(TaskRatings!$J$5:$J$148,TaskRatings!$A$5:$A$148,A44,TaskRatings!$F$5:$F$148,B44,TaskRatings!$O$5:$O$148,"是",TaskRatings!$J$5:$J$148,"&gt;0")/COUNTIFS(TaskRatings!$A$5:$A$148,A44,TaskRatings!$F$5:$F$148,B44,TaskRatings!$O$5:$O$148,"是",TaskRatings!$J$5:$J$148,"&gt;0"),"")</f>
      </c>
      <c r="H44" s="149" t="str">
        <f>IFERROR(SUMIFS(TaskRatings!$L$5:$L$148,TaskRatings!$A$5:$A$148,A44,TaskRatings!$F$5:$F$148,B44,TaskRatings!$O$5:$O$148,"是",TaskRatings!$L$5:$L$148,"&gt;0")/COUNTIFS(TaskRatings!$A$5:$A$148,A44,TaskRatings!$F$5:$F$148,B44,TaskRatings!$O$5:$O$148,"是",TaskRatings!$L$5:$L$148,"&gt;0"),"")</f>
      </c>
      <c r="I44" s="149" t="str">
        <f>IFERROR(SUMIFS(BlockRatings_AQ!$H$5:$H$148,BlockRatings_AQ!$A$5:$A$148,A44,BlockRatings_AQ!$F$5:$F$148,B44,BlockRatings_AQ!$R$5:$R$148,"是",BlockRatings_AQ!$H$5:$H$148,"&gt;0")/COUNTIFS(BlockRatings_AQ!$A$5:$A$148,A44,BlockRatings_AQ!$F$5:$F$148,B44,BlockRatings_AQ!$R$5:$R$148,"是",BlockRatings_AQ!$H$5:$H$148,"&gt;0"),"")</f>
      </c>
      <c r="J44" s="149" t="str">
        <f>IFERROR(SUMIFS(BlockRatings_AQ!$I$5:$I$148,BlockRatings_AQ!$A$5:$A$148,A44,BlockRatings_AQ!$F$5:$F$148,B44,BlockRatings_AQ!$R$5:$R$148,"是",BlockRatings_AQ!$I$5:$I$148,"&gt;0")/COUNTIFS(BlockRatings_AQ!$A$5:$A$148,A44,BlockRatings_AQ!$F$5:$F$148,B44,BlockRatings_AQ!$R$5:$R$148,"是",BlockRatings_AQ!$I$5:$I$148,"&gt;0"),"")</f>
      </c>
      <c r="K44" s="149" t="str">
        <f>IFERROR(SUMIFS(BlockRatings_AQ!$J$5:$J$148,BlockRatings_AQ!$A$5:$A$148,A44,BlockRatings_AQ!$F$5:$F$148,B44,BlockRatings_AQ!$R$5:$R$148,"是",BlockRatings_AQ!$J$5:$J$148,"&gt;0")/COUNTIFS(BlockRatings_AQ!$A$5:$A$148,A44,BlockRatings_AQ!$F$5:$F$148,B44,BlockRatings_AQ!$R$5:$R$148,"是",BlockRatings_AQ!$J$5:$J$148,"&gt;0"),"")</f>
      </c>
      <c r="L44" s="149" t="str">
        <f>IF(COUNT(I44:K44)=3,AVERAGE(I44:K44),"")</f>
      </c>
      <c r="M44" s="149" t="str">
        <f>IFERROR(SUMIFS(BlockRatings_AQ!$L$5:$L$148,BlockRatings_AQ!$A$5:$A$148,A44,BlockRatings_AQ!$F$5:$F$148,B44,BlockRatings_AQ!$R$5:$R$148,"是",BlockRatings_AQ!$L$5:$L$148,"&gt;0")/COUNTIFS(BlockRatings_AQ!$A$5:$A$148,A44,BlockRatings_AQ!$F$5:$F$148,B44,BlockRatings_AQ!$R$5:$R$148,"是",BlockRatings_AQ!$L$5:$L$148,"&gt;0"),"")</f>
      </c>
      <c r="N44" s="149" t="str">
        <f>IFERROR(SUMIFS(BlockRatings_AQ!$M$5:$M$148,BlockRatings_AQ!$A$5:$A$148,A44,BlockRatings_AQ!$F$5:$F$148,B44,BlockRatings_AQ!$R$5:$R$148,"是",BlockRatings_AQ!$M$5:$M$148,"&gt;0")/COUNTIFS(BlockRatings_AQ!$A$5:$A$148,A44,BlockRatings_AQ!$F$5:$F$148,B44,BlockRatings_AQ!$R$5:$R$148,"是",BlockRatings_AQ!$M$5:$M$148,"&gt;0"),"")</f>
      </c>
      <c r="O44" s="149" t="str">
        <f>IFERROR(SUMIFS(BlockRatings_AQ!$N$5:$N$148,BlockRatings_AQ!$A$5:$A$148,A44,BlockRatings_AQ!$F$5:$F$148,B44,BlockRatings_AQ!$R$5:$R$148,"是",BlockRatings_AQ!$N$5:$N$148,"&gt;0")/COUNTIFS(BlockRatings_AQ!$A$5:$A$148,A44,BlockRatings_AQ!$F$5:$F$148,B44,BlockRatings_AQ!$R$5:$R$148,"是",BlockRatings_AQ!$N$5:$N$148,"&gt;0"),"")</f>
      </c>
      <c r="P44" s="149" t="str">
        <f>IF(COUNT(M44:O44)=3,AVERAGE(M44:O44),"")</f>
      </c>
      <c r="Q44" s="149" t="str">
        <f>IFERROR(SUMIFS(MethodRatings!$E$5:$E$52,MethodRatings!$A$5:$A$52,A44,MethodRatings!$D$5:$D$52,B44,MethodRatings!$E$5:$E$52,"&gt;0")/COUNTIFS(MethodRatings!$A$5:$A$52,A44,MethodRatings!$D$5:$D$52,B44,MethodRatings!$E$5:$E$52,"&gt;0"),"")</f>
      </c>
      <c r="R44" s="149" t="str">
        <f>IFERROR(SUMIFS(MethodRatings!$F$5:$F$52,MethodRatings!$A$5:$A$52,A44,MethodRatings!$D$5:$D$52,B44,MethodRatings!$F$5:$F$52,"&gt;0")/COUNTIFS(MethodRatings!$A$5:$A$52,A44,MethodRatings!$D$5:$D$52,B44,MethodRatings!$F$5:$F$52,"&gt;0"),"")</f>
      </c>
      <c r="S44" s="149" t="str">
        <f>IFERROR(SUMIFS(MethodRatings!$G$5:$G$52,MethodRatings!$A$5:$A$52,A44,MethodRatings!$D$5:$D$52,B44,MethodRatings!$G$5:$G$52,"&gt;0")/COUNTIFS(MethodRatings!$A$5:$A$52,A44,MethodRatings!$D$5:$D$52,B44,MethodRatings!$G$5:$G$52,"&gt;0"),"")</f>
      </c>
      <c r="T44" s="149" t="str">
        <f>IF(COUNT(Q44:S44)=3,AVERAGE(Q44:S44),"")</f>
      </c>
      <c r="U44" s="149" t="str">
        <f>IFERROR(SUMIFS(MethodRatings!$I$5:$I$52,MethodRatings!$A$5:$A$52,A44,MethodRatings!$D$5:$D$52,B44,MethodRatings!$I$5:$I$52,"&gt;0")/COUNTIFS(MethodRatings!$A$5:$A$52,A44,MethodRatings!$D$5:$D$52,B44,MethodRatings!$I$5:$I$52,"&gt;0"),"")</f>
      </c>
      <c r="V44" s="149" t="str">
        <f>IFERROR(SUMIFS(MethodRatings!$J$5:$J$52,MethodRatings!$A$5:$A$52,A44,MethodRatings!$D$5:$D$52,B44,MethodRatings!$J$5:$J$52,"&gt;0")/COUNTIFS(MethodRatings!$A$5:$A$52,A44,MethodRatings!$D$5:$D$52,B44,MethodRatings!$J$5:$J$52,"&gt;0"),"")</f>
      </c>
      <c r="W44" s="149" t="str">
        <f>IFERROR(SUMIFS(MethodRatings!$K$5:$K$52,MethodRatings!$A$5:$A$52,A44,MethodRatings!$D$5:$D$52,B44,MethodRatings!$K$5:$K$52,"&gt;0")/COUNTIFS(MethodRatings!$A$5:$A$52,A44,MethodRatings!$D$5:$D$52,B44,MethodRatings!$K$5:$K$52,"&gt;0"),"")</f>
      </c>
      <c r="X44" s="149" t="str">
        <f>IF(COUNT(U44:W44)=3,AVERAGE(U44:W44),"")</f>
      </c>
      <c r="Y44" s="149" t="str">
        <f>IFERROR(SUMIFS(MethodRatings!$M$5:$M$52,MethodRatings!$A$5:$A$52,A44,MethodRatings!$D$5:$D$52,B44,MethodRatings!$M$5:$M$52,"&gt;0")/COUNTIFS(MethodRatings!$A$5:$A$52,A44,MethodRatings!$D$5:$D$52,B44,MethodRatings!$M$5:$M$52,"&gt;0"),"")</f>
      </c>
      <c r="Z44" s="149" t="str">
        <f>IFERROR(SUMIFS(MethodRatings!$N$5:$N$52,MethodRatings!$A$5:$A$52,A44,MethodRatings!$D$5:$D$52,B44,MethodRatings!$N$5:$N$52,"&gt;0")/COUNTIFS(MethodRatings!$A$5:$A$52,A44,MethodRatings!$D$5:$D$52,B44,MethodRatings!$N$5:$N$52,"&gt;0"),"")</f>
      </c>
      <c r="AA44" s="149" t="str">
        <f>IFERROR(SUMIFS(MethodRatings!$O$5:$O$52,MethodRatings!$A$5:$A$52,A44,MethodRatings!$D$5:$D$52,B44,MethodRatings!$O$5:$O$52,"&gt;0")/COUNTIFS(MethodRatings!$A$5:$A$52,A44,MethodRatings!$D$5:$D$52,B44,MethodRatings!$O$5:$O$52,"&gt;0"),"")</f>
      </c>
      <c r="AB44" s="149" t="str">
        <f>IF(COUNT(I44:K44)=3,SUM(I44:K44),"")</f>
      </c>
      <c r="AC44" s="149" t="str">
        <f>IF(COUNT(M44:O44)=3,SUM(M44:O44),"")</f>
      </c>
      <c r="AD44" s="149" t="str">
        <f>IF(COUNT(Q44:S44)=3,SUM(Q44:S44),"")</f>
      </c>
      <c r="AE44" s="149" t="str">
        <f>IF(COUNT(U44:W44)=3,SUM(U44:W44),"")</f>
      </c>
      <c r="AF44" s="130" t="str">
        <f>IF((COUNT(F44:K44)+COUNT(M44:O44)+COUNT(Q44:S44)+COUNT(U44:W44)+COUNT(Y44:AA44))=18,"完整","缺失")</f>
        <v>缺失</v>
      </c>
    </row>
    <row r="45">
      <c r="A45" s="90" t="inlineStr">
        <is>
          <t>P017</t>
        </is>
      </c>
      <c r="B45" s="85" t="inlineStr">
        <is>
          <t>One-Euro</t>
        </is>
      </c>
      <c r="C45" s="129" t="str">
        <f>IF(B45=VLOOKUP(A45,Participants!$A$5:$W$28,22,FALSE),"方法A","方法B")</f>
        <v>方法A</v>
      </c>
      <c r="D45" s="129" t="str">
        <f>VLOOKUP(A45,Participants!$A$5:$B$28,2,FALSE)</f>
        <v>是</v>
      </c>
      <c r="E45" s="129" t="n">
        <f>COUNTIFS(TaskRatings!$A$5:$A$148,A45,TaskRatings!$F$5:$F$148,B45,TaskRatings!$O$5:$O$148,"是")</f>
        <v>3</v>
      </c>
      <c r="F45" s="149" t="str">
        <f>IFERROR(SUMIFS(TaskRatings!$H$5:$H$148,TaskRatings!$A$5:$A$148,A45,TaskRatings!$F$5:$F$148,B45,TaskRatings!$O$5:$O$148,"是",TaskRatings!$H$5:$H$148,"&gt;0")/COUNTIFS(TaskRatings!$A$5:$A$148,A45,TaskRatings!$F$5:$F$148,B45,TaskRatings!$O$5:$O$148,"是",TaskRatings!$H$5:$H$148,"&gt;0"),"")</f>
      </c>
      <c r="G45" s="149" t="str">
        <f>IFERROR(SUMIFS(TaskRatings!$J$5:$J$148,TaskRatings!$A$5:$A$148,A45,TaskRatings!$F$5:$F$148,B45,TaskRatings!$O$5:$O$148,"是",TaskRatings!$J$5:$J$148,"&gt;0")/COUNTIFS(TaskRatings!$A$5:$A$148,A45,TaskRatings!$F$5:$F$148,B45,TaskRatings!$O$5:$O$148,"是",TaskRatings!$J$5:$J$148,"&gt;0"),"")</f>
      </c>
      <c r="H45" s="149" t="str">
        <f>IFERROR(SUMIFS(TaskRatings!$L$5:$L$148,TaskRatings!$A$5:$A$148,A45,TaskRatings!$F$5:$F$148,B45,TaskRatings!$O$5:$O$148,"是",TaskRatings!$L$5:$L$148,"&gt;0")/COUNTIFS(TaskRatings!$A$5:$A$148,A45,TaskRatings!$F$5:$F$148,B45,TaskRatings!$O$5:$O$148,"是",TaskRatings!$L$5:$L$148,"&gt;0"),"")</f>
      </c>
      <c r="I45" s="149" t="str">
        <f>IFERROR(SUMIFS(BlockRatings_AQ!$H$5:$H$148,BlockRatings_AQ!$A$5:$A$148,A45,BlockRatings_AQ!$F$5:$F$148,B45,BlockRatings_AQ!$R$5:$R$148,"是",BlockRatings_AQ!$H$5:$H$148,"&gt;0")/COUNTIFS(BlockRatings_AQ!$A$5:$A$148,A45,BlockRatings_AQ!$F$5:$F$148,B45,BlockRatings_AQ!$R$5:$R$148,"是",BlockRatings_AQ!$H$5:$H$148,"&gt;0"),"")</f>
      </c>
      <c r="J45" s="149" t="str">
        <f>IFERROR(SUMIFS(BlockRatings_AQ!$I$5:$I$148,BlockRatings_AQ!$A$5:$A$148,A45,BlockRatings_AQ!$F$5:$F$148,B45,BlockRatings_AQ!$R$5:$R$148,"是",BlockRatings_AQ!$I$5:$I$148,"&gt;0")/COUNTIFS(BlockRatings_AQ!$A$5:$A$148,A45,BlockRatings_AQ!$F$5:$F$148,B45,BlockRatings_AQ!$R$5:$R$148,"是",BlockRatings_AQ!$I$5:$I$148,"&gt;0"),"")</f>
      </c>
      <c r="K45" s="149" t="str">
        <f>IFERROR(SUMIFS(BlockRatings_AQ!$J$5:$J$148,BlockRatings_AQ!$A$5:$A$148,A45,BlockRatings_AQ!$F$5:$F$148,B45,BlockRatings_AQ!$R$5:$R$148,"是",BlockRatings_AQ!$J$5:$J$148,"&gt;0")/COUNTIFS(BlockRatings_AQ!$A$5:$A$148,A45,BlockRatings_AQ!$F$5:$F$148,B45,BlockRatings_AQ!$R$5:$R$148,"是",BlockRatings_AQ!$J$5:$J$148,"&gt;0"),"")</f>
      </c>
      <c r="L45" s="149" t="str">
        <f>IF(COUNT(I45:K45)=3,AVERAGE(I45:K45),"")</f>
      </c>
      <c r="M45" s="149" t="str">
        <f>IFERROR(SUMIFS(BlockRatings_AQ!$L$5:$L$148,BlockRatings_AQ!$A$5:$A$148,A45,BlockRatings_AQ!$F$5:$F$148,B45,BlockRatings_AQ!$R$5:$R$148,"是",BlockRatings_AQ!$L$5:$L$148,"&gt;0")/COUNTIFS(BlockRatings_AQ!$A$5:$A$148,A45,BlockRatings_AQ!$F$5:$F$148,B45,BlockRatings_AQ!$R$5:$R$148,"是",BlockRatings_AQ!$L$5:$L$148,"&gt;0"),"")</f>
      </c>
      <c r="N45" s="149" t="str">
        <f>IFERROR(SUMIFS(BlockRatings_AQ!$M$5:$M$148,BlockRatings_AQ!$A$5:$A$148,A45,BlockRatings_AQ!$F$5:$F$148,B45,BlockRatings_AQ!$R$5:$R$148,"是",BlockRatings_AQ!$M$5:$M$148,"&gt;0")/COUNTIFS(BlockRatings_AQ!$A$5:$A$148,A45,BlockRatings_AQ!$F$5:$F$148,B45,BlockRatings_AQ!$R$5:$R$148,"是",BlockRatings_AQ!$M$5:$M$148,"&gt;0"),"")</f>
      </c>
      <c r="O45" s="149" t="str">
        <f>IFERROR(SUMIFS(BlockRatings_AQ!$N$5:$N$148,BlockRatings_AQ!$A$5:$A$148,A45,BlockRatings_AQ!$F$5:$F$148,B45,BlockRatings_AQ!$R$5:$R$148,"是",BlockRatings_AQ!$N$5:$N$148,"&gt;0")/COUNTIFS(BlockRatings_AQ!$A$5:$A$148,A45,BlockRatings_AQ!$F$5:$F$148,B45,BlockRatings_AQ!$R$5:$R$148,"是",BlockRatings_AQ!$N$5:$N$148,"&gt;0"),"")</f>
      </c>
      <c r="P45" s="149" t="str">
        <f>IF(COUNT(M45:O45)=3,AVERAGE(M45:O45),"")</f>
      </c>
      <c r="Q45" s="149" t="str">
        <f>IFERROR(SUMIFS(MethodRatings!$E$5:$E$52,MethodRatings!$A$5:$A$52,A45,MethodRatings!$D$5:$D$52,B45,MethodRatings!$E$5:$E$52,"&gt;0")/COUNTIFS(MethodRatings!$A$5:$A$52,A45,MethodRatings!$D$5:$D$52,B45,MethodRatings!$E$5:$E$52,"&gt;0"),"")</f>
      </c>
      <c r="R45" s="149" t="str">
        <f>IFERROR(SUMIFS(MethodRatings!$F$5:$F$52,MethodRatings!$A$5:$A$52,A45,MethodRatings!$D$5:$D$52,B45,MethodRatings!$F$5:$F$52,"&gt;0")/COUNTIFS(MethodRatings!$A$5:$A$52,A45,MethodRatings!$D$5:$D$52,B45,MethodRatings!$F$5:$F$52,"&gt;0"),"")</f>
      </c>
      <c r="S45" s="149" t="str">
        <f>IFERROR(SUMIFS(MethodRatings!$G$5:$G$52,MethodRatings!$A$5:$A$52,A45,MethodRatings!$D$5:$D$52,B45,MethodRatings!$G$5:$G$52,"&gt;0")/COUNTIFS(MethodRatings!$A$5:$A$52,A45,MethodRatings!$D$5:$D$52,B45,MethodRatings!$G$5:$G$52,"&gt;0"),"")</f>
      </c>
      <c r="T45" s="149" t="str">
        <f>IF(COUNT(Q45:S45)=3,AVERAGE(Q45:S45),"")</f>
      </c>
      <c r="U45" s="149" t="str">
        <f>IFERROR(SUMIFS(MethodRatings!$I$5:$I$52,MethodRatings!$A$5:$A$52,A45,MethodRatings!$D$5:$D$52,B45,MethodRatings!$I$5:$I$52,"&gt;0")/COUNTIFS(MethodRatings!$A$5:$A$52,A45,MethodRatings!$D$5:$D$52,B45,MethodRatings!$I$5:$I$52,"&gt;0"),"")</f>
      </c>
      <c r="V45" s="149" t="str">
        <f>IFERROR(SUMIFS(MethodRatings!$J$5:$J$52,MethodRatings!$A$5:$A$52,A45,MethodRatings!$D$5:$D$52,B45,MethodRatings!$J$5:$J$52,"&gt;0")/COUNTIFS(MethodRatings!$A$5:$A$52,A45,MethodRatings!$D$5:$D$52,B45,MethodRatings!$J$5:$J$52,"&gt;0"),"")</f>
      </c>
      <c r="W45" s="149" t="str">
        <f>IFERROR(SUMIFS(MethodRatings!$K$5:$K$52,MethodRatings!$A$5:$A$52,A45,MethodRatings!$D$5:$D$52,B45,MethodRatings!$K$5:$K$52,"&gt;0")/COUNTIFS(MethodRatings!$A$5:$A$52,A45,MethodRatings!$D$5:$D$52,B45,MethodRatings!$K$5:$K$52,"&gt;0"),"")</f>
      </c>
      <c r="X45" s="149" t="str">
        <f>IF(COUNT(U45:W45)=3,AVERAGE(U45:W45),"")</f>
      </c>
      <c r="Y45" s="149" t="str">
        <f>IFERROR(SUMIFS(MethodRatings!$M$5:$M$52,MethodRatings!$A$5:$A$52,A45,MethodRatings!$D$5:$D$52,B45,MethodRatings!$M$5:$M$52,"&gt;0")/COUNTIFS(MethodRatings!$A$5:$A$52,A45,MethodRatings!$D$5:$D$52,B45,MethodRatings!$M$5:$M$52,"&gt;0"),"")</f>
      </c>
      <c r="Z45" s="149" t="str">
        <f>IFERROR(SUMIFS(MethodRatings!$N$5:$N$52,MethodRatings!$A$5:$A$52,A45,MethodRatings!$D$5:$D$52,B45,MethodRatings!$N$5:$N$52,"&gt;0")/COUNTIFS(MethodRatings!$A$5:$A$52,A45,MethodRatings!$D$5:$D$52,B45,MethodRatings!$N$5:$N$52,"&gt;0"),"")</f>
      </c>
      <c r="AA45" s="149" t="str">
        <f>IFERROR(SUMIFS(MethodRatings!$O$5:$O$52,MethodRatings!$A$5:$A$52,A45,MethodRatings!$D$5:$D$52,B45,MethodRatings!$O$5:$O$52,"&gt;0")/COUNTIFS(MethodRatings!$A$5:$A$52,A45,MethodRatings!$D$5:$D$52,B45,MethodRatings!$O$5:$O$52,"&gt;0"),"")</f>
      </c>
      <c r="AB45" s="149" t="str">
        <f>IF(COUNT(I45:K45)=3,SUM(I45:K45),"")</f>
      </c>
      <c r="AC45" s="149" t="str">
        <f>IF(COUNT(M45:O45)=3,SUM(M45:O45),"")</f>
      </c>
      <c r="AD45" s="149" t="str">
        <f>IF(COUNT(Q45:S45)=3,SUM(Q45:S45),"")</f>
      </c>
      <c r="AE45" s="149" t="str">
        <f>IF(COUNT(U45:W45)=3,SUM(U45:W45),"")</f>
      </c>
      <c r="AF45" s="130" t="str">
        <f>IF((COUNT(F45:K45)+COUNT(M45:O45)+COUNT(Q45:S45)+COUNT(U45:W45)+COUNT(Y45:AA45))=18,"完整","缺失")</f>
        <v>缺失</v>
      </c>
    </row>
    <row r="46">
      <c r="A46" s="90" t="inlineStr">
        <is>
          <t>P018</t>
        </is>
      </c>
      <c r="B46" s="85" t="inlineStr">
        <is>
          <t>One-Euro</t>
        </is>
      </c>
      <c r="C46" s="129" t="str">
        <f>IF(B46=VLOOKUP(A46,Participants!$A$5:$W$28,22,FALSE),"方法A","方法B")</f>
        <v>方法A</v>
      </c>
      <c r="D46" s="129" t="str">
        <f>VLOOKUP(A46,Participants!$A$5:$B$28,2,FALSE)</f>
        <v>是</v>
      </c>
      <c r="E46" s="129" t="n">
        <f>COUNTIFS(TaskRatings!$A$5:$A$148,A46,TaskRatings!$F$5:$F$148,B46,TaskRatings!$O$5:$O$148,"是")</f>
        <v>3</v>
      </c>
      <c r="F46" s="149" t="str">
        <f>IFERROR(SUMIFS(TaskRatings!$H$5:$H$148,TaskRatings!$A$5:$A$148,A46,TaskRatings!$F$5:$F$148,B46,TaskRatings!$O$5:$O$148,"是",TaskRatings!$H$5:$H$148,"&gt;0")/COUNTIFS(TaskRatings!$A$5:$A$148,A46,TaskRatings!$F$5:$F$148,B46,TaskRatings!$O$5:$O$148,"是",TaskRatings!$H$5:$H$148,"&gt;0"),"")</f>
      </c>
      <c r="G46" s="149" t="str">
        <f>IFERROR(SUMIFS(TaskRatings!$J$5:$J$148,TaskRatings!$A$5:$A$148,A46,TaskRatings!$F$5:$F$148,B46,TaskRatings!$O$5:$O$148,"是",TaskRatings!$J$5:$J$148,"&gt;0")/COUNTIFS(TaskRatings!$A$5:$A$148,A46,TaskRatings!$F$5:$F$148,B46,TaskRatings!$O$5:$O$148,"是",TaskRatings!$J$5:$J$148,"&gt;0"),"")</f>
      </c>
      <c r="H46" s="149" t="str">
        <f>IFERROR(SUMIFS(TaskRatings!$L$5:$L$148,TaskRatings!$A$5:$A$148,A46,TaskRatings!$F$5:$F$148,B46,TaskRatings!$O$5:$O$148,"是",TaskRatings!$L$5:$L$148,"&gt;0")/COUNTIFS(TaskRatings!$A$5:$A$148,A46,TaskRatings!$F$5:$F$148,B46,TaskRatings!$O$5:$O$148,"是",TaskRatings!$L$5:$L$148,"&gt;0"),"")</f>
      </c>
      <c r="I46" s="149" t="str">
        <f>IFERROR(SUMIFS(BlockRatings_AQ!$H$5:$H$148,BlockRatings_AQ!$A$5:$A$148,A46,BlockRatings_AQ!$F$5:$F$148,B46,BlockRatings_AQ!$R$5:$R$148,"是",BlockRatings_AQ!$H$5:$H$148,"&gt;0")/COUNTIFS(BlockRatings_AQ!$A$5:$A$148,A46,BlockRatings_AQ!$F$5:$F$148,B46,BlockRatings_AQ!$R$5:$R$148,"是",BlockRatings_AQ!$H$5:$H$148,"&gt;0"),"")</f>
      </c>
      <c r="J46" s="149" t="str">
        <f>IFERROR(SUMIFS(BlockRatings_AQ!$I$5:$I$148,BlockRatings_AQ!$A$5:$A$148,A46,BlockRatings_AQ!$F$5:$F$148,B46,BlockRatings_AQ!$R$5:$R$148,"是",BlockRatings_AQ!$I$5:$I$148,"&gt;0")/COUNTIFS(BlockRatings_AQ!$A$5:$A$148,A46,BlockRatings_AQ!$F$5:$F$148,B46,BlockRatings_AQ!$R$5:$R$148,"是",BlockRatings_AQ!$I$5:$I$148,"&gt;0"),"")</f>
      </c>
      <c r="K46" s="149" t="str">
        <f>IFERROR(SUMIFS(BlockRatings_AQ!$J$5:$J$148,BlockRatings_AQ!$A$5:$A$148,A46,BlockRatings_AQ!$F$5:$F$148,B46,BlockRatings_AQ!$R$5:$R$148,"是",BlockRatings_AQ!$J$5:$J$148,"&gt;0")/COUNTIFS(BlockRatings_AQ!$A$5:$A$148,A46,BlockRatings_AQ!$F$5:$F$148,B46,BlockRatings_AQ!$R$5:$R$148,"是",BlockRatings_AQ!$J$5:$J$148,"&gt;0"),"")</f>
      </c>
      <c r="L46" s="149" t="str">
        <f>IF(COUNT(I46:K46)=3,AVERAGE(I46:K46),"")</f>
      </c>
      <c r="M46" s="149" t="str">
        <f>IFERROR(SUMIFS(BlockRatings_AQ!$L$5:$L$148,BlockRatings_AQ!$A$5:$A$148,A46,BlockRatings_AQ!$F$5:$F$148,B46,BlockRatings_AQ!$R$5:$R$148,"是",BlockRatings_AQ!$L$5:$L$148,"&gt;0")/COUNTIFS(BlockRatings_AQ!$A$5:$A$148,A46,BlockRatings_AQ!$F$5:$F$148,B46,BlockRatings_AQ!$R$5:$R$148,"是",BlockRatings_AQ!$L$5:$L$148,"&gt;0"),"")</f>
      </c>
      <c r="N46" s="149" t="str">
        <f>IFERROR(SUMIFS(BlockRatings_AQ!$M$5:$M$148,BlockRatings_AQ!$A$5:$A$148,A46,BlockRatings_AQ!$F$5:$F$148,B46,BlockRatings_AQ!$R$5:$R$148,"是",BlockRatings_AQ!$M$5:$M$148,"&gt;0")/COUNTIFS(BlockRatings_AQ!$A$5:$A$148,A46,BlockRatings_AQ!$F$5:$F$148,B46,BlockRatings_AQ!$R$5:$R$148,"是",BlockRatings_AQ!$M$5:$M$148,"&gt;0"),"")</f>
      </c>
      <c r="O46" s="149" t="str">
        <f>IFERROR(SUMIFS(BlockRatings_AQ!$N$5:$N$148,BlockRatings_AQ!$A$5:$A$148,A46,BlockRatings_AQ!$F$5:$F$148,B46,BlockRatings_AQ!$R$5:$R$148,"是",BlockRatings_AQ!$N$5:$N$148,"&gt;0")/COUNTIFS(BlockRatings_AQ!$A$5:$A$148,A46,BlockRatings_AQ!$F$5:$F$148,B46,BlockRatings_AQ!$R$5:$R$148,"是",BlockRatings_AQ!$N$5:$N$148,"&gt;0"),"")</f>
      </c>
      <c r="P46" s="149" t="str">
        <f>IF(COUNT(M46:O46)=3,AVERAGE(M46:O46),"")</f>
      </c>
      <c r="Q46" s="149" t="str">
        <f>IFERROR(SUMIFS(MethodRatings!$E$5:$E$52,MethodRatings!$A$5:$A$52,A46,MethodRatings!$D$5:$D$52,B46,MethodRatings!$E$5:$E$52,"&gt;0")/COUNTIFS(MethodRatings!$A$5:$A$52,A46,MethodRatings!$D$5:$D$52,B46,MethodRatings!$E$5:$E$52,"&gt;0"),"")</f>
      </c>
      <c r="R46" s="149" t="str">
        <f>IFERROR(SUMIFS(MethodRatings!$F$5:$F$52,MethodRatings!$A$5:$A$52,A46,MethodRatings!$D$5:$D$52,B46,MethodRatings!$F$5:$F$52,"&gt;0")/COUNTIFS(MethodRatings!$A$5:$A$52,A46,MethodRatings!$D$5:$D$52,B46,MethodRatings!$F$5:$F$52,"&gt;0"),"")</f>
      </c>
      <c r="S46" s="149" t="str">
        <f>IFERROR(SUMIFS(MethodRatings!$G$5:$G$52,MethodRatings!$A$5:$A$52,A46,MethodRatings!$D$5:$D$52,B46,MethodRatings!$G$5:$G$52,"&gt;0")/COUNTIFS(MethodRatings!$A$5:$A$52,A46,MethodRatings!$D$5:$D$52,B46,MethodRatings!$G$5:$G$52,"&gt;0"),"")</f>
      </c>
      <c r="T46" s="149" t="str">
        <f>IF(COUNT(Q46:S46)=3,AVERAGE(Q46:S46),"")</f>
      </c>
      <c r="U46" s="149" t="str">
        <f>IFERROR(SUMIFS(MethodRatings!$I$5:$I$52,MethodRatings!$A$5:$A$52,A46,MethodRatings!$D$5:$D$52,B46,MethodRatings!$I$5:$I$52,"&gt;0")/COUNTIFS(MethodRatings!$A$5:$A$52,A46,MethodRatings!$D$5:$D$52,B46,MethodRatings!$I$5:$I$52,"&gt;0"),"")</f>
      </c>
      <c r="V46" s="149" t="str">
        <f>IFERROR(SUMIFS(MethodRatings!$J$5:$J$52,MethodRatings!$A$5:$A$52,A46,MethodRatings!$D$5:$D$52,B46,MethodRatings!$J$5:$J$52,"&gt;0")/COUNTIFS(MethodRatings!$A$5:$A$52,A46,MethodRatings!$D$5:$D$52,B46,MethodRatings!$J$5:$J$52,"&gt;0"),"")</f>
      </c>
      <c r="W46" s="149" t="str">
        <f>IFERROR(SUMIFS(MethodRatings!$K$5:$K$52,MethodRatings!$A$5:$A$52,A46,MethodRatings!$D$5:$D$52,B46,MethodRatings!$K$5:$K$52,"&gt;0")/COUNTIFS(MethodRatings!$A$5:$A$52,A46,MethodRatings!$D$5:$D$52,B46,MethodRatings!$K$5:$K$52,"&gt;0"),"")</f>
      </c>
      <c r="X46" s="149" t="str">
        <f>IF(COUNT(U46:W46)=3,AVERAGE(U46:W46),"")</f>
      </c>
      <c r="Y46" s="149" t="str">
        <f>IFERROR(SUMIFS(MethodRatings!$M$5:$M$52,MethodRatings!$A$5:$A$52,A46,MethodRatings!$D$5:$D$52,B46,MethodRatings!$M$5:$M$52,"&gt;0")/COUNTIFS(MethodRatings!$A$5:$A$52,A46,MethodRatings!$D$5:$D$52,B46,MethodRatings!$M$5:$M$52,"&gt;0"),"")</f>
      </c>
      <c r="Z46" s="149" t="str">
        <f>IFERROR(SUMIFS(MethodRatings!$N$5:$N$52,MethodRatings!$A$5:$A$52,A46,MethodRatings!$D$5:$D$52,B46,MethodRatings!$N$5:$N$52,"&gt;0")/COUNTIFS(MethodRatings!$A$5:$A$52,A46,MethodRatings!$D$5:$D$52,B46,MethodRatings!$N$5:$N$52,"&gt;0"),"")</f>
      </c>
      <c r="AA46" s="149" t="str">
        <f>IFERROR(SUMIFS(MethodRatings!$O$5:$O$52,MethodRatings!$A$5:$A$52,A46,MethodRatings!$D$5:$D$52,B46,MethodRatings!$O$5:$O$52,"&gt;0")/COUNTIFS(MethodRatings!$A$5:$A$52,A46,MethodRatings!$D$5:$D$52,B46,MethodRatings!$O$5:$O$52,"&gt;0"),"")</f>
      </c>
      <c r="AB46" s="149" t="str">
        <f>IF(COUNT(I46:K46)=3,SUM(I46:K46),"")</f>
      </c>
      <c r="AC46" s="149" t="str">
        <f>IF(COUNT(M46:O46)=3,SUM(M46:O46),"")</f>
      </c>
      <c r="AD46" s="149" t="str">
        <f>IF(COUNT(Q46:S46)=3,SUM(Q46:S46),"")</f>
      </c>
      <c r="AE46" s="149" t="str">
        <f>IF(COUNT(U46:W46)=3,SUM(U46:W46),"")</f>
      </c>
      <c r="AF46" s="130" t="str">
        <f>IF((COUNT(F46:K46)+COUNT(M46:O46)+COUNT(Q46:S46)+COUNT(U46:W46)+COUNT(Y46:AA46))=18,"完整","缺失")</f>
        <v>缺失</v>
      </c>
    </row>
    <row r="47">
      <c r="A47" s="90" t="inlineStr">
        <is>
          <t>P019</t>
        </is>
      </c>
      <c r="B47" s="85" t="inlineStr">
        <is>
          <t>One-Euro</t>
        </is>
      </c>
      <c r="C47" s="129" t="str">
        <f>IF(B47=VLOOKUP(A47,Participants!$A$5:$W$28,22,FALSE),"方法A","方法B")</f>
        <v>方法A</v>
      </c>
      <c r="D47" s="129" t="str">
        <f>VLOOKUP(A47,Participants!$A$5:$B$28,2,FALSE)</f>
        <v>是</v>
      </c>
      <c r="E47" s="129" t="n">
        <f>COUNTIFS(TaskRatings!$A$5:$A$148,A47,TaskRatings!$F$5:$F$148,B47,TaskRatings!$O$5:$O$148,"是")</f>
        <v>3</v>
      </c>
      <c r="F47" s="149" t="str">
        <f>IFERROR(SUMIFS(TaskRatings!$H$5:$H$148,TaskRatings!$A$5:$A$148,A47,TaskRatings!$F$5:$F$148,B47,TaskRatings!$O$5:$O$148,"是",TaskRatings!$H$5:$H$148,"&gt;0")/COUNTIFS(TaskRatings!$A$5:$A$148,A47,TaskRatings!$F$5:$F$148,B47,TaskRatings!$O$5:$O$148,"是",TaskRatings!$H$5:$H$148,"&gt;0"),"")</f>
      </c>
      <c r="G47" s="149" t="str">
        <f>IFERROR(SUMIFS(TaskRatings!$J$5:$J$148,TaskRatings!$A$5:$A$148,A47,TaskRatings!$F$5:$F$148,B47,TaskRatings!$O$5:$O$148,"是",TaskRatings!$J$5:$J$148,"&gt;0")/COUNTIFS(TaskRatings!$A$5:$A$148,A47,TaskRatings!$F$5:$F$148,B47,TaskRatings!$O$5:$O$148,"是",TaskRatings!$J$5:$J$148,"&gt;0"),"")</f>
      </c>
      <c r="H47" s="149" t="str">
        <f>IFERROR(SUMIFS(TaskRatings!$L$5:$L$148,TaskRatings!$A$5:$A$148,A47,TaskRatings!$F$5:$F$148,B47,TaskRatings!$O$5:$O$148,"是",TaskRatings!$L$5:$L$148,"&gt;0")/COUNTIFS(TaskRatings!$A$5:$A$148,A47,TaskRatings!$F$5:$F$148,B47,TaskRatings!$O$5:$O$148,"是",TaskRatings!$L$5:$L$148,"&gt;0"),"")</f>
      </c>
      <c r="I47" s="149" t="str">
        <f>IFERROR(SUMIFS(BlockRatings_AQ!$H$5:$H$148,BlockRatings_AQ!$A$5:$A$148,A47,BlockRatings_AQ!$F$5:$F$148,B47,BlockRatings_AQ!$R$5:$R$148,"是",BlockRatings_AQ!$H$5:$H$148,"&gt;0")/COUNTIFS(BlockRatings_AQ!$A$5:$A$148,A47,BlockRatings_AQ!$F$5:$F$148,B47,BlockRatings_AQ!$R$5:$R$148,"是",BlockRatings_AQ!$H$5:$H$148,"&gt;0"),"")</f>
      </c>
      <c r="J47" s="149" t="str">
        <f>IFERROR(SUMIFS(BlockRatings_AQ!$I$5:$I$148,BlockRatings_AQ!$A$5:$A$148,A47,BlockRatings_AQ!$F$5:$F$148,B47,BlockRatings_AQ!$R$5:$R$148,"是",BlockRatings_AQ!$I$5:$I$148,"&gt;0")/COUNTIFS(BlockRatings_AQ!$A$5:$A$148,A47,BlockRatings_AQ!$F$5:$F$148,B47,BlockRatings_AQ!$R$5:$R$148,"是",BlockRatings_AQ!$I$5:$I$148,"&gt;0"),"")</f>
      </c>
      <c r="K47" s="149" t="str">
        <f>IFERROR(SUMIFS(BlockRatings_AQ!$J$5:$J$148,BlockRatings_AQ!$A$5:$A$148,A47,BlockRatings_AQ!$F$5:$F$148,B47,BlockRatings_AQ!$R$5:$R$148,"是",BlockRatings_AQ!$J$5:$J$148,"&gt;0")/COUNTIFS(BlockRatings_AQ!$A$5:$A$148,A47,BlockRatings_AQ!$F$5:$F$148,B47,BlockRatings_AQ!$R$5:$R$148,"是",BlockRatings_AQ!$J$5:$J$148,"&gt;0"),"")</f>
      </c>
      <c r="L47" s="149" t="str">
        <f>IF(COUNT(I47:K47)=3,AVERAGE(I47:K47),"")</f>
      </c>
      <c r="M47" s="149" t="str">
        <f>IFERROR(SUMIFS(BlockRatings_AQ!$L$5:$L$148,BlockRatings_AQ!$A$5:$A$148,A47,BlockRatings_AQ!$F$5:$F$148,B47,BlockRatings_AQ!$R$5:$R$148,"是",BlockRatings_AQ!$L$5:$L$148,"&gt;0")/COUNTIFS(BlockRatings_AQ!$A$5:$A$148,A47,BlockRatings_AQ!$F$5:$F$148,B47,BlockRatings_AQ!$R$5:$R$148,"是",BlockRatings_AQ!$L$5:$L$148,"&gt;0"),"")</f>
      </c>
      <c r="N47" s="149" t="str">
        <f>IFERROR(SUMIFS(BlockRatings_AQ!$M$5:$M$148,BlockRatings_AQ!$A$5:$A$148,A47,BlockRatings_AQ!$F$5:$F$148,B47,BlockRatings_AQ!$R$5:$R$148,"是",BlockRatings_AQ!$M$5:$M$148,"&gt;0")/COUNTIFS(BlockRatings_AQ!$A$5:$A$148,A47,BlockRatings_AQ!$F$5:$F$148,B47,BlockRatings_AQ!$R$5:$R$148,"是",BlockRatings_AQ!$M$5:$M$148,"&gt;0"),"")</f>
      </c>
      <c r="O47" s="149" t="str">
        <f>IFERROR(SUMIFS(BlockRatings_AQ!$N$5:$N$148,BlockRatings_AQ!$A$5:$A$148,A47,BlockRatings_AQ!$F$5:$F$148,B47,BlockRatings_AQ!$R$5:$R$148,"是",BlockRatings_AQ!$N$5:$N$148,"&gt;0")/COUNTIFS(BlockRatings_AQ!$A$5:$A$148,A47,BlockRatings_AQ!$F$5:$F$148,B47,BlockRatings_AQ!$R$5:$R$148,"是",BlockRatings_AQ!$N$5:$N$148,"&gt;0"),"")</f>
      </c>
      <c r="P47" s="149" t="str">
        <f>IF(COUNT(M47:O47)=3,AVERAGE(M47:O47),"")</f>
      </c>
      <c r="Q47" s="149" t="str">
        <f>IFERROR(SUMIFS(MethodRatings!$E$5:$E$52,MethodRatings!$A$5:$A$52,A47,MethodRatings!$D$5:$D$52,B47,MethodRatings!$E$5:$E$52,"&gt;0")/COUNTIFS(MethodRatings!$A$5:$A$52,A47,MethodRatings!$D$5:$D$52,B47,MethodRatings!$E$5:$E$52,"&gt;0"),"")</f>
      </c>
      <c r="R47" s="149" t="str">
        <f>IFERROR(SUMIFS(MethodRatings!$F$5:$F$52,MethodRatings!$A$5:$A$52,A47,MethodRatings!$D$5:$D$52,B47,MethodRatings!$F$5:$F$52,"&gt;0")/COUNTIFS(MethodRatings!$A$5:$A$52,A47,MethodRatings!$D$5:$D$52,B47,MethodRatings!$F$5:$F$52,"&gt;0"),"")</f>
      </c>
      <c r="S47" s="149" t="str">
        <f>IFERROR(SUMIFS(MethodRatings!$G$5:$G$52,MethodRatings!$A$5:$A$52,A47,MethodRatings!$D$5:$D$52,B47,MethodRatings!$G$5:$G$52,"&gt;0")/COUNTIFS(MethodRatings!$A$5:$A$52,A47,MethodRatings!$D$5:$D$52,B47,MethodRatings!$G$5:$G$52,"&gt;0"),"")</f>
      </c>
      <c r="T47" s="149" t="str">
        <f>IF(COUNT(Q47:S47)=3,AVERAGE(Q47:S47),"")</f>
      </c>
      <c r="U47" s="149" t="str">
        <f>IFERROR(SUMIFS(MethodRatings!$I$5:$I$52,MethodRatings!$A$5:$A$52,A47,MethodRatings!$D$5:$D$52,B47,MethodRatings!$I$5:$I$52,"&gt;0")/COUNTIFS(MethodRatings!$A$5:$A$52,A47,MethodRatings!$D$5:$D$52,B47,MethodRatings!$I$5:$I$52,"&gt;0"),"")</f>
      </c>
      <c r="V47" s="149" t="str">
        <f>IFERROR(SUMIFS(MethodRatings!$J$5:$J$52,MethodRatings!$A$5:$A$52,A47,MethodRatings!$D$5:$D$52,B47,MethodRatings!$J$5:$J$52,"&gt;0")/COUNTIFS(MethodRatings!$A$5:$A$52,A47,MethodRatings!$D$5:$D$52,B47,MethodRatings!$J$5:$J$52,"&gt;0"),"")</f>
      </c>
      <c r="W47" s="149" t="str">
        <f>IFERROR(SUMIFS(MethodRatings!$K$5:$K$52,MethodRatings!$A$5:$A$52,A47,MethodRatings!$D$5:$D$52,B47,MethodRatings!$K$5:$K$52,"&gt;0")/COUNTIFS(MethodRatings!$A$5:$A$52,A47,MethodRatings!$D$5:$D$52,B47,MethodRatings!$K$5:$K$52,"&gt;0"),"")</f>
      </c>
      <c r="X47" s="149" t="str">
        <f>IF(COUNT(U47:W47)=3,AVERAGE(U47:W47),"")</f>
      </c>
      <c r="Y47" s="149" t="str">
        <f>IFERROR(SUMIFS(MethodRatings!$M$5:$M$52,MethodRatings!$A$5:$A$52,A47,MethodRatings!$D$5:$D$52,B47,MethodRatings!$M$5:$M$52,"&gt;0")/COUNTIFS(MethodRatings!$A$5:$A$52,A47,MethodRatings!$D$5:$D$52,B47,MethodRatings!$M$5:$M$52,"&gt;0"),"")</f>
      </c>
      <c r="Z47" s="149" t="str">
        <f>IFERROR(SUMIFS(MethodRatings!$N$5:$N$52,MethodRatings!$A$5:$A$52,A47,MethodRatings!$D$5:$D$52,B47,MethodRatings!$N$5:$N$52,"&gt;0")/COUNTIFS(MethodRatings!$A$5:$A$52,A47,MethodRatings!$D$5:$D$52,B47,MethodRatings!$N$5:$N$52,"&gt;0"),"")</f>
      </c>
      <c r="AA47" s="149" t="str">
        <f>IFERROR(SUMIFS(MethodRatings!$O$5:$O$52,MethodRatings!$A$5:$A$52,A47,MethodRatings!$D$5:$D$52,B47,MethodRatings!$O$5:$O$52,"&gt;0")/COUNTIFS(MethodRatings!$A$5:$A$52,A47,MethodRatings!$D$5:$D$52,B47,MethodRatings!$O$5:$O$52,"&gt;0"),"")</f>
      </c>
      <c r="AB47" s="149" t="str">
        <f>IF(COUNT(I47:K47)=3,SUM(I47:K47),"")</f>
      </c>
      <c r="AC47" s="149" t="str">
        <f>IF(COUNT(M47:O47)=3,SUM(M47:O47),"")</f>
      </c>
      <c r="AD47" s="149" t="str">
        <f>IF(COUNT(Q47:S47)=3,SUM(Q47:S47),"")</f>
      </c>
      <c r="AE47" s="149" t="str">
        <f>IF(COUNT(U47:W47)=3,SUM(U47:W47),"")</f>
      </c>
      <c r="AF47" s="130" t="str">
        <f>IF((COUNT(F47:K47)+COUNT(M47:O47)+COUNT(Q47:S47)+COUNT(U47:W47)+COUNT(Y47:AA47))=18,"完整","缺失")</f>
        <v>缺失</v>
      </c>
    </row>
    <row r="48">
      <c r="A48" s="90" t="inlineStr">
        <is>
          <t>P020</t>
        </is>
      </c>
      <c r="B48" s="85" t="inlineStr">
        <is>
          <t>One-Euro</t>
        </is>
      </c>
      <c r="C48" s="129" t="str">
        <f>IF(B48=VLOOKUP(A48,Participants!$A$5:$W$28,22,FALSE),"方法A","方法B")</f>
        <v>方法A</v>
      </c>
      <c r="D48" s="129" t="str">
        <f>VLOOKUP(A48,Participants!$A$5:$B$28,2,FALSE)</f>
        <v>是</v>
      </c>
      <c r="E48" s="129" t="n">
        <f>COUNTIFS(TaskRatings!$A$5:$A$148,A48,TaskRatings!$F$5:$F$148,B48,TaskRatings!$O$5:$O$148,"是")</f>
        <v>3</v>
      </c>
      <c r="F48" s="149" t="str">
        <f>IFERROR(SUMIFS(TaskRatings!$H$5:$H$148,TaskRatings!$A$5:$A$148,A48,TaskRatings!$F$5:$F$148,B48,TaskRatings!$O$5:$O$148,"是",TaskRatings!$H$5:$H$148,"&gt;0")/COUNTIFS(TaskRatings!$A$5:$A$148,A48,TaskRatings!$F$5:$F$148,B48,TaskRatings!$O$5:$O$148,"是",TaskRatings!$H$5:$H$148,"&gt;0"),"")</f>
      </c>
      <c r="G48" s="149" t="str">
        <f>IFERROR(SUMIFS(TaskRatings!$J$5:$J$148,TaskRatings!$A$5:$A$148,A48,TaskRatings!$F$5:$F$148,B48,TaskRatings!$O$5:$O$148,"是",TaskRatings!$J$5:$J$148,"&gt;0")/COUNTIFS(TaskRatings!$A$5:$A$148,A48,TaskRatings!$F$5:$F$148,B48,TaskRatings!$O$5:$O$148,"是",TaskRatings!$J$5:$J$148,"&gt;0"),"")</f>
      </c>
      <c r="H48" s="149" t="str">
        <f>IFERROR(SUMIFS(TaskRatings!$L$5:$L$148,TaskRatings!$A$5:$A$148,A48,TaskRatings!$F$5:$F$148,B48,TaskRatings!$O$5:$O$148,"是",TaskRatings!$L$5:$L$148,"&gt;0")/COUNTIFS(TaskRatings!$A$5:$A$148,A48,TaskRatings!$F$5:$F$148,B48,TaskRatings!$O$5:$O$148,"是",TaskRatings!$L$5:$L$148,"&gt;0"),"")</f>
      </c>
      <c r="I48" s="149" t="str">
        <f>IFERROR(SUMIFS(BlockRatings_AQ!$H$5:$H$148,BlockRatings_AQ!$A$5:$A$148,A48,BlockRatings_AQ!$F$5:$F$148,B48,BlockRatings_AQ!$R$5:$R$148,"是",BlockRatings_AQ!$H$5:$H$148,"&gt;0")/COUNTIFS(BlockRatings_AQ!$A$5:$A$148,A48,BlockRatings_AQ!$F$5:$F$148,B48,BlockRatings_AQ!$R$5:$R$148,"是",BlockRatings_AQ!$H$5:$H$148,"&gt;0"),"")</f>
      </c>
      <c r="J48" s="149" t="str">
        <f>IFERROR(SUMIFS(BlockRatings_AQ!$I$5:$I$148,BlockRatings_AQ!$A$5:$A$148,A48,BlockRatings_AQ!$F$5:$F$148,B48,BlockRatings_AQ!$R$5:$R$148,"是",BlockRatings_AQ!$I$5:$I$148,"&gt;0")/COUNTIFS(BlockRatings_AQ!$A$5:$A$148,A48,BlockRatings_AQ!$F$5:$F$148,B48,BlockRatings_AQ!$R$5:$R$148,"是",BlockRatings_AQ!$I$5:$I$148,"&gt;0"),"")</f>
      </c>
      <c r="K48" s="149" t="str">
        <f>IFERROR(SUMIFS(BlockRatings_AQ!$J$5:$J$148,BlockRatings_AQ!$A$5:$A$148,A48,BlockRatings_AQ!$F$5:$F$148,B48,BlockRatings_AQ!$R$5:$R$148,"是",BlockRatings_AQ!$J$5:$J$148,"&gt;0")/COUNTIFS(BlockRatings_AQ!$A$5:$A$148,A48,BlockRatings_AQ!$F$5:$F$148,B48,BlockRatings_AQ!$R$5:$R$148,"是",BlockRatings_AQ!$J$5:$J$148,"&gt;0"),"")</f>
      </c>
      <c r="L48" s="149" t="str">
        <f>IF(COUNT(I48:K48)=3,AVERAGE(I48:K48),"")</f>
      </c>
      <c r="M48" s="149" t="str">
        <f>IFERROR(SUMIFS(BlockRatings_AQ!$L$5:$L$148,BlockRatings_AQ!$A$5:$A$148,A48,BlockRatings_AQ!$F$5:$F$148,B48,BlockRatings_AQ!$R$5:$R$148,"是",BlockRatings_AQ!$L$5:$L$148,"&gt;0")/COUNTIFS(BlockRatings_AQ!$A$5:$A$148,A48,BlockRatings_AQ!$F$5:$F$148,B48,BlockRatings_AQ!$R$5:$R$148,"是",BlockRatings_AQ!$L$5:$L$148,"&gt;0"),"")</f>
      </c>
      <c r="N48" s="149" t="str">
        <f>IFERROR(SUMIFS(BlockRatings_AQ!$M$5:$M$148,BlockRatings_AQ!$A$5:$A$148,A48,BlockRatings_AQ!$F$5:$F$148,B48,BlockRatings_AQ!$R$5:$R$148,"是",BlockRatings_AQ!$M$5:$M$148,"&gt;0")/COUNTIFS(BlockRatings_AQ!$A$5:$A$148,A48,BlockRatings_AQ!$F$5:$F$148,B48,BlockRatings_AQ!$R$5:$R$148,"是",BlockRatings_AQ!$M$5:$M$148,"&gt;0"),"")</f>
      </c>
      <c r="O48" s="149" t="str">
        <f>IFERROR(SUMIFS(BlockRatings_AQ!$N$5:$N$148,BlockRatings_AQ!$A$5:$A$148,A48,BlockRatings_AQ!$F$5:$F$148,B48,BlockRatings_AQ!$R$5:$R$148,"是",BlockRatings_AQ!$N$5:$N$148,"&gt;0")/COUNTIFS(BlockRatings_AQ!$A$5:$A$148,A48,BlockRatings_AQ!$F$5:$F$148,B48,BlockRatings_AQ!$R$5:$R$148,"是",BlockRatings_AQ!$N$5:$N$148,"&gt;0"),"")</f>
      </c>
      <c r="P48" s="149" t="str">
        <f>IF(COUNT(M48:O48)=3,AVERAGE(M48:O48),"")</f>
      </c>
      <c r="Q48" s="149" t="str">
        <f>IFERROR(SUMIFS(MethodRatings!$E$5:$E$52,MethodRatings!$A$5:$A$52,A48,MethodRatings!$D$5:$D$52,B48,MethodRatings!$E$5:$E$52,"&gt;0")/COUNTIFS(MethodRatings!$A$5:$A$52,A48,MethodRatings!$D$5:$D$52,B48,MethodRatings!$E$5:$E$52,"&gt;0"),"")</f>
      </c>
      <c r="R48" s="149" t="str">
        <f>IFERROR(SUMIFS(MethodRatings!$F$5:$F$52,MethodRatings!$A$5:$A$52,A48,MethodRatings!$D$5:$D$52,B48,MethodRatings!$F$5:$F$52,"&gt;0")/COUNTIFS(MethodRatings!$A$5:$A$52,A48,MethodRatings!$D$5:$D$52,B48,MethodRatings!$F$5:$F$52,"&gt;0"),"")</f>
      </c>
      <c r="S48" s="149" t="str">
        <f>IFERROR(SUMIFS(MethodRatings!$G$5:$G$52,MethodRatings!$A$5:$A$52,A48,MethodRatings!$D$5:$D$52,B48,MethodRatings!$G$5:$G$52,"&gt;0")/COUNTIFS(MethodRatings!$A$5:$A$52,A48,MethodRatings!$D$5:$D$52,B48,MethodRatings!$G$5:$G$52,"&gt;0"),"")</f>
      </c>
      <c r="T48" s="149" t="str">
        <f>IF(COUNT(Q48:S48)=3,AVERAGE(Q48:S48),"")</f>
      </c>
      <c r="U48" s="149" t="str">
        <f>IFERROR(SUMIFS(MethodRatings!$I$5:$I$52,MethodRatings!$A$5:$A$52,A48,MethodRatings!$D$5:$D$52,B48,MethodRatings!$I$5:$I$52,"&gt;0")/COUNTIFS(MethodRatings!$A$5:$A$52,A48,MethodRatings!$D$5:$D$52,B48,MethodRatings!$I$5:$I$52,"&gt;0"),"")</f>
      </c>
      <c r="V48" s="149" t="str">
        <f>IFERROR(SUMIFS(MethodRatings!$J$5:$J$52,MethodRatings!$A$5:$A$52,A48,MethodRatings!$D$5:$D$52,B48,MethodRatings!$J$5:$J$52,"&gt;0")/COUNTIFS(MethodRatings!$A$5:$A$52,A48,MethodRatings!$D$5:$D$52,B48,MethodRatings!$J$5:$J$52,"&gt;0"),"")</f>
      </c>
      <c r="W48" s="149" t="str">
        <f>IFERROR(SUMIFS(MethodRatings!$K$5:$K$52,MethodRatings!$A$5:$A$52,A48,MethodRatings!$D$5:$D$52,B48,MethodRatings!$K$5:$K$52,"&gt;0")/COUNTIFS(MethodRatings!$A$5:$A$52,A48,MethodRatings!$D$5:$D$52,B48,MethodRatings!$K$5:$K$52,"&gt;0"),"")</f>
      </c>
      <c r="X48" s="149" t="str">
        <f>IF(COUNT(U48:W48)=3,AVERAGE(U48:W48),"")</f>
      </c>
      <c r="Y48" s="149" t="str">
        <f>IFERROR(SUMIFS(MethodRatings!$M$5:$M$52,MethodRatings!$A$5:$A$52,A48,MethodRatings!$D$5:$D$52,B48,MethodRatings!$M$5:$M$52,"&gt;0")/COUNTIFS(MethodRatings!$A$5:$A$52,A48,MethodRatings!$D$5:$D$52,B48,MethodRatings!$M$5:$M$52,"&gt;0"),"")</f>
      </c>
      <c r="Z48" s="149" t="str">
        <f>IFERROR(SUMIFS(MethodRatings!$N$5:$N$52,MethodRatings!$A$5:$A$52,A48,MethodRatings!$D$5:$D$52,B48,MethodRatings!$N$5:$N$52,"&gt;0")/COUNTIFS(MethodRatings!$A$5:$A$52,A48,MethodRatings!$D$5:$D$52,B48,MethodRatings!$N$5:$N$52,"&gt;0"),"")</f>
      </c>
      <c r="AA48" s="149" t="str">
        <f>IFERROR(SUMIFS(MethodRatings!$O$5:$O$52,MethodRatings!$A$5:$A$52,A48,MethodRatings!$D$5:$D$52,B48,MethodRatings!$O$5:$O$52,"&gt;0")/COUNTIFS(MethodRatings!$A$5:$A$52,A48,MethodRatings!$D$5:$D$52,B48,MethodRatings!$O$5:$O$52,"&gt;0"),"")</f>
      </c>
      <c r="AB48" s="149" t="str">
        <f>IF(COUNT(I48:K48)=3,SUM(I48:K48),"")</f>
      </c>
      <c r="AC48" s="149" t="str">
        <f>IF(COUNT(M48:O48)=3,SUM(M48:O48),"")</f>
      </c>
      <c r="AD48" s="149" t="str">
        <f>IF(COUNT(Q48:S48)=3,SUM(Q48:S48),"")</f>
      </c>
      <c r="AE48" s="149" t="str">
        <f>IF(COUNT(U48:W48)=3,SUM(U48:W48),"")</f>
      </c>
      <c r="AF48" s="130" t="str">
        <f>IF((COUNT(F48:K48)+COUNT(M48:O48)+COUNT(Q48:S48)+COUNT(U48:W48)+COUNT(Y48:AA48))=18,"完整","缺失")</f>
        <v>缺失</v>
      </c>
    </row>
    <row r="49">
      <c r="A49" s="90" t="inlineStr">
        <is>
          <t>P021</t>
        </is>
      </c>
      <c r="B49" s="85" t="inlineStr">
        <is>
          <t>One-Euro</t>
        </is>
      </c>
      <c r="C49" s="129" t="str">
        <f>IF(B49=VLOOKUP(A49,Participants!$A$5:$W$28,22,FALSE),"方法A","方法B")</f>
        <v>方法A</v>
      </c>
      <c r="D49" s="129" t="str">
        <f>VLOOKUP(A49,Participants!$A$5:$B$28,2,FALSE)</f>
        <v>是</v>
      </c>
      <c r="E49" s="129" t="n">
        <f>COUNTIFS(TaskRatings!$A$5:$A$148,A49,TaskRatings!$F$5:$F$148,B49,TaskRatings!$O$5:$O$148,"是")</f>
        <v>3</v>
      </c>
      <c r="F49" s="149" t="str">
        <f>IFERROR(SUMIFS(TaskRatings!$H$5:$H$148,TaskRatings!$A$5:$A$148,A49,TaskRatings!$F$5:$F$148,B49,TaskRatings!$O$5:$O$148,"是",TaskRatings!$H$5:$H$148,"&gt;0")/COUNTIFS(TaskRatings!$A$5:$A$148,A49,TaskRatings!$F$5:$F$148,B49,TaskRatings!$O$5:$O$148,"是",TaskRatings!$H$5:$H$148,"&gt;0"),"")</f>
      </c>
      <c r="G49" s="149" t="str">
        <f>IFERROR(SUMIFS(TaskRatings!$J$5:$J$148,TaskRatings!$A$5:$A$148,A49,TaskRatings!$F$5:$F$148,B49,TaskRatings!$O$5:$O$148,"是",TaskRatings!$J$5:$J$148,"&gt;0")/COUNTIFS(TaskRatings!$A$5:$A$148,A49,TaskRatings!$F$5:$F$148,B49,TaskRatings!$O$5:$O$148,"是",TaskRatings!$J$5:$J$148,"&gt;0"),"")</f>
      </c>
      <c r="H49" s="149" t="str">
        <f>IFERROR(SUMIFS(TaskRatings!$L$5:$L$148,TaskRatings!$A$5:$A$148,A49,TaskRatings!$F$5:$F$148,B49,TaskRatings!$O$5:$O$148,"是",TaskRatings!$L$5:$L$148,"&gt;0")/COUNTIFS(TaskRatings!$A$5:$A$148,A49,TaskRatings!$F$5:$F$148,B49,TaskRatings!$O$5:$O$148,"是",TaskRatings!$L$5:$L$148,"&gt;0"),"")</f>
      </c>
      <c r="I49" s="149" t="str">
        <f>IFERROR(SUMIFS(BlockRatings_AQ!$H$5:$H$148,BlockRatings_AQ!$A$5:$A$148,A49,BlockRatings_AQ!$F$5:$F$148,B49,BlockRatings_AQ!$R$5:$R$148,"是",BlockRatings_AQ!$H$5:$H$148,"&gt;0")/COUNTIFS(BlockRatings_AQ!$A$5:$A$148,A49,BlockRatings_AQ!$F$5:$F$148,B49,BlockRatings_AQ!$R$5:$R$148,"是",BlockRatings_AQ!$H$5:$H$148,"&gt;0"),"")</f>
      </c>
      <c r="J49" s="149" t="str">
        <f>IFERROR(SUMIFS(BlockRatings_AQ!$I$5:$I$148,BlockRatings_AQ!$A$5:$A$148,A49,BlockRatings_AQ!$F$5:$F$148,B49,BlockRatings_AQ!$R$5:$R$148,"是",BlockRatings_AQ!$I$5:$I$148,"&gt;0")/COUNTIFS(BlockRatings_AQ!$A$5:$A$148,A49,BlockRatings_AQ!$F$5:$F$148,B49,BlockRatings_AQ!$R$5:$R$148,"是",BlockRatings_AQ!$I$5:$I$148,"&gt;0"),"")</f>
      </c>
      <c r="K49" s="149" t="str">
        <f>IFERROR(SUMIFS(BlockRatings_AQ!$J$5:$J$148,BlockRatings_AQ!$A$5:$A$148,A49,BlockRatings_AQ!$F$5:$F$148,B49,BlockRatings_AQ!$R$5:$R$148,"是",BlockRatings_AQ!$J$5:$J$148,"&gt;0")/COUNTIFS(BlockRatings_AQ!$A$5:$A$148,A49,BlockRatings_AQ!$F$5:$F$148,B49,BlockRatings_AQ!$R$5:$R$148,"是",BlockRatings_AQ!$J$5:$J$148,"&gt;0"),"")</f>
      </c>
      <c r="L49" s="149" t="str">
        <f>IF(COUNT(I49:K49)=3,AVERAGE(I49:K49),"")</f>
      </c>
      <c r="M49" s="149" t="str">
        <f>IFERROR(SUMIFS(BlockRatings_AQ!$L$5:$L$148,BlockRatings_AQ!$A$5:$A$148,A49,BlockRatings_AQ!$F$5:$F$148,B49,BlockRatings_AQ!$R$5:$R$148,"是",BlockRatings_AQ!$L$5:$L$148,"&gt;0")/COUNTIFS(BlockRatings_AQ!$A$5:$A$148,A49,BlockRatings_AQ!$F$5:$F$148,B49,BlockRatings_AQ!$R$5:$R$148,"是",BlockRatings_AQ!$L$5:$L$148,"&gt;0"),"")</f>
      </c>
      <c r="N49" s="149" t="str">
        <f>IFERROR(SUMIFS(BlockRatings_AQ!$M$5:$M$148,BlockRatings_AQ!$A$5:$A$148,A49,BlockRatings_AQ!$F$5:$F$148,B49,BlockRatings_AQ!$R$5:$R$148,"是",BlockRatings_AQ!$M$5:$M$148,"&gt;0")/COUNTIFS(BlockRatings_AQ!$A$5:$A$148,A49,BlockRatings_AQ!$F$5:$F$148,B49,BlockRatings_AQ!$R$5:$R$148,"是",BlockRatings_AQ!$M$5:$M$148,"&gt;0"),"")</f>
      </c>
      <c r="O49" s="149" t="str">
        <f>IFERROR(SUMIFS(BlockRatings_AQ!$N$5:$N$148,BlockRatings_AQ!$A$5:$A$148,A49,BlockRatings_AQ!$F$5:$F$148,B49,BlockRatings_AQ!$R$5:$R$148,"是",BlockRatings_AQ!$N$5:$N$148,"&gt;0")/COUNTIFS(BlockRatings_AQ!$A$5:$A$148,A49,BlockRatings_AQ!$F$5:$F$148,B49,BlockRatings_AQ!$R$5:$R$148,"是",BlockRatings_AQ!$N$5:$N$148,"&gt;0"),"")</f>
      </c>
      <c r="P49" s="149" t="str">
        <f>IF(COUNT(M49:O49)=3,AVERAGE(M49:O49),"")</f>
      </c>
      <c r="Q49" s="149" t="str">
        <f>IFERROR(SUMIFS(MethodRatings!$E$5:$E$52,MethodRatings!$A$5:$A$52,A49,MethodRatings!$D$5:$D$52,B49,MethodRatings!$E$5:$E$52,"&gt;0")/COUNTIFS(MethodRatings!$A$5:$A$52,A49,MethodRatings!$D$5:$D$52,B49,MethodRatings!$E$5:$E$52,"&gt;0"),"")</f>
      </c>
      <c r="R49" s="149" t="str">
        <f>IFERROR(SUMIFS(MethodRatings!$F$5:$F$52,MethodRatings!$A$5:$A$52,A49,MethodRatings!$D$5:$D$52,B49,MethodRatings!$F$5:$F$52,"&gt;0")/COUNTIFS(MethodRatings!$A$5:$A$52,A49,MethodRatings!$D$5:$D$52,B49,MethodRatings!$F$5:$F$52,"&gt;0"),"")</f>
      </c>
      <c r="S49" s="149" t="str">
        <f>IFERROR(SUMIFS(MethodRatings!$G$5:$G$52,MethodRatings!$A$5:$A$52,A49,MethodRatings!$D$5:$D$52,B49,MethodRatings!$G$5:$G$52,"&gt;0")/COUNTIFS(MethodRatings!$A$5:$A$52,A49,MethodRatings!$D$5:$D$52,B49,MethodRatings!$G$5:$G$52,"&gt;0"),"")</f>
      </c>
      <c r="T49" s="149" t="str">
        <f>IF(COUNT(Q49:S49)=3,AVERAGE(Q49:S49),"")</f>
      </c>
      <c r="U49" s="149" t="str">
        <f>IFERROR(SUMIFS(MethodRatings!$I$5:$I$52,MethodRatings!$A$5:$A$52,A49,MethodRatings!$D$5:$D$52,B49,MethodRatings!$I$5:$I$52,"&gt;0")/COUNTIFS(MethodRatings!$A$5:$A$52,A49,MethodRatings!$D$5:$D$52,B49,MethodRatings!$I$5:$I$52,"&gt;0"),"")</f>
      </c>
      <c r="V49" s="149" t="str">
        <f>IFERROR(SUMIFS(MethodRatings!$J$5:$J$52,MethodRatings!$A$5:$A$52,A49,MethodRatings!$D$5:$D$52,B49,MethodRatings!$J$5:$J$52,"&gt;0")/COUNTIFS(MethodRatings!$A$5:$A$52,A49,MethodRatings!$D$5:$D$52,B49,MethodRatings!$J$5:$J$52,"&gt;0"),"")</f>
      </c>
      <c r="W49" s="149" t="str">
        <f>IFERROR(SUMIFS(MethodRatings!$K$5:$K$52,MethodRatings!$A$5:$A$52,A49,MethodRatings!$D$5:$D$52,B49,MethodRatings!$K$5:$K$52,"&gt;0")/COUNTIFS(MethodRatings!$A$5:$A$52,A49,MethodRatings!$D$5:$D$52,B49,MethodRatings!$K$5:$K$52,"&gt;0"),"")</f>
      </c>
      <c r="X49" s="149" t="str">
        <f>IF(COUNT(U49:W49)=3,AVERAGE(U49:W49),"")</f>
      </c>
      <c r="Y49" s="149" t="str">
        <f>IFERROR(SUMIFS(MethodRatings!$M$5:$M$52,MethodRatings!$A$5:$A$52,A49,MethodRatings!$D$5:$D$52,B49,MethodRatings!$M$5:$M$52,"&gt;0")/COUNTIFS(MethodRatings!$A$5:$A$52,A49,MethodRatings!$D$5:$D$52,B49,MethodRatings!$M$5:$M$52,"&gt;0"),"")</f>
      </c>
      <c r="Z49" s="149" t="str">
        <f>IFERROR(SUMIFS(MethodRatings!$N$5:$N$52,MethodRatings!$A$5:$A$52,A49,MethodRatings!$D$5:$D$52,B49,MethodRatings!$N$5:$N$52,"&gt;0")/COUNTIFS(MethodRatings!$A$5:$A$52,A49,MethodRatings!$D$5:$D$52,B49,MethodRatings!$N$5:$N$52,"&gt;0"),"")</f>
      </c>
      <c r="AA49" s="149" t="str">
        <f>IFERROR(SUMIFS(MethodRatings!$O$5:$O$52,MethodRatings!$A$5:$A$52,A49,MethodRatings!$D$5:$D$52,B49,MethodRatings!$O$5:$O$52,"&gt;0")/COUNTIFS(MethodRatings!$A$5:$A$52,A49,MethodRatings!$D$5:$D$52,B49,MethodRatings!$O$5:$O$52,"&gt;0"),"")</f>
      </c>
      <c r="AB49" s="149" t="str">
        <f>IF(COUNT(I49:K49)=3,SUM(I49:K49),"")</f>
      </c>
      <c r="AC49" s="149" t="str">
        <f>IF(COUNT(M49:O49)=3,SUM(M49:O49),"")</f>
      </c>
      <c r="AD49" s="149" t="str">
        <f>IF(COUNT(Q49:S49)=3,SUM(Q49:S49),"")</f>
      </c>
      <c r="AE49" s="149" t="str">
        <f>IF(COUNT(U49:W49)=3,SUM(U49:W49),"")</f>
      </c>
      <c r="AF49" s="130" t="str">
        <f>IF((COUNT(F49:K49)+COUNT(M49:O49)+COUNT(Q49:S49)+COUNT(U49:W49)+COUNT(Y49:AA49))=18,"完整","缺失")</f>
        <v>缺失</v>
      </c>
    </row>
    <row r="50">
      <c r="A50" s="90" t="inlineStr">
        <is>
          <t>P022</t>
        </is>
      </c>
      <c r="B50" s="85" t="inlineStr">
        <is>
          <t>One-Euro</t>
        </is>
      </c>
      <c r="C50" s="129" t="str">
        <f>IF(B50=VLOOKUP(A50,Participants!$A$5:$W$28,22,FALSE),"方法A","方法B")</f>
        <v>方法A</v>
      </c>
      <c r="D50" s="129" t="str">
        <f>VLOOKUP(A50,Participants!$A$5:$B$28,2,FALSE)</f>
        <v>是</v>
      </c>
      <c r="E50" s="129" t="n">
        <f>COUNTIFS(TaskRatings!$A$5:$A$148,A50,TaskRatings!$F$5:$F$148,B50,TaskRatings!$O$5:$O$148,"是")</f>
        <v>3</v>
      </c>
      <c r="F50" s="149" t="str">
        <f>IFERROR(SUMIFS(TaskRatings!$H$5:$H$148,TaskRatings!$A$5:$A$148,A50,TaskRatings!$F$5:$F$148,B50,TaskRatings!$O$5:$O$148,"是",TaskRatings!$H$5:$H$148,"&gt;0")/COUNTIFS(TaskRatings!$A$5:$A$148,A50,TaskRatings!$F$5:$F$148,B50,TaskRatings!$O$5:$O$148,"是",TaskRatings!$H$5:$H$148,"&gt;0"),"")</f>
      </c>
      <c r="G50" s="149" t="str">
        <f>IFERROR(SUMIFS(TaskRatings!$J$5:$J$148,TaskRatings!$A$5:$A$148,A50,TaskRatings!$F$5:$F$148,B50,TaskRatings!$O$5:$O$148,"是",TaskRatings!$J$5:$J$148,"&gt;0")/COUNTIFS(TaskRatings!$A$5:$A$148,A50,TaskRatings!$F$5:$F$148,B50,TaskRatings!$O$5:$O$148,"是",TaskRatings!$J$5:$J$148,"&gt;0"),"")</f>
      </c>
      <c r="H50" s="149" t="str">
        <f>IFERROR(SUMIFS(TaskRatings!$L$5:$L$148,TaskRatings!$A$5:$A$148,A50,TaskRatings!$F$5:$F$148,B50,TaskRatings!$O$5:$O$148,"是",TaskRatings!$L$5:$L$148,"&gt;0")/COUNTIFS(TaskRatings!$A$5:$A$148,A50,TaskRatings!$F$5:$F$148,B50,TaskRatings!$O$5:$O$148,"是",TaskRatings!$L$5:$L$148,"&gt;0"),"")</f>
      </c>
      <c r="I50" s="149" t="str">
        <f>IFERROR(SUMIFS(BlockRatings_AQ!$H$5:$H$148,BlockRatings_AQ!$A$5:$A$148,A50,BlockRatings_AQ!$F$5:$F$148,B50,BlockRatings_AQ!$R$5:$R$148,"是",BlockRatings_AQ!$H$5:$H$148,"&gt;0")/COUNTIFS(BlockRatings_AQ!$A$5:$A$148,A50,BlockRatings_AQ!$F$5:$F$148,B50,BlockRatings_AQ!$R$5:$R$148,"是",BlockRatings_AQ!$H$5:$H$148,"&gt;0"),"")</f>
      </c>
      <c r="J50" s="149" t="str">
        <f>IFERROR(SUMIFS(BlockRatings_AQ!$I$5:$I$148,BlockRatings_AQ!$A$5:$A$148,A50,BlockRatings_AQ!$F$5:$F$148,B50,BlockRatings_AQ!$R$5:$R$148,"是",BlockRatings_AQ!$I$5:$I$148,"&gt;0")/COUNTIFS(BlockRatings_AQ!$A$5:$A$148,A50,BlockRatings_AQ!$F$5:$F$148,B50,BlockRatings_AQ!$R$5:$R$148,"是",BlockRatings_AQ!$I$5:$I$148,"&gt;0"),"")</f>
      </c>
      <c r="K50" s="149" t="str">
        <f>IFERROR(SUMIFS(BlockRatings_AQ!$J$5:$J$148,BlockRatings_AQ!$A$5:$A$148,A50,BlockRatings_AQ!$F$5:$F$148,B50,BlockRatings_AQ!$R$5:$R$148,"是",BlockRatings_AQ!$J$5:$J$148,"&gt;0")/COUNTIFS(BlockRatings_AQ!$A$5:$A$148,A50,BlockRatings_AQ!$F$5:$F$148,B50,BlockRatings_AQ!$R$5:$R$148,"是",BlockRatings_AQ!$J$5:$J$148,"&gt;0"),"")</f>
      </c>
      <c r="L50" s="149" t="str">
        <f>IF(COUNT(I50:K50)=3,AVERAGE(I50:K50),"")</f>
      </c>
      <c r="M50" s="149" t="str">
        <f>IFERROR(SUMIFS(BlockRatings_AQ!$L$5:$L$148,BlockRatings_AQ!$A$5:$A$148,A50,BlockRatings_AQ!$F$5:$F$148,B50,BlockRatings_AQ!$R$5:$R$148,"是",BlockRatings_AQ!$L$5:$L$148,"&gt;0")/COUNTIFS(BlockRatings_AQ!$A$5:$A$148,A50,BlockRatings_AQ!$F$5:$F$148,B50,BlockRatings_AQ!$R$5:$R$148,"是",BlockRatings_AQ!$L$5:$L$148,"&gt;0"),"")</f>
      </c>
      <c r="N50" s="149" t="str">
        <f>IFERROR(SUMIFS(BlockRatings_AQ!$M$5:$M$148,BlockRatings_AQ!$A$5:$A$148,A50,BlockRatings_AQ!$F$5:$F$148,B50,BlockRatings_AQ!$R$5:$R$148,"是",BlockRatings_AQ!$M$5:$M$148,"&gt;0")/COUNTIFS(BlockRatings_AQ!$A$5:$A$148,A50,BlockRatings_AQ!$F$5:$F$148,B50,BlockRatings_AQ!$R$5:$R$148,"是",BlockRatings_AQ!$M$5:$M$148,"&gt;0"),"")</f>
      </c>
      <c r="O50" s="149" t="str">
        <f>IFERROR(SUMIFS(BlockRatings_AQ!$N$5:$N$148,BlockRatings_AQ!$A$5:$A$148,A50,BlockRatings_AQ!$F$5:$F$148,B50,BlockRatings_AQ!$R$5:$R$148,"是",BlockRatings_AQ!$N$5:$N$148,"&gt;0")/COUNTIFS(BlockRatings_AQ!$A$5:$A$148,A50,BlockRatings_AQ!$F$5:$F$148,B50,BlockRatings_AQ!$R$5:$R$148,"是",BlockRatings_AQ!$N$5:$N$148,"&gt;0"),"")</f>
      </c>
      <c r="P50" s="149" t="str">
        <f>IF(COUNT(M50:O50)=3,AVERAGE(M50:O50),"")</f>
      </c>
      <c r="Q50" s="149" t="str">
        <f>IFERROR(SUMIFS(MethodRatings!$E$5:$E$52,MethodRatings!$A$5:$A$52,A50,MethodRatings!$D$5:$D$52,B50,MethodRatings!$E$5:$E$52,"&gt;0")/COUNTIFS(MethodRatings!$A$5:$A$52,A50,MethodRatings!$D$5:$D$52,B50,MethodRatings!$E$5:$E$52,"&gt;0"),"")</f>
      </c>
      <c r="R50" s="149" t="str">
        <f>IFERROR(SUMIFS(MethodRatings!$F$5:$F$52,MethodRatings!$A$5:$A$52,A50,MethodRatings!$D$5:$D$52,B50,MethodRatings!$F$5:$F$52,"&gt;0")/COUNTIFS(MethodRatings!$A$5:$A$52,A50,MethodRatings!$D$5:$D$52,B50,MethodRatings!$F$5:$F$52,"&gt;0"),"")</f>
      </c>
      <c r="S50" s="149" t="str">
        <f>IFERROR(SUMIFS(MethodRatings!$G$5:$G$52,MethodRatings!$A$5:$A$52,A50,MethodRatings!$D$5:$D$52,B50,MethodRatings!$G$5:$G$52,"&gt;0")/COUNTIFS(MethodRatings!$A$5:$A$52,A50,MethodRatings!$D$5:$D$52,B50,MethodRatings!$G$5:$G$52,"&gt;0"),"")</f>
      </c>
      <c r="T50" s="149" t="str">
        <f>IF(COUNT(Q50:S50)=3,AVERAGE(Q50:S50),"")</f>
      </c>
      <c r="U50" s="149" t="str">
        <f>IFERROR(SUMIFS(MethodRatings!$I$5:$I$52,MethodRatings!$A$5:$A$52,A50,MethodRatings!$D$5:$D$52,B50,MethodRatings!$I$5:$I$52,"&gt;0")/COUNTIFS(MethodRatings!$A$5:$A$52,A50,MethodRatings!$D$5:$D$52,B50,MethodRatings!$I$5:$I$52,"&gt;0"),"")</f>
      </c>
      <c r="V50" s="149" t="str">
        <f>IFERROR(SUMIFS(MethodRatings!$J$5:$J$52,MethodRatings!$A$5:$A$52,A50,MethodRatings!$D$5:$D$52,B50,MethodRatings!$J$5:$J$52,"&gt;0")/COUNTIFS(MethodRatings!$A$5:$A$52,A50,MethodRatings!$D$5:$D$52,B50,MethodRatings!$J$5:$J$52,"&gt;0"),"")</f>
      </c>
      <c r="W50" s="149" t="str">
        <f>IFERROR(SUMIFS(MethodRatings!$K$5:$K$52,MethodRatings!$A$5:$A$52,A50,MethodRatings!$D$5:$D$52,B50,MethodRatings!$K$5:$K$52,"&gt;0")/COUNTIFS(MethodRatings!$A$5:$A$52,A50,MethodRatings!$D$5:$D$52,B50,MethodRatings!$K$5:$K$52,"&gt;0"),"")</f>
      </c>
      <c r="X50" s="149" t="str">
        <f>IF(COUNT(U50:W50)=3,AVERAGE(U50:W50),"")</f>
      </c>
      <c r="Y50" s="149" t="str">
        <f>IFERROR(SUMIFS(MethodRatings!$M$5:$M$52,MethodRatings!$A$5:$A$52,A50,MethodRatings!$D$5:$D$52,B50,MethodRatings!$M$5:$M$52,"&gt;0")/COUNTIFS(MethodRatings!$A$5:$A$52,A50,MethodRatings!$D$5:$D$52,B50,MethodRatings!$M$5:$M$52,"&gt;0"),"")</f>
      </c>
      <c r="Z50" s="149" t="str">
        <f>IFERROR(SUMIFS(MethodRatings!$N$5:$N$52,MethodRatings!$A$5:$A$52,A50,MethodRatings!$D$5:$D$52,B50,MethodRatings!$N$5:$N$52,"&gt;0")/COUNTIFS(MethodRatings!$A$5:$A$52,A50,MethodRatings!$D$5:$D$52,B50,MethodRatings!$N$5:$N$52,"&gt;0"),"")</f>
      </c>
      <c r="AA50" s="149" t="str">
        <f>IFERROR(SUMIFS(MethodRatings!$O$5:$O$52,MethodRatings!$A$5:$A$52,A50,MethodRatings!$D$5:$D$52,B50,MethodRatings!$O$5:$O$52,"&gt;0")/COUNTIFS(MethodRatings!$A$5:$A$52,A50,MethodRatings!$D$5:$D$52,B50,MethodRatings!$O$5:$O$52,"&gt;0"),"")</f>
      </c>
      <c r="AB50" s="149" t="str">
        <f>IF(COUNT(I50:K50)=3,SUM(I50:K50),"")</f>
      </c>
      <c r="AC50" s="149" t="str">
        <f>IF(COUNT(M50:O50)=3,SUM(M50:O50),"")</f>
      </c>
      <c r="AD50" s="149" t="str">
        <f>IF(COUNT(Q50:S50)=3,SUM(Q50:S50),"")</f>
      </c>
      <c r="AE50" s="149" t="str">
        <f>IF(COUNT(U50:W50)=3,SUM(U50:W50),"")</f>
      </c>
      <c r="AF50" s="130" t="str">
        <f>IF((COUNT(F50:K50)+COUNT(M50:O50)+COUNT(Q50:S50)+COUNT(U50:W50)+COUNT(Y50:AA50))=18,"完整","缺失")</f>
        <v>缺失</v>
      </c>
    </row>
    <row r="51">
      <c r="A51" s="90" t="inlineStr">
        <is>
          <t>P023</t>
        </is>
      </c>
      <c r="B51" s="85" t="inlineStr">
        <is>
          <t>One-Euro</t>
        </is>
      </c>
      <c r="C51" s="129" t="str">
        <f>IF(B51=VLOOKUP(A51,Participants!$A$5:$W$28,22,FALSE),"方法A","方法B")</f>
        <v>方法A</v>
      </c>
      <c r="D51" s="129" t="str">
        <f>VLOOKUP(A51,Participants!$A$5:$B$28,2,FALSE)</f>
        <v>是</v>
      </c>
      <c r="E51" s="129" t="n">
        <f>COUNTIFS(TaskRatings!$A$5:$A$148,A51,TaskRatings!$F$5:$F$148,B51,TaskRatings!$O$5:$O$148,"是")</f>
        <v>3</v>
      </c>
      <c r="F51" s="149" t="str">
        <f>IFERROR(SUMIFS(TaskRatings!$H$5:$H$148,TaskRatings!$A$5:$A$148,A51,TaskRatings!$F$5:$F$148,B51,TaskRatings!$O$5:$O$148,"是",TaskRatings!$H$5:$H$148,"&gt;0")/COUNTIFS(TaskRatings!$A$5:$A$148,A51,TaskRatings!$F$5:$F$148,B51,TaskRatings!$O$5:$O$148,"是",TaskRatings!$H$5:$H$148,"&gt;0"),"")</f>
      </c>
      <c r="G51" s="149" t="str">
        <f>IFERROR(SUMIFS(TaskRatings!$J$5:$J$148,TaskRatings!$A$5:$A$148,A51,TaskRatings!$F$5:$F$148,B51,TaskRatings!$O$5:$O$148,"是",TaskRatings!$J$5:$J$148,"&gt;0")/COUNTIFS(TaskRatings!$A$5:$A$148,A51,TaskRatings!$F$5:$F$148,B51,TaskRatings!$O$5:$O$148,"是",TaskRatings!$J$5:$J$148,"&gt;0"),"")</f>
      </c>
      <c r="H51" s="149" t="str">
        <f>IFERROR(SUMIFS(TaskRatings!$L$5:$L$148,TaskRatings!$A$5:$A$148,A51,TaskRatings!$F$5:$F$148,B51,TaskRatings!$O$5:$O$148,"是",TaskRatings!$L$5:$L$148,"&gt;0")/COUNTIFS(TaskRatings!$A$5:$A$148,A51,TaskRatings!$F$5:$F$148,B51,TaskRatings!$O$5:$O$148,"是",TaskRatings!$L$5:$L$148,"&gt;0"),"")</f>
      </c>
      <c r="I51" s="149" t="str">
        <f>IFERROR(SUMIFS(BlockRatings_AQ!$H$5:$H$148,BlockRatings_AQ!$A$5:$A$148,A51,BlockRatings_AQ!$F$5:$F$148,B51,BlockRatings_AQ!$R$5:$R$148,"是",BlockRatings_AQ!$H$5:$H$148,"&gt;0")/COUNTIFS(BlockRatings_AQ!$A$5:$A$148,A51,BlockRatings_AQ!$F$5:$F$148,B51,BlockRatings_AQ!$R$5:$R$148,"是",BlockRatings_AQ!$H$5:$H$148,"&gt;0"),"")</f>
      </c>
      <c r="J51" s="149" t="str">
        <f>IFERROR(SUMIFS(BlockRatings_AQ!$I$5:$I$148,BlockRatings_AQ!$A$5:$A$148,A51,BlockRatings_AQ!$F$5:$F$148,B51,BlockRatings_AQ!$R$5:$R$148,"是",BlockRatings_AQ!$I$5:$I$148,"&gt;0")/COUNTIFS(BlockRatings_AQ!$A$5:$A$148,A51,BlockRatings_AQ!$F$5:$F$148,B51,BlockRatings_AQ!$R$5:$R$148,"是",BlockRatings_AQ!$I$5:$I$148,"&gt;0"),"")</f>
      </c>
      <c r="K51" s="149" t="str">
        <f>IFERROR(SUMIFS(BlockRatings_AQ!$J$5:$J$148,BlockRatings_AQ!$A$5:$A$148,A51,BlockRatings_AQ!$F$5:$F$148,B51,BlockRatings_AQ!$R$5:$R$148,"是",BlockRatings_AQ!$J$5:$J$148,"&gt;0")/COUNTIFS(BlockRatings_AQ!$A$5:$A$148,A51,BlockRatings_AQ!$F$5:$F$148,B51,BlockRatings_AQ!$R$5:$R$148,"是",BlockRatings_AQ!$J$5:$J$148,"&gt;0"),"")</f>
      </c>
      <c r="L51" s="149" t="str">
        <f>IF(COUNT(I51:K51)=3,AVERAGE(I51:K51),"")</f>
      </c>
      <c r="M51" s="149" t="str">
        <f>IFERROR(SUMIFS(BlockRatings_AQ!$L$5:$L$148,BlockRatings_AQ!$A$5:$A$148,A51,BlockRatings_AQ!$F$5:$F$148,B51,BlockRatings_AQ!$R$5:$R$148,"是",BlockRatings_AQ!$L$5:$L$148,"&gt;0")/COUNTIFS(BlockRatings_AQ!$A$5:$A$148,A51,BlockRatings_AQ!$F$5:$F$148,B51,BlockRatings_AQ!$R$5:$R$148,"是",BlockRatings_AQ!$L$5:$L$148,"&gt;0"),"")</f>
      </c>
      <c r="N51" s="149" t="str">
        <f>IFERROR(SUMIFS(BlockRatings_AQ!$M$5:$M$148,BlockRatings_AQ!$A$5:$A$148,A51,BlockRatings_AQ!$F$5:$F$148,B51,BlockRatings_AQ!$R$5:$R$148,"是",BlockRatings_AQ!$M$5:$M$148,"&gt;0")/COUNTIFS(BlockRatings_AQ!$A$5:$A$148,A51,BlockRatings_AQ!$F$5:$F$148,B51,BlockRatings_AQ!$R$5:$R$148,"是",BlockRatings_AQ!$M$5:$M$148,"&gt;0"),"")</f>
      </c>
      <c r="O51" s="149" t="str">
        <f>IFERROR(SUMIFS(BlockRatings_AQ!$N$5:$N$148,BlockRatings_AQ!$A$5:$A$148,A51,BlockRatings_AQ!$F$5:$F$148,B51,BlockRatings_AQ!$R$5:$R$148,"是",BlockRatings_AQ!$N$5:$N$148,"&gt;0")/COUNTIFS(BlockRatings_AQ!$A$5:$A$148,A51,BlockRatings_AQ!$F$5:$F$148,B51,BlockRatings_AQ!$R$5:$R$148,"是",BlockRatings_AQ!$N$5:$N$148,"&gt;0"),"")</f>
      </c>
      <c r="P51" s="149" t="str">
        <f>IF(COUNT(M51:O51)=3,AVERAGE(M51:O51),"")</f>
      </c>
      <c r="Q51" s="149" t="str">
        <f>IFERROR(SUMIFS(MethodRatings!$E$5:$E$52,MethodRatings!$A$5:$A$52,A51,MethodRatings!$D$5:$D$52,B51,MethodRatings!$E$5:$E$52,"&gt;0")/COUNTIFS(MethodRatings!$A$5:$A$52,A51,MethodRatings!$D$5:$D$52,B51,MethodRatings!$E$5:$E$52,"&gt;0"),"")</f>
      </c>
      <c r="R51" s="149" t="str">
        <f>IFERROR(SUMIFS(MethodRatings!$F$5:$F$52,MethodRatings!$A$5:$A$52,A51,MethodRatings!$D$5:$D$52,B51,MethodRatings!$F$5:$F$52,"&gt;0")/COUNTIFS(MethodRatings!$A$5:$A$52,A51,MethodRatings!$D$5:$D$52,B51,MethodRatings!$F$5:$F$52,"&gt;0"),"")</f>
      </c>
      <c r="S51" s="149" t="str">
        <f>IFERROR(SUMIFS(MethodRatings!$G$5:$G$52,MethodRatings!$A$5:$A$52,A51,MethodRatings!$D$5:$D$52,B51,MethodRatings!$G$5:$G$52,"&gt;0")/COUNTIFS(MethodRatings!$A$5:$A$52,A51,MethodRatings!$D$5:$D$52,B51,MethodRatings!$G$5:$G$52,"&gt;0"),"")</f>
      </c>
      <c r="T51" s="149" t="str">
        <f>IF(COUNT(Q51:S51)=3,AVERAGE(Q51:S51),"")</f>
      </c>
      <c r="U51" s="149" t="str">
        <f>IFERROR(SUMIFS(MethodRatings!$I$5:$I$52,MethodRatings!$A$5:$A$52,A51,MethodRatings!$D$5:$D$52,B51,MethodRatings!$I$5:$I$52,"&gt;0")/COUNTIFS(MethodRatings!$A$5:$A$52,A51,MethodRatings!$D$5:$D$52,B51,MethodRatings!$I$5:$I$52,"&gt;0"),"")</f>
      </c>
      <c r="V51" s="149" t="str">
        <f>IFERROR(SUMIFS(MethodRatings!$J$5:$J$52,MethodRatings!$A$5:$A$52,A51,MethodRatings!$D$5:$D$52,B51,MethodRatings!$J$5:$J$52,"&gt;0")/COUNTIFS(MethodRatings!$A$5:$A$52,A51,MethodRatings!$D$5:$D$52,B51,MethodRatings!$J$5:$J$52,"&gt;0"),"")</f>
      </c>
      <c r="W51" s="149" t="str">
        <f>IFERROR(SUMIFS(MethodRatings!$K$5:$K$52,MethodRatings!$A$5:$A$52,A51,MethodRatings!$D$5:$D$52,B51,MethodRatings!$K$5:$K$52,"&gt;0")/COUNTIFS(MethodRatings!$A$5:$A$52,A51,MethodRatings!$D$5:$D$52,B51,MethodRatings!$K$5:$K$52,"&gt;0"),"")</f>
      </c>
      <c r="X51" s="149" t="str">
        <f>IF(COUNT(U51:W51)=3,AVERAGE(U51:W51),"")</f>
      </c>
      <c r="Y51" s="149" t="str">
        <f>IFERROR(SUMIFS(MethodRatings!$M$5:$M$52,MethodRatings!$A$5:$A$52,A51,MethodRatings!$D$5:$D$52,B51,MethodRatings!$M$5:$M$52,"&gt;0")/COUNTIFS(MethodRatings!$A$5:$A$52,A51,MethodRatings!$D$5:$D$52,B51,MethodRatings!$M$5:$M$52,"&gt;0"),"")</f>
      </c>
      <c r="Z51" s="149" t="str">
        <f>IFERROR(SUMIFS(MethodRatings!$N$5:$N$52,MethodRatings!$A$5:$A$52,A51,MethodRatings!$D$5:$D$52,B51,MethodRatings!$N$5:$N$52,"&gt;0")/COUNTIFS(MethodRatings!$A$5:$A$52,A51,MethodRatings!$D$5:$D$52,B51,MethodRatings!$N$5:$N$52,"&gt;0"),"")</f>
      </c>
      <c r="AA51" s="149" t="str">
        <f>IFERROR(SUMIFS(MethodRatings!$O$5:$O$52,MethodRatings!$A$5:$A$52,A51,MethodRatings!$D$5:$D$52,B51,MethodRatings!$O$5:$O$52,"&gt;0")/COUNTIFS(MethodRatings!$A$5:$A$52,A51,MethodRatings!$D$5:$D$52,B51,MethodRatings!$O$5:$O$52,"&gt;0"),"")</f>
      </c>
      <c r="AB51" s="149" t="str">
        <f>IF(COUNT(I51:K51)=3,SUM(I51:K51),"")</f>
      </c>
      <c r="AC51" s="149" t="str">
        <f>IF(COUNT(M51:O51)=3,SUM(M51:O51),"")</f>
      </c>
      <c r="AD51" s="149" t="str">
        <f>IF(COUNT(Q51:S51)=3,SUM(Q51:S51),"")</f>
      </c>
      <c r="AE51" s="149" t="str">
        <f>IF(COUNT(U51:W51)=3,SUM(U51:W51),"")</f>
      </c>
      <c r="AF51" s="130" t="str">
        <f>IF((COUNT(F51:K51)+COUNT(M51:O51)+COUNT(Q51:S51)+COUNT(U51:W51)+COUNT(Y51:AA51))=18,"完整","缺失")</f>
        <v>缺失</v>
      </c>
    </row>
    <row r="52">
      <c r="A52" s="91" t="inlineStr">
        <is>
          <t>P024</t>
        </is>
      </c>
      <c r="B52" s="109" t="inlineStr">
        <is>
          <t>One-Euro</t>
        </is>
      </c>
      <c r="C52" s="131" t="str">
        <f>IF(B52=VLOOKUP(A52,Participants!$A$5:$W$28,22,FALSE),"方法A","方法B")</f>
        <v>方法A</v>
      </c>
      <c r="D52" s="131" t="str">
        <f>VLOOKUP(A52,Participants!$A$5:$B$28,2,FALSE)</f>
        <v>是</v>
      </c>
      <c r="E52" s="131" t="n">
        <f>COUNTIFS(TaskRatings!$A$5:$A$148,A52,TaskRatings!$F$5:$F$148,B52,TaskRatings!$O$5:$O$148,"是")</f>
        <v>3</v>
      </c>
      <c r="F52" s="151" t="str">
        <f>IFERROR(SUMIFS(TaskRatings!$H$5:$H$148,TaskRatings!$A$5:$A$148,A52,TaskRatings!$F$5:$F$148,B52,TaskRatings!$O$5:$O$148,"是",TaskRatings!$H$5:$H$148,"&gt;0")/COUNTIFS(TaskRatings!$A$5:$A$148,A52,TaskRatings!$F$5:$F$148,B52,TaskRatings!$O$5:$O$148,"是",TaskRatings!$H$5:$H$148,"&gt;0"),"")</f>
      </c>
      <c r="G52" s="151" t="str">
        <f>IFERROR(SUMIFS(TaskRatings!$J$5:$J$148,TaskRatings!$A$5:$A$148,A52,TaskRatings!$F$5:$F$148,B52,TaskRatings!$O$5:$O$148,"是",TaskRatings!$J$5:$J$148,"&gt;0")/COUNTIFS(TaskRatings!$A$5:$A$148,A52,TaskRatings!$F$5:$F$148,B52,TaskRatings!$O$5:$O$148,"是",TaskRatings!$J$5:$J$148,"&gt;0"),"")</f>
      </c>
      <c r="H52" s="151" t="str">
        <f>IFERROR(SUMIFS(TaskRatings!$L$5:$L$148,TaskRatings!$A$5:$A$148,A52,TaskRatings!$F$5:$F$148,B52,TaskRatings!$O$5:$O$148,"是",TaskRatings!$L$5:$L$148,"&gt;0")/COUNTIFS(TaskRatings!$A$5:$A$148,A52,TaskRatings!$F$5:$F$148,B52,TaskRatings!$O$5:$O$148,"是",TaskRatings!$L$5:$L$148,"&gt;0"),"")</f>
      </c>
      <c r="I52" s="151" t="str">
        <f>IFERROR(SUMIFS(BlockRatings_AQ!$H$5:$H$148,BlockRatings_AQ!$A$5:$A$148,A52,BlockRatings_AQ!$F$5:$F$148,B52,BlockRatings_AQ!$R$5:$R$148,"是",BlockRatings_AQ!$H$5:$H$148,"&gt;0")/COUNTIFS(BlockRatings_AQ!$A$5:$A$148,A52,BlockRatings_AQ!$F$5:$F$148,B52,BlockRatings_AQ!$R$5:$R$148,"是",BlockRatings_AQ!$H$5:$H$148,"&gt;0"),"")</f>
      </c>
      <c r="J52" s="151" t="str">
        <f>IFERROR(SUMIFS(BlockRatings_AQ!$I$5:$I$148,BlockRatings_AQ!$A$5:$A$148,A52,BlockRatings_AQ!$F$5:$F$148,B52,BlockRatings_AQ!$R$5:$R$148,"是",BlockRatings_AQ!$I$5:$I$148,"&gt;0")/COUNTIFS(BlockRatings_AQ!$A$5:$A$148,A52,BlockRatings_AQ!$F$5:$F$148,B52,BlockRatings_AQ!$R$5:$R$148,"是",BlockRatings_AQ!$I$5:$I$148,"&gt;0"),"")</f>
      </c>
      <c r="K52" s="151" t="str">
        <f>IFERROR(SUMIFS(BlockRatings_AQ!$J$5:$J$148,BlockRatings_AQ!$A$5:$A$148,A52,BlockRatings_AQ!$F$5:$F$148,B52,BlockRatings_AQ!$R$5:$R$148,"是",BlockRatings_AQ!$J$5:$J$148,"&gt;0")/COUNTIFS(BlockRatings_AQ!$A$5:$A$148,A52,BlockRatings_AQ!$F$5:$F$148,B52,BlockRatings_AQ!$R$5:$R$148,"是",BlockRatings_AQ!$J$5:$J$148,"&gt;0"),"")</f>
      </c>
      <c r="L52" s="151" t="str">
        <f>IF(COUNT(I52:K52)=3,AVERAGE(I52:K52),"")</f>
      </c>
      <c r="M52" s="151" t="str">
        <f>IFERROR(SUMIFS(BlockRatings_AQ!$L$5:$L$148,BlockRatings_AQ!$A$5:$A$148,A52,BlockRatings_AQ!$F$5:$F$148,B52,BlockRatings_AQ!$R$5:$R$148,"是",BlockRatings_AQ!$L$5:$L$148,"&gt;0")/COUNTIFS(BlockRatings_AQ!$A$5:$A$148,A52,BlockRatings_AQ!$F$5:$F$148,B52,BlockRatings_AQ!$R$5:$R$148,"是",BlockRatings_AQ!$L$5:$L$148,"&gt;0"),"")</f>
      </c>
      <c r="N52" s="151" t="str">
        <f>IFERROR(SUMIFS(BlockRatings_AQ!$M$5:$M$148,BlockRatings_AQ!$A$5:$A$148,A52,BlockRatings_AQ!$F$5:$F$148,B52,BlockRatings_AQ!$R$5:$R$148,"是",BlockRatings_AQ!$M$5:$M$148,"&gt;0")/COUNTIFS(BlockRatings_AQ!$A$5:$A$148,A52,BlockRatings_AQ!$F$5:$F$148,B52,BlockRatings_AQ!$R$5:$R$148,"是",BlockRatings_AQ!$M$5:$M$148,"&gt;0"),"")</f>
      </c>
      <c r="O52" s="151" t="str">
        <f>IFERROR(SUMIFS(BlockRatings_AQ!$N$5:$N$148,BlockRatings_AQ!$A$5:$A$148,A52,BlockRatings_AQ!$F$5:$F$148,B52,BlockRatings_AQ!$R$5:$R$148,"是",BlockRatings_AQ!$N$5:$N$148,"&gt;0")/COUNTIFS(BlockRatings_AQ!$A$5:$A$148,A52,BlockRatings_AQ!$F$5:$F$148,B52,BlockRatings_AQ!$R$5:$R$148,"是",BlockRatings_AQ!$N$5:$N$148,"&gt;0"),"")</f>
      </c>
      <c r="P52" s="151" t="str">
        <f>IF(COUNT(M52:O52)=3,AVERAGE(M52:O52),"")</f>
      </c>
      <c r="Q52" s="151" t="str">
        <f>IFERROR(SUMIFS(MethodRatings!$E$5:$E$52,MethodRatings!$A$5:$A$52,A52,MethodRatings!$D$5:$D$52,B52,MethodRatings!$E$5:$E$52,"&gt;0")/COUNTIFS(MethodRatings!$A$5:$A$52,A52,MethodRatings!$D$5:$D$52,B52,MethodRatings!$E$5:$E$52,"&gt;0"),"")</f>
      </c>
      <c r="R52" s="151" t="str">
        <f>IFERROR(SUMIFS(MethodRatings!$F$5:$F$52,MethodRatings!$A$5:$A$52,A52,MethodRatings!$D$5:$D$52,B52,MethodRatings!$F$5:$F$52,"&gt;0")/COUNTIFS(MethodRatings!$A$5:$A$52,A52,MethodRatings!$D$5:$D$52,B52,MethodRatings!$F$5:$F$52,"&gt;0"),"")</f>
      </c>
      <c r="S52" s="151" t="str">
        <f>IFERROR(SUMIFS(MethodRatings!$G$5:$G$52,MethodRatings!$A$5:$A$52,A52,MethodRatings!$D$5:$D$52,B52,MethodRatings!$G$5:$G$52,"&gt;0")/COUNTIFS(MethodRatings!$A$5:$A$52,A52,MethodRatings!$D$5:$D$52,B52,MethodRatings!$G$5:$G$52,"&gt;0"),"")</f>
      </c>
      <c r="T52" s="151" t="str">
        <f>IF(COUNT(Q52:S52)=3,AVERAGE(Q52:S52),"")</f>
      </c>
      <c r="U52" s="151" t="str">
        <f>IFERROR(SUMIFS(MethodRatings!$I$5:$I$52,MethodRatings!$A$5:$A$52,A52,MethodRatings!$D$5:$D$52,B52,MethodRatings!$I$5:$I$52,"&gt;0")/COUNTIFS(MethodRatings!$A$5:$A$52,A52,MethodRatings!$D$5:$D$52,B52,MethodRatings!$I$5:$I$52,"&gt;0"),"")</f>
      </c>
      <c r="V52" s="151" t="str">
        <f>IFERROR(SUMIFS(MethodRatings!$J$5:$J$52,MethodRatings!$A$5:$A$52,A52,MethodRatings!$D$5:$D$52,B52,MethodRatings!$J$5:$J$52,"&gt;0")/COUNTIFS(MethodRatings!$A$5:$A$52,A52,MethodRatings!$D$5:$D$52,B52,MethodRatings!$J$5:$J$52,"&gt;0"),"")</f>
      </c>
      <c r="W52" s="151" t="str">
        <f>IFERROR(SUMIFS(MethodRatings!$K$5:$K$52,MethodRatings!$A$5:$A$52,A52,MethodRatings!$D$5:$D$52,B52,MethodRatings!$K$5:$K$52,"&gt;0")/COUNTIFS(MethodRatings!$A$5:$A$52,A52,MethodRatings!$D$5:$D$52,B52,MethodRatings!$K$5:$K$52,"&gt;0"),"")</f>
      </c>
      <c r="X52" s="151" t="str">
        <f>IF(COUNT(U52:W52)=3,AVERAGE(U52:W52),"")</f>
      </c>
      <c r="Y52" s="151" t="str">
        <f>IFERROR(SUMIFS(MethodRatings!$M$5:$M$52,MethodRatings!$A$5:$A$52,A52,MethodRatings!$D$5:$D$52,B52,MethodRatings!$M$5:$M$52,"&gt;0")/COUNTIFS(MethodRatings!$A$5:$A$52,A52,MethodRatings!$D$5:$D$52,B52,MethodRatings!$M$5:$M$52,"&gt;0"),"")</f>
      </c>
      <c r="Z52" s="151" t="str">
        <f>IFERROR(SUMIFS(MethodRatings!$N$5:$N$52,MethodRatings!$A$5:$A$52,A52,MethodRatings!$D$5:$D$52,B52,MethodRatings!$N$5:$N$52,"&gt;0")/COUNTIFS(MethodRatings!$A$5:$A$52,A52,MethodRatings!$D$5:$D$52,B52,MethodRatings!$N$5:$N$52,"&gt;0"),"")</f>
      </c>
      <c r="AA52" s="151" t="str">
        <f>IFERROR(SUMIFS(MethodRatings!$O$5:$O$52,MethodRatings!$A$5:$A$52,A52,MethodRatings!$D$5:$D$52,B52,MethodRatings!$O$5:$O$52,"&gt;0")/COUNTIFS(MethodRatings!$A$5:$A$52,A52,MethodRatings!$D$5:$D$52,B52,MethodRatings!$O$5:$O$52,"&gt;0"),"")</f>
      </c>
      <c r="AB52" s="151" t="str">
        <f>IF(COUNT(I52:K52)=3,SUM(I52:K52),"")</f>
      </c>
      <c r="AC52" s="151" t="str">
        <f>IF(COUNT(M52:O52)=3,SUM(M52:O52),"")</f>
      </c>
      <c r="AD52" s="151" t="str">
        <f>IF(COUNT(Q52:S52)=3,SUM(Q52:S52),"")</f>
      </c>
      <c r="AE52" s="151" t="str">
        <f>IF(COUNT(U52:W52)=3,SUM(U52:W52),"")</f>
      </c>
      <c r="AF52" s="132" t="str">
        <f>IF((COUNT(F52:K52)+COUNT(M52:O52)+COUNT(Q52:S52)+COUNT(U52:W52)+COUNT(Y52:AA52))=18,"完整","缺失")</f>
        <v>缺失</v>
      </c>
    </row>
  </sheetData>
  <mergeCells>
    <mergeCell ref="A1:AF1"/>
    <mergeCell ref="A2:A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FormatPr defaultRowHeight="15"/>
  <cols>
    <col min="1" max="1" width="16" hidden="0" customWidth="1"/>
    <col min="2" max="2" width="15" hidden="0" customWidth="1"/>
    <col min="3" max="3" width="15" hidden="0" customWidth="1"/>
    <col min="4" max="4" width="15" hidden="0" customWidth="1"/>
    <col min="5" max="5" width="25" hidden="0" customWidth="1"/>
    <col min="6" max="6" width="26" hidden="0" customWidth="1"/>
    <col min="7" max="7" width="16" hidden="0" customWidth="1"/>
    <col min="8" max="8" width="13" hidden="0" customWidth="1"/>
    <col min="9" max="9" width="13" hidden="0" customWidth="1"/>
    <col min="10" max="10" width="13" hidden="0" customWidth="1"/>
    <col min="11" max="11" width="19" hidden="0" customWidth="1"/>
    <col min="12" max="12" width="13" hidden="0" customWidth="1"/>
    <col min="13" max="13" width="13" hidden="0" customWidth="1"/>
    <col min="14" max="14" width="13" hidden="0" customWidth="1"/>
  </cols>
  <sheetData>
    <row r="1">
      <c r="A1" s="4" t="inlineStr">
        <is>
          <t>EgoAnchor − One-Euro 参与者内配对差（自动计算）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>
      <c r="A2" s="68" t="inlineStr">
        <is>
          <t>正值表示EgoAnchor评分更高。用于计算配对差中位数、正/负/结平和效应量。正式模型的估计值仍从R/Python混合模型输出回填。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</row>
    <row r="4">
      <c r="A4" s="26" t="inlineStr">
        <is>
          <t>Participant_ID</t>
        </is>
      </c>
      <c r="B4" s="27" t="inlineStr">
        <is>
          <t>T1_Diff</t>
        </is>
      </c>
      <c r="C4" s="27" t="inlineStr">
        <is>
          <t>T2_Diff</t>
        </is>
      </c>
      <c r="D4" s="27" t="inlineStr">
        <is>
          <t>T3_Diff</t>
        </is>
      </c>
      <c r="E4" s="27" t="inlineStr">
        <is>
          <t>EmbeddingQuality_Diff</t>
        </is>
      </c>
      <c r="F4" s="27" t="inlineStr">
        <is>
          <t>InteractionQuality_Diff</t>
        </is>
      </c>
      <c r="G4" s="27" t="inlineStr">
        <is>
          <t>STIAS_Diff</t>
        </is>
      </c>
      <c r="H4" s="27" t="inlineStr">
        <is>
          <t>CR1_Diff</t>
        </is>
      </c>
      <c r="I4" s="27" t="inlineStr">
        <is>
          <t>CR2_Diff</t>
        </is>
      </c>
      <c r="J4" s="27" t="inlineStr">
        <is>
          <t>CR3_Diff</t>
        </is>
      </c>
      <c r="K4" s="27" t="inlineStr">
        <is>
          <t>CRIQ_Mean_Diff</t>
        </is>
      </c>
      <c r="L4" s="27" t="inlineStr">
        <is>
          <t>CI1_Diff</t>
        </is>
      </c>
      <c r="M4" s="27" t="inlineStr">
        <is>
          <t>CI2_Diff</t>
        </is>
      </c>
      <c r="N4" s="101" t="inlineStr">
        <is>
          <t>SB1_Diff</t>
        </is>
      </c>
    </row>
    <row r="5">
      <c r="A5" s="90" t="inlineStr">
        <is>
          <t>P001</t>
        </is>
      </c>
      <c r="B5" s="149" t="str">
        <f>IF(AND(ParticipantConditionSummary!F5&lt;&gt;"",ParticipantConditionSummary!F29&lt;&gt;""),ParticipantConditionSummary!F5-ParticipantConditionSummary!F29,"")</f>
      </c>
      <c r="C5" s="149" t="str">
        <f>IF(AND(ParticipantConditionSummary!G5&lt;&gt;"",ParticipantConditionSummary!G29&lt;&gt;""),ParticipantConditionSummary!G5-ParticipantConditionSummary!G29,"")</f>
      </c>
      <c r="D5" s="149" t="str">
        <f>IF(AND(ParticipantConditionSummary!H5&lt;&gt;"",ParticipantConditionSummary!H29&lt;&gt;""),ParticipantConditionSummary!H5-ParticipantConditionSummary!H29,"")</f>
      </c>
      <c r="E5" s="149" t="str">
        <f>IF(AND(ParticipantConditionSummary!L5&lt;&gt;"",ParticipantConditionSummary!L29&lt;&gt;""),ParticipantConditionSummary!L5-ParticipantConditionSummary!L29,"")</f>
      </c>
      <c r="F5" s="149" t="str">
        <f>IF(AND(ParticipantConditionSummary!P5&lt;&gt;"",ParticipantConditionSummary!P29&lt;&gt;""),ParticipantConditionSummary!P5-ParticipantConditionSummary!P29,"")</f>
      </c>
      <c r="G5" s="149" t="str">
        <f>IF(AND(ParticipantConditionSummary!T5&lt;&gt;"",ParticipantConditionSummary!T29&lt;&gt;""),ParticipantConditionSummary!T5-ParticipantConditionSummary!T29,"")</f>
      </c>
      <c r="H5" s="149" t="str">
        <f>IF(AND(ParticipantConditionSummary!U5&lt;&gt;"",ParticipantConditionSummary!U29&lt;&gt;""),ParticipantConditionSummary!U5-ParticipantConditionSummary!U29,"")</f>
      </c>
      <c r="I5" s="149" t="str">
        <f>IF(AND(ParticipantConditionSummary!V5&lt;&gt;"",ParticipantConditionSummary!V29&lt;&gt;""),ParticipantConditionSummary!V5-ParticipantConditionSummary!V29,"")</f>
      </c>
      <c r="J5" s="149" t="str">
        <f>IF(AND(ParticipantConditionSummary!W5&lt;&gt;"",ParticipantConditionSummary!W29&lt;&gt;""),ParticipantConditionSummary!W5-ParticipantConditionSummary!W29,"")</f>
      </c>
      <c r="K5" s="149" t="str">
        <f>IF(AND(ParticipantConditionSummary!X5&lt;&gt;"",ParticipantConditionSummary!X29&lt;&gt;""),ParticipantConditionSummary!X5-ParticipantConditionSummary!X29,"")</f>
      </c>
      <c r="L5" s="149" t="str">
        <f>IF(AND(ParticipantConditionSummary!Y5&lt;&gt;"",ParticipantConditionSummary!Y29&lt;&gt;""),ParticipantConditionSummary!Y5-ParticipantConditionSummary!Y29,"")</f>
      </c>
      <c r="M5" s="149" t="str">
        <f>IF(AND(ParticipantConditionSummary!Z5&lt;&gt;"",ParticipantConditionSummary!Z29&lt;&gt;""),ParticipantConditionSummary!Z5-ParticipantConditionSummary!Z29,"")</f>
      </c>
      <c r="N5" s="150" t="str">
        <f>IF(AND(ParticipantConditionSummary!AA5&lt;&gt;"",ParticipantConditionSummary!AA29&lt;&gt;""),ParticipantConditionSummary!AA5-ParticipantConditionSummary!AA29,"")</f>
      </c>
    </row>
    <row r="6">
      <c r="A6" s="90" t="inlineStr">
        <is>
          <t>P002</t>
        </is>
      </c>
      <c r="B6" s="149" t="str">
        <f>IF(AND(ParticipantConditionSummary!F6&lt;&gt;"",ParticipantConditionSummary!F30&lt;&gt;""),ParticipantConditionSummary!F6-ParticipantConditionSummary!F30,"")</f>
      </c>
      <c r="C6" s="149" t="str">
        <f>IF(AND(ParticipantConditionSummary!G6&lt;&gt;"",ParticipantConditionSummary!G30&lt;&gt;""),ParticipantConditionSummary!G6-ParticipantConditionSummary!G30,"")</f>
      </c>
      <c r="D6" s="149" t="str">
        <f>IF(AND(ParticipantConditionSummary!H6&lt;&gt;"",ParticipantConditionSummary!H30&lt;&gt;""),ParticipantConditionSummary!H6-ParticipantConditionSummary!H30,"")</f>
      </c>
      <c r="E6" s="149" t="str">
        <f>IF(AND(ParticipantConditionSummary!L6&lt;&gt;"",ParticipantConditionSummary!L30&lt;&gt;""),ParticipantConditionSummary!L6-ParticipantConditionSummary!L30,"")</f>
      </c>
      <c r="F6" s="149" t="str">
        <f>IF(AND(ParticipantConditionSummary!P6&lt;&gt;"",ParticipantConditionSummary!P30&lt;&gt;""),ParticipantConditionSummary!P6-ParticipantConditionSummary!P30,"")</f>
      </c>
      <c r="G6" s="149" t="str">
        <f>IF(AND(ParticipantConditionSummary!T6&lt;&gt;"",ParticipantConditionSummary!T30&lt;&gt;""),ParticipantConditionSummary!T6-ParticipantConditionSummary!T30,"")</f>
      </c>
      <c r="H6" s="149" t="str">
        <f>IF(AND(ParticipantConditionSummary!U6&lt;&gt;"",ParticipantConditionSummary!U30&lt;&gt;""),ParticipantConditionSummary!U6-ParticipantConditionSummary!U30,"")</f>
      </c>
      <c r="I6" s="149" t="str">
        <f>IF(AND(ParticipantConditionSummary!V6&lt;&gt;"",ParticipantConditionSummary!V30&lt;&gt;""),ParticipantConditionSummary!V6-ParticipantConditionSummary!V30,"")</f>
      </c>
      <c r="J6" s="149" t="str">
        <f>IF(AND(ParticipantConditionSummary!W6&lt;&gt;"",ParticipantConditionSummary!W30&lt;&gt;""),ParticipantConditionSummary!W6-ParticipantConditionSummary!W30,"")</f>
      </c>
      <c r="K6" s="149" t="str">
        <f>IF(AND(ParticipantConditionSummary!X6&lt;&gt;"",ParticipantConditionSummary!X30&lt;&gt;""),ParticipantConditionSummary!X6-ParticipantConditionSummary!X30,"")</f>
      </c>
      <c r="L6" s="149" t="str">
        <f>IF(AND(ParticipantConditionSummary!Y6&lt;&gt;"",ParticipantConditionSummary!Y30&lt;&gt;""),ParticipantConditionSummary!Y6-ParticipantConditionSummary!Y30,"")</f>
      </c>
      <c r="M6" s="149" t="str">
        <f>IF(AND(ParticipantConditionSummary!Z6&lt;&gt;"",ParticipantConditionSummary!Z30&lt;&gt;""),ParticipantConditionSummary!Z6-ParticipantConditionSummary!Z30,"")</f>
      </c>
      <c r="N6" s="150" t="str">
        <f>IF(AND(ParticipantConditionSummary!AA6&lt;&gt;"",ParticipantConditionSummary!AA30&lt;&gt;""),ParticipantConditionSummary!AA6-ParticipantConditionSummary!AA30,"")</f>
      </c>
    </row>
    <row r="7">
      <c r="A7" s="90" t="inlineStr">
        <is>
          <t>P003</t>
        </is>
      </c>
      <c r="B7" s="149" t="str">
        <f>IF(AND(ParticipantConditionSummary!F7&lt;&gt;"",ParticipantConditionSummary!F31&lt;&gt;""),ParticipantConditionSummary!F7-ParticipantConditionSummary!F31,"")</f>
      </c>
      <c r="C7" s="149" t="str">
        <f>IF(AND(ParticipantConditionSummary!G7&lt;&gt;"",ParticipantConditionSummary!G31&lt;&gt;""),ParticipantConditionSummary!G7-ParticipantConditionSummary!G31,"")</f>
      </c>
      <c r="D7" s="149" t="str">
        <f>IF(AND(ParticipantConditionSummary!H7&lt;&gt;"",ParticipantConditionSummary!H31&lt;&gt;""),ParticipantConditionSummary!H7-ParticipantConditionSummary!H31,"")</f>
      </c>
      <c r="E7" s="149" t="str">
        <f>IF(AND(ParticipantConditionSummary!L7&lt;&gt;"",ParticipantConditionSummary!L31&lt;&gt;""),ParticipantConditionSummary!L7-ParticipantConditionSummary!L31,"")</f>
      </c>
      <c r="F7" s="149" t="str">
        <f>IF(AND(ParticipantConditionSummary!P7&lt;&gt;"",ParticipantConditionSummary!P31&lt;&gt;""),ParticipantConditionSummary!P7-ParticipantConditionSummary!P31,"")</f>
      </c>
      <c r="G7" s="149" t="str">
        <f>IF(AND(ParticipantConditionSummary!T7&lt;&gt;"",ParticipantConditionSummary!T31&lt;&gt;""),ParticipantConditionSummary!T7-ParticipantConditionSummary!T31,"")</f>
      </c>
      <c r="H7" s="149" t="str">
        <f>IF(AND(ParticipantConditionSummary!U7&lt;&gt;"",ParticipantConditionSummary!U31&lt;&gt;""),ParticipantConditionSummary!U7-ParticipantConditionSummary!U31,"")</f>
      </c>
      <c r="I7" s="149" t="str">
        <f>IF(AND(ParticipantConditionSummary!V7&lt;&gt;"",ParticipantConditionSummary!V31&lt;&gt;""),ParticipantConditionSummary!V7-ParticipantConditionSummary!V31,"")</f>
      </c>
      <c r="J7" s="149" t="str">
        <f>IF(AND(ParticipantConditionSummary!W7&lt;&gt;"",ParticipantConditionSummary!W31&lt;&gt;""),ParticipantConditionSummary!W7-ParticipantConditionSummary!W31,"")</f>
      </c>
      <c r="K7" s="149" t="str">
        <f>IF(AND(ParticipantConditionSummary!X7&lt;&gt;"",ParticipantConditionSummary!X31&lt;&gt;""),ParticipantConditionSummary!X7-ParticipantConditionSummary!X31,"")</f>
      </c>
      <c r="L7" s="149" t="str">
        <f>IF(AND(ParticipantConditionSummary!Y7&lt;&gt;"",ParticipantConditionSummary!Y31&lt;&gt;""),ParticipantConditionSummary!Y7-ParticipantConditionSummary!Y31,"")</f>
      </c>
      <c r="M7" s="149" t="str">
        <f>IF(AND(ParticipantConditionSummary!Z7&lt;&gt;"",ParticipantConditionSummary!Z31&lt;&gt;""),ParticipantConditionSummary!Z7-ParticipantConditionSummary!Z31,"")</f>
      </c>
      <c r="N7" s="150" t="str">
        <f>IF(AND(ParticipantConditionSummary!AA7&lt;&gt;"",ParticipantConditionSummary!AA31&lt;&gt;""),ParticipantConditionSummary!AA7-ParticipantConditionSummary!AA31,"")</f>
      </c>
    </row>
    <row r="8">
      <c r="A8" s="90" t="inlineStr">
        <is>
          <t>P004</t>
        </is>
      </c>
      <c r="B8" s="149" t="str">
        <f>IF(AND(ParticipantConditionSummary!F8&lt;&gt;"",ParticipantConditionSummary!F32&lt;&gt;""),ParticipantConditionSummary!F8-ParticipantConditionSummary!F32,"")</f>
      </c>
      <c r="C8" s="149" t="str">
        <f>IF(AND(ParticipantConditionSummary!G8&lt;&gt;"",ParticipantConditionSummary!G32&lt;&gt;""),ParticipantConditionSummary!G8-ParticipantConditionSummary!G32,"")</f>
      </c>
      <c r="D8" s="149" t="str">
        <f>IF(AND(ParticipantConditionSummary!H8&lt;&gt;"",ParticipantConditionSummary!H32&lt;&gt;""),ParticipantConditionSummary!H8-ParticipantConditionSummary!H32,"")</f>
      </c>
      <c r="E8" s="149" t="str">
        <f>IF(AND(ParticipantConditionSummary!L8&lt;&gt;"",ParticipantConditionSummary!L32&lt;&gt;""),ParticipantConditionSummary!L8-ParticipantConditionSummary!L32,"")</f>
      </c>
      <c r="F8" s="149" t="str">
        <f>IF(AND(ParticipantConditionSummary!P8&lt;&gt;"",ParticipantConditionSummary!P32&lt;&gt;""),ParticipantConditionSummary!P8-ParticipantConditionSummary!P32,"")</f>
      </c>
      <c r="G8" s="149" t="str">
        <f>IF(AND(ParticipantConditionSummary!T8&lt;&gt;"",ParticipantConditionSummary!T32&lt;&gt;""),ParticipantConditionSummary!T8-ParticipantConditionSummary!T32,"")</f>
      </c>
      <c r="H8" s="149" t="str">
        <f>IF(AND(ParticipantConditionSummary!U8&lt;&gt;"",ParticipantConditionSummary!U32&lt;&gt;""),ParticipantConditionSummary!U8-ParticipantConditionSummary!U32,"")</f>
      </c>
      <c r="I8" s="149" t="str">
        <f>IF(AND(ParticipantConditionSummary!V8&lt;&gt;"",ParticipantConditionSummary!V32&lt;&gt;""),ParticipantConditionSummary!V8-ParticipantConditionSummary!V32,"")</f>
      </c>
      <c r="J8" s="149" t="str">
        <f>IF(AND(ParticipantConditionSummary!W8&lt;&gt;"",ParticipantConditionSummary!W32&lt;&gt;""),ParticipantConditionSummary!W8-ParticipantConditionSummary!W32,"")</f>
      </c>
      <c r="K8" s="149" t="str">
        <f>IF(AND(ParticipantConditionSummary!X8&lt;&gt;"",ParticipantConditionSummary!X32&lt;&gt;""),ParticipantConditionSummary!X8-ParticipantConditionSummary!X32,"")</f>
      </c>
      <c r="L8" s="149" t="str">
        <f>IF(AND(ParticipantConditionSummary!Y8&lt;&gt;"",ParticipantConditionSummary!Y32&lt;&gt;""),ParticipantConditionSummary!Y8-ParticipantConditionSummary!Y32,"")</f>
      </c>
      <c r="M8" s="149" t="str">
        <f>IF(AND(ParticipantConditionSummary!Z8&lt;&gt;"",ParticipantConditionSummary!Z32&lt;&gt;""),ParticipantConditionSummary!Z8-ParticipantConditionSummary!Z32,"")</f>
      </c>
      <c r="N8" s="150" t="str">
        <f>IF(AND(ParticipantConditionSummary!AA8&lt;&gt;"",ParticipantConditionSummary!AA32&lt;&gt;""),ParticipantConditionSummary!AA8-ParticipantConditionSummary!AA32,"")</f>
      </c>
    </row>
    <row r="9">
      <c r="A9" s="90" t="inlineStr">
        <is>
          <t>P005</t>
        </is>
      </c>
      <c r="B9" s="149" t="str">
        <f>IF(AND(ParticipantConditionSummary!F9&lt;&gt;"",ParticipantConditionSummary!F33&lt;&gt;""),ParticipantConditionSummary!F9-ParticipantConditionSummary!F33,"")</f>
      </c>
      <c r="C9" s="149" t="str">
        <f>IF(AND(ParticipantConditionSummary!G9&lt;&gt;"",ParticipantConditionSummary!G33&lt;&gt;""),ParticipantConditionSummary!G9-ParticipantConditionSummary!G33,"")</f>
      </c>
      <c r="D9" s="149" t="str">
        <f>IF(AND(ParticipantConditionSummary!H9&lt;&gt;"",ParticipantConditionSummary!H33&lt;&gt;""),ParticipantConditionSummary!H9-ParticipantConditionSummary!H33,"")</f>
      </c>
      <c r="E9" s="149" t="str">
        <f>IF(AND(ParticipantConditionSummary!L9&lt;&gt;"",ParticipantConditionSummary!L33&lt;&gt;""),ParticipantConditionSummary!L9-ParticipantConditionSummary!L33,"")</f>
      </c>
      <c r="F9" s="149" t="str">
        <f>IF(AND(ParticipantConditionSummary!P9&lt;&gt;"",ParticipantConditionSummary!P33&lt;&gt;""),ParticipantConditionSummary!P9-ParticipantConditionSummary!P33,"")</f>
      </c>
      <c r="G9" s="149" t="str">
        <f>IF(AND(ParticipantConditionSummary!T9&lt;&gt;"",ParticipantConditionSummary!T33&lt;&gt;""),ParticipantConditionSummary!T9-ParticipantConditionSummary!T33,"")</f>
      </c>
      <c r="H9" s="149" t="str">
        <f>IF(AND(ParticipantConditionSummary!U9&lt;&gt;"",ParticipantConditionSummary!U33&lt;&gt;""),ParticipantConditionSummary!U9-ParticipantConditionSummary!U33,"")</f>
      </c>
      <c r="I9" s="149" t="str">
        <f>IF(AND(ParticipantConditionSummary!V9&lt;&gt;"",ParticipantConditionSummary!V33&lt;&gt;""),ParticipantConditionSummary!V9-ParticipantConditionSummary!V33,"")</f>
      </c>
      <c r="J9" s="149" t="str">
        <f>IF(AND(ParticipantConditionSummary!W9&lt;&gt;"",ParticipantConditionSummary!W33&lt;&gt;""),ParticipantConditionSummary!W9-ParticipantConditionSummary!W33,"")</f>
      </c>
      <c r="K9" s="149" t="str">
        <f>IF(AND(ParticipantConditionSummary!X9&lt;&gt;"",ParticipantConditionSummary!X33&lt;&gt;""),ParticipantConditionSummary!X9-ParticipantConditionSummary!X33,"")</f>
      </c>
      <c r="L9" s="149" t="str">
        <f>IF(AND(ParticipantConditionSummary!Y9&lt;&gt;"",ParticipantConditionSummary!Y33&lt;&gt;""),ParticipantConditionSummary!Y9-ParticipantConditionSummary!Y33,"")</f>
      </c>
      <c r="M9" s="149" t="str">
        <f>IF(AND(ParticipantConditionSummary!Z9&lt;&gt;"",ParticipantConditionSummary!Z33&lt;&gt;""),ParticipantConditionSummary!Z9-ParticipantConditionSummary!Z33,"")</f>
      </c>
      <c r="N9" s="150" t="str">
        <f>IF(AND(ParticipantConditionSummary!AA9&lt;&gt;"",ParticipantConditionSummary!AA33&lt;&gt;""),ParticipantConditionSummary!AA9-ParticipantConditionSummary!AA33,"")</f>
      </c>
    </row>
    <row r="10">
      <c r="A10" s="90" t="inlineStr">
        <is>
          <t>P006</t>
        </is>
      </c>
      <c r="B10" s="149" t="str">
        <f>IF(AND(ParticipantConditionSummary!F10&lt;&gt;"",ParticipantConditionSummary!F34&lt;&gt;""),ParticipantConditionSummary!F10-ParticipantConditionSummary!F34,"")</f>
      </c>
      <c r="C10" s="149" t="str">
        <f>IF(AND(ParticipantConditionSummary!G10&lt;&gt;"",ParticipantConditionSummary!G34&lt;&gt;""),ParticipantConditionSummary!G10-ParticipantConditionSummary!G34,"")</f>
      </c>
      <c r="D10" s="149" t="str">
        <f>IF(AND(ParticipantConditionSummary!H10&lt;&gt;"",ParticipantConditionSummary!H34&lt;&gt;""),ParticipantConditionSummary!H10-ParticipantConditionSummary!H34,"")</f>
      </c>
      <c r="E10" s="149" t="str">
        <f>IF(AND(ParticipantConditionSummary!L10&lt;&gt;"",ParticipantConditionSummary!L34&lt;&gt;""),ParticipantConditionSummary!L10-ParticipantConditionSummary!L34,"")</f>
      </c>
      <c r="F10" s="149" t="str">
        <f>IF(AND(ParticipantConditionSummary!P10&lt;&gt;"",ParticipantConditionSummary!P34&lt;&gt;""),ParticipantConditionSummary!P10-ParticipantConditionSummary!P34,"")</f>
      </c>
      <c r="G10" s="149" t="str">
        <f>IF(AND(ParticipantConditionSummary!T10&lt;&gt;"",ParticipantConditionSummary!T34&lt;&gt;""),ParticipantConditionSummary!T10-ParticipantConditionSummary!T34,"")</f>
      </c>
      <c r="H10" s="149" t="str">
        <f>IF(AND(ParticipantConditionSummary!U10&lt;&gt;"",ParticipantConditionSummary!U34&lt;&gt;""),ParticipantConditionSummary!U10-ParticipantConditionSummary!U34,"")</f>
      </c>
      <c r="I10" s="149" t="str">
        <f>IF(AND(ParticipantConditionSummary!V10&lt;&gt;"",ParticipantConditionSummary!V34&lt;&gt;""),ParticipantConditionSummary!V10-ParticipantConditionSummary!V34,"")</f>
      </c>
      <c r="J10" s="149" t="str">
        <f>IF(AND(ParticipantConditionSummary!W10&lt;&gt;"",ParticipantConditionSummary!W34&lt;&gt;""),ParticipantConditionSummary!W10-ParticipantConditionSummary!W34,"")</f>
      </c>
      <c r="K10" s="149" t="str">
        <f>IF(AND(ParticipantConditionSummary!X10&lt;&gt;"",ParticipantConditionSummary!X34&lt;&gt;""),ParticipantConditionSummary!X10-ParticipantConditionSummary!X34,"")</f>
      </c>
      <c r="L10" s="149" t="str">
        <f>IF(AND(ParticipantConditionSummary!Y10&lt;&gt;"",ParticipantConditionSummary!Y34&lt;&gt;""),ParticipantConditionSummary!Y10-ParticipantConditionSummary!Y34,"")</f>
      </c>
      <c r="M10" s="149" t="str">
        <f>IF(AND(ParticipantConditionSummary!Z10&lt;&gt;"",ParticipantConditionSummary!Z34&lt;&gt;""),ParticipantConditionSummary!Z10-ParticipantConditionSummary!Z34,"")</f>
      </c>
      <c r="N10" s="150" t="str">
        <f>IF(AND(ParticipantConditionSummary!AA10&lt;&gt;"",ParticipantConditionSummary!AA34&lt;&gt;""),ParticipantConditionSummary!AA10-ParticipantConditionSummary!AA34,"")</f>
      </c>
    </row>
    <row r="11">
      <c r="A11" s="90" t="inlineStr">
        <is>
          <t>P007</t>
        </is>
      </c>
      <c r="B11" s="149" t="str">
        <f>IF(AND(ParticipantConditionSummary!F11&lt;&gt;"",ParticipantConditionSummary!F35&lt;&gt;""),ParticipantConditionSummary!F11-ParticipantConditionSummary!F35,"")</f>
      </c>
      <c r="C11" s="149" t="str">
        <f>IF(AND(ParticipantConditionSummary!G11&lt;&gt;"",ParticipantConditionSummary!G35&lt;&gt;""),ParticipantConditionSummary!G11-ParticipantConditionSummary!G35,"")</f>
      </c>
      <c r="D11" s="149" t="str">
        <f>IF(AND(ParticipantConditionSummary!H11&lt;&gt;"",ParticipantConditionSummary!H35&lt;&gt;""),ParticipantConditionSummary!H11-ParticipantConditionSummary!H35,"")</f>
      </c>
      <c r="E11" s="149" t="str">
        <f>IF(AND(ParticipantConditionSummary!L11&lt;&gt;"",ParticipantConditionSummary!L35&lt;&gt;""),ParticipantConditionSummary!L11-ParticipantConditionSummary!L35,"")</f>
      </c>
      <c r="F11" s="149" t="str">
        <f>IF(AND(ParticipantConditionSummary!P11&lt;&gt;"",ParticipantConditionSummary!P35&lt;&gt;""),ParticipantConditionSummary!P11-ParticipantConditionSummary!P35,"")</f>
      </c>
      <c r="G11" s="149" t="str">
        <f>IF(AND(ParticipantConditionSummary!T11&lt;&gt;"",ParticipantConditionSummary!T35&lt;&gt;""),ParticipantConditionSummary!T11-ParticipantConditionSummary!T35,"")</f>
      </c>
      <c r="H11" s="149" t="str">
        <f>IF(AND(ParticipantConditionSummary!U11&lt;&gt;"",ParticipantConditionSummary!U35&lt;&gt;""),ParticipantConditionSummary!U11-ParticipantConditionSummary!U35,"")</f>
      </c>
      <c r="I11" s="149" t="str">
        <f>IF(AND(ParticipantConditionSummary!V11&lt;&gt;"",ParticipantConditionSummary!V35&lt;&gt;""),ParticipantConditionSummary!V11-ParticipantConditionSummary!V35,"")</f>
      </c>
      <c r="J11" s="149" t="str">
        <f>IF(AND(ParticipantConditionSummary!W11&lt;&gt;"",ParticipantConditionSummary!W35&lt;&gt;""),ParticipantConditionSummary!W11-ParticipantConditionSummary!W35,"")</f>
      </c>
      <c r="K11" s="149" t="str">
        <f>IF(AND(ParticipantConditionSummary!X11&lt;&gt;"",ParticipantConditionSummary!X35&lt;&gt;""),ParticipantConditionSummary!X11-ParticipantConditionSummary!X35,"")</f>
      </c>
      <c r="L11" s="149" t="str">
        <f>IF(AND(ParticipantConditionSummary!Y11&lt;&gt;"",ParticipantConditionSummary!Y35&lt;&gt;""),ParticipantConditionSummary!Y11-ParticipantConditionSummary!Y35,"")</f>
      </c>
      <c r="M11" s="149" t="str">
        <f>IF(AND(ParticipantConditionSummary!Z11&lt;&gt;"",ParticipantConditionSummary!Z35&lt;&gt;""),ParticipantConditionSummary!Z11-ParticipantConditionSummary!Z35,"")</f>
      </c>
      <c r="N11" s="150" t="str">
        <f>IF(AND(ParticipantConditionSummary!AA11&lt;&gt;"",ParticipantConditionSummary!AA35&lt;&gt;""),ParticipantConditionSummary!AA11-ParticipantConditionSummary!AA35,"")</f>
      </c>
    </row>
    <row r="12">
      <c r="A12" s="90" t="inlineStr">
        <is>
          <t>P008</t>
        </is>
      </c>
      <c r="B12" s="149" t="str">
        <f>IF(AND(ParticipantConditionSummary!F12&lt;&gt;"",ParticipantConditionSummary!F36&lt;&gt;""),ParticipantConditionSummary!F12-ParticipantConditionSummary!F36,"")</f>
      </c>
      <c r="C12" s="149" t="str">
        <f>IF(AND(ParticipantConditionSummary!G12&lt;&gt;"",ParticipantConditionSummary!G36&lt;&gt;""),ParticipantConditionSummary!G12-ParticipantConditionSummary!G36,"")</f>
      </c>
      <c r="D12" s="149" t="str">
        <f>IF(AND(ParticipantConditionSummary!H12&lt;&gt;"",ParticipantConditionSummary!H36&lt;&gt;""),ParticipantConditionSummary!H12-ParticipantConditionSummary!H36,"")</f>
      </c>
      <c r="E12" s="149" t="str">
        <f>IF(AND(ParticipantConditionSummary!L12&lt;&gt;"",ParticipantConditionSummary!L36&lt;&gt;""),ParticipantConditionSummary!L12-ParticipantConditionSummary!L36,"")</f>
      </c>
      <c r="F12" s="149" t="str">
        <f>IF(AND(ParticipantConditionSummary!P12&lt;&gt;"",ParticipantConditionSummary!P36&lt;&gt;""),ParticipantConditionSummary!P12-ParticipantConditionSummary!P36,"")</f>
      </c>
      <c r="G12" s="149" t="str">
        <f>IF(AND(ParticipantConditionSummary!T12&lt;&gt;"",ParticipantConditionSummary!T36&lt;&gt;""),ParticipantConditionSummary!T12-ParticipantConditionSummary!T36,"")</f>
      </c>
      <c r="H12" s="149" t="str">
        <f>IF(AND(ParticipantConditionSummary!U12&lt;&gt;"",ParticipantConditionSummary!U36&lt;&gt;""),ParticipantConditionSummary!U12-ParticipantConditionSummary!U36,"")</f>
      </c>
      <c r="I12" s="149" t="str">
        <f>IF(AND(ParticipantConditionSummary!V12&lt;&gt;"",ParticipantConditionSummary!V36&lt;&gt;""),ParticipantConditionSummary!V12-ParticipantConditionSummary!V36,"")</f>
      </c>
      <c r="J12" s="149" t="str">
        <f>IF(AND(ParticipantConditionSummary!W12&lt;&gt;"",ParticipantConditionSummary!W36&lt;&gt;""),ParticipantConditionSummary!W12-ParticipantConditionSummary!W36,"")</f>
      </c>
      <c r="K12" s="149" t="str">
        <f>IF(AND(ParticipantConditionSummary!X12&lt;&gt;"",ParticipantConditionSummary!X36&lt;&gt;""),ParticipantConditionSummary!X12-ParticipantConditionSummary!X36,"")</f>
      </c>
      <c r="L12" s="149" t="str">
        <f>IF(AND(ParticipantConditionSummary!Y12&lt;&gt;"",ParticipantConditionSummary!Y36&lt;&gt;""),ParticipantConditionSummary!Y12-ParticipantConditionSummary!Y36,"")</f>
      </c>
      <c r="M12" s="149" t="str">
        <f>IF(AND(ParticipantConditionSummary!Z12&lt;&gt;"",ParticipantConditionSummary!Z36&lt;&gt;""),ParticipantConditionSummary!Z12-ParticipantConditionSummary!Z36,"")</f>
      </c>
      <c r="N12" s="150" t="str">
        <f>IF(AND(ParticipantConditionSummary!AA12&lt;&gt;"",ParticipantConditionSummary!AA36&lt;&gt;""),ParticipantConditionSummary!AA12-ParticipantConditionSummary!AA36,"")</f>
      </c>
    </row>
    <row r="13">
      <c r="A13" s="90" t="inlineStr">
        <is>
          <t>P009</t>
        </is>
      </c>
      <c r="B13" s="149" t="str">
        <f>IF(AND(ParticipantConditionSummary!F13&lt;&gt;"",ParticipantConditionSummary!F37&lt;&gt;""),ParticipantConditionSummary!F13-ParticipantConditionSummary!F37,"")</f>
      </c>
      <c r="C13" s="149" t="str">
        <f>IF(AND(ParticipantConditionSummary!G13&lt;&gt;"",ParticipantConditionSummary!G37&lt;&gt;""),ParticipantConditionSummary!G13-ParticipantConditionSummary!G37,"")</f>
      </c>
      <c r="D13" s="149" t="str">
        <f>IF(AND(ParticipantConditionSummary!H13&lt;&gt;"",ParticipantConditionSummary!H37&lt;&gt;""),ParticipantConditionSummary!H13-ParticipantConditionSummary!H37,"")</f>
      </c>
      <c r="E13" s="149" t="str">
        <f>IF(AND(ParticipantConditionSummary!L13&lt;&gt;"",ParticipantConditionSummary!L37&lt;&gt;""),ParticipantConditionSummary!L13-ParticipantConditionSummary!L37,"")</f>
      </c>
      <c r="F13" s="149" t="str">
        <f>IF(AND(ParticipantConditionSummary!P13&lt;&gt;"",ParticipantConditionSummary!P37&lt;&gt;""),ParticipantConditionSummary!P13-ParticipantConditionSummary!P37,"")</f>
      </c>
      <c r="G13" s="149" t="str">
        <f>IF(AND(ParticipantConditionSummary!T13&lt;&gt;"",ParticipantConditionSummary!T37&lt;&gt;""),ParticipantConditionSummary!T13-ParticipantConditionSummary!T37,"")</f>
      </c>
      <c r="H13" s="149" t="str">
        <f>IF(AND(ParticipantConditionSummary!U13&lt;&gt;"",ParticipantConditionSummary!U37&lt;&gt;""),ParticipantConditionSummary!U13-ParticipantConditionSummary!U37,"")</f>
      </c>
      <c r="I13" s="149" t="str">
        <f>IF(AND(ParticipantConditionSummary!V13&lt;&gt;"",ParticipantConditionSummary!V37&lt;&gt;""),ParticipantConditionSummary!V13-ParticipantConditionSummary!V37,"")</f>
      </c>
      <c r="J13" s="149" t="str">
        <f>IF(AND(ParticipantConditionSummary!W13&lt;&gt;"",ParticipantConditionSummary!W37&lt;&gt;""),ParticipantConditionSummary!W13-ParticipantConditionSummary!W37,"")</f>
      </c>
      <c r="K13" s="149" t="str">
        <f>IF(AND(ParticipantConditionSummary!X13&lt;&gt;"",ParticipantConditionSummary!X37&lt;&gt;""),ParticipantConditionSummary!X13-ParticipantConditionSummary!X37,"")</f>
      </c>
      <c r="L13" s="149" t="str">
        <f>IF(AND(ParticipantConditionSummary!Y13&lt;&gt;"",ParticipantConditionSummary!Y37&lt;&gt;""),ParticipantConditionSummary!Y13-ParticipantConditionSummary!Y37,"")</f>
      </c>
      <c r="M13" s="149" t="str">
        <f>IF(AND(ParticipantConditionSummary!Z13&lt;&gt;"",ParticipantConditionSummary!Z37&lt;&gt;""),ParticipantConditionSummary!Z13-ParticipantConditionSummary!Z37,"")</f>
      </c>
      <c r="N13" s="150" t="str">
        <f>IF(AND(ParticipantConditionSummary!AA13&lt;&gt;"",ParticipantConditionSummary!AA37&lt;&gt;""),ParticipantConditionSummary!AA13-ParticipantConditionSummary!AA37,"")</f>
      </c>
    </row>
    <row r="14">
      <c r="A14" s="90" t="inlineStr">
        <is>
          <t>P010</t>
        </is>
      </c>
      <c r="B14" s="149" t="str">
        <f>IF(AND(ParticipantConditionSummary!F14&lt;&gt;"",ParticipantConditionSummary!F38&lt;&gt;""),ParticipantConditionSummary!F14-ParticipantConditionSummary!F38,"")</f>
      </c>
      <c r="C14" s="149" t="str">
        <f>IF(AND(ParticipantConditionSummary!G14&lt;&gt;"",ParticipantConditionSummary!G38&lt;&gt;""),ParticipantConditionSummary!G14-ParticipantConditionSummary!G38,"")</f>
      </c>
      <c r="D14" s="149" t="str">
        <f>IF(AND(ParticipantConditionSummary!H14&lt;&gt;"",ParticipantConditionSummary!H38&lt;&gt;""),ParticipantConditionSummary!H14-ParticipantConditionSummary!H38,"")</f>
      </c>
      <c r="E14" s="149" t="str">
        <f>IF(AND(ParticipantConditionSummary!L14&lt;&gt;"",ParticipantConditionSummary!L38&lt;&gt;""),ParticipantConditionSummary!L14-ParticipantConditionSummary!L38,"")</f>
      </c>
      <c r="F14" s="149" t="str">
        <f>IF(AND(ParticipantConditionSummary!P14&lt;&gt;"",ParticipantConditionSummary!P38&lt;&gt;""),ParticipantConditionSummary!P14-ParticipantConditionSummary!P38,"")</f>
      </c>
      <c r="G14" s="149" t="str">
        <f>IF(AND(ParticipantConditionSummary!T14&lt;&gt;"",ParticipantConditionSummary!T38&lt;&gt;""),ParticipantConditionSummary!T14-ParticipantConditionSummary!T38,"")</f>
      </c>
      <c r="H14" s="149" t="str">
        <f>IF(AND(ParticipantConditionSummary!U14&lt;&gt;"",ParticipantConditionSummary!U38&lt;&gt;""),ParticipantConditionSummary!U14-ParticipantConditionSummary!U38,"")</f>
      </c>
      <c r="I14" s="149" t="str">
        <f>IF(AND(ParticipantConditionSummary!V14&lt;&gt;"",ParticipantConditionSummary!V38&lt;&gt;""),ParticipantConditionSummary!V14-ParticipantConditionSummary!V38,"")</f>
      </c>
      <c r="J14" s="149" t="str">
        <f>IF(AND(ParticipantConditionSummary!W14&lt;&gt;"",ParticipantConditionSummary!W38&lt;&gt;""),ParticipantConditionSummary!W14-ParticipantConditionSummary!W38,"")</f>
      </c>
      <c r="K14" s="149" t="str">
        <f>IF(AND(ParticipantConditionSummary!X14&lt;&gt;"",ParticipantConditionSummary!X38&lt;&gt;""),ParticipantConditionSummary!X14-ParticipantConditionSummary!X38,"")</f>
      </c>
      <c r="L14" s="149" t="str">
        <f>IF(AND(ParticipantConditionSummary!Y14&lt;&gt;"",ParticipantConditionSummary!Y38&lt;&gt;""),ParticipantConditionSummary!Y14-ParticipantConditionSummary!Y38,"")</f>
      </c>
      <c r="M14" s="149" t="str">
        <f>IF(AND(ParticipantConditionSummary!Z14&lt;&gt;"",ParticipantConditionSummary!Z38&lt;&gt;""),ParticipantConditionSummary!Z14-ParticipantConditionSummary!Z38,"")</f>
      </c>
      <c r="N14" s="150" t="str">
        <f>IF(AND(ParticipantConditionSummary!AA14&lt;&gt;"",ParticipantConditionSummary!AA38&lt;&gt;""),ParticipantConditionSummary!AA14-ParticipantConditionSummary!AA38,"")</f>
      </c>
    </row>
    <row r="15">
      <c r="A15" s="90" t="inlineStr">
        <is>
          <t>P011</t>
        </is>
      </c>
      <c r="B15" s="149" t="str">
        <f>IF(AND(ParticipantConditionSummary!F15&lt;&gt;"",ParticipantConditionSummary!F39&lt;&gt;""),ParticipantConditionSummary!F15-ParticipantConditionSummary!F39,"")</f>
      </c>
      <c r="C15" s="149" t="str">
        <f>IF(AND(ParticipantConditionSummary!G15&lt;&gt;"",ParticipantConditionSummary!G39&lt;&gt;""),ParticipantConditionSummary!G15-ParticipantConditionSummary!G39,"")</f>
      </c>
      <c r="D15" s="149" t="str">
        <f>IF(AND(ParticipantConditionSummary!H15&lt;&gt;"",ParticipantConditionSummary!H39&lt;&gt;""),ParticipantConditionSummary!H15-ParticipantConditionSummary!H39,"")</f>
      </c>
      <c r="E15" s="149" t="str">
        <f>IF(AND(ParticipantConditionSummary!L15&lt;&gt;"",ParticipantConditionSummary!L39&lt;&gt;""),ParticipantConditionSummary!L15-ParticipantConditionSummary!L39,"")</f>
      </c>
      <c r="F15" s="149" t="str">
        <f>IF(AND(ParticipantConditionSummary!P15&lt;&gt;"",ParticipantConditionSummary!P39&lt;&gt;""),ParticipantConditionSummary!P15-ParticipantConditionSummary!P39,"")</f>
      </c>
      <c r="G15" s="149" t="str">
        <f>IF(AND(ParticipantConditionSummary!T15&lt;&gt;"",ParticipantConditionSummary!T39&lt;&gt;""),ParticipantConditionSummary!T15-ParticipantConditionSummary!T39,"")</f>
      </c>
      <c r="H15" s="149" t="str">
        <f>IF(AND(ParticipantConditionSummary!U15&lt;&gt;"",ParticipantConditionSummary!U39&lt;&gt;""),ParticipantConditionSummary!U15-ParticipantConditionSummary!U39,"")</f>
      </c>
      <c r="I15" s="149" t="str">
        <f>IF(AND(ParticipantConditionSummary!V15&lt;&gt;"",ParticipantConditionSummary!V39&lt;&gt;""),ParticipantConditionSummary!V15-ParticipantConditionSummary!V39,"")</f>
      </c>
      <c r="J15" s="149" t="str">
        <f>IF(AND(ParticipantConditionSummary!W15&lt;&gt;"",ParticipantConditionSummary!W39&lt;&gt;""),ParticipantConditionSummary!W15-ParticipantConditionSummary!W39,"")</f>
      </c>
      <c r="K15" s="149" t="str">
        <f>IF(AND(ParticipantConditionSummary!X15&lt;&gt;"",ParticipantConditionSummary!X39&lt;&gt;""),ParticipantConditionSummary!X15-ParticipantConditionSummary!X39,"")</f>
      </c>
      <c r="L15" s="149" t="str">
        <f>IF(AND(ParticipantConditionSummary!Y15&lt;&gt;"",ParticipantConditionSummary!Y39&lt;&gt;""),ParticipantConditionSummary!Y15-ParticipantConditionSummary!Y39,"")</f>
      </c>
      <c r="M15" s="149" t="str">
        <f>IF(AND(ParticipantConditionSummary!Z15&lt;&gt;"",ParticipantConditionSummary!Z39&lt;&gt;""),ParticipantConditionSummary!Z15-ParticipantConditionSummary!Z39,"")</f>
      </c>
      <c r="N15" s="150" t="str">
        <f>IF(AND(ParticipantConditionSummary!AA15&lt;&gt;"",ParticipantConditionSummary!AA39&lt;&gt;""),ParticipantConditionSummary!AA15-ParticipantConditionSummary!AA39,"")</f>
      </c>
    </row>
    <row r="16">
      <c r="A16" s="90" t="inlineStr">
        <is>
          <t>P012</t>
        </is>
      </c>
      <c r="B16" s="149" t="str">
        <f>IF(AND(ParticipantConditionSummary!F16&lt;&gt;"",ParticipantConditionSummary!F40&lt;&gt;""),ParticipantConditionSummary!F16-ParticipantConditionSummary!F40,"")</f>
      </c>
      <c r="C16" s="149" t="str">
        <f>IF(AND(ParticipantConditionSummary!G16&lt;&gt;"",ParticipantConditionSummary!G40&lt;&gt;""),ParticipantConditionSummary!G16-ParticipantConditionSummary!G40,"")</f>
      </c>
      <c r="D16" s="149" t="str">
        <f>IF(AND(ParticipantConditionSummary!H16&lt;&gt;"",ParticipantConditionSummary!H40&lt;&gt;""),ParticipantConditionSummary!H16-ParticipantConditionSummary!H40,"")</f>
      </c>
      <c r="E16" s="149" t="str">
        <f>IF(AND(ParticipantConditionSummary!L16&lt;&gt;"",ParticipantConditionSummary!L40&lt;&gt;""),ParticipantConditionSummary!L16-ParticipantConditionSummary!L40,"")</f>
      </c>
      <c r="F16" s="149" t="str">
        <f>IF(AND(ParticipantConditionSummary!P16&lt;&gt;"",ParticipantConditionSummary!P40&lt;&gt;""),ParticipantConditionSummary!P16-ParticipantConditionSummary!P40,"")</f>
      </c>
      <c r="G16" s="149" t="str">
        <f>IF(AND(ParticipantConditionSummary!T16&lt;&gt;"",ParticipantConditionSummary!T40&lt;&gt;""),ParticipantConditionSummary!T16-ParticipantConditionSummary!T40,"")</f>
      </c>
      <c r="H16" s="149" t="str">
        <f>IF(AND(ParticipantConditionSummary!U16&lt;&gt;"",ParticipantConditionSummary!U40&lt;&gt;""),ParticipantConditionSummary!U16-ParticipantConditionSummary!U40,"")</f>
      </c>
      <c r="I16" s="149" t="str">
        <f>IF(AND(ParticipantConditionSummary!V16&lt;&gt;"",ParticipantConditionSummary!V40&lt;&gt;""),ParticipantConditionSummary!V16-ParticipantConditionSummary!V40,"")</f>
      </c>
      <c r="J16" s="149" t="str">
        <f>IF(AND(ParticipantConditionSummary!W16&lt;&gt;"",ParticipantConditionSummary!W40&lt;&gt;""),ParticipantConditionSummary!W16-ParticipantConditionSummary!W40,"")</f>
      </c>
      <c r="K16" s="149" t="str">
        <f>IF(AND(ParticipantConditionSummary!X16&lt;&gt;"",ParticipantConditionSummary!X40&lt;&gt;""),ParticipantConditionSummary!X16-ParticipantConditionSummary!X40,"")</f>
      </c>
      <c r="L16" s="149" t="str">
        <f>IF(AND(ParticipantConditionSummary!Y16&lt;&gt;"",ParticipantConditionSummary!Y40&lt;&gt;""),ParticipantConditionSummary!Y16-ParticipantConditionSummary!Y40,"")</f>
      </c>
      <c r="M16" s="149" t="str">
        <f>IF(AND(ParticipantConditionSummary!Z16&lt;&gt;"",ParticipantConditionSummary!Z40&lt;&gt;""),ParticipantConditionSummary!Z16-ParticipantConditionSummary!Z40,"")</f>
      </c>
      <c r="N16" s="150" t="str">
        <f>IF(AND(ParticipantConditionSummary!AA16&lt;&gt;"",ParticipantConditionSummary!AA40&lt;&gt;""),ParticipantConditionSummary!AA16-ParticipantConditionSummary!AA40,"")</f>
      </c>
    </row>
    <row r="17">
      <c r="A17" s="90" t="inlineStr">
        <is>
          <t>P013</t>
        </is>
      </c>
      <c r="B17" s="149" t="str">
        <f>IF(AND(ParticipantConditionSummary!F17&lt;&gt;"",ParticipantConditionSummary!F41&lt;&gt;""),ParticipantConditionSummary!F17-ParticipantConditionSummary!F41,"")</f>
      </c>
      <c r="C17" s="149" t="str">
        <f>IF(AND(ParticipantConditionSummary!G17&lt;&gt;"",ParticipantConditionSummary!G41&lt;&gt;""),ParticipantConditionSummary!G17-ParticipantConditionSummary!G41,"")</f>
      </c>
      <c r="D17" s="149" t="str">
        <f>IF(AND(ParticipantConditionSummary!H17&lt;&gt;"",ParticipantConditionSummary!H41&lt;&gt;""),ParticipantConditionSummary!H17-ParticipantConditionSummary!H41,"")</f>
      </c>
      <c r="E17" s="149" t="str">
        <f>IF(AND(ParticipantConditionSummary!L17&lt;&gt;"",ParticipantConditionSummary!L41&lt;&gt;""),ParticipantConditionSummary!L17-ParticipantConditionSummary!L41,"")</f>
      </c>
      <c r="F17" s="149" t="str">
        <f>IF(AND(ParticipantConditionSummary!P17&lt;&gt;"",ParticipantConditionSummary!P41&lt;&gt;""),ParticipantConditionSummary!P17-ParticipantConditionSummary!P41,"")</f>
      </c>
      <c r="G17" s="149" t="str">
        <f>IF(AND(ParticipantConditionSummary!T17&lt;&gt;"",ParticipantConditionSummary!T41&lt;&gt;""),ParticipantConditionSummary!T17-ParticipantConditionSummary!T41,"")</f>
      </c>
      <c r="H17" s="149" t="str">
        <f>IF(AND(ParticipantConditionSummary!U17&lt;&gt;"",ParticipantConditionSummary!U41&lt;&gt;""),ParticipantConditionSummary!U17-ParticipantConditionSummary!U41,"")</f>
      </c>
      <c r="I17" s="149" t="str">
        <f>IF(AND(ParticipantConditionSummary!V17&lt;&gt;"",ParticipantConditionSummary!V41&lt;&gt;""),ParticipantConditionSummary!V17-ParticipantConditionSummary!V41,"")</f>
      </c>
      <c r="J17" s="149" t="str">
        <f>IF(AND(ParticipantConditionSummary!W17&lt;&gt;"",ParticipantConditionSummary!W41&lt;&gt;""),ParticipantConditionSummary!W17-ParticipantConditionSummary!W41,"")</f>
      </c>
      <c r="K17" s="149" t="str">
        <f>IF(AND(ParticipantConditionSummary!X17&lt;&gt;"",ParticipantConditionSummary!X41&lt;&gt;""),ParticipantConditionSummary!X17-ParticipantConditionSummary!X41,"")</f>
      </c>
      <c r="L17" s="149" t="str">
        <f>IF(AND(ParticipantConditionSummary!Y17&lt;&gt;"",ParticipantConditionSummary!Y41&lt;&gt;""),ParticipantConditionSummary!Y17-ParticipantConditionSummary!Y41,"")</f>
      </c>
      <c r="M17" s="149" t="str">
        <f>IF(AND(ParticipantConditionSummary!Z17&lt;&gt;"",ParticipantConditionSummary!Z41&lt;&gt;""),ParticipantConditionSummary!Z17-ParticipantConditionSummary!Z41,"")</f>
      </c>
      <c r="N17" s="150" t="str">
        <f>IF(AND(ParticipantConditionSummary!AA17&lt;&gt;"",ParticipantConditionSummary!AA41&lt;&gt;""),ParticipantConditionSummary!AA17-ParticipantConditionSummary!AA41,"")</f>
      </c>
    </row>
    <row r="18">
      <c r="A18" s="90" t="inlineStr">
        <is>
          <t>P014</t>
        </is>
      </c>
      <c r="B18" s="149" t="str">
        <f>IF(AND(ParticipantConditionSummary!F18&lt;&gt;"",ParticipantConditionSummary!F42&lt;&gt;""),ParticipantConditionSummary!F18-ParticipantConditionSummary!F42,"")</f>
      </c>
      <c r="C18" s="149" t="str">
        <f>IF(AND(ParticipantConditionSummary!G18&lt;&gt;"",ParticipantConditionSummary!G42&lt;&gt;""),ParticipantConditionSummary!G18-ParticipantConditionSummary!G42,"")</f>
      </c>
      <c r="D18" s="149" t="str">
        <f>IF(AND(ParticipantConditionSummary!H18&lt;&gt;"",ParticipantConditionSummary!H42&lt;&gt;""),ParticipantConditionSummary!H18-ParticipantConditionSummary!H42,"")</f>
      </c>
      <c r="E18" s="149" t="str">
        <f>IF(AND(ParticipantConditionSummary!L18&lt;&gt;"",ParticipantConditionSummary!L42&lt;&gt;""),ParticipantConditionSummary!L18-ParticipantConditionSummary!L42,"")</f>
      </c>
      <c r="F18" s="149" t="str">
        <f>IF(AND(ParticipantConditionSummary!P18&lt;&gt;"",ParticipantConditionSummary!P42&lt;&gt;""),ParticipantConditionSummary!P18-ParticipantConditionSummary!P42,"")</f>
      </c>
      <c r="G18" s="149" t="str">
        <f>IF(AND(ParticipantConditionSummary!T18&lt;&gt;"",ParticipantConditionSummary!T42&lt;&gt;""),ParticipantConditionSummary!T18-ParticipantConditionSummary!T42,"")</f>
      </c>
      <c r="H18" s="149" t="str">
        <f>IF(AND(ParticipantConditionSummary!U18&lt;&gt;"",ParticipantConditionSummary!U42&lt;&gt;""),ParticipantConditionSummary!U18-ParticipantConditionSummary!U42,"")</f>
      </c>
      <c r="I18" s="149" t="str">
        <f>IF(AND(ParticipantConditionSummary!V18&lt;&gt;"",ParticipantConditionSummary!V42&lt;&gt;""),ParticipantConditionSummary!V18-ParticipantConditionSummary!V42,"")</f>
      </c>
      <c r="J18" s="149" t="str">
        <f>IF(AND(ParticipantConditionSummary!W18&lt;&gt;"",ParticipantConditionSummary!W42&lt;&gt;""),ParticipantConditionSummary!W18-ParticipantConditionSummary!W42,"")</f>
      </c>
      <c r="K18" s="149" t="str">
        <f>IF(AND(ParticipantConditionSummary!X18&lt;&gt;"",ParticipantConditionSummary!X42&lt;&gt;""),ParticipantConditionSummary!X18-ParticipantConditionSummary!X42,"")</f>
      </c>
      <c r="L18" s="149" t="str">
        <f>IF(AND(ParticipantConditionSummary!Y18&lt;&gt;"",ParticipantConditionSummary!Y42&lt;&gt;""),ParticipantConditionSummary!Y18-ParticipantConditionSummary!Y42,"")</f>
      </c>
      <c r="M18" s="149" t="str">
        <f>IF(AND(ParticipantConditionSummary!Z18&lt;&gt;"",ParticipantConditionSummary!Z42&lt;&gt;""),ParticipantConditionSummary!Z18-ParticipantConditionSummary!Z42,"")</f>
      </c>
      <c r="N18" s="150" t="str">
        <f>IF(AND(ParticipantConditionSummary!AA18&lt;&gt;"",ParticipantConditionSummary!AA42&lt;&gt;""),ParticipantConditionSummary!AA18-ParticipantConditionSummary!AA42,"")</f>
      </c>
    </row>
    <row r="19">
      <c r="A19" s="90" t="inlineStr">
        <is>
          <t>P015</t>
        </is>
      </c>
      <c r="B19" s="149" t="str">
        <f>IF(AND(ParticipantConditionSummary!F19&lt;&gt;"",ParticipantConditionSummary!F43&lt;&gt;""),ParticipantConditionSummary!F19-ParticipantConditionSummary!F43,"")</f>
      </c>
      <c r="C19" s="149" t="str">
        <f>IF(AND(ParticipantConditionSummary!G19&lt;&gt;"",ParticipantConditionSummary!G43&lt;&gt;""),ParticipantConditionSummary!G19-ParticipantConditionSummary!G43,"")</f>
      </c>
      <c r="D19" s="149" t="str">
        <f>IF(AND(ParticipantConditionSummary!H19&lt;&gt;"",ParticipantConditionSummary!H43&lt;&gt;""),ParticipantConditionSummary!H19-ParticipantConditionSummary!H43,"")</f>
      </c>
      <c r="E19" s="149" t="str">
        <f>IF(AND(ParticipantConditionSummary!L19&lt;&gt;"",ParticipantConditionSummary!L43&lt;&gt;""),ParticipantConditionSummary!L19-ParticipantConditionSummary!L43,"")</f>
      </c>
      <c r="F19" s="149" t="str">
        <f>IF(AND(ParticipantConditionSummary!P19&lt;&gt;"",ParticipantConditionSummary!P43&lt;&gt;""),ParticipantConditionSummary!P19-ParticipantConditionSummary!P43,"")</f>
      </c>
      <c r="G19" s="149" t="str">
        <f>IF(AND(ParticipantConditionSummary!T19&lt;&gt;"",ParticipantConditionSummary!T43&lt;&gt;""),ParticipantConditionSummary!T19-ParticipantConditionSummary!T43,"")</f>
      </c>
      <c r="H19" s="149" t="str">
        <f>IF(AND(ParticipantConditionSummary!U19&lt;&gt;"",ParticipantConditionSummary!U43&lt;&gt;""),ParticipantConditionSummary!U19-ParticipantConditionSummary!U43,"")</f>
      </c>
      <c r="I19" s="149" t="str">
        <f>IF(AND(ParticipantConditionSummary!V19&lt;&gt;"",ParticipantConditionSummary!V43&lt;&gt;""),ParticipantConditionSummary!V19-ParticipantConditionSummary!V43,"")</f>
      </c>
      <c r="J19" s="149" t="str">
        <f>IF(AND(ParticipantConditionSummary!W19&lt;&gt;"",ParticipantConditionSummary!W43&lt;&gt;""),ParticipantConditionSummary!W19-ParticipantConditionSummary!W43,"")</f>
      </c>
      <c r="K19" s="149" t="str">
        <f>IF(AND(ParticipantConditionSummary!X19&lt;&gt;"",ParticipantConditionSummary!X43&lt;&gt;""),ParticipantConditionSummary!X19-ParticipantConditionSummary!X43,"")</f>
      </c>
      <c r="L19" s="149" t="str">
        <f>IF(AND(ParticipantConditionSummary!Y19&lt;&gt;"",ParticipantConditionSummary!Y43&lt;&gt;""),ParticipantConditionSummary!Y19-ParticipantConditionSummary!Y43,"")</f>
      </c>
      <c r="M19" s="149" t="str">
        <f>IF(AND(ParticipantConditionSummary!Z19&lt;&gt;"",ParticipantConditionSummary!Z43&lt;&gt;""),ParticipantConditionSummary!Z19-ParticipantConditionSummary!Z43,"")</f>
      </c>
      <c r="N19" s="150" t="str">
        <f>IF(AND(ParticipantConditionSummary!AA19&lt;&gt;"",ParticipantConditionSummary!AA43&lt;&gt;""),ParticipantConditionSummary!AA19-ParticipantConditionSummary!AA43,"")</f>
      </c>
    </row>
    <row r="20">
      <c r="A20" s="90" t="inlineStr">
        <is>
          <t>P016</t>
        </is>
      </c>
      <c r="B20" s="149" t="str">
        <f>IF(AND(ParticipantConditionSummary!F20&lt;&gt;"",ParticipantConditionSummary!F44&lt;&gt;""),ParticipantConditionSummary!F20-ParticipantConditionSummary!F44,"")</f>
      </c>
      <c r="C20" s="149" t="str">
        <f>IF(AND(ParticipantConditionSummary!G20&lt;&gt;"",ParticipantConditionSummary!G44&lt;&gt;""),ParticipantConditionSummary!G20-ParticipantConditionSummary!G44,"")</f>
      </c>
      <c r="D20" s="149" t="str">
        <f>IF(AND(ParticipantConditionSummary!H20&lt;&gt;"",ParticipantConditionSummary!H44&lt;&gt;""),ParticipantConditionSummary!H20-ParticipantConditionSummary!H44,"")</f>
      </c>
      <c r="E20" s="149" t="str">
        <f>IF(AND(ParticipantConditionSummary!L20&lt;&gt;"",ParticipantConditionSummary!L44&lt;&gt;""),ParticipantConditionSummary!L20-ParticipantConditionSummary!L44,"")</f>
      </c>
      <c r="F20" s="149" t="str">
        <f>IF(AND(ParticipantConditionSummary!P20&lt;&gt;"",ParticipantConditionSummary!P44&lt;&gt;""),ParticipantConditionSummary!P20-ParticipantConditionSummary!P44,"")</f>
      </c>
      <c r="G20" s="149" t="str">
        <f>IF(AND(ParticipantConditionSummary!T20&lt;&gt;"",ParticipantConditionSummary!T44&lt;&gt;""),ParticipantConditionSummary!T20-ParticipantConditionSummary!T44,"")</f>
      </c>
      <c r="H20" s="149" t="str">
        <f>IF(AND(ParticipantConditionSummary!U20&lt;&gt;"",ParticipantConditionSummary!U44&lt;&gt;""),ParticipantConditionSummary!U20-ParticipantConditionSummary!U44,"")</f>
      </c>
      <c r="I20" s="149" t="str">
        <f>IF(AND(ParticipantConditionSummary!V20&lt;&gt;"",ParticipantConditionSummary!V44&lt;&gt;""),ParticipantConditionSummary!V20-ParticipantConditionSummary!V44,"")</f>
      </c>
      <c r="J20" s="149" t="str">
        <f>IF(AND(ParticipantConditionSummary!W20&lt;&gt;"",ParticipantConditionSummary!W44&lt;&gt;""),ParticipantConditionSummary!W20-ParticipantConditionSummary!W44,"")</f>
      </c>
      <c r="K20" s="149" t="str">
        <f>IF(AND(ParticipantConditionSummary!X20&lt;&gt;"",ParticipantConditionSummary!X44&lt;&gt;""),ParticipantConditionSummary!X20-ParticipantConditionSummary!X44,"")</f>
      </c>
      <c r="L20" s="149" t="str">
        <f>IF(AND(ParticipantConditionSummary!Y20&lt;&gt;"",ParticipantConditionSummary!Y44&lt;&gt;""),ParticipantConditionSummary!Y20-ParticipantConditionSummary!Y44,"")</f>
      </c>
      <c r="M20" s="149" t="str">
        <f>IF(AND(ParticipantConditionSummary!Z20&lt;&gt;"",ParticipantConditionSummary!Z44&lt;&gt;""),ParticipantConditionSummary!Z20-ParticipantConditionSummary!Z44,"")</f>
      </c>
      <c r="N20" s="150" t="str">
        <f>IF(AND(ParticipantConditionSummary!AA20&lt;&gt;"",ParticipantConditionSummary!AA44&lt;&gt;""),ParticipantConditionSummary!AA20-ParticipantConditionSummary!AA44,"")</f>
      </c>
    </row>
    <row r="21">
      <c r="A21" s="90" t="inlineStr">
        <is>
          <t>P017</t>
        </is>
      </c>
      <c r="B21" s="149" t="str">
        <f>IF(AND(ParticipantConditionSummary!F21&lt;&gt;"",ParticipantConditionSummary!F45&lt;&gt;""),ParticipantConditionSummary!F21-ParticipantConditionSummary!F45,"")</f>
      </c>
      <c r="C21" s="149" t="str">
        <f>IF(AND(ParticipantConditionSummary!G21&lt;&gt;"",ParticipantConditionSummary!G45&lt;&gt;""),ParticipantConditionSummary!G21-ParticipantConditionSummary!G45,"")</f>
      </c>
      <c r="D21" s="149" t="str">
        <f>IF(AND(ParticipantConditionSummary!H21&lt;&gt;"",ParticipantConditionSummary!H45&lt;&gt;""),ParticipantConditionSummary!H21-ParticipantConditionSummary!H45,"")</f>
      </c>
      <c r="E21" s="149" t="str">
        <f>IF(AND(ParticipantConditionSummary!L21&lt;&gt;"",ParticipantConditionSummary!L45&lt;&gt;""),ParticipantConditionSummary!L21-ParticipantConditionSummary!L45,"")</f>
      </c>
      <c r="F21" s="149" t="str">
        <f>IF(AND(ParticipantConditionSummary!P21&lt;&gt;"",ParticipantConditionSummary!P45&lt;&gt;""),ParticipantConditionSummary!P21-ParticipantConditionSummary!P45,"")</f>
      </c>
      <c r="G21" s="149" t="str">
        <f>IF(AND(ParticipantConditionSummary!T21&lt;&gt;"",ParticipantConditionSummary!T45&lt;&gt;""),ParticipantConditionSummary!T21-ParticipantConditionSummary!T45,"")</f>
      </c>
      <c r="H21" s="149" t="str">
        <f>IF(AND(ParticipantConditionSummary!U21&lt;&gt;"",ParticipantConditionSummary!U45&lt;&gt;""),ParticipantConditionSummary!U21-ParticipantConditionSummary!U45,"")</f>
      </c>
      <c r="I21" s="149" t="str">
        <f>IF(AND(ParticipantConditionSummary!V21&lt;&gt;"",ParticipantConditionSummary!V45&lt;&gt;""),ParticipantConditionSummary!V21-ParticipantConditionSummary!V45,"")</f>
      </c>
      <c r="J21" s="149" t="str">
        <f>IF(AND(ParticipantConditionSummary!W21&lt;&gt;"",ParticipantConditionSummary!W45&lt;&gt;""),ParticipantConditionSummary!W21-ParticipantConditionSummary!W45,"")</f>
      </c>
      <c r="K21" s="149" t="str">
        <f>IF(AND(ParticipantConditionSummary!X21&lt;&gt;"",ParticipantConditionSummary!X45&lt;&gt;""),ParticipantConditionSummary!X21-ParticipantConditionSummary!X45,"")</f>
      </c>
      <c r="L21" s="149" t="str">
        <f>IF(AND(ParticipantConditionSummary!Y21&lt;&gt;"",ParticipantConditionSummary!Y45&lt;&gt;""),ParticipantConditionSummary!Y21-ParticipantConditionSummary!Y45,"")</f>
      </c>
      <c r="M21" s="149" t="str">
        <f>IF(AND(ParticipantConditionSummary!Z21&lt;&gt;"",ParticipantConditionSummary!Z45&lt;&gt;""),ParticipantConditionSummary!Z21-ParticipantConditionSummary!Z45,"")</f>
      </c>
      <c r="N21" s="150" t="str">
        <f>IF(AND(ParticipantConditionSummary!AA21&lt;&gt;"",ParticipantConditionSummary!AA45&lt;&gt;""),ParticipantConditionSummary!AA21-ParticipantConditionSummary!AA45,"")</f>
      </c>
    </row>
    <row r="22">
      <c r="A22" s="90" t="inlineStr">
        <is>
          <t>P018</t>
        </is>
      </c>
      <c r="B22" s="149" t="str">
        <f>IF(AND(ParticipantConditionSummary!F22&lt;&gt;"",ParticipantConditionSummary!F46&lt;&gt;""),ParticipantConditionSummary!F22-ParticipantConditionSummary!F46,"")</f>
      </c>
      <c r="C22" s="149" t="str">
        <f>IF(AND(ParticipantConditionSummary!G22&lt;&gt;"",ParticipantConditionSummary!G46&lt;&gt;""),ParticipantConditionSummary!G22-ParticipantConditionSummary!G46,"")</f>
      </c>
      <c r="D22" s="149" t="str">
        <f>IF(AND(ParticipantConditionSummary!H22&lt;&gt;"",ParticipantConditionSummary!H46&lt;&gt;""),ParticipantConditionSummary!H22-ParticipantConditionSummary!H46,"")</f>
      </c>
      <c r="E22" s="149" t="str">
        <f>IF(AND(ParticipantConditionSummary!L22&lt;&gt;"",ParticipantConditionSummary!L46&lt;&gt;""),ParticipantConditionSummary!L22-ParticipantConditionSummary!L46,"")</f>
      </c>
      <c r="F22" s="149" t="str">
        <f>IF(AND(ParticipantConditionSummary!P22&lt;&gt;"",ParticipantConditionSummary!P46&lt;&gt;""),ParticipantConditionSummary!P22-ParticipantConditionSummary!P46,"")</f>
      </c>
      <c r="G22" s="149" t="str">
        <f>IF(AND(ParticipantConditionSummary!T22&lt;&gt;"",ParticipantConditionSummary!T46&lt;&gt;""),ParticipantConditionSummary!T22-ParticipantConditionSummary!T46,"")</f>
      </c>
      <c r="H22" s="149" t="str">
        <f>IF(AND(ParticipantConditionSummary!U22&lt;&gt;"",ParticipantConditionSummary!U46&lt;&gt;""),ParticipantConditionSummary!U22-ParticipantConditionSummary!U46,"")</f>
      </c>
      <c r="I22" s="149" t="str">
        <f>IF(AND(ParticipantConditionSummary!V22&lt;&gt;"",ParticipantConditionSummary!V46&lt;&gt;""),ParticipantConditionSummary!V22-ParticipantConditionSummary!V46,"")</f>
      </c>
      <c r="J22" s="149" t="str">
        <f>IF(AND(ParticipantConditionSummary!W22&lt;&gt;"",ParticipantConditionSummary!W46&lt;&gt;""),ParticipantConditionSummary!W22-ParticipantConditionSummary!W46,"")</f>
      </c>
      <c r="K22" s="149" t="str">
        <f>IF(AND(ParticipantConditionSummary!X22&lt;&gt;"",ParticipantConditionSummary!X46&lt;&gt;""),ParticipantConditionSummary!X22-ParticipantConditionSummary!X46,"")</f>
      </c>
      <c r="L22" s="149" t="str">
        <f>IF(AND(ParticipantConditionSummary!Y22&lt;&gt;"",ParticipantConditionSummary!Y46&lt;&gt;""),ParticipantConditionSummary!Y22-ParticipantConditionSummary!Y46,"")</f>
      </c>
      <c r="M22" s="149" t="str">
        <f>IF(AND(ParticipantConditionSummary!Z22&lt;&gt;"",ParticipantConditionSummary!Z46&lt;&gt;""),ParticipantConditionSummary!Z22-ParticipantConditionSummary!Z46,"")</f>
      </c>
      <c r="N22" s="150" t="str">
        <f>IF(AND(ParticipantConditionSummary!AA22&lt;&gt;"",ParticipantConditionSummary!AA46&lt;&gt;""),ParticipantConditionSummary!AA22-ParticipantConditionSummary!AA46,"")</f>
      </c>
    </row>
    <row r="23">
      <c r="A23" s="90" t="inlineStr">
        <is>
          <t>P019</t>
        </is>
      </c>
      <c r="B23" s="149" t="str">
        <f>IF(AND(ParticipantConditionSummary!F23&lt;&gt;"",ParticipantConditionSummary!F47&lt;&gt;""),ParticipantConditionSummary!F23-ParticipantConditionSummary!F47,"")</f>
      </c>
      <c r="C23" s="149" t="str">
        <f>IF(AND(ParticipantConditionSummary!G23&lt;&gt;"",ParticipantConditionSummary!G47&lt;&gt;""),ParticipantConditionSummary!G23-ParticipantConditionSummary!G47,"")</f>
      </c>
      <c r="D23" s="149" t="str">
        <f>IF(AND(ParticipantConditionSummary!H23&lt;&gt;"",ParticipantConditionSummary!H47&lt;&gt;""),ParticipantConditionSummary!H23-ParticipantConditionSummary!H47,"")</f>
      </c>
      <c r="E23" s="149" t="str">
        <f>IF(AND(ParticipantConditionSummary!L23&lt;&gt;"",ParticipantConditionSummary!L47&lt;&gt;""),ParticipantConditionSummary!L23-ParticipantConditionSummary!L47,"")</f>
      </c>
      <c r="F23" s="149" t="str">
        <f>IF(AND(ParticipantConditionSummary!P23&lt;&gt;"",ParticipantConditionSummary!P47&lt;&gt;""),ParticipantConditionSummary!P23-ParticipantConditionSummary!P47,"")</f>
      </c>
      <c r="G23" s="149" t="str">
        <f>IF(AND(ParticipantConditionSummary!T23&lt;&gt;"",ParticipantConditionSummary!T47&lt;&gt;""),ParticipantConditionSummary!T23-ParticipantConditionSummary!T47,"")</f>
      </c>
      <c r="H23" s="149" t="str">
        <f>IF(AND(ParticipantConditionSummary!U23&lt;&gt;"",ParticipantConditionSummary!U47&lt;&gt;""),ParticipantConditionSummary!U23-ParticipantConditionSummary!U47,"")</f>
      </c>
      <c r="I23" s="149" t="str">
        <f>IF(AND(ParticipantConditionSummary!V23&lt;&gt;"",ParticipantConditionSummary!V47&lt;&gt;""),ParticipantConditionSummary!V23-ParticipantConditionSummary!V47,"")</f>
      </c>
      <c r="J23" s="149" t="str">
        <f>IF(AND(ParticipantConditionSummary!W23&lt;&gt;"",ParticipantConditionSummary!W47&lt;&gt;""),ParticipantConditionSummary!W23-ParticipantConditionSummary!W47,"")</f>
      </c>
      <c r="K23" s="149" t="str">
        <f>IF(AND(ParticipantConditionSummary!X23&lt;&gt;"",ParticipantConditionSummary!X47&lt;&gt;""),ParticipantConditionSummary!X23-ParticipantConditionSummary!X47,"")</f>
      </c>
      <c r="L23" s="149" t="str">
        <f>IF(AND(ParticipantConditionSummary!Y23&lt;&gt;"",ParticipantConditionSummary!Y47&lt;&gt;""),ParticipantConditionSummary!Y23-ParticipantConditionSummary!Y47,"")</f>
      </c>
      <c r="M23" s="149" t="str">
        <f>IF(AND(ParticipantConditionSummary!Z23&lt;&gt;"",ParticipantConditionSummary!Z47&lt;&gt;""),ParticipantConditionSummary!Z23-ParticipantConditionSummary!Z47,"")</f>
      </c>
      <c r="N23" s="150" t="str">
        <f>IF(AND(ParticipantConditionSummary!AA23&lt;&gt;"",ParticipantConditionSummary!AA47&lt;&gt;""),ParticipantConditionSummary!AA23-ParticipantConditionSummary!AA47,"")</f>
      </c>
    </row>
    <row r="24">
      <c r="A24" s="90" t="inlineStr">
        <is>
          <t>P020</t>
        </is>
      </c>
      <c r="B24" s="149" t="str">
        <f>IF(AND(ParticipantConditionSummary!F24&lt;&gt;"",ParticipantConditionSummary!F48&lt;&gt;""),ParticipantConditionSummary!F24-ParticipantConditionSummary!F48,"")</f>
      </c>
      <c r="C24" s="149" t="str">
        <f>IF(AND(ParticipantConditionSummary!G24&lt;&gt;"",ParticipantConditionSummary!G48&lt;&gt;""),ParticipantConditionSummary!G24-ParticipantConditionSummary!G48,"")</f>
      </c>
      <c r="D24" s="149" t="str">
        <f>IF(AND(ParticipantConditionSummary!H24&lt;&gt;"",ParticipantConditionSummary!H48&lt;&gt;""),ParticipantConditionSummary!H24-ParticipantConditionSummary!H48,"")</f>
      </c>
      <c r="E24" s="149" t="str">
        <f>IF(AND(ParticipantConditionSummary!L24&lt;&gt;"",ParticipantConditionSummary!L48&lt;&gt;""),ParticipantConditionSummary!L24-ParticipantConditionSummary!L48,"")</f>
      </c>
      <c r="F24" s="149" t="str">
        <f>IF(AND(ParticipantConditionSummary!P24&lt;&gt;"",ParticipantConditionSummary!P48&lt;&gt;""),ParticipantConditionSummary!P24-ParticipantConditionSummary!P48,"")</f>
      </c>
      <c r="G24" s="149" t="str">
        <f>IF(AND(ParticipantConditionSummary!T24&lt;&gt;"",ParticipantConditionSummary!T48&lt;&gt;""),ParticipantConditionSummary!T24-ParticipantConditionSummary!T48,"")</f>
      </c>
      <c r="H24" s="149" t="str">
        <f>IF(AND(ParticipantConditionSummary!U24&lt;&gt;"",ParticipantConditionSummary!U48&lt;&gt;""),ParticipantConditionSummary!U24-ParticipantConditionSummary!U48,"")</f>
      </c>
      <c r="I24" s="149" t="str">
        <f>IF(AND(ParticipantConditionSummary!V24&lt;&gt;"",ParticipantConditionSummary!V48&lt;&gt;""),ParticipantConditionSummary!V24-ParticipantConditionSummary!V48,"")</f>
      </c>
      <c r="J24" s="149" t="str">
        <f>IF(AND(ParticipantConditionSummary!W24&lt;&gt;"",ParticipantConditionSummary!W48&lt;&gt;""),ParticipantConditionSummary!W24-ParticipantConditionSummary!W48,"")</f>
      </c>
      <c r="K24" s="149" t="str">
        <f>IF(AND(ParticipantConditionSummary!X24&lt;&gt;"",ParticipantConditionSummary!X48&lt;&gt;""),ParticipantConditionSummary!X24-ParticipantConditionSummary!X48,"")</f>
      </c>
      <c r="L24" s="149" t="str">
        <f>IF(AND(ParticipantConditionSummary!Y24&lt;&gt;"",ParticipantConditionSummary!Y48&lt;&gt;""),ParticipantConditionSummary!Y24-ParticipantConditionSummary!Y48,"")</f>
      </c>
      <c r="M24" s="149" t="str">
        <f>IF(AND(ParticipantConditionSummary!Z24&lt;&gt;"",ParticipantConditionSummary!Z48&lt;&gt;""),ParticipantConditionSummary!Z24-ParticipantConditionSummary!Z48,"")</f>
      </c>
      <c r="N24" s="150" t="str">
        <f>IF(AND(ParticipantConditionSummary!AA24&lt;&gt;"",ParticipantConditionSummary!AA48&lt;&gt;""),ParticipantConditionSummary!AA24-ParticipantConditionSummary!AA48,"")</f>
      </c>
    </row>
    <row r="25">
      <c r="A25" s="90" t="inlineStr">
        <is>
          <t>P021</t>
        </is>
      </c>
      <c r="B25" s="149" t="str">
        <f>IF(AND(ParticipantConditionSummary!F25&lt;&gt;"",ParticipantConditionSummary!F49&lt;&gt;""),ParticipantConditionSummary!F25-ParticipantConditionSummary!F49,"")</f>
      </c>
      <c r="C25" s="149" t="str">
        <f>IF(AND(ParticipantConditionSummary!G25&lt;&gt;"",ParticipantConditionSummary!G49&lt;&gt;""),ParticipantConditionSummary!G25-ParticipantConditionSummary!G49,"")</f>
      </c>
      <c r="D25" s="149" t="str">
        <f>IF(AND(ParticipantConditionSummary!H25&lt;&gt;"",ParticipantConditionSummary!H49&lt;&gt;""),ParticipantConditionSummary!H25-ParticipantConditionSummary!H49,"")</f>
      </c>
      <c r="E25" s="149" t="str">
        <f>IF(AND(ParticipantConditionSummary!L25&lt;&gt;"",ParticipantConditionSummary!L49&lt;&gt;""),ParticipantConditionSummary!L25-ParticipantConditionSummary!L49,"")</f>
      </c>
      <c r="F25" s="149" t="str">
        <f>IF(AND(ParticipantConditionSummary!P25&lt;&gt;"",ParticipantConditionSummary!P49&lt;&gt;""),ParticipantConditionSummary!P25-ParticipantConditionSummary!P49,"")</f>
      </c>
      <c r="G25" s="149" t="str">
        <f>IF(AND(ParticipantConditionSummary!T25&lt;&gt;"",ParticipantConditionSummary!T49&lt;&gt;""),ParticipantConditionSummary!T25-ParticipantConditionSummary!T49,"")</f>
      </c>
      <c r="H25" s="149" t="str">
        <f>IF(AND(ParticipantConditionSummary!U25&lt;&gt;"",ParticipantConditionSummary!U49&lt;&gt;""),ParticipantConditionSummary!U25-ParticipantConditionSummary!U49,"")</f>
      </c>
      <c r="I25" s="149" t="str">
        <f>IF(AND(ParticipantConditionSummary!V25&lt;&gt;"",ParticipantConditionSummary!V49&lt;&gt;""),ParticipantConditionSummary!V25-ParticipantConditionSummary!V49,"")</f>
      </c>
      <c r="J25" s="149" t="str">
        <f>IF(AND(ParticipantConditionSummary!W25&lt;&gt;"",ParticipantConditionSummary!W49&lt;&gt;""),ParticipantConditionSummary!W25-ParticipantConditionSummary!W49,"")</f>
      </c>
      <c r="K25" s="149" t="str">
        <f>IF(AND(ParticipantConditionSummary!X25&lt;&gt;"",ParticipantConditionSummary!X49&lt;&gt;""),ParticipantConditionSummary!X25-ParticipantConditionSummary!X49,"")</f>
      </c>
      <c r="L25" s="149" t="str">
        <f>IF(AND(ParticipantConditionSummary!Y25&lt;&gt;"",ParticipantConditionSummary!Y49&lt;&gt;""),ParticipantConditionSummary!Y25-ParticipantConditionSummary!Y49,"")</f>
      </c>
      <c r="M25" s="149" t="str">
        <f>IF(AND(ParticipantConditionSummary!Z25&lt;&gt;"",ParticipantConditionSummary!Z49&lt;&gt;""),ParticipantConditionSummary!Z25-ParticipantConditionSummary!Z49,"")</f>
      </c>
      <c r="N25" s="150" t="str">
        <f>IF(AND(ParticipantConditionSummary!AA25&lt;&gt;"",ParticipantConditionSummary!AA49&lt;&gt;""),ParticipantConditionSummary!AA25-ParticipantConditionSummary!AA49,"")</f>
      </c>
    </row>
    <row r="26">
      <c r="A26" s="90" t="inlineStr">
        <is>
          <t>P022</t>
        </is>
      </c>
      <c r="B26" s="149" t="str">
        <f>IF(AND(ParticipantConditionSummary!F26&lt;&gt;"",ParticipantConditionSummary!F50&lt;&gt;""),ParticipantConditionSummary!F26-ParticipantConditionSummary!F50,"")</f>
      </c>
      <c r="C26" s="149" t="str">
        <f>IF(AND(ParticipantConditionSummary!G26&lt;&gt;"",ParticipantConditionSummary!G50&lt;&gt;""),ParticipantConditionSummary!G26-ParticipantConditionSummary!G50,"")</f>
      </c>
      <c r="D26" s="149" t="str">
        <f>IF(AND(ParticipantConditionSummary!H26&lt;&gt;"",ParticipantConditionSummary!H50&lt;&gt;""),ParticipantConditionSummary!H26-ParticipantConditionSummary!H50,"")</f>
      </c>
      <c r="E26" s="149" t="str">
        <f>IF(AND(ParticipantConditionSummary!L26&lt;&gt;"",ParticipantConditionSummary!L50&lt;&gt;""),ParticipantConditionSummary!L26-ParticipantConditionSummary!L50,"")</f>
      </c>
      <c r="F26" s="149" t="str">
        <f>IF(AND(ParticipantConditionSummary!P26&lt;&gt;"",ParticipantConditionSummary!P50&lt;&gt;""),ParticipantConditionSummary!P26-ParticipantConditionSummary!P50,"")</f>
      </c>
      <c r="G26" s="149" t="str">
        <f>IF(AND(ParticipantConditionSummary!T26&lt;&gt;"",ParticipantConditionSummary!T50&lt;&gt;""),ParticipantConditionSummary!T26-ParticipantConditionSummary!T50,"")</f>
      </c>
      <c r="H26" s="149" t="str">
        <f>IF(AND(ParticipantConditionSummary!U26&lt;&gt;"",ParticipantConditionSummary!U50&lt;&gt;""),ParticipantConditionSummary!U26-ParticipantConditionSummary!U50,"")</f>
      </c>
      <c r="I26" s="149" t="str">
        <f>IF(AND(ParticipantConditionSummary!V26&lt;&gt;"",ParticipantConditionSummary!V50&lt;&gt;""),ParticipantConditionSummary!V26-ParticipantConditionSummary!V50,"")</f>
      </c>
      <c r="J26" s="149" t="str">
        <f>IF(AND(ParticipantConditionSummary!W26&lt;&gt;"",ParticipantConditionSummary!W50&lt;&gt;""),ParticipantConditionSummary!W26-ParticipantConditionSummary!W50,"")</f>
      </c>
      <c r="K26" s="149" t="str">
        <f>IF(AND(ParticipantConditionSummary!X26&lt;&gt;"",ParticipantConditionSummary!X50&lt;&gt;""),ParticipantConditionSummary!X26-ParticipantConditionSummary!X50,"")</f>
      </c>
      <c r="L26" s="149" t="str">
        <f>IF(AND(ParticipantConditionSummary!Y26&lt;&gt;"",ParticipantConditionSummary!Y50&lt;&gt;""),ParticipantConditionSummary!Y26-ParticipantConditionSummary!Y50,"")</f>
      </c>
      <c r="M26" s="149" t="str">
        <f>IF(AND(ParticipantConditionSummary!Z26&lt;&gt;"",ParticipantConditionSummary!Z50&lt;&gt;""),ParticipantConditionSummary!Z26-ParticipantConditionSummary!Z50,"")</f>
      </c>
      <c r="N26" s="150" t="str">
        <f>IF(AND(ParticipantConditionSummary!AA26&lt;&gt;"",ParticipantConditionSummary!AA50&lt;&gt;""),ParticipantConditionSummary!AA26-ParticipantConditionSummary!AA50,"")</f>
      </c>
    </row>
    <row r="27">
      <c r="A27" s="90" t="inlineStr">
        <is>
          <t>P023</t>
        </is>
      </c>
      <c r="B27" s="149" t="str">
        <f>IF(AND(ParticipantConditionSummary!F27&lt;&gt;"",ParticipantConditionSummary!F51&lt;&gt;""),ParticipantConditionSummary!F27-ParticipantConditionSummary!F51,"")</f>
      </c>
      <c r="C27" s="149" t="str">
        <f>IF(AND(ParticipantConditionSummary!G27&lt;&gt;"",ParticipantConditionSummary!G51&lt;&gt;""),ParticipantConditionSummary!G27-ParticipantConditionSummary!G51,"")</f>
      </c>
      <c r="D27" s="149" t="str">
        <f>IF(AND(ParticipantConditionSummary!H27&lt;&gt;"",ParticipantConditionSummary!H51&lt;&gt;""),ParticipantConditionSummary!H27-ParticipantConditionSummary!H51,"")</f>
      </c>
      <c r="E27" s="149" t="str">
        <f>IF(AND(ParticipantConditionSummary!L27&lt;&gt;"",ParticipantConditionSummary!L51&lt;&gt;""),ParticipantConditionSummary!L27-ParticipantConditionSummary!L51,"")</f>
      </c>
      <c r="F27" s="149" t="str">
        <f>IF(AND(ParticipantConditionSummary!P27&lt;&gt;"",ParticipantConditionSummary!P51&lt;&gt;""),ParticipantConditionSummary!P27-ParticipantConditionSummary!P51,"")</f>
      </c>
      <c r="G27" s="149" t="str">
        <f>IF(AND(ParticipantConditionSummary!T27&lt;&gt;"",ParticipantConditionSummary!T51&lt;&gt;""),ParticipantConditionSummary!T27-ParticipantConditionSummary!T51,"")</f>
      </c>
      <c r="H27" s="149" t="str">
        <f>IF(AND(ParticipantConditionSummary!U27&lt;&gt;"",ParticipantConditionSummary!U51&lt;&gt;""),ParticipantConditionSummary!U27-ParticipantConditionSummary!U51,"")</f>
      </c>
      <c r="I27" s="149" t="str">
        <f>IF(AND(ParticipantConditionSummary!V27&lt;&gt;"",ParticipantConditionSummary!V51&lt;&gt;""),ParticipantConditionSummary!V27-ParticipantConditionSummary!V51,"")</f>
      </c>
      <c r="J27" s="149" t="str">
        <f>IF(AND(ParticipantConditionSummary!W27&lt;&gt;"",ParticipantConditionSummary!W51&lt;&gt;""),ParticipantConditionSummary!W27-ParticipantConditionSummary!W51,"")</f>
      </c>
      <c r="K27" s="149" t="str">
        <f>IF(AND(ParticipantConditionSummary!X27&lt;&gt;"",ParticipantConditionSummary!X51&lt;&gt;""),ParticipantConditionSummary!X27-ParticipantConditionSummary!X51,"")</f>
      </c>
      <c r="L27" s="149" t="str">
        <f>IF(AND(ParticipantConditionSummary!Y27&lt;&gt;"",ParticipantConditionSummary!Y51&lt;&gt;""),ParticipantConditionSummary!Y27-ParticipantConditionSummary!Y51,"")</f>
      </c>
      <c r="M27" s="149" t="str">
        <f>IF(AND(ParticipantConditionSummary!Z27&lt;&gt;"",ParticipantConditionSummary!Z51&lt;&gt;""),ParticipantConditionSummary!Z27-ParticipantConditionSummary!Z51,"")</f>
      </c>
      <c r="N27" s="150" t="str">
        <f>IF(AND(ParticipantConditionSummary!AA27&lt;&gt;"",ParticipantConditionSummary!AA51&lt;&gt;""),ParticipantConditionSummary!AA27-ParticipantConditionSummary!AA51,"")</f>
      </c>
    </row>
    <row r="28">
      <c r="A28" s="91" t="inlineStr">
        <is>
          <t>P024</t>
        </is>
      </c>
      <c r="B28" s="151" t="str">
        <f>IF(AND(ParticipantConditionSummary!F28&lt;&gt;"",ParticipantConditionSummary!F52&lt;&gt;""),ParticipantConditionSummary!F28-ParticipantConditionSummary!F52,"")</f>
      </c>
      <c r="C28" s="151" t="str">
        <f>IF(AND(ParticipantConditionSummary!G28&lt;&gt;"",ParticipantConditionSummary!G52&lt;&gt;""),ParticipantConditionSummary!G28-ParticipantConditionSummary!G52,"")</f>
      </c>
      <c r="D28" s="151" t="str">
        <f>IF(AND(ParticipantConditionSummary!H28&lt;&gt;"",ParticipantConditionSummary!H52&lt;&gt;""),ParticipantConditionSummary!H28-ParticipantConditionSummary!H52,"")</f>
      </c>
      <c r="E28" s="151" t="str">
        <f>IF(AND(ParticipantConditionSummary!L28&lt;&gt;"",ParticipantConditionSummary!L52&lt;&gt;""),ParticipantConditionSummary!L28-ParticipantConditionSummary!L52,"")</f>
      </c>
      <c r="F28" s="151" t="str">
        <f>IF(AND(ParticipantConditionSummary!P28&lt;&gt;"",ParticipantConditionSummary!P52&lt;&gt;""),ParticipantConditionSummary!P28-ParticipantConditionSummary!P52,"")</f>
      </c>
      <c r="G28" s="151" t="str">
        <f>IF(AND(ParticipantConditionSummary!T28&lt;&gt;"",ParticipantConditionSummary!T52&lt;&gt;""),ParticipantConditionSummary!T28-ParticipantConditionSummary!T52,"")</f>
      </c>
      <c r="H28" s="151" t="str">
        <f>IF(AND(ParticipantConditionSummary!U28&lt;&gt;"",ParticipantConditionSummary!U52&lt;&gt;""),ParticipantConditionSummary!U28-ParticipantConditionSummary!U52,"")</f>
      </c>
      <c r="I28" s="151" t="str">
        <f>IF(AND(ParticipantConditionSummary!V28&lt;&gt;"",ParticipantConditionSummary!V52&lt;&gt;""),ParticipantConditionSummary!V28-ParticipantConditionSummary!V52,"")</f>
      </c>
      <c r="J28" s="151" t="str">
        <f>IF(AND(ParticipantConditionSummary!W28&lt;&gt;"",ParticipantConditionSummary!W52&lt;&gt;""),ParticipantConditionSummary!W28-ParticipantConditionSummary!W52,"")</f>
      </c>
      <c r="K28" s="151" t="str">
        <f>IF(AND(ParticipantConditionSummary!X28&lt;&gt;"",ParticipantConditionSummary!X52&lt;&gt;""),ParticipantConditionSummary!X28-ParticipantConditionSummary!X52,"")</f>
      </c>
      <c r="L28" s="151" t="str">
        <f>IF(AND(ParticipantConditionSummary!Y28&lt;&gt;"",ParticipantConditionSummary!Y52&lt;&gt;""),ParticipantConditionSummary!Y28-ParticipantConditionSummary!Y52,"")</f>
      </c>
      <c r="M28" s="151" t="str">
        <f>IF(AND(ParticipantConditionSummary!Z28&lt;&gt;"",ParticipantConditionSummary!Z52&lt;&gt;""),ParticipantConditionSummary!Z28-ParticipantConditionSummary!Z52,"")</f>
      </c>
      <c r="N28" s="152" t="str">
        <f>IF(AND(ParticipantConditionSummary!AA28&lt;&gt;"",ParticipantConditionSummary!AA52&lt;&gt;""),ParticipantConditionSummary!AA28-ParticipantConditionSummary!AA52,"")</f>
      </c>
    </row>
  </sheetData>
  <mergeCells>
    <mergeCell ref="A1:N1"/>
    <mergeCell ref="A2:N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FormatPr defaultRowHeight="15"/>
  <cols>
    <col min="1" max="1" width="25" hidden="0" customWidth="1"/>
    <col min="2" max="2" width="17" hidden="0" customWidth="1"/>
    <col min="3" max="3" width="8" hidden="0" customWidth="1"/>
    <col min="4" max="4" width="10" hidden="0" customWidth="1"/>
    <col min="5" max="5" width="24" hidden="0" customWidth="1"/>
    <col min="6" max="6" width="20" hidden="0" customWidth="1"/>
    <col min="7" max="7" width="15" hidden="0" customWidth="1"/>
    <col min="8" max="8" width="13" hidden="0" customWidth="1"/>
    <col min="9" max="9" width="15" hidden="0" customWidth="1"/>
    <col min="10" max="10" width="13" hidden="0" customWidth="1"/>
    <col min="11" max="11" width="15" hidden="0" customWidth="1"/>
    <col min="12" max="12" width="13" hidden="0" customWidth="1"/>
    <col min="13" max="13" width="15" hidden="0" customWidth="1"/>
    <col min="14" max="14" width="13" hidden="0" customWidth="1"/>
    <col min="15" max="15" width="17" hidden="0" customWidth="1"/>
    <col min="16" max="16" width="42" hidden="0" customWidth="1"/>
  </cols>
  <sheetData>
    <row r="1">
      <c r="A1" s="4" t="inlineStr">
        <is>
          <t>当前样本内部一致性（参与者方法级；N=24/方法）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>
      <c r="A2" s="68" t="inlineStr">
        <is>
          <t>EQ/IQ项目先在每位参与者的三个物体上取项目均值，再计算方法内α。S-TIAS和CRIQ直接使用方法级项目。α/ω仅描述当前样本，不代表中文或对象锚定版本获得重新验证。ω由R/Python结果回填。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</row>
    <row r="4">
      <c r="A4" s="26" t="inlineStr">
        <is>
          <t>Scale</t>
        </is>
      </c>
      <c r="B4" s="27" t="inlineStr">
        <is>
          <t>Method</t>
        </is>
      </c>
      <c r="C4" s="27" t="inlineStr">
        <is>
          <t>k</t>
        </is>
      </c>
      <c r="D4" s="27" t="inlineStr">
        <is>
          <t>N</t>
        </is>
      </c>
      <c r="E4" s="27" t="inlineStr">
        <is>
          <t>Cronbach_alpha_formula</t>
        </is>
      </c>
      <c r="F4" s="27" t="inlineStr">
        <is>
          <t>McDonald_omega</t>
        </is>
      </c>
      <c r="G4" s="27" t="inlineStr">
        <is>
          <t>Item1_Mean</t>
        </is>
      </c>
      <c r="H4" s="27" t="inlineStr">
        <is>
          <t>Item1_SD</t>
        </is>
      </c>
      <c r="I4" s="27" t="inlineStr">
        <is>
          <t>Item2_Mean</t>
        </is>
      </c>
      <c r="J4" s="27" t="inlineStr">
        <is>
          <t>Item2_SD</t>
        </is>
      </c>
      <c r="K4" s="27" t="inlineStr">
        <is>
          <t>Item3_Mean</t>
        </is>
      </c>
      <c r="L4" s="27" t="inlineStr">
        <is>
          <t>Item3_SD</t>
        </is>
      </c>
      <c r="M4" s="27" t="inlineStr">
        <is>
          <t>Total_Mean</t>
        </is>
      </c>
      <c r="N4" s="27" t="inlineStr">
        <is>
          <t>Total_SD</t>
        </is>
      </c>
      <c r="O4" s="27" t="inlineStr">
        <is>
          <t>Interpretation</t>
        </is>
      </c>
      <c r="P4" s="101" t="inlineStr">
        <is>
          <t>Reporting_Decision</t>
        </is>
      </c>
    </row>
    <row r="5">
      <c r="A5" s="90" t="inlineStr">
        <is>
          <t>Embedding Quality</t>
        </is>
      </c>
      <c r="B5" s="85" t="inlineStr">
        <is>
          <t>EgoAnchor</t>
        </is>
      </c>
      <c r="C5" s="85" t="n">
        <v>3</v>
      </c>
      <c r="D5" s="129" t="n">
        <f>COUNT(ParticipantConditionSummary!AB5:AB28)</f>
        <v>0</v>
      </c>
      <c r="E5" s="367" t="str">
        <f>IFERROR(IF(D5&lt;3,"",3/2*(1-(VAR.S(ParticipantConditionSummary!I5:I28)+VAR.S(ParticipantConditionSummary!J5:J28)+VAR.S(ParticipantConditionSummary!K5:K28))/VAR.S(ParticipantConditionSummary!AB5:AB28))),"")</f>
      </c>
      <c r="F5" s="353"/>
      <c r="G5" s="367" t="str">
        <f>IFERROR(AVERAGE(ParticipantConditionSummary!I5:I28),"")</f>
      </c>
      <c r="H5" s="367" t="n">
        <f>IFERROR(STDEV.S(ParticipantConditionSummary!I5:I28),"")</f>
        <v>0</v>
      </c>
      <c r="I5" s="367" t="str">
        <f>IFERROR(AVERAGE(ParticipantConditionSummary!J5:J28),"")</f>
      </c>
      <c r="J5" s="367" t="n">
        <f>IFERROR(STDEV.S(ParticipantConditionSummary!J5:J28),"")</f>
        <v>0</v>
      </c>
      <c r="K5" s="367" t="str">
        <f>IFERROR(AVERAGE(ParticipantConditionSummary!K5:K28),"")</f>
      </c>
      <c r="L5" s="367" t="n">
        <f>IFERROR(STDEV.S(ParticipantConditionSummary!K5:K28),"")</f>
        <v>0</v>
      </c>
      <c r="M5" s="367" t="str">
        <f>IFERROR(AVERAGE(ParticipantConditionSummary!AB5:AB28),"")</f>
      </c>
      <c r="N5" s="367" t="n">
        <f>IFERROR(STDEV.S(ParticipantConditionSummary!AB5:AB28),"")</f>
        <v>0</v>
      </c>
      <c r="O5" s="367" t="str">
        <f>IFERROR(IF(E5="","",IF(E5&gt;=0.8,"良好",IF(E5&gt;=0.7,"可接受",IF(E5&gt;=0.6,"边界","较低")))),"")</f>
      </c>
      <c r="P5" s="243" t="inlineStr">
        <is>
          <t/>
        </is>
      </c>
    </row>
    <row r="6">
      <c r="A6" s="90" t="inlineStr">
        <is>
          <t>Embedding Quality</t>
        </is>
      </c>
      <c r="B6" s="85" t="inlineStr">
        <is>
          <t>One-Euro</t>
        </is>
      </c>
      <c r="C6" s="85" t="n">
        <v>3</v>
      </c>
      <c r="D6" s="129" t="n">
        <f>COUNT(ParticipantConditionSummary!AB29:AB52)</f>
        <v>0</v>
      </c>
      <c r="E6" s="367" t="str">
        <f>IFERROR(IF(D6&lt;3,"",3/2*(1-(VAR.S(ParticipantConditionSummary!I29:I52)+VAR.S(ParticipantConditionSummary!J29:J52)+VAR.S(ParticipantConditionSummary!K29:K52))/VAR.S(ParticipantConditionSummary!AB29:AB52))),"")</f>
      </c>
      <c r="F6" s="353"/>
      <c r="G6" s="367" t="str">
        <f>IFERROR(AVERAGE(ParticipantConditionSummary!I29:I52),"")</f>
      </c>
      <c r="H6" s="367" t="n">
        <f>IFERROR(STDEV.S(ParticipantConditionSummary!I29:I52),"")</f>
        <v>0</v>
      </c>
      <c r="I6" s="367" t="str">
        <f>IFERROR(AVERAGE(ParticipantConditionSummary!J29:J52),"")</f>
      </c>
      <c r="J6" s="367" t="n">
        <f>IFERROR(STDEV.S(ParticipantConditionSummary!J29:J52),"")</f>
        <v>0</v>
      </c>
      <c r="K6" s="367" t="str">
        <f>IFERROR(AVERAGE(ParticipantConditionSummary!K29:K52),"")</f>
      </c>
      <c r="L6" s="367" t="n">
        <f>IFERROR(STDEV.S(ParticipantConditionSummary!K29:K52),"")</f>
        <v>0</v>
      </c>
      <c r="M6" s="367" t="str">
        <f>IFERROR(AVERAGE(ParticipantConditionSummary!AB29:AB52),"")</f>
      </c>
      <c r="N6" s="367" t="n">
        <f>IFERROR(STDEV.S(ParticipantConditionSummary!AB29:AB52),"")</f>
        <v>0</v>
      </c>
      <c r="O6" s="367" t="str">
        <f>IFERROR(IF(E6="","",IF(E6&gt;=0.8,"良好",IF(E6&gt;=0.7,"可接受",IF(E6&gt;=0.6,"边界","较低")))),"")</f>
      </c>
      <c r="P6" s="243" t="inlineStr">
        <is>
          <t/>
        </is>
      </c>
    </row>
    <row r="7">
      <c r="A7" s="90" t="inlineStr">
        <is>
          <t>Interaction Quality</t>
        </is>
      </c>
      <c r="B7" s="85" t="inlineStr">
        <is>
          <t>EgoAnchor</t>
        </is>
      </c>
      <c r="C7" s="85" t="n">
        <v>3</v>
      </c>
      <c r="D7" s="129" t="n">
        <f>COUNT(ParticipantConditionSummary!AC5:AC28)</f>
        <v>0</v>
      </c>
      <c r="E7" s="367" t="str">
        <f>IFERROR(IF(D7&lt;3,"",3/2*(1-(VAR.S(ParticipantConditionSummary!M5:M28)+VAR.S(ParticipantConditionSummary!N5:N28)+VAR.S(ParticipantConditionSummary!O5:O28))/VAR.S(ParticipantConditionSummary!AC5:AC28))),"")</f>
      </c>
      <c r="F7" s="353"/>
      <c r="G7" s="367" t="str">
        <f>IFERROR(AVERAGE(ParticipantConditionSummary!M5:M28),"")</f>
      </c>
      <c r="H7" s="367" t="n">
        <f>IFERROR(STDEV.S(ParticipantConditionSummary!M5:M28),"")</f>
        <v>0</v>
      </c>
      <c r="I7" s="367" t="str">
        <f>IFERROR(AVERAGE(ParticipantConditionSummary!N5:N28),"")</f>
      </c>
      <c r="J7" s="367" t="n">
        <f>IFERROR(STDEV.S(ParticipantConditionSummary!N5:N28),"")</f>
        <v>0</v>
      </c>
      <c r="K7" s="367" t="str">
        <f>IFERROR(AVERAGE(ParticipantConditionSummary!O5:O28),"")</f>
      </c>
      <c r="L7" s="367" t="n">
        <f>IFERROR(STDEV.S(ParticipantConditionSummary!O5:O28),"")</f>
        <v>0</v>
      </c>
      <c r="M7" s="367" t="str">
        <f>IFERROR(AVERAGE(ParticipantConditionSummary!AC5:AC28),"")</f>
      </c>
      <c r="N7" s="367" t="n">
        <f>IFERROR(STDEV.S(ParticipantConditionSummary!AC5:AC28),"")</f>
        <v>0</v>
      </c>
      <c r="O7" s="367" t="str">
        <f>IFERROR(IF(E7="","",IF(E7&gt;=0.8,"良好",IF(E7&gt;=0.7,"可接受",IF(E7&gt;=0.6,"边界","较低")))),"")</f>
      </c>
      <c r="P7" s="243" t="inlineStr">
        <is>
          <t/>
        </is>
      </c>
    </row>
    <row r="8">
      <c r="A8" s="90" t="inlineStr">
        <is>
          <t>Interaction Quality</t>
        </is>
      </c>
      <c r="B8" s="85" t="inlineStr">
        <is>
          <t>One-Euro</t>
        </is>
      </c>
      <c r="C8" s="85" t="n">
        <v>3</v>
      </c>
      <c r="D8" s="129" t="n">
        <f>COUNT(ParticipantConditionSummary!AC29:AC52)</f>
        <v>0</v>
      </c>
      <c r="E8" s="367" t="str">
        <f>IFERROR(IF(D8&lt;3,"",3/2*(1-(VAR.S(ParticipantConditionSummary!M29:M52)+VAR.S(ParticipantConditionSummary!N29:N52)+VAR.S(ParticipantConditionSummary!O29:O52))/VAR.S(ParticipantConditionSummary!AC29:AC52))),"")</f>
      </c>
      <c r="F8" s="353"/>
      <c r="G8" s="367" t="str">
        <f>IFERROR(AVERAGE(ParticipantConditionSummary!M29:M52),"")</f>
      </c>
      <c r="H8" s="367" t="n">
        <f>IFERROR(STDEV.S(ParticipantConditionSummary!M29:M52),"")</f>
        <v>0</v>
      </c>
      <c r="I8" s="367" t="str">
        <f>IFERROR(AVERAGE(ParticipantConditionSummary!N29:N52),"")</f>
      </c>
      <c r="J8" s="367" t="n">
        <f>IFERROR(STDEV.S(ParticipantConditionSummary!N29:N52),"")</f>
        <v>0</v>
      </c>
      <c r="K8" s="367" t="str">
        <f>IFERROR(AVERAGE(ParticipantConditionSummary!O29:O52),"")</f>
      </c>
      <c r="L8" s="367" t="n">
        <f>IFERROR(STDEV.S(ParticipantConditionSummary!O29:O52),"")</f>
        <v>0</v>
      </c>
      <c r="M8" s="367" t="str">
        <f>IFERROR(AVERAGE(ParticipantConditionSummary!AC29:AC52),"")</f>
      </c>
      <c r="N8" s="367" t="n">
        <f>IFERROR(STDEV.S(ParticipantConditionSummary!AC29:AC52),"")</f>
        <v>0</v>
      </c>
      <c r="O8" s="367" t="str">
        <f>IFERROR(IF(E8="","",IF(E8&gt;=0.8,"良好",IF(E8&gt;=0.7,"可接受",IF(E8&gt;=0.6,"边界","较低")))),"")</f>
      </c>
      <c r="P8" s="243" t="inlineStr">
        <is>
          <t/>
        </is>
      </c>
    </row>
    <row r="9">
      <c r="A9" s="90" t="inlineStr">
        <is>
          <t>S-TIAS</t>
        </is>
      </c>
      <c r="B9" s="85" t="inlineStr">
        <is>
          <t>EgoAnchor</t>
        </is>
      </c>
      <c r="C9" s="85" t="n">
        <v>3</v>
      </c>
      <c r="D9" s="129" t="n">
        <f>COUNT(ParticipantConditionSummary!AD5:AD28)</f>
        <v>0</v>
      </c>
      <c r="E9" s="367" t="str">
        <f>IFERROR(IF(D9&lt;3,"",3/2*(1-(VAR.S(ParticipantConditionSummary!Q5:Q28)+VAR.S(ParticipantConditionSummary!R5:R28)+VAR.S(ParticipantConditionSummary!S5:S28))/VAR.S(ParticipantConditionSummary!AD5:AD28))),"")</f>
      </c>
      <c r="F9" s="353"/>
      <c r="G9" s="367" t="str">
        <f>IFERROR(AVERAGE(ParticipantConditionSummary!Q5:Q28),"")</f>
      </c>
      <c r="H9" s="367" t="n">
        <f>IFERROR(STDEV.S(ParticipantConditionSummary!Q5:Q28),"")</f>
        <v>0</v>
      </c>
      <c r="I9" s="367" t="str">
        <f>IFERROR(AVERAGE(ParticipantConditionSummary!R5:R28),"")</f>
      </c>
      <c r="J9" s="367" t="n">
        <f>IFERROR(STDEV.S(ParticipantConditionSummary!R5:R28),"")</f>
        <v>0</v>
      </c>
      <c r="K9" s="367" t="str">
        <f>IFERROR(AVERAGE(ParticipantConditionSummary!S5:S28),"")</f>
      </c>
      <c r="L9" s="367" t="n">
        <f>IFERROR(STDEV.S(ParticipantConditionSummary!S5:S28),"")</f>
        <v>0</v>
      </c>
      <c r="M9" s="367" t="str">
        <f>IFERROR(AVERAGE(ParticipantConditionSummary!AD5:AD28),"")</f>
      </c>
      <c r="N9" s="367" t="n">
        <f>IFERROR(STDEV.S(ParticipantConditionSummary!AD5:AD28),"")</f>
        <v>0</v>
      </c>
      <c r="O9" s="367" t="str">
        <f>IFERROR(IF(E9="","",IF(E9&gt;=0.8,"良好",IF(E9&gt;=0.7,"可接受",IF(E9&gt;=0.6,"边界","较低")))),"")</f>
      </c>
      <c r="P9" s="243" t="inlineStr">
        <is>
          <t/>
        </is>
      </c>
    </row>
    <row r="10">
      <c r="A10" s="90" t="inlineStr">
        <is>
          <t>S-TIAS</t>
        </is>
      </c>
      <c r="B10" s="85" t="inlineStr">
        <is>
          <t>One-Euro</t>
        </is>
      </c>
      <c r="C10" s="85" t="n">
        <v>3</v>
      </c>
      <c r="D10" s="129" t="n">
        <f>COUNT(ParticipantConditionSummary!AD29:AD52)</f>
        <v>0</v>
      </c>
      <c r="E10" s="367" t="str">
        <f>IFERROR(IF(D10&lt;3,"",3/2*(1-(VAR.S(ParticipantConditionSummary!Q29:Q52)+VAR.S(ParticipantConditionSummary!R29:R52)+VAR.S(ParticipantConditionSummary!S29:S52))/VAR.S(ParticipantConditionSummary!AD29:AD52))),"")</f>
      </c>
      <c r="F10" s="353"/>
      <c r="G10" s="367" t="str">
        <f>IFERROR(AVERAGE(ParticipantConditionSummary!Q29:Q52),"")</f>
      </c>
      <c r="H10" s="367" t="n">
        <f>IFERROR(STDEV.S(ParticipantConditionSummary!Q29:Q52),"")</f>
        <v>0</v>
      </c>
      <c r="I10" s="367" t="str">
        <f>IFERROR(AVERAGE(ParticipantConditionSummary!R29:R52),"")</f>
      </c>
      <c r="J10" s="367" t="n">
        <f>IFERROR(STDEV.S(ParticipantConditionSummary!R29:R52),"")</f>
        <v>0</v>
      </c>
      <c r="K10" s="367" t="str">
        <f>IFERROR(AVERAGE(ParticipantConditionSummary!S29:S52),"")</f>
      </c>
      <c r="L10" s="367" t="n">
        <f>IFERROR(STDEV.S(ParticipantConditionSummary!S29:S52),"")</f>
        <v>0</v>
      </c>
      <c r="M10" s="367" t="str">
        <f>IFERROR(AVERAGE(ParticipantConditionSummary!AD29:AD52),"")</f>
      </c>
      <c r="N10" s="367" t="n">
        <f>IFERROR(STDEV.S(ParticipantConditionSummary!AD29:AD52),"")</f>
        <v>0</v>
      </c>
      <c r="O10" s="367" t="str">
        <f>IFERROR(IF(E10="","",IF(E10&gt;=0.8,"良好",IF(E10&gt;=0.7,"可接受",IF(E10&gt;=0.6,"边界","较低")))),"")</f>
      </c>
      <c r="P10" s="243" t="inlineStr">
        <is>
          <t/>
        </is>
      </c>
    </row>
    <row r="11">
      <c r="A11" s="90" t="inlineStr">
        <is>
          <t>CRIQ exploratory</t>
        </is>
      </c>
      <c r="B11" s="85" t="inlineStr">
        <is>
          <t>EgoAnchor</t>
        </is>
      </c>
      <c r="C11" s="85" t="n">
        <v>3</v>
      </c>
      <c r="D11" s="129" t="n">
        <f>COUNT(ParticipantConditionSummary!AE5:AE28)</f>
        <v>0</v>
      </c>
      <c r="E11" s="367" t="str">
        <f>IFERROR(IF(D11&lt;3,"",3/2*(1-(VAR.S(ParticipantConditionSummary!U5:U28)+VAR.S(ParticipantConditionSummary!V5:V28)+VAR.S(ParticipantConditionSummary!W5:W28))/VAR.S(ParticipantConditionSummary!AE5:AE28))),"")</f>
      </c>
      <c r="F11" s="353"/>
      <c r="G11" s="367" t="str">
        <f>IFERROR(AVERAGE(ParticipantConditionSummary!U5:U28),"")</f>
      </c>
      <c r="H11" s="367" t="n">
        <f>IFERROR(STDEV.S(ParticipantConditionSummary!U5:U28),"")</f>
        <v>0</v>
      </c>
      <c r="I11" s="367" t="str">
        <f>IFERROR(AVERAGE(ParticipantConditionSummary!V5:V28),"")</f>
      </c>
      <c r="J11" s="367" t="n">
        <f>IFERROR(STDEV.S(ParticipantConditionSummary!V5:V28),"")</f>
        <v>0</v>
      </c>
      <c r="K11" s="367" t="str">
        <f>IFERROR(AVERAGE(ParticipantConditionSummary!W5:W28),"")</f>
      </c>
      <c r="L11" s="367" t="n">
        <f>IFERROR(STDEV.S(ParticipantConditionSummary!W5:W28),"")</f>
        <v>0</v>
      </c>
      <c r="M11" s="367" t="str">
        <f>IFERROR(AVERAGE(ParticipantConditionSummary!AE5:AE28),"")</f>
      </c>
      <c r="N11" s="367" t="n">
        <f>IFERROR(STDEV.S(ParticipantConditionSummary!AE5:AE28),"")</f>
        <v>0</v>
      </c>
      <c r="O11" s="367" t="str">
        <f>IFERROR(IF(E11="","",IF(E11&gt;=0.8,"良好",IF(E11&gt;=0.7,"可接受",IF(E11&gt;=0.6,"边界","较低")))),"")</f>
      </c>
      <c r="P11" s="243" t="inlineStr">
        <is>
          <t/>
        </is>
      </c>
    </row>
    <row r="12">
      <c r="A12" s="91" t="inlineStr">
        <is>
          <t>CRIQ exploratory</t>
        </is>
      </c>
      <c r="B12" s="109" t="inlineStr">
        <is>
          <t>One-Euro</t>
        </is>
      </c>
      <c r="C12" s="109" t="n">
        <v>3</v>
      </c>
      <c r="D12" s="131" t="n">
        <f>COUNT(ParticipantConditionSummary!AE29:AE52)</f>
        <v>0</v>
      </c>
      <c r="E12" s="368" t="str">
        <f>IFERROR(IF(D12&lt;3,"",3/2*(1-(VAR.S(ParticipantConditionSummary!U29:U52)+VAR.S(ParticipantConditionSummary!V29:V52)+VAR.S(ParticipantConditionSummary!W29:W52))/VAR.S(ParticipantConditionSummary!AE29:AE52))),"")</f>
      </c>
      <c r="F12" s="354"/>
      <c r="G12" s="368" t="str">
        <f>IFERROR(AVERAGE(ParticipantConditionSummary!U29:U52),"")</f>
      </c>
      <c r="H12" s="368" t="n">
        <f>IFERROR(STDEV.S(ParticipantConditionSummary!U29:U52),"")</f>
        <v>0</v>
      </c>
      <c r="I12" s="368" t="str">
        <f>IFERROR(AVERAGE(ParticipantConditionSummary!V29:V52),"")</f>
      </c>
      <c r="J12" s="368" t="n">
        <f>IFERROR(STDEV.S(ParticipantConditionSummary!V29:V52),"")</f>
        <v>0</v>
      </c>
      <c r="K12" s="368" t="str">
        <f>IFERROR(AVERAGE(ParticipantConditionSummary!W29:W52),"")</f>
      </c>
      <c r="L12" s="368" t="n">
        <f>IFERROR(STDEV.S(ParticipantConditionSummary!W29:W52),"")</f>
        <v>0</v>
      </c>
      <c r="M12" s="368" t="str">
        <f>IFERROR(AVERAGE(ParticipantConditionSummary!AE29:AE52),"")</f>
      </c>
      <c r="N12" s="368" t="n">
        <f>IFERROR(STDEV.S(ParticipantConditionSummary!AE29:AE52),"")</f>
        <v>0</v>
      </c>
      <c r="O12" s="368" t="str">
        <f>IFERROR(IF(E12="","",IF(E12&gt;=0.8,"良好",IF(E12&gt;=0.7,"可接受",IF(E12&gt;=0.6,"边界","较低")))),"")</f>
      </c>
      <c r="P12" s="244" t="inlineStr">
        <is>
          <t/>
        </is>
      </c>
    </row>
  </sheetData>
  <mergeCells>
    <mergeCell ref="A1:P1"/>
    <mergeCell ref="A2:P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FormatPr defaultRowHeight="15"/>
  <cols>
    <col min="1" max="1" width="14" hidden="0" customWidth="1"/>
    <col min="2" max="2" width="13" hidden="0" customWidth="1"/>
    <col min="3" max="3" width="31" hidden="0" customWidth="1"/>
    <col min="4" max="4" width="20" hidden="0" customWidth="1"/>
    <col min="5" max="5" width="62" hidden="0" customWidth="1"/>
    <col min="6" max="6" width="20" hidden="0" customWidth="1"/>
    <col min="7" max="7" width="10" hidden="0" customWidth="1"/>
    <col min="8" max="8" width="13" hidden="0" customWidth="1"/>
    <col min="9" max="9" width="12" hidden="0" customWidth="1"/>
    <col min="10" max="10" width="23" hidden="0" customWidth="1"/>
    <col min="11" max="11" width="10" hidden="0" customWidth="1"/>
    <col min="12" max="12" width="13" hidden="0" customWidth="1"/>
    <col min="13" max="13" width="12" hidden="0" customWidth="1"/>
    <col min="14" max="14" width="23" hidden="0" customWidth="1"/>
    <col min="15" max="15" width="19" hidden="0" customWidth="1"/>
    <col min="16" max="16" width="17" hidden="0" customWidth="1"/>
    <col min="17" max="17" width="22" hidden="0" customWidth="1"/>
    <col min="18" max="18" width="23" hidden="0" customWidth="1"/>
    <col min="19" max="19" width="20" hidden="0" customWidth="1"/>
    <col min="20" max="20" width="14" hidden="0" customWidth="1"/>
    <col min="21" max="21" width="16" hidden="0" customWidth="1"/>
    <col min="22" max="22" width="18" hidden="0" customWidth="1"/>
    <col min="23" max="23" width="22" hidden="0" customWidth="1"/>
    <col min="24" max="24" width="70" hidden="0" customWidth="1"/>
  </cols>
  <sheetData>
    <row r="1">
      <c r="A1" s="4" t="inlineStr">
        <is>
          <t>预注册主要、机制与次要结果：描述统计和推断结果回填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68" t="inlineStr">
        <is>
          <t>G–Q列自动基于参与者方法级汇总分计算描述统计和配对差。R–X列从正式R/Python分析输出回填。主要结局家族为EQ、IQ和S-TIAS，使用Holm校正；T1–T3为机制诊断家族。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</row>
    <row r="4">
      <c r="A4" s="26" t="inlineStr">
        <is>
          <t>Family</t>
        </is>
      </c>
      <c r="B4" s="27" t="inlineStr">
        <is>
          <t>Outcome_ID</t>
        </is>
      </c>
      <c r="C4" s="27" t="inlineStr">
        <is>
          <t>Outcome_Name</t>
        </is>
      </c>
      <c r="D4" s="27" t="inlineStr">
        <is>
          <t>Level</t>
        </is>
      </c>
      <c r="E4" s="27" t="inlineStr">
        <is>
          <t>Planned_Analysis</t>
        </is>
      </c>
      <c r="F4" s="27" t="inlineStr">
        <is>
          <t>Multiplicity_Family</t>
        </is>
      </c>
      <c r="G4" s="27" t="inlineStr">
        <is>
          <t>N_OE</t>
        </is>
      </c>
      <c r="H4" s="27" t="inlineStr">
        <is>
          <t>OE_Mean</t>
        </is>
      </c>
      <c r="I4" s="27" t="inlineStr">
        <is>
          <t>OE_SD</t>
        </is>
      </c>
      <c r="J4" s="27" t="inlineStr">
        <is>
          <t>OE_Median_[Q1,Q3]</t>
        </is>
      </c>
      <c r="K4" s="27" t="inlineStr">
        <is>
          <t>N_EA</t>
        </is>
      </c>
      <c r="L4" s="27" t="inlineStr">
        <is>
          <t>EA_Mean</t>
        </is>
      </c>
      <c r="M4" s="27" t="inlineStr">
        <is>
          <t>EA_SD</t>
        </is>
      </c>
      <c r="N4" s="27" t="inlineStr">
        <is>
          <t>EA_Median_[Q1,Q3]</t>
        </is>
      </c>
      <c r="O4" s="27" t="inlineStr">
        <is>
          <t>Mean_Diff_EA-OE</t>
        </is>
      </c>
      <c r="P4" s="27" t="inlineStr">
        <is>
          <t>Median_Diff</t>
        </is>
      </c>
      <c r="Q4" s="27" t="inlineStr">
        <is>
          <t>Positive/Negative/Tie</t>
        </is>
      </c>
      <c r="R4" s="27" t="inlineStr">
        <is>
          <t>Model_Estimate_or_OR</t>
        </is>
      </c>
      <c r="S4" s="27" t="inlineStr">
        <is>
          <t>95%_CI</t>
        </is>
      </c>
      <c r="T4" s="27" t="inlineStr">
        <is>
          <t>p_raw</t>
        </is>
      </c>
      <c r="U4" s="27" t="inlineStr">
        <is>
          <t>p_adjusted</t>
        </is>
      </c>
      <c r="V4" s="27" t="inlineStr">
        <is>
          <t>Effect_Size</t>
        </is>
      </c>
      <c r="W4" s="27" t="inlineStr">
        <is>
          <t>Decision</t>
        </is>
      </c>
      <c r="X4" s="101" t="inlineStr">
        <is>
          <t>Manuscript_Result</t>
        </is>
      </c>
    </row>
    <row r="5">
      <c r="A5" s="90" t="inlineStr">
        <is>
          <t>Primary</t>
        </is>
      </c>
      <c r="B5" s="85" t="inlineStr">
        <is>
          <t>EQ</t>
        </is>
      </c>
      <c r="C5" s="85" t="inlineStr">
        <is>
          <t>Embedding Quality</t>
        </is>
      </c>
      <c r="D5" s="85" t="inlineStr">
        <is>
          <t>Block scale</t>
        </is>
      </c>
      <c r="E5" s="85" t="inlineStr">
        <is>
          <t>LMM/robust mixed model: Method*Object + order + (1|Participant)</t>
        </is>
      </c>
      <c r="F5" s="85" t="inlineStr">
        <is>
          <t>Primary-3</t>
        </is>
      </c>
      <c r="G5" s="129" t="n">
        <f>COUNT(ParticipantConditionSummary!L29:L52)</f>
        <v>0</v>
      </c>
      <c r="H5" s="149" t="str">
        <f>IFERROR(AVERAGE(ParticipantConditionSummary!L29:L52),"")</f>
      </c>
      <c r="I5" s="149" t="n">
        <f>IFERROR(STDEV.S(ParticipantConditionSummary!L29:L52),"")</f>
        <v>0</v>
      </c>
      <c r="J5" s="129" t="str">
        <f>IFERROR(TEXT(MEDIAN(ParticipantConditionSummary!L29:L52),"0.00")&amp;" ["&amp;TEXT(QUARTILE.INC(ParticipantConditionSummary!L29:L52,1),"0.00")&amp;", "&amp;TEXT(QUARTILE.INC(ParticipantConditionSummary!L29:L52,3),"0.00")&amp;"]","")</f>
      </c>
      <c r="K5" s="129" t="n">
        <f>COUNT(ParticipantConditionSummary!L5:L28)</f>
        <v>0</v>
      </c>
      <c r="L5" s="149" t="str">
        <f>IFERROR(AVERAGE(ParticipantConditionSummary!L5:L28),"")</f>
      </c>
      <c r="M5" s="149" t="n">
        <f>IFERROR(STDEV.S(ParticipantConditionSummary!L5:L28),"")</f>
        <v>0</v>
      </c>
      <c r="N5" s="129" t="str">
        <f>IFERROR(TEXT(MEDIAN(ParticipantConditionSummary!L5:L28),"0.00")&amp;" ["&amp;TEXT(QUARTILE.INC(ParticipantConditionSummary!L5:L28,1),"0.00")&amp;", "&amp;TEXT(QUARTILE.INC(ParticipantConditionSummary!L5:L28,3),"0.00")&amp;"]","")</f>
      </c>
      <c r="O5" s="149" t="str">
        <f>IFERROR(AVERAGE(PairedDifferences!E5:E28),"")</f>
      </c>
      <c r="P5" s="149" t="str">
        <f>IFERROR(MEDIAN(PairedDifferences!E5:E28),"")</f>
      </c>
      <c r="Q5" s="129" t="str">
        <f>IF(COUNT(PairedDifferences!E5:E28)=0,"",COUNTIF(PairedDifferences!E5:E28,"&gt;0")&amp;"/"&amp;COUNTIF(PairedDifferences!E5:E28,"&lt;0")&amp;"/"&amp;COUNTIF(PairedDifferences!E5:E28,0))</f>
      </c>
      <c r="R5" s="215"/>
      <c r="S5" s="215"/>
      <c r="T5" s="215"/>
      <c r="U5" s="215"/>
      <c r="V5" s="215"/>
      <c r="W5" s="215"/>
      <c r="X5" s="243"/>
    </row>
    <row r="6">
      <c r="A6" s="90" t="inlineStr">
        <is>
          <t>Primary</t>
        </is>
      </c>
      <c r="B6" s="85" t="inlineStr">
        <is>
          <t>IQ</t>
        </is>
      </c>
      <c r="C6" s="85" t="inlineStr">
        <is>
          <t>Interaction Quality</t>
        </is>
      </c>
      <c r="D6" s="85" t="inlineStr">
        <is>
          <t>Block scale</t>
        </is>
      </c>
      <c r="E6" s="85" t="inlineStr">
        <is>
          <t>LMM/robust mixed model: Method*Object + order + (1|Participant)</t>
        </is>
      </c>
      <c r="F6" s="85" t="inlineStr">
        <is>
          <t>Primary-3</t>
        </is>
      </c>
      <c r="G6" s="129" t="n">
        <f>COUNT(ParticipantConditionSummary!P29:P52)</f>
        <v>0</v>
      </c>
      <c r="H6" s="149" t="str">
        <f>IFERROR(AVERAGE(ParticipantConditionSummary!P29:P52),"")</f>
      </c>
      <c r="I6" s="149" t="n">
        <f>IFERROR(STDEV.S(ParticipantConditionSummary!P29:P52),"")</f>
        <v>0</v>
      </c>
      <c r="J6" s="129" t="str">
        <f>IFERROR(TEXT(MEDIAN(ParticipantConditionSummary!P29:P52),"0.00")&amp;" ["&amp;TEXT(QUARTILE.INC(ParticipantConditionSummary!P29:P52,1),"0.00")&amp;", "&amp;TEXT(QUARTILE.INC(ParticipantConditionSummary!P29:P52,3),"0.00")&amp;"]","")</f>
      </c>
      <c r="K6" s="129" t="n">
        <f>COUNT(ParticipantConditionSummary!P5:P28)</f>
        <v>0</v>
      </c>
      <c r="L6" s="149" t="str">
        <f>IFERROR(AVERAGE(ParticipantConditionSummary!P5:P28),"")</f>
      </c>
      <c r="M6" s="149" t="n">
        <f>IFERROR(STDEV.S(ParticipantConditionSummary!P5:P28),"")</f>
        <v>0</v>
      </c>
      <c r="N6" s="129" t="str">
        <f>IFERROR(TEXT(MEDIAN(ParticipantConditionSummary!P5:P28),"0.00")&amp;" ["&amp;TEXT(QUARTILE.INC(ParticipantConditionSummary!P5:P28,1),"0.00")&amp;", "&amp;TEXT(QUARTILE.INC(ParticipantConditionSummary!P5:P28,3),"0.00")&amp;"]","")</f>
      </c>
      <c r="O6" s="149" t="str">
        <f>IFERROR(AVERAGE(PairedDifferences!F5:F28),"")</f>
      </c>
      <c r="P6" s="149" t="str">
        <f>IFERROR(MEDIAN(PairedDifferences!F5:F28),"")</f>
      </c>
      <c r="Q6" s="129" t="str">
        <f>IF(COUNT(PairedDifferences!F5:F28)=0,"",COUNTIF(PairedDifferences!F5:F28,"&gt;0")&amp;"/"&amp;COUNTIF(PairedDifferences!F5:F28,"&lt;0")&amp;"/"&amp;COUNTIF(PairedDifferences!F5:F28,0))</f>
      </c>
      <c r="R6" s="215"/>
      <c r="S6" s="215"/>
      <c r="T6" s="215"/>
      <c r="U6" s="215"/>
      <c r="V6" s="215"/>
      <c r="W6" s="215"/>
      <c r="X6" s="243"/>
    </row>
    <row r="7">
      <c r="A7" s="90" t="inlineStr">
        <is>
          <t>Primary</t>
        </is>
      </c>
      <c r="B7" s="85" t="inlineStr">
        <is>
          <t>STIAS</t>
        </is>
      </c>
      <c r="C7" s="85" t="inlineStr">
        <is>
          <t>Adapted S-TIAS trust</t>
        </is>
      </c>
      <c r="D7" s="85" t="inlineStr">
        <is>
          <t>Method scale</t>
        </is>
      </c>
      <c r="E7" s="85" t="inlineStr">
        <is>
          <t>Paired test or method-level model</t>
        </is>
      </c>
      <c r="F7" s="85" t="inlineStr">
        <is>
          <t>Primary-3</t>
        </is>
      </c>
      <c r="G7" s="129" t="n">
        <f>COUNT(ParticipantConditionSummary!T29:T52)</f>
        <v>0</v>
      </c>
      <c r="H7" s="149" t="str">
        <f>IFERROR(AVERAGE(ParticipantConditionSummary!T29:T52),"")</f>
      </c>
      <c r="I7" s="149" t="n">
        <f>IFERROR(STDEV.S(ParticipantConditionSummary!T29:T52),"")</f>
        <v>0</v>
      </c>
      <c r="J7" s="129" t="str">
        <f>IFERROR(TEXT(MEDIAN(ParticipantConditionSummary!T29:T52),"0.00")&amp;" ["&amp;TEXT(QUARTILE.INC(ParticipantConditionSummary!T29:T52,1),"0.00")&amp;", "&amp;TEXT(QUARTILE.INC(ParticipantConditionSummary!T29:T52,3),"0.00")&amp;"]","")</f>
      </c>
      <c r="K7" s="129" t="n">
        <f>COUNT(ParticipantConditionSummary!T5:T28)</f>
        <v>0</v>
      </c>
      <c r="L7" s="149" t="str">
        <f>IFERROR(AVERAGE(ParticipantConditionSummary!T5:T28),"")</f>
      </c>
      <c r="M7" s="149" t="n">
        <f>IFERROR(STDEV.S(ParticipantConditionSummary!T5:T28),"")</f>
        <v>0</v>
      </c>
      <c r="N7" s="129" t="str">
        <f>IFERROR(TEXT(MEDIAN(ParticipantConditionSummary!T5:T28),"0.00")&amp;" ["&amp;TEXT(QUARTILE.INC(ParticipantConditionSummary!T5:T28,1),"0.00")&amp;", "&amp;TEXT(QUARTILE.INC(ParticipantConditionSummary!T5:T28,3),"0.00")&amp;"]","")</f>
      </c>
      <c r="O7" s="149" t="str">
        <f>IFERROR(AVERAGE(PairedDifferences!G5:G28),"")</f>
      </c>
      <c r="P7" s="149" t="str">
        <f>IFERROR(MEDIAN(PairedDifferences!G5:G28),"")</f>
      </c>
      <c r="Q7" s="129" t="str">
        <f>IF(COUNT(PairedDifferences!G5:G28)=0,"",COUNTIF(PairedDifferences!G5:G28,"&gt;0")&amp;"/"&amp;COUNTIF(PairedDifferences!G5:G28,"&lt;0")&amp;"/"&amp;COUNTIF(PairedDifferences!G5:G28,0))</f>
      </c>
      <c r="R7" s="215"/>
      <c r="S7" s="215"/>
      <c r="T7" s="215"/>
      <c r="U7" s="215"/>
      <c r="V7" s="215"/>
      <c r="W7" s="215"/>
      <c r="X7" s="243"/>
    </row>
    <row r="8">
      <c r="A8" s="90" t="inlineStr">
        <is>
          <t>Mechanism</t>
        </is>
      </c>
      <c r="B8" s="85" t="inlineStr">
        <is>
          <t>T1</t>
        </is>
      </c>
      <c r="C8" s="85" t="inlineStr">
        <is>
          <t>Static stability</t>
        </is>
      </c>
      <c r="D8" s="85" t="inlineStr">
        <is>
          <t>Task single item</t>
        </is>
      </c>
      <c r="E8" s="85" t="inlineStr">
        <is>
          <t>Cumulative-link mixed model: Method*Object + order + (1|Participant)</t>
        </is>
      </c>
      <c r="F8" s="85" t="inlineStr">
        <is>
          <t>Mechanism-3</t>
        </is>
      </c>
      <c r="G8" s="129" t="n">
        <f>COUNT(ParticipantConditionSummary!F29:F52)</f>
        <v>0</v>
      </c>
      <c r="H8" s="149" t="str">
        <f>IFERROR(AVERAGE(ParticipantConditionSummary!F29:F52),"")</f>
      </c>
      <c r="I8" s="149" t="n">
        <f>IFERROR(STDEV.S(ParticipantConditionSummary!F29:F52),"")</f>
        <v>0</v>
      </c>
      <c r="J8" s="129" t="str">
        <f>IFERROR(TEXT(MEDIAN(ParticipantConditionSummary!F29:F52),"0.00")&amp;" ["&amp;TEXT(QUARTILE.INC(ParticipantConditionSummary!F29:F52,1),"0.00")&amp;", "&amp;TEXT(QUARTILE.INC(ParticipantConditionSummary!F29:F52,3),"0.00")&amp;"]","")</f>
      </c>
      <c r="K8" s="129" t="n">
        <f>COUNT(ParticipantConditionSummary!F5:F28)</f>
        <v>0</v>
      </c>
      <c r="L8" s="149" t="str">
        <f>IFERROR(AVERAGE(ParticipantConditionSummary!F5:F28),"")</f>
      </c>
      <c r="M8" s="149" t="n">
        <f>IFERROR(STDEV.S(ParticipantConditionSummary!F5:F28),"")</f>
        <v>0</v>
      </c>
      <c r="N8" s="129" t="str">
        <f>IFERROR(TEXT(MEDIAN(ParticipantConditionSummary!F5:F28),"0.00")&amp;" ["&amp;TEXT(QUARTILE.INC(ParticipantConditionSummary!F5:F28,1),"0.00")&amp;", "&amp;TEXT(QUARTILE.INC(ParticipantConditionSummary!F5:F28,3),"0.00")&amp;"]","")</f>
      </c>
      <c r="O8" s="149" t="str">
        <f>IFERROR(AVERAGE(PairedDifferences!B5:B28),"")</f>
      </c>
      <c r="P8" s="149" t="str">
        <f>IFERROR(MEDIAN(PairedDifferences!B5:B28),"")</f>
      </c>
      <c r="Q8" s="129" t="str">
        <f>IF(COUNT(PairedDifferences!B5:B28)=0,"",COUNTIF(PairedDifferences!B5:B28,"&gt;0")&amp;"/"&amp;COUNTIF(PairedDifferences!B5:B28,"&lt;0")&amp;"/"&amp;COUNTIF(PairedDifferences!B5:B28,0))</f>
      </c>
      <c r="R8" s="215"/>
      <c r="S8" s="215"/>
      <c r="T8" s="215"/>
      <c r="U8" s="215"/>
      <c r="V8" s="215"/>
      <c r="W8" s="215"/>
      <c r="X8" s="243"/>
    </row>
    <row r="9">
      <c r="A9" s="90" t="inlineStr">
        <is>
          <t>Mechanism</t>
        </is>
      </c>
      <c r="B9" s="85" t="inlineStr">
        <is>
          <t>T2</t>
        </is>
      </c>
      <c r="C9" s="85" t="inlineStr">
        <is>
          <t>Motion attachment</t>
        </is>
      </c>
      <c r="D9" s="85" t="inlineStr">
        <is>
          <t>Task single item</t>
        </is>
      </c>
      <c r="E9" s="85" t="inlineStr">
        <is>
          <t>Cumulative-link mixed model: Method*Object + order + (1|Participant)</t>
        </is>
      </c>
      <c r="F9" s="85" t="inlineStr">
        <is>
          <t>Mechanism-3</t>
        </is>
      </c>
      <c r="G9" s="129" t="n">
        <f>COUNT(ParticipantConditionSummary!G29:G52)</f>
        <v>0</v>
      </c>
      <c r="H9" s="149" t="str">
        <f>IFERROR(AVERAGE(ParticipantConditionSummary!G29:G52),"")</f>
      </c>
      <c r="I9" s="149" t="n">
        <f>IFERROR(STDEV.S(ParticipantConditionSummary!G29:G52),"")</f>
        <v>0</v>
      </c>
      <c r="J9" s="129" t="str">
        <f>IFERROR(TEXT(MEDIAN(ParticipantConditionSummary!G29:G52),"0.00")&amp;" ["&amp;TEXT(QUARTILE.INC(ParticipantConditionSummary!G29:G52,1),"0.00")&amp;", "&amp;TEXT(QUARTILE.INC(ParticipantConditionSummary!G29:G52,3),"0.00")&amp;"]","")</f>
      </c>
      <c r="K9" s="129" t="n">
        <f>COUNT(ParticipantConditionSummary!G5:G28)</f>
        <v>0</v>
      </c>
      <c r="L9" s="149" t="str">
        <f>IFERROR(AVERAGE(ParticipantConditionSummary!G5:G28),"")</f>
      </c>
      <c r="M9" s="149" t="n">
        <f>IFERROR(STDEV.S(ParticipantConditionSummary!G5:G28),"")</f>
        <v>0</v>
      </c>
      <c r="N9" s="129" t="str">
        <f>IFERROR(TEXT(MEDIAN(ParticipantConditionSummary!G5:G28),"0.00")&amp;" ["&amp;TEXT(QUARTILE.INC(ParticipantConditionSummary!G5:G28,1),"0.00")&amp;", "&amp;TEXT(QUARTILE.INC(ParticipantConditionSummary!G5:G28,3),"0.00")&amp;"]","")</f>
      </c>
      <c r="O9" s="149" t="str">
        <f>IFERROR(AVERAGE(PairedDifferences!C5:C28),"")</f>
      </c>
      <c r="P9" s="149" t="str">
        <f>IFERROR(MEDIAN(PairedDifferences!C5:C28),"")</f>
      </c>
      <c r="Q9" s="129" t="str">
        <f>IF(COUNT(PairedDifferences!C5:C28)=0,"",COUNTIF(PairedDifferences!C5:C28,"&gt;0")&amp;"/"&amp;COUNTIF(PairedDifferences!C5:C28,"&lt;0")&amp;"/"&amp;COUNTIF(PairedDifferences!C5:C28,0))</f>
      </c>
      <c r="R9" s="215"/>
      <c r="S9" s="215"/>
      <c r="T9" s="215"/>
      <c r="U9" s="215"/>
      <c r="V9" s="215"/>
      <c r="W9" s="215"/>
      <c r="X9" s="243"/>
    </row>
    <row r="10">
      <c r="A10" s="90" t="inlineStr">
        <is>
          <t>Mechanism</t>
        </is>
      </c>
      <c r="B10" s="85" t="inlineStr">
        <is>
          <t>T3</t>
        </is>
      </c>
      <c r="C10" s="85" t="inlineStr">
        <is>
          <t>Recovery consistency</t>
        </is>
      </c>
      <c r="D10" s="85" t="inlineStr">
        <is>
          <t>Task single item</t>
        </is>
      </c>
      <c r="E10" s="85" t="inlineStr">
        <is>
          <t>Cumulative-link mixed model: Method*Object + order + (1|Participant)</t>
        </is>
      </c>
      <c r="F10" s="85" t="inlineStr">
        <is>
          <t>Mechanism-3</t>
        </is>
      </c>
      <c r="G10" s="129" t="n">
        <f>COUNT(ParticipantConditionSummary!H29:H52)</f>
        <v>0</v>
      </c>
      <c r="H10" s="149" t="str">
        <f>IFERROR(AVERAGE(ParticipantConditionSummary!H29:H52),"")</f>
      </c>
      <c r="I10" s="149" t="n">
        <f>IFERROR(STDEV.S(ParticipantConditionSummary!H29:H52),"")</f>
        <v>0</v>
      </c>
      <c r="J10" s="129" t="str">
        <f>IFERROR(TEXT(MEDIAN(ParticipantConditionSummary!H29:H52),"0.00")&amp;" ["&amp;TEXT(QUARTILE.INC(ParticipantConditionSummary!H29:H52,1),"0.00")&amp;", "&amp;TEXT(QUARTILE.INC(ParticipantConditionSummary!H29:H52,3),"0.00")&amp;"]","")</f>
      </c>
      <c r="K10" s="129" t="n">
        <f>COUNT(ParticipantConditionSummary!H5:H28)</f>
        <v>0</v>
      </c>
      <c r="L10" s="149" t="str">
        <f>IFERROR(AVERAGE(ParticipantConditionSummary!H5:H28),"")</f>
      </c>
      <c r="M10" s="149" t="n">
        <f>IFERROR(STDEV.S(ParticipantConditionSummary!H5:H28),"")</f>
        <v>0</v>
      </c>
      <c r="N10" s="129" t="str">
        <f>IFERROR(TEXT(MEDIAN(ParticipantConditionSummary!H5:H28),"0.00")&amp;" ["&amp;TEXT(QUARTILE.INC(ParticipantConditionSummary!H5:H28,1),"0.00")&amp;", "&amp;TEXT(QUARTILE.INC(ParticipantConditionSummary!H5:H28,3),"0.00")&amp;"]","")</f>
      </c>
      <c r="O10" s="149" t="str">
        <f>IFERROR(AVERAGE(PairedDifferences!D5:D28),"")</f>
      </c>
      <c r="P10" s="149" t="str">
        <f>IFERROR(MEDIAN(PairedDifferences!D5:D28),"")</f>
      </c>
      <c r="Q10" s="129" t="str">
        <f>IF(COUNT(PairedDifferences!D5:D28)=0,"",COUNTIF(PairedDifferences!D5:D28,"&gt;0")&amp;"/"&amp;COUNTIF(PairedDifferences!D5:D28,"&lt;0")&amp;"/"&amp;COUNTIF(PairedDifferences!D5:D28,0))</f>
      </c>
      <c r="R10" s="215"/>
      <c r="S10" s="215"/>
      <c r="T10" s="215"/>
      <c r="U10" s="215"/>
      <c r="V10" s="215"/>
      <c r="W10" s="215"/>
      <c r="X10" s="243"/>
    </row>
    <row r="11">
      <c r="A11" s="90" t="inlineStr">
        <is>
          <t>Secondary</t>
        </is>
      </c>
      <c r="B11" s="85" t="inlineStr">
        <is>
          <t>CR1</t>
        </is>
      </c>
      <c r="C11" s="85" t="inlineStr">
        <is>
          <t>Plausibility</t>
        </is>
      </c>
      <c r="D11" s="85" t="inlineStr">
        <is>
          <t>Method single item</t>
        </is>
      </c>
      <c r="E11" s="85" t="inlineStr">
        <is>
          <t>Paired ordinal/robust analysis</t>
        </is>
      </c>
      <c r="F11" s="85" t="inlineStr">
        <is>
          <t>Secondary</t>
        </is>
      </c>
      <c r="G11" s="129" t="n">
        <f>COUNT(ParticipantConditionSummary!U29:U52)</f>
        <v>0</v>
      </c>
      <c r="H11" s="149" t="str">
        <f>IFERROR(AVERAGE(ParticipantConditionSummary!U29:U52),"")</f>
      </c>
      <c r="I11" s="149" t="n">
        <f>IFERROR(STDEV.S(ParticipantConditionSummary!U29:U52),"")</f>
        <v>0</v>
      </c>
      <c r="J11" s="129" t="str">
        <f>IFERROR(TEXT(MEDIAN(ParticipantConditionSummary!U29:U52),"0.00")&amp;" ["&amp;TEXT(QUARTILE.INC(ParticipantConditionSummary!U29:U52,1),"0.00")&amp;", "&amp;TEXT(QUARTILE.INC(ParticipantConditionSummary!U29:U52,3),"0.00")&amp;"]","")</f>
      </c>
      <c r="K11" s="129" t="n">
        <f>COUNT(ParticipantConditionSummary!U5:U28)</f>
        <v>0</v>
      </c>
      <c r="L11" s="149" t="str">
        <f>IFERROR(AVERAGE(ParticipantConditionSummary!U5:U28),"")</f>
      </c>
      <c r="M11" s="149" t="n">
        <f>IFERROR(STDEV.S(ParticipantConditionSummary!U5:U28),"")</f>
        <v>0</v>
      </c>
      <c r="N11" s="129" t="str">
        <f>IFERROR(TEXT(MEDIAN(ParticipantConditionSummary!U5:U28),"0.00")&amp;" ["&amp;TEXT(QUARTILE.INC(ParticipantConditionSummary!U5:U28,1),"0.00")&amp;", "&amp;TEXT(QUARTILE.INC(ParticipantConditionSummary!U5:U28,3),"0.00")&amp;"]","")</f>
      </c>
      <c r="O11" s="149" t="str">
        <f>IFERROR(AVERAGE(PairedDifferences!H5:H28),"")</f>
      </c>
      <c r="P11" s="149" t="str">
        <f>IFERROR(MEDIAN(PairedDifferences!H5:H28),"")</f>
      </c>
      <c r="Q11" s="129" t="str">
        <f>IF(COUNT(PairedDifferences!H5:H28)=0,"",COUNTIF(PairedDifferences!H5:H28,"&gt;0")&amp;"/"&amp;COUNTIF(PairedDifferences!H5:H28,"&lt;0")&amp;"/"&amp;COUNTIF(PairedDifferences!H5:H28,0))</f>
      </c>
      <c r="R11" s="215"/>
      <c r="S11" s="215"/>
      <c r="T11" s="215"/>
      <c r="U11" s="215"/>
      <c r="V11" s="215"/>
      <c r="W11" s="215"/>
      <c r="X11" s="243"/>
    </row>
    <row r="12">
      <c r="A12" s="90" t="inlineStr">
        <is>
          <t>Secondary</t>
        </is>
      </c>
      <c r="B12" s="85" t="inlineStr">
        <is>
          <t>CR2</t>
        </is>
      </c>
      <c r="C12" s="85" t="inlineStr">
        <is>
          <t>Synchrony</t>
        </is>
      </c>
      <c r="D12" s="85" t="inlineStr">
        <is>
          <t>Method single item</t>
        </is>
      </c>
      <c r="E12" s="85" t="inlineStr">
        <is>
          <t>Paired ordinal/robust analysis</t>
        </is>
      </c>
      <c r="F12" s="85" t="inlineStr">
        <is>
          <t>Secondary</t>
        </is>
      </c>
      <c r="G12" s="129" t="n">
        <f>COUNT(ParticipantConditionSummary!V29:V52)</f>
        <v>0</v>
      </c>
      <c r="H12" s="149" t="str">
        <f>IFERROR(AVERAGE(ParticipantConditionSummary!V29:V52),"")</f>
      </c>
      <c r="I12" s="149" t="n">
        <f>IFERROR(STDEV.S(ParticipantConditionSummary!V29:V52),"")</f>
        <v>0</v>
      </c>
      <c r="J12" s="129" t="str">
        <f>IFERROR(TEXT(MEDIAN(ParticipantConditionSummary!V29:V52),"0.00")&amp;" ["&amp;TEXT(QUARTILE.INC(ParticipantConditionSummary!V29:V52,1),"0.00")&amp;", "&amp;TEXT(QUARTILE.INC(ParticipantConditionSummary!V29:V52,3),"0.00")&amp;"]","")</f>
      </c>
      <c r="K12" s="129" t="n">
        <f>COUNT(ParticipantConditionSummary!V5:V28)</f>
        <v>0</v>
      </c>
      <c r="L12" s="149" t="str">
        <f>IFERROR(AVERAGE(ParticipantConditionSummary!V5:V28),"")</f>
      </c>
      <c r="M12" s="149" t="n">
        <f>IFERROR(STDEV.S(ParticipantConditionSummary!V5:V28),"")</f>
        <v>0</v>
      </c>
      <c r="N12" s="129" t="str">
        <f>IFERROR(TEXT(MEDIAN(ParticipantConditionSummary!V5:V28),"0.00")&amp;" ["&amp;TEXT(QUARTILE.INC(ParticipantConditionSummary!V5:V28,1),"0.00")&amp;", "&amp;TEXT(QUARTILE.INC(ParticipantConditionSummary!V5:V28,3),"0.00")&amp;"]","")</f>
      </c>
      <c r="O12" s="149" t="str">
        <f>IFERROR(AVERAGE(PairedDifferences!I5:I28),"")</f>
      </c>
      <c r="P12" s="149" t="str">
        <f>IFERROR(MEDIAN(PairedDifferences!I5:I28),"")</f>
      </c>
      <c r="Q12" s="129" t="str">
        <f>IF(COUNT(PairedDifferences!I5:I28)=0,"",COUNTIF(PairedDifferences!I5:I28,"&gt;0")&amp;"/"&amp;COUNTIF(PairedDifferences!I5:I28,"&lt;0")&amp;"/"&amp;COUNTIF(PairedDifferences!I5:I28,0))</f>
      </c>
      <c r="R12" s="215"/>
      <c r="S12" s="215"/>
      <c r="T12" s="215"/>
      <c r="U12" s="215"/>
      <c r="V12" s="215"/>
      <c r="W12" s="215"/>
      <c r="X12" s="243"/>
    </row>
    <row r="13">
      <c r="A13" s="90" t="inlineStr">
        <is>
          <t>Secondary</t>
        </is>
      </c>
      <c r="B13" s="85" t="inlineStr">
        <is>
          <t>CR3</t>
        </is>
      </c>
      <c r="C13" s="85" t="inlineStr">
        <is>
          <t>Responsiveness</t>
        </is>
      </c>
      <c r="D13" s="85" t="inlineStr">
        <is>
          <t>Method single item</t>
        </is>
      </c>
      <c r="E13" s="85" t="inlineStr">
        <is>
          <t>Paired ordinal/robust analysis</t>
        </is>
      </c>
      <c r="F13" s="85" t="inlineStr">
        <is>
          <t>Secondary</t>
        </is>
      </c>
      <c r="G13" s="129" t="n">
        <f>COUNT(ParticipantConditionSummary!W29:W52)</f>
        <v>0</v>
      </c>
      <c r="H13" s="149" t="str">
        <f>IFERROR(AVERAGE(ParticipantConditionSummary!W29:W52),"")</f>
      </c>
      <c r="I13" s="149" t="n">
        <f>IFERROR(STDEV.S(ParticipantConditionSummary!W29:W52),"")</f>
        <v>0</v>
      </c>
      <c r="J13" s="129" t="str">
        <f>IFERROR(TEXT(MEDIAN(ParticipantConditionSummary!W29:W52),"0.00")&amp;" ["&amp;TEXT(QUARTILE.INC(ParticipantConditionSummary!W29:W52,1),"0.00")&amp;", "&amp;TEXT(QUARTILE.INC(ParticipantConditionSummary!W29:W52,3),"0.00")&amp;"]","")</f>
      </c>
      <c r="K13" s="129" t="n">
        <f>COUNT(ParticipantConditionSummary!W5:W28)</f>
        <v>0</v>
      </c>
      <c r="L13" s="149" t="str">
        <f>IFERROR(AVERAGE(ParticipantConditionSummary!W5:W28),"")</f>
      </c>
      <c r="M13" s="149" t="n">
        <f>IFERROR(STDEV.S(ParticipantConditionSummary!W5:W28),"")</f>
        <v>0</v>
      </c>
      <c r="N13" s="129" t="str">
        <f>IFERROR(TEXT(MEDIAN(ParticipantConditionSummary!W5:W28),"0.00")&amp;" ["&amp;TEXT(QUARTILE.INC(ParticipantConditionSummary!W5:W28,1),"0.00")&amp;", "&amp;TEXT(QUARTILE.INC(ParticipantConditionSummary!W5:W28,3),"0.00")&amp;"]","")</f>
      </c>
      <c r="O13" s="149" t="str">
        <f>IFERROR(AVERAGE(PairedDifferences!J5:J28),"")</f>
      </c>
      <c r="P13" s="149" t="str">
        <f>IFERROR(MEDIAN(PairedDifferences!J5:J28),"")</f>
      </c>
      <c r="Q13" s="129" t="str">
        <f>IF(COUNT(PairedDifferences!J5:J28)=0,"",COUNTIF(PairedDifferences!J5:J28,"&gt;0")&amp;"/"&amp;COUNTIF(PairedDifferences!J5:J28,"&lt;0")&amp;"/"&amp;COUNTIF(PairedDifferences!J5:J28,0))</f>
      </c>
      <c r="R13" s="215"/>
      <c r="S13" s="215"/>
      <c r="T13" s="215"/>
      <c r="U13" s="215"/>
      <c r="V13" s="215"/>
      <c r="W13" s="215"/>
      <c r="X13" s="243"/>
    </row>
    <row r="14">
      <c r="A14" s="90" t="inlineStr">
        <is>
          <t>Secondary</t>
        </is>
      </c>
      <c r="B14" s="85" t="inlineStr">
        <is>
          <t>CRIQ</t>
        </is>
      </c>
      <c r="C14" s="85" t="inlineStr">
        <is>
          <t>CRIQ exploratory mean</t>
        </is>
      </c>
      <c r="D14" s="85" t="inlineStr">
        <is>
          <t>Method scale</t>
        </is>
      </c>
      <c r="E14" s="85" t="inlineStr">
        <is>
          <t>Paired test; report only if reliability acceptable</t>
        </is>
      </c>
      <c r="F14" s="85" t="inlineStr">
        <is>
          <t>Secondary</t>
        </is>
      </c>
      <c r="G14" s="129" t="n">
        <f>COUNT(ParticipantConditionSummary!X29:X52)</f>
        <v>0</v>
      </c>
      <c r="H14" s="149" t="str">
        <f>IFERROR(AVERAGE(ParticipantConditionSummary!X29:X52),"")</f>
      </c>
      <c r="I14" s="149" t="n">
        <f>IFERROR(STDEV.S(ParticipantConditionSummary!X29:X52),"")</f>
        <v>0</v>
      </c>
      <c r="J14" s="129" t="str">
        <f>IFERROR(TEXT(MEDIAN(ParticipantConditionSummary!X29:X52),"0.00")&amp;" ["&amp;TEXT(QUARTILE.INC(ParticipantConditionSummary!X29:X52,1),"0.00")&amp;", "&amp;TEXT(QUARTILE.INC(ParticipantConditionSummary!X29:X52,3),"0.00")&amp;"]","")</f>
      </c>
      <c r="K14" s="129" t="n">
        <f>COUNT(ParticipantConditionSummary!X5:X28)</f>
        <v>0</v>
      </c>
      <c r="L14" s="149" t="str">
        <f>IFERROR(AVERAGE(ParticipantConditionSummary!X5:X28),"")</f>
      </c>
      <c r="M14" s="149" t="n">
        <f>IFERROR(STDEV.S(ParticipantConditionSummary!X5:X28),"")</f>
        <v>0</v>
      </c>
      <c r="N14" s="129" t="str">
        <f>IFERROR(TEXT(MEDIAN(ParticipantConditionSummary!X5:X28),"0.00")&amp;" ["&amp;TEXT(QUARTILE.INC(ParticipantConditionSummary!X5:X28,1),"0.00")&amp;", "&amp;TEXT(QUARTILE.INC(ParticipantConditionSummary!X5:X28,3),"0.00")&amp;"]","")</f>
      </c>
      <c r="O14" s="149" t="str">
        <f>IFERROR(AVERAGE(PairedDifferences!K5:K28),"")</f>
      </c>
      <c r="P14" s="149" t="str">
        <f>IFERROR(MEDIAN(PairedDifferences!K5:K28),"")</f>
      </c>
      <c r="Q14" s="129" t="str">
        <f>IF(COUNT(PairedDifferences!K5:K28)=0,"",COUNTIF(PairedDifferences!K5:K28,"&gt;0")&amp;"/"&amp;COUNTIF(PairedDifferences!K5:K28,"&lt;0")&amp;"/"&amp;COUNTIF(PairedDifferences!K5:K28,0))</f>
      </c>
      <c r="R14" s="215"/>
      <c r="S14" s="215"/>
      <c r="T14" s="215"/>
      <c r="U14" s="215"/>
      <c r="V14" s="215"/>
      <c r="W14" s="215"/>
      <c r="X14" s="243"/>
    </row>
    <row r="15">
      <c r="A15" s="90" t="inlineStr">
        <is>
          <t>Secondary</t>
        </is>
      </c>
      <c r="B15" s="85" t="inlineStr">
        <is>
          <t>CI1</t>
        </is>
      </c>
      <c r="C15" s="85" t="inlineStr">
        <is>
          <t>Real-world consistency</t>
        </is>
      </c>
      <c r="D15" s="85" t="inlineStr">
        <is>
          <t>Method single item</t>
        </is>
      </c>
      <c r="E15" s="85" t="inlineStr">
        <is>
          <t>Paired ordinal/robust analysis</t>
        </is>
      </c>
      <c r="F15" s="85" t="inlineStr">
        <is>
          <t>Secondary</t>
        </is>
      </c>
      <c r="G15" s="129" t="n">
        <f>COUNT(ParticipantConditionSummary!Y29:Y52)</f>
        <v>0</v>
      </c>
      <c r="H15" s="149" t="str">
        <f>IFERROR(AVERAGE(ParticipantConditionSummary!Y29:Y52),"")</f>
      </c>
      <c r="I15" s="149" t="n">
        <f>IFERROR(STDEV.S(ParticipantConditionSummary!Y29:Y52),"")</f>
        <v>0</v>
      </c>
      <c r="J15" s="129" t="str">
        <f>IFERROR(TEXT(MEDIAN(ParticipantConditionSummary!Y29:Y52),"0.00")&amp;" ["&amp;TEXT(QUARTILE.INC(ParticipantConditionSummary!Y29:Y52,1),"0.00")&amp;", "&amp;TEXT(QUARTILE.INC(ParticipantConditionSummary!Y29:Y52,3),"0.00")&amp;"]","")</f>
      </c>
      <c r="K15" s="129" t="n">
        <f>COUNT(ParticipantConditionSummary!Y5:Y28)</f>
        <v>0</v>
      </c>
      <c r="L15" s="149" t="str">
        <f>IFERROR(AVERAGE(ParticipantConditionSummary!Y5:Y28),"")</f>
      </c>
      <c r="M15" s="149" t="n">
        <f>IFERROR(STDEV.S(ParticipantConditionSummary!Y5:Y28),"")</f>
        <v>0</v>
      </c>
      <c r="N15" s="129" t="str">
        <f>IFERROR(TEXT(MEDIAN(ParticipantConditionSummary!Y5:Y28),"0.00")&amp;" ["&amp;TEXT(QUARTILE.INC(ParticipantConditionSummary!Y5:Y28,1),"0.00")&amp;", "&amp;TEXT(QUARTILE.INC(ParticipantConditionSummary!Y5:Y28,3),"0.00")&amp;"]","")</f>
      </c>
      <c r="O15" s="149" t="str">
        <f>IFERROR(AVERAGE(PairedDifferences!L5:L28),"")</f>
      </c>
      <c r="P15" s="149" t="str">
        <f>IFERROR(MEDIAN(PairedDifferences!L5:L28),"")</f>
      </c>
      <c r="Q15" s="129" t="str">
        <f>IF(COUNT(PairedDifferences!L5:L28)=0,"",COUNTIF(PairedDifferences!L5:L28,"&gt;0")&amp;"/"&amp;COUNTIF(PairedDifferences!L5:L28,"&lt;0")&amp;"/"&amp;COUNTIF(PairedDifferences!L5:L28,0))</f>
      </c>
      <c r="R15" s="215"/>
      <c r="S15" s="215"/>
      <c r="T15" s="215"/>
      <c r="U15" s="215"/>
      <c r="V15" s="215"/>
      <c r="W15" s="215"/>
      <c r="X15" s="243"/>
    </row>
    <row r="16">
      <c r="A16" s="90" t="inlineStr">
        <is>
          <t>Secondary</t>
        </is>
      </c>
      <c r="B16" s="85" t="inlineStr">
        <is>
          <t>CI2</t>
        </is>
      </c>
      <c r="C16" s="85" t="inlineStr">
        <is>
          <t>Behaved as expected</t>
        </is>
      </c>
      <c r="D16" s="85" t="inlineStr">
        <is>
          <t>Method single item</t>
        </is>
      </c>
      <c r="E16" s="85" t="inlineStr">
        <is>
          <t>Paired ordinal/robust analysis</t>
        </is>
      </c>
      <c r="F16" s="85" t="inlineStr">
        <is>
          <t>Secondary</t>
        </is>
      </c>
      <c r="G16" s="129" t="n">
        <f>COUNT(ParticipantConditionSummary!Z29:Z52)</f>
        <v>0</v>
      </c>
      <c r="H16" s="149" t="str">
        <f>IFERROR(AVERAGE(ParticipantConditionSummary!Z29:Z52),"")</f>
      </c>
      <c r="I16" s="149" t="n">
        <f>IFERROR(STDEV.S(ParticipantConditionSummary!Z29:Z52),"")</f>
        <v>0</v>
      </c>
      <c r="J16" s="129" t="str">
        <f>IFERROR(TEXT(MEDIAN(ParticipantConditionSummary!Z29:Z52),"0.00")&amp;" ["&amp;TEXT(QUARTILE.INC(ParticipantConditionSummary!Z29:Z52,1),"0.00")&amp;", "&amp;TEXT(QUARTILE.INC(ParticipantConditionSummary!Z29:Z52,3),"0.00")&amp;"]","")</f>
      </c>
      <c r="K16" s="129" t="n">
        <f>COUNT(ParticipantConditionSummary!Z5:Z28)</f>
        <v>0</v>
      </c>
      <c r="L16" s="149" t="str">
        <f>IFERROR(AVERAGE(ParticipantConditionSummary!Z5:Z28),"")</f>
      </c>
      <c r="M16" s="149" t="n">
        <f>IFERROR(STDEV.S(ParticipantConditionSummary!Z5:Z28),"")</f>
        <v>0</v>
      </c>
      <c r="N16" s="129" t="str">
        <f>IFERROR(TEXT(MEDIAN(ParticipantConditionSummary!Z5:Z28),"0.00")&amp;" ["&amp;TEXT(QUARTILE.INC(ParticipantConditionSummary!Z5:Z28,1),"0.00")&amp;", "&amp;TEXT(QUARTILE.INC(ParticipantConditionSummary!Z5:Z28,3),"0.00")&amp;"]","")</f>
      </c>
      <c r="O16" s="149" t="str">
        <f>IFERROR(AVERAGE(PairedDifferences!M5:M28),"")</f>
      </c>
      <c r="P16" s="149" t="str">
        <f>IFERROR(MEDIAN(PairedDifferences!M5:M28),"")</f>
      </c>
      <c r="Q16" s="129" t="str">
        <f>IF(COUNT(PairedDifferences!M5:M28)=0,"",COUNTIF(PairedDifferences!M5:M28,"&gt;0")&amp;"/"&amp;COUNTIF(PairedDifferences!M5:M28,"&lt;0")&amp;"/"&amp;COUNTIF(PairedDifferences!M5:M28,0))</f>
      </c>
      <c r="R16" s="215"/>
      <c r="S16" s="215"/>
      <c r="T16" s="215"/>
      <c r="U16" s="215"/>
      <c r="V16" s="215"/>
      <c r="W16" s="215"/>
      <c r="X16" s="243"/>
    </row>
    <row r="17">
      <c r="A17" s="91" t="inlineStr">
        <is>
          <t>Secondary</t>
        </is>
      </c>
      <c r="B17" s="109" t="inlineStr">
        <is>
          <t>SB1</t>
        </is>
      </c>
      <c r="C17" s="109" t="inlineStr">
        <is>
          <t>Stability–responsiveness balance</t>
        </is>
      </c>
      <c r="D17" s="109" t="inlineStr">
        <is>
          <t>Method single item</t>
        </is>
      </c>
      <c r="E17" s="109" t="inlineStr">
        <is>
          <t>Paired ordinal/robust analysis</t>
        </is>
      </c>
      <c r="F17" s="109" t="inlineStr">
        <is>
          <t>Secondary</t>
        </is>
      </c>
      <c r="G17" s="131" t="n">
        <f>COUNT(ParticipantConditionSummary!AA29:AA52)</f>
        <v>0</v>
      </c>
      <c r="H17" s="151" t="str">
        <f>IFERROR(AVERAGE(ParticipantConditionSummary!AA29:AA52),"")</f>
      </c>
      <c r="I17" s="151" t="n">
        <f>IFERROR(STDEV.S(ParticipantConditionSummary!AA29:AA52),"")</f>
        <v>0</v>
      </c>
      <c r="J17" s="131" t="str">
        <f>IFERROR(TEXT(MEDIAN(ParticipantConditionSummary!AA29:AA52),"0.00")&amp;" ["&amp;TEXT(QUARTILE.INC(ParticipantConditionSummary!AA29:AA52,1),"0.00")&amp;", "&amp;TEXT(QUARTILE.INC(ParticipantConditionSummary!AA29:AA52,3),"0.00")&amp;"]","")</f>
      </c>
      <c r="K17" s="131" t="n">
        <f>COUNT(ParticipantConditionSummary!AA5:AA28)</f>
        <v>0</v>
      </c>
      <c r="L17" s="151" t="str">
        <f>IFERROR(AVERAGE(ParticipantConditionSummary!AA5:AA28),"")</f>
      </c>
      <c r="M17" s="151" t="n">
        <f>IFERROR(STDEV.S(ParticipantConditionSummary!AA5:AA28),"")</f>
        <v>0</v>
      </c>
      <c r="N17" s="131" t="str">
        <f>IFERROR(TEXT(MEDIAN(ParticipantConditionSummary!AA5:AA28),"0.00")&amp;" ["&amp;TEXT(QUARTILE.INC(ParticipantConditionSummary!AA5:AA28,1),"0.00")&amp;", "&amp;TEXT(QUARTILE.INC(ParticipantConditionSummary!AA5:AA28,3),"0.00")&amp;"]","")</f>
      </c>
      <c r="O17" s="151" t="str">
        <f>IFERROR(AVERAGE(PairedDifferences!N5:N28),"")</f>
      </c>
      <c r="P17" s="151" t="str">
        <f>IFERROR(MEDIAN(PairedDifferences!N5:N28),"")</f>
      </c>
      <c r="Q17" s="131" t="str">
        <f>IF(COUNT(PairedDifferences!N5:N28)=0,"",COUNTIF(PairedDifferences!N5:N28,"&gt;0")&amp;"/"&amp;COUNTIF(PairedDifferences!N5:N28,"&lt;0")&amp;"/"&amp;COUNTIF(PairedDifferences!N5:N28,0))</f>
      </c>
      <c r="R17" s="218"/>
      <c r="S17" s="218"/>
      <c r="T17" s="218"/>
      <c r="U17" s="218"/>
      <c r="V17" s="218"/>
      <c r="W17" s="218"/>
      <c r="X17" s="244"/>
    </row>
  </sheetData>
  <mergeCells>
    <mergeCell ref="A1:X1"/>
    <mergeCell ref="A2:X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FormatPr defaultRowHeight="15"/>
  <cols>
    <col min="1" max="1" width="13" hidden="0" customWidth="1"/>
    <col min="2" max="2" width="30" hidden="0" customWidth="1"/>
    <col min="3" max="3" width="21" hidden="0" customWidth="1"/>
    <col min="4" max="4" width="17" hidden="0" customWidth="1"/>
    <col min="5" max="5" width="10" hidden="0" customWidth="1"/>
    <col min="6" max="6" width="14" hidden="0" customWidth="1"/>
    <col min="7" max="7" width="10" hidden="0" customWidth="1"/>
    <col min="8" max="8" width="14" hidden="0" customWidth="1"/>
    <col min="9" max="9" width="16" hidden="0" customWidth="1"/>
    <col min="10" max="10" width="23" hidden="0" customWidth="1"/>
    <col min="11" max="11" width="19" hidden="0" customWidth="1"/>
    <col min="12" max="12" width="14" hidden="0" customWidth="1"/>
    <col min="13" max="13" width="16" hidden="0" customWidth="1"/>
    <col min="14" max="14" width="17" hidden="0" customWidth="1"/>
    <col min="15" max="15" width="45" hidden="0" customWidth="1"/>
  </cols>
  <sheetData>
    <row r="1">
      <c r="A1" s="4" t="inlineStr">
        <is>
          <t>逐物体区块级结果：描述统计与交互分析回填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>
      <c r="A2" s="68" t="inlineStr">
        <is>
          <t>均值和N自动从有效区块计算。Estimate/OR、CI和p值应来自同一个Method × Object混合模型，而不是对每个物体分别进行未校正检验。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</row>
    <row r="4">
      <c r="A4" s="26" t="inlineStr">
        <is>
          <t>Outcome_ID</t>
        </is>
      </c>
      <c r="B4" s="27" t="inlineStr">
        <is>
          <t>Outcome_Name</t>
        </is>
      </c>
      <c r="C4" s="27" t="inlineStr">
        <is>
          <t>Source</t>
        </is>
      </c>
      <c r="D4" s="27" t="inlineStr">
        <is>
          <t>Object</t>
        </is>
      </c>
      <c r="E4" s="27" t="inlineStr">
        <is>
          <t>N_OE</t>
        </is>
      </c>
      <c r="F4" s="27" t="inlineStr">
        <is>
          <t>OE_Mean</t>
        </is>
      </c>
      <c r="G4" s="27" t="inlineStr">
        <is>
          <t>N_EA</t>
        </is>
      </c>
      <c r="H4" s="27" t="inlineStr">
        <is>
          <t>EA_Mean</t>
        </is>
      </c>
      <c r="I4" s="27" t="inlineStr">
        <is>
          <t>Mean_Diff</t>
        </is>
      </c>
      <c r="J4" s="27" t="inlineStr">
        <is>
          <t>Model_Estimate_or_OR</t>
        </is>
      </c>
      <c r="K4" s="27" t="inlineStr">
        <is>
          <t>95%_CI</t>
        </is>
      </c>
      <c r="L4" s="27" t="inlineStr">
        <is>
          <t>p_raw</t>
        </is>
      </c>
      <c r="M4" s="27" t="inlineStr">
        <is>
          <t>p_adjusted</t>
        </is>
      </c>
      <c r="N4" s="27" t="inlineStr">
        <is>
          <t>Direction</t>
        </is>
      </c>
      <c r="O4" s="101" t="inlineStr">
        <is>
          <t>Notes</t>
        </is>
      </c>
    </row>
    <row r="5">
      <c r="A5" s="90" t="inlineStr">
        <is>
          <t>T1</t>
        </is>
      </c>
      <c r="B5" s="85" t="inlineStr">
        <is>
          <t>Static stability</t>
        </is>
      </c>
      <c r="C5" s="85" t="inlineStr">
        <is>
          <t>TaskRatings</t>
        </is>
      </c>
      <c r="D5" s="85" t="inlineStr">
        <is>
          <t>鼠标</t>
        </is>
      </c>
      <c r="E5" s="129" t="n">
        <f>COUNTIFS(TaskRatings!$D$5:$D$148,D5,TaskRatings!$F$5:$F$148,"One-Euro",TaskRatings!$O$5:$O$148,"是")</f>
        <v>24</v>
      </c>
      <c r="F5" s="149" t="n">
        <f>IFERROR(SUMIFS(TaskRatings!$H$5:$H$148,TaskRatings!$D$5:$D$148,D5,TaskRatings!$F$5:$F$148,"One-Euro",TaskRatings!$O$5:$O$148,"是")/E5,"")</f>
        <v>0</v>
      </c>
      <c r="G5" s="149" t="n">
        <f>COUNTIFS(TaskRatings!$D$5:$D$148,D5,TaskRatings!$F$5:$F$148,"EgoAnchor",TaskRatings!$O$5:$O$148,"是")</f>
        <v>24</v>
      </c>
      <c r="H5" s="149" t="n">
        <f>IFERROR(SUMIFS(TaskRatings!$H$5:$H$148,TaskRatings!$D$5:$D$148,D5,TaskRatings!$F$5:$F$148,"EgoAnchor",TaskRatings!$O$5:$O$148,"是")/G5,"")</f>
        <v>0</v>
      </c>
      <c r="I5" s="149" t="str">
        <f>IF(AND(F5&lt;&gt;"",H5&lt;&gt;""),H5-F5,"")</f>
      </c>
      <c r="J5" s="215"/>
      <c r="K5" s="215"/>
      <c r="L5" s="215"/>
      <c r="M5" s="215"/>
      <c r="N5" s="215" t="inlineStr">
        <is>
          <t/>
        </is>
      </c>
      <c r="O5" s="243" t="inlineStr">
        <is>
          <t/>
        </is>
      </c>
    </row>
    <row r="6">
      <c r="A6" s="90" t="inlineStr">
        <is>
          <t>T1</t>
        </is>
      </c>
      <c r="B6" s="85" t="inlineStr">
        <is>
          <t>Static stability</t>
        </is>
      </c>
      <c r="C6" s="85" t="inlineStr">
        <is>
          <t>TaskRatings</t>
        </is>
      </c>
      <c r="D6" s="85" t="inlineStr">
        <is>
          <t>固定订书机</t>
        </is>
      </c>
      <c r="E6" s="129" t="n">
        <f>COUNTIFS(TaskRatings!$D$5:$D$148,D6,TaskRatings!$F$5:$F$148,"One-Euro",TaskRatings!$O$5:$O$148,"是")</f>
        <v>24</v>
      </c>
      <c r="F6" s="149" t="n">
        <f>IFERROR(SUMIFS(TaskRatings!$H$5:$H$148,TaskRatings!$D$5:$D$148,D6,TaskRatings!$F$5:$F$148,"One-Euro",TaskRatings!$O$5:$O$148,"是")/E6,"")</f>
        <v>0</v>
      </c>
      <c r="G6" s="149" t="n">
        <f>COUNTIFS(TaskRatings!$D$5:$D$148,D6,TaskRatings!$F$5:$F$148,"EgoAnchor",TaskRatings!$O$5:$O$148,"是")</f>
        <v>24</v>
      </c>
      <c r="H6" s="149" t="n">
        <f>IFERROR(SUMIFS(TaskRatings!$H$5:$H$148,TaskRatings!$D$5:$D$148,D6,TaskRatings!$F$5:$F$148,"EgoAnchor",TaskRatings!$O$5:$O$148,"是")/G6,"")</f>
        <v>0</v>
      </c>
      <c r="I6" s="149" t="str">
        <f>IF(AND(F6&lt;&gt;"",H6&lt;&gt;""),H6-F6,"")</f>
      </c>
      <c r="J6" s="215"/>
      <c r="K6" s="215"/>
      <c r="L6" s="215"/>
      <c r="M6" s="215"/>
      <c r="N6" s="215" t="inlineStr">
        <is>
          <t/>
        </is>
      </c>
      <c r="O6" s="243" t="inlineStr">
        <is>
          <t/>
        </is>
      </c>
    </row>
    <row r="7">
      <c r="A7" s="90" t="inlineStr">
        <is>
          <t>T1</t>
        </is>
      </c>
      <c r="B7" s="85" t="inlineStr">
        <is>
          <t>Static stability</t>
        </is>
      </c>
      <c r="C7" s="85" t="inlineStr">
        <is>
          <t>TaskRatings</t>
        </is>
      </c>
      <c r="D7" s="85" t="inlineStr">
        <is>
          <t>游戏手柄</t>
        </is>
      </c>
      <c r="E7" s="129" t="n">
        <f>COUNTIFS(TaskRatings!$D$5:$D$148,D7,TaskRatings!$F$5:$F$148,"One-Euro",TaskRatings!$O$5:$O$148,"是")</f>
        <v>24</v>
      </c>
      <c r="F7" s="149" t="n">
        <f>IFERROR(SUMIFS(TaskRatings!$H$5:$H$148,TaskRatings!$D$5:$D$148,D7,TaskRatings!$F$5:$F$148,"One-Euro",TaskRatings!$O$5:$O$148,"是")/E7,"")</f>
        <v>0</v>
      </c>
      <c r="G7" s="149" t="n">
        <f>COUNTIFS(TaskRatings!$D$5:$D$148,D7,TaskRatings!$F$5:$F$148,"EgoAnchor",TaskRatings!$O$5:$O$148,"是")</f>
        <v>24</v>
      </c>
      <c r="H7" s="149" t="n">
        <f>IFERROR(SUMIFS(TaskRatings!$H$5:$H$148,TaskRatings!$D$5:$D$148,D7,TaskRatings!$F$5:$F$148,"EgoAnchor",TaskRatings!$O$5:$O$148,"是")/G7,"")</f>
        <v>0</v>
      </c>
      <c r="I7" s="149" t="str">
        <f>IF(AND(F7&lt;&gt;"",H7&lt;&gt;""),H7-F7,"")</f>
      </c>
      <c r="J7" s="215"/>
      <c r="K7" s="215"/>
      <c r="L7" s="215"/>
      <c r="M7" s="215"/>
      <c r="N7" s="215" t="inlineStr">
        <is>
          <t/>
        </is>
      </c>
      <c r="O7" s="243" t="inlineStr">
        <is>
          <t/>
        </is>
      </c>
    </row>
    <row r="8">
      <c r="A8" s="90" t="inlineStr">
        <is>
          <t>T2</t>
        </is>
      </c>
      <c r="B8" s="85" t="inlineStr">
        <is>
          <t>Motion attachment</t>
        </is>
      </c>
      <c r="C8" s="85" t="inlineStr">
        <is>
          <t>TaskRatings</t>
        </is>
      </c>
      <c r="D8" s="85" t="inlineStr">
        <is>
          <t>鼠标</t>
        </is>
      </c>
      <c r="E8" s="129" t="n">
        <f>COUNTIFS(TaskRatings!$D$5:$D$148,D8,TaskRatings!$F$5:$F$148,"One-Euro",TaskRatings!$O$5:$O$148,"是")</f>
        <v>24</v>
      </c>
      <c r="F8" s="149" t="n">
        <f>IFERROR(SUMIFS(TaskRatings!$J$5:$J$148,TaskRatings!$D$5:$D$148,D8,TaskRatings!$F$5:$F$148,"One-Euro",TaskRatings!$O$5:$O$148,"是")/E8,"")</f>
        <v>0</v>
      </c>
      <c r="G8" s="149" t="n">
        <f>COUNTIFS(TaskRatings!$D$5:$D$148,D8,TaskRatings!$F$5:$F$148,"EgoAnchor",TaskRatings!$O$5:$O$148,"是")</f>
        <v>24</v>
      </c>
      <c r="H8" s="149" t="n">
        <f>IFERROR(SUMIFS(TaskRatings!$J$5:$J$148,TaskRatings!$D$5:$D$148,D8,TaskRatings!$F$5:$F$148,"EgoAnchor",TaskRatings!$O$5:$O$148,"是")/G8,"")</f>
        <v>0</v>
      </c>
      <c r="I8" s="149" t="str">
        <f>IF(AND(F8&lt;&gt;"",H8&lt;&gt;""),H8-F8,"")</f>
      </c>
      <c r="J8" s="215"/>
      <c r="K8" s="215"/>
      <c r="L8" s="215"/>
      <c r="M8" s="215"/>
      <c r="N8" s="215" t="inlineStr">
        <is>
          <t/>
        </is>
      </c>
      <c r="O8" s="243" t="inlineStr">
        <is>
          <t/>
        </is>
      </c>
    </row>
    <row r="9">
      <c r="A9" s="90" t="inlineStr">
        <is>
          <t>T2</t>
        </is>
      </c>
      <c r="B9" s="85" t="inlineStr">
        <is>
          <t>Motion attachment</t>
        </is>
      </c>
      <c r="C9" s="85" t="inlineStr">
        <is>
          <t>TaskRatings</t>
        </is>
      </c>
      <c r="D9" s="85" t="inlineStr">
        <is>
          <t>固定订书机</t>
        </is>
      </c>
      <c r="E9" s="129" t="n">
        <f>COUNTIFS(TaskRatings!$D$5:$D$148,D9,TaskRatings!$F$5:$F$148,"One-Euro",TaskRatings!$O$5:$O$148,"是")</f>
        <v>24</v>
      </c>
      <c r="F9" s="149" t="n">
        <f>IFERROR(SUMIFS(TaskRatings!$J$5:$J$148,TaskRatings!$D$5:$D$148,D9,TaskRatings!$F$5:$F$148,"One-Euro",TaskRatings!$O$5:$O$148,"是")/E9,"")</f>
        <v>0</v>
      </c>
      <c r="G9" s="149" t="n">
        <f>COUNTIFS(TaskRatings!$D$5:$D$148,D9,TaskRatings!$F$5:$F$148,"EgoAnchor",TaskRatings!$O$5:$O$148,"是")</f>
        <v>24</v>
      </c>
      <c r="H9" s="149" t="n">
        <f>IFERROR(SUMIFS(TaskRatings!$J$5:$J$148,TaskRatings!$D$5:$D$148,D9,TaskRatings!$F$5:$F$148,"EgoAnchor",TaskRatings!$O$5:$O$148,"是")/G9,"")</f>
        <v>0</v>
      </c>
      <c r="I9" s="149" t="str">
        <f>IF(AND(F9&lt;&gt;"",H9&lt;&gt;""),H9-F9,"")</f>
      </c>
      <c r="J9" s="215"/>
      <c r="K9" s="215"/>
      <c r="L9" s="215"/>
      <c r="M9" s="215"/>
      <c r="N9" s="215" t="inlineStr">
        <is>
          <t/>
        </is>
      </c>
      <c r="O9" s="243" t="inlineStr">
        <is>
          <t/>
        </is>
      </c>
    </row>
    <row r="10">
      <c r="A10" s="90" t="inlineStr">
        <is>
          <t>T2</t>
        </is>
      </c>
      <c r="B10" s="85" t="inlineStr">
        <is>
          <t>Motion attachment</t>
        </is>
      </c>
      <c r="C10" s="85" t="inlineStr">
        <is>
          <t>TaskRatings</t>
        </is>
      </c>
      <c r="D10" s="85" t="inlineStr">
        <is>
          <t>游戏手柄</t>
        </is>
      </c>
      <c r="E10" s="129" t="n">
        <f>COUNTIFS(TaskRatings!$D$5:$D$148,D10,TaskRatings!$F$5:$F$148,"One-Euro",TaskRatings!$O$5:$O$148,"是")</f>
        <v>24</v>
      </c>
      <c r="F10" s="149" t="n">
        <f>IFERROR(SUMIFS(TaskRatings!$J$5:$J$148,TaskRatings!$D$5:$D$148,D10,TaskRatings!$F$5:$F$148,"One-Euro",TaskRatings!$O$5:$O$148,"是")/E10,"")</f>
        <v>0</v>
      </c>
      <c r="G10" s="149" t="n">
        <f>COUNTIFS(TaskRatings!$D$5:$D$148,D10,TaskRatings!$F$5:$F$148,"EgoAnchor",TaskRatings!$O$5:$O$148,"是")</f>
        <v>24</v>
      </c>
      <c r="H10" s="149" t="n">
        <f>IFERROR(SUMIFS(TaskRatings!$J$5:$J$148,TaskRatings!$D$5:$D$148,D10,TaskRatings!$F$5:$F$148,"EgoAnchor",TaskRatings!$O$5:$O$148,"是")/G10,"")</f>
        <v>0</v>
      </c>
      <c r="I10" s="149" t="str">
        <f>IF(AND(F10&lt;&gt;"",H10&lt;&gt;""),H10-F10,"")</f>
      </c>
      <c r="J10" s="215"/>
      <c r="K10" s="215"/>
      <c r="L10" s="215"/>
      <c r="M10" s="215"/>
      <c r="N10" s="215" t="inlineStr">
        <is>
          <t/>
        </is>
      </c>
      <c r="O10" s="243" t="inlineStr">
        <is>
          <t/>
        </is>
      </c>
    </row>
    <row r="11">
      <c r="A11" s="90" t="inlineStr">
        <is>
          <t>T3</t>
        </is>
      </c>
      <c r="B11" s="85" t="inlineStr">
        <is>
          <t>Recovery consistency</t>
        </is>
      </c>
      <c r="C11" s="85" t="inlineStr">
        <is>
          <t>TaskRatings</t>
        </is>
      </c>
      <c r="D11" s="85" t="inlineStr">
        <is>
          <t>鼠标</t>
        </is>
      </c>
      <c r="E11" s="129" t="n">
        <f>COUNTIFS(TaskRatings!$D$5:$D$148,D11,TaskRatings!$F$5:$F$148,"One-Euro",TaskRatings!$O$5:$O$148,"是")</f>
        <v>24</v>
      </c>
      <c r="F11" s="149" t="n">
        <f>IFERROR(SUMIFS(TaskRatings!$L$5:$L$148,TaskRatings!$D$5:$D$148,D11,TaskRatings!$F$5:$F$148,"One-Euro",TaskRatings!$O$5:$O$148,"是")/E11,"")</f>
        <v>0</v>
      </c>
      <c r="G11" s="149" t="n">
        <f>COUNTIFS(TaskRatings!$D$5:$D$148,D11,TaskRatings!$F$5:$F$148,"EgoAnchor",TaskRatings!$O$5:$O$148,"是")</f>
        <v>24</v>
      </c>
      <c r="H11" s="149" t="n">
        <f>IFERROR(SUMIFS(TaskRatings!$L$5:$L$148,TaskRatings!$D$5:$D$148,D11,TaskRatings!$F$5:$F$148,"EgoAnchor",TaskRatings!$O$5:$O$148,"是")/G11,"")</f>
        <v>0</v>
      </c>
      <c r="I11" s="149" t="str">
        <f>IF(AND(F11&lt;&gt;"",H11&lt;&gt;""),H11-F11,"")</f>
      </c>
      <c r="J11" s="215"/>
      <c r="K11" s="215"/>
      <c r="L11" s="215"/>
      <c r="M11" s="215"/>
      <c r="N11" s="215" t="inlineStr">
        <is>
          <t/>
        </is>
      </c>
      <c r="O11" s="243" t="inlineStr">
        <is>
          <t/>
        </is>
      </c>
    </row>
    <row r="12">
      <c r="A12" s="90" t="inlineStr">
        <is>
          <t>T3</t>
        </is>
      </c>
      <c r="B12" s="85" t="inlineStr">
        <is>
          <t>Recovery consistency</t>
        </is>
      </c>
      <c r="C12" s="85" t="inlineStr">
        <is>
          <t>TaskRatings</t>
        </is>
      </c>
      <c r="D12" s="85" t="inlineStr">
        <is>
          <t>固定订书机</t>
        </is>
      </c>
      <c r="E12" s="129" t="n">
        <f>COUNTIFS(TaskRatings!$D$5:$D$148,D12,TaskRatings!$F$5:$F$148,"One-Euro",TaskRatings!$O$5:$O$148,"是")</f>
        <v>24</v>
      </c>
      <c r="F12" s="149" t="n">
        <f>IFERROR(SUMIFS(TaskRatings!$L$5:$L$148,TaskRatings!$D$5:$D$148,D12,TaskRatings!$F$5:$F$148,"One-Euro",TaskRatings!$O$5:$O$148,"是")/E12,"")</f>
        <v>0</v>
      </c>
      <c r="G12" s="149" t="n">
        <f>COUNTIFS(TaskRatings!$D$5:$D$148,D12,TaskRatings!$F$5:$F$148,"EgoAnchor",TaskRatings!$O$5:$O$148,"是")</f>
        <v>24</v>
      </c>
      <c r="H12" s="149" t="n">
        <f>IFERROR(SUMIFS(TaskRatings!$L$5:$L$148,TaskRatings!$D$5:$D$148,D12,TaskRatings!$F$5:$F$148,"EgoAnchor",TaskRatings!$O$5:$O$148,"是")/G12,"")</f>
        <v>0</v>
      </c>
      <c r="I12" s="149" t="str">
        <f>IF(AND(F12&lt;&gt;"",H12&lt;&gt;""),H12-F12,"")</f>
      </c>
      <c r="J12" s="215"/>
      <c r="K12" s="215"/>
      <c r="L12" s="215"/>
      <c r="M12" s="215"/>
      <c r="N12" s="215" t="inlineStr">
        <is>
          <t/>
        </is>
      </c>
      <c r="O12" s="243" t="inlineStr">
        <is>
          <t/>
        </is>
      </c>
    </row>
    <row r="13">
      <c r="A13" s="90" t="inlineStr">
        <is>
          <t>T3</t>
        </is>
      </c>
      <c r="B13" s="85" t="inlineStr">
        <is>
          <t>Recovery consistency</t>
        </is>
      </c>
      <c r="C13" s="85" t="inlineStr">
        <is>
          <t>TaskRatings</t>
        </is>
      </c>
      <c r="D13" s="85" t="inlineStr">
        <is>
          <t>游戏手柄</t>
        </is>
      </c>
      <c r="E13" s="129" t="n">
        <f>COUNTIFS(TaskRatings!$D$5:$D$148,D13,TaskRatings!$F$5:$F$148,"One-Euro",TaskRatings!$O$5:$O$148,"是")</f>
        <v>24</v>
      </c>
      <c r="F13" s="149" t="n">
        <f>IFERROR(SUMIFS(TaskRatings!$L$5:$L$148,TaskRatings!$D$5:$D$148,D13,TaskRatings!$F$5:$F$148,"One-Euro",TaskRatings!$O$5:$O$148,"是")/E13,"")</f>
        <v>0</v>
      </c>
      <c r="G13" s="149" t="n">
        <f>COUNTIFS(TaskRatings!$D$5:$D$148,D13,TaskRatings!$F$5:$F$148,"EgoAnchor",TaskRatings!$O$5:$O$148,"是")</f>
        <v>24</v>
      </c>
      <c r="H13" s="149" t="n">
        <f>IFERROR(SUMIFS(TaskRatings!$L$5:$L$148,TaskRatings!$D$5:$D$148,D13,TaskRatings!$F$5:$F$148,"EgoAnchor",TaskRatings!$O$5:$O$148,"是")/G13,"")</f>
        <v>0</v>
      </c>
      <c r="I13" s="149" t="str">
        <f>IF(AND(F13&lt;&gt;"",H13&lt;&gt;""),H13-F13,"")</f>
      </c>
      <c r="J13" s="215"/>
      <c r="K13" s="215"/>
      <c r="L13" s="215"/>
      <c r="M13" s="215"/>
      <c r="N13" s="215" t="inlineStr">
        <is>
          <t/>
        </is>
      </c>
      <c r="O13" s="243" t="inlineStr">
        <is>
          <t/>
        </is>
      </c>
    </row>
    <row r="14">
      <c r="A14" s="90" t="inlineStr">
        <is>
          <t>EQ1</t>
        </is>
      </c>
      <c r="B14" s="85" t="inlineStr">
        <is>
          <t>Fusion</t>
        </is>
      </c>
      <c r="C14" s="85" t="inlineStr">
        <is>
          <t>BlockRatings_AQ</t>
        </is>
      </c>
      <c r="D14" s="85" t="inlineStr">
        <is>
          <t>鼠标</t>
        </is>
      </c>
      <c r="E14" s="129" t="n">
        <f>COUNTIFS(BlockRatings_AQ!$D$5:$D$148,D14,BlockRatings_AQ!$F$5:$F$148,"One-Euro",BlockRatings_AQ!$R$5:$R$148,"是")</f>
        <v>24</v>
      </c>
      <c r="F14" s="149" t="n">
        <f>IFERROR(SUMIFS(BlockRatings_AQ!$H$5:$H$148,BlockRatings_AQ!$D$5:$D$148,D14,BlockRatings_AQ!$F$5:$F$148,"One-Euro",BlockRatings_AQ!$R$5:$R$148,"是")/E14,"")</f>
        <v>0</v>
      </c>
      <c r="G14" s="149" t="n">
        <f>COUNTIFS(BlockRatings_AQ!$D$5:$D$148,D14,BlockRatings_AQ!$F$5:$F$148,"EgoAnchor",BlockRatings_AQ!$R$5:$R$148,"是")</f>
        <v>24</v>
      </c>
      <c r="H14" s="149" t="n">
        <f>IFERROR(SUMIFS(BlockRatings_AQ!$H$5:$H$148,BlockRatings_AQ!$D$5:$D$148,D14,BlockRatings_AQ!$F$5:$F$148,"EgoAnchor",BlockRatings_AQ!$R$5:$R$148,"是")/G14,"")</f>
        <v>0</v>
      </c>
      <c r="I14" s="149" t="str">
        <f>IF(AND(F14&lt;&gt;"",H14&lt;&gt;""),H14-F14,"")</f>
      </c>
      <c r="J14" s="215"/>
      <c r="K14" s="215"/>
      <c r="L14" s="215"/>
      <c r="M14" s="215"/>
      <c r="N14" s="215" t="inlineStr">
        <is>
          <t/>
        </is>
      </c>
      <c r="O14" s="243" t="inlineStr">
        <is>
          <t/>
        </is>
      </c>
    </row>
    <row r="15">
      <c r="A15" s="90" t="inlineStr">
        <is>
          <t>EQ1</t>
        </is>
      </c>
      <c r="B15" s="85" t="inlineStr">
        <is>
          <t>Fusion</t>
        </is>
      </c>
      <c r="C15" s="85" t="inlineStr">
        <is>
          <t>BlockRatings_AQ</t>
        </is>
      </c>
      <c r="D15" s="85" t="inlineStr">
        <is>
          <t>固定订书机</t>
        </is>
      </c>
      <c r="E15" s="129" t="n">
        <f>COUNTIFS(BlockRatings_AQ!$D$5:$D$148,D15,BlockRatings_AQ!$F$5:$F$148,"One-Euro",BlockRatings_AQ!$R$5:$R$148,"是")</f>
        <v>24</v>
      </c>
      <c r="F15" s="149" t="n">
        <f>IFERROR(SUMIFS(BlockRatings_AQ!$H$5:$H$148,BlockRatings_AQ!$D$5:$D$148,D15,BlockRatings_AQ!$F$5:$F$148,"One-Euro",BlockRatings_AQ!$R$5:$R$148,"是")/E15,"")</f>
        <v>0</v>
      </c>
      <c r="G15" s="149" t="n">
        <f>COUNTIFS(BlockRatings_AQ!$D$5:$D$148,D15,BlockRatings_AQ!$F$5:$F$148,"EgoAnchor",BlockRatings_AQ!$R$5:$R$148,"是")</f>
        <v>24</v>
      </c>
      <c r="H15" s="149" t="n">
        <f>IFERROR(SUMIFS(BlockRatings_AQ!$H$5:$H$148,BlockRatings_AQ!$D$5:$D$148,D15,BlockRatings_AQ!$F$5:$F$148,"EgoAnchor",BlockRatings_AQ!$R$5:$R$148,"是")/G15,"")</f>
        <v>0</v>
      </c>
      <c r="I15" s="149" t="str">
        <f>IF(AND(F15&lt;&gt;"",H15&lt;&gt;""),H15-F15,"")</f>
      </c>
      <c r="J15" s="215"/>
      <c r="K15" s="215"/>
      <c r="L15" s="215"/>
      <c r="M15" s="215"/>
      <c r="N15" s="215" t="inlineStr">
        <is>
          <t/>
        </is>
      </c>
      <c r="O15" s="243" t="inlineStr">
        <is>
          <t/>
        </is>
      </c>
    </row>
    <row r="16">
      <c r="A16" s="90" t="inlineStr">
        <is>
          <t>EQ1</t>
        </is>
      </c>
      <c r="B16" s="85" t="inlineStr">
        <is>
          <t>Fusion</t>
        </is>
      </c>
      <c r="C16" s="85" t="inlineStr">
        <is>
          <t>BlockRatings_AQ</t>
        </is>
      </c>
      <c r="D16" s="85" t="inlineStr">
        <is>
          <t>游戏手柄</t>
        </is>
      </c>
      <c r="E16" s="129" t="n">
        <f>COUNTIFS(BlockRatings_AQ!$D$5:$D$148,D16,BlockRatings_AQ!$F$5:$F$148,"One-Euro",BlockRatings_AQ!$R$5:$R$148,"是")</f>
        <v>24</v>
      </c>
      <c r="F16" s="149" t="n">
        <f>IFERROR(SUMIFS(BlockRatings_AQ!$H$5:$H$148,BlockRatings_AQ!$D$5:$D$148,D16,BlockRatings_AQ!$F$5:$F$148,"One-Euro",BlockRatings_AQ!$R$5:$R$148,"是")/E16,"")</f>
        <v>0</v>
      </c>
      <c r="G16" s="149" t="n">
        <f>COUNTIFS(BlockRatings_AQ!$D$5:$D$148,D16,BlockRatings_AQ!$F$5:$F$148,"EgoAnchor",BlockRatings_AQ!$R$5:$R$148,"是")</f>
        <v>24</v>
      </c>
      <c r="H16" s="149" t="n">
        <f>IFERROR(SUMIFS(BlockRatings_AQ!$H$5:$H$148,BlockRatings_AQ!$D$5:$D$148,D16,BlockRatings_AQ!$F$5:$F$148,"EgoAnchor",BlockRatings_AQ!$R$5:$R$148,"是")/G16,"")</f>
        <v>0</v>
      </c>
      <c r="I16" s="149" t="str">
        <f>IF(AND(F16&lt;&gt;"",H16&lt;&gt;""),H16-F16,"")</f>
      </c>
      <c r="J16" s="215"/>
      <c r="K16" s="215"/>
      <c r="L16" s="215"/>
      <c r="M16" s="215"/>
      <c r="N16" s="215" t="inlineStr">
        <is>
          <t/>
        </is>
      </c>
      <c r="O16" s="243" t="inlineStr">
        <is>
          <t/>
        </is>
      </c>
    </row>
    <row r="17">
      <c r="A17" s="90" t="inlineStr">
        <is>
          <t>EQ2</t>
        </is>
      </c>
      <c r="B17" s="85" t="inlineStr">
        <is>
          <t>Embedded</t>
        </is>
      </c>
      <c r="C17" s="85" t="inlineStr">
        <is>
          <t>BlockRatings_AQ</t>
        </is>
      </c>
      <c r="D17" s="85" t="inlineStr">
        <is>
          <t>鼠标</t>
        </is>
      </c>
      <c r="E17" s="129" t="n">
        <f>COUNTIFS(BlockRatings_AQ!$D$5:$D$148,D17,BlockRatings_AQ!$F$5:$F$148,"One-Euro",BlockRatings_AQ!$R$5:$R$148,"是")</f>
        <v>24</v>
      </c>
      <c r="F17" s="149" t="n">
        <f>IFERROR(SUMIFS(BlockRatings_AQ!$I$5:$I$148,BlockRatings_AQ!$D$5:$D$148,D17,BlockRatings_AQ!$F$5:$F$148,"One-Euro",BlockRatings_AQ!$R$5:$R$148,"是")/E17,"")</f>
        <v>0</v>
      </c>
      <c r="G17" s="149" t="n">
        <f>COUNTIFS(BlockRatings_AQ!$D$5:$D$148,D17,BlockRatings_AQ!$F$5:$F$148,"EgoAnchor",BlockRatings_AQ!$R$5:$R$148,"是")</f>
        <v>24</v>
      </c>
      <c r="H17" s="149" t="n">
        <f>IFERROR(SUMIFS(BlockRatings_AQ!$I$5:$I$148,BlockRatings_AQ!$D$5:$D$148,D17,BlockRatings_AQ!$F$5:$F$148,"EgoAnchor",BlockRatings_AQ!$R$5:$R$148,"是")/G17,"")</f>
        <v>0</v>
      </c>
      <c r="I17" s="149" t="str">
        <f>IF(AND(F17&lt;&gt;"",H17&lt;&gt;""),H17-F17,"")</f>
      </c>
      <c r="J17" s="215"/>
      <c r="K17" s="215"/>
      <c r="L17" s="215"/>
      <c r="M17" s="215"/>
      <c r="N17" s="215" t="inlineStr">
        <is>
          <t/>
        </is>
      </c>
      <c r="O17" s="243" t="inlineStr">
        <is>
          <t/>
        </is>
      </c>
    </row>
    <row r="18">
      <c r="A18" s="90" t="inlineStr">
        <is>
          <t>EQ2</t>
        </is>
      </c>
      <c r="B18" s="85" t="inlineStr">
        <is>
          <t>Embedded</t>
        </is>
      </c>
      <c r="C18" s="85" t="inlineStr">
        <is>
          <t>BlockRatings_AQ</t>
        </is>
      </c>
      <c r="D18" s="85" t="inlineStr">
        <is>
          <t>固定订书机</t>
        </is>
      </c>
      <c r="E18" s="129" t="n">
        <f>COUNTIFS(BlockRatings_AQ!$D$5:$D$148,D18,BlockRatings_AQ!$F$5:$F$148,"One-Euro",BlockRatings_AQ!$R$5:$R$148,"是")</f>
        <v>24</v>
      </c>
      <c r="F18" s="149" t="n">
        <f>IFERROR(SUMIFS(BlockRatings_AQ!$I$5:$I$148,BlockRatings_AQ!$D$5:$D$148,D18,BlockRatings_AQ!$F$5:$F$148,"One-Euro",BlockRatings_AQ!$R$5:$R$148,"是")/E18,"")</f>
        <v>0</v>
      </c>
      <c r="G18" s="149" t="n">
        <f>COUNTIFS(BlockRatings_AQ!$D$5:$D$148,D18,BlockRatings_AQ!$F$5:$F$148,"EgoAnchor",BlockRatings_AQ!$R$5:$R$148,"是")</f>
        <v>24</v>
      </c>
      <c r="H18" s="149" t="n">
        <f>IFERROR(SUMIFS(BlockRatings_AQ!$I$5:$I$148,BlockRatings_AQ!$D$5:$D$148,D18,BlockRatings_AQ!$F$5:$F$148,"EgoAnchor",BlockRatings_AQ!$R$5:$R$148,"是")/G18,"")</f>
        <v>0</v>
      </c>
      <c r="I18" s="149" t="str">
        <f>IF(AND(F18&lt;&gt;"",H18&lt;&gt;""),H18-F18,"")</f>
      </c>
      <c r="J18" s="215"/>
      <c r="K18" s="215"/>
      <c r="L18" s="215"/>
      <c r="M18" s="215"/>
      <c r="N18" s="215" t="inlineStr">
        <is>
          <t/>
        </is>
      </c>
      <c r="O18" s="243" t="inlineStr">
        <is>
          <t/>
        </is>
      </c>
    </row>
    <row r="19">
      <c r="A19" s="90" t="inlineStr">
        <is>
          <t>EQ2</t>
        </is>
      </c>
      <c r="B19" s="85" t="inlineStr">
        <is>
          <t>Embedded</t>
        </is>
      </c>
      <c r="C19" s="85" t="inlineStr">
        <is>
          <t>BlockRatings_AQ</t>
        </is>
      </c>
      <c r="D19" s="85" t="inlineStr">
        <is>
          <t>游戏手柄</t>
        </is>
      </c>
      <c r="E19" s="129" t="n">
        <f>COUNTIFS(BlockRatings_AQ!$D$5:$D$148,D19,BlockRatings_AQ!$F$5:$F$148,"One-Euro",BlockRatings_AQ!$R$5:$R$148,"是")</f>
        <v>24</v>
      </c>
      <c r="F19" s="149" t="n">
        <f>IFERROR(SUMIFS(BlockRatings_AQ!$I$5:$I$148,BlockRatings_AQ!$D$5:$D$148,D19,BlockRatings_AQ!$F$5:$F$148,"One-Euro",BlockRatings_AQ!$R$5:$R$148,"是")/E19,"")</f>
        <v>0</v>
      </c>
      <c r="G19" s="149" t="n">
        <f>COUNTIFS(BlockRatings_AQ!$D$5:$D$148,D19,BlockRatings_AQ!$F$5:$F$148,"EgoAnchor",BlockRatings_AQ!$R$5:$R$148,"是")</f>
        <v>24</v>
      </c>
      <c r="H19" s="149" t="n">
        <f>IFERROR(SUMIFS(BlockRatings_AQ!$I$5:$I$148,BlockRatings_AQ!$D$5:$D$148,D19,BlockRatings_AQ!$F$5:$F$148,"EgoAnchor",BlockRatings_AQ!$R$5:$R$148,"是")/G19,"")</f>
        <v>0</v>
      </c>
      <c r="I19" s="149" t="str">
        <f>IF(AND(F19&lt;&gt;"",H19&lt;&gt;""),H19-F19,"")</f>
      </c>
      <c r="J19" s="215"/>
      <c r="K19" s="215"/>
      <c r="L19" s="215"/>
      <c r="M19" s="215"/>
      <c r="N19" s="215" t="inlineStr">
        <is>
          <t/>
        </is>
      </c>
      <c r="O19" s="243" t="inlineStr">
        <is>
          <t/>
        </is>
      </c>
    </row>
    <row r="20">
      <c r="A20" s="90" t="inlineStr">
        <is>
          <t>EQ3</t>
        </is>
      </c>
      <c r="B20" s="85" t="inlineStr">
        <is>
          <t>Scale/spatial relation</t>
        </is>
      </c>
      <c r="C20" s="85" t="inlineStr">
        <is>
          <t>BlockRatings_AQ</t>
        </is>
      </c>
      <c r="D20" s="85" t="inlineStr">
        <is>
          <t>鼠标</t>
        </is>
      </c>
      <c r="E20" s="129" t="n">
        <f>COUNTIFS(BlockRatings_AQ!$D$5:$D$148,D20,BlockRatings_AQ!$F$5:$F$148,"One-Euro",BlockRatings_AQ!$R$5:$R$148,"是")</f>
        <v>24</v>
      </c>
      <c r="F20" s="149" t="n">
        <f>IFERROR(SUMIFS(BlockRatings_AQ!$J$5:$J$148,BlockRatings_AQ!$D$5:$D$148,D20,BlockRatings_AQ!$F$5:$F$148,"One-Euro",BlockRatings_AQ!$R$5:$R$148,"是")/E20,"")</f>
        <v>0</v>
      </c>
      <c r="G20" s="149" t="n">
        <f>COUNTIFS(BlockRatings_AQ!$D$5:$D$148,D20,BlockRatings_AQ!$F$5:$F$148,"EgoAnchor",BlockRatings_AQ!$R$5:$R$148,"是")</f>
        <v>24</v>
      </c>
      <c r="H20" s="149" t="n">
        <f>IFERROR(SUMIFS(BlockRatings_AQ!$J$5:$J$148,BlockRatings_AQ!$D$5:$D$148,D20,BlockRatings_AQ!$F$5:$F$148,"EgoAnchor",BlockRatings_AQ!$R$5:$R$148,"是")/G20,"")</f>
        <v>0</v>
      </c>
      <c r="I20" s="149" t="str">
        <f>IF(AND(F20&lt;&gt;"",H20&lt;&gt;""),H20-F20,"")</f>
      </c>
      <c r="J20" s="215"/>
      <c r="K20" s="215"/>
      <c r="L20" s="215"/>
      <c r="M20" s="215"/>
      <c r="N20" s="215" t="inlineStr">
        <is>
          <t/>
        </is>
      </c>
      <c r="O20" s="243" t="inlineStr">
        <is>
          <t/>
        </is>
      </c>
    </row>
    <row r="21">
      <c r="A21" s="90" t="inlineStr">
        <is>
          <t>EQ3</t>
        </is>
      </c>
      <c r="B21" s="85" t="inlineStr">
        <is>
          <t>Scale/spatial relation</t>
        </is>
      </c>
      <c r="C21" s="85" t="inlineStr">
        <is>
          <t>BlockRatings_AQ</t>
        </is>
      </c>
      <c r="D21" s="85" t="inlineStr">
        <is>
          <t>固定订书机</t>
        </is>
      </c>
      <c r="E21" s="129" t="n">
        <f>COUNTIFS(BlockRatings_AQ!$D$5:$D$148,D21,BlockRatings_AQ!$F$5:$F$148,"One-Euro",BlockRatings_AQ!$R$5:$R$148,"是")</f>
        <v>24</v>
      </c>
      <c r="F21" s="149" t="n">
        <f>IFERROR(SUMIFS(BlockRatings_AQ!$J$5:$J$148,BlockRatings_AQ!$D$5:$D$148,D21,BlockRatings_AQ!$F$5:$F$148,"One-Euro",BlockRatings_AQ!$R$5:$R$148,"是")/E21,"")</f>
        <v>0</v>
      </c>
      <c r="G21" s="149" t="n">
        <f>COUNTIFS(BlockRatings_AQ!$D$5:$D$148,D21,BlockRatings_AQ!$F$5:$F$148,"EgoAnchor",BlockRatings_AQ!$R$5:$R$148,"是")</f>
        <v>24</v>
      </c>
      <c r="H21" s="149" t="n">
        <f>IFERROR(SUMIFS(BlockRatings_AQ!$J$5:$J$148,BlockRatings_AQ!$D$5:$D$148,D21,BlockRatings_AQ!$F$5:$F$148,"EgoAnchor",BlockRatings_AQ!$R$5:$R$148,"是")/G21,"")</f>
        <v>0</v>
      </c>
      <c r="I21" s="149" t="str">
        <f>IF(AND(F21&lt;&gt;"",H21&lt;&gt;""),H21-F21,"")</f>
      </c>
      <c r="J21" s="215"/>
      <c r="K21" s="215"/>
      <c r="L21" s="215"/>
      <c r="M21" s="215"/>
      <c r="N21" s="215" t="inlineStr">
        <is>
          <t/>
        </is>
      </c>
      <c r="O21" s="243" t="inlineStr">
        <is>
          <t/>
        </is>
      </c>
    </row>
    <row r="22">
      <c r="A22" s="90" t="inlineStr">
        <is>
          <t>EQ3</t>
        </is>
      </c>
      <c r="B22" s="85" t="inlineStr">
        <is>
          <t>Scale/spatial relation</t>
        </is>
      </c>
      <c r="C22" s="85" t="inlineStr">
        <is>
          <t>BlockRatings_AQ</t>
        </is>
      </c>
      <c r="D22" s="85" t="inlineStr">
        <is>
          <t>游戏手柄</t>
        </is>
      </c>
      <c r="E22" s="129" t="n">
        <f>COUNTIFS(BlockRatings_AQ!$D$5:$D$148,D22,BlockRatings_AQ!$F$5:$F$148,"One-Euro",BlockRatings_AQ!$R$5:$R$148,"是")</f>
        <v>24</v>
      </c>
      <c r="F22" s="149" t="n">
        <f>IFERROR(SUMIFS(BlockRatings_AQ!$J$5:$J$148,BlockRatings_AQ!$D$5:$D$148,D22,BlockRatings_AQ!$F$5:$F$148,"One-Euro",BlockRatings_AQ!$R$5:$R$148,"是")/E22,"")</f>
        <v>0</v>
      </c>
      <c r="G22" s="149" t="n">
        <f>COUNTIFS(BlockRatings_AQ!$D$5:$D$148,D22,BlockRatings_AQ!$F$5:$F$148,"EgoAnchor",BlockRatings_AQ!$R$5:$R$148,"是")</f>
        <v>24</v>
      </c>
      <c r="H22" s="149" t="n">
        <f>IFERROR(SUMIFS(BlockRatings_AQ!$J$5:$J$148,BlockRatings_AQ!$D$5:$D$148,D22,BlockRatings_AQ!$F$5:$F$148,"EgoAnchor",BlockRatings_AQ!$R$5:$R$148,"是")/G22,"")</f>
        <v>0</v>
      </c>
      <c r="I22" s="149" t="str">
        <f>IF(AND(F22&lt;&gt;"",H22&lt;&gt;""),H22-F22,"")</f>
      </c>
      <c r="J22" s="215"/>
      <c r="K22" s="215"/>
      <c r="L22" s="215"/>
      <c r="M22" s="215"/>
      <c r="N22" s="215" t="inlineStr">
        <is>
          <t/>
        </is>
      </c>
      <c r="O22" s="243" t="inlineStr">
        <is>
          <t/>
        </is>
      </c>
    </row>
    <row r="23">
      <c r="A23" s="90" t="inlineStr">
        <is>
          <t>EQ</t>
        </is>
      </c>
      <c r="B23" s="85" t="inlineStr">
        <is>
          <t>Embedding Quality mean</t>
        </is>
      </c>
      <c r="C23" s="85" t="inlineStr">
        <is>
          <t>BlockRatings_AQ</t>
        </is>
      </c>
      <c r="D23" s="85" t="inlineStr">
        <is>
          <t>鼠标</t>
        </is>
      </c>
      <c r="E23" s="129" t="n">
        <f>COUNTIFS(BlockRatings_AQ!$D$5:$D$148,D23,BlockRatings_AQ!$F$5:$F$148,"One-Euro",BlockRatings_AQ!$R$5:$R$148,"是")</f>
        <v>24</v>
      </c>
      <c r="F23" s="149" t="n">
        <f>IFERROR(SUMIFS(BlockRatings_AQ!$K$5:$K$148,BlockRatings_AQ!$D$5:$D$148,D23,BlockRatings_AQ!$F$5:$F$148,"One-Euro",BlockRatings_AQ!$R$5:$R$148,"是")/E23,"")</f>
        <v>0</v>
      </c>
      <c r="G23" s="149" t="n">
        <f>COUNTIFS(BlockRatings_AQ!$D$5:$D$148,D23,BlockRatings_AQ!$F$5:$F$148,"EgoAnchor",BlockRatings_AQ!$R$5:$R$148,"是")</f>
        <v>24</v>
      </c>
      <c r="H23" s="149" t="n">
        <f>IFERROR(SUMIFS(BlockRatings_AQ!$K$5:$K$148,BlockRatings_AQ!$D$5:$D$148,D23,BlockRatings_AQ!$F$5:$F$148,"EgoAnchor",BlockRatings_AQ!$R$5:$R$148,"是")/G23,"")</f>
        <v>0</v>
      </c>
      <c r="I23" s="149" t="str">
        <f>IF(AND(F23&lt;&gt;"",H23&lt;&gt;""),H23-F23,"")</f>
      </c>
      <c r="J23" s="215"/>
      <c r="K23" s="215"/>
      <c r="L23" s="215"/>
      <c r="M23" s="215"/>
      <c r="N23" s="215" t="inlineStr">
        <is>
          <t/>
        </is>
      </c>
      <c r="O23" s="243" t="inlineStr">
        <is>
          <t/>
        </is>
      </c>
    </row>
    <row r="24">
      <c r="A24" s="90" t="inlineStr">
        <is>
          <t>EQ</t>
        </is>
      </c>
      <c r="B24" s="85" t="inlineStr">
        <is>
          <t>Embedding Quality mean</t>
        </is>
      </c>
      <c r="C24" s="85" t="inlineStr">
        <is>
          <t>BlockRatings_AQ</t>
        </is>
      </c>
      <c r="D24" s="85" t="inlineStr">
        <is>
          <t>固定订书机</t>
        </is>
      </c>
      <c r="E24" s="129" t="n">
        <f>COUNTIFS(BlockRatings_AQ!$D$5:$D$148,D24,BlockRatings_AQ!$F$5:$F$148,"One-Euro",BlockRatings_AQ!$R$5:$R$148,"是")</f>
        <v>24</v>
      </c>
      <c r="F24" s="149" t="n">
        <f>IFERROR(SUMIFS(BlockRatings_AQ!$K$5:$K$148,BlockRatings_AQ!$D$5:$D$148,D24,BlockRatings_AQ!$F$5:$F$148,"One-Euro",BlockRatings_AQ!$R$5:$R$148,"是")/E24,"")</f>
        <v>0</v>
      </c>
      <c r="G24" s="149" t="n">
        <f>COUNTIFS(BlockRatings_AQ!$D$5:$D$148,D24,BlockRatings_AQ!$F$5:$F$148,"EgoAnchor",BlockRatings_AQ!$R$5:$R$148,"是")</f>
        <v>24</v>
      </c>
      <c r="H24" s="149" t="n">
        <f>IFERROR(SUMIFS(BlockRatings_AQ!$K$5:$K$148,BlockRatings_AQ!$D$5:$D$148,D24,BlockRatings_AQ!$F$5:$F$148,"EgoAnchor",BlockRatings_AQ!$R$5:$R$148,"是")/G24,"")</f>
        <v>0</v>
      </c>
      <c r="I24" s="149" t="str">
        <f>IF(AND(F24&lt;&gt;"",H24&lt;&gt;""),H24-F24,"")</f>
      </c>
      <c r="J24" s="215"/>
      <c r="K24" s="215"/>
      <c r="L24" s="215"/>
      <c r="M24" s="215"/>
      <c r="N24" s="215" t="inlineStr">
        <is>
          <t/>
        </is>
      </c>
      <c r="O24" s="243" t="inlineStr">
        <is>
          <t/>
        </is>
      </c>
    </row>
    <row r="25">
      <c r="A25" s="90" t="inlineStr">
        <is>
          <t>EQ</t>
        </is>
      </c>
      <c r="B25" s="85" t="inlineStr">
        <is>
          <t>Embedding Quality mean</t>
        </is>
      </c>
      <c r="C25" s="85" t="inlineStr">
        <is>
          <t>BlockRatings_AQ</t>
        </is>
      </c>
      <c r="D25" s="85" t="inlineStr">
        <is>
          <t>游戏手柄</t>
        </is>
      </c>
      <c r="E25" s="129" t="n">
        <f>COUNTIFS(BlockRatings_AQ!$D$5:$D$148,D25,BlockRatings_AQ!$F$5:$F$148,"One-Euro",BlockRatings_AQ!$R$5:$R$148,"是")</f>
        <v>24</v>
      </c>
      <c r="F25" s="149" t="n">
        <f>IFERROR(SUMIFS(BlockRatings_AQ!$K$5:$K$148,BlockRatings_AQ!$D$5:$D$148,D25,BlockRatings_AQ!$F$5:$F$148,"One-Euro",BlockRatings_AQ!$R$5:$R$148,"是")/E25,"")</f>
        <v>0</v>
      </c>
      <c r="G25" s="149" t="n">
        <f>COUNTIFS(BlockRatings_AQ!$D$5:$D$148,D25,BlockRatings_AQ!$F$5:$F$148,"EgoAnchor",BlockRatings_AQ!$R$5:$R$148,"是")</f>
        <v>24</v>
      </c>
      <c r="H25" s="149" t="n">
        <f>IFERROR(SUMIFS(BlockRatings_AQ!$K$5:$K$148,BlockRatings_AQ!$D$5:$D$148,D25,BlockRatings_AQ!$F$5:$F$148,"EgoAnchor",BlockRatings_AQ!$R$5:$R$148,"是")/G25,"")</f>
        <v>0</v>
      </c>
      <c r="I25" s="149" t="str">
        <f>IF(AND(F25&lt;&gt;"",H25&lt;&gt;""),H25-F25,"")</f>
      </c>
      <c r="J25" s="215"/>
      <c r="K25" s="215"/>
      <c r="L25" s="215"/>
      <c r="M25" s="215"/>
      <c r="N25" s="215" t="inlineStr">
        <is>
          <t/>
        </is>
      </c>
      <c r="O25" s="243" t="inlineStr">
        <is>
          <t/>
        </is>
      </c>
    </row>
    <row r="26">
      <c r="A26" s="90" t="inlineStr">
        <is>
          <t>IQ1</t>
        </is>
      </c>
      <c r="B26" s="85" t="inlineStr">
        <is>
          <t>Intuitive interaction</t>
        </is>
      </c>
      <c r="C26" s="85" t="inlineStr">
        <is>
          <t>BlockRatings_AQ</t>
        </is>
      </c>
      <c r="D26" s="85" t="inlineStr">
        <is>
          <t>鼠标</t>
        </is>
      </c>
      <c r="E26" s="129" t="n">
        <f>COUNTIFS(BlockRatings_AQ!$D$5:$D$148,D26,BlockRatings_AQ!$F$5:$F$148,"One-Euro",BlockRatings_AQ!$R$5:$R$148,"是")</f>
        <v>24</v>
      </c>
      <c r="F26" s="149" t="n">
        <f>IFERROR(SUMIFS(BlockRatings_AQ!$L$5:$L$148,BlockRatings_AQ!$D$5:$D$148,D26,BlockRatings_AQ!$F$5:$F$148,"One-Euro",BlockRatings_AQ!$R$5:$R$148,"是")/E26,"")</f>
        <v>0</v>
      </c>
      <c r="G26" s="149" t="n">
        <f>COUNTIFS(BlockRatings_AQ!$D$5:$D$148,D26,BlockRatings_AQ!$F$5:$F$148,"EgoAnchor",BlockRatings_AQ!$R$5:$R$148,"是")</f>
        <v>24</v>
      </c>
      <c r="H26" s="149" t="n">
        <f>IFERROR(SUMIFS(BlockRatings_AQ!$L$5:$L$148,BlockRatings_AQ!$D$5:$D$148,D26,BlockRatings_AQ!$F$5:$F$148,"EgoAnchor",BlockRatings_AQ!$R$5:$R$148,"是")/G26,"")</f>
        <v>0</v>
      </c>
      <c r="I26" s="149" t="str">
        <f>IF(AND(F26&lt;&gt;"",H26&lt;&gt;""),H26-F26,"")</f>
      </c>
      <c r="J26" s="215"/>
      <c r="K26" s="215"/>
      <c r="L26" s="215"/>
      <c r="M26" s="215"/>
      <c r="N26" s="215" t="inlineStr">
        <is>
          <t/>
        </is>
      </c>
      <c r="O26" s="243" t="inlineStr">
        <is>
          <t/>
        </is>
      </c>
    </row>
    <row r="27">
      <c r="A27" s="90" t="inlineStr">
        <is>
          <t>IQ1</t>
        </is>
      </c>
      <c r="B27" s="85" t="inlineStr">
        <is>
          <t>Intuitive interaction</t>
        </is>
      </c>
      <c r="C27" s="85" t="inlineStr">
        <is>
          <t>BlockRatings_AQ</t>
        </is>
      </c>
      <c r="D27" s="85" t="inlineStr">
        <is>
          <t>固定订书机</t>
        </is>
      </c>
      <c r="E27" s="129" t="n">
        <f>COUNTIFS(BlockRatings_AQ!$D$5:$D$148,D27,BlockRatings_AQ!$F$5:$F$148,"One-Euro",BlockRatings_AQ!$R$5:$R$148,"是")</f>
        <v>24</v>
      </c>
      <c r="F27" s="149" t="n">
        <f>IFERROR(SUMIFS(BlockRatings_AQ!$L$5:$L$148,BlockRatings_AQ!$D$5:$D$148,D27,BlockRatings_AQ!$F$5:$F$148,"One-Euro",BlockRatings_AQ!$R$5:$R$148,"是")/E27,"")</f>
        <v>0</v>
      </c>
      <c r="G27" s="149" t="n">
        <f>COUNTIFS(BlockRatings_AQ!$D$5:$D$148,D27,BlockRatings_AQ!$F$5:$F$148,"EgoAnchor",BlockRatings_AQ!$R$5:$R$148,"是")</f>
        <v>24</v>
      </c>
      <c r="H27" s="149" t="n">
        <f>IFERROR(SUMIFS(BlockRatings_AQ!$L$5:$L$148,BlockRatings_AQ!$D$5:$D$148,D27,BlockRatings_AQ!$F$5:$F$148,"EgoAnchor",BlockRatings_AQ!$R$5:$R$148,"是")/G27,"")</f>
        <v>0</v>
      </c>
      <c r="I27" s="149" t="str">
        <f>IF(AND(F27&lt;&gt;"",H27&lt;&gt;""),H27-F27,"")</f>
      </c>
      <c r="J27" s="215"/>
      <c r="K27" s="215"/>
      <c r="L27" s="215"/>
      <c r="M27" s="215"/>
      <c r="N27" s="215" t="inlineStr">
        <is>
          <t/>
        </is>
      </c>
      <c r="O27" s="243" t="inlineStr">
        <is>
          <t/>
        </is>
      </c>
    </row>
    <row r="28">
      <c r="A28" s="90" t="inlineStr">
        <is>
          <t>IQ1</t>
        </is>
      </c>
      <c r="B28" s="85" t="inlineStr">
        <is>
          <t>Intuitive interaction</t>
        </is>
      </c>
      <c r="C28" s="85" t="inlineStr">
        <is>
          <t>BlockRatings_AQ</t>
        </is>
      </c>
      <c r="D28" s="85" t="inlineStr">
        <is>
          <t>游戏手柄</t>
        </is>
      </c>
      <c r="E28" s="129" t="n">
        <f>COUNTIFS(BlockRatings_AQ!$D$5:$D$148,D28,BlockRatings_AQ!$F$5:$F$148,"One-Euro",BlockRatings_AQ!$R$5:$R$148,"是")</f>
        <v>24</v>
      </c>
      <c r="F28" s="149" t="n">
        <f>IFERROR(SUMIFS(BlockRatings_AQ!$L$5:$L$148,BlockRatings_AQ!$D$5:$D$148,D28,BlockRatings_AQ!$F$5:$F$148,"One-Euro",BlockRatings_AQ!$R$5:$R$148,"是")/E28,"")</f>
        <v>0</v>
      </c>
      <c r="G28" s="149" t="n">
        <f>COUNTIFS(BlockRatings_AQ!$D$5:$D$148,D28,BlockRatings_AQ!$F$5:$F$148,"EgoAnchor",BlockRatings_AQ!$R$5:$R$148,"是")</f>
        <v>24</v>
      </c>
      <c r="H28" s="149" t="n">
        <f>IFERROR(SUMIFS(BlockRatings_AQ!$L$5:$L$148,BlockRatings_AQ!$D$5:$D$148,D28,BlockRatings_AQ!$F$5:$F$148,"EgoAnchor",BlockRatings_AQ!$R$5:$R$148,"是")/G28,"")</f>
        <v>0</v>
      </c>
      <c r="I28" s="149" t="str">
        <f>IF(AND(F28&lt;&gt;"",H28&lt;&gt;""),H28-F28,"")</f>
      </c>
      <c r="J28" s="215"/>
      <c r="K28" s="215"/>
      <c r="L28" s="215"/>
      <c r="M28" s="215"/>
      <c r="N28" s="215" t="inlineStr">
        <is>
          <t/>
        </is>
      </c>
      <c r="O28" s="243" t="inlineStr">
        <is>
          <t/>
        </is>
      </c>
    </row>
    <row r="29">
      <c r="A29" s="90" t="inlineStr">
        <is>
          <t>IQ2</t>
        </is>
      </c>
      <c r="B29" s="85" t="inlineStr">
        <is>
          <t>Prompt response</t>
        </is>
      </c>
      <c r="C29" s="85" t="inlineStr">
        <is>
          <t>BlockRatings_AQ</t>
        </is>
      </c>
      <c r="D29" s="85" t="inlineStr">
        <is>
          <t>鼠标</t>
        </is>
      </c>
      <c r="E29" s="129" t="n">
        <f>COUNTIFS(BlockRatings_AQ!$D$5:$D$148,D29,BlockRatings_AQ!$F$5:$F$148,"One-Euro",BlockRatings_AQ!$R$5:$R$148,"是")</f>
        <v>24</v>
      </c>
      <c r="F29" s="149" t="n">
        <f>IFERROR(SUMIFS(BlockRatings_AQ!$M$5:$M$148,BlockRatings_AQ!$D$5:$D$148,D29,BlockRatings_AQ!$F$5:$F$148,"One-Euro",BlockRatings_AQ!$R$5:$R$148,"是")/E29,"")</f>
        <v>0</v>
      </c>
      <c r="G29" s="149" t="n">
        <f>COUNTIFS(BlockRatings_AQ!$D$5:$D$148,D29,BlockRatings_AQ!$F$5:$F$148,"EgoAnchor",BlockRatings_AQ!$R$5:$R$148,"是")</f>
        <v>24</v>
      </c>
      <c r="H29" s="149" t="n">
        <f>IFERROR(SUMIFS(BlockRatings_AQ!$M$5:$M$148,BlockRatings_AQ!$D$5:$D$148,D29,BlockRatings_AQ!$F$5:$F$148,"EgoAnchor",BlockRatings_AQ!$R$5:$R$148,"是")/G29,"")</f>
        <v>0</v>
      </c>
      <c r="I29" s="149" t="str">
        <f>IF(AND(F29&lt;&gt;"",H29&lt;&gt;""),H29-F29,"")</f>
      </c>
      <c r="J29" s="215"/>
      <c r="K29" s="215"/>
      <c r="L29" s="215"/>
      <c r="M29" s="215"/>
      <c r="N29" s="215" t="inlineStr">
        <is>
          <t/>
        </is>
      </c>
      <c r="O29" s="243" t="inlineStr">
        <is>
          <t/>
        </is>
      </c>
    </row>
    <row r="30">
      <c r="A30" s="90" t="inlineStr">
        <is>
          <t>IQ2</t>
        </is>
      </c>
      <c r="B30" s="85" t="inlineStr">
        <is>
          <t>Prompt response</t>
        </is>
      </c>
      <c r="C30" s="85" t="inlineStr">
        <is>
          <t>BlockRatings_AQ</t>
        </is>
      </c>
      <c r="D30" s="85" t="inlineStr">
        <is>
          <t>固定订书机</t>
        </is>
      </c>
      <c r="E30" s="129" t="n">
        <f>COUNTIFS(BlockRatings_AQ!$D$5:$D$148,D30,BlockRatings_AQ!$F$5:$F$148,"One-Euro",BlockRatings_AQ!$R$5:$R$148,"是")</f>
        <v>24</v>
      </c>
      <c r="F30" s="149" t="n">
        <f>IFERROR(SUMIFS(BlockRatings_AQ!$M$5:$M$148,BlockRatings_AQ!$D$5:$D$148,D30,BlockRatings_AQ!$F$5:$F$148,"One-Euro",BlockRatings_AQ!$R$5:$R$148,"是")/E30,"")</f>
        <v>0</v>
      </c>
      <c r="G30" s="149" t="n">
        <f>COUNTIFS(BlockRatings_AQ!$D$5:$D$148,D30,BlockRatings_AQ!$F$5:$F$148,"EgoAnchor",BlockRatings_AQ!$R$5:$R$148,"是")</f>
        <v>24</v>
      </c>
      <c r="H30" s="149" t="n">
        <f>IFERROR(SUMIFS(BlockRatings_AQ!$M$5:$M$148,BlockRatings_AQ!$D$5:$D$148,D30,BlockRatings_AQ!$F$5:$F$148,"EgoAnchor",BlockRatings_AQ!$R$5:$R$148,"是")/G30,"")</f>
        <v>0</v>
      </c>
      <c r="I30" s="149" t="str">
        <f>IF(AND(F30&lt;&gt;"",H30&lt;&gt;""),H30-F30,"")</f>
      </c>
      <c r="J30" s="215"/>
      <c r="K30" s="215"/>
      <c r="L30" s="215"/>
      <c r="M30" s="215"/>
      <c r="N30" s="215" t="inlineStr">
        <is>
          <t/>
        </is>
      </c>
      <c r="O30" s="243" t="inlineStr">
        <is>
          <t/>
        </is>
      </c>
    </row>
    <row r="31">
      <c r="A31" s="90" t="inlineStr">
        <is>
          <t>IQ2</t>
        </is>
      </c>
      <c r="B31" s="85" t="inlineStr">
        <is>
          <t>Prompt response</t>
        </is>
      </c>
      <c r="C31" s="85" t="inlineStr">
        <is>
          <t>BlockRatings_AQ</t>
        </is>
      </c>
      <c r="D31" s="85" t="inlineStr">
        <is>
          <t>游戏手柄</t>
        </is>
      </c>
      <c r="E31" s="129" t="n">
        <f>COUNTIFS(BlockRatings_AQ!$D$5:$D$148,D31,BlockRatings_AQ!$F$5:$F$148,"One-Euro",BlockRatings_AQ!$R$5:$R$148,"是")</f>
        <v>24</v>
      </c>
      <c r="F31" s="149" t="n">
        <f>IFERROR(SUMIFS(BlockRatings_AQ!$M$5:$M$148,BlockRatings_AQ!$D$5:$D$148,D31,BlockRatings_AQ!$F$5:$F$148,"One-Euro",BlockRatings_AQ!$R$5:$R$148,"是")/E31,"")</f>
        <v>0</v>
      </c>
      <c r="G31" s="149" t="n">
        <f>COUNTIFS(BlockRatings_AQ!$D$5:$D$148,D31,BlockRatings_AQ!$F$5:$F$148,"EgoAnchor",BlockRatings_AQ!$R$5:$R$148,"是")</f>
        <v>24</v>
      </c>
      <c r="H31" s="149" t="n">
        <f>IFERROR(SUMIFS(BlockRatings_AQ!$M$5:$M$148,BlockRatings_AQ!$D$5:$D$148,D31,BlockRatings_AQ!$F$5:$F$148,"EgoAnchor",BlockRatings_AQ!$R$5:$R$148,"是")/G31,"")</f>
        <v>0</v>
      </c>
      <c r="I31" s="149" t="str">
        <f>IF(AND(F31&lt;&gt;"",H31&lt;&gt;""),H31-F31,"")</f>
      </c>
      <c r="J31" s="215"/>
      <c r="K31" s="215"/>
      <c r="L31" s="215"/>
      <c r="M31" s="215"/>
      <c r="N31" s="215" t="inlineStr">
        <is>
          <t/>
        </is>
      </c>
      <c r="O31" s="243" t="inlineStr">
        <is>
          <t/>
        </is>
      </c>
    </row>
    <row r="32">
      <c r="A32" s="90" t="inlineStr">
        <is>
          <t>IQ3</t>
        </is>
      </c>
      <c r="B32" s="85" t="inlineStr">
        <is>
          <t>Smooth motion</t>
        </is>
      </c>
      <c r="C32" s="85" t="inlineStr">
        <is>
          <t>BlockRatings_AQ</t>
        </is>
      </c>
      <c r="D32" s="85" t="inlineStr">
        <is>
          <t>鼠标</t>
        </is>
      </c>
      <c r="E32" s="129" t="n">
        <f>COUNTIFS(BlockRatings_AQ!$D$5:$D$148,D32,BlockRatings_AQ!$F$5:$F$148,"One-Euro",BlockRatings_AQ!$R$5:$R$148,"是")</f>
        <v>24</v>
      </c>
      <c r="F32" s="149" t="n">
        <f>IFERROR(SUMIFS(BlockRatings_AQ!$N$5:$N$148,BlockRatings_AQ!$D$5:$D$148,D32,BlockRatings_AQ!$F$5:$F$148,"One-Euro",BlockRatings_AQ!$R$5:$R$148,"是")/E32,"")</f>
        <v>0</v>
      </c>
      <c r="G32" s="149" t="n">
        <f>COUNTIFS(BlockRatings_AQ!$D$5:$D$148,D32,BlockRatings_AQ!$F$5:$F$148,"EgoAnchor",BlockRatings_AQ!$R$5:$R$148,"是")</f>
        <v>24</v>
      </c>
      <c r="H32" s="149" t="n">
        <f>IFERROR(SUMIFS(BlockRatings_AQ!$N$5:$N$148,BlockRatings_AQ!$D$5:$D$148,D32,BlockRatings_AQ!$F$5:$F$148,"EgoAnchor",BlockRatings_AQ!$R$5:$R$148,"是")/G32,"")</f>
        <v>0</v>
      </c>
      <c r="I32" s="149" t="str">
        <f>IF(AND(F32&lt;&gt;"",H32&lt;&gt;""),H32-F32,"")</f>
      </c>
      <c r="J32" s="215"/>
      <c r="K32" s="215"/>
      <c r="L32" s="215"/>
      <c r="M32" s="215"/>
      <c r="N32" s="215" t="inlineStr">
        <is>
          <t/>
        </is>
      </c>
      <c r="O32" s="243" t="inlineStr">
        <is>
          <t/>
        </is>
      </c>
    </row>
    <row r="33">
      <c r="A33" s="90" t="inlineStr">
        <is>
          <t>IQ3</t>
        </is>
      </c>
      <c r="B33" s="85" t="inlineStr">
        <is>
          <t>Smooth motion</t>
        </is>
      </c>
      <c r="C33" s="85" t="inlineStr">
        <is>
          <t>BlockRatings_AQ</t>
        </is>
      </c>
      <c r="D33" s="85" t="inlineStr">
        <is>
          <t>固定订书机</t>
        </is>
      </c>
      <c r="E33" s="129" t="n">
        <f>COUNTIFS(BlockRatings_AQ!$D$5:$D$148,D33,BlockRatings_AQ!$F$5:$F$148,"One-Euro",BlockRatings_AQ!$R$5:$R$148,"是")</f>
        <v>24</v>
      </c>
      <c r="F33" s="149" t="n">
        <f>IFERROR(SUMIFS(BlockRatings_AQ!$N$5:$N$148,BlockRatings_AQ!$D$5:$D$148,D33,BlockRatings_AQ!$F$5:$F$148,"One-Euro",BlockRatings_AQ!$R$5:$R$148,"是")/E33,"")</f>
        <v>0</v>
      </c>
      <c r="G33" s="149" t="n">
        <f>COUNTIFS(BlockRatings_AQ!$D$5:$D$148,D33,BlockRatings_AQ!$F$5:$F$148,"EgoAnchor",BlockRatings_AQ!$R$5:$R$148,"是")</f>
        <v>24</v>
      </c>
      <c r="H33" s="149" t="n">
        <f>IFERROR(SUMIFS(BlockRatings_AQ!$N$5:$N$148,BlockRatings_AQ!$D$5:$D$148,D33,BlockRatings_AQ!$F$5:$F$148,"EgoAnchor",BlockRatings_AQ!$R$5:$R$148,"是")/G33,"")</f>
        <v>0</v>
      </c>
      <c r="I33" s="149" t="str">
        <f>IF(AND(F33&lt;&gt;"",H33&lt;&gt;""),H33-F33,"")</f>
      </c>
      <c r="J33" s="215"/>
      <c r="K33" s="215"/>
      <c r="L33" s="215"/>
      <c r="M33" s="215"/>
      <c r="N33" s="215" t="inlineStr">
        <is>
          <t/>
        </is>
      </c>
      <c r="O33" s="243" t="inlineStr">
        <is>
          <t/>
        </is>
      </c>
    </row>
    <row r="34">
      <c r="A34" s="90" t="inlineStr">
        <is>
          <t>IQ3</t>
        </is>
      </c>
      <c r="B34" s="85" t="inlineStr">
        <is>
          <t>Smooth motion</t>
        </is>
      </c>
      <c r="C34" s="85" t="inlineStr">
        <is>
          <t>BlockRatings_AQ</t>
        </is>
      </c>
      <c r="D34" s="85" t="inlineStr">
        <is>
          <t>游戏手柄</t>
        </is>
      </c>
      <c r="E34" s="129" t="n">
        <f>COUNTIFS(BlockRatings_AQ!$D$5:$D$148,D34,BlockRatings_AQ!$F$5:$F$148,"One-Euro",BlockRatings_AQ!$R$5:$R$148,"是")</f>
        <v>24</v>
      </c>
      <c r="F34" s="149" t="n">
        <f>IFERROR(SUMIFS(BlockRatings_AQ!$N$5:$N$148,BlockRatings_AQ!$D$5:$D$148,D34,BlockRatings_AQ!$F$5:$F$148,"One-Euro",BlockRatings_AQ!$R$5:$R$148,"是")/E34,"")</f>
        <v>0</v>
      </c>
      <c r="G34" s="149" t="n">
        <f>COUNTIFS(BlockRatings_AQ!$D$5:$D$148,D34,BlockRatings_AQ!$F$5:$F$148,"EgoAnchor",BlockRatings_AQ!$R$5:$R$148,"是")</f>
        <v>24</v>
      </c>
      <c r="H34" s="149" t="n">
        <f>IFERROR(SUMIFS(BlockRatings_AQ!$N$5:$N$148,BlockRatings_AQ!$D$5:$D$148,D34,BlockRatings_AQ!$F$5:$F$148,"EgoAnchor",BlockRatings_AQ!$R$5:$R$148,"是")/G34,"")</f>
        <v>0</v>
      </c>
      <c r="I34" s="149" t="str">
        <f>IF(AND(F34&lt;&gt;"",H34&lt;&gt;""),H34-F34,"")</f>
      </c>
      <c r="J34" s="215"/>
      <c r="K34" s="215"/>
      <c r="L34" s="215"/>
      <c r="M34" s="215"/>
      <c r="N34" s="215" t="inlineStr">
        <is>
          <t/>
        </is>
      </c>
      <c r="O34" s="243" t="inlineStr">
        <is>
          <t/>
        </is>
      </c>
    </row>
    <row r="35">
      <c r="A35" s="90" t="inlineStr">
        <is>
          <t>IQ</t>
        </is>
      </c>
      <c r="B35" s="85" t="inlineStr">
        <is>
          <t>Interaction Quality mean</t>
        </is>
      </c>
      <c r="C35" s="85" t="inlineStr">
        <is>
          <t>BlockRatings_AQ</t>
        </is>
      </c>
      <c r="D35" s="85" t="inlineStr">
        <is>
          <t>鼠标</t>
        </is>
      </c>
      <c r="E35" s="129" t="n">
        <f>COUNTIFS(BlockRatings_AQ!$D$5:$D$148,D35,BlockRatings_AQ!$F$5:$F$148,"One-Euro",BlockRatings_AQ!$R$5:$R$148,"是")</f>
        <v>24</v>
      </c>
      <c r="F35" s="149" t="n">
        <f>IFERROR(SUMIFS(BlockRatings_AQ!$O$5:$O$148,BlockRatings_AQ!$D$5:$D$148,D35,BlockRatings_AQ!$F$5:$F$148,"One-Euro",BlockRatings_AQ!$R$5:$R$148,"是")/E35,"")</f>
        <v>0</v>
      </c>
      <c r="G35" s="149" t="n">
        <f>COUNTIFS(BlockRatings_AQ!$D$5:$D$148,D35,BlockRatings_AQ!$F$5:$F$148,"EgoAnchor",BlockRatings_AQ!$R$5:$R$148,"是")</f>
        <v>24</v>
      </c>
      <c r="H35" s="149" t="n">
        <f>IFERROR(SUMIFS(BlockRatings_AQ!$O$5:$O$148,BlockRatings_AQ!$D$5:$D$148,D35,BlockRatings_AQ!$F$5:$F$148,"EgoAnchor",BlockRatings_AQ!$R$5:$R$148,"是")/G35,"")</f>
        <v>0</v>
      </c>
      <c r="I35" s="149" t="str">
        <f>IF(AND(F35&lt;&gt;"",H35&lt;&gt;""),H35-F35,"")</f>
      </c>
      <c r="J35" s="215"/>
      <c r="K35" s="215"/>
      <c r="L35" s="215"/>
      <c r="M35" s="215"/>
      <c r="N35" s="215" t="inlineStr">
        <is>
          <t/>
        </is>
      </c>
      <c r="O35" s="243" t="inlineStr">
        <is>
          <t/>
        </is>
      </c>
    </row>
    <row r="36">
      <c r="A36" s="90" t="inlineStr">
        <is>
          <t>IQ</t>
        </is>
      </c>
      <c r="B36" s="85" t="inlineStr">
        <is>
          <t>Interaction Quality mean</t>
        </is>
      </c>
      <c r="C36" s="85" t="inlineStr">
        <is>
          <t>BlockRatings_AQ</t>
        </is>
      </c>
      <c r="D36" s="85" t="inlineStr">
        <is>
          <t>固定订书机</t>
        </is>
      </c>
      <c r="E36" s="129" t="n">
        <f>COUNTIFS(BlockRatings_AQ!$D$5:$D$148,D36,BlockRatings_AQ!$F$5:$F$148,"One-Euro",BlockRatings_AQ!$R$5:$R$148,"是")</f>
        <v>24</v>
      </c>
      <c r="F36" s="149" t="n">
        <f>IFERROR(SUMIFS(BlockRatings_AQ!$O$5:$O$148,BlockRatings_AQ!$D$5:$D$148,D36,BlockRatings_AQ!$F$5:$F$148,"One-Euro",BlockRatings_AQ!$R$5:$R$148,"是")/E36,"")</f>
        <v>0</v>
      </c>
      <c r="G36" s="149" t="n">
        <f>COUNTIFS(BlockRatings_AQ!$D$5:$D$148,D36,BlockRatings_AQ!$F$5:$F$148,"EgoAnchor",BlockRatings_AQ!$R$5:$R$148,"是")</f>
        <v>24</v>
      </c>
      <c r="H36" s="149" t="n">
        <f>IFERROR(SUMIFS(BlockRatings_AQ!$O$5:$O$148,BlockRatings_AQ!$D$5:$D$148,D36,BlockRatings_AQ!$F$5:$F$148,"EgoAnchor",BlockRatings_AQ!$R$5:$R$148,"是")/G36,"")</f>
        <v>0</v>
      </c>
      <c r="I36" s="149" t="str">
        <f>IF(AND(F36&lt;&gt;"",H36&lt;&gt;""),H36-F36,"")</f>
      </c>
      <c r="J36" s="215"/>
      <c r="K36" s="215"/>
      <c r="L36" s="215"/>
      <c r="M36" s="215"/>
      <c r="N36" s="215" t="inlineStr">
        <is>
          <t/>
        </is>
      </c>
      <c r="O36" s="243" t="inlineStr">
        <is>
          <t/>
        </is>
      </c>
    </row>
    <row r="37">
      <c r="A37" s="91" t="inlineStr">
        <is>
          <t>IQ</t>
        </is>
      </c>
      <c r="B37" s="109" t="inlineStr">
        <is>
          <t>Interaction Quality mean</t>
        </is>
      </c>
      <c r="C37" s="109" t="inlineStr">
        <is>
          <t>BlockRatings_AQ</t>
        </is>
      </c>
      <c r="D37" s="109" t="inlineStr">
        <is>
          <t>游戏手柄</t>
        </is>
      </c>
      <c r="E37" s="131" t="n">
        <f>COUNTIFS(BlockRatings_AQ!$D$5:$D$148,D37,BlockRatings_AQ!$F$5:$F$148,"One-Euro",BlockRatings_AQ!$R$5:$R$148,"是")</f>
        <v>24</v>
      </c>
      <c r="F37" s="151" t="n">
        <f>IFERROR(SUMIFS(BlockRatings_AQ!$O$5:$O$148,BlockRatings_AQ!$D$5:$D$148,D37,BlockRatings_AQ!$F$5:$F$148,"One-Euro",BlockRatings_AQ!$R$5:$R$148,"是")/E37,"")</f>
        <v>0</v>
      </c>
      <c r="G37" s="151" t="n">
        <f>COUNTIFS(BlockRatings_AQ!$D$5:$D$148,D37,BlockRatings_AQ!$F$5:$F$148,"EgoAnchor",BlockRatings_AQ!$R$5:$R$148,"是")</f>
        <v>24</v>
      </c>
      <c r="H37" s="151" t="n">
        <f>IFERROR(SUMIFS(BlockRatings_AQ!$O$5:$O$148,BlockRatings_AQ!$D$5:$D$148,D37,BlockRatings_AQ!$F$5:$F$148,"EgoAnchor",BlockRatings_AQ!$R$5:$R$148,"是")/G37,"")</f>
        <v>0</v>
      </c>
      <c r="I37" s="151" t="str">
        <f>IF(AND(F37&lt;&gt;"",H37&lt;&gt;""),H37-F37,"")</f>
      </c>
      <c r="J37" s="218"/>
      <c r="K37" s="218"/>
      <c r="L37" s="218"/>
      <c r="M37" s="218"/>
      <c r="N37" s="218" t="inlineStr">
        <is>
          <t/>
        </is>
      </c>
      <c r="O37" s="244" t="inlineStr">
        <is>
          <t/>
        </is>
      </c>
    </row>
  </sheetData>
  <mergeCells>
    <mergeCell ref="A1:O1"/>
    <mergeCell ref="A2:O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FormatPr defaultRowHeight="15"/>
  <cols>
    <col min="1" max="1" width="16" hidden="0" customWidth="1"/>
    <col min="2" max="2" width="18" hidden="0" customWidth="1"/>
    <col min="3" max="3" width="60" hidden="0" customWidth="1"/>
    <col min="4" max="4" width="60" hidden="0" customWidth="1"/>
    <col min="5" max="5" width="19" hidden="0" customWidth="1"/>
    <col min="6" max="6" width="18" hidden="0" customWidth="1"/>
    <col min="7" max="7" width="17" hidden="0" customWidth="1"/>
    <col min="8" max="8" width="15" hidden="0" customWidth="1"/>
    <col min="9" max="9" width="17" hidden="0" customWidth="1"/>
    <col min="10" max="10" width="22" hidden="0" customWidth="1"/>
    <col min="11" max="11" width="25" hidden="0" customWidth="1"/>
    <col min="12" max="12" width="17" hidden="0" customWidth="1"/>
    <col min="13" max="13" width="18" hidden="0" customWidth="1"/>
    <col min="14" max="14" width="17" hidden="0" customWidth="1"/>
    <col min="15" max="15" width="14" hidden="0" customWidth="1"/>
    <col min="16" max="16" width="25" hidden="0" customWidth="1"/>
    <col min="17" max="17" width="16" hidden="0" customWidth="1"/>
    <col min="18" max="18" width="35" hidden="0" customWidth="1"/>
    <col min="19" max="19" width="15" hidden="0" customWidth="1"/>
    <col min="20" max="20" width="15" hidden="0" customWidth="1"/>
    <col min="21" max="21" width="15" hidden="0" customWidth="1"/>
    <col min="22" max="22" width="45" hidden="0" customWidth="1"/>
  </cols>
  <sheetData>
    <row r="1">
      <c r="A1" s="4" t="inlineStr">
        <is>
          <t>开放反馈双编码表（24名参与者）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68" t="inlineStr">
        <is>
          <t>C/D列自动链接原始开放回答。E–Q为预设主题0/1编码，可增加Other说明。建议由两名编码者独立编码后讨论分歧；不要把主题频数当作独立推断检验。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</row>
    <row r="4">
      <c r="A4" s="26" t="inlineStr">
        <is>
          <t>Participant_ID</t>
        </is>
      </c>
      <c r="B4" s="27" t="inlineStr">
        <is>
          <t>Decoded_Choice</t>
        </is>
      </c>
      <c r="C4" s="27" t="inlineStr">
        <is>
          <t>Most_Noticeable_Raw</t>
        </is>
      </c>
      <c r="D4" s="27" t="inlineStr">
        <is>
          <t>Distrust_Raw</t>
        </is>
      </c>
      <c r="E4" s="27" t="inlineStr">
        <is>
          <t>Stationary_Jitter</t>
        </is>
      </c>
      <c r="F4" s="27" t="inlineStr">
        <is>
          <t>Viewpoint_Drift</t>
        </is>
      </c>
      <c r="G4" s="27" t="inlineStr">
        <is>
          <t>Absolute_Offset</t>
        </is>
      </c>
      <c r="H4" s="27" t="inlineStr">
        <is>
          <t>Motion_Lag</t>
        </is>
      </c>
      <c r="I4" s="27" t="inlineStr">
        <is>
          <t>Motion_Sliding</t>
        </is>
      </c>
      <c r="J4" s="27" t="inlineStr">
        <is>
          <t>Orientation_Mismatch</t>
        </is>
      </c>
      <c r="K4" s="27" t="inlineStr">
        <is>
          <t>Post_Placement_Settling</t>
        </is>
      </c>
      <c r="L4" s="27" t="inlineStr">
        <is>
          <t>Recovery_Jump</t>
        </is>
      </c>
      <c r="M4" s="27" t="inlineStr">
        <is>
          <t>Wrong_Recovery</t>
        </is>
      </c>
      <c r="N4" s="27" t="inlineStr">
        <is>
          <t>Predictability</t>
        </is>
      </c>
      <c r="O4" s="27" t="inlineStr">
        <is>
          <t>Smoothness</t>
        </is>
      </c>
      <c r="P4" s="27" t="inlineStr">
        <is>
          <t>No_Noticeable_Difference</t>
        </is>
      </c>
      <c r="Q4" s="27" t="inlineStr">
        <is>
          <t>Other_Code</t>
        </is>
      </c>
      <c r="R4" s="27" t="inlineStr">
        <is>
          <t>Other_Description</t>
        </is>
      </c>
      <c r="S4" s="27" t="inlineStr">
        <is>
          <t>Coder1</t>
        </is>
      </c>
      <c r="T4" s="27" t="inlineStr">
        <is>
          <t>Coder2</t>
        </is>
      </c>
      <c r="U4" s="27" t="inlineStr">
        <is>
          <t>Agreement</t>
        </is>
      </c>
      <c r="V4" s="101" t="inlineStr">
        <is>
          <t>Memo</t>
        </is>
      </c>
    </row>
    <row r="5">
      <c r="A5" s="90" t="inlineStr">
        <is>
          <t>P001</t>
        </is>
      </c>
      <c r="B5" s="129" t="n">
        <f>FinalFeedback!C5</f>
        <v>0</v>
      </c>
      <c r="C5" s="129" t="n">
        <f>FinalFeedback!F5</f>
        <v>0</v>
      </c>
      <c r="D5" s="129" t="n">
        <f>FinalFeedback!G5</f>
        <v>0</v>
      </c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129" t="str">
        <f>IF(AND(S5&lt;&gt;"",T5&lt;&gt;""),IF(S5=T5,"一致","分歧"),"")</f>
      </c>
      <c r="V5" s="243"/>
    </row>
    <row r="6">
      <c r="A6" s="90" t="inlineStr">
        <is>
          <t>P002</t>
        </is>
      </c>
      <c r="B6" s="129" t="n">
        <f>FinalFeedback!C6</f>
        <v>0</v>
      </c>
      <c r="C6" s="129" t="n">
        <f>FinalFeedback!F6</f>
        <v>0</v>
      </c>
      <c r="D6" s="129" t="n">
        <f>FinalFeedback!G6</f>
        <v>0</v>
      </c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129" t="str">
        <f>IF(AND(S6&lt;&gt;"",T6&lt;&gt;""),IF(S6=T6,"一致","分歧"),"")</f>
      </c>
      <c r="V6" s="243"/>
    </row>
    <row r="7">
      <c r="A7" s="90" t="inlineStr">
        <is>
          <t>P003</t>
        </is>
      </c>
      <c r="B7" s="129" t="n">
        <f>FinalFeedback!C7</f>
        <v>0</v>
      </c>
      <c r="C7" s="129" t="n">
        <f>FinalFeedback!F7</f>
        <v>0</v>
      </c>
      <c r="D7" s="129" t="n">
        <f>FinalFeedback!G7</f>
        <v>0</v>
      </c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129" t="str">
        <f>IF(AND(S7&lt;&gt;"",T7&lt;&gt;""),IF(S7=T7,"一致","分歧"),"")</f>
      </c>
      <c r="V7" s="243"/>
    </row>
    <row r="8">
      <c r="A8" s="90" t="inlineStr">
        <is>
          <t>P004</t>
        </is>
      </c>
      <c r="B8" s="129" t="n">
        <f>FinalFeedback!C8</f>
        <v>0</v>
      </c>
      <c r="C8" s="129" t="n">
        <f>FinalFeedback!F8</f>
        <v>0</v>
      </c>
      <c r="D8" s="129" t="n">
        <f>FinalFeedback!G8</f>
        <v>0</v>
      </c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129" t="str">
        <f>IF(AND(S8&lt;&gt;"",T8&lt;&gt;""),IF(S8=T8,"一致","分歧"),"")</f>
      </c>
      <c r="V8" s="243"/>
    </row>
    <row r="9">
      <c r="A9" s="90" t="inlineStr">
        <is>
          <t>P005</t>
        </is>
      </c>
      <c r="B9" s="129" t="n">
        <f>FinalFeedback!C9</f>
        <v>0</v>
      </c>
      <c r="C9" s="129" t="n">
        <f>FinalFeedback!F9</f>
        <v>0</v>
      </c>
      <c r="D9" s="129" t="n">
        <f>FinalFeedback!G9</f>
        <v>0</v>
      </c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129" t="str">
        <f>IF(AND(S9&lt;&gt;"",T9&lt;&gt;""),IF(S9=T9,"一致","分歧"),"")</f>
      </c>
      <c r="V9" s="243"/>
    </row>
    <row r="10">
      <c r="A10" s="90" t="inlineStr">
        <is>
          <t>P006</t>
        </is>
      </c>
      <c r="B10" s="129" t="n">
        <f>FinalFeedback!C10</f>
        <v>0</v>
      </c>
      <c r="C10" s="129" t="n">
        <f>FinalFeedback!F10</f>
        <v>0</v>
      </c>
      <c r="D10" s="129" t="n">
        <f>FinalFeedback!G10</f>
        <v>0</v>
      </c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129" t="str">
        <f>IF(AND(S10&lt;&gt;"",T10&lt;&gt;""),IF(S10=T10,"一致","分歧"),"")</f>
      </c>
      <c r="V10" s="243"/>
    </row>
    <row r="11">
      <c r="A11" s="90" t="inlineStr">
        <is>
          <t>P007</t>
        </is>
      </c>
      <c r="B11" s="129" t="n">
        <f>FinalFeedback!C11</f>
        <v>0</v>
      </c>
      <c r="C11" s="129" t="n">
        <f>FinalFeedback!F11</f>
        <v>0</v>
      </c>
      <c r="D11" s="129" t="n">
        <f>FinalFeedback!G11</f>
        <v>0</v>
      </c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129" t="str">
        <f>IF(AND(S11&lt;&gt;"",T11&lt;&gt;""),IF(S11=T11,"一致","分歧"),"")</f>
      </c>
      <c r="V11" s="243"/>
    </row>
    <row r="12">
      <c r="A12" s="90" t="inlineStr">
        <is>
          <t>P008</t>
        </is>
      </c>
      <c r="B12" s="129" t="n">
        <f>FinalFeedback!C12</f>
        <v>0</v>
      </c>
      <c r="C12" s="129" t="n">
        <f>FinalFeedback!F12</f>
        <v>0</v>
      </c>
      <c r="D12" s="129" t="n">
        <f>FinalFeedback!G12</f>
        <v>0</v>
      </c>
      <c r="E12" s="215"/>
      <c r="F12" s="215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129" t="str">
        <f>IF(AND(S12&lt;&gt;"",T12&lt;&gt;""),IF(S12=T12,"一致","分歧"),"")</f>
      </c>
      <c r="V12" s="243"/>
    </row>
    <row r="13">
      <c r="A13" s="90" t="inlineStr">
        <is>
          <t>P009</t>
        </is>
      </c>
      <c r="B13" s="129" t="n">
        <f>FinalFeedback!C13</f>
        <v>0</v>
      </c>
      <c r="C13" s="129" t="n">
        <f>FinalFeedback!F13</f>
        <v>0</v>
      </c>
      <c r="D13" s="129" t="n">
        <f>FinalFeedback!G13</f>
        <v>0</v>
      </c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129" t="str">
        <f>IF(AND(S13&lt;&gt;"",T13&lt;&gt;""),IF(S13=T13,"一致","分歧"),"")</f>
      </c>
      <c r="V13" s="243"/>
    </row>
    <row r="14">
      <c r="A14" s="90" t="inlineStr">
        <is>
          <t>P010</t>
        </is>
      </c>
      <c r="B14" s="129" t="n">
        <f>FinalFeedback!C14</f>
        <v>0</v>
      </c>
      <c r="C14" s="129" t="n">
        <f>FinalFeedback!F14</f>
        <v>0</v>
      </c>
      <c r="D14" s="129" t="n">
        <f>FinalFeedback!G14</f>
        <v>0</v>
      </c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129" t="str">
        <f>IF(AND(S14&lt;&gt;"",T14&lt;&gt;""),IF(S14=T14,"一致","分歧"),"")</f>
      </c>
      <c r="V14" s="243"/>
    </row>
    <row r="15">
      <c r="A15" s="90" t="inlineStr">
        <is>
          <t>P011</t>
        </is>
      </c>
      <c r="B15" s="129" t="n">
        <f>FinalFeedback!C15</f>
        <v>0</v>
      </c>
      <c r="C15" s="129" t="n">
        <f>FinalFeedback!F15</f>
        <v>0</v>
      </c>
      <c r="D15" s="129" t="n">
        <f>FinalFeedback!G15</f>
        <v>0</v>
      </c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129" t="str">
        <f>IF(AND(S15&lt;&gt;"",T15&lt;&gt;""),IF(S15=T15,"一致","分歧"),"")</f>
      </c>
      <c r="V15" s="243"/>
    </row>
    <row r="16">
      <c r="A16" s="90" t="inlineStr">
        <is>
          <t>P012</t>
        </is>
      </c>
      <c r="B16" s="129" t="n">
        <f>FinalFeedback!C16</f>
        <v>0</v>
      </c>
      <c r="C16" s="129" t="n">
        <f>FinalFeedback!F16</f>
        <v>0</v>
      </c>
      <c r="D16" s="129" t="n">
        <f>FinalFeedback!G16</f>
        <v>0</v>
      </c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129" t="str">
        <f>IF(AND(S16&lt;&gt;"",T16&lt;&gt;""),IF(S16=T16,"一致","分歧"),"")</f>
      </c>
      <c r="V16" s="243"/>
    </row>
    <row r="17">
      <c r="A17" s="90" t="inlineStr">
        <is>
          <t>P013</t>
        </is>
      </c>
      <c r="B17" s="129" t="n">
        <f>FinalFeedback!C17</f>
        <v>0</v>
      </c>
      <c r="C17" s="129" t="n">
        <f>FinalFeedback!F17</f>
        <v>0</v>
      </c>
      <c r="D17" s="129" t="n">
        <f>FinalFeedback!G17</f>
        <v>0</v>
      </c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129" t="str">
        <f>IF(AND(S17&lt;&gt;"",T17&lt;&gt;""),IF(S17=T17,"一致","分歧"),"")</f>
      </c>
      <c r="V17" s="243"/>
    </row>
    <row r="18">
      <c r="A18" s="90" t="inlineStr">
        <is>
          <t>P014</t>
        </is>
      </c>
      <c r="B18" s="129" t="n">
        <f>FinalFeedback!C18</f>
        <v>0</v>
      </c>
      <c r="C18" s="129" t="n">
        <f>FinalFeedback!F18</f>
        <v>0</v>
      </c>
      <c r="D18" s="129" t="n">
        <f>FinalFeedback!G18</f>
        <v>0</v>
      </c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129" t="str">
        <f>IF(AND(S18&lt;&gt;"",T18&lt;&gt;""),IF(S18=T18,"一致","分歧"),"")</f>
      </c>
      <c r="V18" s="243"/>
    </row>
    <row r="19">
      <c r="A19" s="90" t="inlineStr">
        <is>
          <t>P015</t>
        </is>
      </c>
      <c r="B19" s="129" t="n">
        <f>FinalFeedback!C19</f>
        <v>0</v>
      </c>
      <c r="C19" s="129" t="n">
        <f>FinalFeedback!F19</f>
        <v>0</v>
      </c>
      <c r="D19" s="129" t="n">
        <f>FinalFeedback!G19</f>
        <v>0</v>
      </c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129" t="str">
        <f>IF(AND(S19&lt;&gt;"",T19&lt;&gt;""),IF(S19=T19,"一致","分歧"),"")</f>
      </c>
      <c r="V19" s="243"/>
    </row>
    <row r="20">
      <c r="A20" s="90" t="inlineStr">
        <is>
          <t>P016</t>
        </is>
      </c>
      <c r="B20" s="129" t="n">
        <f>FinalFeedback!C20</f>
        <v>0</v>
      </c>
      <c r="C20" s="129" t="n">
        <f>FinalFeedback!F20</f>
        <v>0</v>
      </c>
      <c r="D20" s="129" t="n">
        <f>FinalFeedback!G20</f>
        <v>0</v>
      </c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129" t="str">
        <f>IF(AND(S20&lt;&gt;"",T20&lt;&gt;""),IF(S20=T20,"一致","分歧"),"")</f>
      </c>
      <c r="V20" s="243"/>
    </row>
    <row r="21">
      <c r="A21" s="90" t="inlineStr">
        <is>
          <t>P017</t>
        </is>
      </c>
      <c r="B21" s="129" t="n">
        <f>FinalFeedback!C21</f>
        <v>0</v>
      </c>
      <c r="C21" s="129" t="n">
        <f>FinalFeedback!F21</f>
        <v>0</v>
      </c>
      <c r="D21" s="129" t="n">
        <f>FinalFeedback!G21</f>
        <v>0</v>
      </c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129" t="str">
        <f>IF(AND(S21&lt;&gt;"",T21&lt;&gt;""),IF(S21=T21,"一致","分歧"),"")</f>
      </c>
      <c r="V21" s="243"/>
    </row>
    <row r="22">
      <c r="A22" s="90" t="inlineStr">
        <is>
          <t>P018</t>
        </is>
      </c>
      <c r="B22" s="129" t="n">
        <f>FinalFeedback!C22</f>
        <v>0</v>
      </c>
      <c r="C22" s="129" t="n">
        <f>FinalFeedback!F22</f>
        <v>0</v>
      </c>
      <c r="D22" s="129" t="n">
        <f>FinalFeedback!G22</f>
        <v>0</v>
      </c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129" t="str">
        <f>IF(AND(S22&lt;&gt;"",T22&lt;&gt;""),IF(S22=T22,"一致","分歧"),"")</f>
      </c>
      <c r="V22" s="243"/>
    </row>
    <row r="23">
      <c r="A23" s="90" t="inlineStr">
        <is>
          <t>P019</t>
        </is>
      </c>
      <c r="B23" s="129" t="n">
        <f>FinalFeedback!C23</f>
        <v>0</v>
      </c>
      <c r="C23" s="129" t="n">
        <f>FinalFeedback!F23</f>
        <v>0</v>
      </c>
      <c r="D23" s="129" t="n">
        <f>FinalFeedback!G23</f>
        <v>0</v>
      </c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129" t="str">
        <f>IF(AND(S23&lt;&gt;"",T23&lt;&gt;""),IF(S23=T23,"一致","分歧"),"")</f>
      </c>
      <c r="V23" s="243"/>
    </row>
    <row r="24">
      <c r="A24" s="90" t="inlineStr">
        <is>
          <t>P020</t>
        </is>
      </c>
      <c r="B24" s="129" t="n">
        <f>FinalFeedback!C24</f>
        <v>0</v>
      </c>
      <c r="C24" s="129" t="n">
        <f>FinalFeedback!F24</f>
        <v>0</v>
      </c>
      <c r="D24" s="129" t="n">
        <f>FinalFeedback!G24</f>
        <v>0</v>
      </c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129" t="str">
        <f>IF(AND(S24&lt;&gt;"",T24&lt;&gt;""),IF(S24=T24,"一致","分歧"),"")</f>
      </c>
      <c r="V24" s="243"/>
    </row>
    <row r="25">
      <c r="A25" s="90" t="inlineStr">
        <is>
          <t>P021</t>
        </is>
      </c>
      <c r="B25" s="129" t="n">
        <f>FinalFeedback!C25</f>
        <v>0</v>
      </c>
      <c r="C25" s="129" t="n">
        <f>FinalFeedback!F25</f>
        <v>0</v>
      </c>
      <c r="D25" s="129" t="n">
        <f>FinalFeedback!G25</f>
        <v>0</v>
      </c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129" t="str">
        <f>IF(AND(S25&lt;&gt;"",T25&lt;&gt;""),IF(S25=T25,"一致","分歧"),"")</f>
      </c>
      <c r="V25" s="243"/>
    </row>
    <row r="26">
      <c r="A26" s="90" t="inlineStr">
        <is>
          <t>P022</t>
        </is>
      </c>
      <c r="B26" s="129" t="n">
        <f>FinalFeedback!C26</f>
        <v>0</v>
      </c>
      <c r="C26" s="129" t="n">
        <f>FinalFeedback!F26</f>
        <v>0</v>
      </c>
      <c r="D26" s="129" t="n">
        <f>FinalFeedback!G26</f>
        <v>0</v>
      </c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129" t="str">
        <f>IF(AND(S26&lt;&gt;"",T26&lt;&gt;""),IF(S26=T26,"一致","分歧"),"")</f>
      </c>
      <c r="V26" s="243"/>
    </row>
    <row r="27">
      <c r="A27" s="90" t="inlineStr">
        <is>
          <t>P023</t>
        </is>
      </c>
      <c r="B27" s="129" t="n">
        <f>FinalFeedback!C27</f>
        <v>0</v>
      </c>
      <c r="C27" s="129" t="n">
        <f>FinalFeedback!F27</f>
        <v>0</v>
      </c>
      <c r="D27" s="129" t="n">
        <f>FinalFeedback!G27</f>
        <v>0</v>
      </c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129" t="str">
        <f>IF(AND(S27&lt;&gt;"",T27&lt;&gt;""),IF(S27=T27,"一致","分歧"),"")</f>
      </c>
      <c r="V27" s="243"/>
    </row>
    <row r="28">
      <c r="A28" s="91" t="inlineStr">
        <is>
          <t>P024</t>
        </is>
      </c>
      <c r="B28" s="131" t="n">
        <f>FinalFeedback!C28</f>
        <v>0</v>
      </c>
      <c r="C28" s="131" t="n">
        <f>FinalFeedback!F28</f>
        <v>0</v>
      </c>
      <c r="D28" s="131" t="n">
        <f>FinalFeedback!G28</f>
        <v>0</v>
      </c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131" t="str">
        <f>IF(AND(S28&lt;&gt;"",T28&lt;&gt;""),IF(S28=T28,"一致","分歧"),"")</f>
      </c>
      <c r="V28" s="244"/>
    </row>
  </sheetData>
  <mergeCells>
    <mergeCell ref="A1:V1"/>
    <mergeCell ref="A2:V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FormatPr defaultRowHeight="15"/>
  <cols>
    <col min="1" max="1" width="28" hidden="0" customWidth="1"/>
    <col min="2" max="2" width="20" hidden="0" customWidth="1"/>
    <col min="3" max="3" width="20" hidden="0" customWidth="1"/>
    <col min="4" max="4" width="18" hidden="0" customWidth="1"/>
    <col min="5" max="5" width="18" hidden="0" customWidth="1"/>
    <col min="6" max="6" width="16" hidden="0" customWidth="1"/>
    <col min="7" max="7" width="16" hidden="0" customWidth="1"/>
    <col min="8" max="8" width="18" hidden="0" customWidth="1"/>
    <col min="9" max="9" width="18" hidden="0" customWidth="1"/>
    <col min="10" max="10" width="66" hidden="0" customWidth="1"/>
  </cols>
  <sheetData>
    <row r="1">
      <c r="A1" s="4" t="inlineStr">
        <is>
          <t>论文结果汇报表与文字回填区</t>
        </is>
      </c>
      <c r="B1" s="4"/>
      <c r="C1" s="4"/>
      <c r="D1" s="4"/>
      <c r="E1" s="4"/>
      <c r="F1" s="4"/>
      <c r="G1" s="4"/>
      <c r="H1" s="4"/>
      <c r="I1" s="4"/>
      <c r="J1" s="4"/>
    </row>
    <row r="2">
      <c r="A2" s="68" t="inlineStr">
        <is>
          <t>灰色单元格自动链接描述统计；橙色单元格从正式模型输出回填。本表用于生成论文表格，不应替代统计脚本和可复现分析文件。</t>
        </is>
      </c>
      <c r="B2" s="68"/>
      <c r="C2" s="68"/>
      <c r="D2" s="68"/>
      <c r="E2" s="68"/>
      <c r="F2" s="68"/>
      <c r="G2" s="68"/>
      <c r="H2" s="68"/>
      <c r="I2" s="68"/>
      <c r="J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68"/>
    </row>
    <row r="5">
      <c r="A5" s="26" t="inlineStr">
        <is>
          <t>样本与完成度</t>
        </is>
      </c>
      <c r="B5" s="27" t="inlineStr">
        <is>
          <t>值</t>
        </is>
      </c>
      <c r="C5" s="27" t="inlineStr">
        <is>
          <t>报告格式</t>
        </is>
      </c>
      <c r="D5" s="101" t="inlineStr">
        <is>
          <t>备注</t>
        </is>
      </c>
    </row>
    <row r="6">
      <c r="A6" s="90" t="inlineStr">
        <is>
          <t>计划样本</t>
        </is>
      </c>
      <c r="B6" s="129" t="n">
        <f>Dashboard!C4</f>
        <v>24</v>
      </c>
      <c r="C6" s="215" t="inlineStr">
        <is>
          <t>N = 24</t>
        </is>
      </c>
      <c r="D6" s="243" t="inlineStr">
        <is>
          <t/>
        </is>
      </c>
    </row>
    <row r="7">
      <c r="A7" s="90" t="inlineStr">
        <is>
          <t>纳入样本</t>
        </is>
      </c>
      <c r="B7" s="129" t="n">
        <f>Dashboard!C5</f>
        <v>24</v>
      </c>
      <c r="C7" s="215" t="inlineStr">
        <is>
          <t>N = [ ]</t>
        </is>
      </c>
      <c r="D7" s="243" t="inlineStr">
        <is>
          <t>按排除规则</t>
        </is>
      </c>
    </row>
    <row r="8">
      <c r="A8" s="90" t="inlineStr">
        <is>
          <t>年龄均值</t>
        </is>
      </c>
      <c r="B8" s="129" t="str">
        <f>IFERROR(AVERAGE(Participants!D5:D28),"")</f>
      </c>
      <c r="C8" s="215" t="inlineStr">
        <is>
          <t>M = [ ], SD = [ ]</t>
        </is>
      </c>
      <c r="D8" s="243" t="inlineStr">
        <is>
          <t>SD从分析脚本回填</t>
        </is>
      </c>
    </row>
    <row r="9">
      <c r="A9" s="90" t="inlineStr">
        <is>
          <t>女性人数</t>
        </is>
      </c>
      <c r="B9" s="129" t="n">
        <f>COUNTIF(Participants!E5:E28,"女")</f>
        <v>0</v>
      </c>
      <c r="C9" s="215" t="inlineStr">
        <is>
          <t>n = [ ]</t>
        </is>
      </c>
      <c r="D9" s="243" t="inlineStr">
        <is>
          <t/>
        </is>
      </c>
    </row>
    <row r="10">
      <c r="A10" s="90" t="inlineStr">
        <is>
          <t>男性人数</t>
        </is>
      </c>
      <c r="B10" s="129" t="n">
        <f>COUNTIF(Participants!E5:E28,"男")</f>
        <v>0</v>
      </c>
      <c r="C10" s="215" t="inlineStr">
        <is>
          <t>n = [ ]</t>
        </is>
      </c>
      <c r="D10" s="243" t="inlineStr">
        <is>
          <t/>
        </is>
      </c>
    </row>
    <row r="11">
      <c r="A11" s="91" t="inlineStr">
        <is>
          <t>完整区块</t>
        </is>
      </c>
      <c r="B11" s="131" t="n">
        <f>Dashboard!C7</f>
        <v>0</v>
      </c>
      <c r="C11" s="218" t="inlineStr">
        <is>
          <t>144 / 144</t>
        </is>
      </c>
      <c r="D11" s="244" t="inlineStr">
        <is>
          <t/>
        </is>
      </c>
    </row>
    <row r="14">
      <c r="A14" s="26" t="inlineStr">
        <is>
          <t>Outcome</t>
        </is>
      </c>
      <c r="B14" s="27" t="inlineStr">
        <is>
          <t>One-Euro M (SD)</t>
        </is>
      </c>
      <c r="C14" s="27" t="inlineStr">
        <is>
          <t>EgoAnchor M (SD)</t>
        </is>
      </c>
      <c r="D14" s="27" t="inlineStr">
        <is>
          <t>Estimate/OR</t>
        </is>
      </c>
      <c r="E14" s="27" t="inlineStr">
        <is>
          <t>95% CI</t>
        </is>
      </c>
      <c r="F14" s="27" t="inlineStr">
        <is>
          <t>p raw</t>
        </is>
      </c>
      <c r="G14" s="27" t="inlineStr">
        <is>
          <t>p Holm</t>
        </is>
      </c>
      <c r="H14" s="27" t="inlineStr">
        <is>
          <t>Effect size</t>
        </is>
      </c>
      <c r="I14" s="27" t="inlineStr">
        <is>
          <t>Direction</t>
        </is>
      </c>
      <c r="J14" s="101" t="inlineStr">
        <is>
          <t>Interpretation</t>
        </is>
      </c>
    </row>
    <row r="15">
      <c r="A15" s="90" t="inlineStr">
        <is>
          <t>Embedding Quality</t>
        </is>
      </c>
      <c r="B15" s="129" t="str">
        <f>IF(Analysis_Results!H5="","",TEXT(Analysis_Results!H5,"0.00")&amp;" ("&amp;TEXT(Analysis_Results!I5,"0.00")&amp;")")</f>
      </c>
      <c r="C15" s="129" t="str">
        <f>IF(Analysis_Results!L5="","",TEXT(Analysis_Results!L5,"0.00")&amp;" ("&amp;TEXT(Analysis_Results!M5,"0.00")&amp;")")</f>
      </c>
      <c r="D15" s="129" t="n">
        <f>Analysis_Results!R5</f>
        <v>0</v>
      </c>
      <c r="E15" s="129" t="n">
        <f>Analysis_Results!S5</f>
        <v>0</v>
      </c>
      <c r="F15" s="129" t="n">
        <f>Analysis_Results!T5</f>
        <v>0</v>
      </c>
      <c r="G15" s="129" t="n">
        <f>Analysis_Results!U5</f>
        <v>0</v>
      </c>
      <c r="H15" s="129" t="n">
        <f>Analysis_Results!V5</f>
        <v>0</v>
      </c>
      <c r="I15" s="129" t="n">
        <f>Analysis_Results!W5</f>
        <v>0</v>
      </c>
      <c r="J15" s="130" t="n">
        <f>Analysis_Results!X5</f>
        <v>0</v>
      </c>
    </row>
    <row r="16">
      <c r="A16" s="90" t="inlineStr">
        <is>
          <t>Interaction Quality</t>
        </is>
      </c>
      <c r="B16" s="129" t="str">
        <f>IF(Analysis_Results!H6="","",TEXT(Analysis_Results!H6,"0.00")&amp;" ("&amp;TEXT(Analysis_Results!I6,"0.00")&amp;")")</f>
      </c>
      <c r="C16" s="129" t="str">
        <f>IF(Analysis_Results!L6="","",TEXT(Analysis_Results!L6,"0.00")&amp;" ("&amp;TEXT(Analysis_Results!M6,"0.00")&amp;")")</f>
      </c>
      <c r="D16" s="129" t="n">
        <f>Analysis_Results!R6</f>
        <v>0</v>
      </c>
      <c r="E16" s="129" t="n">
        <f>Analysis_Results!S6</f>
        <v>0</v>
      </c>
      <c r="F16" s="129" t="n">
        <f>Analysis_Results!T6</f>
        <v>0</v>
      </c>
      <c r="G16" s="129" t="n">
        <f>Analysis_Results!U6</f>
        <v>0</v>
      </c>
      <c r="H16" s="129" t="n">
        <f>Analysis_Results!V6</f>
        <v>0</v>
      </c>
      <c r="I16" s="129" t="n">
        <f>Analysis_Results!W6</f>
        <v>0</v>
      </c>
      <c r="J16" s="130" t="n">
        <f>Analysis_Results!X6</f>
        <v>0</v>
      </c>
    </row>
    <row r="17">
      <c r="A17" s="91" t="inlineStr">
        <is>
          <t>S-TIAS Trust</t>
        </is>
      </c>
      <c r="B17" s="131" t="str">
        <f>IF(Analysis_Results!H7="","",TEXT(Analysis_Results!H7,"0.00")&amp;" ("&amp;TEXT(Analysis_Results!I7,"0.00")&amp;")")</f>
      </c>
      <c r="C17" s="131" t="str">
        <f>IF(Analysis_Results!L7="","",TEXT(Analysis_Results!L7,"0.00")&amp;" ("&amp;TEXT(Analysis_Results!M7,"0.00")&amp;")")</f>
      </c>
      <c r="D17" s="131" t="n">
        <f>Analysis_Results!R7</f>
        <v>0</v>
      </c>
      <c r="E17" s="131" t="n">
        <f>Analysis_Results!S7</f>
        <v>0</v>
      </c>
      <c r="F17" s="131" t="n">
        <f>Analysis_Results!T7</f>
        <v>0</v>
      </c>
      <c r="G17" s="131" t="n">
        <f>Analysis_Results!U7</f>
        <v>0</v>
      </c>
      <c r="H17" s="131" t="n">
        <f>Analysis_Results!V7</f>
        <v>0</v>
      </c>
      <c r="I17" s="131" t="n">
        <f>Analysis_Results!W7</f>
        <v>0</v>
      </c>
      <c r="J17" s="132" t="n">
        <f>Analysis_Results!X7</f>
        <v>0</v>
      </c>
    </row>
    <row r="20">
      <c r="A20" s="26" t="inlineStr">
        <is>
          <t>Diagnostic</t>
        </is>
      </c>
      <c r="B20" s="27" t="inlineStr">
        <is>
          <t>One-Euro M (SD)</t>
        </is>
      </c>
      <c r="C20" s="27" t="inlineStr">
        <is>
          <t>EgoAnchor M (SD)</t>
        </is>
      </c>
      <c r="D20" s="27" t="inlineStr">
        <is>
          <t>OR/Estimate</t>
        </is>
      </c>
      <c r="E20" s="27" t="inlineStr">
        <is>
          <t>95% CI</t>
        </is>
      </c>
      <c r="F20" s="27" t="inlineStr">
        <is>
          <t>p raw</t>
        </is>
      </c>
      <c r="G20" s="27" t="inlineStr">
        <is>
          <t>p adjusted</t>
        </is>
      </c>
      <c r="H20" s="27" t="inlineStr">
        <is>
          <t>Effect size</t>
        </is>
      </c>
      <c r="I20" s="27" t="inlineStr">
        <is>
          <t>Direction</t>
        </is>
      </c>
      <c r="J20" s="101" t="inlineStr">
        <is>
          <t>Interpretation</t>
        </is>
      </c>
    </row>
    <row r="21">
      <c r="A21" s="90" t="inlineStr">
        <is>
          <t>Static stability</t>
        </is>
      </c>
      <c r="B21" s="129" t="str">
        <f>IF(Analysis_Results!H8="","",TEXT(Analysis_Results!H8,"0.00")&amp;" ("&amp;TEXT(Analysis_Results!I8,"0.00")&amp;")")</f>
      </c>
      <c r="C21" s="129" t="str">
        <f>IF(Analysis_Results!L8="","",TEXT(Analysis_Results!L8,"0.00")&amp;" ("&amp;TEXT(Analysis_Results!M8,"0.00")&amp;")")</f>
      </c>
      <c r="D21" s="129" t="n">
        <f>Analysis_Results!R8</f>
        <v>0</v>
      </c>
      <c r="E21" s="129" t="n">
        <f>Analysis_Results!S8</f>
        <v>0</v>
      </c>
      <c r="F21" s="129" t="n">
        <f>Analysis_Results!T8</f>
        <v>0</v>
      </c>
      <c r="G21" s="129" t="n">
        <f>Analysis_Results!U8</f>
        <v>0</v>
      </c>
      <c r="H21" s="129" t="n">
        <f>Analysis_Results!V8</f>
        <v>0</v>
      </c>
      <c r="I21" s="129" t="n">
        <f>Analysis_Results!W8</f>
        <v>0</v>
      </c>
      <c r="J21" s="130" t="n">
        <f>Analysis_Results!X8</f>
        <v>0</v>
      </c>
    </row>
    <row r="22">
      <c r="A22" s="90" t="inlineStr">
        <is>
          <t>Motion attachment</t>
        </is>
      </c>
      <c r="B22" s="129" t="str">
        <f>IF(Analysis_Results!H9="","",TEXT(Analysis_Results!H9,"0.00")&amp;" ("&amp;TEXT(Analysis_Results!I9,"0.00")&amp;")")</f>
      </c>
      <c r="C22" s="129" t="str">
        <f>IF(Analysis_Results!L9="","",TEXT(Analysis_Results!L9,"0.00")&amp;" ("&amp;TEXT(Analysis_Results!M9,"0.00")&amp;")")</f>
      </c>
      <c r="D22" s="129" t="n">
        <f>Analysis_Results!R9</f>
        <v>0</v>
      </c>
      <c r="E22" s="129" t="n">
        <f>Analysis_Results!S9</f>
        <v>0</v>
      </c>
      <c r="F22" s="129" t="n">
        <f>Analysis_Results!T9</f>
        <v>0</v>
      </c>
      <c r="G22" s="129" t="n">
        <f>Analysis_Results!U9</f>
        <v>0</v>
      </c>
      <c r="H22" s="129" t="n">
        <f>Analysis_Results!V9</f>
        <v>0</v>
      </c>
      <c r="I22" s="129" t="n">
        <f>Analysis_Results!W9</f>
        <v>0</v>
      </c>
      <c r="J22" s="130" t="n">
        <f>Analysis_Results!X9</f>
        <v>0</v>
      </c>
    </row>
    <row r="23">
      <c r="A23" s="91" t="inlineStr">
        <is>
          <t>Recovery consistency</t>
        </is>
      </c>
      <c r="B23" s="131" t="str">
        <f>IF(Analysis_Results!H10="","",TEXT(Analysis_Results!H10,"0.00")&amp;" ("&amp;TEXT(Analysis_Results!I10,"0.00")&amp;")")</f>
      </c>
      <c r="C23" s="131" t="str">
        <f>IF(Analysis_Results!L10="","",TEXT(Analysis_Results!L10,"0.00")&amp;" ("&amp;TEXT(Analysis_Results!M10,"0.00")&amp;")")</f>
      </c>
      <c r="D23" s="131" t="n">
        <f>Analysis_Results!R10</f>
        <v>0</v>
      </c>
      <c r="E23" s="131" t="n">
        <f>Analysis_Results!S10</f>
        <v>0</v>
      </c>
      <c r="F23" s="131" t="n">
        <f>Analysis_Results!T10</f>
        <v>0</v>
      </c>
      <c r="G23" s="131" t="n">
        <f>Analysis_Results!U10</f>
        <v>0</v>
      </c>
      <c r="H23" s="131" t="n">
        <f>Analysis_Results!V10</f>
        <v>0</v>
      </c>
      <c r="I23" s="131" t="n">
        <f>Analysis_Results!W10</f>
        <v>0</v>
      </c>
      <c r="J23" s="132" t="n">
        <f>Analysis_Results!X10</f>
        <v>0</v>
      </c>
    </row>
    <row r="26">
      <c r="A26" s="26" t="inlineStr">
        <is>
          <t>Final preference</t>
        </is>
      </c>
      <c r="B26" s="27" t="inlineStr">
        <is>
          <t>Count</t>
        </is>
      </c>
      <c r="C26" s="27" t="inlineStr">
        <is>
          <t>Percent</t>
        </is>
      </c>
      <c r="D26" s="101" t="inlineStr">
        <is>
          <t>Report</t>
        </is>
      </c>
      <c r="F26" s="20" t="inlineStr">
        <is>
          <t>论文结果段落草稿（手工填写）</t>
        </is>
      </c>
      <c r="G26" s="20"/>
      <c r="H26" s="20"/>
      <c r="I26" s="20"/>
      <c r="J26" s="20"/>
    </row>
    <row r="27">
      <c r="A27" s="90" t="inlineStr">
        <is>
          <t>EgoAnchor</t>
        </is>
      </c>
      <c r="B27" s="129" t="n">
        <f>COUNTIF(FinalFeedback!C5:C28,"EgoAnchor")</f>
        <v>0</v>
      </c>
      <c r="C27" s="387" t="str">
        <f>IF(SUM($B$27:$B$29)=0,"",B27/SUM($B$27:$B$29))</f>
      </c>
      <c r="D27" s="130" t="str">
        <f>A27&amp;": "&amp;B27&amp;" ("&amp;TEXT(C27,"0.0%")&amp;")"</f>
        <v>EgoAnchor: 0 (0.0%)</v>
      </c>
      <c r="F27" s="215" t="inlineStr">
        <is>
          <t>示例结构：The mixed-effects analysis showed [a significant/no] effect of Method on [outcome], [estimate/OR] = [ ], 95% CI [ ], p_adj = [ ]. Ratings were [higher/comparable] for EgoAnchor (M = [ ], SD = [ ]) than for One-Euro (M = [ ], SD = [ ]). The Method × Object interaction was [ ], indicating [consistent/object-dependent] effects across the three tested objects.</t>
        </is>
      </c>
      <c r="G27" s="215"/>
      <c r="H27" s="215"/>
      <c r="I27" s="215"/>
      <c r="J27" s="215"/>
    </row>
    <row r="28">
      <c r="A28" s="90" t="inlineStr">
        <is>
          <t>One-Euro</t>
        </is>
      </c>
      <c r="B28" s="129" t="n">
        <f>COUNTIF(FinalFeedback!C5:C28,"One-Euro")</f>
        <v>0</v>
      </c>
      <c r="C28" s="387" t="str">
        <f>IF(SUM($B$27:$B$29)=0,"",B28/SUM($B$27:$B$29))</f>
      </c>
      <c r="D28" s="130" t="str">
        <f>A28&amp;": "&amp;B28&amp;" ("&amp;TEXT(C28,"0.0%")&amp;")"</f>
        <v>One-Euro: 0 (0.0%)</v>
      </c>
      <c r="F28" s="215"/>
      <c r="G28" s="215"/>
      <c r="H28" s="215"/>
      <c r="I28" s="215"/>
      <c r="J28" s="215"/>
    </row>
    <row r="29">
      <c r="A29" s="91" t="inlineStr">
        <is>
          <t>No clear preference</t>
        </is>
      </c>
      <c r="B29" s="131" t="n">
        <f>COUNTIF(FinalFeedback!C5:C28,"无明显偏好")</f>
        <v>0</v>
      </c>
      <c r="C29" s="388" t="str">
        <f>IF(SUM($B$27:$B$29)=0,"",B29/SUM($B$27:$B$29))</f>
      </c>
      <c r="D29" s="132" t="str">
        <f>A29&amp;": "&amp;B29&amp;" ("&amp;TEXT(C29,"0.0%")&amp;")"</f>
        <v>No clear preference: 0 (0.0%)</v>
      </c>
      <c r="F29" s="215"/>
      <c r="G29" s="215"/>
      <c r="H29" s="215"/>
      <c r="I29" s="215"/>
      <c r="J29" s="215"/>
    </row>
    <row r="30">
      <c r="F30" s="215"/>
      <c r="G30" s="215"/>
      <c r="H30" s="215"/>
      <c r="I30" s="215"/>
      <c r="J30" s="215"/>
    </row>
    <row r="31">
      <c r="F31" s="215"/>
      <c r="G31" s="215"/>
      <c r="H31" s="215"/>
      <c r="I31" s="215"/>
      <c r="J31" s="215"/>
    </row>
  </sheetData>
  <mergeCells>
    <mergeCell ref="A1:J1"/>
    <mergeCell ref="A2:J3"/>
    <mergeCell ref="F26:J26"/>
    <mergeCell ref="F27:J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Workbook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Dashboard</vt:lpstr>
      <vt:lpstr>Questionnaire_Items</vt:lpstr>
      <vt:lpstr>Participants</vt:lpstr>
      <vt:lpstr>BlockSchedule</vt:lpstr>
      <vt:lpstr>TaskRatings</vt:lpstr>
      <vt:lpstr>BlockRatings_AQ</vt:lpstr>
      <vt:lpstr>MethodRatings</vt:lpstr>
      <vt:lpstr>FinalFeedback</vt:lpstr>
      <vt:lpstr>RuntimeAudit</vt:lpstr>
      <vt:lpstr>ParticipantConditionSummary</vt:lpstr>
      <vt:lpstr>PairedDifferences</vt:lpstr>
      <vt:lpstr>Reliability</vt:lpstr>
      <vt:lpstr>Analysis_Results</vt:lpstr>
      <vt:lpstr>Analysis_ByObject</vt:lpstr>
      <vt:lpstr>QualitativeCoding</vt:lpstr>
      <vt:lpstr>Report_Tables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EgoAnchor Experiment 3 Data Collection Workbook v5</dc:title>
  <dc:subject>24-participant MR anchoring perception study</dc:subject>
  <dc:creator>OpenAI</dc:creator>
  <cp:lastModifiedBy>OpenAI</cp:lastModifiedBy>
  <dc:description>Detailed data collection, scoring, analysis and reporting workbook for EgoAnchor Experiment 3.</dc:description>
  <dcterms:created xsi:type="dcterms:W3CDTF">2026-07-26T13:14:17Z</dcterms:created>
  <dcterms:modified xsi:type="dcterms:W3CDTF">2026-07-26T13:14:17Z</dcterms:modified>
</cp:coreProperties>
</file>