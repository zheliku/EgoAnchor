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328"/>
  <workbookPr defaultThemeVersion="166925"/>
  <bookViews>
    <workbookView xWindow="0" yWindow="0" windowWidth="24000" windowHeight="12000" activeTab="0"/>
  </bookViews>
  <sheets>
    <sheet name="README" sheetId="1" r:id="rId1"/>
    <sheet name="Protocol" sheetId="2" r:id="rId2"/>
    <sheet name="Questionnaire" sheetId="3" r:id="rId3"/>
    <sheet name="ScaleAnchors" sheetId="4" r:id="rId4"/>
    <sheet name="BalanceSchedule" sheetId="5" r:id="rId5"/>
    <sheet name="Participants" sheetId="6" r:id="rId6"/>
    <sheet name="ConditionRatings" sheetId="7" r:id="rId7"/>
    <sheet name="FinalFeedback" sheetId="8" r:id="rId8"/>
    <sheet name="AuditLog" sheetId="9" r:id="rId9"/>
    <sheet name="DataChecks" sheetId="10" r:id="rId10"/>
    <sheet name="Descriptives" sheetId="11" r:id="rId11"/>
    <sheet name="AnalysisPlan" sheetId="12" r:id="rId12"/>
    <sheet name="RCode" sheetId="13" r:id="rId13"/>
    <sheet name="ResultsTemplate" sheetId="14" r:id="rId14"/>
    <sheet name="DataDictionary" sheetId="15" r:id="rId15"/>
  </sheet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200" formatCode="0"/>
    <numFmt numFmtId="201" formatCode="0.00"/>
  </numFmts>
  <fonts count="7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sz val="11"/>
      <color rgb="FF7F6000"/>
      <name val="Carlito"/>
    </font>
    <font>
      <b/>
      <sz val="11"/>
      <color rgb="FF1F4E78"/>
      <name val="Carlito"/>
    </font>
    <font>
      <sz val="11"/>
      <color rgb="FF375623"/>
      <name val="Carlito"/>
    </font>
    <font>
      <sz val="10"/>
      <name val="Courier New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FFDF2"/>
      </patternFill>
    </fill>
    <fill>
      <patternFill patternType="solid">
        <fgColor rgb="FFE2F0D9"/>
      </patternFill>
    </fill>
  </fills>
  <borders count="18">
    <border/>
    <border/>
    <border>
      <left style="thin">
        <color rgb="FFD9E1F2"/>
      </left>
      <top style="thin">
        <color rgb="FFD9E1F2"/>
      </top>
    </border>
    <border>
      <top style="thin">
        <color rgb="FFD9E1F2"/>
      </top>
    </border>
    <border>
      <right style="thin">
        <color rgb="FFD9E1F2"/>
      </right>
      <top style="thin">
        <color rgb="FFD9E1F2"/>
      </top>
    </border>
    <border>
      <left style="thin">
        <color rgb="FFD9E1F2"/>
      </left>
    </border>
    <border>
      <right style="thin">
        <color rgb="FFD9E1F2"/>
      </right>
    </border>
    <border>
      <left style="thin">
        <color rgb="FFD9E1F2"/>
      </left>
      <bottom style="thin">
        <color rgb="FFD9E1F2"/>
      </bottom>
    </border>
    <border>
      <bottom style="thin">
        <color rgb="FFD9E1F2"/>
      </bottom>
    </border>
    <border>
      <right style="thin">
        <color rgb="FFD9E1F2"/>
      </right>
      <bottom style="thin">
        <color rgb="FFD9E1F2"/>
      </bottom>
    </border>
    <border>
      <left style="thin">
        <color rgb="FFD9E1F2"/>
      </left>
      <top style="thin">
        <color rgb="FFD9E1F2"/>
      </top>
    </border>
    <border>
      <top style="thin">
        <color rgb="FFD9E1F2"/>
      </top>
    </border>
    <border>
      <right style="thin">
        <color rgb="FFD9E1F2"/>
      </right>
      <top style="thin">
        <color rgb="FFD9E1F2"/>
      </top>
    </border>
    <border>
      <left style="thin">
        <color rgb="FFD9E1F2"/>
      </left>
    </border>
    <border>
      <right style="thin">
        <color rgb="FFD9E1F2"/>
      </right>
    </border>
    <border>
      <left style="thin">
        <color rgb="FFD9E1F2"/>
      </left>
      <bottom style="thin">
        <color rgb="FFD9E1F2"/>
      </bottom>
    </border>
    <border>
      <bottom style="thin">
        <color rgb="FFD9E1F2"/>
      </bottom>
    </border>
    <border>
      <right style="thin">
        <color rgb="FFD9E1F2"/>
      </right>
      <bottom style="thin">
        <color rgb="FFD9E1F2"/>
      </bottom>
    </border>
  </borders>
  <cellStyleXfs count="1">
    <xf numFmtId="0" fontId="0" fillId="0" borderId="0"/>
  </cellStyleXfs>
  <cellXfs count="119">
    <xf numFmtId="0" fontId="0" fillId="0" borderId="0" xfId="0"/>
    <xf numFmtId="0" fontId="0" fillId="0" borderId="1" xfId="0" applyNumberFormat="1" applyFont="1" applyFill="1" applyBorder="1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2" borderId="1" xfId="0" applyNumberFormat="1" applyFont="1" applyFill="1" applyBorder="1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0" fillId="3" borderId="1" xfId="0" applyNumberFormat="1" applyFont="1" applyFill="1" applyBorder="1"/>
    <xf numFmtId="0" fontId="2" fillId="3" borderId="1" xfId="0" applyNumberFormat="1" applyFont="1" applyFill="1" applyBorder="1"/>
    <xf numFmtId="0" fontId="2" fillId="3" borderId="1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horizont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vertical="top" wrapText="1"/>
    </xf>
    <xf numFmtId="0" fontId="0" fillId="4" borderId="1" xfId="0" applyNumberFormat="1" applyFont="1" applyFill="1" applyBorder="1"/>
    <xf numFmtId="0" fontId="3" fillId="4" borderId="1" xfId="0" applyNumberFormat="1" applyFont="1" applyFill="1" applyBorder="1"/>
    <xf numFmtId="0" fontId="3" fillId="4" borderId="1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0" fontId="0" fillId="0" borderId="9" xfId="0" applyNumberFormat="1" applyFont="1" applyFill="1" applyBorder="1" applyAlignment="1">
      <alignment wrapText="1"/>
    </xf>
    <xf numFmtId="0" fontId="2" fillId="3" borderId="10" xfId="0" applyNumberFormat="1" applyFont="1" applyFill="1" applyBorder="1" applyAlignment="1">
      <alignment horizontal="center" vertical="center" wrapText="1"/>
    </xf>
    <xf numFmtId="0" fontId="2" fillId="3" borderId="11" xfId="0" applyNumberFormat="1" applyFont="1" applyFill="1" applyBorder="1" applyAlignment="1">
      <alignment horizontal="center" vertical="center" wrapText="1"/>
    </xf>
    <xf numFmtId="0" fontId="2" fillId="3" borderId="12" xfId="0" applyNumberFormat="1" applyFont="1" applyFill="1" applyBorder="1" applyAlignment="1">
      <alignment horizontal="center" vertical="center" wrapText="1"/>
    </xf>
    <xf numFmtId="0" fontId="0" fillId="0" borderId="13" xfId="0" applyNumberFormat="1" applyFont="1" applyFill="1" applyBorder="1" applyAlignment="1">
      <alignment wrapText="1"/>
    </xf>
    <xf numFmtId="0" fontId="0" fillId="0" borderId="14" xfId="0" applyNumberFormat="1" applyFont="1" applyFill="1" applyBorder="1" applyAlignment="1">
      <alignment wrapText="1"/>
    </xf>
    <xf numFmtId="0" fontId="0" fillId="0" borderId="15" xfId="0" applyNumberFormat="1" applyFont="1" applyFill="1" applyBorder="1" applyAlignment="1">
      <alignment wrapText="1"/>
    </xf>
    <xf numFmtId="0" fontId="0" fillId="0" borderId="16" xfId="0" applyNumberFormat="1" applyFont="1" applyFill="1" applyBorder="1" applyAlignment="1">
      <alignment wrapText="1"/>
    </xf>
    <xf numFmtId="0" fontId="0" fillId="0" borderId="17" xfId="0" applyNumberFormat="1" applyFont="1" applyFill="1" applyBorder="1" applyAlignment="1">
      <alignment wrapText="1"/>
    </xf>
    <xf numFmtId="0" fontId="0" fillId="5" borderId="0" xfId="0" applyNumberFormat="1" applyFont="1" applyFill="1" applyBorder="1"/>
    <xf numFmtId="0" fontId="4" fillId="5" borderId="0" xfId="0" applyNumberFormat="1" applyFont="1" applyFill="1" applyBorder="1"/>
    <xf numFmtId="0" fontId="4" fillId="5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horizontal="center" wrapText="1"/>
    </xf>
    <xf numFmtId="0" fontId="4" fillId="5" borderId="0" xfId="0" applyNumberFormat="1" applyFont="1" applyFill="1" applyBorder="1" applyAlignment="1">
      <alignment horizontal="center" vertical="center" wrapText="1"/>
    </xf>
    <xf numFmtId="0" fontId="0" fillId="5" borderId="1" xfId="0" applyNumberFormat="1" applyFont="1" applyFill="1" applyBorder="1"/>
    <xf numFmtId="0" fontId="4" fillId="5" borderId="1" xfId="0" applyNumberFormat="1" applyFont="1" applyFill="1" applyBorder="1"/>
    <xf numFmtId="0" fontId="4" fillId="5" borderId="1" xfId="0" applyNumberFormat="1" applyFont="1" applyFill="1" applyBorder="1" applyAlignment="1">
      <alignment wrapText="1"/>
    </xf>
    <xf numFmtId="0" fontId="4" fillId="5" borderId="1" xfId="0" applyNumberFormat="1" applyFont="1" applyFill="1" applyBorder="1" applyAlignment="1">
      <alignment horizont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0" fontId="0" fillId="6" borderId="0" xfId="0" applyNumberFormat="1" applyFont="1" applyFill="1" applyBorder="1"/>
    <xf numFmtId="0" fontId="0" fillId="6" borderId="0" xfId="0" applyNumberFormat="1" applyFont="1" applyFill="1" applyBorder="1" applyAlignment="1">
      <alignment vertical="center"/>
    </xf>
    <xf numFmtId="0" fontId="0" fillId="6" borderId="1" xfId="0" applyNumberFormat="1" applyFont="1" applyFill="1" applyBorder="1"/>
    <xf numFmtId="0" fontId="0" fillId="6" borderId="1" xfId="0" applyNumberFormat="1" applyFont="1" applyFill="1" applyBorder="1" applyAlignment="1">
      <alignment vertical="center"/>
    </xf>
    <xf numFmtId="0" fontId="0" fillId="7" borderId="0" xfId="0" applyNumberFormat="1" applyFont="1" applyFill="1" applyBorder="1"/>
    <xf numFmtId="0" fontId="5" fillId="7" borderId="0" xfId="0" applyNumberFormat="1" applyFont="1" applyFill="1" applyBorder="1"/>
    <xf numFmtId="0" fontId="5" fillId="7" borderId="0" xfId="0" applyNumberFormat="1" applyFont="1" applyFill="1" applyBorder="1" applyAlignment="1">
      <alignment vertical="center"/>
    </xf>
    <xf numFmtId="0" fontId="0" fillId="7" borderId="1" xfId="0" applyNumberFormat="1" applyFont="1" applyFill="1" applyBorder="1"/>
    <xf numFmtId="0" fontId="5" fillId="7" borderId="1" xfId="0" applyNumberFormat="1" applyFont="1" applyFill="1" applyBorder="1"/>
    <xf numFmtId="0" fontId="5" fillId="7" borderId="1" xfId="0" applyNumberFormat="1" applyFont="1" applyFill="1" applyBorder="1" applyAlignment="1">
      <alignment vertical="center"/>
    </xf>
    <xf numFmtId="0" fontId="0" fillId="0" borderId="5" xfId="0" applyNumberFormat="1" applyFont="1" applyFill="1" applyBorder="1"/>
    <xf numFmtId="0" fontId="0" fillId="0" borderId="0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0" fillId="0" borderId="9" xfId="0" applyNumberFormat="1" applyFont="1" applyFill="1" applyBorder="1"/>
    <xf numFmtId="0" fontId="0" fillId="0" borderId="13" xfId="0" applyNumberFormat="1" applyFont="1" applyFill="1" applyBorder="1"/>
    <xf numFmtId="0" fontId="0" fillId="0" borderId="14" xfId="0" applyNumberFormat="1" applyFont="1" applyFill="1" applyBorder="1"/>
    <xf numFmtId="0" fontId="0" fillId="0" borderId="15" xfId="0" applyNumberFormat="1" applyFont="1" applyFill="1" applyBorder="1"/>
    <xf numFmtId="0" fontId="0" fillId="0" borderId="16" xfId="0" applyNumberFormat="1" applyFont="1" applyFill="1" applyBorder="1"/>
    <xf numFmtId="0" fontId="0" fillId="0" borderId="17" xfId="0" applyNumberFormat="1" applyFont="1" applyFill="1" applyBorder="1"/>
    <xf numFmtId="0" fontId="5" fillId="7" borderId="5" xfId="0" applyNumberFormat="1" applyFont="1" applyFill="1" applyBorder="1" applyAlignment="1">
      <alignment vertical="center"/>
    </xf>
    <xf numFmtId="0" fontId="0" fillId="6" borderId="6" xfId="0" applyNumberFormat="1" applyFont="1" applyFill="1" applyBorder="1" applyAlignment="1">
      <alignment vertical="center"/>
    </xf>
    <xf numFmtId="0" fontId="5" fillId="7" borderId="7" xfId="0" applyNumberFormat="1" applyFont="1" applyFill="1" applyBorder="1" applyAlignment="1">
      <alignment vertical="center"/>
    </xf>
    <xf numFmtId="0" fontId="5" fillId="7" borderId="8" xfId="0" applyNumberFormat="1" applyFont="1" applyFill="1" applyBorder="1" applyAlignment="1">
      <alignment vertical="center"/>
    </xf>
    <xf numFmtId="0" fontId="0" fillId="6" borderId="8" xfId="0" applyNumberFormat="1" applyFont="1" applyFill="1" applyBorder="1" applyAlignment="1">
      <alignment vertical="center"/>
    </xf>
    <xf numFmtId="0" fontId="0" fillId="6" borderId="9" xfId="0" applyNumberFormat="1" applyFont="1" applyFill="1" applyBorder="1" applyAlignment="1">
      <alignment vertical="center"/>
    </xf>
    <xf numFmtId="0" fontId="5" fillId="7" borderId="13" xfId="0" applyNumberFormat="1" applyFont="1" applyFill="1" applyBorder="1" applyAlignment="1">
      <alignment vertical="center"/>
    </xf>
    <xf numFmtId="0" fontId="0" fillId="6" borderId="14" xfId="0" applyNumberFormat="1" applyFont="1" applyFill="1" applyBorder="1" applyAlignment="1">
      <alignment vertical="center"/>
    </xf>
    <xf numFmtId="0" fontId="5" fillId="7" borderId="15" xfId="0" applyNumberFormat="1" applyFont="1" applyFill="1" applyBorder="1" applyAlignment="1">
      <alignment vertical="center"/>
    </xf>
    <xf numFmtId="0" fontId="5" fillId="7" borderId="16" xfId="0" applyNumberFormat="1" applyFont="1" applyFill="1" applyBorder="1" applyAlignment="1">
      <alignment vertical="center"/>
    </xf>
    <xf numFmtId="0" fontId="0" fillId="6" borderId="16" xfId="0" applyNumberFormat="1" applyFont="1" applyFill="1" applyBorder="1" applyAlignment="1">
      <alignment vertical="center"/>
    </xf>
    <xf numFmtId="0" fontId="0" fillId="6" borderId="17" xfId="0" applyNumberFormat="1" applyFont="1" applyFill="1" applyBorder="1" applyAlignment="1">
      <alignment vertical="center"/>
    </xf>
    <xf numFmtId="200" fontId="0" fillId="6" borderId="0" xfId="0" applyNumberFormat="1" applyFont="1" applyFill="1" applyBorder="1" applyAlignment="1">
      <alignment vertical="center"/>
    </xf>
    <xf numFmtId="200" fontId="0" fillId="6" borderId="1" xfId="0" applyNumberFormat="1" applyFont="1" applyFill="1" applyBorder="1" applyAlignment="1">
      <alignment vertical="center"/>
    </xf>
    <xf numFmtId="200" fontId="0" fillId="6" borderId="8" xfId="0" applyNumberFormat="1" applyFont="1" applyFill="1" applyBorder="1" applyAlignment="1">
      <alignment vertical="center"/>
    </xf>
    <xf numFmtId="200" fontId="0" fillId="6" borderId="16" xfId="0" applyNumberFormat="1" applyFont="1" applyFill="1" applyBorder="1" applyAlignment="1">
      <alignment vertical="center"/>
    </xf>
    <xf numFmtId="0" fontId="0" fillId="7" borderId="6" xfId="0" applyNumberFormat="1" applyFont="1" applyFill="1" applyBorder="1"/>
    <xf numFmtId="0" fontId="0" fillId="7" borderId="8" xfId="0" applyNumberFormat="1" applyFont="1" applyFill="1" applyBorder="1"/>
    <xf numFmtId="0" fontId="0" fillId="7" borderId="9" xfId="0" applyNumberFormat="1" applyFont="1" applyFill="1" applyBorder="1"/>
    <xf numFmtId="0" fontId="5" fillId="7" borderId="6" xfId="0" applyNumberFormat="1" applyFont="1" applyFill="1" applyBorder="1"/>
    <xf numFmtId="0" fontId="5" fillId="7" borderId="8" xfId="0" applyNumberFormat="1" applyFont="1" applyFill="1" applyBorder="1"/>
    <xf numFmtId="0" fontId="5" fillId="7" borderId="9" xfId="0" applyNumberFormat="1" applyFont="1" applyFill="1" applyBorder="1"/>
    <xf numFmtId="0" fontId="5" fillId="7" borderId="6" xfId="0" applyNumberFormat="1" applyFont="1" applyFill="1" applyBorder="1" applyAlignment="1">
      <alignment vertical="center"/>
    </xf>
    <xf numFmtId="0" fontId="5" fillId="7" borderId="9" xfId="0" applyNumberFormat="1" applyFont="1" applyFill="1" applyBorder="1" applyAlignment="1">
      <alignment vertical="center"/>
    </xf>
    <xf numFmtId="0" fontId="0" fillId="7" borderId="14" xfId="0" applyNumberFormat="1" applyFont="1" applyFill="1" applyBorder="1"/>
    <xf numFmtId="0" fontId="0" fillId="7" borderId="16" xfId="0" applyNumberFormat="1" applyFont="1" applyFill="1" applyBorder="1"/>
    <xf numFmtId="0" fontId="0" fillId="7" borderId="17" xfId="0" applyNumberFormat="1" applyFont="1" applyFill="1" applyBorder="1"/>
    <xf numFmtId="0" fontId="5" fillId="7" borderId="14" xfId="0" applyNumberFormat="1" applyFont="1" applyFill="1" applyBorder="1"/>
    <xf numFmtId="0" fontId="5" fillId="7" borderId="16" xfId="0" applyNumberFormat="1" applyFont="1" applyFill="1" applyBorder="1"/>
    <xf numFmtId="0" fontId="5" fillId="7" borderId="17" xfId="0" applyNumberFormat="1" applyFont="1" applyFill="1" applyBorder="1"/>
    <xf numFmtId="0" fontId="5" fillId="7" borderId="14" xfId="0" applyNumberFormat="1" applyFont="1" applyFill="1" applyBorder="1" applyAlignment="1">
      <alignment vertical="center"/>
    </xf>
    <xf numFmtId="0" fontId="5" fillId="7" borderId="17" xfId="0" applyNumberFormat="1" applyFont="1" applyFill="1" applyBorder="1" applyAlignment="1">
      <alignment vertical="center"/>
    </xf>
    <xf numFmtId="201" fontId="5" fillId="7" borderId="0" xfId="0" applyNumberFormat="1" applyFont="1" applyFill="1" applyBorder="1" applyAlignment="1">
      <alignment vertical="center"/>
    </xf>
    <xf numFmtId="201" fontId="0" fillId="6" borderId="0" xfId="0" applyNumberFormat="1" applyFont="1" applyFill="1" applyBorder="1" applyAlignment="1">
      <alignment vertical="center"/>
    </xf>
    <xf numFmtId="201" fontId="5" fillId="7" borderId="1" xfId="0" applyNumberFormat="1" applyFont="1" applyFill="1" applyBorder="1" applyAlignment="1">
      <alignment vertical="center"/>
    </xf>
    <xf numFmtId="201" fontId="0" fillId="6" borderId="1" xfId="0" applyNumberFormat="1" applyFont="1" applyFill="1" applyBorder="1" applyAlignment="1">
      <alignment vertical="center"/>
    </xf>
    <xf numFmtId="201" fontId="5" fillId="7" borderId="8" xfId="0" applyNumberFormat="1" applyFont="1" applyFill="1" applyBorder="1" applyAlignment="1">
      <alignment vertical="center"/>
    </xf>
    <xf numFmtId="201" fontId="0" fillId="6" borderId="8" xfId="0" applyNumberFormat="1" applyFont="1" applyFill="1" applyBorder="1" applyAlignment="1">
      <alignment vertical="center"/>
    </xf>
    <xf numFmtId="201" fontId="5" fillId="7" borderId="16" xfId="0" applyNumberFormat="1" applyFont="1" applyFill="1" applyBorder="1" applyAlignment="1">
      <alignment vertical="center"/>
    </xf>
    <xf numFmtId="201" fontId="0" fillId="6" borderId="16" xfId="0" applyNumberFormat="1" applyFont="1" applyFill="1" applyBorder="1" applyAlignment="1">
      <alignment vertical="center"/>
    </xf>
    <xf numFmtId="0" fontId="6" fillId="0" borderId="0" xfId="0" applyNumberFormat="1" applyFont="1" applyFill="1" applyBorder="1"/>
    <xf numFmtId="0" fontId="6" fillId="0" borderId="1" xfId="0" applyNumberFormat="1" applyFont="1" applyFill="1" applyBorder="1"/>
    <xf numFmtId="0" fontId="6" fillId="0" borderId="8" xfId="0" applyNumberFormat="1" applyFont="1" applyFill="1" applyBorder="1"/>
    <xf numFmtId="0" fontId="6" fillId="0" borderId="16" xfId="0" applyNumberFormat="1" applyFont="1" applyFill="1" applyBorder="1"/>
  </cellXfs>
  <cellStyles count="1">
    <cellStyle name="Normal" xf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Relationship Id="rId17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18" hidden="0" customWidth="1"/>
    <col min="2" max="2" width="23" hidden="0" customWidth="1"/>
    <col min="3" max="3" width="27" hidden="0" customWidth="1"/>
    <col min="4" max="4" width="34" hidden="0" customWidth="1"/>
    <col min="5" max="5" width="28" hidden="0" customWidth="1"/>
    <col min="6" max="6" width="34" hidden="0" customWidth="1"/>
    <col min="7" max="7" width="18" hidden="0" customWidth="1"/>
    <col min="8" max="8" width="42" hidden="0" customWidth="1"/>
  </cols>
  <sheetData>
    <row r="1" ht="28" customHeight="1">
      <c r="A1" s="4" t="inlineStr">
        <is>
          <t>EgoAnchor Experiment 3 — Frozen v9 Data Collection and Analysis Workbook</t>
        </is>
      </c>
      <c r="B1" s="4"/>
      <c r="C1" s="4"/>
      <c r="D1" s="4"/>
      <c r="E1" s="4"/>
      <c r="F1" s="4"/>
      <c r="G1" s="4"/>
      <c r="H1" s="4"/>
    </row>
    <row r="3">
      <c r="A3" s="12" t="inlineStr">
        <is>
          <t>冻结事实</t>
        </is>
      </c>
      <c r="B3" s="12" t="inlineStr">
        <is>
          <t>设计</t>
        </is>
      </c>
      <c r="C3" s="12" t="inlineStr">
        <is>
          <t>参与者</t>
        </is>
      </c>
      <c r="D3" s="12" t="inlineStr">
        <is>
          <t>条件</t>
        </is>
      </c>
      <c r="E3" s="12" t="inlineStr">
        <is>
          <t>物体</t>
        </is>
      </c>
      <c r="F3" s="12" t="inlineStr">
        <is>
          <t>问卷时点</t>
        </is>
      </c>
      <c r="G3" s="12" t="inlineStr">
        <is>
          <t>评分数量</t>
        </is>
      </c>
      <c r="H3" s="12" t="inlineStr">
        <is>
          <t>禁止事项</t>
        </is>
      </c>
    </row>
    <row r="4" ht="58" customHeight="1">
      <c r="A4" s="21" t="inlineStr">
        <is>
          <t>正式版本</t>
        </is>
      </c>
      <c r="B4" s="21" t="inlineStr">
        <is>
          <t>2×3 完全交叉被试内；物体作为执行区块，方法在物体内比较</t>
        </is>
      </c>
      <c r="C4" s="21" t="inlineStr">
        <is>
          <t>24 名有效参与者</t>
        </is>
      </c>
      <c r="D4" s="21" t="inlineStr">
        <is>
          <t>EgoAnchor vs One-Euro</t>
        </is>
      </c>
      <c r="E4" s="21" t="inlineStr">
        <is>
          <t>无线鼠标、固定闭合订书机、游戏手柄</t>
        </is>
      </c>
      <c r="F4" s="21" t="inlineStr">
        <is>
          <t>每个方法–物体条件结束后立即填写 7 项</t>
        </is>
      </c>
      <c r="G4" s="21" t="inlineStr">
        <is>
          <t>每人 2×3×7 = 42 个七点评分</t>
        </is>
      </c>
      <c r="H4" s="21" t="inlineStr">
        <is>
          <t>不得称为 CRIQ；不得合并总分；不得报告 Cronbach’s α 或 McDonald’s ω</t>
        </is>
      </c>
    </row>
    <row r="7">
      <c r="A7" s="28" t="inlineStr">
        <is>
          <t>采集步骤</t>
        </is>
      </c>
      <c r="B7" s="29" t="inlineStr">
        <is>
          <t>填写工作表</t>
        </is>
      </c>
      <c r="C7" s="29" t="inlineStr">
        <is>
          <t>填写时点</t>
        </is>
      </c>
      <c r="D7" s="29" t="inlineStr">
        <is>
          <t>主要输入列</t>
        </is>
      </c>
      <c r="E7" s="29" t="inlineStr">
        <is>
          <t>自动/预填内容</t>
        </is>
      </c>
      <c r="F7" s="30" t="inlineStr">
        <is>
          <t>说明</t>
        </is>
      </c>
    </row>
    <row r="8">
      <c r="A8" s="31" t="n">
        <v>1</v>
      </c>
      <c r="B8" s="26" t="inlineStr">
        <is>
          <t>Participants</t>
        </is>
      </c>
      <c r="C8" s="26" t="inlineStr">
        <is>
          <t>参与者开始前</t>
        </is>
      </c>
      <c r="D8" s="26" t="inlineStr">
        <is>
          <t>人口统计、纳入、同意、完成状态</t>
        </is>
      </c>
      <c r="E8" s="26" t="inlineStr">
        <is>
          <t>物体顺序与方法序列</t>
        </is>
      </c>
      <c r="F8" s="32" t="inlineStr">
        <is>
          <t>24 人排程已冻结</t>
        </is>
      </c>
    </row>
    <row r="9">
      <c r="A9" s="31" t="n">
        <v>2</v>
      </c>
      <c r="B9" s="26" t="inlineStr">
        <is>
          <t>ConditionRatings</t>
        </is>
      </c>
      <c r="C9" s="26" t="inlineStr">
        <is>
          <t>每个方法–物体条件的三个任务完成后</t>
        </is>
      </c>
      <c r="D9" s="26" t="inlineStr">
        <is>
          <t>Q1–Q7、完成与有效性、技术异常</t>
        </is>
      </c>
      <c r="E9" s="26" t="inlineStr">
        <is>
          <t>参与者、物体、方法、区块位置、A/B 标签</t>
        </is>
      </c>
      <c r="F9" s="32" t="inlineStr">
        <is>
          <t>每人 6 行，共 144 行</t>
        </is>
      </c>
    </row>
    <row r="10">
      <c r="A10" s="31" t="n">
        <v>3</v>
      </c>
      <c r="B10" s="26" t="inlineStr">
        <is>
          <t>AuditLog</t>
        </is>
      </c>
      <c r="C10" s="26" t="inlineStr">
        <is>
          <t>每个方法–物体条件中或结束后</t>
        </is>
      </c>
      <c r="D10" s="26" t="inlineStr">
        <is>
          <t>会话、重置、崩溃、重初始化、协议偏离</t>
        </is>
      </c>
      <c r="E10" s="26" t="inlineStr">
        <is>
          <t>条件排程</t>
        </is>
      </c>
      <c r="F10" s="32" t="inlineStr">
        <is>
          <t>仅作操纵检查与审计，不作为客观因变量</t>
        </is>
      </c>
    </row>
    <row r="11">
      <c r="A11" s="31" t="n">
        <v>4</v>
      </c>
      <c r="B11" s="26" t="inlineStr">
        <is>
          <t>FinalFeedback</t>
        </is>
      </c>
      <c r="C11" s="26" t="inlineStr">
        <is>
          <t>全部六个条件完成后</t>
        </is>
      </c>
      <c r="D11" s="26" t="inlineStr">
        <is>
          <t>最终偏好、两个开放问题、安全检查</t>
        </is>
      </c>
      <c r="E11" s="26" t="inlineStr">
        <is>
          <t>Participant_ID</t>
        </is>
      </c>
      <c r="F11" s="32" t="inlineStr">
        <is>
          <t>不计入 42 个评分</t>
        </is>
      </c>
    </row>
    <row r="12">
      <c r="A12" s="31" t="n">
        <v>5</v>
      </c>
      <c r="B12" s="26" t="inlineStr">
        <is>
          <t>DataChecks</t>
        </is>
      </c>
      <c r="C12" s="26" t="inlineStr">
        <is>
          <t>每天采集结束后</t>
        </is>
      </c>
      <c r="D12" s="26" t="inlineStr">
        <is>
          <t>无需手填</t>
        </is>
      </c>
      <c r="E12" s="26" t="inlineStr">
        <is>
          <t>自动完整性与平衡检查</t>
        </is>
      </c>
      <c r="F12" s="32" t="inlineStr">
        <is>
          <t>先修复 CHECK 再继续采集</t>
        </is>
      </c>
    </row>
    <row r="13">
      <c r="A13" s="33" t="n">
        <v>6</v>
      </c>
      <c r="B13" s="34" t="inlineStr">
        <is>
          <t>Descriptives / AnalysisPlan / RCode / ResultsTemplate</t>
        </is>
      </c>
      <c r="C13" s="34" t="inlineStr">
        <is>
          <t>采集完成后</t>
        </is>
      </c>
      <c r="D13" s="34" t="inlineStr">
        <is>
          <t>统计输出与论文回填</t>
        </is>
      </c>
      <c r="E13" s="34" t="inlineStr">
        <is>
          <t>预设分析结构</t>
        </is>
      </c>
      <c r="F13" s="35" t="inlineStr">
        <is>
          <t>七项逐项分析</t>
        </is>
      </c>
    </row>
    <row r="16">
      <c r="A16" s="48" t="inlineStr">
        <is>
          <t>颜色图例</t>
        </is>
      </c>
      <c r="B16" s="48" t="inlineStr">
        <is>
          <t>黄色</t>
        </is>
      </c>
      <c r="C16" s="48" t="inlineStr">
        <is>
          <t>绿色</t>
        </is>
      </c>
      <c r="D16" s="48" t="inlineStr">
        <is>
          <t>蓝色</t>
        </is>
      </c>
      <c r="E16" s="48" t="inlineStr">
        <is>
          <t>白色</t>
        </is>
      </c>
      <c r="F16" s="48"/>
      <c r="G16" s="48"/>
      <c r="H16" s="48"/>
    </row>
    <row r="17">
      <c r="A17" t="inlineStr">
        <is>
          <t>用途</t>
        </is>
      </c>
      <c r="B17" s="55" t="inlineStr">
        <is>
          <t>实验员手工填写</t>
        </is>
      </c>
      <c r="C17" s="60" t="inlineStr">
        <is>
          <t>公式或预填字段，不应覆盖</t>
        </is>
      </c>
      <c r="D17" s="44" t="inlineStr">
        <is>
          <t>说明/冻结设计</t>
        </is>
      </c>
      <c r="E17" t="inlineStr">
        <is>
          <t>普通结果或待回填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15"/>
  <cols>
    <col min="1" max="1" width="13" hidden="0" customWidth="1"/>
    <col min="2" max="2" width="19" hidden="0" customWidth="1"/>
    <col min="3" max="3" width="55" hidden="0" customWidth="1"/>
    <col min="4" max="4" width="24" hidden="0" customWidth="1"/>
    <col min="5" max="5" width="28" hidden="0" customWidth="1"/>
    <col min="6" max="6" width="37" hidden="0" customWidth="1"/>
    <col min="7" max="7" width="28" hidden="0" customWidth="1"/>
    <col min="8" max="8" width="24" hidden="0" customWidth="1"/>
  </cols>
  <sheetData>
    <row r="1">
      <c r="A1" s="4" t="inlineStr">
        <is>
          <t>实验执行协议（物体外层、方法内层）</t>
        </is>
      </c>
      <c r="B1" s="4"/>
      <c r="C1" s="4"/>
      <c r="D1" s="4"/>
      <c r="E1" s="4"/>
      <c r="F1" s="4"/>
      <c r="G1" s="4"/>
      <c r="H1" s="4"/>
    </row>
    <row r="3">
      <c r="A3" s="28" t="inlineStr">
        <is>
          <t>阶段</t>
        </is>
      </c>
      <c r="B3" s="29" t="inlineStr">
        <is>
          <t>步骤</t>
        </is>
      </c>
      <c r="C3" s="29" t="inlineStr">
        <is>
          <t>标准化操作</t>
        </is>
      </c>
      <c r="D3" s="29" t="inlineStr">
        <is>
          <t>冻结时长/幅度</t>
        </is>
      </c>
      <c r="E3" s="29" t="inlineStr">
        <is>
          <t>数据填写</t>
        </is>
      </c>
      <c r="F3" s="29" t="inlineStr">
        <is>
          <t>实验控制</t>
        </is>
      </c>
      <c r="G3" s="29" t="inlineStr">
        <is>
          <t>允许偏差</t>
        </is>
      </c>
      <c r="H3" s="30" t="inlineStr">
        <is>
          <t>偏差记录</t>
        </is>
      </c>
    </row>
    <row r="4">
      <c r="A4" s="31" t="inlineStr">
        <is>
          <t>训练</t>
        </is>
      </c>
      <c r="B4" s="26" t="inlineStr">
        <is>
          <t>训练物体</t>
        </is>
      </c>
      <c r="C4" s="26" t="inlineStr">
        <is>
          <t>使用耳机盒熟悉 T1–T3、A/B 条件和 1–7 评分界面；不进入正式统计</t>
        </is>
      </c>
      <c r="D4" s="26" t="inlineStr">
        <is>
          <t>约 3–5 min</t>
        </is>
      </c>
      <c r="E4" s="26" t="inlineStr">
        <is>
          <t>不填写正式评分</t>
        </is>
      </c>
      <c r="F4" s="26" t="inlineStr">
        <is>
          <t>不透露方法机制</t>
        </is>
      </c>
      <c r="G4" s="26" t="inlineStr">
        <is>
          <t>仅允许措辞澄清</t>
        </is>
      </c>
      <c r="H4" s="32" t="inlineStr">
        <is>
          <t>记录在 Participants 备注</t>
        </is>
      </c>
    </row>
    <row r="5">
      <c r="A5" s="31" t="inlineStr">
        <is>
          <t>物体区块</t>
        </is>
      </c>
      <c r="B5" s="26" t="inlineStr">
        <is>
          <t>启动对象程序</t>
        </is>
      </c>
      <c r="C5" s="26" t="inlineStr">
        <is>
          <t>启动当前物体对应的 Python 感知服务；加载冻结模型、尺度、局部坐标系和附着变换</t>
        </is>
      </c>
      <c r="D5" s="26" t="inlineStr">
        <is>
          <t>每个物体一次启动为优先方案</t>
        </is>
      </c>
      <c r="E5" s="26" t="inlineStr">
        <is>
          <t>AuditLog: Python_Session_ID / Ready_Time</t>
        </is>
      </c>
      <c r="F5" s="26" t="inlineStr">
        <is>
          <t>同一物体两种方法尽量共享同一感知会话</t>
        </is>
      </c>
      <c r="G5" s="26" t="inlineStr">
        <is>
          <t>若必须重启，保持同一配置</t>
        </is>
      </c>
      <c r="H5" s="32" t="inlineStr">
        <is>
          <t>AuditLog</t>
        </is>
      </c>
    </row>
    <row r="6">
      <c r="A6" s="31" t="inlineStr">
        <is>
          <t>条件</t>
        </is>
      </c>
      <c r="B6" s="26" t="inlineStr">
        <is>
          <t>条件 A / 第一方法</t>
        </is>
      </c>
      <c r="C6" s="26" t="inlineStr">
        <is>
          <t>参与者只看到 A；实验员按排程运行真实方法</t>
        </is>
      </c>
      <c r="D6" s="26" t="inlineStr">
        <is>
          <t>约 45–60 s</t>
        </is>
      </c>
      <c r="E6" s="26" t="inlineStr">
        <is>
          <t>ConditionRatings 第 1 行</t>
        </is>
      </c>
      <c r="F6" s="26" t="inlineStr">
        <is>
          <t>不提供表现反馈</t>
        </is>
      </c>
      <c r="G6" s="26" t="inlineStr">
        <is>
          <t>无</t>
        </is>
      </c>
      <c r="H6" s="32" t="inlineStr">
        <is>
          <t>AuditLog</t>
        </is>
      </c>
    </row>
    <row r="7">
      <c r="A7" s="31" t="inlineStr">
        <is>
          <t>T1</t>
        </is>
      </c>
      <c r="B7" s="26" t="inlineStr">
        <is>
          <t>静止观察</t>
        </is>
      </c>
      <c r="C7" s="26" t="inlineStr">
        <is>
          <t>物体静置；按语音提示正面观察、头部左移、右移、略微靠近</t>
        </is>
      </c>
      <c r="D7" s="26" t="inlineStr">
        <is>
          <t>约 12–15 s</t>
        </is>
      </c>
      <c r="E7" s="26" t="inlineStr">
        <is>
          <t>结束后不单独问卷</t>
        </is>
      </c>
      <c r="F7" s="26" t="inlineStr">
        <is>
          <t>相同初始位置、相同虚拟内容</t>
        </is>
      </c>
      <c r="G7" s="26" t="inlineStr">
        <is>
          <t>轻微自然头动差异</t>
        </is>
      </c>
      <c r="H7" s="32" t="inlineStr">
        <is>
          <t>协议偏离列</t>
        </is>
      </c>
    </row>
    <row r="8">
      <c r="A8" s="31" t="inlineStr">
        <is>
          <t>T2</t>
        </is>
      </c>
      <c r="B8" s="26" t="inlineStr">
        <is>
          <t>拿起–移动–放下</t>
        </is>
      </c>
      <c r="C8" s="26" t="inlineStr">
        <is>
          <t>单手拿起；平移 25–30 cm；自然旋转 30–45°；空中保持约 2 s；放到目标区域；放置后观察约 5 s</t>
        </is>
      </c>
      <c r="D8" s="26" t="inlineStr">
        <is>
          <t>约 20–25 s</t>
        </is>
      </c>
      <c r="E8" s="26" t="inlineStr">
        <is>
          <t>结束后不单独问卷</t>
        </is>
      </c>
      <c r="F8" s="26" t="inlineStr">
        <is>
          <t>不要求尽快完成；不计时、不计正确率</t>
        </is>
      </c>
      <c r="G8" s="26" t="inlineStr">
        <is>
          <t>自然动作速度差异</t>
        </is>
      </c>
      <c r="H8" s="32" t="inlineStr">
        <is>
          <t>协议偏离列</t>
        </is>
      </c>
    </row>
    <row r="9">
      <c r="A9" s="31" t="inlineStr">
        <is>
          <t>T3</t>
        </is>
      </c>
      <c r="B9" s="26" t="inlineStr">
        <is>
          <t>遮挡–恢复</t>
        </is>
      </c>
      <c r="C9" s="26" t="inlineStr">
        <is>
          <t>将物体滑入固定不透明遮挡板后方；保持冻结时长；移回后观察恢复</t>
        </is>
      </c>
      <c r="D9" s="26" t="inlineStr">
        <is>
          <t>遮挡 0.6–0.9 s；恢复观察 5–7 s</t>
        </is>
      </c>
      <c r="E9" s="26" t="inlineStr">
        <is>
          <t>结束后进入 7 项问卷</t>
        </is>
      </c>
      <c r="F9" s="26" t="inlineStr">
        <is>
          <t>固定挡板、路径、提示节奏</t>
        </is>
      </c>
      <c r="G9" s="26" t="inlineStr">
        <is>
          <t>预实验后冻结单一时长</t>
        </is>
      </c>
      <c r="H9" s="32" t="inlineStr">
        <is>
          <t>AuditLog: Occlusion_Duration_s</t>
        </is>
      </c>
    </row>
    <row r="10">
      <c r="A10" s="31" t="inlineStr">
        <is>
          <t>问卷</t>
        </is>
      </c>
      <c r="B10" s="26" t="inlineStr">
        <is>
          <t>条件后 7 项</t>
        </is>
      </c>
      <c r="C10" s="26" t="inlineStr">
        <is>
          <t>隐藏虚拟内容；头锁 UI 每屏一题；标题：请根据刚才在这个物体上的体验作答</t>
        </is>
      </c>
      <c r="D10" s="26" t="inlineStr">
        <is>
          <t>约 45–75 s</t>
        </is>
      </c>
      <c r="E10" s="26" t="inlineStr">
        <is>
          <t>Q1–Q7</t>
        </is>
      </c>
      <c r="F10" s="26" t="inlineStr">
        <is>
          <t>不得显示方法真实名称或前次答案</t>
        </is>
      </c>
      <c r="G10" s="26" t="inlineStr">
        <is>
          <t>参与者可要求重复读题</t>
        </is>
      </c>
      <c r="H10" s="32" t="inlineStr">
        <is>
          <t>Notes</t>
        </is>
      </c>
    </row>
    <row r="11">
      <c r="A11" s="31" t="inlineStr">
        <is>
          <t>重置</t>
        </is>
      </c>
      <c r="B11" s="26" t="inlineStr">
        <is>
          <t>条件间重置</t>
        </is>
      </c>
      <c r="C11" s="26" t="inlineStr">
        <is>
          <t>物体回到相同初始位姿；清空滤波、StaticLock、候选历史、生命周期与锚点状态；重新初始化</t>
        </is>
      </c>
      <c r="D11" s="26" t="inlineStr">
        <is>
          <t>约 30–60 s</t>
        </is>
      </c>
      <c r="E11" s="26" t="inlineStr">
        <is>
          <t>AuditLog: Anchor_State_Cleared / Object_Reset_OK</t>
        </is>
      </c>
      <c r="F11" s="26" t="inlineStr">
        <is>
          <t>第二方法前必须完成</t>
        </is>
      </c>
      <c r="G11" s="26" t="inlineStr">
        <is>
          <t>技术失败时重新执行</t>
        </is>
      </c>
      <c r="H11" s="32" t="inlineStr">
        <is>
          <t>Reinit_Count</t>
        </is>
      </c>
    </row>
    <row r="12">
      <c r="A12" s="31" t="inlineStr">
        <is>
          <t>条件</t>
        </is>
      </c>
      <c r="B12" s="26" t="inlineStr">
        <is>
          <t>条件 B / 第二方法</t>
        </is>
      </c>
      <c r="C12" s="26" t="inlineStr">
        <is>
          <t>重复完全相同的 T1–T3 和 7 项问卷</t>
        </is>
      </c>
      <c r="D12" s="26" t="inlineStr">
        <is>
          <t>约 45–60 s</t>
        </is>
      </c>
      <c r="E12" s="26" t="inlineStr">
        <is>
          <t>ConditionRatings 第 2 行</t>
        </is>
      </c>
      <c r="F12" s="26" t="inlineStr">
        <is>
          <t>除锚定运行时外全部相同</t>
        </is>
      </c>
      <c r="G12" s="26" t="inlineStr">
        <is>
          <t>无</t>
        </is>
      </c>
      <c r="H12" s="32" t="inlineStr">
        <is>
          <t>AuditLog</t>
        </is>
      </c>
    </row>
    <row r="13">
      <c r="A13" s="31" t="inlineStr">
        <is>
          <t>物体切换</t>
        </is>
      </c>
      <c r="B13" s="26" t="inlineStr">
        <is>
          <t>关闭当前对象程序</t>
        </is>
      </c>
      <c r="C13" s="26" t="inlineStr">
        <is>
          <t>完成两种方法后关闭当前物体会话，再按排程进入下一物体</t>
        </is>
      </c>
      <c r="D13" s="26" t="inlineStr">
        <is>
          <t>建议短休息 1–2 min</t>
        </is>
      </c>
      <c r="E13" s="26" t="inlineStr">
        <is>
          <t>无需新增评分</t>
        </is>
      </c>
      <c r="F13" s="26" t="inlineStr">
        <is>
          <t>不讨论两个条件表现</t>
        </is>
      </c>
      <c r="G13" s="26" t="inlineStr">
        <is>
          <t>参与者可要求额外休息</t>
        </is>
      </c>
      <c r="H13" s="32" t="inlineStr">
        <is>
          <t>Notes</t>
        </is>
      </c>
    </row>
    <row r="14">
      <c r="A14" s="33" t="inlineStr">
        <is>
          <t>结束</t>
        </is>
      </c>
      <c r="B14" s="34" t="inlineStr">
        <is>
          <t>最终反馈</t>
        </is>
      </c>
      <c r="C14" s="34" t="inlineStr">
        <is>
          <t>完成三个物体共六个条件后，填写总体偏好、开放问题和不适检查</t>
        </is>
      </c>
      <c r="D14" s="34" t="inlineStr">
        <is>
          <t>约 3–5 min</t>
        </is>
      </c>
      <c r="E14" s="34" t="inlineStr">
        <is>
          <t>FinalFeedback</t>
        </is>
      </c>
      <c r="F14" s="34" t="inlineStr">
        <is>
          <t>A/B 解盲后记录真实偏好</t>
        </is>
      </c>
      <c r="G14" s="34" t="inlineStr">
        <is>
          <t>无</t>
        </is>
      </c>
      <c r="H14" s="35" t="inlineStr">
        <is>
          <t>FinalFeedback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FormatPr defaultRowHeight="15"/>
  <cols>
    <col min="1" max="1" width="13" hidden="0" customWidth="1"/>
    <col min="2" max="2" width="31" hidden="0" customWidth="1"/>
    <col min="3" max="3" width="22" hidden="0" customWidth="1"/>
    <col min="4" max="4" width="29" hidden="0" customWidth="1"/>
    <col min="5" max="5" width="22" hidden="0" customWidth="1"/>
    <col min="6" max="6" width="48" hidden="0" customWidth="1"/>
    <col min="7" max="7" width="55" hidden="0" customWidth="1"/>
    <col min="8" max="8" width="20" hidden="0" customWidth="1"/>
    <col min="9" max="9" width="13" hidden="0" customWidth="1"/>
    <col min="10" max="10" width="27" hidden="0" customWidth="1"/>
    <col min="11" max="11" width="52" hidden="0" customWidth="1"/>
    <col min="12" max="12" width="39" hidden="0" customWidth="1"/>
    <col min="13" max="13" width="39" hidden="0" customWidth="1"/>
    <col min="14" max="14" width="24" hidden="0" customWidth="1"/>
    <col min="15" max="15" width="43" hidden="0" customWidth="1"/>
    <col min="16" max="16" width="48" hidden="0" customWidth="1"/>
  </cols>
  <sheetData>
    <row r="1">
      <c r="A1" s="4" t="inlineStr">
        <is>
          <t>七项条件–物体问卷及最终反馈：中英文、构念、出处与分析规则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3">
      <c r="A3" s="28" t="inlineStr">
        <is>
          <t>层级</t>
        </is>
      </c>
      <c r="B3" s="29" t="inlineStr">
        <is>
          <t>Item_ID</t>
        </is>
      </c>
      <c r="C3" s="29" t="inlineStr">
        <is>
          <t>构念（中文）</t>
        </is>
      </c>
      <c r="D3" s="29" t="inlineStr">
        <is>
          <t>Construct (EN)</t>
        </is>
      </c>
      <c r="E3" s="29" t="inlineStr">
        <is>
          <t>对应阶段</t>
        </is>
      </c>
      <c r="F3" s="29" t="inlineStr">
        <is>
          <t>中文题目</t>
        </is>
      </c>
      <c r="G3" s="29" t="inlineStr">
        <is>
          <t>English item</t>
        </is>
      </c>
      <c r="H3" s="29" t="inlineStr">
        <is>
          <t>量尺</t>
        </is>
      </c>
      <c r="I3" s="29" t="inlineStr">
        <is>
          <t>方向</t>
        </is>
      </c>
      <c r="J3" s="29" t="inlineStr">
        <is>
          <t>来源类型</t>
        </is>
      </c>
      <c r="K3" s="29" t="inlineStr">
        <is>
          <t>来源/改编说明</t>
        </is>
      </c>
      <c r="L3" s="29" t="inlineStr">
        <is>
          <t>Source URL 1</t>
        </is>
      </c>
      <c r="M3" s="29" t="inlineStr">
        <is>
          <t>Source URL 2</t>
        </is>
      </c>
      <c r="N3" s="29" t="inlineStr">
        <is>
          <t>分析单位</t>
        </is>
      </c>
      <c r="O3" s="29" t="inlineStr">
        <is>
          <t>禁止处理</t>
        </is>
      </c>
      <c r="P3" s="30" t="inlineStr">
        <is>
          <t>论文解释边界</t>
        </is>
      </c>
    </row>
    <row r="4">
      <c r="A4" s="31" t="inlineStr">
        <is>
          <t>条件–物体</t>
        </is>
      </c>
      <c r="B4" s="26" t="inlineStr">
        <is>
          <t>Q1_STATIC_STABILITY</t>
        </is>
      </c>
      <c r="C4" s="26" t="inlineStr">
        <is>
          <t>静止稳定性</t>
        </is>
      </c>
      <c r="D4" s="26" t="inlineStr">
        <is>
          <t>Perceived static stability</t>
        </is>
      </c>
      <c r="E4" s="26" t="inlineStr">
        <is>
          <t>T1 静止观察</t>
        </is>
      </c>
      <c r="F4" s="26" t="inlineStr">
        <is>
          <t>在静止观察阶段，虚拟内容在真实物体上的位置保持稳定。</t>
        </is>
      </c>
      <c r="G4" s="26" t="inlineStr">
        <is>
          <t>During static observation, the virtual content remained stable relative to the physical object.</t>
        </is>
      </c>
      <c r="H4" s="26" t="inlineStr">
        <is>
          <t>七点同意度</t>
        </is>
      </c>
      <c r="I4" s="26" t="inlineStr">
        <is>
          <t>高分更好</t>
        </is>
      </c>
      <c r="J4" s="26" t="inlineStr">
        <is>
          <t>本研究自编</t>
        </is>
      </c>
      <c r="K4" s="26" t="inlineStr">
        <is>
          <t>依据 EgoAnchor 的世界一致性、StaticLock 与静止抖动评价构念设计。</t>
        </is>
      </c>
      <c r="L4" s="26" t="inlineStr">
        <is>
          <t/>
        </is>
      </c>
      <c r="M4" s="26" t="inlineStr">
        <is>
          <t/>
        </is>
      </c>
      <c r="N4" s="26" t="inlineStr">
        <is>
          <t>逐项；Method×Object</t>
        </is>
      </c>
      <c r="O4" s="26" t="inlineStr">
        <is>
          <t>不得与其他题目合并；不得报 alpha</t>
        </is>
      </c>
      <c r="P4" s="32" t="inlineStr">
        <is>
          <t>仅表示主观稳定感，不等于毫米级抖动或绝对配准精度。</t>
        </is>
      </c>
    </row>
    <row r="5">
      <c r="A5" s="31" t="inlineStr">
        <is>
          <t>条件–物体</t>
        </is>
      </c>
      <c r="B5" s="26" t="inlineStr">
        <is>
          <t>Q2_MOTION_ATTACHMENT</t>
        </is>
      </c>
      <c r="C5" s="26" t="inlineStr">
        <is>
          <t>运动附着感</t>
        </is>
      </c>
      <c r="D5" s="26" t="inlineStr">
        <is>
          <t>Perceived motion attachment</t>
        </is>
      </c>
      <c r="E5" s="26" t="inlineStr">
        <is>
          <t>T2 拿起–移动–放下</t>
        </is>
      </c>
      <c r="F5" s="26" t="inlineStr">
        <is>
          <t>在拿起、移动和旋转物体时，虚拟内容与真实物体保持一致运动。</t>
        </is>
      </c>
      <c r="G5" s="26" t="inlineStr">
        <is>
          <t>While I picked up, moved, and rotated the object, the virtual content moved consistently with the physical object.</t>
        </is>
      </c>
      <c r="H5" s="26" t="inlineStr">
        <is>
          <t>七点同意度</t>
        </is>
      </c>
      <c r="I5" s="26" t="inlineStr">
        <is>
          <t>高分更好</t>
        </is>
      </c>
      <c r="J5" s="26" t="inlineStr">
        <is>
          <t>本研究自编</t>
        </is>
      </c>
      <c r="K5" s="26" t="inlineStr">
        <is>
          <t>依据运动连续性、响应滞后与虚拟内容相对物体滑动的感知后果设计。</t>
        </is>
      </c>
      <c r="L5" s="26" t="inlineStr">
        <is>
          <t/>
        </is>
      </c>
      <c r="M5" s="26" t="inlineStr">
        <is>
          <t/>
        </is>
      </c>
      <c r="N5" s="26" t="inlineStr">
        <is>
          <t>逐项；Method×Object</t>
        </is>
      </c>
      <c r="O5" s="26" t="inlineStr">
        <is>
          <t>不得与其他题目合并；不得报 alpha</t>
        </is>
      </c>
      <c r="P5" s="32" t="inlineStr">
        <is>
          <t>不等同于客观轨迹误差或任务完成速度。</t>
        </is>
      </c>
    </row>
    <row r="6">
      <c r="A6" s="31" t="inlineStr">
        <is>
          <t>条件–物体</t>
        </is>
      </c>
      <c r="B6" s="26" t="inlineStr">
        <is>
          <t>Q3_RECOVERY_CONSISTENCY</t>
        </is>
      </c>
      <c r="C6" s="26" t="inlineStr">
        <is>
          <t>遮挡恢复一致性</t>
        </is>
      </c>
      <c r="D6" s="26" t="inlineStr">
        <is>
          <t>Perceived recovery consistency</t>
        </is>
      </c>
      <c r="E6" s="26" t="inlineStr">
        <is>
          <t>T3 遮挡–恢复</t>
        </is>
      </c>
      <c r="F6" s="26" t="inlineStr">
        <is>
          <t>遮挡移除后，虚拟内容恢复到了与真实物体一致的位置。</t>
        </is>
      </c>
      <c r="G6" s="26" t="inlineStr">
        <is>
          <t>After the occlusion was removed, the virtual content recovered to a position consistent with the physical object.</t>
        </is>
      </c>
      <c r="H6" s="26" t="inlineStr">
        <is>
          <t>七点同意度</t>
        </is>
      </c>
      <c r="I6" s="26" t="inlineStr">
        <is>
          <t>高分更好</t>
        </is>
      </c>
      <c r="J6" s="26" t="inlineStr">
        <is>
          <t>本研究自编</t>
        </is>
      </c>
      <c r="K6" s="26" t="inlineStr">
        <is>
          <t>依据候选接纳、冻结保护、生命周期与重新获取的用户可感知结果设计。</t>
        </is>
      </c>
      <c r="L6" s="26" t="inlineStr">
        <is>
          <t/>
        </is>
      </c>
      <c r="M6" s="26" t="inlineStr">
        <is>
          <t/>
        </is>
      </c>
      <c r="N6" s="26" t="inlineStr">
        <is>
          <t>逐项；Method×Object</t>
        </is>
      </c>
      <c r="O6" s="26" t="inlineStr">
        <is>
          <t>不得与其他题目合并；不得报 alpha</t>
        </is>
      </c>
      <c r="P6" s="32" t="inlineStr">
        <is>
          <t>评价恢复结果的主观一致性，不测量恢复时间。</t>
        </is>
      </c>
    </row>
    <row r="7">
      <c r="A7" s="31" t="inlineStr">
        <is>
          <t>条件–物体</t>
        </is>
      </c>
      <c r="B7" s="26" t="inlineStr">
        <is>
          <t>Q4_PLAUSIBILITY</t>
        </is>
      </c>
      <c r="C7" s="26" t="inlineStr">
        <is>
          <t>合理可信度</t>
        </is>
      </c>
      <c r="D7" s="26" t="inlineStr">
        <is>
          <t>Perceived plausibility</t>
        </is>
      </c>
      <c r="E7" s="26" t="inlineStr">
        <is>
          <t>综合 T1–T3</t>
        </is>
      </c>
      <c r="F7" s="26" t="inlineStr">
        <is>
          <t>这种虚实交互体验在多大程度上让你觉得合理可信？</t>
        </is>
      </c>
      <c r="G7" s="26" t="inlineStr">
        <is>
          <t>To what extent did this physical–virtual interaction experience feel plausible and credible to you?</t>
        </is>
      </c>
      <c r="H7" s="26" t="inlineStr">
        <is>
          <t>七点强度</t>
        </is>
      </c>
      <c r="I7" s="26" t="inlineStr">
        <is>
          <t>高分更好</t>
        </is>
      </c>
      <c r="J7" s="26" t="inlineStr">
        <is>
          <t>改编自既有跨现实交互提问的单项</t>
        </is>
      </c>
      <c r="K7" s="26" t="inlineStr">
        <is>
          <t>措辞参考 SelfBlending 报告的 plausibility 提问，并追溯至 Gottsacker 等人的跨现实中断研究；仅作为改编单项，不称量表或子量表。</t>
        </is>
      </c>
      <c r="L7" s="26" t="inlineStr">
        <is>
          <t>https://doi.org/10.1109/TVCG.2026.3690947</t>
        </is>
      </c>
      <c r="M7" s="26" t="inlineStr">
        <is>
          <t>https://doi.org/10.1109/ISMAR52148.2021.00047</t>
        </is>
      </c>
      <c r="N7" s="26" t="inlineStr">
        <is>
          <t>逐项；Method×Object</t>
        </is>
      </c>
      <c r="O7" s="26" t="inlineStr">
        <is>
          <t>不得称 CRIQ；不得与 Q5 或其他题目合并；不得报 alpha</t>
        </is>
      </c>
      <c r="P7" s="32" t="inlineStr">
        <is>
          <t>仅说明该条件–物体体验是否显得合理可信。</t>
        </is>
      </c>
    </row>
    <row r="8">
      <c r="A8" s="31" t="inlineStr">
        <is>
          <t>条件–物体</t>
        </is>
      </c>
      <c r="B8" s="26" t="inlineStr">
        <is>
          <t>Q5_SYNCHRONY</t>
        </is>
      </c>
      <c r="C8" s="26" t="inlineStr">
        <is>
          <t>虚实同步性</t>
        </is>
      </c>
      <c r="D8" s="26" t="inlineStr">
        <is>
          <t>Perceived synchrony</t>
        </is>
      </c>
      <c r="E8" s="26" t="inlineStr">
        <is>
          <t>综合 T1–T3</t>
        </is>
      </c>
      <c r="F8" s="26" t="inlineStr">
        <is>
          <t>你在多大程度上感觉真实物体与虚拟内容之间的交互是同步的？</t>
        </is>
      </c>
      <c r="G8" s="26" t="inlineStr">
        <is>
          <t>To what extent did the interaction between the physical object and virtual content feel synchronized?</t>
        </is>
      </c>
      <c r="H8" s="26" t="inlineStr">
        <is>
          <t>七点强度</t>
        </is>
      </c>
      <c r="I8" s="26" t="inlineStr">
        <is>
          <t>高分更好</t>
        </is>
      </c>
      <c r="J8" s="26" t="inlineStr">
        <is>
          <t>改编自既有跨现实交互提问的单项</t>
        </is>
      </c>
      <c r="K8" s="26" t="inlineStr">
        <is>
          <t>将原文中的物理/虚拟环境具体化为真实物体/附着虚拟内容；仅作为改编单项。</t>
        </is>
      </c>
      <c r="L8" s="26" t="inlineStr">
        <is>
          <t>https://doi.org/10.1109/TVCG.2026.3690947</t>
        </is>
      </c>
      <c r="M8" s="26" t="inlineStr">
        <is>
          <t>https://doi.org/10.1109/ISMAR52148.2021.00047</t>
        </is>
      </c>
      <c r="N8" s="26" t="inlineStr">
        <is>
          <t>逐项；Method×Object</t>
        </is>
      </c>
      <c r="O8" s="26" t="inlineStr">
        <is>
          <t>不得称 CRIQ；不得与 Q4 或其他题目合并；不得报 alpha</t>
        </is>
      </c>
      <c r="P8" s="32" t="inlineStr">
        <is>
          <t>同步性是整体主观判断，不等同于测得的系统时延。</t>
        </is>
      </c>
    </row>
    <row r="9">
      <c r="A9" s="31" t="inlineStr">
        <is>
          <t>条件–物体</t>
        </is>
      </c>
      <c r="B9" s="26" t="inlineStr">
        <is>
          <t>Q6_RELIANCE</t>
        </is>
      </c>
      <c r="C9" s="26" t="inlineStr">
        <is>
          <t>依赖意愿</t>
        </is>
      </c>
      <c r="D9" s="26" t="inlineStr">
        <is>
          <t>Willingness to rely</t>
        </is>
      </c>
      <c r="E9" s="26" t="inlineStr">
        <is>
          <t>综合 T1–T3</t>
        </is>
      </c>
      <c r="F9" s="26" t="inlineStr">
        <is>
          <t>在需要虚拟内容准确附着于真实物体的混合现实应用中，我愿意依赖这种锚定方法。</t>
        </is>
      </c>
      <c r="G9" s="26" t="inlineStr">
        <is>
          <t>I would be willing to rely on this anchoring method in an MR application that requires virtual content to be accurately attached to a physical object.</t>
        </is>
      </c>
      <c r="H9" s="26" t="inlineStr">
        <is>
          <t>七点同意度</t>
        </is>
      </c>
      <c r="I9" s="26" t="inlineStr">
        <is>
          <t>高分更好</t>
        </is>
      </c>
      <c r="J9" s="26" t="inlineStr">
        <is>
          <t>本研究自编</t>
        </is>
      </c>
      <c r="K9" s="26" t="inlineStr">
        <is>
          <t>面向对象锚定应用的应用层依赖意愿；是最直接的应用侧条目。</t>
        </is>
      </c>
      <c r="L9" s="26" t="inlineStr">
        <is>
          <t/>
        </is>
      </c>
      <c r="M9" s="26" t="inlineStr">
        <is>
          <t/>
        </is>
      </c>
      <c r="N9" s="26" t="inlineStr">
        <is>
          <t>逐项；Method×Object</t>
        </is>
      </c>
      <c r="O9" s="26" t="inlineStr">
        <is>
          <t>不得命名为已验证信任量表；不得与其他题目合并；不得报 alpha</t>
        </is>
      </c>
      <c r="P9" s="32" t="inlineStr">
        <is>
          <t>只能支持主观依赖意愿，不支持实际使用行为或任务绩效。</t>
        </is>
      </c>
    </row>
    <row r="10">
      <c r="A10" s="31" t="inlineStr">
        <is>
          <t>条件–物体</t>
        </is>
      </c>
      <c r="B10" s="26" t="inlineStr">
        <is>
          <t>Q7_STABILITY_RESPONSE_BALANCE</t>
        </is>
      </c>
      <c r="C10" s="26" t="inlineStr">
        <is>
          <t>稳定性–响应性平衡</t>
        </is>
      </c>
      <c r="D10" s="26" t="inlineStr">
        <is>
          <t>Perceived stability–responsiveness balance</t>
        </is>
      </c>
      <c r="E10" s="26" t="inlineStr">
        <is>
          <t>综合 T1–T3</t>
        </is>
      </c>
      <c r="F10" s="26" t="inlineStr">
        <is>
          <t>总体而言，该方法在锚点稳定性与响应及时性之间取得了合适的平衡。</t>
        </is>
      </c>
      <c r="G10" s="26" t="inlineStr">
        <is>
          <t>Overall, this method achieved an appropriate balance between anchor stability and responsiveness.</t>
        </is>
      </c>
      <c r="H10" s="26" t="inlineStr">
        <is>
          <t>七点同意度</t>
        </is>
      </c>
      <c r="I10" s="26" t="inlineStr">
        <is>
          <t>高分更好</t>
        </is>
      </c>
      <c r="J10" s="26" t="inlineStr">
        <is>
          <t>本研究自编</t>
        </is>
      </c>
      <c r="K10" s="26" t="inlineStr">
        <is>
          <t>直接对应论文中静止稳定、运动响应、起停转换与恢复之间的系统权衡。</t>
        </is>
      </c>
      <c r="L10" s="26" t="inlineStr">
        <is>
          <t/>
        </is>
      </c>
      <c r="M10" s="26" t="inlineStr">
        <is>
          <t/>
        </is>
      </c>
      <c r="N10" s="26" t="inlineStr">
        <is>
          <t>逐项；Method×Object</t>
        </is>
      </c>
      <c r="O10" s="26" t="inlineStr">
        <is>
          <t>不得加入任何总分；不得报 alpha</t>
        </is>
      </c>
      <c r="P10" s="32" t="inlineStr">
        <is>
          <t>高分表示参与者接受整体工作点，不表示稳定性和响应性均单独最优。</t>
        </is>
      </c>
    </row>
    <row r="11">
      <c r="A11" s="31" t="inlineStr">
        <is>
          <t>最终</t>
        </is>
      </c>
      <c r="B11" s="26" t="inlineStr">
        <is>
          <t>F1_FINAL_CHOICE</t>
        </is>
      </c>
      <c r="C11" s="26" t="inlineStr">
        <is>
          <t>最终方法选择</t>
        </is>
      </c>
      <c r="D11" s="26" t="inlineStr">
        <is>
          <t>Final method choice</t>
        </is>
      </c>
      <c r="E11" s="26" t="inlineStr">
        <is>
          <t>全部六个条件后</t>
        </is>
      </c>
      <c r="F11" s="26" t="inlineStr">
        <is>
          <t>如果需要在实际混合现实应用中使用一个对象锚定方法，你会选择哪一种？</t>
        </is>
      </c>
      <c r="G11" s="26" t="inlineStr">
        <is>
          <t>If you had to use one object-anchoring method in an actual mixed-reality application, which method would you choose?</t>
        </is>
      </c>
      <c r="H11" s="26" t="inlineStr">
        <is>
          <t>EgoAnchor / One-Euro / 无明显偏好</t>
        </is>
      </c>
      <c r="I11" s="26" t="inlineStr">
        <is>
          <t>分类</t>
        </is>
      </c>
      <c r="J11" s="26" t="inlineStr">
        <is>
          <t>本研究自编</t>
        </is>
      </c>
      <c r="K11" s="26" t="inlineStr">
        <is>
          <t>总体偏好；不计入 42 个七点评分。</t>
        </is>
      </c>
      <c r="L11" s="26" t="inlineStr">
        <is>
          <t/>
        </is>
      </c>
      <c r="M11" s="26" t="inlineStr">
        <is>
          <t/>
        </is>
      </c>
      <c r="N11" s="26" t="inlineStr">
        <is>
          <t>人数与比例</t>
        </is>
      </c>
      <c r="O11" s="26" t="inlineStr">
        <is>
          <t>不得计算平均值</t>
        </is>
      </c>
      <c r="P11" s="32" t="inlineStr">
        <is>
          <t>偏好不能替代各条目的条件效应。</t>
        </is>
      </c>
    </row>
    <row r="12">
      <c r="A12" s="31" t="inlineStr">
        <is>
          <t>最终</t>
        </is>
      </c>
      <c r="B12" s="26" t="inlineStr">
        <is>
          <t>F2_OPEN_DIFFERENCE</t>
        </is>
      </c>
      <c r="C12" s="26" t="inlineStr">
        <is>
          <t>最明显差异</t>
        </is>
      </c>
      <c r="D12" s="26" t="inlineStr">
        <is>
          <t>Most noticeable difference</t>
        </is>
      </c>
      <c r="E12" s="26" t="inlineStr">
        <is>
          <t>全部六个条件后</t>
        </is>
      </c>
      <c r="F12" s="26" t="inlineStr">
        <is>
          <t>你认为两种锚定方法之间最明显的区别是什么？</t>
        </is>
      </c>
      <c r="G12" s="26" t="inlineStr">
        <is>
          <t>What was the most noticeable difference between the two anchoring methods?</t>
        </is>
      </c>
      <c r="H12" s="26" t="inlineStr">
        <is>
          <t>开放文本</t>
        </is>
      </c>
      <c r="I12" s="26" t="inlineStr">
        <is>
          <t>不适用</t>
        </is>
      </c>
      <c r="J12" s="26" t="inlineStr">
        <is>
          <t>本研究自编</t>
        </is>
      </c>
      <c r="K12" s="26" t="inlineStr">
        <is>
          <t>用于解释定量差异。</t>
        </is>
      </c>
      <c r="L12" s="26" t="inlineStr">
        <is>
          <t/>
        </is>
      </c>
      <c r="M12" s="26" t="inlineStr">
        <is>
          <t/>
        </is>
      </c>
      <c r="N12" s="26" t="inlineStr">
        <is>
          <t>轻量主题分析</t>
        </is>
      </c>
      <c r="O12" s="26" t="inlineStr">
        <is>
          <t>不得量化成未经预设的总分</t>
        </is>
      </c>
      <c r="P12" s="32" t="inlineStr">
        <is>
          <t>主题编码作为解释性证据。</t>
        </is>
      </c>
    </row>
    <row r="13">
      <c r="A13" s="31" t="inlineStr">
        <is>
          <t>最终</t>
        </is>
      </c>
      <c r="B13" s="26" t="inlineStr">
        <is>
          <t>F3_OPEN_DISTRUST</t>
        </is>
      </c>
      <c r="C13" s="26" t="inlineStr">
        <is>
          <t>信任破坏因素</t>
        </is>
      </c>
      <c r="D13" s="26" t="inlineStr">
        <is>
          <t>Anchor distrust factor</t>
        </is>
      </c>
      <c r="E13" s="26" t="inlineStr">
        <is>
          <t>全部六个条件后</t>
        </is>
      </c>
      <c r="F13" s="26" t="inlineStr">
        <is>
          <t>在使用附着于真实物体的虚拟内容时，什么现象最容易使你不再信任这个锚点？</t>
        </is>
      </c>
      <c r="G13" s="26" t="inlineStr">
        <is>
          <t>When using virtual content attached to a physical object, what behavior would most easily make you distrust the anchor?</t>
        </is>
      </c>
      <c r="H13" s="26" t="inlineStr">
        <is>
          <t>开放文本</t>
        </is>
      </c>
      <c r="I13" s="26" t="inlineStr">
        <is>
          <t>不适用</t>
        </is>
      </c>
      <c r="J13" s="26" t="inlineStr">
        <is>
          <t>本研究自编</t>
        </is>
      </c>
      <c r="K13" s="26" t="inlineStr">
        <is>
          <t>重点关注抖动、漂移、运动滑动、滞后、恢复跳变与不可预测性。</t>
        </is>
      </c>
      <c r="L13" s="26" t="inlineStr">
        <is>
          <t/>
        </is>
      </c>
      <c r="M13" s="26" t="inlineStr">
        <is>
          <t/>
        </is>
      </c>
      <c r="N13" s="26" t="inlineStr">
        <is>
          <t>轻量主题分析</t>
        </is>
      </c>
      <c r="O13" s="26" t="inlineStr">
        <is>
          <t>不得将事后主题当作预注册量化结局</t>
        </is>
      </c>
      <c r="P13" s="32" t="inlineStr">
        <is>
          <t>用于形成设计启示和失败模式分类。</t>
        </is>
      </c>
    </row>
    <row r="14">
      <c r="A14" s="33" t="inlineStr">
        <is>
          <t>安全</t>
        </is>
      </c>
      <c r="B14" s="34" t="inlineStr">
        <is>
          <t>S1_DISCOMFORT</t>
        </is>
      </c>
      <c r="C14" s="34" t="inlineStr">
        <is>
          <t>结束时不适</t>
        </is>
      </c>
      <c r="D14" s="34" t="inlineStr">
        <is>
          <t>End-of-study discomfort</t>
        </is>
      </c>
      <c r="E14" s="34" t="inlineStr">
        <is>
          <t>实验结束</t>
        </is>
      </c>
      <c r="F14" s="34" t="inlineStr">
        <is>
          <t>与实验开始前相比，你目前是否感到任何额外的不适？</t>
        </is>
      </c>
      <c r="G14" s="34" t="inlineStr">
        <is>
          <t>Compared with before the experiment, are you currently experiencing any additional discomfort?</t>
        </is>
      </c>
      <c r="H14" s="34" t="inlineStr">
        <is>
          <t>无 / 轻微 / 中等 / 明显或中止</t>
        </is>
      </c>
      <c r="I14" s="34" t="inlineStr">
        <is>
          <t>分类</t>
        </is>
      </c>
      <c r="J14" s="34" t="inlineStr">
        <is>
          <t>安全审计自编项</t>
        </is>
      </c>
      <c r="K14" s="34" t="inlineStr">
        <is>
          <t>安全监测，不作为两方法主要结局。</t>
        </is>
      </c>
      <c r="L14" s="34" t="inlineStr">
        <is>
          <t/>
        </is>
      </c>
      <c r="M14" s="34" t="inlineStr">
        <is>
          <t/>
        </is>
      </c>
      <c r="N14" s="34" t="inlineStr">
        <is>
          <t>描述性记录</t>
        </is>
      </c>
      <c r="O14" s="34" t="inlineStr">
        <is>
          <t>不得解释为 SSQ</t>
        </is>
      </c>
      <c r="P14" s="35" t="inlineStr">
        <is>
          <t>仅用于安全与退出审计。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FormatPr defaultRowHeight="15"/>
  <cols>
    <col min="1" max="1" width="21" hidden="0" customWidth="1"/>
    <col min="2" max="2" width="11" hidden="0" customWidth="1"/>
    <col min="3" max="3" width="28" hidden="0" customWidth="1"/>
    <col min="4" max="4" width="31" hidden="0" customWidth="1"/>
    <col min="5" max="5" width="28" hidden="0" customWidth="1"/>
  </cols>
  <sheetData>
    <row r="1">
      <c r="A1" s="4" t="inlineStr">
        <is>
          <t>评分锚点与界面呈现规则</t>
        </is>
      </c>
      <c r="B1" s="4"/>
      <c r="C1" s="4"/>
      <c r="D1" s="4"/>
      <c r="E1" s="4"/>
    </row>
    <row r="3">
      <c r="A3" s="28" t="inlineStr">
        <is>
          <t>量尺</t>
        </is>
      </c>
      <c r="B3" s="29" t="inlineStr">
        <is>
          <t>分值</t>
        </is>
      </c>
      <c r="C3" s="29" t="inlineStr">
        <is>
          <t>中文锚点</t>
        </is>
      </c>
      <c r="D3" s="29" t="inlineStr">
        <is>
          <t>English anchor</t>
        </is>
      </c>
      <c r="E3" s="30" t="inlineStr">
        <is>
          <t>适用条目</t>
        </is>
      </c>
    </row>
    <row r="4">
      <c r="A4" s="64" t="inlineStr">
        <is>
          <t>七点同意度</t>
        </is>
      </c>
      <c r="B4" s="65" t="n">
        <v>1</v>
      </c>
      <c r="C4" s="65" t="inlineStr">
        <is>
          <t>完全不同意</t>
        </is>
      </c>
      <c r="D4" s="65" t="inlineStr">
        <is>
          <t>Strongly disagree</t>
        </is>
      </c>
      <c r="E4" s="66" t="inlineStr">
        <is>
          <t>Q1, Q2, Q3, Q6, Q7</t>
        </is>
      </c>
    </row>
    <row r="5">
      <c r="A5" s="64" t="inlineStr">
        <is>
          <t>七点同意度</t>
        </is>
      </c>
      <c r="B5" s="65" t="n">
        <v>2</v>
      </c>
      <c r="C5" s="65" t="inlineStr">
        <is>
          <t>不同意</t>
        </is>
      </c>
      <c r="D5" s="65" t="inlineStr">
        <is>
          <t>Disagree</t>
        </is>
      </c>
      <c r="E5" s="66" t="inlineStr">
        <is>
          <t>Q1, Q2, Q3, Q6, Q7</t>
        </is>
      </c>
    </row>
    <row r="6">
      <c r="A6" s="64" t="inlineStr">
        <is>
          <t>七点同意度</t>
        </is>
      </c>
      <c r="B6" s="65" t="n">
        <v>3</v>
      </c>
      <c r="C6" s="65" t="inlineStr">
        <is>
          <t>比较不同意</t>
        </is>
      </c>
      <c r="D6" s="65" t="inlineStr">
        <is>
          <t>Somewhat disagree</t>
        </is>
      </c>
      <c r="E6" s="66" t="inlineStr">
        <is>
          <t>Q1, Q2, Q3, Q6, Q7</t>
        </is>
      </c>
    </row>
    <row r="7">
      <c r="A7" s="64" t="inlineStr">
        <is>
          <t>七点同意度</t>
        </is>
      </c>
      <c r="B7" s="65" t="n">
        <v>4</v>
      </c>
      <c r="C7" s="65" t="inlineStr">
        <is>
          <t>既不同意也不赞同</t>
        </is>
      </c>
      <c r="D7" s="65" t="inlineStr">
        <is>
          <t>Neither agree nor disagree</t>
        </is>
      </c>
      <c r="E7" s="66" t="inlineStr">
        <is>
          <t>Q1, Q2, Q3, Q6, Q7</t>
        </is>
      </c>
    </row>
    <row r="8">
      <c r="A8" s="64" t="inlineStr">
        <is>
          <t>七点同意度</t>
        </is>
      </c>
      <c r="B8" s="65" t="n">
        <v>5</v>
      </c>
      <c r="C8" s="65" t="inlineStr">
        <is>
          <t>比较同意</t>
        </is>
      </c>
      <c r="D8" s="65" t="inlineStr">
        <is>
          <t>Somewhat agree</t>
        </is>
      </c>
      <c r="E8" s="66" t="inlineStr">
        <is>
          <t>Q1, Q2, Q3, Q6, Q7</t>
        </is>
      </c>
    </row>
    <row r="9">
      <c r="A9" s="64" t="inlineStr">
        <is>
          <t>七点同意度</t>
        </is>
      </c>
      <c r="B9" s="65" t="n">
        <v>6</v>
      </c>
      <c r="C9" s="65" t="inlineStr">
        <is>
          <t>同意</t>
        </is>
      </c>
      <c r="D9" s="65" t="inlineStr">
        <is>
          <t>Agree</t>
        </is>
      </c>
      <c r="E9" s="66" t="inlineStr">
        <is>
          <t>Q1, Q2, Q3, Q6, Q7</t>
        </is>
      </c>
    </row>
    <row r="10">
      <c r="A10" s="64" t="inlineStr">
        <is>
          <t>七点同意度</t>
        </is>
      </c>
      <c r="B10" s="65" t="n">
        <v>7</v>
      </c>
      <c r="C10" s="65" t="inlineStr">
        <is>
          <t>完全同意</t>
        </is>
      </c>
      <c r="D10" s="65" t="inlineStr">
        <is>
          <t>Strongly agree</t>
        </is>
      </c>
      <c r="E10" s="66" t="inlineStr">
        <is>
          <t>Q1, Q2, Q3, Q6, Q7</t>
        </is>
      </c>
    </row>
    <row r="11">
      <c r="A11" s="64" t="inlineStr">
        <is>
          <t>七点强度</t>
        </is>
      </c>
      <c r="B11" s="65" t="n">
        <v>1</v>
      </c>
      <c r="C11" s="65" t="inlineStr">
        <is>
          <t>完全没有</t>
        </is>
      </c>
      <c r="D11" s="65" t="inlineStr">
        <is>
          <t>Not at all</t>
        </is>
      </c>
      <c r="E11" s="66" t="inlineStr">
        <is>
          <t>Q4, Q5</t>
        </is>
      </c>
    </row>
    <row r="12">
      <c r="A12" s="64" t="inlineStr">
        <is>
          <t>七点强度</t>
        </is>
      </c>
      <c r="B12" s="65" t="n">
        <v>2</v>
      </c>
      <c r="C12" s="65" t="inlineStr">
        <is>
          <t>非常少</t>
        </is>
      </c>
      <c r="D12" s="65" t="inlineStr">
        <is>
          <t>Very little</t>
        </is>
      </c>
      <c r="E12" s="66" t="inlineStr">
        <is>
          <t>Q4, Q5</t>
        </is>
      </c>
    </row>
    <row r="13">
      <c r="A13" s="64" t="inlineStr">
        <is>
          <t>七点强度</t>
        </is>
      </c>
      <c r="B13" s="65" t="n">
        <v>3</v>
      </c>
      <c r="C13" s="65" t="inlineStr">
        <is>
          <t>比较少</t>
        </is>
      </c>
      <c r="D13" s="65" t="inlineStr">
        <is>
          <t>Slightly</t>
        </is>
      </c>
      <c r="E13" s="66" t="inlineStr">
        <is>
          <t>Q4, Q5</t>
        </is>
      </c>
    </row>
    <row r="14">
      <c r="A14" s="64" t="inlineStr">
        <is>
          <t>七点强度</t>
        </is>
      </c>
      <c r="B14" s="65" t="n">
        <v>4</v>
      </c>
      <c r="C14" s="65" t="inlineStr">
        <is>
          <t>中等程度</t>
        </is>
      </c>
      <c r="D14" s="65" t="inlineStr">
        <is>
          <t>Moderately</t>
        </is>
      </c>
      <c r="E14" s="66" t="inlineStr">
        <is>
          <t>Q4, Q5</t>
        </is>
      </c>
    </row>
    <row r="15">
      <c r="A15" s="64" t="inlineStr">
        <is>
          <t>七点强度</t>
        </is>
      </c>
      <c r="B15" s="65" t="n">
        <v>5</v>
      </c>
      <c r="C15" s="65" t="inlineStr">
        <is>
          <t>比较强</t>
        </is>
      </c>
      <c r="D15" s="65" t="inlineStr">
        <is>
          <t>Quite strongly</t>
        </is>
      </c>
      <c r="E15" s="66" t="inlineStr">
        <is>
          <t>Q4, Q5</t>
        </is>
      </c>
    </row>
    <row r="16">
      <c r="A16" s="64" t="inlineStr">
        <is>
          <t>七点强度</t>
        </is>
      </c>
      <c r="B16" s="65" t="n">
        <v>6</v>
      </c>
      <c r="C16" s="65" t="inlineStr">
        <is>
          <t>很强</t>
        </is>
      </c>
      <c r="D16" s="65" t="inlineStr">
        <is>
          <t>Very strongly</t>
        </is>
      </c>
      <c r="E16" s="66" t="inlineStr">
        <is>
          <t>Q4, Q5</t>
        </is>
      </c>
    </row>
    <row r="17">
      <c r="A17" s="67" t="inlineStr">
        <is>
          <t>七点强度</t>
        </is>
      </c>
      <c r="B17" s="68" t="n">
        <v>7</v>
      </c>
      <c r="C17" s="68" t="inlineStr">
        <is>
          <t>非常强烈</t>
        </is>
      </c>
      <c r="D17" s="68" t="inlineStr">
        <is>
          <t>Extremely</t>
        </is>
      </c>
      <c r="E17" s="69" t="inlineStr">
        <is>
          <t>Q4, Q5</t>
        </is>
      </c>
    </row>
    <row r="20">
      <c r="A20" s="28" t="inlineStr">
        <is>
          <t>界面规则</t>
        </is>
      </c>
      <c r="B20" s="29" t="inlineStr">
        <is>
          <t>要求</t>
        </is>
      </c>
      <c r="C20" s="29" t="inlineStr">
        <is>
          <t>原因</t>
        </is>
      </c>
      <c r="D20" s="29" t="inlineStr">
        <is>
          <t>冻结状态</t>
        </is>
      </c>
      <c r="E20" s="30" t="inlineStr">
        <is>
          <t>检查</t>
        </is>
      </c>
    </row>
    <row r="21">
      <c r="A21" s="31" t="inlineStr">
        <is>
          <t>每屏一题</t>
        </is>
      </c>
      <c r="B21" s="26" t="inlineStr">
        <is>
          <t>必须</t>
        </is>
      </c>
      <c r="C21" s="26" t="inlineStr">
        <is>
          <t>减少遗漏和跨题比较</t>
        </is>
      </c>
      <c r="D21" s="26" t="inlineStr">
        <is>
          <t>冻结</t>
        </is>
      </c>
      <c r="E21" s="32" t="inlineStr">
        <is>
          <t>pilot 检查</t>
        </is>
      </c>
    </row>
    <row r="22">
      <c r="A22" s="31" t="inlineStr">
        <is>
          <t>头锁 UI</t>
        </is>
      </c>
      <c r="B22" s="26" t="inlineStr">
        <is>
          <t>必须</t>
        </is>
      </c>
      <c r="C22" s="26" t="inlineStr">
        <is>
          <t>避免问卷自身附着于被评价物体</t>
        </is>
      </c>
      <c r="D22" s="26" t="inlineStr">
        <is>
          <t>冻结</t>
        </is>
      </c>
      <c r="E22" s="32" t="inlineStr">
        <is>
          <t>pilot 检查</t>
        </is>
      </c>
    </row>
    <row r="23">
      <c r="A23" s="31" t="inlineStr">
        <is>
          <t>条件匿名 A/B</t>
        </is>
      </c>
      <c r="B23" s="26" t="inlineStr">
        <is>
          <t>必须</t>
        </is>
      </c>
      <c r="C23" s="26" t="inlineStr">
        <is>
          <t>降低需求特征</t>
        </is>
      </c>
      <c r="D23" s="26" t="inlineStr">
        <is>
          <t>冻结</t>
        </is>
      </c>
      <c r="E23" s="32" t="inlineStr">
        <is>
          <t>实验员核对排程</t>
        </is>
      </c>
    </row>
    <row r="24">
      <c r="A24" s="31" t="inlineStr">
        <is>
          <t>不显示前次答案</t>
        </is>
      </c>
      <c r="B24" s="26" t="inlineStr">
        <is>
          <t>必须</t>
        </is>
      </c>
      <c r="C24" s="26" t="inlineStr">
        <is>
          <t>避免锚定效应</t>
        </is>
      </c>
      <c r="D24" s="26" t="inlineStr">
        <is>
          <t>冻结</t>
        </is>
      </c>
      <c r="E24" s="32" t="inlineStr">
        <is>
          <t>软件检查</t>
        </is>
      </c>
    </row>
    <row r="25">
      <c r="A25" s="31" t="inlineStr">
        <is>
          <t>Q4–Q5 单独显示强度锚点</t>
        </is>
      </c>
      <c r="B25" s="26" t="inlineStr">
        <is>
          <t>必须</t>
        </is>
      </c>
      <c r="C25" s="26" t="inlineStr">
        <is>
          <t>避免和同意度混淆</t>
        </is>
      </c>
      <c r="D25" s="26" t="inlineStr">
        <is>
          <t>冻结</t>
        </is>
      </c>
      <c r="E25" s="32" t="inlineStr">
        <is>
          <t>软件检查</t>
        </is>
      </c>
    </row>
    <row r="26">
      <c r="A26" s="33" t="inlineStr">
        <is>
          <t>正式采集后不得改题</t>
        </is>
      </c>
      <c r="B26" s="34" t="inlineStr">
        <is>
          <t>必须</t>
        </is>
      </c>
      <c r="C26" s="34" t="inlineStr">
        <is>
          <t>保持测量一致</t>
        </is>
      </c>
      <c r="D26" s="34" t="inlineStr">
        <is>
          <t>冻结</t>
        </is>
      </c>
      <c r="E26" s="35" t="inlineStr">
        <is>
          <t>版本控制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defaultRowHeight="15"/>
  <cols>
    <col min="1" max="1" width="16" hidden="0" customWidth="1"/>
    <col min="2" max="2" width="15" hidden="0" customWidth="1"/>
    <col min="3" max="3" width="18" hidden="0" customWidth="1"/>
    <col min="4" max="4" width="18" hidden="0" customWidth="1"/>
    <col min="5" max="5" width="16" hidden="0" customWidth="1"/>
    <col min="6" max="6" width="16" hidden="0" customWidth="1"/>
    <col min="7" max="7" width="18" hidden="0" customWidth="1"/>
    <col min="8" max="8" width="16" hidden="0" customWidth="1"/>
    <col min="9" max="9" width="16" hidden="0" customWidth="1"/>
    <col min="10" max="10" width="18" hidden="0" customWidth="1"/>
    <col min="11" max="11" width="16" hidden="0" customWidth="1"/>
    <col min="12" max="12" width="16" hidden="0" customWidth="1"/>
    <col min="13" max="13" width="16" hidden="0" customWidth="1"/>
    <col min="14" max="14" width="18" hidden="0" customWidth="1"/>
    <col min="15" max="15" width="16" hidden="0" customWidth="1"/>
    <col min="16" max="16" width="15" hidden="0" customWidth="1"/>
    <col min="17" max="17" width="28" hidden="0" customWidth="1"/>
  </cols>
  <sheetData>
    <row r="1">
      <c r="A1" s="4" t="inlineStr">
        <is>
          <t>24 人平衡排程：六种物体顺序 × 两种互补方法序列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3">
      <c r="A3" s="28" t="inlineStr">
        <is>
          <t>Participant_ID</t>
        </is>
      </c>
      <c r="B3" s="29" t="inlineStr">
        <is>
          <t>Object_Order_ID</t>
        </is>
      </c>
      <c r="C3" s="29" t="inlineStr">
        <is>
          <t>Method_Sequence</t>
        </is>
      </c>
      <c r="D3" s="29" t="inlineStr">
        <is>
          <t>Block1_Object</t>
        </is>
      </c>
      <c r="E3" s="29" t="inlineStr">
        <is>
          <t>B1_Period1</t>
        </is>
      </c>
      <c r="F3" s="29" t="inlineStr">
        <is>
          <t>B1_Period2</t>
        </is>
      </c>
      <c r="G3" s="29" t="inlineStr">
        <is>
          <t>Block2_Object</t>
        </is>
      </c>
      <c r="H3" s="29" t="inlineStr">
        <is>
          <t>B2_Period1</t>
        </is>
      </c>
      <c r="I3" s="29" t="inlineStr">
        <is>
          <t>B2_Period2</t>
        </is>
      </c>
      <c r="J3" s="29" t="inlineStr">
        <is>
          <t>Block3_Object</t>
        </is>
      </c>
      <c r="K3" s="29" t="inlineStr">
        <is>
          <t>B3_Period1</t>
        </is>
      </c>
      <c r="L3" s="29" t="inlineStr">
        <is>
          <t>B3_Period2</t>
        </is>
      </c>
      <c r="M3" s="29" t="inlineStr">
        <is>
          <t>Ego_First_Count</t>
        </is>
      </c>
      <c r="N3" s="29" t="inlineStr">
        <is>
          <t>OneEuro_First_Count</t>
        </is>
      </c>
      <c r="O3" s="29" t="inlineStr">
        <is>
          <t>Planned_Ratings</t>
        </is>
      </c>
      <c r="P3" s="29" t="inlineStr">
        <is>
          <t>Balance_Cell</t>
        </is>
      </c>
      <c r="Q3" s="30" t="inlineStr">
        <is>
          <t>Notes</t>
        </is>
      </c>
    </row>
    <row r="4">
      <c r="A4" s="64" t="inlineStr">
        <is>
          <t>P001</t>
        </is>
      </c>
      <c r="B4" s="65" t="n">
        <v>1</v>
      </c>
      <c r="C4" s="65" t="inlineStr">
        <is>
          <t>S1</t>
        </is>
      </c>
      <c r="D4" s="65" t="inlineStr">
        <is>
          <t>无线鼠标</t>
        </is>
      </c>
      <c r="E4" s="65" t="inlineStr">
        <is>
          <t>EgoAnchor</t>
        </is>
      </c>
      <c r="F4" s="65" t="inlineStr">
        <is>
          <t>One-Euro</t>
        </is>
      </c>
      <c r="G4" s="65" t="inlineStr">
        <is>
          <t>固定闭合订书机</t>
        </is>
      </c>
      <c r="H4" s="65" t="inlineStr">
        <is>
          <t>One-Euro</t>
        </is>
      </c>
      <c r="I4" s="65" t="inlineStr">
        <is>
          <t>EgoAnchor</t>
        </is>
      </c>
      <c r="J4" s="65" t="inlineStr">
        <is>
          <t>游戏手柄</t>
        </is>
      </c>
      <c r="K4" s="65" t="inlineStr">
        <is>
          <t>EgoAnchor</t>
        </is>
      </c>
      <c r="L4" s="65" t="inlineStr">
        <is>
          <t>One-Euro</t>
        </is>
      </c>
      <c r="M4" s="65" t="n">
        <v>2</v>
      </c>
      <c r="N4" s="65" t="n">
        <v>1</v>
      </c>
      <c r="O4" s="65" t="n">
        <v>42</v>
      </c>
      <c r="P4" s="65" t="inlineStr">
        <is>
          <t>O1-S1</t>
        </is>
      </c>
      <c r="Q4" s="66" t="inlineStr">
        <is>
          <t/>
        </is>
      </c>
    </row>
    <row r="5">
      <c r="A5" s="64" t="inlineStr">
        <is>
          <t>P002</t>
        </is>
      </c>
      <c r="B5" s="65" t="n">
        <v>1</v>
      </c>
      <c r="C5" s="65" t="inlineStr">
        <is>
          <t>S1</t>
        </is>
      </c>
      <c r="D5" s="65" t="inlineStr">
        <is>
          <t>无线鼠标</t>
        </is>
      </c>
      <c r="E5" s="65" t="inlineStr">
        <is>
          <t>EgoAnchor</t>
        </is>
      </c>
      <c r="F5" s="65" t="inlineStr">
        <is>
          <t>One-Euro</t>
        </is>
      </c>
      <c r="G5" s="65" t="inlineStr">
        <is>
          <t>固定闭合订书机</t>
        </is>
      </c>
      <c r="H5" s="65" t="inlineStr">
        <is>
          <t>One-Euro</t>
        </is>
      </c>
      <c r="I5" s="65" t="inlineStr">
        <is>
          <t>EgoAnchor</t>
        </is>
      </c>
      <c r="J5" s="65" t="inlineStr">
        <is>
          <t>游戏手柄</t>
        </is>
      </c>
      <c r="K5" s="65" t="inlineStr">
        <is>
          <t>EgoAnchor</t>
        </is>
      </c>
      <c r="L5" s="65" t="inlineStr">
        <is>
          <t>One-Euro</t>
        </is>
      </c>
      <c r="M5" s="65" t="n">
        <v>2</v>
      </c>
      <c r="N5" s="65" t="n">
        <v>1</v>
      </c>
      <c r="O5" s="65" t="n">
        <v>42</v>
      </c>
      <c r="P5" s="65" t="inlineStr">
        <is>
          <t>O1-S1</t>
        </is>
      </c>
      <c r="Q5" s="66" t="inlineStr">
        <is>
          <t/>
        </is>
      </c>
    </row>
    <row r="6">
      <c r="A6" s="64" t="inlineStr">
        <is>
          <t>P003</t>
        </is>
      </c>
      <c r="B6" s="65" t="n">
        <v>1</v>
      </c>
      <c r="C6" s="65" t="inlineStr">
        <is>
          <t>S2</t>
        </is>
      </c>
      <c r="D6" s="65" t="inlineStr">
        <is>
          <t>无线鼠标</t>
        </is>
      </c>
      <c r="E6" s="65" t="inlineStr">
        <is>
          <t>One-Euro</t>
        </is>
      </c>
      <c r="F6" s="65" t="inlineStr">
        <is>
          <t>EgoAnchor</t>
        </is>
      </c>
      <c r="G6" s="65" t="inlineStr">
        <is>
          <t>固定闭合订书机</t>
        </is>
      </c>
      <c r="H6" s="65" t="inlineStr">
        <is>
          <t>EgoAnchor</t>
        </is>
      </c>
      <c r="I6" s="65" t="inlineStr">
        <is>
          <t>One-Euro</t>
        </is>
      </c>
      <c r="J6" s="65" t="inlineStr">
        <is>
          <t>游戏手柄</t>
        </is>
      </c>
      <c r="K6" s="65" t="inlineStr">
        <is>
          <t>One-Euro</t>
        </is>
      </c>
      <c r="L6" s="65" t="inlineStr">
        <is>
          <t>EgoAnchor</t>
        </is>
      </c>
      <c r="M6" s="65" t="n">
        <v>1</v>
      </c>
      <c r="N6" s="65" t="n">
        <v>2</v>
      </c>
      <c r="O6" s="65" t="n">
        <v>42</v>
      </c>
      <c r="P6" s="65" t="inlineStr">
        <is>
          <t>O1-S2</t>
        </is>
      </c>
      <c r="Q6" s="66" t="inlineStr">
        <is>
          <t/>
        </is>
      </c>
    </row>
    <row r="7">
      <c r="A7" s="64" t="inlineStr">
        <is>
          <t>P004</t>
        </is>
      </c>
      <c r="B7" s="65" t="n">
        <v>1</v>
      </c>
      <c r="C7" s="65" t="inlineStr">
        <is>
          <t>S2</t>
        </is>
      </c>
      <c r="D7" s="65" t="inlineStr">
        <is>
          <t>无线鼠标</t>
        </is>
      </c>
      <c r="E7" s="65" t="inlineStr">
        <is>
          <t>One-Euro</t>
        </is>
      </c>
      <c r="F7" s="65" t="inlineStr">
        <is>
          <t>EgoAnchor</t>
        </is>
      </c>
      <c r="G7" s="65" t="inlineStr">
        <is>
          <t>固定闭合订书机</t>
        </is>
      </c>
      <c r="H7" s="65" t="inlineStr">
        <is>
          <t>EgoAnchor</t>
        </is>
      </c>
      <c r="I7" s="65" t="inlineStr">
        <is>
          <t>One-Euro</t>
        </is>
      </c>
      <c r="J7" s="65" t="inlineStr">
        <is>
          <t>游戏手柄</t>
        </is>
      </c>
      <c r="K7" s="65" t="inlineStr">
        <is>
          <t>One-Euro</t>
        </is>
      </c>
      <c r="L7" s="65" t="inlineStr">
        <is>
          <t>EgoAnchor</t>
        </is>
      </c>
      <c r="M7" s="65" t="n">
        <v>1</v>
      </c>
      <c r="N7" s="65" t="n">
        <v>2</v>
      </c>
      <c r="O7" s="65" t="n">
        <v>42</v>
      </c>
      <c r="P7" s="65" t="inlineStr">
        <is>
          <t>O1-S2</t>
        </is>
      </c>
      <c r="Q7" s="66" t="inlineStr">
        <is>
          <t/>
        </is>
      </c>
    </row>
    <row r="8">
      <c r="A8" s="64" t="inlineStr">
        <is>
          <t>P005</t>
        </is>
      </c>
      <c r="B8" s="65" t="n">
        <v>2</v>
      </c>
      <c r="C8" s="65" t="inlineStr">
        <is>
          <t>S1</t>
        </is>
      </c>
      <c r="D8" s="65" t="inlineStr">
        <is>
          <t>无线鼠标</t>
        </is>
      </c>
      <c r="E8" s="65" t="inlineStr">
        <is>
          <t>EgoAnchor</t>
        </is>
      </c>
      <c r="F8" s="65" t="inlineStr">
        <is>
          <t>One-Euro</t>
        </is>
      </c>
      <c r="G8" s="65" t="inlineStr">
        <is>
          <t>游戏手柄</t>
        </is>
      </c>
      <c r="H8" s="65" t="inlineStr">
        <is>
          <t>One-Euro</t>
        </is>
      </c>
      <c r="I8" s="65" t="inlineStr">
        <is>
          <t>EgoAnchor</t>
        </is>
      </c>
      <c r="J8" s="65" t="inlineStr">
        <is>
          <t>固定闭合订书机</t>
        </is>
      </c>
      <c r="K8" s="65" t="inlineStr">
        <is>
          <t>EgoAnchor</t>
        </is>
      </c>
      <c r="L8" s="65" t="inlineStr">
        <is>
          <t>One-Euro</t>
        </is>
      </c>
      <c r="M8" s="65" t="n">
        <v>2</v>
      </c>
      <c r="N8" s="65" t="n">
        <v>1</v>
      </c>
      <c r="O8" s="65" t="n">
        <v>42</v>
      </c>
      <c r="P8" s="65" t="inlineStr">
        <is>
          <t>O2-S1</t>
        </is>
      </c>
      <c r="Q8" s="66" t="inlineStr">
        <is>
          <t/>
        </is>
      </c>
    </row>
    <row r="9">
      <c r="A9" s="64" t="inlineStr">
        <is>
          <t>P006</t>
        </is>
      </c>
      <c r="B9" s="65" t="n">
        <v>2</v>
      </c>
      <c r="C9" s="65" t="inlineStr">
        <is>
          <t>S1</t>
        </is>
      </c>
      <c r="D9" s="65" t="inlineStr">
        <is>
          <t>无线鼠标</t>
        </is>
      </c>
      <c r="E9" s="65" t="inlineStr">
        <is>
          <t>EgoAnchor</t>
        </is>
      </c>
      <c r="F9" s="65" t="inlineStr">
        <is>
          <t>One-Euro</t>
        </is>
      </c>
      <c r="G9" s="65" t="inlineStr">
        <is>
          <t>游戏手柄</t>
        </is>
      </c>
      <c r="H9" s="65" t="inlineStr">
        <is>
          <t>One-Euro</t>
        </is>
      </c>
      <c r="I9" s="65" t="inlineStr">
        <is>
          <t>EgoAnchor</t>
        </is>
      </c>
      <c r="J9" s="65" t="inlineStr">
        <is>
          <t>固定闭合订书机</t>
        </is>
      </c>
      <c r="K9" s="65" t="inlineStr">
        <is>
          <t>EgoAnchor</t>
        </is>
      </c>
      <c r="L9" s="65" t="inlineStr">
        <is>
          <t>One-Euro</t>
        </is>
      </c>
      <c r="M9" s="65" t="n">
        <v>2</v>
      </c>
      <c r="N9" s="65" t="n">
        <v>1</v>
      </c>
      <c r="O9" s="65" t="n">
        <v>42</v>
      </c>
      <c r="P9" s="65" t="inlineStr">
        <is>
          <t>O2-S1</t>
        </is>
      </c>
      <c r="Q9" s="66" t="inlineStr">
        <is>
          <t/>
        </is>
      </c>
    </row>
    <row r="10">
      <c r="A10" s="64" t="inlineStr">
        <is>
          <t>P007</t>
        </is>
      </c>
      <c r="B10" s="65" t="n">
        <v>2</v>
      </c>
      <c r="C10" s="65" t="inlineStr">
        <is>
          <t>S2</t>
        </is>
      </c>
      <c r="D10" s="65" t="inlineStr">
        <is>
          <t>无线鼠标</t>
        </is>
      </c>
      <c r="E10" s="65" t="inlineStr">
        <is>
          <t>One-Euro</t>
        </is>
      </c>
      <c r="F10" s="65" t="inlineStr">
        <is>
          <t>EgoAnchor</t>
        </is>
      </c>
      <c r="G10" s="65" t="inlineStr">
        <is>
          <t>游戏手柄</t>
        </is>
      </c>
      <c r="H10" s="65" t="inlineStr">
        <is>
          <t>EgoAnchor</t>
        </is>
      </c>
      <c r="I10" s="65" t="inlineStr">
        <is>
          <t>One-Euro</t>
        </is>
      </c>
      <c r="J10" s="65" t="inlineStr">
        <is>
          <t>固定闭合订书机</t>
        </is>
      </c>
      <c r="K10" s="65" t="inlineStr">
        <is>
          <t>One-Euro</t>
        </is>
      </c>
      <c r="L10" s="65" t="inlineStr">
        <is>
          <t>EgoAnchor</t>
        </is>
      </c>
      <c r="M10" s="65" t="n">
        <v>1</v>
      </c>
      <c r="N10" s="65" t="n">
        <v>2</v>
      </c>
      <c r="O10" s="65" t="n">
        <v>42</v>
      </c>
      <c r="P10" s="65" t="inlineStr">
        <is>
          <t>O2-S2</t>
        </is>
      </c>
      <c r="Q10" s="66" t="inlineStr">
        <is>
          <t/>
        </is>
      </c>
    </row>
    <row r="11">
      <c r="A11" s="64" t="inlineStr">
        <is>
          <t>P008</t>
        </is>
      </c>
      <c r="B11" s="65" t="n">
        <v>2</v>
      </c>
      <c r="C11" s="65" t="inlineStr">
        <is>
          <t>S2</t>
        </is>
      </c>
      <c r="D11" s="65" t="inlineStr">
        <is>
          <t>无线鼠标</t>
        </is>
      </c>
      <c r="E11" s="65" t="inlineStr">
        <is>
          <t>One-Euro</t>
        </is>
      </c>
      <c r="F11" s="65" t="inlineStr">
        <is>
          <t>EgoAnchor</t>
        </is>
      </c>
      <c r="G11" s="65" t="inlineStr">
        <is>
          <t>游戏手柄</t>
        </is>
      </c>
      <c r="H11" s="65" t="inlineStr">
        <is>
          <t>EgoAnchor</t>
        </is>
      </c>
      <c r="I11" s="65" t="inlineStr">
        <is>
          <t>One-Euro</t>
        </is>
      </c>
      <c r="J11" s="65" t="inlineStr">
        <is>
          <t>固定闭合订书机</t>
        </is>
      </c>
      <c r="K11" s="65" t="inlineStr">
        <is>
          <t>One-Euro</t>
        </is>
      </c>
      <c r="L11" s="65" t="inlineStr">
        <is>
          <t>EgoAnchor</t>
        </is>
      </c>
      <c r="M11" s="65" t="n">
        <v>1</v>
      </c>
      <c r="N11" s="65" t="n">
        <v>2</v>
      </c>
      <c r="O11" s="65" t="n">
        <v>42</v>
      </c>
      <c r="P11" s="65" t="inlineStr">
        <is>
          <t>O2-S2</t>
        </is>
      </c>
      <c r="Q11" s="66" t="inlineStr">
        <is>
          <t/>
        </is>
      </c>
    </row>
    <row r="12">
      <c r="A12" s="64" t="inlineStr">
        <is>
          <t>P009</t>
        </is>
      </c>
      <c r="B12" s="65" t="n">
        <v>3</v>
      </c>
      <c r="C12" s="65" t="inlineStr">
        <is>
          <t>S1</t>
        </is>
      </c>
      <c r="D12" s="65" t="inlineStr">
        <is>
          <t>固定闭合订书机</t>
        </is>
      </c>
      <c r="E12" s="65" t="inlineStr">
        <is>
          <t>EgoAnchor</t>
        </is>
      </c>
      <c r="F12" s="65" t="inlineStr">
        <is>
          <t>One-Euro</t>
        </is>
      </c>
      <c r="G12" s="65" t="inlineStr">
        <is>
          <t>无线鼠标</t>
        </is>
      </c>
      <c r="H12" s="65" t="inlineStr">
        <is>
          <t>One-Euro</t>
        </is>
      </c>
      <c r="I12" s="65" t="inlineStr">
        <is>
          <t>EgoAnchor</t>
        </is>
      </c>
      <c r="J12" s="65" t="inlineStr">
        <is>
          <t>游戏手柄</t>
        </is>
      </c>
      <c r="K12" s="65" t="inlineStr">
        <is>
          <t>EgoAnchor</t>
        </is>
      </c>
      <c r="L12" s="65" t="inlineStr">
        <is>
          <t>One-Euro</t>
        </is>
      </c>
      <c r="M12" s="65" t="n">
        <v>2</v>
      </c>
      <c r="N12" s="65" t="n">
        <v>1</v>
      </c>
      <c r="O12" s="65" t="n">
        <v>42</v>
      </c>
      <c r="P12" s="65" t="inlineStr">
        <is>
          <t>O3-S1</t>
        </is>
      </c>
      <c r="Q12" s="66" t="inlineStr">
        <is>
          <t/>
        </is>
      </c>
    </row>
    <row r="13">
      <c r="A13" s="64" t="inlineStr">
        <is>
          <t>P010</t>
        </is>
      </c>
      <c r="B13" s="65" t="n">
        <v>3</v>
      </c>
      <c r="C13" s="65" t="inlineStr">
        <is>
          <t>S1</t>
        </is>
      </c>
      <c r="D13" s="65" t="inlineStr">
        <is>
          <t>固定闭合订书机</t>
        </is>
      </c>
      <c r="E13" s="65" t="inlineStr">
        <is>
          <t>EgoAnchor</t>
        </is>
      </c>
      <c r="F13" s="65" t="inlineStr">
        <is>
          <t>One-Euro</t>
        </is>
      </c>
      <c r="G13" s="65" t="inlineStr">
        <is>
          <t>无线鼠标</t>
        </is>
      </c>
      <c r="H13" s="65" t="inlineStr">
        <is>
          <t>One-Euro</t>
        </is>
      </c>
      <c r="I13" s="65" t="inlineStr">
        <is>
          <t>EgoAnchor</t>
        </is>
      </c>
      <c r="J13" s="65" t="inlineStr">
        <is>
          <t>游戏手柄</t>
        </is>
      </c>
      <c r="K13" s="65" t="inlineStr">
        <is>
          <t>EgoAnchor</t>
        </is>
      </c>
      <c r="L13" s="65" t="inlineStr">
        <is>
          <t>One-Euro</t>
        </is>
      </c>
      <c r="M13" s="65" t="n">
        <v>2</v>
      </c>
      <c r="N13" s="65" t="n">
        <v>1</v>
      </c>
      <c r="O13" s="65" t="n">
        <v>42</v>
      </c>
      <c r="P13" s="65" t="inlineStr">
        <is>
          <t>O3-S1</t>
        </is>
      </c>
      <c r="Q13" s="66" t="inlineStr">
        <is>
          <t/>
        </is>
      </c>
    </row>
    <row r="14">
      <c r="A14" s="64" t="inlineStr">
        <is>
          <t>P011</t>
        </is>
      </c>
      <c r="B14" s="65" t="n">
        <v>3</v>
      </c>
      <c r="C14" s="65" t="inlineStr">
        <is>
          <t>S2</t>
        </is>
      </c>
      <c r="D14" s="65" t="inlineStr">
        <is>
          <t>固定闭合订书机</t>
        </is>
      </c>
      <c r="E14" s="65" t="inlineStr">
        <is>
          <t>One-Euro</t>
        </is>
      </c>
      <c r="F14" s="65" t="inlineStr">
        <is>
          <t>EgoAnchor</t>
        </is>
      </c>
      <c r="G14" s="65" t="inlineStr">
        <is>
          <t>无线鼠标</t>
        </is>
      </c>
      <c r="H14" s="65" t="inlineStr">
        <is>
          <t>EgoAnchor</t>
        </is>
      </c>
      <c r="I14" s="65" t="inlineStr">
        <is>
          <t>One-Euro</t>
        </is>
      </c>
      <c r="J14" s="65" t="inlineStr">
        <is>
          <t>游戏手柄</t>
        </is>
      </c>
      <c r="K14" s="65" t="inlineStr">
        <is>
          <t>One-Euro</t>
        </is>
      </c>
      <c r="L14" s="65" t="inlineStr">
        <is>
          <t>EgoAnchor</t>
        </is>
      </c>
      <c r="M14" s="65" t="n">
        <v>1</v>
      </c>
      <c r="N14" s="65" t="n">
        <v>2</v>
      </c>
      <c r="O14" s="65" t="n">
        <v>42</v>
      </c>
      <c r="P14" s="65" t="inlineStr">
        <is>
          <t>O3-S2</t>
        </is>
      </c>
      <c r="Q14" s="66" t="inlineStr">
        <is>
          <t/>
        </is>
      </c>
    </row>
    <row r="15">
      <c r="A15" s="64" t="inlineStr">
        <is>
          <t>P012</t>
        </is>
      </c>
      <c r="B15" s="65" t="n">
        <v>3</v>
      </c>
      <c r="C15" s="65" t="inlineStr">
        <is>
          <t>S2</t>
        </is>
      </c>
      <c r="D15" s="65" t="inlineStr">
        <is>
          <t>固定闭合订书机</t>
        </is>
      </c>
      <c r="E15" s="65" t="inlineStr">
        <is>
          <t>One-Euro</t>
        </is>
      </c>
      <c r="F15" s="65" t="inlineStr">
        <is>
          <t>EgoAnchor</t>
        </is>
      </c>
      <c r="G15" s="65" t="inlineStr">
        <is>
          <t>无线鼠标</t>
        </is>
      </c>
      <c r="H15" s="65" t="inlineStr">
        <is>
          <t>EgoAnchor</t>
        </is>
      </c>
      <c r="I15" s="65" t="inlineStr">
        <is>
          <t>One-Euro</t>
        </is>
      </c>
      <c r="J15" s="65" t="inlineStr">
        <is>
          <t>游戏手柄</t>
        </is>
      </c>
      <c r="K15" s="65" t="inlineStr">
        <is>
          <t>One-Euro</t>
        </is>
      </c>
      <c r="L15" s="65" t="inlineStr">
        <is>
          <t>EgoAnchor</t>
        </is>
      </c>
      <c r="M15" s="65" t="n">
        <v>1</v>
      </c>
      <c r="N15" s="65" t="n">
        <v>2</v>
      </c>
      <c r="O15" s="65" t="n">
        <v>42</v>
      </c>
      <c r="P15" s="65" t="inlineStr">
        <is>
          <t>O3-S2</t>
        </is>
      </c>
      <c r="Q15" s="66" t="inlineStr">
        <is>
          <t/>
        </is>
      </c>
    </row>
    <row r="16">
      <c r="A16" s="64" t="inlineStr">
        <is>
          <t>P013</t>
        </is>
      </c>
      <c r="B16" s="65" t="n">
        <v>4</v>
      </c>
      <c r="C16" s="65" t="inlineStr">
        <is>
          <t>S1</t>
        </is>
      </c>
      <c r="D16" s="65" t="inlineStr">
        <is>
          <t>固定闭合订书机</t>
        </is>
      </c>
      <c r="E16" s="65" t="inlineStr">
        <is>
          <t>EgoAnchor</t>
        </is>
      </c>
      <c r="F16" s="65" t="inlineStr">
        <is>
          <t>One-Euro</t>
        </is>
      </c>
      <c r="G16" s="65" t="inlineStr">
        <is>
          <t>游戏手柄</t>
        </is>
      </c>
      <c r="H16" s="65" t="inlineStr">
        <is>
          <t>One-Euro</t>
        </is>
      </c>
      <c r="I16" s="65" t="inlineStr">
        <is>
          <t>EgoAnchor</t>
        </is>
      </c>
      <c r="J16" s="65" t="inlineStr">
        <is>
          <t>无线鼠标</t>
        </is>
      </c>
      <c r="K16" s="65" t="inlineStr">
        <is>
          <t>EgoAnchor</t>
        </is>
      </c>
      <c r="L16" s="65" t="inlineStr">
        <is>
          <t>One-Euro</t>
        </is>
      </c>
      <c r="M16" s="65" t="n">
        <v>2</v>
      </c>
      <c r="N16" s="65" t="n">
        <v>1</v>
      </c>
      <c r="O16" s="65" t="n">
        <v>42</v>
      </c>
      <c r="P16" s="65" t="inlineStr">
        <is>
          <t>O4-S1</t>
        </is>
      </c>
      <c r="Q16" s="66" t="inlineStr">
        <is>
          <t/>
        </is>
      </c>
    </row>
    <row r="17">
      <c r="A17" s="64" t="inlineStr">
        <is>
          <t>P014</t>
        </is>
      </c>
      <c r="B17" s="65" t="n">
        <v>4</v>
      </c>
      <c r="C17" s="65" t="inlineStr">
        <is>
          <t>S1</t>
        </is>
      </c>
      <c r="D17" s="65" t="inlineStr">
        <is>
          <t>固定闭合订书机</t>
        </is>
      </c>
      <c r="E17" s="65" t="inlineStr">
        <is>
          <t>EgoAnchor</t>
        </is>
      </c>
      <c r="F17" s="65" t="inlineStr">
        <is>
          <t>One-Euro</t>
        </is>
      </c>
      <c r="G17" s="65" t="inlineStr">
        <is>
          <t>游戏手柄</t>
        </is>
      </c>
      <c r="H17" s="65" t="inlineStr">
        <is>
          <t>One-Euro</t>
        </is>
      </c>
      <c r="I17" s="65" t="inlineStr">
        <is>
          <t>EgoAnchor</t>
        </is>
      </c>
      <c r="J17" s="65" t="inlineStr">
        <is>
          <t>无线鼠标</t>
        </is>
      </c>
      <c r="K17" s="65" t="inlineStr">
        <is>
          <t>EgoAnchor</t>
        </is>
      </c>
      <c r="L17" s="65" t="inlineStr">
        <is>
          <t>One-Euro</t>
        </is>
      </c>
      <c r="M17" s="65" t="n">
        <v>2</v>
      </c>
      <c r="N17" s="65" t="n">
        <v>1</v>
      </c>
      <c r="O17" s="65" t="n">
        <v>42</v>
      </c>
      <c r="P17" s="65" t="inlineStr">
        <is>
          <t>O4-S1</t>
        </is>
      </c>
      <c r="Q17" s="66" t="inlineStr">
        <is>
          <t/>
        </is>
      </c>
    </row>
    <row r="18">
      <c r="A18" s="64" t="inlineStr">
        <is>
          <t>P015</t>
        </is>
      </c>
      <c r="B18" s="65" t="n">
        <v>4</v>
      </c>
      <c r="C18" s="65" t="inlineStr">
        <is>
          <t>S2</t>
        </is>
      </c>
      <c r="D18" s="65" t="inlineStr">
        <is>
          <t>固定闭合订书机</t>
        </is>
      </c>
      <c r="E18" s="65" t="inlineStr">
        <is>
          <t>One-Euro</t>
        </is>
      </c>
      <c r="F18" s="65" t="inlineStr">
        <is>
          <t>EgoAnchor</t>
        </is>
      </c>
      <c r="G18" s="65" t="inlineStr">
        <is>
          <t>游戏手柄</t>
        </is>
      </c>
      <c r="H18" s="65" t="inlineStr">
        <is>
          <t>EgoAnchor</t>
        </is>
      </c>
      <c r="I18" s="65" t="inlineStr">
        <is>
          <t>One-Euro</t>
        </is>
      </c>
      <c r="J18" s="65" t="inlineStr">
        <is>
          <t>无线鼠标</t>
        </is>
      </c>
      <c r="K18" s="65" t="inlineStr">
        <is>
          <t>One-Euro</t>
        </is>
      </c>
      <c r="L18" s="65" t="inlineStr">
        <is>
          <t>EgoAnchor</t>
        </is>
      </c>
      <c r="M18" s="65" t="n">
        <v>1</v>
      </c>
      <c r="N18" s="65" t="n">
        <v>2</v>
      </c>
      <c r="O18" s="65" t="n">
        <v>42</v>
      </c>
      <c r="P18" s="65" t="inlineStr">
        <is>
          <t>O4-S2</t>
        </is>
      </c>
      <c r="Q18" s="66" t="inlineStr">
        <is>
          <t/>
        </is>
      </c>
    </row>
    <row r="19">
      <c r="A19" s="64" t="inlineStr">
        <is>
          <t>P016</t>
        </is>
      </c>
      <c r="B19" s="65" t="n">
        <v>4</v>
      </c>
      <c r="C19" s="65" t="inlineStr">
        <is>
          <t>S2</t>
        </is>
      </c>
      <c r="D19" s="65" t="inlineStr">
        <is>
          <t>固定闭合订书机</t>
        </is>
      </c>
      <c r="E19" s="65" t="inlineStr">
        <is>
          <t>One-Euro</t>
        </is>
      </c>
      <c r="F19" s="65" t="inlineStr">
        <is>
          <t>EgoAnchor</t>
        </is>
      </c>
      <c r="G19" s="65" t="inlineStr">
        <is>
          <t>游戏手柄</t>
        </is>
      </c>
      <c r="H19" s="65" t="inlineStr">
        <is>
          <t>EgoAnchor</t>
        </is>
      </c>
      <c r="I19" s="65" t="inlineStr">
        <is>
          <t>One-Euro</t>
        </is>
      </c>
      <c r="J19" s="65" t="inlineStr">
        <is>
          <t>无线鼠标</t>
        </is>
      </c>
      <c r="K19" s="65" t="inlineStr">
        <is>
          <t>One-Euro</t>
        </is>
      </c>
      <c r="L19" s="65" t="inlineStr">
        <is>
          <t>EgoAnchor</t>
        </is>
      </c>
      <c r="M19" s="65" t="n">
        <v>1</v>
      </c>
      <c r="N19" s="65" t="n">
        <v>2</v>
      </c>
      <c r="O19" s="65" t="n">
        <v>42</v>
      </c>
      <c r="P19" s="65" t="inlineStr">
        <is>
          <t>O4-S2</t>
        </is>
      </c>
      <c r="Q19" s="66" t="inlineStr">
        <is>
          <t/>
        </is>
      </c>
    </row>
    <row r="20">
      <c r="A20" s="64" t="inlineStr">
        <is>
          <t>P017</t>
        </is>
      </c>
      <c r="B20" s="65" t="n">
        <v>5</v>
      </c>
      <c r="C20" s="65" t="inlineStr">
        <is>
          <t>S1</t>
        </is>
      </c>
      <c r="D20" s="65" t="inlineStr">
        <is>
          <t>游戏手柄</t>
        </is>
      </c>
      <c r="E20" s="65" t="inlineStr">
        <is>
          <t>EgoAnchor</t>
        </is>
      </c>
      <c r="F20" s="65" t="inlineStr">
        <is>
          <t>One-Euro</t>
        </is>
      </c>
      <c r="G20" s="65" t="inlineStr">
        <is>
          <t>无线鼠标</t>
        </is>
      </c>
      <c r="H20" s="65" t="inlineStr">
        <is>
          <t>One-Euro</t>
        </is>
      </c>
      <c r="I20" s="65" t="inlineStr">
        <is>
          <t>EgoAnchor</t>
        </is>
      </c>
      <c r="J20" s="65" t="inlineStr">
        <is>
          <t>固定闭合订书机</t>
        </is>
      </c>
      <c r="K20" s="65" t="inlineStr">
        <is>
          <t>EgoAnchor</t>
        </is>
      </c>
      <c r="L20" s="65" t="inlineStr">
        <is>
          <t>One-Euro</t>
        </is>
      </c>
      <c r="M20" s="65" t="n">
        <v>2</v>
      </c>
      <c r="N20" s="65" t="n">
        <v>1</v>
      </c>
      <c r="O20" s="65" t="n">
        <v>42</v>
      </c>
      <c r="P20" s="65" t="inlineStr">
        <is>
          <t>O5-S1</t>
        </is>
      </c>
      <c r="Q20" s="66" t="inlineStr">
        <is>
          <t/>
        </is>
      </c>
    </row>
    <row r="21">
      <c r="A21" s="64" t="inlineStr">
        <is>
          <t>P018</t>
        </is>
      </c>
      <c r="B21" s="65" t="n">
        <v>5</v>
      </c>
      <c r="C21" s="65" t="inlineStr">
        <is>
          <t>S1</t>
        </is>
      </c>
      <c r="D21" s="65" t="inlineStr">
        <is>
          <t>游戏手柄</t>
        </is>
      </c>
      <c r="E21" s="65" t="inlineStr">
        <is>
          <t>EgoAnchor</t>
        </is>
      </c>
      <c r="F21" s="65" t="inlineStr">
        <is>
          <t>One-Euro</t>
        </is>
      </c>
      <c r="G21" s="65" t="inlineStr">
        <is>
          <t>无线鼠标</t>
        </is>
      </c>
      <c r="H21" s="65" t="inlineStr">
        <is>
          <t>One-Euro</t>
        </is>
      </c>
      <c r="I21" s="65" t="inlineStr">
        <is>
          <t>EgoAnchor</t>
        </is>
      </c>
      <c r="J21" s="65" t="inlineStr">
        <is>
          <t>固定闭合订书机</t>
        </is>
      </c>
      <c r="K21" s="65" t="inlineStr">
        <is>
          <t>EgoAnchor</t>
        </is>
      </c>
      <c r="L21" s="65" t="inlineStr">
        <is>
          <t>One-Euro</t>
        </is>
      </c>
      <c r="M21" s="65" t="n">
        <v>2</v>
      </c>
      <c r="N21" s="65" t="n">
        <v>1</v>
      </c>
      <c r="O21" s="65" t="n">
        <v>42</v>
      </c>
      <c r="P21" s="65" t="inlineStr">
        <is>
          <t>O5-S1</t>
        </is>
      </c>
      <c r="Q21" s="66" t="inlineStr">
        <is>
          <t/>
        </is>
      </c>
    </row>
    <row r="22">
      <c r="A22" s="64" t="inlineStr">
        <is>
          <t>P019</t>
        </is>
      </c>
      <c r="B22" s="65" t="n">
        <v>5</v>
      </c>
      <c r="C22" s="65" t="inlineStr">
        <is>
          <t>S2</t>
        </is>
      </c>
      <c r="D22" s="65" t="inlineStr">
        <is>
          <t>游戏手柄</t>
        </is>
      </c>
      <c r="E22" s="65" t="inlineStr">
        <is>
          <t>One-Euro</t>
        </is>
      </c>
      <c r="F22" s="65" t="inlineStr">
        <is>
          <t>EgoAnchor</t>
        </is>
      </c>
      <c r="G22" s="65" t="inlineStr">
        <is>
          <t>无线鼠标</t>
        </is>
      </c>
      <c r="H22" s="65" t="inlineStr">
        <is>
          <t>EgoAnchor</t>
        </is>
      </c>
      <c r="I22" s="65" t="inlineStr">
        <is>
          <t>One-Euro</t>
        </is>
      </c>
      <c r="J22" s="65" t="inlineStr">
        <is>
          <t>固定闭合订书机</t>
        </is>
      </c>
      <c r="K22" s="65" t="inlineStr">
        <is>
          <t>One-Euro</t>
        </is>
      </c>
      <c r="L22" s="65" t="inlineStr">
        <is>
          <t>EgoAnchor</t>
        </is>
      </c>
      <c r="M22" s="65" t="n">
        <v>1</v>
      </c>
      <c r="N22" s="65" t="n">
        <v>2</v>
      </c>
      <c r="O22" s="65" t="n">
        <v>42</v>
      </c>
      <c r="P22" s="65" t="inlineStr">
        <is>
          <t>O5-S2</t>
        </is>
      </c>
      <c r="Q22" s="66" t="inlineStr">
        <is>
          <t/>
        </is>
      </c>
    </row>
    <row r="23">
      <c r="A23" s="64" t="inlineStr">
        <is>
          <t>P020</t>
        </is>
      </c>
      <c r="B23" s="65" t="n">
        <v>5</v>
      </c>
      <c r="C23" s="65" t="inlineStr">
        <is>
          <t>S2</t>
        </is>
      </c>
      <c r="D23" s="65" t="inlineStr">
        <is>
          <t>游戏手柄</t>
        </is>
      </c>
      <c r="E23" s="65" t="inlineStr">
        <is>
          <t>One-Euro</t>
        </is>
      </c>
      <c r="F23" s="65" t="inlineStr">
        <is>
          <t>EgoAnchor</t>
        </is>
      </c>
      <c r="G23" s="65" t="inlineStr">
        <is>
          <t>无线鼠标</t>
        </is>
      </c>
      <c r="H23" s="65" t="inlineStr">
        <is>
          <t>EgoAnchor</t>
        </is>
      </c>
      <c r="I23" s="65" t="inlineStr">
        <is>
          <t>One-Euro</t>
        </is>
      </c>
      <c r="J23" s="65" t="inlineStr">
        <is>
          <t>固定闭合订书机</t>
        </is>
      </c>
      <c r="K23" s="65" t="inlineStr">
        <is>
          <t>One-Euro</t>
        </is>
      </c>
      <c r="L23" s="65" t="inlineStr">
        <is>
          <t>EgoAnchor</t>
        </is>
      </c>
      <c r="M23" s="65" t="n">
        <v>1</v>
      </c>
      <c r="N23" s="65" t="n">
        <v>2</v>
      </c>
      <c r="O23" s="65" t="n">
        <v>42</v>
      </c>
      <c r="P23" s="65" t="inlineStr">
        <is>
          <t>O5-S2</t>
        </is>
      </c>
      <c r="Q23" s="66" t="inlineStr">
        <is>
          <t/>
        </is>
      </c>
    </row>
    <row r="24">
      <c r="A24" s="64" t="inlineStr">
        <is>
          <t>P021</t>
        </is>
      </c>
      <c r="B24" s="65" t="n">
        <v>6</v>
      </c>
      <c r="C24" s="65" t="inlineStr">
        <is>
          <t>S1</t>
        </is>
      </c>
      <c r="D24" s="65" t="inlineStr">
        <is>
          <t>游戏手柄</t>
        </is>
      </c>
      <c r="E24" s="65" t="inlineStr">
        <is>
          <t>EgoAnchor</t>
        </is>
      </c>
      <c r="F24" s="65" t="inlineStr">
        <is>
          <t>One-Euro</t>
        </is>
      </c>
      <c r="G24" s="65" t="inlineStr">
        <is>
          <t>固定闭合订书机</t>
        </is>
      </c>
      <c r="H24" s="65" t="inlineStr">
        <is>
          <t>One-Euro</t>
        </is>
      </c>
      <c r="I24" s="65" t="inlineStr">
        <is>
          <t>EgoAnchor</t>
        </is>
      </c>
      <c r="J24" s="65" t="inlineStr">
        <is>
          <t>无线鼠标</t>
        </is>
      </c>
      <c r="K24" s="65" t="inlineStr">
        <is>
          <t>EgoAnchor</t>
        </is>
      </c>
      <c r="L24" s="65" t="inlineStr">
        <is>
          <t>One-Euro</t>
        </is>
      </c>
      <c r="M24" s="65" t="n">
        <v>2</v>
      </c>
      <c r="N24" s="65" t="n">
        <v>1</v>
      </c>
      <c r="O24" s="65" t="n">
        <v>42</v>
      </c>
      <c r="P24" s="65" t="inlineStr">
        <is>
          <t>O6-S1</t>
        </is>
      </c>
      <c r="Q24" s="66" t="inlineStr">
        <is>
          <t/>
        </is>
      </c>
    </row>
    <row r="25">
      <c r="A25" s="64" t="inlineStr">
        <is>
          <t>P022</t>
        </is>
      </c>
      <c r="B25" s="65" t="n">
        <v>6</v>
      </c>
      <c r="C25" s="65" t="inlineStr">
        <is>
          <t>S1</t>
        </is>
      </c>
      <c r="D25" s="65" t="inlineStr">
        <is>
          <t>游戏手柄</t>
        </is>
      </c>
      <c r="E25" s="65" t="inlineStr">
        <is>
          <t>EgoAnchor</t>
        </is>
      </c>
      <c r="F25" s="65" t="inlineStr">
        <is>
          <t>One-Euro</t>
        </is>
      </c>
      <c r="G25" s="65" t="inlineStr">
        <is>
          <t>固定闭合订书机</t>
        </is>
      </c>
      <c r="H25" s="65" t="inlineStr">
        <is>
          <t>One-Euro</t>
        </is>
      </c>
      <c r="I25" s="65" t="inlineStr">
        <is>
          <t>EgoAnchor</t>
        </is>
      </c>
      <c r="J25" s="65" t="inlineStr">
        <is>
          <t>无线鼠标</t>
        </is>
      </c>
      <c r="K25" s="65" t="inlineStr">
        <is>
          <t>EgoAnchor</t>
        </is>
      </c>
      <c r="L25" s="65" t="inlineStr">
        <is>
          <t>One-Euro</t>
        </is>
      </c>
      <c r="M25" s="65" t="n">
        <v>2</v>
      </c>
      <c r="N25" s="65" t="n">
        <v>1</v>
      </c>
      <c r="O25" s="65" t="n">
        <v>42</v>
      </c>
      <c r="P25" s="65" t="inlineStr">
        <is>
          <t>O6-S1</t>
        </is>
      </c>
      <c r="Q25" s="66" t="inlineStr">
        <is>
          <t/>
        </is>
      </c>
    </row>
    <row r="26">
      <c r="A26" s="64" t="inlineStr">
        <is>
          <t>P023</t>
        </is>
      </c>
      <c r="B26" s="65" t="n">
        <v>6</v>
      </c>
      <c r="C26" s="65" t="inlineStr">
        <is>
          <t>S2</t>
        </is>
      </c>
      <c r="D26" s="65" t="inlineStr">
        <is>
          <t>游戏手柄</t>
        </is>
      </c>
      <c r="E26" s="65" t="inlineStr">
        <is>
          <t>One-Euro</t>
        </is>
      </c>
      <c r="F26" s="65" t="inlineStr">
        <is>
          <t>EgoAnchor</t>
        </is>
      </c>
      <c r="G26" s="65" t="inlineStr">
        <is>
          <t>固定闭合订书机</t>
        </is>
      </c>
      <c r="H26" s="65" t="inlineStr">
        <is>
          <t>EgoAnchor</t>
        </is>
      </c>
      <c r="I26" s="65" t="inlineStr">
        <is>
          <t>One-Euro</t>
        </is>
      </c>
      <c r="J26" s="65" t="inlineStr">
        <is>
          <t>无线鼠标</t>
        </is>
      </c>
      <c r="K26" s="65" t="inlineStr">
        <is>
          <t>One-Euro</t>
        </is>
      </c>
      <c r="L26" s="65" t="inlineStr">
        <is>
          <t>EgoAnchor</t>
        </is>
      </c>
      <c r="M26" s="65" t="n">
        <v>1</v>
      </c>
      <c r="N26" s="65" t="n">
        <v>2</v>
      </c>
      <c r="O26" s="65" t="n">
        <v>42</v>
      </c>
      <c r="P26" s="65" t="inlineStr">
        <is>
          <t>O6-S2</t>
        </is>
      </c>
      <c r="Q26" s="66" t="inlineStr">
        <is>
          <t/>
        </is>
      </c>
    </row>
    <row r="27">
      <c r="A27" s="67" t="inlineStr">
        <is>
          <t>P024</t>
        </is>
      </c>
      <c r="B27" s="68" t="n">
        <v>6</v>
      </c>
      <c r="C27" s="68" t="inlineStr">
        <is>
          <t>S2</t>
        </is>
      </c>
      <c r="D27" s="68" t="inlineStr">
        <is>
          <t>游戏手柄</t>
        </is>
      </c>
      <c r="E27" s="68" t="inlineStr">
        <is>
          <t>One-Euro</t>
        </is>
      </c>
      <c r="F27" s="68" t="inlineStr">
        <is>
          <t>EgoAnchor</t>
        </is>
      </c>
      <c r="G27" s="68" t="inlineStr">
        <is>
          <t>固定闭合订书机</t>
        </is>
      </c>
      <c r="H27" s="68" t="inlineStr">
        <is>
          <t>EgoAnchor</t>
        </is>
      </c>
      <c r="I27" s="68" t="inlineStr">
        <is>
          <t>One-Euro</t>
        </is>
      </c>
      <c r="J27" s="68" t="inlineStr">
        <is>
          <t>无线鼠标</t>
        </is>
      </c>
      <c r="K27" s="68" t="inlineStr">
        <is>
          <t>One-Euro</t>
        </is>
      </c>
      <c r="L27" s="68" t="inlineStr">
        <is>
          <t>EgoAnchor</t>
        </is>
      </c>
      <c r="M27" s="68" t="n">
        <v>1</v>
      </c>
      <c r="N27" s="68" t="n">
        <v>2</v>
      </c>
      <c r="O27" s="68" t="n">
        <v>42</v>
      </c>
      <c r="P27" s="68" t="inlineStr">
        <is>
          <t>O6-S2</t>
        </is>
      </c>
      <c r="Q27" s="69" t="inlineStr">
        <is>
          <t/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FormatPr defaultRowHeight="15"/>
  <cols>
    <col min="1" max="1" width="16" hidden="0" customWidth="1"/>
    <col min="2" max="2" width="10" hidden="0" customWidth="1"/>
    <col min="3" max="3" width="8" hidden="0" customWidth="1"/>
    <col min="4" max="4" width="16" hidden="0" customWidth="1"/>
    <col min="5" max="5" width="13" hidden="0" customWidth="1"/>
    <col min="6" max="6" width="18" hidden="0" customWidth="1"/>
    <col min="7" max="7" width="23" hidden="0" customWidth="1"/>
    <col min="8" max="8" width="15" hidden="0" customWidth="1"/>
    <col min="9" max="9" width="18" hidden="0" customWidth="1"/>
    <col min="10" max="10" width="18" hidden="0" customWidth="1"/>
    <col min="11" max="11" width="18" hidden="0" customWidth="1"/>
    <col min="12" max="12" width="18" hidden="0" customWidth="1"/>
    <col min="13" max="13" width="12" hidden="0" customWidth="1"/>
    <col min="14" max="14" width="12" hidden="0" customWidth="1"/>
    <col min="15" max="15" width="27" hidden="0" customWidth="1"/>
    <col min="16" max="16" width="34" hidden="0" customWidth="1"/>
  </cols>
  <sheetData>
    <row r="1">
      <c r="A1" s="4" t="inlineStr">
        <is>
          <t>参与者信息与纳入记录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3">
      <c r="A3" s="28" t="inlineStr">
        <is>
          <t>Participant_ID</t>
        </is>
      </c>
      <c r="B3" s="29" t="inlineStr">
        <is>
          <t>Include</t>
        </is>
      </c>
      <c r="C3" s="29" t="inlineStr">
        <is>
          <t>Age</t>
        </is>
      </c>
      <c r="D3" s="29" t="inlineStr">
        <is>
          <t>Gender</t>
        </is>
      </c>
      <c r="E3" s="29" t="inlineStr">
        <is>
          <t>Handedness</t>
        </is>
      </c>
      <c r="F3" s="29" t="inlineStr">
        <is>
          <t>Vision</t>
        </is>
      </c>
      <c r="G3" s="29" t="inlineStr">
        <is>
          <t>VRMR_Experience</t>
        </is>
      </c>
      <c r="H3" s="29" t="inlineStr">
        <is>
          <t>Object_Order_ID</t>
        </is>
      </c>
      <c r="I3" s="29" t="inlineStr">
        <is>
          <t>Method_Sequence</t>
        </is>
      </c>
      <c r="J3" s="29" t="inlineStr">
        <is>
          <t>Object1</t>
        </is>
      </c>
      <c r="K3" s="29" t="inlineStr">
        <is>
          <t>Object2</t>
        </is>
      </c>
      <c r="L3" s="29" t="inlineStr">
        <is>
          <t>Object3</t>
        </is>
      </c>
      <c r="M3" s="29" t="inlineStr">
        <is>
          <t>Consent</t>
        </is>
      </c>
      <c r="N3" s="29" t="inlineStr">
        <is>
          <t>Completed</t>
        </is>
      </c>
      <c r="O3" s="29" t="inlineStr">
        <is>
          <t>Withdrawal_Reason</t>
        </is>
      </c>
      <c r="P3" s="30" t="inlineStr">
        <is>
          <t>Notes</t>
        </is>
      </c>
    </row>
    <row r="4">
      <c r="A4" s="75" t="inlineStr">
        <is>
          <t>P001</t>
        </is>
      </c>
      <c r="B4" s="60" t="inlineStr">
        <is>
          <t>Yes</t>
        </is>
      </c>
      <c r="C4" s="55"/>
      <c r="D4" s="55"/>
      <c r="E4" s="55"/>
      <c r="F4" s="55"/>
      <c r="G4" s="55"/>
      <c r="H4" s="60" t="n">
        <v>1</v>
      </c>
      <c r="I4" s="60" t="inlineStr">
        <is>
          <t>S1</t>
        </is>
      </c>
      <c r="J4" s="60" t="inlineStr">
        <is>
          <t>无线鼠标</t>
        </is>
      </c>
      <c r="K4" s="60" t="inlineStr">
        <is>
          <t>固定闭合订书机</t>
        </is>
      </c>
      <c r="L4" s="60" t="inlineStr">
        <is>
          <t>游戏手柄</t>
        </is>
      </c>
      <c r="M4" s="55" t="inlineStr">
        <is>
          <t>Pending</t>
        </is>
      </c>
      <c r="N4" s="55" t="inlineStr">
        <is>
          <t>No</t>
        </is>
      </c>
      <c r="O4" s="55"/>
      <c r="P4" s="76"/>
    </row>
    <row r="5">
      <c r="A5" s="75" t="inlineStr">
        <is>
          <t>P002</t>
        </is>
      </c>
      <c r="B5" s="60" t="inlineStr">
        <is>
          <t>Yes</t>
        </is>
      </c>
      <c r="C5" s="55"/>
      <c r="D5" s="55"/>
      <c r="E5" s="55"/>
      <c r="F5" s="55"/>
      <c r="G5" s="55"/>
      <c r="H5" s="60" t="n">
        <v>1</v>
      </c>
      <c r="I5" s="60" t="inlineStr">
        <is>
          <t>S1</t>
        </is>
      </c>
      <c r="J5" s="60" t="inlineStr">
        <is>
          <t>无线鼠标</t>
        </is>
      </c>
      <c r="K5" s="60" t="inlineStr">
        <is>
          <t>固定闭合订书机</t>
        </is>
      </c>
      <c r="L5" s="60" t="inlineStr">
        <is>
          <t>游戏手柄</t>
        </is>
      </c>
      <c r="M5" s="55" t="inlineStr">
        <is>
          <t>Pending</t>
        </is>
      </c>
      <c r="N5" s="55" t="inlineStr">
        <is>
          <t>No</t>
        </is>
      </c>
      <c r="O5" s="55"/>
      <c r="P5" s="76"/>
    </row>
    <row r="6">
      <c r="A6" s="75" t="inlineStr">
        <is>
          <t>P003</t>
        </is>
      </c>
      <c r="B6" s="60" t="inlineStr">
        <is>
          <t>Yes</t>
        </is>
      </c>
      <c r="C6" s="55"/>
      <c r="D6" s="55"/>
      <c r="E6" s="55"/>
      <c r="F6" s="55"/>
      <c r="G6" s="55"/>
      <c r="H6" s="60" t="n">
        <v>1</v>
      </c>
      <c r="I6" s="60" t="inlineStr">
        <is>
          <t>S2</t>
        </is>
      </c>
      <c r="J6" s="60" t="inlineStr">
        <is>
          <t>无线鼠标</t>
        </is>
      </c>
      <c r="K6" s="60" t="inlineStr">
        <is>
          <t>固定闭合订书机</t>
        </is>
      </c>
      <c r="L6" s="60" t="inlineStr">
        <is>
          <t>游戏手柄</t>
        </is>
      </c>
      <c r="M6" s="55" t="inlineStr">
        <is>
          <t>Pending</t>
        </is>
      </c>
      <c r="N6" s="55" t="inlineStr">
        <is>
          <t>No</t>
        </is>
      </c>
      <c r="O6" s="55"/>
      <c r="P6" s="76"/>
    </row>
    <row r="7">
      <c r="A7" s="75" t="inlineStr">
        <is>
          <t>P004</t>
        </is>
      </c>
      <c r="B7" s="60" t="inlineStr">
        <is>
          <t>Yes</t>
        </is>
      </c>
      <c r="C7" s="55"/>
      <c r="D7" s="55"/>
      <c r="E7" s="55"/>
      <c r="F7" s="55"/>
      <c r="G7" s="55"/>
      <c r="H7" s="60" t="n">
        <v>1</v>
      </c>
      <c r="I7" s="60" t="inlineStr">
        <is>
          <t>S2</t>
        </is>
      </c>
      <c r="J7" s="60" t="inlineStr">
        <is>
          <t>无线鼠标</t>
        </is>
      </c>
      <c r="K7" s="60" t="inlineStr">
        <is>
          <t>固定闭合订书机</t>
        </is>
      </c>
      <c r="L7" s="60" t="inlineStr">
        <is>
          <t>游戏手柄</t>
        </is>
      </c>
      <c r="M7" s="55" t="inlineStr">
        <is>
          <t>Pending</t>
        </is>
      </c>
      <c r="N7" s="55" t="inlineStr">
        <is>
          <t>No</t>
        </is>
      </c>
      <c r="O7" s="55"/>
      <c r="P7" s="76"/>
    </row>
    <row r="8">
      <c r="A8" s="75" t="inlineStr">
        <is>
          <t>P005</t>
        </is>
      </c>
      <c r="B8" s="60" t="inlineStr">
        <is>
          <t>Yes</t>
        </is>
      </c>
      <c r="C8" s="55"/>
      <c r="D8" s="55"/>
      <c r="E8" s="55"/>
      <c r="F8" s="55"/>
      <c r="G8" s="55"/>
      <c r="H8" s="60" t="n">
        <v>2</v>
      </c>
      <c r="I8" s="60" t="inlineStr">
        <is>
          <t>S1</t>
        </is>
      </c>
      <c r="J8" s="60" t="inlineStr">
        <is>
          <t>无线鼠标</t>
        </is>
      </c>
      <c r="K8" s="60" t="inlineStr">
        <is>
          <t>游戏手柄</t>
        </is>
      </c>
      <c r="L8" s="60" t="inlineStr">
        <is>
          <t>固定闭合订书机</t>
        </is>
      </c>
      <c r="M8" s="55" t="inlineStr">
        <is>
          <t>Pending</t>
        </is>
      </c>
      <c r="N8" s="55" t="inlineStr">
        <is>
          <t>No</t>
        </is>
      </c>
      <c r="O8" s="55"/>
      <c r="P8" s="76"/>
    </row>
    <row r="9">
      <c r="A9" s="75" t="inlineStr">
        <is>
          <t>P006</t>
        </is>
      </c>
      <c r="B9" s="60" t="inlineStr">
        <is>
          <t>Yes</t>
        </is>
      </c>
      <c r="C9" s="55"/>
      <c r="D9" s="55"/>
      <c r="E9" s="55"/>
      <c r="F9" s="55"/>
      <c r="G9" s="55"/>
      <c r="H9" s="60" t="n">
        <v>2</v>
      </c>
      <c r="I9" s="60" t="inlineStr">
        <is>
          <t>S1</t>
        </is>
      </c>
      <c r="J9" s="60" t="inlineStr">
        <is>
          <t>无线鼠标</t>
        </is>
      </c>
      <c r="K9" s="60" t="inlineStr">
        <is>
          <t>游戏手柄</t>
        </is>
      </c>
      <c r="L9" s="60" t="inlineStr">
        <is>
          <t>固定闭合订书机</t>
        </is>
      </c>
      <c r="M9" s="55" t="inlineStr">
        <is>
          <t>Pending</t>
        </is>
      </c>
      <c r="N9" s="55" t="inlineStr">
        <is>
          <t>No</t>
        </is>
      </c>
      <c r="O9" s="55"/>
      <c r="P9" s="76"/>
    </row>
    <row r="10">
      <c r="A10" s="75" t="inlineStr">
        <is>
          <t>P007</t>
        </is>
      </c>
      <c r="B10" s="60" t="inlineStr">
        <is>
          <t>Yes</t>
        </is>
      </c>
      <c r="C10" s="55"/>
      <c r="D10" s="55"/>
      <c r="E10" s="55"/>
      <c r="F10" s="55"/>
      <c r="G10" s="55"/>
      <c r="H10" s="60" t="n">
        <v>2</v>
      </c>
      <c r="I10" s="60" t="inlineStr">
        <is>
          <t>S2</t>
        </is>
      </c>
      <c r="J10" s="60" t="inlineStr">
        <is>
          <t>无线鼠标</t>
        </is>
      </c>
      <c r="K10" s="60" t="inlineStr">
        <is>
          <t>游戏手柄</t>
        </is>
      </c>
      <c r="L10" s="60" t="inlineStr">
        <is>
          <t>固定闭合订书机</t>
        </is>
      </c>
      <c r="M10" s="55" t="inlineStr">
        <is>
          <t>Pending</t>
        </is>
      </c>
      <c r="N10" s="55" t="inlineStr">
        <is>
          <t>No</t>
        </is>
      </c>
      <c r="O10" s="55"/>
      <c r="P10" s="76"/>
    </row>
    <row r="11">
      <c r="A11" s="75" t="inlineStr">
        <is>
          <t>P008</t>
        </is>
      </c>
      <c r="B11" s="60" t="inlineStr">
        <is>
          <t>Yes</t>
        </is>
      </c>
      <c r="C11" s="55"/>
      <c r="D11" s="55"/>
      <c r="E11" s="55"/>
      <c r="F11" s="55"/>
      <c r="G11" s="55"/>
      <c r="H11" s="60" t="n">
        <v>2</v>
      </c>
      <c r="I11" s="60" t="inlineStr">
        <is>
          <t>S2</t>
        </is>
      </c>
      <c r="J11" s="60" t="inlineStr">
        <is>
          <t>无线鼠标</t>
        </is>
      </c>
      <c r="K11" s="60" t="inlineStr">
        <is>
          <t>游戏手柄</t>
        </is>
      </c>
      <c r="L11" s="60" t="inlineStr">
        <is>
          <t>固定闭合订书机</t>
        </is>
      </c>
      <c r="M11" s="55" t="inlineStr">
        <is>
          <t>Pending</t>
        </is>
      </c>
      <c r="N11" s="55" t="inlineStr">
        <is>
          <t>No</t>
        </is>
      </c>
      <c r="O11" s="55"/>
      <c r="P11" s="76"/>
    </row>
    <row r="12">
      <c r="A12" s="75" t="inlineStr">
        <is>
          <t>P009</t>
        </is>
      </c>
      <c r="B12" s="60" t="inlineStr">
        <is>
          <t>Yes</t>
        </is>
      </c>
      <c r="C12" s="55"/>
      <c r="D12" s="55"/>
      <c r="E12" s="55"/>
      <c r="F12" s="55"/>
      <c r="G12" s="55"/>
      <c r="H12" s="60" t="n">
        <v>3</v>
      </c>
      <c r="I12" s="60" t="inlineStr">
        <is>
          <t>S1</t>
        </is>
      </c>
      <c r="J12" s="60" t="inlineStr">
        <is>
          <t>固定闭合订书机</t>
        </is>
      </c>
      <c r="K12" s="60" t="inlineStr">
        <is>
          <t>无线鼠标</t>
        </is>
      </c>
      <c r="L12" s="60" t="inlineStr">
        <is>
          <t>游戏手柄</t>
        </is>
      </c>
      <c r="M12" s="55" t="inlineStr">
        <is>
          <t>Pending</t>
        </is>
      </c>
      <c r="N12" s="55" t="inlineStr">
        <is>
          <t>No</t>
        </is>
      </c>
      <c r="O12" s="55"/>
      <c r="P12" s="76"/>
    </row>
    <row r="13">
      <c r="A13" s="75" t="inlineStr">
        <is>
          <t>P010</t>
        </is>
      </c>
      <c r="B13" s="60" t="inlineStr">
        <is>
          <t>Yes</t>
        </is>
      </c>
      <c r="C13" s="55"/>
      <c r="D13" s="55"/>
      <c r="E13" s="55"/>
      <c r="F13" s="55"/>
      <c r="G13" s="55"/>
      <c r="H13" s="60" t="n">
        <v>3</v>
      </c>
      <c r="I13" s="60" t="inlineStr">
        <is>
          <t>S1</t>
        </is>
      </c>
      <c r="J13" s="60" t="inlineStr">
        <is>
          <t>固定闭合订书机</t>
        </is>
      </c>
      <c r="K13" s="60" t="inlineStr">
        <is>
          <t>无线鼠标</t>
        </is>
      </c>
      <c r="L13" s="60" t="inlineStr">
        <is>
          <t>游戏手柄</t>
        </is>
      </c>
      <c r="M13" s="55" t="inlineStr">
        <is>
          <t>Pending</t>
        </is>
      </c>
      <c r="N13" s="55" t="inlineStr">
        <is>
          <t>No</t>
        </is>
      </c>
      <c r="O13" s="55"/>
      <c r="P13" s="76"/>
    </row>
    <row r="14">
      <c r="A14" s="75" t="inlineStr">
        <is>
          <t>P011</t>
        </is>
      </c>
      <c r="B14" s="60" t="inlineStr">
        <is>
          <t>Yes</t>
        </is>
      </c>
      <c r="C14" s="55"/>
      <c r="D14" s="55"/>
      <c r="E14" s="55"/>
      <c r="F14" s="55"/>
      <c r="G14" s="55"/>
      <c r="H14" s="60" t="n">
        <v>3</v>
      </c>
      <c r="I14" s="60" t="inlineStr">
        <is>
          <t>S2</t>
        </is>
      </c>
      <c r="J14" s="60" t="inlineStr">
        <is>
          <t>固定闭合订书机</t>
        </is>
      </c>
      <c r="K14" s="60" t="inlineStr">
        <is>
          <t>无线鼠标</t>
        </is>
      </c>
      <c r="L14" s="60" t="inlineStr">
        <is>
          <t>游戏手柄</t>
        </is>
      </c>
      <c r="M14" s="55" t="inlineStr">
        <is>
          <t>Pending</t>
        </is>
      </c>
      <c r="N14" s="55" t="inlineStr">
        <is>
          <t>No</t>
        </is>
      </c>
      <c r="O14" s="55"/>
      <c r="P14" s="76"/>
    </row>
    <row r="15">
      <c r="A15" s="75" t="inlineStr">
        <is>
          <t>P012</t>
        </is>
      </c>
      <c r="B15" s="60" t="inlineStr">
        <is>
          <t>Yes</t>
        </is>
      </c>
      <c r="C15" s="55"/>
      <c r="D15" s="55"/>
      <c r="E15" s="55"/>
      <c r="F15" s="55"/>
      <c r="G15" s="55"/>
      <c r="H15" s="60" t="n">
        <v>3</v>
      </c>
      <c r="I15" s="60" t="inlineStr">
        <is>
          <t>S2</t>
        </is>
      </c>
      <c r="J15" s="60" t="inlineStr">
        <is>
          <t>固定闭合订书机</t>
        </is>
      </c>
      <c r="K15" s="60" t="inlineStr">
        <is>
          <t>无线鼠标</t>
        </is>
      </c>
      <c r="L15" s="60" t="inlineStr">
        <is>
          <t>游戏手柄</t>
        </is>
      </c>
      <c r="M15" s="55" t="inlineStr">
        <is>
          <t>Pending</t>
        </is>
      </c>
      <c r="N15" s="55" t="inlineStr">
        <is>
          <t>No</t>
        </is>
      </c>
      <c r="O15" s="55"/>
      <c r="P15" s="76"/>
    </row>
    <row r="16">
      <c r="A16" s="75" t="inlineStr">
        <is>
          <t>P013</t>
        </is>
      </c>
      <c r="B16" s="60" t="inlineStr">
        <is>
          <t>Yes</t>
        </is>
      </c>
      <c r="C16" s="55"/>
      <c r="D16" s="55"/>
      <c r="E16" s="55"/>
      <c r="F16" s="55"/>
      <c r="G16" s="55"/>
      <c r="H16" s="60" t="n">
        <v>4</v>
      </c>
      <c r="I16" s="60" t="inlineStr">
        <is>
          <t>S1</t>
        </is>
      </c>
      <c r="J16" s="60" t="inlineStr">
        <is>
          <t>固定闭合订书机</t>
        </is>
      </c>
      <c r="K16" s="60" t="inlineStr">
        <is>
          <t>游戏手柄</t>
        </is>
      </c>
      <c r="L16" s="60" t="inlineStr">
        <is>
          <t>无线鼠标</t>
        </is>
      </c>
      <c r="M16" s="55" t="inlineStr">
        <is>
          <t>Pending</t>
        </is>
      </c>
      <c r="N16" s="55" t="inlineStr">
        <is>
          <t>No</t>
        </is>
      </c>
      <c r="O16" s="55"/>
      <c r="P16" s="76"/>
    </row>
    <row r="17">
      <c r="A17" s="75" t="inlineStr">
        <is>
          <t>P014</t>
        </is>
      </c>
      <c r="B17" s="60" t="inlineStr">
        <is>
          <t>Yes</t>
        </is>
      </c>
      <c r="C17" s="55"/>
      <c r="D17" s="55"/>
      <c r="E17" s="55"/>
      <c r="F17" s="55"/>
      <c r="G17" s="55"/>
      <c r="H17" s="60" t="n">
        <v>4</v>
      </c>
      <c r="I17" s="60" t="inlineStr">
        <is>
          <t>S1</t>
        </is>
      </c>
      <c r="J17" s="60" t="inlineStr">
        <is>
          <t>固定闭合订书机</t>
        </is>
      </c>
      <c r="K17" s="60" t="inlineStr">
        <is>
          <t>游戏手柄</t>
        </is>
      </c>
      <c r="L17" s="60" t="inlineStr">
        <is>
          <t>无线鼠标</t>
        </is>
      </c>
      <c r="M17" s="55" t="inlineStr">
        <is>
          <t>Pending</t>
        </is>
      </c>
      <c r="N17" s="55" t="inlineStr">
        <is>
          <t>No</t>
        </is>
      </c>
      <c r="O17" s="55"/>
      <c r="P17" s="76"/>
    </row>
    <row r="18">
      <c r="A18" s="75" t="inlineStr">
        <is>
          <t>P015</t>
        </is>
      </c>
      <c r="B18" s="60" t="inlineStr">
        <is>
          <t>Yes</t>
        </is>
      </c>
      <c r="C18" s="55"/>
      <c r="D18" s="55"/>
      <c r="E18" s="55"/>
      <c r="F18" s="55"/>
      <c r="G18" s="55"/>
      <c r="H18" s="60" t="n">
        <v>4</v>
      </c>
      <c r="I18" s="60" t="inlineStr">
        <is>
          <t>S2</t>
        </is>
      </c>
      <c r="J18" s="60" t="inlineStr">
        <is>
          <t>固定闭合订书机</t>
        </is>
      </c>
      <c r="K18" s="60" t="inlineStr">
        <is>
          <t>游戏手柄</t>
        </is>
      </c>
      <c r="L18" s="60" t="inlineStr">
        <is>
          <t>无线鼠标</t>
        </is>
      </c>
      <c r="M18" s="55" t="inlineStr">
        <is>
          <t>Pending</t>
        </is>
      </c>
      <c r="N18" s="55" t="inlineStr">
        <is>
          <t>No</t>
        </is>
      </c>
      <c r="O18" s="55"/>
      <c r="P18" s="76"/>
    </row>
    <row r="19">
      <c r="A19" s="75" t="inlineStr">
        <is>
          <t>P016</t>
        </is>
      </c>
      <c r="B19" s="60" t="inlineStr">
        <is>
          <t>Yes</t>
        </is>
      </c>
      <c r="C19" s="55"/>
      <c r="D19" s="55"/>
      <c r="E19" s="55"/>
      <c r="F19" s="55"/>
      <c r="G19" s="55"/>
      <c r="H19" s="60" t="n">
        <v>4</v>
      </c>
      <c r="I19" s="60" t="inlineStr">
        <is>
          <t>S2</t>
        </is>
      </c>
      <c r="J19" s="60" t="inlineStr">
        <is>
          <t>固定闭合订书机</t>
        </is>
      </c>
      <c r="K19" s="60" t="inlineStr">
        <is>
          <t>游戏手柄</t>
        </is>
      </c>
      <c r="L19" s="60" t="inlineStr">
        <is>
          <t>无线鼠标</t>
        </is>
      </c>
      <c r="M19" s="55" t="inlineStr">
        <is>
          <t>Pending</t>
        </is>
      </c>
      <c r="N19" s="55" t="inlineStr">
        <is>
          <t>No</t>
        </is>
      </c>
      <c r="O19" s="55"/>
      <c r="P19" s="76"/>
    </row>
    <row r="20">
      <c r="A20" s="75" t="inlineStr">
        <is>
          <t>P017</t>
        </is>
      </c>
      <c r="B20" s="60" t="inlineStr">
        <is>
          <t>Yes</t>
        </is>
      </c>
      <c r="C20" s="55"/>
      <c r="D20" s="55"/>
      <c r="E20" s="55"/>
      <c r="F20" s="55"/>
      <c r="G20" s="55"/>
      <c r="H20" s="60" t="n">
        <v>5</v>
      </c>
      <c r="I20" s="60" t="inlineStr">
        <is>
          <t>S1</t>
        </is>
      </c>
      <c r="J20" s="60" t="inlineStr">
        <is>
          <t>游戏手柄</t>
        </is>
      </c>
      <c r="K20" s="60" t="inlineStr">
        <is>
          <t>无线鼠标</t>
        </is>
      </c>
      <c r="L20" s="60" t="inlineStr">
        <is>
          <t>固定闭合订书机</t>
        </is>
      </c>
      <c r="M20" s="55" t="inlineStr">
        <is>
          <t>Pending</t>
        </is>
      </c>
      <c r="N20" s="55" t="inlineStr">
        <is>
          <t>No</t>
        </is>
      </c>
      <c r="O20" s="55"/>
      <c r="P20" s="76"/>
    </row>
    <row r="21">
      <c r="A21" s="75" t="inlineStr">
        <is>
          <t>P018</t>
        </is>
      </c>
      <c r="B21" s="60" t="inlineStr">
        <is>
          <t>Yes</t>
        </is>
      </c>
      <c r="C21" s="55"/>
      <c r="D21" s="55"/>
      <c r="E21" s="55"/>
      <c r="F21" s="55"/>
      <c r="G21" s="55"/>
      <c r="H21" s="60" t="n">
        <v>5</v>
      </c>
      <c r="I21" s="60" t="inlineStr">
        <is>
          <t>S1</t>
        </is>
      </c>
      <c r="J21" s="60" t="inlineStr">
        <is>
          <t>游戏手柄</t>
        </is>
      </c>
      <c r="K21" s="60" t="inlineStr">
        <is>
          <t>无线鼠标</t>
        </is>
      </c>
      <c r="L21" s="60" t="inlineStr">
        <is>
          <t>固定闭合订书机</t>
        </is>
      </c>
      <c r="M21" s="55" t="inlineStr">
        <is>
          <t>Pending</t>
        </is>
      </c>
      <c r="N21" s="55" t="inlineStr">
        <is>
          <t>No</t>
        </is>
      </c>
      <c r="O21" s="55"/>
      <c r="P21" s="76"/>
    </row>
    <row r="22">
      <c r="A22" s="75" t="inlineStr">
        <is>
          <t>P019</t>
        </is>
      </c>
      <c r="B22" s="60" t="inlineStr">
        <is>
          <t>Yes</t>
        </is>
      </c>
      <c r="C22" s="55"/>
      <c r="D22" s="55"/>
      <c r="E22" s="55"/>
      <c r="F22" s="55"/>
      <c r="G22" s="55"/>
      <c r="H22" s="60" t="n">
        <v>5</v>
      </c>
      <c r="I22" s="60" t="inlineStr">
        <is>
          <t>S2</t>
        </is>
      </c>
      <c r="J22" s="60" t="inlineStr">
        <is>
          <t>游戏手柄</t>
        </is>
      </c>
      <c r="K22" s="60" t="inlineStr">
        <is>
          <t>无线鼠标</t>
        </is>
      </c>
      <c r="L22" s="60" t="inlineStr">
        <is>
          <t>固定闭合订书机</t>
        </is>
      </c>
      <c r="M22" s="55" t="inlineStr">
        <is>
          <t>Pending</t>
        </is>
      </c>
      <c r="N22" s="55" t="inlineStr">
        <is>
          <t>No</t>
        </is>
      </c>
      <c r="O22" s="55"/>
      <c r="P22" s="76"/>
    </row>
    <row r="23">
      <c r="A23" s="75" t="inlineStr">
        <is>
          <t>P020</t>
        </is>
      </c>
      <c r="B23" s="60" t="inlineStr">
        <is>
          <t>Yes</t>
        </is>
      </c>
      <c r="C23" s="55"/>
      <c r="D23" s="55"/>
      <c r="E23" s="55"/>
      <c r="F23" s="55"/>
      <c r="G23" s="55"/>
      <c r="H23" s="60" t="n">
        <v>5</v>
      </c>
      <c r="I23" s="60" t="inlineStr">
        <is>
          <t>S2</t>
        </is>
      </c>
      <c r="J23" s="60" t="inlineStr">
        <is>
          <t>游戏手柄</t>
        </is>
      </c>
      <c r="K23" s="60" t="inlineStr">
        <is>
          <t>无线鼠标</t>
        </is>
      </c>
      <c r="L23" s="60" t="inlineStr">
        <is>
          <t>固定闭合订书机</t>
        </is>
      </c>
      <c r="M23" s="55" t="inlineStr">
        <is>
          <t>Pending</t>
        </is>
      </c>
      <c r="N23" s="55" t="inlineStr">
        <is>
          <t>No</t>
        </is>
      </c>
      <c r="O23" s="55"/>
      <c r="P23" s="76"/>
    </row>
    <row r="24">
      <c r="A24" s="75" t="inlineStr">
        <is>
          <t>P021</t>
        </is>
      </c>
      <c r="B24" s="60" t="inlineStr">
        <is>
          <t>Yes</t>
        </is>
      </c>
      <c r="C24" s="55"/>
      <c r="D24" s="55"/>
      <c r="E24" s="55"/>
      <c r="F24" s="55"/>
      <c r="G24" s="55"/>
      <c r="H24" s="60" t="n">
        <v>6</v>
      </c>
      <c r="I24" s="60" t="inlineStr">
        <is>
          <t>S1</t>
        </is>
      </c>
      <c r="J24" s="60" t="inlineStr">
        <is>
          <t>游戏手柄</t>
        </is>
      </c>
      <c r="K24" s="60" t="inlineStr">
        <is>
          <t>固定闭合订书机</t>
        </is>
      </c>
      <c r="L24" s="60" t="inlineStr">
        <is>
          <t>无线鼠标</t>
        </is>
      </c>
      <c r="M24" s="55" t="inlineStr">
        <is>
          <t>Pending</t>
        </is>
      </c>
      <c r="N24" s="55" t="inlineStr">
        <is>
          <t>No</t>
        </is>
      </c>
      <c r="O24" s="55"/>
      <c r="P24" s="76"/>
    </row>
    <row r="25">
      <c r="A25" s="75" t="inlineStr">
        <is>
          <t>P022</t>
        </is>
      </c>
      <c r="B25" s="60" t="inlineStr">
        <is>
          <t>Yes</t>
        </is>
      </c>
      <c r="C25" s="55"/>
      <c r="D25" s="55"/>
      <c r="E25" s="55"/>
      <c r="F25" s="55"/>
      <c r="G25" s="55"/>
      <c r="H25" s="60" t="n">
        <v>6</v>
      </c>
      <c r="I25" s="60" t="inlineStr">
        <is>
          <t>S1</t>
        </is>
      </c>
      <c r="J25" s="60" t="inlineStr">
        <is>
          <t>游戏手柄</t>
        </is>
      </c>
      <c r="K25" s="60" t="inlineStr">
        <is>
          <t>固定闭合订书机</t>
        </is>
      </c>
      <c r="L25" s="60" t="inlineStr">
        <is>
          <t>无线鼠标</t>
        </is>
      </c>
      <c r="M25" s="55" t="inlineStr">
        <is>
          <t>Pending</t>
        </is>
      </c>
      <c r="N25" s="55" t="inlineStr">
        <is>
          <t>No</t>
        </is>
      </c>
      <c r="O25" s="55"/>
      <c r="P25" s="76"/>
    </row>
    <row r="26">
      <c r="A26" s="75" t="inlineStr">
        <is>
          <t>P023</t>
        </is>
      </c>
      <c r="B26" s="60" t="inlineStr">
        <is>
          <t>Yes</t>
        </is>
      </c>
      <c r="C26" s="55"/>
      <c r="D26" s="55"/>
      <c r="E26" s="55"/>
      <c r="F26" s="55"/>
      <c r="G26" s="55"/>
      <c r="H26" s="60" t="n">
        <v>6</v>
      </c>
      <c r="I26" s="60" t="inlineStr">
        <is>
          <t>S2</t>
        </is>
      </c>
      <c r="J26" s="60" t="inlineStr">
        <is>
          <t>游戏手柄</t>
        </is>
      </c>
      <c r="K26" s="60" t="inlineStr">
        <is>
          <t>固定闭合订书机</t>
        </is>
      </c>
      <c r="L26" s="60" t="inlineStr">
        <is>
          <t>无线鼠标</t>
        </is>
      </c>
      <c r="M26" s="55" t="inlineStr">
        <is>
          <t>Pending</t>
        </is>
      </c>
      <c r="N26" s="55" t="inlineStr">
        <is>
          <t>No</t>
        </is>
      </c>
      <c r="O26" s="55"/>
      <c r="P26" s="76"/>
    </row>
    <row r="27">
      <c r="A27" s="77" t="inlineStr">
        <is>
          <t>P024</t>
        </is>
      </c>
      <c r="B27" s="78" t="inlineStr">
        <is>
          <t>Yes</t>
        </is>
      </c>
      <c r="C27" s="79"/>
      <c r="D27" s="79"/>
      <c r="E27" s="79"/>
      <c r="F27" s="79"/>
      <c r="G27" s="79"/>
      <c r="H27" s="78" t="n">
        <v>6</v>
      </c>
      <c r="I27" s="78" t="inlineStr">
        <is>
          <t>S2</t>
        </is>
      </c>
      <c r="J27" s="78" t="inlineStr">
        <is>
          <t>游戏手柄</t>
        </is>
      </c>
      <c r="K27" s="78" t="inlineStr">
        <is>
          <t>固定闭合订书机</t>
        </is>
      </c>
      <c r="L27" s="78" t="inlineStr">
        <is>
          <t>无线鼠标</t>
        </is>
      </c>
      <c r="M27" s="79" t="inlineStr">
        <is>
          <t>Pending</t>
        </is>
      </c>
      <c r="N27" s="79" t="inlineStr">
        <is>
          <t>No</t>
        </is>
      </c>
      <c r="O27" s="79"/>
      <c r="P27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FormatPr defaultRowHeight="15"/>
  <cols>
    <col min="1" max="1" width="16" hidden="0" customWidth="1"/>
    <col min="2" max="2" width="15" hidden="0" customWidth="1"/>
    <col min="3" max="3" width="21" hidden="0" customWidth="1"/>
    <col min="4" max="4" width="20" hidden="0" customWidth="1"/>
    <col min="5" max="5" width="18" hidden="0" customWidth="1"/>
    <col min="6" max="6" width="20" hidden="0" customWidth="1"/>
    <col min="7" max="7" width="14" hidden="0" customWidth="1"/>
    <col min="8" max="8" width="16" hidden="0" customWidth="1"/>
    <col min="9" max="9" width="24" hidden="0" customWidth="1"/>
    <col min="10" max="10" width="19" hidden="0" customWidth="1"/>
    <col min="11" max="11" width="19" hidden="0" customWidth="1"/>
    <col min="12" max="12" width="14" hidden="0" customWidth="1"/>
    <col min="13" max="13" width="14" hidden="0" customWidth="1"/>
    <col min="14" max="14" width="14" hidden="0" customWidth="1"/>
    <col min="15" max="15" width="23" hidden="0" customWidth="1"/>
    <col min="16" max="16" width="24" hidden="0" customWidth="1"/>
    <col min="17" max="17" width="17" hidden="0" customWidth="1"/>
    <col min="18" max="18" width="25" hidden="0" customWidth="1"/>
    <col min="19" max="19" width="21" hidden="0" customWidth="1"/>
    <col min="20" max="20" width="22" hidden="0" customWidth="1"/>
    <col min="21" max="21" width="24" hidden="0" customWidth="1"/>
    <col min="22" max="22" width="18" hidden="0" customWidth="1"/>
    <col min="23" max="23" width="18" hidden="0" customWidth="1"/>
    <col min="24" max="24" width="17" hidden="0" customWidth="1"/>
    <col min="25" max="25" width="31" hidden="0" customWidth="1"/>
    <col min="26" max="26" width="36" hidden="0" customWidth="1"/>
  </cols>
  <sheetData>
    <row r="1">
      <c r="A1" s="4" t="inlineStr">
        <is>
          <t>正式评分录入：每位参与者 6 行，每行一个方法–物体条件，填写 Q1–Q7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1" t="inlineStr">
        <is>
          <t>黄色列由实验员填写；绿色列为冻结排程。评分必须为 1–7。每个条件完成 T1–T3 后一次性填写七项。</t>
        </is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8" t="inlineStr">
        <is>
          <t>Participant_ID</t>
        </is>
      </c>
      <c r="B3" s="29" t="inlineStr">
        <is>
          <t>Object_Order_ID</t>
        </is>
      </c>
      <c r="C3" s="29" t="inlineStr">
        <is>
          <t>Object_Block_Position</t>
        </is>
      </c>
      <c r="D3" s="29" t="inlineStr">
        <is>
          <t>Object</t>
        </is>
      </c>
      <c r="E3" s="29" t="inlineStr">
        <is>
          <t>Method_Sequence</t>
        </is>
      </c>
      <c r="F3" s="29" t="inlineStr">
        <is>
          <t>WithinObject_Period</t>
        </is>
      </c>
      <c r="G3" s="29" t="inlineStr">
        <is>
          <t>Display_Label</t>
        </is>
      </c>
      <c r="H3" s="29" t="inlineStr">
        <is>
          <t>Method</t>
        </is>
      </c>
      <c r="I3" s="29" t="inlineStr">
        <is>
          <t>Python_Session_ID</t>
        </is>
      </c>
      <c r="J3" s="29" t="inlineStr">
        <is>
          <t>Condition_Start</t>
        </is>
      </c>
      <c r="K3" s="29" t="inlineStr">
        <is>
          <t>Condition_End</t>
        </is>
      </c>
      <c r="L3" s="29" t="inlineStr">
        <is>
          <t>T1_Completed</t>
        </is>
      </c>
      <c r="M3" s="29" t="inlineStr">
        <is>
          <t>T2_Completed</t>
        </is>
      </c>
      <c r="N3" s="29" t="inlineStr">
        <is>
          <t>T3_Completed</t>
        </is>
      </c>
      <c r="O3" s="29" t="inlineStr">
        <is>
          <t>Runtime_Reset_Confirmed</t>
        </is>
      </c>
      <c r="P3" s="29" t="inlineStr">
        <is>
          <t>Questionnaire_Completed</t>
        </is>
      </c>
      <c r="Q3" s="29" t="inlineStr">
        <is>
          <t>Condition_Valid</t>
        </is>
      </c>
      <c r="R3" s="29" t="inlineStr">
        <is>
          <t>Technical_Issue</t>
        </is>
      </c>
      <c r="S3" s="29" t="inlineStr">
        <is>
          <t>Q1_Static_Stability</t>
        </is>
      </c>
      <c r="T3" s="29" t="inlineStr">
        <is>
          <t>Q2_Motion_Attachment</t>
        </is>
      </c>
      <c r="U3" s="29" t="inlineStr">
        <is>
          <t>Q3_Recovery_Consistency</t>
        </is>
      </c>
      <c r="V3" s="29" t="inlineStr">
        <is>
          <t>Q4_Plausibility</t>
        </is>
      </c>
      <c r="W3" s="29" t="inlineStr">
        <is>
          <t>Q5_Synchrony</t>
        </is>
      </c>
      <c r="X3" s="29" t="inlineStr">
        <is>
          <t>Q6_Reliance</t>
        </is>
      </c>
      <c r="Y3" s="29" t="inlineStr">
        <is>
          <t>Q7_Stability_Response_Balance</t>
        </is>
      </c>
      <c r="Z3" s="30" t="inlineStr">
        <is>
          <t>Notes</t>
        </is>
      </c>
    </row>
    <row r="4">
      <c r="A4" s="75" t="inlineStr">
        <is>
          <t>P001</t>
        </is>
      </c>
      <c r="B4" s="60" t="n">
        <v>1</v>
      </c>
      <c r="C4" s="60" t="n">
        <v>1</v>
      </c>
      <c r="D4" s="60" t="inlineStr">
        <is>
          <t>无线鼠标</t>
        </is>
      </c>
      <c r="E4" s="60" t="inlineStr">
        <is>
          <t>S1</t>
        </is>
      </c>
      <c r="F4" s="60" t="n">
        <v>1</v>
      </c>
      <c r="G4" s="60" t="inlineStr">
        <is>
          <t>A</t>
        </is>
      </c>
      <c r="H4" s="60" t="inlineStr">
        <is>
          <t>EgoAnchor</t>
        </is>
      </c>
      <c r="I4" s="60" t="inlineStr">
        <is>
          <t>P001_Mouse_S1</t>
        </is>
      </c>
      <c r="J4" s="55"/>
      <c r="K4" s="55"/>
      <c r="L4" s="55" t="inlineStr">
        <is>
          <t>No</t>
        </is>
      </c>
      <c r="M4" s="55" t="inlineStr">
        <is>
          <t>No</t>
        </is>
      </c>
      <c r="N4" s="55" t="inlineStr">
        <is>
          <t>No</t>
        </is>
      </c>
      <c r="O4" s="55" t="inlineStr">
        <is>
          <t>N/A</t>
        </is>
      </c>
      <c r="P4" s="55" t="inlineStr">
        <is>
          <t>No</t>
        </is>
      </c>
      <c r="Q4" s="55" t="inlineStr">
        <is>
          <t>Pending</t>
        </is>
      </c>
      <c r="R4" s="55" t="inlineStr">
        <is>
          <t>None</t>
        </is>
      </c>
      <c r="S4" s="87"/>
      <c r="T4" s="87"/>
      <c r="U4" s="87"/>
      <c r="V4" s="87"/>
      <c r="W4" s="87"/>
      <c r="X4" s="87"/>
      <c r="Y4" s="87"/>
      <c r="Z4" s="76"/>
    </row>
    <row r="5">
      <c r="A5" s="75" t="inlineStr">
        <is>
          <t>P001</t>
        </is>
      </c>
      <c r="B5" s="60" t="n">
        <v>1</v>
      </c>
      <c r="C5" s="60" t="n">
        <v>1</v>
      </c>
      <c r="D5" s="60" t="inlineStr">
        <is>
          <t>无线鼠标</t>
        </is>
      </c>
      <c r="E5" s="60" t="inlineStr">
        <is>
          <t>S1</t>
        </is>
      </c>
      <c r="F5" s="60" t="n">
        <v>2</v>
      </c>
      <c r="G5" s="60" t="inlineStr">
        <is>
          <t>B</t>
        </is>
      </c>
      <c r="H5" s="60" t="inlineStr">
        <is>
          <t>One-Euro</t>
        </is>
      </c>
      <c r="I5" s="60" t="inlineStr">
        <is>
          <t>P001_Mouse_S1</t>
        </is>
      </c>
      <c r="J5" s="55"/>
      <c r="K5" s="55"/>
      <c r="L5" s="55" t="inlineStr">
        <is>
          <t>No</t>
        </is>
      </c>
      <c r="M5" s="55" t="inlineStr">
        <is>
          <t>No</t>
        </is>
      </c>
      <c r="N5" s="55" t="inlineStr">
        <is>
          <t>No</t>
        </is>
      </c>
      <c r="O5" s="55" t="inlineStr">
        <is>
          <t>Pending</t>
        </is>
      </c>
      <c r="P5" s="55" t="inlineStr">
        <is>
          <t>No</t>
        </is>
      </c>
      <c r="Q5" s="55" t="inlineStr">
        <is>
          <t>Pending</t>
        </is>
      </c>
      <c r="R5" s="55" t="inlineStr">
        <is>
          <t>None</t>
        </is>
      </c>
      <c r="S5" s="87"/>
      <c r="T5" s="87"/>
      <c r="U5" s="87"/>
      <c r="V5" s="87"/>
      <c r="W5" s="87"/>
      <c r="X5" s="87"/>
      <c r="Y5" s="87"/>
      <c r="Z5" s="76"/>
    </row>
    <row r="6">
      <c r="A6" s="75" t="inlineStr">
        <is>
          <t>P001</t>
        </is>
      </c>
      <c r="B6" s="60" t="n">
        <v>1</v>
      </c>
      <c r="C6" s="60" t="n">
        <v>2</v>
      </c>
      <c r="D6" s="60" t="inlineStr">
        <is>
          <t>固定闭合订书机</t>
        </is>
      </c>
      <c r="E6" s="60" t="inlineStr">
        <is>
          <t>S1</t>
        </is>
      </c>
      <c r="F6" s="60" t="n">
        <v>1</v>
      </c>
      <c r="G6" s="60" t="inlineStr">
        <is>
          <t>A</t>
        </is>
      </c>
      <c r="H6" s="60" t="inlineStr">
        <is>
          <t>One-Euro</t>
        </is>
      </c>
      <c r="I6" s="60" t="inlineStr">
        <is>
          <t>P001_Stapler_S1</t>
        </is>
      </c>
      <c r="J6" s="55"/>
      <c r="K6" s="55"/>
      <c r="L6" s="55" t="inlineStr">
        <is>
          <t>No</t>
        </is>
      </c>
      <c r="M6" s="55" t="inlineStr">
        <is>
          <t>No</t>
        </is>
      </c>
      <c r="N6" s="55" t="inlineStr">
        <is>
          <t>No</t>
        </is>
      </c>
      <c r="O6" s="55" t="inlineStr">
        <is>
          <t>N/A</t>
        </is>
      </c>
      <c r="P6" s="55" t="inlineStr">
        <is>
          <t>No</t>
        </is>
      </c>
      <c r="Q6" s="55" t="inlineStr">
        <is>
          <t>Pending</t>
        </is>
      </c>
      <c r="R6" s="55" t="inlineStr">
        <is>
          <t>None</t>
        </is>
      </c>
      <c r="S6" s="87"/>
      <c r="T6" s="87"/>
      <c r="U6" s="87"/>
      <c r="V6" s="87"/>
      <c r="W6" s="87"/>
      <c r="X6" s="87"/>
      <c r="Y6" s="87"/>
      <c r="Z6" s="76"/>
    </row>
    <row r="7">
      <c r="A7" s="75" t="inlineStr">
        <is>
          <t>P001</t>
        </is>
      </c>
      <c r="B7" s="60" t="n">
        <v>1</v>
      </c>
      <c r="C7" s="60" t="n">
        <v>2</v>
      </c>
      <c r="D7" s="60" t="inlineStr">
        <is>
          <t>固定闭合订书机</t>
        </is>
      </c>
      <c r="E7" s="60" t="inlineStr">
        <is>
          <t>S1</t>
        </is>
      </c>
      <c r="F7" s="60" t="n">
        <v>2</v>
      </c>
      <c r="G7" s="60" t="inlineStr">
        <is>
          <t>B</t>
        </is>
      </c>
      <c r="H7" s="60" t="inlineStr">
        <is>
          <t>EgoAnchor</t>
        </is>
      </c>
      <c r="I7" s="60" t="inlineStr">
        <is>
          <t>P001_Stapler_S1</t>
        </is>
      </c>
      <c r="J7" s="55"/>
      <c r="K7" s="55"/>
      <c r="L7" s="55" t="inlineStr">
        <is>
          <t>No</t>
        </is>
      </c>
      <c r="M7" s="55" t="inlineStr">
        <is>
          <t>No</t>
        </is>
      </c>
      <c r="N7" s="55" t="inlineStr">
        <is>
          <t>No</t>
        </is>
      </c>
      <c r="O7" s="55" t="inlineStr">
        <is>
          <t>Pending</t>
        </is>
      </c>
      <c r="P7" s="55" t="inlineStr">
        <is>
          <t>No</t>
        </is>
      </c>
      <c r="Q7" s="55" t="inlineStr">
        <is>
          <t>Pending</t>
        </is>
      </c>
      <c r="R7" s="55" t="inlineStr">
        <is>
          <t>None</t>
        </is>
      </c>
      <c r="S7" s="87"/>
      <c r="T7" s="87"/>
      <c r="U7" s="87"/>
      <c r="V7" s="87"/>
      <c r="W7" s="87"/>
      <c r="X7" s="87"/>
      <c r="Y7" s="87"/>
      <c r="Z7" s="76"/>
    </row>
    <row r="8">
      <c r="A8" s="75" t="inlineStr">
        <is>
          <t>P001</t>
        </is>
      </c>
      <c r="B8" s="60" t="n">
        <v>1</v>
      </c>
      <c r="C8" s="60" t="n">
        <v>3</v>
      </c>
      <c r="D8" s="60" t="inlineStr">
        <is>
          <t>游戏手柄</t>
        </is>
      </c>
      <c r="E8" s="60" t="inlineStr">
        <is>
          <t>S1</t>
        </is>
      </c>
      <c r="F8" s="60" t="n">
        <v>1</v>
      </c>
      <c r="G8" s="60" t="inlineStr">
        <is>
          <t>A</t>
        </is>
      </c>
      <c r="H8" s="60" t="inlineStr">
        <is>
          <t>EgoAnchor</t>
        </is>
      </c>
      <c r="I8" s="60" t="inlineStr">
        <is>
          <t>P001_Gamepad_S1</t>
        </is>
      </c>
      <c r="J8" s="55"/>
      <c r="K8" s="55"/>
      <c r="L8" s="55" t="inlineStr">
        <is>
          <t>No</t>
        </is>
      </c>
      <c r="M8" s="55" t="inlineStr">
        <is>
          <t>No</t>
        </is>
      </c>
      <c r="N8" s="55" t="inlineStr">
        <is>
          <t>No</t>
        </is>
      </c>
      <c r="O8" s="55" t="inlineStr">
        <is>
          <t>N/A</t>
        </is>
      </c>
      <c r="P8" s="55" t="inlineStr">
        <is>
          <t>No</t>
        </is>
      </c>
      <c r="Q8" s="55" t="inlineStr">
        <is>
          <t>Pending</t>
        </is>
      </c>
      <c r="R8" s="55" t="inlineStr">
        <is>
          <t>None</t>
        </is>
      </c>
      <c r="S8" s="87"/>
      <c r="T8" s="87"/>
      <c r="U8" s="87"/>
      <c r="V8" s="87"/>
      <c r="W8" s="87"/>
      <c r="X8" s="87"/>
      <c r="Y8" s="87"/>
      <c r="Z8" s="76"/>
    </row>
    <row r="9">
      <c r="A9" s="75" t="inlineStr">
        <is>
          <t>P001</t>
        </is>
      </c>
      <c r="B9" s="60" t="n">
        <v>1</v>
      </c>
      <c r="C9" s="60" t="n">
        <v>3</v>
      </c>
      <c r="D9" s="60" t="inlineStr">
        <is>
          <t>游戏手柄</t>
        </is>
      </c>
      <c r="E9" s="60" t="inlineStr">
        <is>
          <t>S1</t>
        </is>
      </c>
      <c r="F9" s="60" t="n">
        <v>2</v>
      </c>
      <c r="G9" s="60" t="inlineStr">
        <is>
          <t>B</t>
        </is>
      </c>
      <c r="H9" s="60" t="inlineStr">
        <is>
          <t>One-Euro</t>
        </is>
      </c>
      <c r="I9" s="60" t="inlineStr">
        <is>
          <t>P001_Gamepad_S1</t>
        </is>
      </c>
      <c r="J9" s="55"/>
      <c r="K9" s="55"/>
      <c r="L9" s="55" t="inlineStr">
        <is>
          <t>No</t>
        </is>
      </c>
      <c r="M9" s="55" t="inlineStr">
        <is>
          <t>No</t>
        </is>
      </c>
      <c r="N9" s="55" t="inlineStr">
        <is>
          <t>No</t>
        </is>
      </c>
      <c r="O9" s="55" t="inlineStr">
        <is>
          <t>Pending</t>
        </is>
      </c>
      <c r="P9" s="55" t="inlineStr">
        <is>
          <t>No</t>
        </is>
      </c>
      <c r="Q9" s="55" t="inlineStr">
        <is>
          <t>Pending</t>
        </is>
      </c>
      <c r="R9" s="55" t="inlineStr">
        <is>
          <t>None</t>
        </is>
      </c>
      <c r="S9" s="87"/>
      <c r="T9" s="87"/>
      <c r="U9" s="87"/>
      <c r="V9" s="87"/>
      <c r="W9" s="87"/>
      <c r="X9" s="87"/>
      <c r="Y9" s="87"/>
      <c r="Z9" s="76"/>
    </row>
    <row r="10">
      <c r="A10" s="75" t="inlineStr">
        <is>
          <t>P002</t>
        </is>
      </c>
      <c r="B10" s="60" t="n">
        <v>1</v>
      </c>
      <c r="C10" s="60" t="n">
        <v>1</v>
      </c>
      <c r="D10" s="60" t="inlineStr">
        <is>
          <t>无线鼠标</t>
        </is>
      </c>
      <c r="E10" s="60" t="inlineStr">
        <is>
          <t>S1</t>
        </is>
      </c>
      <c r="F10" s="60" t="n">
        <v>1</v>
      </c>
      <c r="G10" s="60" t="inlineStr">
        <is>
          <t>A</t>
        </is>
      </c>
      <c r="H10" s="60" t="inlineStr">
        <is>
          <t>EgoAnchor</t>
        </is>
      </c>
      <c r="I10" s="60" t="inlineStr">
        <is>
          <t>P002_Mouse_S1</t>
        </is>
      </c>
      <c r="J10" s="55"/>
      <c r="K10" s="55"/>
      <c r="L10" s="55" t="inlineStr">
        <is>
          <t>No</t>
        </is>
      </c>
      <c r="M10" s="55" t="inlineStr">
        <is>
          <t>No</t>
        </is>
      </c>
      <c r="N10" s="55" t="inlineStr">
        <is>
          <t>No</t>
        </is>
      </c>
      <c r="O10" s="55" t="inlineStr">
        <is>
          <t>N/A</t>
        </is>
      </c>
      <c r="P10" s="55" t="inlineStr">
        <is>
          <t>No</t>
        </is>
      </c>
      <c r="Q10" s="55" t="inlineStr">
        <is>
          <t>Pending</t>
        </is>
      </c>
      <c r="R10" s="55" t="inlineStr">
        <is>
          <t>None</t>
        </is>
      </c>
      <c r="S10" s="87"/>
      <c r="T10" s="87"/>
      <c r="U10" s="87"/>
      <c r="V10" s="87"/>
      <c r="W10" s="87"/>
      <c r="X10" s="87"/>
      <c r="Y10" s="87"/>
      <c r="Z10" s="76"/>
    </row>
    <row r="11">
      <c r="A11" s="75" t="inlineStr">
        <is>
          <t>P002</t>
        </is>
      </c>
      <c r="B11" s="60" t="n">
        <v>1</v>
      </c>
      <c r="C11" s="60" t="n">
        <v>1</v>
      </c>
      <c r="D11" s="60" t="inlineStr">
        <is>
          <t>无线鼠标</t>
        </is>
      </c>
      <c r="E11" s="60" t="inlineStr">
        <is>
          <t>S1</t>
        </is>
      </c>
      <c r="F11" s="60" t="n">
        <v>2</v>
      </c>
      <c r="G11" s="60" t="inlineStr">
        <is>
          <t>B</t>
        </is>
      </c>
      <c r="H11" s="60" t="inlineStr">
        <is>
          <t>One-Euro</t>
        </is>
      </c>
      <c r="I11" s="60" t="inlineStr">
        <is>
          <t>P002_Mouse_S1</t>
        </is>
      </c>
      <c r="J11" s="55"/>
      <c r="K11" s="55"/>
      <c r="L11" s="55" t="inlineStr">
        <is>
          <t>No</t>
        </is>
      </c>
      <c r="M11" s="55" t="inlineStr">
        <is>
          <t>No</t>
        </is>
      </c>
      <c r="N11" s="55" t="inlineStr">
        <is>
          <t>No</t>
        </is>
      </c>
      <c r="O11" s="55" t="inlineStr">
        <is>
          <t>Pending</t>
        </is>
      </c>
      <c r="P11" s="55" t="inlineStr">
        <is>
          <t>No</t>
        </is>
      </c>
      <c r="Q11" s="55" t="inlineStr">
        <is>
          <t>Pending</t>
        </is>
      </c>
      <c r="R11" s="55" t="inlineStr">
        <is>
          <t>None</t>
        </is>
      </c>
      <c r="S11" s="87"/>
      <c r="T11" s="87"/>
      <c r="U11" s="87"/>
      <c r="V11" s="87"/>
      <c r="W11" s="87"/>
      <c r="X11" s="87"/>
      <c r="Y11" s="87"/>
      <c r="Z11" s="76"/>
    </row>
    <row r="12">
      <c r="A12" s="75" t="inlineStr">
        <is>
          <t>P002</t>
        </is>
      </c>
      <c r="B12" s="60" t="n">
        <v>1</v>
      </c>
      <c r="C12" s="60" t="n">
        <v>2</v>
      </c>
      <c r="D12" s="60" t="inlineStr">
        <is>
          <t>固定闭合订书机</t>
        </is>
      </c>
      <c r="E12" s="60" t="inlineStr">
        <is>
          <t>S1</t>
        </is>
      </c>
      <c r="F12" s="60" t="n">
        <v>1</v>
      </c>
      <c r="G12" s="60" t="inlineStr">
        <is>
          <t>A</t>
        </is>
      </c>
      <c r="H12" s="60" t="inlineStr">
        <is>
          <t>One-Euro</t>
        </is>
      </c>
      <c r="I12" s="60" t="inlineStr">
        <is>
          <t>P002_Stapler_S1</t>
        </is>
      </c>
      <c r="J12" s="55"/>
      <c r="K12" s="55"/>
      <c r="L12" s="55" t="inlineStr">
        <is>
          <t>No</t>
        </is>
      </c>
      <c r="M12" s="55" t="inlineStr">
        <is>
          <t>No</t>
        </is>
      </c>
      <c r="N12" s="55" t="inlineStr">
        <is>
          <t>No</t>
        </is>
      </c>
      <c r="O12" s="55" t="inlineStr">
        <is>
          <t>N/A</t>
        </is>
      </c>
      <c r="P12" s="55" t="inlineStr">
        <is>
          <t>No</t>
        </is>
      </c>
      <c r="Q12" s="55" t="inlineStr">
        <is>
          <t>Pending</t>
        </is>
      </c>
      <c r="R12" s="55" t="inlineStr">
        <is>
          <t>None</t>
        </is>
      </c>
      <c r="S12" s="87"/>
      <c r="T12" s="87"/>
      <c r="U12" s="87"/>
      <c r="V12" s="87"/>
      <c r="W12" s="87"/>
      <c r="X12" s="87"/>
      <c r="Y12" s="87"/>
      <c r="Z12" s="76"/>
    </row>
    <row r="13">
      <c r="A13" s="75" t="inlineStr">
        <is>
          <t>P002</t>
        </is>
      </c>
      <c r="B13" s="60" t="n">
        <v>1</v>
      </c>
      <c r="C13" s="60" t="n">
        <v>2</v>
      </c>
      <c r="D13" s="60" t="inlineStr">
        <is>
          <t>固定闭合订书机</t>
        </is>
      </c>
      <c r="E13" s="60" t="inlineStr">
        <is>
          <t>S1</t>
        </is>
      </c>
      <c r="F13" s="60" t="n">
        <v>2</v>
      </c>
      <c r="G13" s="60" t="inlineStr">
        <is>
          <t>B</t>
        </is>
      </c>
      <c r="H13" s="60" t="inlineStr">
        <is>
          <t>EgoAnchor</t>
        </is>
      </c>
      <c r="I13" s="60" t="inlineStr">
        <is>
          <t>P002_Stapler_S1</t>
        </is>
      </c>
      <c r="J13" s="55"/>
      <c r="K13" s="55"/>
      <c r="L13" s="55" t="inlineStr">
        <is>
          <t>No</t>
        </is>
      </c>
      <c r="M13" s="55" t="inlineStr">
        <is>
          <t>No</t>
        </is>
      </c>
      <c r="N13" s="55" t="inlineStr">
        <is>
          <t>No</t>
        </is>
      </c>
      <c r="O13" s="55" t="inlineStr">
        <is>
          <t>Pending</t>
        </is>
      </c>
      <c r="P13" s="55" t="inlineStr">
        <is>
          <t>No</t>
        </is>
      </c>
      <c r="Q13" s="55" t="inlineStr">
        <is>
          <t>Pending</t>
        </is>
      </c>
      <c r="R13" s="55" t="inlineStr">
        <is>
          <t>None</t>
        </is>
      </c>
      <c r="S13" s="87"/>
      <c r="T13" s="87"/>
      <c r="U13" s="87"/>
      <c r="V13" s="87"/>
      <c r="W13" s="87"/>
      <c r="X13" s="87"/>
      <c r="Y13" s="87"/>
      <c r="Z13" s="76"/>
    </row>
    <row r="14">
      <c r="A14" s="75" t="inlineStr">
        <is>
          <t>P002</t>
        </is>
      </c>
      <c r="B14" s="60" t="n">
        <v>1</v>
      </c>
      <c r="C14" s="60" t="n">
        <v>3</v>
      </c>
      <c r="D14" s="60" t="inlineStr">
        <is>
          <t>游戏手柄</t>
        </is>
      </c>
      <c r="E14" s="60" t="inlineStr">
        <is>
          <t>S1</t>
        </is>
      </c>
      <c r="F14" s="60" t="n">
        <v>1</v>
      </c>
      <c r="G14" s="60" t="inlineStr">
        <is>
          <t>A</t>
        </is>
      </c>
      <c r="H14" s="60" t="inlineStr">
        <is>
          <t>EgoAnchor</t>
        </is>
      </c>
      <c r="I14" s="60" t="inlineStr">
        <is>
          <t>P002_Gamepad_S1</t>
        </is>
      </c>
      <c r="J14" s="55"/>
      <c r="K14" s="55"/>
      <c r="L14" s="55" t="inlineStr">
        <is>
          <t>No</t>
        </is>
      </c>
      <c r="M14" s="55" t="inlineStr">
        <is>
          <t>No</t>
        </is>
      </c>
      <c r="N14" s="55" t="inlineStr">
        <is>
          <t>No</t>
        </is>
      </c>
      <c r="O14" s="55" t="inlineStr">
        <is>
          <t>N/A</t>
        </is>
      </c>
      <c r="P14" s="55" t="inlineStr">
        <is>
          <t>No</t>
        </is>
      </c>
      <c r="Q14" s="55" t="inlineStr">
        <is>
          <t>Pending</t>
        </is>
      </c>
      <c r="R14" s="55" t="inlineStr">
        <is>
          <t>None</t>
        </is>
      </c>
      <c r="S14" s="87"/>
      <c r="T14" s="87"/>
      <c r="U14" s="87"/>
      <c r="V14" s="87"/>
      <c r="W14" s="87"/>
      <c r="X14" s="87"/>
      <c r="Y14" s="87"/>
      <c r="Z14" s="76"/>
    </row>
    <row r="15">
      <c r="A15" s="75" t="inlineStr">
        <is>
          <t>P002</t>
        </is>
      </c>
      <c r="B15" s="60" t="n">
        <v>1</v>
      </c>
      <c r="C15" s="60" t="n">
        <v>3</v>
      </c>
      <c r="D15" s="60" t="inlineStr">
        <is>
          <t>游戏手柄</t>
        </is>
      </c>
      <c r="E15" s="60" t="inlineStr">
        <is>
          <t>S1</t>
        </is>
      </c>
      <c r="F15" s="60" t="n">
        <v>2</v>
      </c>
      <c r="G15" s="60" t="inlineStr">
        <is>
          <t>B</t>
        </is>
      </c>
      <c r="H15" s="60" t="inlineStr">
        <is>
          <t>One-Euro</t>
        </is>
      </c>
      <c r="I15" s="60" t="inlineStr">
        <is>
          <t>P002_Gamepad_S1</t>
        </is>
      </c>
      <c r="J15" s="55"/>
      <c r="K15" s="55"/>
      <c r="L15" s="55" t="inlineStr">
        <is>
          <t>No</t>
        </is>
      </c>
      <c r="M15" s="55" t="inlineStr">
        <is>
          <t>No</t>
        </is>
      </c>
      <c r="N15" s="55" t="inlineStr">
        <is>
          <t>No</t>
        </is>
      </c>
      <c r="O15" s="55" t="inlineStr">
        <is>
          <t>Pending</t>
        </is>
      </c>
      <c r="P15" s="55" t="inlineStr">
        <is>
          <t>No</t>
        </is>
      </c>
      <c r="Q15" s="55" t="inlineStr">
        <is>
          <t>Pending</t>
        </is>
      </c>
      <c r="R15" s="55" t="inlineStr">
        <is>
          <t>None</t>
        </is>
      </c>
      <c r="S15" s="87"/>
      <c r="T15" s="87"/>
      <c r="U15" s="87"/>
      <c r="V15" s="87"/>
      <c r="W15" s="87"/>
      <c r="X15" s="87"/>
      <c r="Y15" s="87"/>
      <c r="Z15" s="76"/>
    </row>
    <row r="16">
      <c r="A16" s="75" t="inlineStr">
        <is>
          <t>P003</t>
        </is>
      </c>
      <c r="B16" s="60" t="n">
        <v>1</v>
      </c>
      <c r="C16" s="60" t="n">
        <v>1</v>
      </c>
      <c r="D16" s="60" t="inlineStr">
        <is>
          <t>无线鼠标</t>
        </is>
      </c>
      <c r="E16" s="60" t="inlineStr">
        <is>
          <t>S2</t>
        </is>
      </c>
      <c r="F16" s="60" t="n">
        <v>1</v>
      </c>
      <c r="G16" s="60" t="inlineStr">
        <is>
          <t>A</t>
        </is>
      </c>
      <c r="H16" s="60" t="inlineStr">
        <is>
          <t>One-Euro</t>
        </is>
      </c>
      <c r="I16" s="60" t="inlineStr">
        <is>
          <t>P003_Mouse_S1</t>
        </is>
      </c>
      <c r="J16" s="55"/>
      <c r="K16" s="55"/>
      <c r="L16" s="55" t="inlineStr">
        <is>
          <t>No</t>
        </is>
      </c>
      <c r="M16" s="55" t="inlineStr">
        <is>
          <t>No</t>
        </is>
      </c>
      <c r="N16" s="55" t="inlineStr">
        <is>
          <t>No</t>
        </is>
      </c>
      <c r="O16" s="55" t="inlineStr">
        <is>
          <t>N/A</t>
        </is>
      </c>
      <c r="P16" s="55" t="inlineStr">
        <is>
          <t>No</t>
        </is>
      </c>
      <c r="Q16" s="55" t="inlineStr">
        <is>
          <t>Pending</t>
        </is>
      </c>
      <c r="R16" s="55" t="inlineStr">
        <is>
          <t>None</t>
        </is>
      </c>
      <c r="S16" s="87"/>
      <c r="T16" s="87"/>
      <c r="U16" s="87"/>
      <c r="V16" s="87"/>
      <c r="W16" s="87"/>
      <c r="X16" s="87"/>
      <c r="Y16" s="87"/>
      <c r="Z16" s="76"/>
    </row>
    <row r="17">
      <c r="A17" s="75" t="inlineStr">
        <is>
          <t>P003</t>
        </is>
      </c>
      <c r="B17" s="60" t="n">
        <v>1</v>
      </c>
      <c r="C17" s="60" t="n">
        <v>1</v>
      </c>
      <c r="D17" s="60" t="inlineStr">
        <is>
          <t>无线鼠标</t>
        </is>
      </c>
      <c r="E17" s="60" t="inlineStr">
        <is>
          <t>S2</t>
        </is>
      </c>
      <c r="F17" s="60" t="n">
        <v>2</v>
      </c>
      <c r="G17" s="60" t="inlineStr">
        <is>
          <t>B</t>
        </is>
      </c>
      <c r="H17" s="60" t="inlineStr">
        <is>
          <t>EgoAnchor</t>
        </is>
      </c>
      <c r="I17" s="60" t="inlineStr">
        <is>
          <t>P003_Mouse_S1</t>
        </is>
      </c>
      <c r="J17" s="55"/>
      <c r="K17" s="55"/>
      <c r="L17" s="55" t="inlineStr">
        <is>
          <t>No</t>
        </is>
      </c>
      <c r="M17" s="55" t="inlineStr">
        <is>
          <t>No</t>
        </is>
      </c>
      <c r="N17" s="55" t="inlineStr">
        <is>
          <t>No</t>
        </is>
      </c>
      <c r="O17" s="55" t="inlineStr">
        <is>
          <t>Pending</t>
        </is>
      </c>
      <c r="P17" s="55" t="inlineStr">
        <is>
          <t>No</t>
        </is>
      </c>
      <c r="Q17" s="55" t="inlineStr">
        <is>
          <t>Pending</t>
        </is>
      </c>
      <c r="R17" s="55" t="inlineStr">
        <is>
          <t>None</t>
        </is>
      </c>
      <c r="S17" s="87"/>
      <c r="T17" s="87"/>
      <c r="U17" s="87"/>
      <c r="V17" s="87"/>
      <c r="W17" s="87"/>
      <c r="X17" s="87"/>
      <c r="Y17" s="87"/>
      <c r="Z17" s="76"/>
    </row>
    <row r="18">
      <c r="A18" s="75" t="inlineStr">
        <is>
          <t>P003</t>
        </is>
      </c>
      <c r="B18" s="60" t="n">
        <v>1</v>
      </c>
      <c r="C18" s="60" t="n">
        <v>2</v>
      </c>
      <c r="D18" s="60" t="inlineStr">
        <is>
          <t>固定闭合订书机</t>
        </is>
      </c>
      <c r="E18" s="60" t="inlineStr">
        <is>
          <t>S2</t>
        </is>
      </c>
      <c r="F18" s="60" t="n">
        <v>1</v>
      </c>
      <c r="G18" s="60" t="inlineStr">
        <is>
          <t>A</t>
        </is>
      </c>
      <c r="H18" s="60" t="inlineStr">
        <is>
          <t>EgoAnchor</t>
        </is>
      </c>
      <c r="I18" s="60" t="inlineStr">
        <is>
          <t>P003_Stapler_S1</t>
        </is>
      </c>
      <c r="J18" s="55"/>
      <c r="K18" s="55"/>
      <c r="L18" s="55" t="inlineStr">
        <is>
          <t>No</t>
        </is>
      </c>
      <c r="M18" s="55" t="inlineStr">
        <is>
          <t>No</t>
        </is>
      </c>
      <c r="N18" s="55" t="inlineStr">
        <is>
          <t>No</t>
        </is>
      </c>
      <c r="O18" s="55" t="inlineStr">
        <is>
          <t>N/A</t>
        </is>
      </c>
      <c r="P18" s="55" t="inlineStr">
        <is>
          <t>No</t>
        </is>
      </c>
      <c r="Q18" s="55" t="inlineStr">
        <is>
          <t>Pending</t>
        </is>
      </c>
      <c r="R18" s="55" t="inlineStr">
        <is>
          <t>None</t>
        </is>
      </c>
      <c r="S18" s="87"/>
      <c r="T18" s="87"/>
      <c r="U18" s="87"/>
      <c r="V18" s="87"/>
      <c r="W18" s="87"/>
      <c r="X18" s="87"/>
      <c r="Y18" s="87"/>
      <c r="Z18" s="76"/>
    </row>
    <row r="19">
      <c r="A19" s="75" t="inlineStr">
        <is>
          <t>P003</t>
        </is>
      </c>
      <c r="B19" s="60" t="n">
        <v>1</v>
      </c>
      <c r="C19" s="60" t="n">
        <v>2</v>
      </c>
      <c r="D19" s="60" t="inlineStr">
        <is>
          <t>固定闭合订书机</t>
        </is>
      </c>
      <c r="E19" s="60" t="inlineStr">
        <is>
          <t>S2</t>
        </is>
      </c>
      <c r="F19" s="60" t="n">
        <v>2</v>
      </c>
      <c r="G19" s="60" t="inlineStr">
        <is>
          <t>B</t>
        </is>
      </c>
      <c r="H19" s="60" t="inlineStr">
        <is>
          <t>One-Euro</t>
        </is>
      </c>
      <c r="I19" s="60" t="inlineStr">
        <is>
          <t>P003_Stapler_S1</t>
        </is>
      </c>
      <c r="J19" s="55"/>
      <c r="K19" s="55"/>
      <c r="L19" s="55" t="inlineStr">
        <is>
          <t>No</t>
        </is>
      </c>
      <c r="M19" s="55" t="inlineStr">
        <is>
          <t>No</t>
        </is>
      </c>
      <c r="N19" s="55" t="inlineStr">
        <is>
          <t>No</t>
        </is>
      </c>
      <c r="O19" s="55" t="inlineStr">
        <is>
          <t>Pending</t>
        </is>
      </c>
      <c r="P19" s="55" t="inlineStr">
        <is>
          <t>No</t>
        </is>
      </c>
      <c r="Q19" s="55" t="inlineStr">
        <is>
          <t>Pending</t>
        </is>
      </c>
      <c r="R19" s="55" t="inlineStr">
        <is>
          <t>None</t>
        </is>
      </c>
      <c r="S19" s="87"/>
      <c r="T19" s="87"/>
      <c r="U19" s="87"/>
      <c r="V19" s="87"/>
      <c r="W19" s="87"/>
      <c r="X19" s="87"/>
      <c r="Y19" s="87"/>
      <c r="Z19" s="76"/>
    </row>
    <row r="20">
      <c r="A20" s="75" t="inlineStr">
        <is>
          <t>P003</t>
        </is>
      </c>
      <c r="B20" s="60" t="n">
        <v>1</v>
      </c>
      <c r="C20" s="60" t="n">
        <v>3</v>
      </c>
      <c r="D20" s="60" t="inlineStr">
        <is>
          <t>游戏手柄</t>
        </is>
      </c>
      <c r="E20" s="60" t="inlineStr">
        <is>
          <t>S2</t>
        </is>
      </c>
      <c r="F20" s="60" t="n">
        <v>1</v>
      </c>
      <c r="G20" s="60" t="inlineStr">
        <is>
          <t>A</t>
        </is>
      </c>
      <c r="H20" s="60" t="inlineStr">
        <is>
          <t>One-Euro</t>
        </is>
      </c>
      <c r="I20" s="60" t="inlineStr">
        <is>
          <t>P003_Gamepad_S1</t>
        </is>
      </c>
      <c r="J20" s="55"/>
      <c r="K20" s="55"/>
      <c r="L20" s="55" t="inlineStr">
        <is>
          <t>No</t>
        </is>
      </c>
      <c r="M20" s="55" t="inlineStr">
        <is>
          <t>No</t>
        </is>
      </c>
      <c r="N20" s="55" t="inlineStr">
        <is>
          <t>No</t>
        </is>
      </c>
      <c r="O20" s="55" t="inlineStr">
        <is>
          <t>N/A</t>
        </is>
      </c>
      <c r="P20" s="55" t="inlineStr">
        <is>
          <t>No</t>
        </is>
      </c>
      <c r="Q20" s="55" t="inlineStr">
        <is>
          <t>Pending</t>
        </is>
      </c>
      <c r="R20" s="55" t="inlineStr">
        <is>
          <t>None</t>
        </is>
      </c>
      <c r="S20" s="87"/>
      <c r="T20" s="87"/>
      <c r="U20" s="87"/>
      <c r="V20" s="87"/>
      <c r="W20" s="87"/>
      <c r="X20" s="87"/>
      <c r="Y20" s="87"/>
      <c r="Z20" s="76"/>
    </row>
    <row r="21">
      <c r="A21" s="75" t="inlineStr">
        <is>
          <t>P003</t>
        </is>
      </c>
      <c r="B21" s="60" t="n">
        <v>1</v>
      </c>
      <c r="C21" s="60" t="n">
        <v>3</v>
      </c>
      <c r="D21" s="60" t="inlineStr">
        <is>
          <t>游戏手柄</t>
        </is>
      </c>
      <c r="E21" s="60" t="inlineStr">
        <is>
          <t>S2</t>
        </is>
      </c>
      <c r="F21" s="60" t="n">
        <v>2</v>
      </c>
      <c r="G21" s="60" t="inlineStr">
        <is>
          <t>B</t>
        </is>
      </c>
      <c r="H21" s="60" t="inlineStr">
        <is>
          <t>EgoAnchor</t>
        </is>
      </c>
      <c r="I21" s="60" t="inlineStr">
        <is>
          <t>P003_Gamepad_S1</t>
        </is>
      </c>
      <c r="J21" s="55"/>
      <c r="K21" s="55"/>
      <c r="L21" s="55" t="inlineStr">
        <is>
          <t>No</t>
        </is>
      </c>
      <c r="M21" s="55" t="inlineStr">
        <is>
          <t>No</t>
        </is>
      </c>
      <c r="N21" s="55" t="inlineStr">
        <is>
          <t>No</t>
        </is>
      </c>
      <c r="O21" s="55" t="inlineStr">
        <is>
          <t>Pending</t>
        </is>
      </c>
      <c r="P21" s="55" t="inlineStr">
        <is>
          <t>No</t>
        </is>
      </c>
      <c r="Q21" s="55" t="inlineStr">
        <is>
          <t>Pending</t>
        </is>
      </c>
      <c r="R21" s="55" t="inlineStr">
        <is>
          <t>None</t>
        </is>
      </c>
      <c r="S21" s="87"/>
      <c r="T21" s="87"/>
      <c r="U21" s="87"/>
      <c r="V21" s="87"/>
      <c r="W21" s="87"/>
      <c r="X21" s="87"/>
      <c r="Y21" s="87"/>
      <c r="Z21" s="76"/>
    </row>
    <row r="22">
      <c r="A22" s="75" t="inlineStr">
        <is>
          <t>P004</t>
        </is>
      </c>
      <c r="B22" s="60" t="n">
        <v>1</v>
      </c>
      <c r="C22" s="60" t="n">
        <v>1</v>
      </c>
      <c r="D22" s="60" t="inlineStr">
        <is>
          <t>无线鼠标</t>
        </is>
      </c>
      <c r="E22" s="60" t="inlineStr">
        <is>
          <t>S2</t>
        </is>
      </c>
      <c r="F22" s="60" t="n">
        <v>1</v>
      </c>
      <c r="G22" s="60" t="inlineStr">
        <is>
          <t>A</t>
        </is>
      </c>
      <c r="H22" s="60" t="inlineStr">
        <is>
          <t>One-Euro</t>
        </is>
      </c>
      <c r="I22" s="60" t="inlineStr">
        <is>
          <t>P004_Mouse_S1</t>
        </is>
      </c>
      <c r="J22" s="55"/>
      <c r="K22" s="55"/>
      <c r="L22" s="55" t="inlineStr">
        <is>
          <t>No</t>
        </is>
      </c>
      <c r="M22" s="55" t="inlineStr">
        <is>
          <t>No</t>
        </is>
      </c>
      <c r="N22" s="55" t="inlineStr">
        <is>
          <t>No</t>
        </is>
      </c>
      <c r="O22" s="55" t="inlineStr">
        <is>
          <t>N/A</t>
        </is>
      </c>
      <c r="P22" s="55" t="inlineStr">
        <is>
          <t>No</t>
        </is>
      </c>
      <c r="Q22" s="55" t="inlineStr">
        <is>
          <t>Pending</t>
        </is>
      </c>
      <c r="R22" s="55" t="inlineStr">
        <is>
          <t>None</t>
        </is>
      </c>
      <c r="S22" s="87"/>
      <c r="T22" s="87"/>
      <c r="U22" s="87"/>
      <c r="V22" s="87"/>
      <c r="W22" s="87"/>
      <c r="X22" s="87"/>
      <c r="Y22" s="87"/>
      <c r="Z22" s="76"/>
    </row>
    <row r="23">
      <c r="A23" s="75" t="inlineStr">
        <is>
          <t>P004</t>
        </is>
      </c>
      <c r="B23" s="60" t="n">
        <v>1</v>
      </c>
      <c r="C23" s="60" t="n">
        <v>1</v>
      </c>
      <c r="D23" s="60" t="inlineStr">
        <is>
          <t>无线鼠标</t>
        </is>
      </c>
      <c r="E23" s="60" t="inlineStr">
        <is>
          <t>S2</t>
        </is>
      </c>
      <c r="F23" s="60" t="n">
        <v>2</v>
      </c>
      <c r="G23" s="60" t="inlineStr">
        <is>
          <t>B</t>
        </is>
      </c>
      <c r="H23" s="60" t="inlineStr">
        <is>
          <t>EgoAnchor</t>
        </is>
      </c>
      <c r="I23" s="60" t="inlineStr">
        <is>
          <t>P004_Mouse_S1</t>
        </is>
      </c>
      <c r="J23" s="55"/>
      <c r="K23" s="55"/>
      <c r="L23" s="55" t="inlineStr">
        <is>
          <t>No</t>
        </is>
      </c>
      <c r="M23" s="55" t="inlineStr">
        <is>
          <t>No</t>
        </is>
      </c>
      <c r="N23" s="55" t="inlineStr">
        <is>
          <t>No</t>
        </is>
      </c>
      <c r="O23" s="55" t="inlineStr">
        <is>
          <t>Pending</t>
        </is>
      </c>
      <c r="P23" s="55" t="inlineStr">
        <is>
          <t>No</t>
        </is>
      </c>
      <c r="Q23" s="55" t="inlineStr">
        <is>
          <t>Pending</t>
        </is>
      </c>
      <c r="R23" s="55" t="inlineStr">
        <is>
          <t>None</t>
        </is>
      </c>
      <c r="S23" s="87"/>
      <c r="T23" s="87"/>
      <c r="U23" s="87"/>
      <c r="V23" s="87"/>
      <c r="W23" s="87"/>
      <c r="X23" s="87"/>
      <c r="Y23" s="87"/>
      <c r="Z23" s="76"/>
    </row>
    <row r="24">
      <c r="A24" s="75" t="inlineStr">
        <is>
          <t>P004</t>
        </is>
      </c>
      <c r="B24" s="60" t="n">
        <v>1</v>
      </c>
      <c r="C24" s="60" t="n">
        <v>2</v>
      </c>
      <c r="D24" s="60" t="inlineStr">
        <is>
          <t>固定闭合订书机</t>
        </is>
      </c>
      <c r="E24" s="60" t="inlineStr">
        <is>
          <t>S2</t>
        </is>
      </c>
      <c r="F24" s="60" t="n">
        <v>1</v>
      </c>
      <c r="G24" s="60" t="inlineStr">
        <is>
          <t>A</t>
        </is>
      </c>
      <c r="H24" s="60" t="inlineStr">
        <is>
          <t>EgoAnchor</t>
        </is>
      </c>
      <c r="I24" s="60" t="inlineStr">
        <is>
          <t>P004_Stapler_S1</t>
        </is>
      </c>
      <c r="J24" s="55"/>
      <c r="K24" s="55"/>
      <c r="L24" s="55" t="inlineStr">
        <is>
          <t>No</t>
        </is>
      </c>
      <c r="M24" s="55" t="inlineStr">
        <is>
          <t>No</t>
        </is>
      </c>
      <c r="N24" s="55" t="inlineStr">
        <is>
          <t>No</t>
        </is>
      </c>
      <c r="O24" s="55" t="inlineStr">
        <is>
          <t>N/A</t>
        </is>
      </c>
      <c r="P24" s="55" t="inlineStr">
        <is>
          <t>No</t>
        </is>
      </c>
      <c r="Q24" s="55" t="inlineStr">
        <is>
          <t>Pending</t>
        </is>
      </c>
      <c r="R24" s="55" t="inlineStr">
        <is>
          <t>None</t>
        </is>
      </c>
      <c r="S24" s="87"/>
      <c r="T24" s="87"/>
      <c r="U24" s="87"/>
      <c r="V24" s="87"/>
      <c r="W24" s="87"/>
      <c r="X24" s="87"/>
      <c r="Y24" s="87"/>
      <c r="Z24" s="76"/>
    </row>
    <row r="25">
      <c r="A25" s="75" t="inlineStr">
        <is>
          <t>P004</t>
        </is>
      </c>
      <c r="B25" s="60" t="n">
        <v>1</v>
      </c>
      <c r="C25" s="60" t="n">
        <v>2</v>
      </c>
      <c r="D25" s="60" t="inlineStr">
        <is>
          <t>固定闭合订书机</t>
        </is>
      </c>
      <c r="E25" s="60" t="inlineStr">
        <is>
          <t>S2</t>
        </is>
      </c>
      <c r="F25" s="60" t="n">
        <v>2</v>
      </c>
      <c r="G25" s="60" t="inlineStr">
        <is>
          <t>B</t>
        </is>
      </c>
      <c r="H25" s="60" t="inlineStr">
        <is>
          <t>One-Euro</t>
        </is>
      </c>
      <c r="I25" s="60" t="inlineStr">
        <is>
          <t>P004_Stapler_S1</t>
        </is>
      </c>
      <c r="J25" s="55"/>
      <c r="K25" s="55"/>
      <c r="L25" s="55" t="inlineStr">
        <is>
          <t>No</t>
        </is>
      </c>
      <c r="M25" s="55" t="inlineStr">
        <is>
          <t>No</t>
        </is>
      </c>
      <c r="N25" s="55" t="inlineStr">
        <is>
          <t>No</t>
        </is>
      </c>
      <c r="O25" s="55" t="inlineStr">
        <is>
          <t>Pending</t>
        </is>
      </c>
      <c r="P25" s="55" t="inlineStr">
        <is>
          <t>No</t>
        </is>
      </c>
      <c r="Q25" s="55" t="inlineStr">
        <is>
          <t>Pending</t>
        </is>
      </c>
      <c r="R25" s="55" t="inlineStr">
        <is>
          <t>None</t>
        </is>
      </c>
      <c r="S25" s="87"/>
      <c r="T25" s="87"/>
      <c r="U25" s="87"/>
      <c r="V25" s="87"/>
      <c r="W25" s="87"/>
      <c r="X25" s="87"/>
      <c r="Y25" s="87"/>
      <c r="Z25" s="76"/>
    </row>
    <row r="26">
      <c r="A26" s="75" t="inlineStr">
        <is>
          <t>P004</t>
        </is>
      </c>
      <c r="B26" s="60" t="n">
        <v>1</v>
      </c>
      <c r="C26" s="60" t="n">
        <v>3</v>
      </c>
      <c r="D26" s="60" t="inlineStr">
        <is>
          <t>游戏手柄</t>
        </is>
      </c>
      <c r="E26" s="60" t="inlineStr">
        <is>
          <t>S2</t>
        </is>
      </c>
      <c r="F26" s="60" t="n">
        <v>1</v>
      </c>
      <c r="G26" s="60" t="inlineStr">
        <is>
          <t>A</t>
        </is>
      </c>
      <c r="H26" s="60" t="inlineStr">
        <is>
          <t>One-Euro</t>
        </is>
      </c>
      <c r="I26" s="60" t="inlineStr">
        <is>
          <t>P004_Gamepad_S1</t>
        </is>
      </c>
      <c r="J26" s="55"/>
      <c r="K26" s="55"/>
      <c r="L26" s="55" t="inlineStr">
        <is>
          <t>No</t>
        </is>
      </c>
      <c r="M26" s="55" t="inlineStr">
        <is>
          <t>No</t>
        </is>
      </c>
      <c r="N26" s="55" t="inlineStr">
        <is>
          <t>No</t>
        </is>
      </c>
      <c r="O26" s="55" t="inlineStr">
        <is>
          <t>N/A</t>
        </is>
      </c>
      <c r="P26" s="55" t="inlineStr">
        <is>
          <t>No</t>
        </is>
      </c>
      <c r="Q26" s="55" t="inlineStr">
        <is>
          <t>Pending</t>
        </is>
      </c>
      <c r="R26" s="55" t="inlineStr">
        <is>
          <t>None</t>
        </is>
      </c>
      <c r="S26" s="87"/>
      <c r="T26" s="87"/>
      <c r="U26" s="87"/>
      <c r="V26" s="87"/>
      <c r="W26" s="87"/>
      <c r="X26" s="87"/>
      <c r="Y26" s="87"/>
      <c r="Z26" s="76"/>
    </row>
    <row r="27">
      <c r="A27" s="75" t="inlineStr">
        <is>
          <t>P004</t>
        </is>
      </c>
      <c r="B27" s="60" t="n">
        <v>1</v>
      </c>
      <c r="C27" s="60" t="n">
        <v>3</v>
      </c>
      <c r="D27" s="60" t="inlineStr">
        <is>
          <t>游戏手柄</t>
        </is>
      </c>
      <c r="E27" s="60" t="inlineStr">
        <is>
          <t>S2</t>
        </is>
      </c>
      <c r="F27" s="60" t="n">
        <v>2</v>
      </c>
      <c r="G27" s="60" t="inlineStr">
        <is>
          <t>B</t>
        </is>
      </c>
      <c r="H27" s="60" t="inlineStr">
        <is>
          <t>EgoAnchor</t>
        </is>
      </c>
      <c r="I27" s="60" t="inlineStr">
        <is>
          <t>P004_Gamepad_S1</t>
        </is>
      </c>
      <c r="J27" s="55"/>
      <c r="K27" s="55"/>
      <c r="L27" s="55" t="inlineStr">
        <is>
          <t>No</t>
        </is>
      </c>
      <c r="M27" s="55" t="inlineStr">
        <is>
          <t>No</t>
        </is>
      </c>
      <c r="N27" s="55" t="inlineStr">
        <is>
          <t>No</t>
        </is>
      </c>
      <c r="O27" s="55" t="inlineStr">
        <is>
          <t>Pending</t>
        </is>
      </c>
      <c r="P27" s="55" t="inlineStr">
        <is>
          <t>No</t>
        </is>
      </c>
      <c r="Q27" s="55" t="inlineStr">
        <is>
          <t>Pending</t>
        </is>
      </c>
      <c r="R27" s="55" t="inlineStr">
        <is>
          <t>None</t>
        </is>
      </c>
      <c r="S27" s="87"/>
      <c r="T27" s="87"/>
      <c r="U27" s="87"/>
      <c r="V27" s="87"/>
      <c r="W27" s="87"/>
      <c r="X27" s="87"/>
      <c r="Y27" s="87"/>
      <c r="Z27" s="76"/>
    </row>
    <row r="28">
      <c r="A28" s="75" t="inlineStr">
        <is>
          <t>P005</t>
        </is>
      </c>
      <c r="B28" s="60" t="n">
        <v>2</v>
      </c>
      <c r="C28" s="60" t="n">
        <v>1</v>
      </c>
      <c r="D28" s="60" t="inlineStr">
        <is>
          <t>无线鼠标</t>
        </is>
      </c>
      <c r="E28" s="60" t="inlineStr">
        <is>
          <t>S1</t>
        </is>
      </c>
      <c r="F28" s="60" t="n">
        <v>1</v>
      </c>
      <c r="G28" s="60" t="inlineStr">
        <is>
          <t>A</t>
        </is>
      </c>
      <c r="H28" s="60" t="inlineStr">
        <is>
          <t>EgoAnchor</t>
        </is>
      </c>
      <c r="I28" s="60" t="inlineStr">
        <is>
          <t>P005_Mouse_S1</t>
        </is>
      </c>
      <c r="J28" s="55"/>
      <c r="K28" s="55"/>
      <c r="L28" s="55" t="inlineStr">
        <is>
          <t>No</t>
        </is>
      </c>
      <c r="M28" s="55" t="inlineStr">
        <is>
          <t>No</t>
        </is>
      </c>
      <c r="N28" s="55" t="inlineStr">
        <is>
          <t>No</t>
        </is>
      </c>
      <c r="O28" s="55" t="inlineStr">
        <is>
          <t>N/A</t>
        </is>
      </c>
      <c r="P28" s="55" t="inlineStr">
        <is>
          <t>No</t>
        </is>
      </c>
      <c r="Q28" s="55" t="inlineStr">
        <is>
          <t>Pending</t>
        </is>
      </c>
      <c r="R28" s="55" t="inlineStr">
        <is>
          <t>None</t>
        </is>
      </c>
      <c r="S28" s="87"/>
      <c r="T28" s="87"/>
      <c r="U28" s="87"/>
      <c r="V28" s="87"/>
      <c r="W28" s="87"/>
      <c r="X28" s="87"/>
      <c r="Y28" s="87"/>
      <c r="Z28" s="76"/>
    </row>
    <row r="29">
      <c r="A29" s="75" t="inlineStr">
        <is>
          <t>P005</t>
        </is>
      </c>
      <c r="B29" s="60" t="n">
        <v>2</v>
      </c>
      <c r="C29" s="60" t="n">
        <v>1</v>
      </c>
      <c r="D29" s="60" t="inlineStr">
        <is>
          <t>无线鼠标</t>
        </is>
      </c>
      <c r="E29" s="60" t="inlineStr">
        <is>
          <t>S1</t>
        </is>
      </c>
      <c r="F29" s="60" t="n">
        <v>2</v>
      </c>
      <c r="G29" s="60" t="inlineStr">
        <is>
          <t>B</t>
        </is>
      </c>
      <c r="H29" s="60" t="inlineStr">
        <is>
          <t>One-Euro</t>
        </is>
      </c>
      <c r="I29" s="60" t="inlineStr">
        <is>
          <t>P005_Mouse_S1</t>
        </is>
      </c>
      <c r="J29" s="55"/>
      <c r="K29" s="55"/>
      <c r="L29" s="55" t="inlineStr">
        <is>
          <t>No</t>
        </is>
      </c>
      <c r="M29" s="55" t="inlineStr">
        <is>
          <t>No</t>
        </is>
      </c>
      <c r="N29" s="55" t="inlineStr">
        <is>
          <t>No</t>
        </is>
      </c>
      <c r="O29" s="55" t="inlineStr">
        <is>
          <t>Pending</t>
        </is>
      </c>
      <c r="P29" s="55" t="inlineStr">
        <is>
          <t>No</t>
        </is>
      </c>
      <c r="Q29" s="55" t="inlineStr">
        <is>
          <t>Pending</t>
        </is>
      </c>
      <c r="R29" s="55" t="inlineStr">
        <is>
          <t>None</t>
        </is>
      </c>
      <c r="S29" s="87"/>
      <c r="T29" s="87"/>
      <c r="U29" s="87"/>
      <c r="V29" s="87"/>
      <c r="W29" s="87"/>
      <c r="X29" s="87"/>
      <c r="Y29" s="87"/>
      <c r="Z29" s="76"/>
    </row>
    <row r="30">
      <c r="A30" s="75" t="inlineStr">
        <is>
          <t>P005</t>
        </is>
      </c>
      <c r="B30" s="60" t="n">
        <v>2</v>
      </c>
      <c r="C30" s="60" t="n">
        <v>2</v>
      </c>
      <c r="D30" s="60" t="inlineStr">
        <is>
          <t>游戏手柄</t>
        </is>
      </c>
      <c r="E30" s="60" t="inlineStr">
        <is>
          <t>S1</t>
        </is>
      </c>
      <c r="F30" s="60" t="n">
        <v>1</v>
      </c>
      <c r="G30" s="60" t="inlineStr">
        <is>
          <t>A</t>
        </is>
      </c>
      <c r="H30" s="60" t="inlineStr">
        <is>
          <t>One-Euro</t>
        </is>
      </c>
      <c r="I30" s="60" t="inlineStr">
        <is>
          <t>P005_Gamepad_S1</t>
        </is>
      </c>
      <c r="J30" s="55"/>
      <c r="K30" s="55"/>
      <c r="L30" s="55" t="inlineStr">
        <is>
          <t>No</t>
        </is>
      </c>
      <c r="M30" s="55" t="inlineStr">
        <is>
          <t>No</t>
        </is>
      </c>
      <c r="N30" s="55" t="inlineStr">
        <is>
          <t>No</t>
        </is>
      </c>
      <c r="O30" s="55" t="inlineStr">
        <is>
          <t>N/A</t>
        </is>
      </c>
      <c r="P30" s="55" t="inlineStr">
        <is>
          <t>No</t>
        </is>
      </c>
      <c r="Q30" s="55" t="inlineStr">
        <is>
          <t>Pending</t>
        </is>
      </c>
      <c r="R30" s="55" t="inlineStr">
        <is>
          <t>None</t>
        </is>
      </c>
      <c r="S30" s="87"/>
      <c r="T30" s="87"/>
      <c r="U30" s="87"/>
      <c r="V30" s="87"/>
      <c r="W30" s="87"/>
      <c r="X30" s="87"/>
      <c r="Y30" s="87"/>
      <c r="Z30" s="76"/>
    </row>
    <row r="31">
      <c r="A31" s="75" t="inlineStr">
        <is>
          <t>P005</t>
        </is>
      </c>
      <c r="B31" s="60" t="n">
        <v>2</v>
      </c>
      <c r="C31" s="60" t="n">
        <v>2</v>
      </c>
      <c r="D31" s="60" t="inlineStr">
        <is>
          <t>游戏手柄</t>
        </is>
      </c>
      <c r="E31" s="60" t="inlineStr">
        <is>
          <t>S1</t>
        </is>
      </c>
      <c r="F31" s="60" t="n">
        <v>2</v>
      </c>
      <c r="G31" s="60" t="inlineStr">
        <is>
          <t>B</t>
        </is>
      </c>
      <c r="H31" s="60" t="inlineStr">
        <is>
          <t>EgoAnchor</t>
        </is>
      </c>
      <c r="I31" s="60" t="inlineStr">
        <is>
          <t>P005_Gamepad_S1</t>
        </is>
      </c>
      <c r="J31" s="55"/>
      <c r="K31" s="55"/>
      <c r="L31" s="55" t="inlineStr">
        <is>
          <t>No</t>
        </is>
      </c>
      <c r="M31" s="55" t="inlineStr">
        <is>
          <t>No</t>
        </is>
      </c>
      <c r="N31" s="55" t="inlineStr">
        <is>
          <t>No</t>
        </is>
      </c>
      <c r="O31" s="55" t="inlineStr">
        <is>
          <t>Pending</t>
        </is>
      </c>
      <c r="P31" s="55" t="inlineStr">
        <is>
          <t>No</t>
        </is>
      </c>
      <c r="Q31" s="55" t="inlineStr">
        <is>
          <t>Pending</t>
        </is>
      </c>
      <c r="R31" s="55" t="inlineStr">
        <is>
          <t>None</t>
        </is>
      </c>
      <c r="S31" s="87"/>
      <c r="T31" s="87"/>
      <c r="U31" s="87"/>
      <c r="V31" s="87"/>
      <c r="W31" s="87"/>
      <c r="X31" s="87"/>
      <c r="Y31" s="87"/>
      <c r="Z31" s="76"/>
    </row>
    <row r="32">
      <c r="A32" s="75" t="inlineStr">
        <is>
          <t>P005</t>
        </is>
      </c>
      <c r="B32" s="60" t="n">
        <v>2</v>
      </c>
      <c r="C32" s="60" t="n">
        <v>3</v>
      </c>
      <c r="D32" s="60" t="inlineStr">
        <is>
          <t>固定闭合订书机</t>
        </is>
      </c>
      <c r="E32" s="60" t="inlineStr">
        <is>
          <t>S1</t>
        </is>
      </c>
      <c r="F32" s="60" t="n">
        <v>1</v>
      </c>
      <c r="G32" s="60" t="inlineStr">
        <is>
          <t>A</t>
        </is>
      </c>
      <c r="H32" s="60" t="inlineStr">
        <is>
          <t>EgoAnchor</t>
        </is>
      </c>
      <c r="I32" s="60" t="inlineStr">
        <is>
          <t>P005_Stapler_S1</t>
        </is>
      </c>
      <c r="J32" s="55"/>
      <c r="K32" s="55"/>
      <c r="L32" s="55" t="inlineStr">
        <is>
          <t>No</t>
        </is>
      </c>
      <c r="M32" s="55" t="inlineStr">
        <is>
          <t>No</t>
        </is>
      </c>
      <c r="N32" s="55" t="inlineStr">
        <is>
          <t>No</t>
        </is>
      </c>
      <c r="O32" s="55" t="inlineStr">
        <is>
          <t>N/A</t>
        </is>
      </c>
      <c r="P32" s="55" t="inlineStr">
        <is>
          <t>No</t>
        </is>
      </c>
      <c r="Q32" s="55" t="inlineStr">
        <is>
          <t>Pending</t>
        </is>
      </c>
      <c r="R32" s="55" t="inlineStr">
        <is>
          <t>None</t>
        </is>
      </c>
      <c r="S32" s="87"/>
      <c r="T32" s="87"/>
      <c r="U32" s="87"/>
      <c r="V32" s="87"/>
      <c r="W32" s="87"/>
      <c r="X32" s="87"/>
      <c r="Y32" s="87"/>
      <c r="Z32" s="76"/>
    </row>
    <row r="33">
      <c r="A33" s="75" t="inlineStr">
        <is>
          <t>P005</t>
        </is>
      </c>
      <c r="B33" s="60" t="n">
        <v>2</v>
      </c>
      <c r="C33" s="60" t="n">
        <v>3</v>
      </c>
      <c r="D33" s="60" t="inlineStr">
        <is>
          <t>固定闭合订书机</t>
        </is>
      </c>
      <c r="E33" s="60" t="inlineStr">
        <is>
          <t>S1</t>
        </is>
      </c>
      <c r="F33" s="60" t="n">
        <v>2</v>
      </c>
      <c r="G33" s="60" t="inlineStr">
        <is>
          <t>B</t>
        </is>
      </c>
      <c r="H33" s="60" t="inlineStr">
        <is>
          <t>One-Euro</t>
        </is>
      </c>
      <c r="I33" s="60" t="inlineStr">
        <is>
          <t>P005_Stapler_S1</t>
        </is>
      </c>
      <c r="J33" s="55"/>
      <c r="K33" s="55"/>
      <c r="L33" s="55" t="inlineStr">
        <is>
          <t>No</t>
        </is>
      </c>
      <c r="M33" s="55" t="inlineStr">
        <is>
          <t>No</t>
        </is>
      </c>
      <c r="N33" s="55" t="inlineStr">
        <is>
          <t>No</t>
        </is>
      </c>
      <c r="O33" s="55" t="inlineStr">
        <is>
          <t>Pending</t>
        </is>
      </c>
      <c r="P33" s="55" t="inlineStr">
        <is>
          <t>No</t>
        </is>
      </c>
      <c r="Q33" s="55" t="inlineStr">
        <is>
          <t>Pending</t>
        </is>
      </c>
      <c r="R33" s="55" t="inlineStr">
        <is>
          <t>None</t>
        </is>
      </c>
      <c r="S33" s="87"/>
      <c r="T33" s="87"/>
      <c r="U33" s="87"/>
      <c r="V33" s="87"/>
      <c r="W33" s="87"/>
      <c r="X33" s="87"/>
      <c r="Y33" s="87"/>
      <c r="Z33" s="76"/>
    </row>
    <row r="34">
      <c r="A34" s="75" t="inlineStr">
        <is>
          <t>P006</t>
        </is>
      </c>
      <c r="B34" s="60" t="n">
        <v>2</v>
      </c>
      <c r="C34" s="60" t="n">
        <v>1</v>
      </c>
      <c r="D34" s="60" t="inlineStr">
        <is>
          <t>无线鼠标</t>
        </is>
      </c>
      <c r="E34" s="60" t="inlineStr">
        <is>
          <t>S1</t>
        </is>
      </c>
      <c r="F34" s="60" t="n">
        <v>1</v>
      </c>
      <c r="G34" s="60" t="inlineStr">
        <is>
          <t>A</t>
        </is>
      </c>
      <c r="H34" s="60" t="inlineStr">
        <is>
          <t>EgoAnchor</t>
        </is>
      </c>
      <c r="I34" s="60" t="inlineStr">
        <is>
          <t>P006_Mouse_S1</t>
        </is>
      </c>
      <c r="J34" s="55"/>
      <c r="K34" s="55"/>
      <c r="L34" s="55" t="inlineStr">
        <is>
          <t>No</t>
        </is>
      </c>
      <c r="M34" s="55" t="inlineStr">
        <is>
          <t>No</t>
        </is>
      </c>
      <c r="N34" s="55" t="inlineStr">
        <is>
          <t>No</t>
        </is>
      </c>
      <c r="O34" s="55" t="inlineStr">
        <is>
          <t>N/A</t>
        </is>
      </c>
      <c r="P34" s="55" t="inlineStr">
        <is>
          <t>No</t>
        </is>
      </c>
      <c r="Q34" s="55" t="inlineStr">
        <is>
          <t>Pending</t>
        </is>
      </c>
      <c r="R34" s="55" t="inlineStr">
        <is>
          <t>None</t>
        </is>
      </c>
      <c r="S34" s="87"/>
      <c r="T34" s="87"/>
      <c r="U34" s="87"/>
      <c r="V34" s="87"/>
      <c r="W34" s="87"/>
      <c r="X34" s="87"/>
      <c r="Y34" s="87"/>
      <c r="Z34" s="76"/>
    </row>
    <row r="35">
      <c r="A35" s="75" t="inlineStr">
        <is>
          <t>P006</t>
        </is>
      </c>
      <c r="B35" s="60" t="n">
        <v>2</v>
      </c>
      <c r="C35" s="60" t="n">
        <v>1</v>
      </c>
      <c r="D35" s="60" t="inlineStr">
        <is>
          <t>无线鼠标</t>
        </is>
      </c>
      <c r="E35" s="60" t="inlineStr">
        <is>
          <t>S1</t>
        </is>
      </c>
      <c r="F35" s="60" t="n">
        <v>2</v>
      </c>
      <c r="G35" s="60" t="inlineStr">
        <is>
          <t>B</t>
        </is>
      </c>
      <c r="H35" s="60" t="inlineStr">
        <is>
          <t>One-Euro</t>
        </is>
      </c>
      <c r="I35" s="60" t="inlineStr">
        <is>
          <t>P006_Mouse_S1</t>
        </is>
      </c>
      <c r="J35" s="55"/>
      <c r="K35" s="55"/>
      <c r="L35" s="55" t="inlineStr">
        <is>
          <t>No</t>
        </is>
      </c>
      <c r="M35" s="55" t="inlineStr">
        <is>
          <t>No</t>
        </is>
      </c>
      <c r="N35" s="55" t="inlineStr">
        <is>
          <t>No</t>
        </is>
      </c>
      <c r="O35" s="55" t="inlineStr">
        <is>
          <t>Pending</t>
        </is>
      </c>
      <c r="P35" s="55" t="inlineStr">
        <is>
          <t>No</t>
        </is>
      </c>
      <c r="Q35" s="55" t="inlineStr">
        <is>
          <t>Pending</t>
        </is>
      </c>
      <c r="R35" s="55" t="inlineStr">
        <is>
          <t>None</t>
        </is>
      </c>
      <c r="S35" s="87"/>
      <c r="T35" s="87"/>
      <c r="U35" s="87"/>
      <c r="V35" s="87"/>
      <c r="W35" s="87"/>
      <c r="X35" s="87"/>
      <c r="Y35" s="87"/>
      <c r="Z35" s="76"/>
    </row>
    <row r="36">
      <c r="A36" s="75" t="inlineStr">
        <is>
          <t>P006</t>
        </is>
      </c>
      <c r="B36" s="60" t="n">
        <v>2</v>
      </c>
      <c r="C36" s="60" t="n">
        <v>2</v>
      </c>
      <c r="D36" s="60" t="inlineStr">
        <is>
          <t>游戏手柄</t>
        </is>
      </c>
      <c r="E36" s="60" t="inlineStr">
        <is>
          <t>S1</t>
        </is>
      </c>
      <c r="F36" s="60" t="n">
        <v>1</v>
      </c>
      <c r="G36" s="60" t="inlineStr">
        <is>
          <t>A</t>
        </is>
      </c>
      <c r="H36" s="60" t="inlineStr">
        <is>
          <t>One-Euro</t>
        </is>
      </c>
      <c r="I36" s="60" t="inlineStr">
        <is>
          <t>P006_Gamepad_S1</t>
        </is>
      </c>
      <c r="J36" s="55"/>
      <c r="K36" s="55"/>
      <c r="L36" s="55" t="inlineStr">
        <is>
          <t>No</t>
        </is>
      </c>
      <c r="M36" s="55" t="inlineStr">
        <is>
          <t>No</t>
        </is>
      </c>
      <c r="N36" s="55" t="inlineStr">
        <is>
          <t>No</t>
        </is>
      </c>
      <c r="O36" s="55" t="inlineStr">
        <is>
          <t>N/A</t>
        </is>
      </c>
      <c r="P36" s="55" t="inlineStr">
        <is>
          <t>No</t>
        </is>
      </c>
      <c r="Q36" s="55" t="inlineStr">
        <is>
          <t>Pending</t>
        </is>
      </c>
      <c r="R36" s="55" t="inlineStr">
        <is>
          <t>None</t>
        </is>
      </c>
      <c r="S36" s="87"/>
      <c r="T36" s="87"/>
      <c r="U36" s="87"/>
      <c r="V36" s="87"/>
      <c r="W36" s="87"/>
      <c r="X36" s="87"/>
      <c r="Y36" s="87"/>
      <c r="Z36" s="76"/>
    </row>
    <row r="37">
      <c r="A37" s="75" t="inlineStr">
        <is>
          <t>P006</t>
        </is>
      </c>
      <c r="B37" s="60" t="n">
        <v>2</v>
      </c>
      <c r="C37" s="60" t="n">
        <v>2</v>
      </c>
      <c r="D37" s="60" t="inlineStr">
        <is>
          <t>游戏手柄</t>
        </is>
      </c>
      <c r="E37" s="60" t="inlineStr">
        <is>
          <t>S1</t>
        </is>
      </c>
      <c r="F37" s="60" t="n">
        <v>2</v>
      </c>
      <c r="G37" s="60" t="inlineStr">
        <is>
          <t>B</t>
        </is>
      </c>
      <c r="H37" s="60" t="inlineStr">
        <is>
          <t>EgoAnchor</t>
        </is>
      </c>
      <c r="I37" s="60" t="inlineStr">
        <is>
          <t>P006_Gamepad_S1</t>
        </is>
      </c>
      <c r="J37" s="55"/>
      <c r="K37" s="55"/>
      <c r="L37" s="55" t="inlineStr">
        <is>
          <t>No</t>
        </is>
      </c>
      <c r="M37" s="55" t="inlineStr">
        <is>
          <t>No</t>
        </is>
      </c>
      <c r="N37" s="55" t="inlineStr">
        <is>
          <t>No</t>
        </is>
      </c>
      <c r="O37" s="55" t="inlineStr">
        <is>
          <t>Pending</t>
        </is>
      </c>
      <c r="P37" s="55" t="inlineStr">
        <is>
          <t>No</t>
        </is>
      </c>
      <c r="Q37" s="55" t="inlineStr">
        <is>
          <t>Pending</t>
        </is>
      </c>
      <c r="R37" s="55" t="inlineStr">
        <is>
          <t>None</t>
        </is>
      </c>
      <c r="S37" s="87"/>
      <c r="T37" s="87"/>
      <c r="U37" s="87"/>
      <c r="V37" s="87"/>
      <c r="W37" s="87"/>
      <c r="X37" s="87"/>
      <c r="Y37" s="87"/>
      <c r="Z37" s="76"/>
    </row>
    <row r="38">
      <c r="A38" s="75" t="inlineStr">
        <is>
          <t>P006</t>
        </is>
      </c>
      <c r="B38" s="60" t="n">
        <v>2</v>
      </c>
      <c r="C38" s="60" t="n">
        <v>3</v>
      </c>
      <c r="D38" s="60" t="inlineStr">
        <is>
          <t>固定闭合订书机</t>
        </is>
      </c>
      <c r="E38" s="60" t="inlineStr">
        <is>
          <t>S1</t>
        </is>
      </c>
      <c r="F38" s="60" t="n">
        <v>1</v>
      </c>
      <c r="G38" s="60" t="inlineStr">
        <is>
          <t>A</t>
        </is>
      </c>
      <c r="H38" s="60" t="inlineStr">
        <is>
          <t>EgoAnchor</t>
        </is>
      </c>
      <c r="I38" s="60" t="inlineStr">
        <is>
          <t>P006_Stapler_S1</t>
        </is>
      </c>
      <c r="J38" s="55"/>
      <c r="K38" s="55"/>
      <c r="L38" s="55" t="inlineStr">
        <is>
          <t>No</t>
        </is>
      </c>
      <c r="M38" s="55" t="inlineStr">
        <is>
          <t>No</t>
        </is>
      </c>
      <c r="N38" s="55" t="inlineStr">
        <is>
          <t>No</t>
        </is>
      </c>
      <c r="O38" s="55" t="inlineStr">
        <is>
          <t>N/A</t>
        </is>
      </c>
      <c r="P38" s="55" t="inlineStr">
        <is>
          <t>No</t>
        </is>
      </c>
      <c r="Q38" s="55" t="inlineStr">
        <is>
          <t>Pending</t>
        </is>
      </c>
      <c r="R38" s="55" t="inlineStr">
        <is>
          <t>None</t>
        </is>
      </c>
      <c r="S38" s="87"/>
      <c r="T38" s="87"/>
      <c r="U38" s="87"/>
      <c r="V38" s="87"/>
      <c r="W38" s="87"/>
      <c r="X38" s="87"/>
      <c r="Y38" s="87"/>
      <c r="Z38" s="76"/>
    </row>
    <row r="39">
      <c r="A39" s="75" t="inlineStr">
        <is>
          <t>P006</t>
        </is>
      </c>
      <c r="B39" s="60" t="n">
        <v>2</v>
      </c>
      <c r="C39" s="60" t="n">
        <v>3</v>
      </c>
      <c r="D39" s="60" t="inlineStr">
        <is>
          <t>固定闭合订书机</t>
        </is>
      </c>
      <c r="E39" s="60" t="inlineStr">
        <is>
          <t>S1</t>
        </is>
      </c>
      <c r="F39" s="60" t="n">
        <v>2</v>
      </c>
      <c r="G39" s="60" t="inlineStr">
        <is>
          <t>B</t>
        </is>
      </c>
      <c r="H39" s="60" t="inlineStr">
        <is>
          <t>One-Euro</t>
        </is>
      </c>
      <c r="I39" s="60" t="inlineStr">
        <is>
          <t>P006_Stapler_S1</t>
        </is>
      </c>
      <c r="J39" s="55"/>
      <c r="K39" s="55"/>
      <c r="L39" s="55" t="inlineStr">
        <is>
          <t>No</t>
        </is>
      </c>
      <c r="M39" s="55" t="inlineStr">
        <is>
          <t>No</t>
        </is>
      </c>
      <c r="N39" s="55" t="inlineStr">
        <is>
          <t>No</t>
        </is>
      </c>
      <c r="O39" s="55" t="inlineStr">
        <is>
          <t>Pending</t>
        </is>
      </c>
      <c r="P39" s="55" t="inlineStr">
        <is>
          <t>No</t>
        </is>
      </c>
      <c r="Q39" s="55" t="inlineStr">
        <is>
          <t>Pending</t>
        </is>
      </c>
      <c r="R39" s="55" t="inlineStr">
        <is>
          <t>None</t>
        </is>
      </c>
      <c r="S39" s="87"/>
      <c r="T39" s="87"/>
      <c r="U39" s="87"/>
      <c r="V39" s="87"/>
      <c r="W39" s="87"/>
      <c r="X39" s="87"/>
      <c r="Y39" s="87"/>
      <c r="Z39" s="76"/>
    </row>
    <row r="40">
      <c r="A40" s="75" t="inlineStr">
        <is>
          <t>P007</t>
        </is>
      </c>
      <c r="B40" s="60" t="n">
        <v>2</v>
      </c>
      <c r="C40" s="60" t="n">
        <v>1</v>
      </c>
      <c r="D40" s="60" t="inlineStr">
        <is>
          <t>无线鼠标</t>
        </is>
      </c>
      <c r="E40" s="60" t="inlineStr">
        <is>
          <t>S2</t>
        </is>
      </c>
      <c r="F40" s="60" t="n">
        <v>1</v>
      </c>
      <c r="G40" s="60" t="inlineStr">
        <is>
          <t>A</t>
        </is>
      </c>
      <c r="H40" s="60" t="inlineStr">
        <is>
          <t>One-Euro</t>
        </is>
      </c>
      <c r="I40" s="60" t="inlineStr">
        <is>
          <t>P007_Mouse_S1</t>
        </is>
      </c>
      <c r="J40" s="55"/>
      <c r="K40" s="55"/>
      <c r="L40" s="55" t="inlineStr">
        <is>
          <t>No</t>
        </is>
      </c>
      <c r="M40" s="55" t="inlineStr">
        <is>
          <t>No</t>
        </is>
      </c>
      <c r="N40" s="55" t="inlineStr">
        <is>
          <t>No</t>
        </is>
      </c>
      <c r="O40" s="55" t="inlineStr">
        <is>
          <t>N/A</t>
        </is>
      </c>
      <c r="P40" s="55" t="inlineStr">
        <is>
          <t>No</t>
        </is>
      </c>
      <c r="Q40" s="55" t="inlineStr">
        <is>
          <t>Pending</t>
        </is>
      </c>
      <c r="R40" s="55" t="inlineStr">
        <is>
          <t>None</t>
        </is>
      </c>
      <c r="S40" s="87"/>
      <c r="T40" s="87"/>
      <c r="U40" s="87"/>
      <c r="V40" s="87"/>
      <c r="W40" s="87"/>
      <c r="X40" s="87"/>
      <c r="Y40" s="87"/>
      <c r="Z40" s="76"/>
    </row>
    <row r="41">
      <c r="A41" s="75" t="inlineStr">
        <is>
          <t>P007</t>
        </is>
      </c>
      <c r="B41" s="60" t="n">
        <v>2</v>
      </c>
      <c r="C41" s="60" t="n">
        <v>1</v>
      </c>
      <c r="D41" s="60" t="inlineStr">
        <is>
          <t>无线鼠标</t>
        </is>
      </c>
      <c r="E41" s="60" t="inlineStr">
        <is>
          <t>S2</t>
        </is>
      </c>
      <c r="F41" s="60" t="n">
        <v>2</v>
      </c>
      <c r="G41" s="60" t="inlineStr">
        <is>
          <t>B</t>
        </is>
      </c>
      <c r="H41" s="60" t="inlineStr">
        <is>
          <t>EgoAnchor</t>
        </is>
      </c>
      <c r="I41" s="60" t="inlineStr">
        <is>
          <t>P007_Mouse_S1</t>
        </is>
      </c>
      <c r="J41" s="55"/>
      <c r="K41" s="55"/>
      <c r="L41" s="55" t="inlineStr">
        <is>
          <t>No</t>
        </is>
      </c>
      <c r="M41" s="55" t="inlineStr">
        <is>
          <t>No</t>
        </is>
      </c>
      <c r="N41" s="55" t="inlineStr">
        <is>
          <t>No</t>
        </is>
      </c>
      <c r="O41" s="55" t="inlineStr">
        <is>
          <t>Pending</t>
        </is>
      </c>
      <c r="P41" s="55" t="inlineStr">
        <is>
          <t>No</t>
        </is>
      </c>
      <c r="Q41" s="55" t="inlineStr">
        <is>
          <t>Pending</t>
        </is>
      </c>
      <c r="R41" s="55" t="inlineStr">
        <is>
          <t>None</t>
        </is>
      </c>
      <c r="S41" s="87"/>
      <c r="T41" s="87"/>
      <c r="U41" s="87"/>
      <c r="V41" s="87"/>
      <c r="W41" s="87"/>
      <c r="X41" s="87"/>
      <c r="Y41" s="87"/>
      <c r="Z41" s="76"/>
    </row>
    <row r="42">
      <c r="A42" s="75" t="inlineStr">
        <is>
          <t>P007</t>
        </is>
      </c>
      <c r="B42" s="60" t="n">
        <v>2</v>
      </c>
      <c r="C42" s="60" t="n">
        <v>2</v>
      </c>
      <c r="D42" s="60" t="inlineStr">
        <is>
          <t>游戏手柄</t>
        </is>
      </c>
      <c r="E42" s="60" t="inlineStr">
        <is>
          <t>S2</t>
        </is>
      </c>
      <c r="F42" s="60" t="n">
        <v>1</v>
      </c>
      <c r="G42" s="60" t="inlineStr">
        <is>
          <t>A</t>
        </is>
      </c>
      <c r="H42" s="60" t="inlineStr">
        <is>
          <t>EgoAnchor</t>
        </is>
      </c>
      <c r="I42" s="60" t="inlineStr">
        <is>
          <t>P007_Gamepad_S1</t>
        </is>
      </c>
      <c r="J42" s="55"/>
      <c r="K42" s="55"/>
      <c r="L42" s="55" t="inlineStr">
        <is>
          <t>No</t>
        </is>
      </c>
      <c r="M42" s="55" t="inlineStr">
        <is>
          <t>No</t>
        </is>
      </c>
      <c r="N42" s="55" t="inlineStr">
        <is>
          <t>No</t>
        </is>
      </c>
      <c r="O42" s="55" t="inlineStr">
        <is>
          <t>N/A</t>
        </is>
      </c>
      <c r="P42" s="55" t="inlineStr">
        <is>
          <t>No</t>
        </is>
      </c>
      <c r="Q42" s="55" t="inlineStr">
        <is>
          <t>Pending</t>
        </is>
      </c>
      <c r="R42" s="55" t="inlineStr">
        <is>
          <t>None</t>
        </is>
      </c>
      <c r="S42" s="87"/>
      <c r="T42" s="87"/>
      <c r="U42" s="87"/>
      <c r="V42" s="87"/>
      <c r="W42" s="87"/>
      <c r="X42" s="87"/>
      <c r="Y42" s="87"/>
      <c r="Z42" s="76"/>
    </row>
    <row r="43">
      <c r="A43" s="75" t="inlineStr">
        <is>
          <t>P007</t>
        </is>
      </c>
      <c r="B43" s="60" t="n">
        <v>2</v>
      </c>
      <c r="C43" s="60" t="n">
        <v>2</v>
      </c>
      <c r="D43" s="60" t="inlineStr">
        <is>
          <t>游戏手柄</t>
        </is>
      </c>
      <c r="E43" s="60" t="inlineStr">
        <is>
          <t>S2</t>
        </is>
      </c>
      <c r="F43" s="60" t="n">
        <v>2</v>
      </c>
      <c r="G43" s="60" t="inlineStr">
        <is>
          <t>B</t>
        </is>
      </c>
      <c r="H43" s="60" t="inlineStr">
        <is>
          <t>One-Euro</t>
        </is>
      </c>
      <c r="I43" s="60" t="inlineStr">
        <is>
          <t>P007_Gamepad_S1</t>
        </is>
      </c>
      <c r="J43" s="55"/>
      <c r="K43" s="55"/>
      <c r="L43" s="55" t="inlineStr">
        <is>
          <t>No</t>
        </is>
      </c>
      <c r="M43" s="55" t="inlineStr">
        <is>
          <t>No</t>
        </is>
      </c>
      <c r="N43" s="55" t="inlineStr">
        <is>
          <t>No</t>
        </is>
      </c>
      <c r="O43" s="55" t="inlineStr">
        <is>
          <t>Pending</t>
        </is>
      </c>
      <c r="P43" s="55" t="inlineStr">
        <is>
          <t>No</t>
        </is>
      </c>
      <c r="Q43" s="55" t="inlineStr">
        <is>
          <t>Pending</t>
        </is>
      </c>
      <c r="R43" s="55" t="inlineStr">
        <is>
          <t>None</t>
        </is>
      </c>
      <c r="S43" s="87"/>
      <c r="T43" s="87"/>
      <c r="U43" s="87"/>
      <c r="V43" s="87"/>
      <c r="W43" s="87"/>
      <c r="X43" s="87"/>
      <c r="Y43" s="87"/>
      <c r="Z43" s="76"/>
    </row>
    <row r="44">
      <c r="A44" s="75" t="inlineStr">
        <is>
          <t>P007</t>
        </is>
      </c>
      <c r="B44" s="60" t="n">
        <v>2</v>
      </c>
      <c r="C44" s="60" t="n">
        <v>3</v>
      </c>
      <c r="D44" s="60" t="inlineStr">
        <is>
          <t>固定闭合订书机</t>
        </is>
      </c>
      <c r="E44" s="60" t="inlineStr">
        <is>
          <t>S2</t>
        </is>
      </c>
      <c r="F44" s="60" t="n">
        <v>1</v>
      </c>
      <c r="G44" s="60" t="inlineStr">
        <is>
          <t>A</t>
        </is>
      </c>
      <c r="H44" s="60" t="inlineStr">
        <is>
          <t>One-Euro</t>
        </is>
      </c>
      <c r="I44" s="60" t="inlineStr">
        <is>
          <t>P007_Stapler_S1</t>
        </is>
      </c>
      <c r="J44" s="55"/>
      <c r="K44" s="55"/>
      <c r="L44" s="55" t="inlineStr">
        <is>
          <t>No</t>
        </is>
      </c>
      <c r="M44" s="55" t="inlineStr">
        <is>
          <t>No</t>
        </is>
      </c>
      <c r="N44" s="55" t="inlineStr">
        <is>
          <t>No</t>
        </is>
      </c>
      <c r="O44" s="55" t="inlineStr">
        <is>
          <t>N/A</t>
        </is>
      </c>
      <c r="P44" s="55" t="inlineStr">
        <is>
          <t>No</t>
        </is>
      </c>
      <c r="Q44" s="55" t="inlineStr">
        <is>
          <t>Pending</t>
        </is>
      </c>
      <c r="R44" s="55" t="inlineStr">
        <is>
          <t>None</t>
        </is>
      </c>
      <c r="S44" s="87"/>
      <c r="T44" s="87"/>
      <c r="U44" s="87"/>
      <c r="V44" s="87"/>
      <c r="W44" s="87"/>
      <c r="X44" s="87"/>
      <c r="Y44" s="87"/>
      <c r="Z44" s="76"/>
    </row>
    <row r="45">
      <c r="A45" s="75" t="inlineStr">
        <is>
          <t>P007</t>
        </is>
      </c>
      <c r="B45" s="60" t="n">
        <v>2</v>
      </c>
      <c r="C45" s="60" t="n">
        <v>3</v>
      </c>
      <c r="D45" s="60" t="inlineStr">
        <is>
          <t>固定闭合订书机</t>
        </is>
      </c>
      <c r="E45" s="60" t="inlineStr">
        <is>
          <t>S2</t>
        </is>
      </c>
      <c r="F45" s="60" t="n">
        <v>2</v>
      </c>
      <c r="G45" s="60" t="inlineStr">
        <is>
          <t>B</t>
        </is>
      </c>
      <c r="H45" s="60" t="inlineStr">
        <is>
          <t>EgoAnchor</t>
        </is>
      </c>
      <c r="I45" s="60" t="inlineStr">
        <is>
          <t>P007_Stapler_S1</t>
        </is>
      </c>
      <c r="J45" s="55"/>
      <c r="K45" s="55"/>
      <c r="L45" s="55" t="inlineStr">
        <is>
          <t>No</t>
        </is>
      </c>
      <c r="M45" s="55" t="inlineStr">
        <is>
          <t>No</t>
        </is>
      </c>
      <c r="N45" s="55" t="inlineStr">
        <is>
          <t>No</t>
        </is>
      </c>
      <c r="O45" s="55" t="inlineStr">
        <is>
          <t>Pending</t>
        </is>
      </c>
      <c r="P45" s="55" t="inlineStr">
        <is>
          <t>No</t>
        </is>
      </c>
      <c r="Q45" s="55" t="inlineStr">
        <is>
          <t>Pending</t>
        </is>
      </c>
      <c r="R45" s="55" t="inlineStr">
        <is>
          <t>None</t>
        </is>
      </c>
      <c r="S45" s="87"/>
      <c r="T45" s="87"/>
      <c r="U45" s="87"/>
      <c r="V45" s="87"/>
      <c r="W45" s="87"/>
      <c r="X45" s="87"/>
      <c r="Y45" s="87"/>
      <c r="Z45" s="76"/>
    </row>
    <row r="46">
      <c r="A46" s="75" t="inlineStr">
        <is>
          <t>P008</t>
        </is>
      </c>
      <c r="B46" s="60" t="n">
        <v>2</v>
      </c>
      <c r="C46" s="60" t="n">
        <v>1</v>
      </c>
      <c r="D46" s="60" t="inlineStr">
        <is>
          <t>无线鼠标</t>
        </is>
      </c>
      <c r="E46" s="60" t="inlineStr">
        <is>
          <t>S2</t>
        </is>
      </c>
      <c r="F46" s="60" t="n">
        <v>1</v>
      </c>
      <c r="G46" s="60" t="inlineStr">
        <is>
          <t>A</t>
        </is>
      </c>
      <c r="H46" s="60" t="inlineStr">
        <is>
          <t>One-Euro</t>
        </is>
      </c>
      <c r="I46" s="60" t="inlineStr">
        <is>
          <t>P008_Mouse_S1</t>
        </is>
      </c>
      <c r="J46" s="55"/>
      <c r="K46" s="55"/>
      <c r="L46" s="55" t="inlineStr">
        <is>
          <t>No</t>
        </is>
      </c>
      <c r="M46" s="55" t="inlineStr">
        <is>
          <t>No</t>
        </is>
      </c>
      <c r="N46" s="55" t="inlineStr">
        <is>
          <t>No</t>
        </is>
      </c>
      <c r="O46" s="55" t="inlineStr">
        <is>
          <t>N/A</t>
        </is>
      </c>
      <c r="P46" s="55" t="inlineStr">
        <is>
          <t>No</t>
        </is>
      </c>
      <c r="Q46" s="55" t="inlineStr">
        <is>
          <t>Pending</t>
        </is>
      </c>
      <c r="R46" s="55" t="inlineStr">
        <is>
          <t>None</t>
        </is>
      </c>
      <c r="S46" s="87"/>
      <c r="T46" s="87"/>
      <c r="U46" s="87"/>
      <c r="V46" s="87"/>
      <c r="W46" s="87"/>
      <c r="X46" s="87"/>
      <c r="Y46" s="87"/>
      <c r="Z46" s="76"/>
    </row>
    <row r="47">
      <c r="A47" s="75" t="inlineStr">
        <is>
          <t>P008</t>
        </is>
      </c>
      <c r="B47" s="60" t="n">
        <v>2</v>
      </c>
      <c r="C47" s="60" t="n">
        <v>1</v>
      </c>
      <c r="D47" s="60" t="inlineStr">
        <is>
          <t>无线鼠标</t>
        </is>
      </c>
      <c r="E47" s="60" t="inlineStr">
        <is>
          <t>S2</t>
        </is>
      </c>
      <c r="F47" s="60" t="n">
        <v>2</v>
      </c>
      <c r="G47" s="60" t="inlineStr">
        <is>
          <t>B</t>
        </is>
      </c>
      <c r="H47" s="60" t="inlineStr">
        <is>
          <t>EgoAnchor</t>
        </is>
      </c>
      <c r="I47" s="60" t="inlineStr">
        <is>
          <t>P008_Mouse_S1</t>
        </is>
      </c>
      <c r="J47" s="55"/>
      <c r="K47" s="55"/>
      <c r="L47" s="55" t="inlineStr">
        <is>
          <t>No</t>
        </is>
      </c>
      <c r="M47" s="55" t="inlineStr">
        <is>
          <t>No</t>
        </is>
      </c>
      <c r="N47" s="55" t="inlineStr">
        <is>
          <t>No</t>
        </is>
      </c>
      <c r="O47" s="55" t="inlineStr">
        <is>
          <t>Pending</t>
        </is>
      </c>
      <c r="P47" s="55" t="inlineStr">
        <is>
          <t>No</t>
        </is>
      </c>
      <c r="Q47" s="55" t="inlineStr">
        <is>
          <t>Pending</t>
        </is>
      </c>
      <c r="R47" s="55" t="inlineStr">
        <is>
          <t>None</t>
        </is>
      </c>
      <c r="S47" s="87"/>
      <c r="T47" s="87"/>
      <c r="U47" s="87"/>
      <c r="V47" s="87"/>
      <c r="W47" s="87"/>
      <c r="X47" s="87"/>
      <c r="Y47" s="87"/>
      <c r="Z47" s="76"/>
    </row>
    <row r="48">
      <c r="A48" s="75" t="inlineStr">
        <is>
          <t>P008</t>
        </is>
      </c>
      <c r="B48" s="60" t="n">
        <v>2</v>
      </c>
      <c r="C48" s="60" t="n">
        <v>2</v>
      </c>
      <c r="D48" s="60" t="inlineStr">
        <is>
          <t>游戏手柄</t>
        </is>
      </c>
      <c r="E48" s="60" t="inlineStr">
        <is>
          <t>S2</t>
        </is>
      </c>
      <c r="F48" s="60" t="n">
        <v>1</v>
      </c>
      <c r="G48" s="60" t="inlineStr">
        <is>
          <t>A</t>
        </is>
      </c>
      <c r="H48" s="60" t="inlineStr">
        <is>
          <t>EgoAnchor</t>
        </is>
      </c>
      <c r="I48" s="60" t="inlineStr">
        <is>
          <t>P008_Gamepad_S1</t>
        </is>
      </c>
      <c r="J48" s="55"/>
      <c r="K48" s="55"/>
      <c r="L48" s="55" t="inlineStr">
        <is>
          <t>No</t>
        </is>
      </c>
      <c r="M48" s="55" t="inlineStr">
        <is>
          <t>No</t>
        </is>
      </c>
      <c r="N48" s="55" t="inlineStr">
        <is>
          <t>No</t>
        </is>
      </c>
      <c r="O48" s="55" t="inlineStr">
        <is>
          <t>N/A</t>
        </is>
      </c>
      <c r="P48" s="55" t="inlineStr">
        <is>
          <t>No</t>
        </is>
      </c>
      <c r="Q48" s="55" t="inlineStr">
        <is>
          <t>Pending</t>
        </is>
      </c>
      <c r="R48" s="55" t="inlineStr">
        <is>
          <t>None</t>
        </is>
      </c>
      <c r="S48" s="87"/>
      <c r="T48" s="87"/>
      <c r="U48" s="87"/>
      <c r="V48" s="87"/>
      <c r="W48" s="87"/>
      <c r="X48" s="87"/>
      <c r="Y48" s="87"/>
      <c r="Z48" s="76"/>
    </row>
    <row r="49">
      <c r="A49" s="75" t="inlineStr">
        <is>
          <t>P008</t>
        </is>
      </c>
      <c r="B49" s="60" t="n">
        <v>2</v>
      </c>
      <c r="C49" s="60" t="n">
        <v>2</v>
      </c>
      <c r="D49" s="60" t="inlineStr">
        <is>
          <t>游戏手柄</t>
        </is>
      </c>
      <c r="E49" s="60" t="inlineStr">
        <is>
          <t>S2</t>
        </is>
      </c>
      <c r="F49" s="60" t="n">
        <v>2</v>
      </c>
      <c r="G49" s="60" t="inlineStr">
        <is>
          <t>B</t>
        </is>
      </c>
      <c r="H49" s="60" t="inlineStr">
        <is>
          <t>One-Euro</t>
        </is>
      </c>
      <c r="I49" s="60" t="inlineStr">
        <is>
          <t>P008_Gamepad_S1</t>
        </is>
      </c>
      <c r="J49" s="55"/>
      <c r="K49" s="55"/>
      <c r="L49" s="55" t="inlineStr">
        <is>
          <t>No</t>
        </is>
      </c>
      <c r="M49" s="55" t="inlineStr">
        <is>
          <t>No</t>
        </is>
      </c>
      <c r="N49" s="55" t="inlineStr">
        <is>
          <t>No</t>
        </is>
      </c>
      <c r="O49" s="55" t="inlineStr">
        <is>
          <t>Pending</t>
        </is>
      </c>
      <c r="P49" s="55" t="inlineStr">
        <is>
          <t>No</t>
        </is>
      </c>
      <c r="Q49" s="55" t="inlineStr">
        <is>
          <t>Pending</t>
        </is>
      </c>
      <c r="R49" s="55" t="inlineStr">
        <is>
          <t>None</t>
        </is>
      </c>
      <c r="S49" s="87"/>
      <c r="T49" s="87"/>
      <c r="U49" s="87"/>
      <c r="V49" s="87"/>
      <c r="W49" s="87"/>
      <c r="X49" s="87"/>
      <c r="Y49" s="87"/>
      <c r="Z49" s="76"/>
    </row>
    <row r="50">
      <c r="A50" s="75" t="inlineStr">
        <is>
          <t>P008</t>
        </is>
      </c>
      <c r="B50" s="60" t="n">
        <v>2</v>
      </c>
      <c r="C50" s="60" t="n">
        <v>3</v>
      </c>
      <c r="D50" s="60" t="inlineStr">
        <is>
          <t>固定闭合订书机</t>
        </is>
      </c>
      <c r="E50" s="60" t="inlineStr">
        <is>
          <t>S2</t>
        </is>
      </c>
      <c r="F50" s="60" t="n">
        <v>1</v>
      </c>
      <c r="G50" s="60" t="inlineStr">
        <is>
          <t>A</t>
        </is>
      </c>
      <c r="H50" s="60" t="inlineStr">
        <is>
          <t>One-Euro</t>
        </is>
      </c>
      <c r="I50" s="60" t="inlineStr">
        <is>
          <t>P008_Stapler_S1</t>
        </is>
      </c>
      <c r="J50" s="55"/>
      <c r="K50" s="55"/>
      <c r="L50" s="55" t="inlineStr">
        <is>
          <t>No</t>
        </is>
      </c>
      <c r="M50" s="55" t="inlineStr">
        <is>
          <t>No</t>
        </is>
      </c>
      <c r="N50" s="55" t="inlineStr">
        <is>
          <t>No</t>
        </is>
      </c>
      <c r="O50" s="55" t="inlineStr">
        <is>
          <t>N/A</t>
        </is>
      </c>
      <c r="P50" s="55" t="inlineStr">
        <is>
          <t>No</t>
        </is>
      </c>
      <c r="Q50" s="55" t="inlineStr">
        <is>
          <t>Pending</t>
        </is>
      </c>
      <c r="R50" s="55" t="inlineStr">
        <is>
          <t>None</t>
        </is>
      </c>
      <c r="S50" s="87"/>
      <c r="T50" s="87"/>
      <c r="U50" s="87"/>
      <c r="V50" s="87"/>
      <c r="W50" s="87"/>
      <c r="X50" s="87"/>
      <c r="Y50" s="87"/>
      <c r="Z50" s="76"/>
    </row>
    <row r="51">
      <c r="A51" s="75" t="inlineStr">
        <is>
          <t>P008</t>
        </is>
      </c>
      <c r="B51" s="60" t="n">
        <v>2</v>
      </c>
      <c r="C51" s="60" t="n">
        <v>3</v>
      </c>
      <c r="D51" s="60" t="inlineStr">
        <is>
          <t>固定闭合订书机</t>
        </is>
      </c>
      <c r="E51" s="60" t="inlineStr">
        <is>
          <t>S2</t>
        </is>
      </c>
      <c r="F51" s="60" t="n">
        <v>2</v>
      </c>
      <c r="G51" s="60" t="inlineStr">
        <is>
          <t>B</t>
        </is>
      </c>
      <c r="H51" s="60" t="inlineStr">
        <is>
          <t>EgoAnchor</t>
        </is>
      </c>
      <c r="I51" s="60" t="inlineStr">
        <is>
          <t>P008_Stapler_S1</t>
        </is>
      </c>
      <c r="J51" s="55"/>
      <c r="K51" s="55"/>
      <c r="L51" s="55" t="inlineStr">
        <is>
          <t>No</t>
        </is>
      </c>
      <c r="M51" s="55" t="inlineStr">
        <is>
          <t>No</t>
        </is>
      </c>
      <c r="N51" s="55" t="inlineStr">
        <is>
          <t>No</t>
        </is>
      </c>
      <c r="O51" s="55" t="inlineStr">
        <is>
          <t>Pending</t>
        </is>
      </c>
      <c r="P51" s="55" t="inlineStr">
        <is>
          <t>No</t>
        </is>
      </c>
      <c r="Q51" s="55" t="inlineStr">
        <is>
          <t>Pending</t>
        </is>
      </c>
      <c r="R51" s="55" t="inlineStr">
        <is>
          <t>None</t>
        </is>
      </c>
      <c r="S51" s="87"/>
      <c r="T51" s="87"/>
      <c r="U51" s="87"/>
      <c r="V51" s="87"/>
      <c r="W51" s="87"/>
      <c r="X51" s="87"/>
      <c r="Y51" s="87"/>
      <c r="Z51" s="76"/>
    </row>
    <row r="52">
      <c r="A52" s="75" t="inlineStr">
        <is>
          <t>P009</t>
        </is>
      </c>
      <c r="B52" s="60" t="n">
        <v>3</v>
      </c>
      <c r="C52" s="60" t="n">
        <v>1</v>
      </c>
      <c r="D52" s="60" t="inlineStr">
        <is>
          <t>固定闭合订书机</t>
        </is>
      </c>
      <c r="E52" s="60" t="inlineStr">
        <is>
          <t>S1</t>
        </is>
      </c>
      <c r="F52" s="60" t="n">
        <v>1</v>
      </c>
      <c r="G52" s="60" t="inlineStr">
        <is>
          <t>A</t>
        </is>
      </c>
      <c r="H52" s="60" t="inlineStr">
        <is>
          <t>EgoAnchor</t>
        </is>
      </c>
      <c r="I52" s="60" t="inlineStr">
        <is>
          <t>P009_Stapler_S1</t>
        </is>
      </c>
      <c r="J52" s="55"/>
      <c r="K52" s="55"/>
      <c r="L52" s="55" t="inlineStr">
        <is>
          <t>No</t>
        </is>
      </c>
      <c r="M52" s="55" t="inlineStr">
        <is>
          <t>No</t>
        </is>
      </c>
      <c r="N52" s="55" t="inlineStr">
        <is>
          <t>No</t>
        </is>
      </c>
      <c r="O52" s="55" t="inlineStr">
        <is>
          <t>N/A</t>
        </is>
      </c>
      <c r="P52" s="55" t="inlineStr">
        <is>
          <t>No</t>
        </is>
      </c>
      <c r="Q52" s="55" t="inlineStr">
        <is>
          <t>Pending</t>
        </is>
      </c>
      <c r="R52" s="55" t="inlineStr">
        <is>
          <t>None</t>
        </is>
      </c>
      <c r="S52" s="87"/>
      <c r="T52" s="87"/>
      <c r="U52" s="87"/>
      <c r="V52" s="87"/>
      <c r="W52" s="87"/>
      <c r="X52" s="87"/>
      <c r="Y52" s="87"/>
      <c r="Z52" s="76"/>
    </row>
    <row r="53">
      <c r="A53" s="75" t="inlineStr">
        <is>
          <t>P009</t>
        </is>
      </c>
      <c r="B53" s="60" t="n">
        <v>3</v>
      </c>
      <c r="C53" s="60" t="n">
        <v>1</v>
      </c>
      <c r="D53" s="60" t="inlineStr">
        <is>
          <t>固定闭合订书机</t>
        </is>
      </c>
      <c r="E53" s="60" t="inlineStr">
        <is>
          <t>S1</t>
        </is>
      </c>
      <c r="F53" s="60" t="n">
        <v>2</v>
      </c>
      <c r="G53" s="60" t="inlineStr">
        <is>
          <t>B</t>
        </is>
      </c>
      <c r="H53" s="60" t="inlineStr">
        <is>
          <t>One-Euro</t>
        </is>
      </c>
      <c r="I53" s="60" t="inlineStr">
        <is>
          <t>P009_Stapler_S1</t>
        </is>
      </c>
      <c r="J53" s="55"/>
      <c r="K53" s="55"/>
      <c r="L53" s="55" t="inlineStr">
        <is>
          <t>No</t>
        </is>
      </c>
      <c r="M53" s="55" t="inlineStr">
        <is>
          <t>No</t>
        </is>
      </c>
      <c r="N53" s="55" t="inlineStr">
        <is>
          <t>No</t>
        </is>
      </c>
      <c r="O53" s="55" t="inlineStr">
        <is>
          <t>Pending</t>
        </is>
      </c>
      <c r="P53" s="55" t="inlineStr">
        <is>
          <t>No</t>
        </is>
      </c>
      <c r="Q53" s="55" t="inlineStr">
        <is>
          <t>Pending</t>
        </is>
      </c>
      <c r="R53" s="55" t="inlineStr">
        <is>
          <t>None</t>
        </is>
      </c>
      <c r="S53" s="87"/>
      <c r="T53" s="87"/>
      <c r="U53" s="87"/>
      <c r="V53" s="87"/>
      <c r="W53" s="87"/>
      <c r="X53" s="87"/>
      <c r="Y53" s="87"/>
      <c r="Z53" s="76"/>
    </row>
    <row r="54">
      <c r="A54" s="75" t="inlineStr">
        <is>
          <t>P009</t>
        </is>
      </c>
      <c r="B54" s="60" t="n">
        <v>3</v>
      </c>
      <c r="C54" s="60" t="n">
        <v>2</v>
      </c>
      <c r="D54" s="60" t="inlineStr">
        <is>
          <t>无线鼠标</t>
        </is>
      </c>
      <c r="E54" s="60" t="inlineStr">
        <is>
          <t>S1</t>
        </is>
      </c>
      <c r="F54" s="60" t="n">
        <v>1</v>
      </c>
      <c r="G54" s="60" t="inlineStr">
        <is>
          <t>A</t>
        </is>
      </c>
      <c r="H54" s="60" t="inlineStr">
        <is>
          <t>One-Euro</t>
        </is>
      </c>
      <c r="I54" s="60" t="inlineStr">
        <is>
          <t>P009_Mouse_S1</t>
        </is>
      </c>
      <c r="J54" s="55"/>
      <c r="K54" s="55"/>
      <c r="L54" s="55" t="inlineStr">
        <is>
          <t>No</t>
        </is>
      </c>
      <c r="M54" s="55" t="inlineStr">
        <is>
          <t>No</t>
        </is>
      </c>
      <c r="N54" s="55" t="inlineStr">
        <is>
          <t>No</t>
        </is>
      </c>
      <c r="O54" s="55" t="inlineStr">
        <is>
          <t>N/A</t>
        </is>
      </c>
      <c r="P54" s="55" t="inlineStr">
        <is>
          <t>No</t>
        </is>
      </c>
      <c r="Q54" s="55" t="inlineStr">
        <is>
          <t>Pending</t>
        </is>
      </c>
      <c r="R54" s="55" t="inlineStr">
        <is>
          <t>None</t>
        </is>
      </c>
      <c r="S54" s="87"/>
      <c r="T54" s="87"/>
      <c r="U54" s="87"/>
      <c r="V54" s="87"/>
      <c r="W54" s="87"/>
      <c r="X54" s="87"/>
      <c r="Y54" s="87"/>
      <c r="Z54" s="76"/>
    </row>
    <row r="55">
      <c r="A55" s="75" t="inlineStr">
        <is>
          <t>P009</t>
        </is>
      </c>
      <c r="B55" s="60" t="n">
        <v>3</v>
      </c>
      <c r="C55" s="60" t="n">
        <v>2</v>
      </c>
      <c r="D55" s="60" t="inlineStr">
        <is>
          <t>无线鼠标</t>
        </is>
      </c>
      <c r="E55" s="60" t="inlineStr">
        <is>
          <t>S1</t>
        </is>
      </c>
      <c r="F55" s="60" t="n">
        <v>2</v>
      </c>
      <c r="G55" s="60" t="inlineStr">
        <is>
          <t>B</t>
        </is>
      </c>
      <c r="H55" s="60" t="inlineStr">
        <is>
          <t>EgoAnchor</t>
        </is>
      </c>
      <c r="I55" s="60" t="inlineStr">
        <is>
          <t>P009_Mouse_S1</t>
        </is>
      </c>
      <c r="J55" s="55"/>
      <c r="K55" s="55"/>
      <c r="L55" s="55" t="inlineStr">
        <is>
          <t>No</t>
        </is>
      </c>
      <c r="M55" s="55" t="inlineStr">
        <is>
          <t>No</t>
        </is>
      </c>
      <c r="N55" s="55" t="inlineStr">
        <is>
          <t>No</t>
        </is>
      </c>
      <c r="O55" s="55" t="inlineStr">
        <is>
          <t>Pending</t>
        </is>
      </c>
      <c r="P55" s="55" t="inlineStr">
        <is>
          <t>No</t>
        </is>
      </c>
      <c r="Q55" s="55" t="inlineStr">
        <is>
          <t>Pending</t>
        </is>
      </c>
      <c r="R55" s="55" t="inlineStr">
        <is>
          <t>None</t>
        </is>
      </c>
      <c r="S55" s="87"/>
      <c r="T55" s="87"/>
      <c r="U55" s="87"/>
      <c r="V55" s="87"/>
      <c r="W55" s="87"/>
      <c r="X55" s="87"/>
      <c r="Y55" s="87"/>
      <c r="Z55" s="76"/>
    </row>
    <row r="56">
      <c r="A56" s="75" t="inlineStr">
        <is>
          <t>P009</t>
        </is>
      </c>
      <c r="B56" s="60" t="n">
        <v>3</v>
      </c>
      <c r="C56" s="60" t="n">
        <v>3</v>
      </c>
      <c r="D56" s="60" t="inlineStr">
        <is>
          <t>游戏手柄</t>
        </is>
      </c>
      <c r="E56" s="60" t="inlineStr">
        <is>
          <t>S1</t>
        </is>
      </c>
      <c r="F56" s="60" t="n">
        <v>1</v>
      </c>
      <c r="G56" s="60" t="inlineStr">
        <is>
          <t>A</t>
        </is>
      </c>
      <c r="H56" s="60" t="inlineStr">
        <is>
          <t>EgoAnchor</t>
        </is>
      </c>
      <c r="I56" s="60" t="inlineStr">
        <is>
          <t>P009_Gamepad_S1</t>
        </is>
      </c>
      <c r="J56" s="55"/>
      <c r="K56" s="55"/>
      <c r="L56" s="55" t="inlineStr">
        <is>
          <t>No</t>
        </is>
      </c>
      <c r="M56" s="55" t="inlineStr">
        <is>
          <t>No</t>
        </is>
      </c>
      <c r="N56" s="55" t="inlineStr">
        <is>
          <t>No</t>
        </is>
      </c>
      <c r="O56" s="55" t="inlineStr">
        <is>
          <t>N/A</t>
        </is>
      </c>
      <c r="P56" s="55" t="inlineStr">
        <is>
          <t>No</t>
        </is>
      </c>
      <c r="Q56" s="55" t="inlineStr">
        <is>
          <t>Pending</t>
        </is>
      </c>
      <c r="R56" s="55" t="inlineStr">
        <is>
          <t>None</t>
        </is>
      </c>
      <c r="S56" s="87"/>
      <c r="T56" s="87"/>
      <c r="U56" s="87"/>
      <c r="V56" s="87"/>
      <c r="W56" s="87"/>
      <c r="X56" s="87"/>
      <c r="Y56" s="87"/>
      <c r="Z56" s="76"/>
    </row>
    <row r="57">
      <c r="A57" s="75" t="inlineStr">
        <is>
          <t>P009</t>
        </is>
      </c>
      <c r="B57" s="60" t="n">
        <v>3</v>
      </c>
      <c r="C57" s="60" t="n">
        <v>3</v>
      </c>
      <c r="D57" s="60" t="inlineStr">
        <is>
          <t>游戏手柄</t>
        </is>
      </c>
      <c r="E57" s="60" t="inlineStr">
        <is>
          <t>S1</t>
        </is>
      </c>
      <c r="F57" s="60" t="n">
        <v>2</v>
      </c>
      <c r="G57" s="60" t="inlineStr">
        <is>
          <t>B</t>
        </is>
      </c>
      <c r="H57" s="60" t="inlineStr">
        <is>
          <t>One-Euro</t>
        </is>
      </c>
      <c r="I57" s="60" t="inlineStr">
        <is>
          <t>P009_Gamepad_S1</t>
        </is>
      </c>
      <c r="J57" s="55"/>
      <c r="K57" s="55"/>
      <c r="L57" s="55" t="inlineStr">
        <is>
          <t>No</t>
        </is>
      </c>
      <c r="M57" s="55" t="inlineStr">
        <is>
          <t>No</t>
        </is>
      </c>
      <c r="N57" s="55" t="inlineStr">
        <is>
          <t>No</t>
        </is>
      </c>
      <c r="O57" s="55" t="inlineStr">
        <is>
          <t>Pending</t>
        </is>
      </c>
      <c r="P57" s="55" t="inlineStr">
        <is>
          <t>No</t>
        </is>
      </c>
      <c r="Q57" s="55" t="inlineStr">
        <is>
          <t>Pending</t>
        </is>
      </c>
      <c r="R57" s="55" t="inlineStr">
        <is>
          <t>None</t>
        </is>
      </c>
      <c r="S57" s="87"/>
      <c r="T57" s="87"/>
      <c r="U57" s="87"/>
      <c r="V57" s="87"/>
      <c r="W57" s="87"/>
      <c r="X57" s="87"/>
      <c r="Y57" s="87"/>
      <c r="Z57" s="76"/>
    </row>
    <row r="58">
      <c r="A58" s="75" t="inlineStr">
        <is>
          <t>P010</t>
        </is>
      </c>
      <c r="B58" s="60" t="n">
        <v>3</v>
      </c>
      <c r="C58" s="60" t="n">
        <v>1</v>
      </c>
      <c r="D58" s="60" t="inlineStr">
        <is>
          <t>固定闭合订书机</t>
        </is>
      </c>
      <c r="E58" s="60" t="inlineStr">
        <is>
          <t>S1</t>
        </is>
      </c>
      <c r="F58" s="60" t="n">
        <v>1</v>
      </c>
      <c r="G58" s="60" t="inlineStr">
        <is>
          <t>A</t>
        </is>
      </c>
      <c r="H58" s="60" t="inlineStr">
        <is>
          <t>EgoAnchor</t>
        </is>
      </c>
      <c r="I58" s="60" t="inlineStr">
        <is>
          <t>P010_Stapler_S1</t>
        </is>
      </c>
      <c r="J58" s="55"/>
      <c r="K58" s="55"/>
      <c r="L58" s="55" t="inlineStr">
        <is>
          <t>No</t>
        </is>
      </c>
      <c r="M58" s="55" t="inlineStr">
        <is>
          <t>No</t>
        </is>
      </c>
      <c r="N58" s="55" t="inlineStr">
        <is>
          <t>No</t>
        </is>
      </c>
      <c r="O58" s="55" t="inlineStr">
        <is>
          <t>N/A</t>
        </is>
      </c>
      <c r="P58" s="55" t="inlineStr">
        <is>
          <t>No</t>
        </is>
      </c>
      <c r="Q58" s="55" t="inlineStr">
        <is>
          <t>Pending</t>
        </is>
      </c>
      <c r="R58" s="55" t="inlineStr">
        <is>
          <t>None</t>
        </is>
      </c>
      <c r="S58" s="87"/>
      <c r="T58" s="87"/>
      <c r="U58" s="87"/>
      <c r="V58" s="87"/>
      <c r="W58" s="87"/>
      <c r="X58" s="87"/>
      <c r="Y58" s="87"/>
      <c r="Z58" s="76"/>
    </row>
    <row r="59">
      <c r="A59" s="75" t="inlineStr">
        <is>
          <t>P010</t>
        </is>
      </c>
      <c r="B59" s="60" t="n">
        <v>3</v>
      </c>
      <c r="C59" s="60" t="n">
        <v>1</v>
      </c>
      <c r="D59" s="60" t="inlineStr">
        <is>
          <t>固定闭合订书机</t>
        </is>
      </c>
      <c r="E59" s="60" t="inlineStr">
        <is>
          <t>S1</t>
        </is>
      </c>
      <c r="F59" s="60" t="n">
        <v>2</v>
      </c>
      <c r="G59" s="60" t="inlineStr">
        <is>
          <t>B</t>
        </is>
      </c>
      <c r="H59" s="60" t="inlineStr">
        <is>
          <t>One-Euro</t>
        </is>
      </c>
      <c r="I59" s="60" t="inlineStr">
        <is>
          <t>P010_Stapler_S1</t>
        </is>
      </c>
      <c r="J59" s="55"/>
      <c r="K59" s="55"/>
      <c r="L59" s="55" t="inlineStr">
        <is>
          <t>No</t>
        </is>
      </c>
      <c r="M59" s="55" t="inlineStr">
        <is>
          <t>No</t>
        </is>
      </c>
      <c r="N59" s="55" t="inlineStr">
        <is>
          <t>No</t>
        </is>
      </c>
      <c r="O59" s="55" t="inlineStr">
        <is>
          <t>Pending</t>
        </is>
      </c>
      <c r="P59" s="55" t="inlineStr">
        <is>
          <t>No</t>
        </is>
      </c>
      <c r="Q59" s="55" t="inlineStr">
        <is>
          <t>Pending</t>
        </is>
      </c>
      <c r="R59" s="55" t="inlineStr">
        <is>
          <t>None</t>
        </is>
      </c>
      <c r="S59" s="87"/>
      <c r="T59" s="87"/>
      <c r="U59" s="87"/>
      <c r="V59" s="87"/>
      <c r="W59" s="87"/>
      <c r="X59" s="87"/>
      <c r="Y59" s="87"/>
      <c r="Z59" s="76"/>
    </row>
    <row r="60">
      <c r="A60" s="75" t="inlineStr">
        <is>
          <t>P010</t>
        </is>
      </c>
      <c r="B60" s="60" t="n">
        <v>3</v>
      </c>
      <c r="C60" s="60" t="n">
        <v>2</v>
      </c>
      <c r="D60" s="60" t="inlineStr">
        <is>
          <t>无线鼠标</t>
        </is>
      </c>
      <c r="E60" s="60" t="inlineStr">
        <is>
          <t>S1</t>
        </is>
      </c>
      <c r="F60" s="60" t="n">
        <v>1</v>
      </c>
      <c r="G60" s="60" t="inlineStr">
        <is>
          <t>A</t>
        </is>
      </c>
      <c r="H60" s="60" t="inlineStr">
        <is>
          <t>One-Euro</t>
        </is>
      </c>
      <c r="I60" s="60" t="inlineStr">
        <is>
          <t>P010_Mouse_S1</t>
        </is>
      </c>
      <c r="J60" s="55"/>
      <c r="K60" s="55"/>
      <c r="L60" s="55" t="inlineStr">
        <is>
          <t>No</t>
        </is>
      </c>
      <c r="M60" s="55" t="inlineStr">
        <is>
          <t>No</t>
        </is>
      </c>
      <c r="N60" s="55" t="inlineStr">
        <is>
          <t>No</t>
        </is>
      </c>
      <c r="O60" s="55" t="inlineStr">
        <is>
          <t>N/A</t>
        </is>
      </c>
      <c r="P60" s="55" t="inlineStr">
        <is>
          <t>No</t>
        </is>
      </c>
      <c r="Q60" s="55" t="inlineStr">
        <is>
          <t>Pending</t>
        </is>
      </c>
      <c r="R60" s="55" t="inlineStr">
        <is>
          <t>None</t>
        </is>
      </c>
      <c r="S60" s="87"/>
      <c r="T60" s="87"/>
      <c r="U60" s="87"/>
      <c r="V60" s="87"/>
      <c r="W60" s="87"/>
      <c r="X60" s="87"/>
      <c r="Y60" s="87"/>
      <c r="Z60" s="76"/>
    </row>
    <row r="61">
      <c r="A61" s="75" t="inlineStr">
        <is>
          <t>P010</t>
        </is>
      </c>
      <c r="B61" s="60" t="n">
        <v>3</v>
      </c>
      <c r="C61" s="60" t="n">
        <v>2</v>
      </c>
      <c r="D61" s="60" t="inlineStr">
        <is>
          <t>无线鼠标</t>
        </is>
      </c>
      <c r="E61" s="60" t="inlineStr">
        <is>
          <t>S1</t>
        </is>
      </c>
      <c r="F61" s="60" t="n">
        <v>2</v>
      </c>
      <c r="G61" s="60" t="inlineStr">
        <is>
          <t>B</t>
        </is>
      </c>
      <c r="H61" s="60" t="inlineStr">
        <is>
          <t>EgoAnchor</t>
        </is>
      </c>
      <c r="I61" s="60" t="inlineStr">
        <is>
          <t>P010_Mouse_S1</t>
        </is>
      </c>
      <c r="J61" s="55"/>
      <c r="K61" s="55"/>
      <c r="L61" s="55" t="inlineStr">
        <is>
          <t>No</t>
        </is>
      </c>
      <c r="M61" s="55" t="inlineStr">
        <is>
          <t>No</t>
        </is>
      </c>
      <c r="N61" s="55" t="inlineStr">
        <is>
          <t>No</t>
        </is>
      </c>
      <c r="O61" s="55" t="inlineStr">
        <is>
          <t>Pending</t>
        </is>
      </c>
      <c r="P61" s="55" t="inlineStr">
        <is>
          <t>No</t>
        </is>
      </c>
      <c r="Q61" s="55" t="inlineStr">
        <is>
          <t>Pending</t>
        </is>
      </c>
      <c r="R61" s="55" t="inlineStr">
        <is>
          <t>None</t>
        </is>
      </c>
      <c r="S61" s="87"/>
      <c r="T61" s="87"/>
      <c r="U61" s="87"/>
      <c r="V61" s="87"/>
      <c r="W61" s="87"/>
      <c r="X61" s="87"/>
      <c r="Y61" s="87"/>
      <c r="Z61" s="76"/>
    </row>
    <row r="62">
      <c r="A62" s="75" t="inlineStr">
        <is>
          <t>P010</t>
        </is>
      </c>
      <c r="B62" s="60" t="n">
        <v>3</v>
      </c>
      <c r="C62" s="60" t="n">
        <v>3</v>
      </c>
      <c r="D62" s="60" t="inlineStr">
        <is>
          <t>游戏手柄</t>
        </is>
      </c>
      <c r="E62" s="60" t="inlineStr">
        <is>
          <t>S1</t>
        </is>
      </c>
      <c r="F62" s="60" t="n">
        <v>1</v>
      </c>
      <c r="G62" s="60" t="inlineStr">
        <is>
          <t>A</t>
        </is>
      </c>
      <c r="H62" s="60" t="inlineStr">
        <is>
          <t>EgoAnchor</t>
        </is>
      </c>
      <c r="I62" s="60" t="inlineStr">
        <is>
          <t>P010_Gamepad_S1</t>
        </is>
      </c>
      <c r="J62" s="55"/>
      <c r="K62" s="55"/>
      <c r="L62" s="55" t="inlineStr">
        <is>
          <t>No</t>
        </is>
      </c>
      <c r="M62" s="55" t="inlineStr">
        <is>
          <t>No</t>
        </is>
      </c>
      <c r="N62" s="55" t="inlineStr">
        <is>
          <t>No</t>
        </is>
      </c>
      <c r="O62" s="55" t="inlineStr">
        <is>
          <t>N/A</t>
        </is>
      </c>
      <c r="P62" s="55" t="inlineStr">
        <is>
          <t>No</t>
        </is>
      </c>
      <c r="Q62" s="55" t="inlineStr">
        <is>
          <t>Pending</t>
        </is>
      </c>
      <c r="R62" s="55" t="inlineStr">
        <is>
          <t>None</t>
        </is>
      </c>
      <c r="S62" s="87"/>
      <c r="T62" s="87"/>
      <c r="U62" s="87"/>
      <c r="V62" s="87"/>
      <c r="W62" s="87"/>
      <c r="X62" s="87"/>
      <c r="Y62" s="87"/>
      <c r="Z62" s="76"/>
    </row>
    <row r="63">
      <c r="A63" s="75" t="inlineStr">
        <is>
          <t>P010</t>
        </is>
      </c>
      <c r="B63" s="60" t="n">
        <v>3</v>
      </c>
      <c r="C63" s="60" t="n">
        <v>3</v>
      </c>
      <c r="D63" s="60" t="inlineStr">
        <is>
          <t>游戏手柄</t>
        </is>
      </c>
      <c r="E63" s="60" t="inlineStr">
        <is>
          <t>S1</t>
        </is>
      </c>
      <c r="F63" s="60" t="n">
        <v>2</v>
      </c>
      <c r="G63" s="60" t="inlineStr">
        <is>
          <t>B</t>
        </is>
      </c>
      <c r="H63" s="60" t="inlineStr">
        <is>
          <t>One-Euro</t>
        </is>
      </c>
      <c r="I63" s="60" t="inlineStr">
        <is>
          <t>P010_Gamepad_S1</t>
        </is>
      </c>
      <c r="J63" s="55"/>
      <c r="K63" s="55"/>
      <c r="L63" s="55" t="inlineStr">
        <is>
          <t>No</t>
        </is>
      </c>
      <c r="M63" s="55" t="inlineStr">
        <is>
          <t>No</t>
        </is>
      </c>
      <c r="N63" s="55" t="inlineStr">
        <is>
          <t>No</t>
        </is>
      </c>
      <c r="O63" s="55" t="inlineStr">
        <is>
          <t>Pending</t>
        </is>
      </c>
      <c r="P63" s="55" t="inlineStr">
        <is>
          <t>No</t>
        </is>
      </c>
      <c r="Q63" s="55" t="inlineStr">
        <is>
          <t>Pending</t>
        </is>
      </c>
      <c r="R63" s="55" t="inlineStr">
        <is>
          <t>None</t>
        </is>
      </c>
      <c r="S63" s="87"/>
      <c r="T63" s="87"/>
      <c r="U63" s="87"/>
      <c r="V63" s="87"/>
      <c r="W63" s="87"/>
      <c r="X63" s="87"/>
      <c r="Y63" s="87"/>
      <c r="Z63" s="76"/>
    </row>
    <row r="64">
      <c r="A64" s="75" t="inlineStr">
        <is>
          <t>P011</t>
        </is>
      </c>
      <c r="B64" s="60" t="n">
        <v>3</v>
      </c>
      <c r="C64" s="60" t="n">
        <v>1</v>
      </c>
      <c r="D64" s="60" t="inlineStr">
        <is>
          <t>固定闭合订书机</t>
        </is>
      </c>
      <c r="E64" s="60" t="inlineStr">
        <is>
          <t>S2</t>
        </is>
      </c>
      <c r="F64" s="60" t="n">
        <v>1</v>
      </c>
      <c r="G64" s="60" t="inlineStr">
        <is>
          <t>A</t>
        </is>
      </c>
      <c r="H64" s="60" t="inlineStr">
        <is>
          <t>One-Euro</t>
        </is>
      </c>
      <c r="I64" s="60" t="inlineStr">
        <is>
          <t>P011_Stapler_S1</t>
        </is>
      </c>
      <c r="J64" s="55"/>
      <c r="K64" s="55"/>
      <c r="L64" s="55" t="inlineStr">
        <is>
          <t>No</t>
        </is>
      </c>
      <c r="M64" s="55" t="inlineStr">
        <is>
          <t>No</t>
        </is>
      </c>
      <c r="N64" s="55" t="inlineStr">
        <is>
          <t>No</t>
        </is>
      </c>
      <c r="O64" s="55" t="inlineStr">
        <is>
          <t>N/A</t>
        </is>
      </c>
      <c r="P64" s="55" t="inlineStr">
        <is>
          <t>No</t>
        </is>
      </c>
      <c r="Q64" s="55" t="inlineStr">
        <is>
          <t>Pending</t>
        </is>
      </c>
      <c r="R64" s="55" t="inlineStr">
        <is>
          <t>None</t>
        </is>
      </c>
      <c r="S64" s="87"/>
      <c r="T64" s="87"/>
      <c r="U64" s="87"/>
      <c r="V64" s="87"/>
      <c r="W64" s="87"/>
      <c r="X64" s="87"/>
      <c r="Y64" s="87"/>
      <c r="Z64" s="76"/>
    </row>
    <row r="65">
      <c r="A65" s="75" t="inlineStr">
        <is>
          <t>P011</t>
        </is>
      </c>
      <c r="B65" s="60" t="n">
        <v>3</v>
      </c>
      <c r="C65" s="60" t="n">
        <v>1</v>
      </c>
      <c r="D65" s="60" t="inlineStr">
        <is>
          <t>固定闭合订书机</t>
        </is>
      </c>
      <c r="E65" s="60" t="inlineStr">
        <is>
          <t>S2</t>
        </is>
      </c>
      <c r="F65" s="60" t="n">
        <v>2</v>
      </c>
      <c r="G65" s="60" t="inlineStr">
        <is>
          <t>B</t>
        </is>
      </c>
      <c r="H65" s="60" t="inlineStr">
        <is>
          <t>EgoAnchor</t>
        </is>
      </c>
      <c r="I65" s="60" t="inlineStr">
        <is>
          <t>P011_Stapler_S1</t>
        </is>
      </c>
      <c r="J65" s="55"/>
      <c r="K65" s="55"/>
      <c r="L65" s="55" t="inlineStr">
        <is>
          <t>No</t>
        </is>
      </c>
      <c r="M65" s="55" t="inlineStr">
        <is>
          <t>No</t>
        </is>
      </c>
      <c r="N65" s="55" t="inlineStr">
        <is>
          <t>No</t>
        </is>
      </c>
      <c r="O65" s="55" t="inlineStr">
        <is>
          <t>Pending</t>
        </is>
      </c>
      <c r="P65" s="55" t="inlineStr">
        <is>
          <t>No</t>
        </is>
      </c>
      <c r="Q65" s="55" t="inlineStr">
        <is>
          <t>Pending</t>
        </is>
      </c>
      <c r="R65" s="55" t="inlineStr">
        <is>
          <t>None</t>
        </is>
      </c>
      <c r="S65" s="87"/>
      <c r="T65" s="87"/>
      <c r="U65" s="87"/>
      <c r="V65" s="87"/>
      <c r="W65" s="87"/>
      <c r="X65" s="87"/>
      <c r="Y65" s="87"/>
      <c r="Z65" s="76"/>
    </row>
    <row r="66">
      <c r="A66" s="75" t="inlineStr">
        <is>
          <t>P011</t>
        </is>
      </c>
      <c r="B66" s="60" t="n">
        <v>3</v>
      </c>
      <c r="C66" s="60" t="n">
        <v>2</v>
      </c>
      <c r="D66" s="60" t="inlineStr">
        <is>
          <t>无线鼠标</t>
        </is>
      </c>
      <c r="E66" s="60" t="inlineStr">
        <is>
          <t>S2</t>
        </is>
      </c>
      <c r="F66" s="60" t="n">
        <v>1</v>
      </c>
      <c r="G66" s="60" t="inlineStr">
        <is>
          <t>A</t>
        </is>
      </c>
      <c r="H66" s="60" t="inlineStr">
        <is>
          <t>EgoAnchor</t>
        </is>
      </c>
      <c r="I66" s="60" t="inlineStr">
        <is>
          <t>P011_Mouse_S1</t>
        </is>
      </c>
      <c r="J66" s="55"/>
      <c r="K66" s="55"/>
      <c r="L66" s="55" t="inlineStr">
        <is>
          <t>No</t>
        </is>
      </c>
      <c r="M66" s="55" t="inlineStr">
        <is>
          <t>No</t>
        </is>
      </c>
      <c r="N66" s="55" t="inlineStr">
        <is>
          <t>No</t>
        </is>
      </c>
      <c r="O66" s="55" t="inlineStr">
        <is>
          <t>N/A</t>
        </is>
      </c>
      <c r="P66" s="55" t="inlineStr">
        <is>
          <t>No</t>
        </is>
      </c>
      <c r="Q66" s="55" t="inlineStr">
        <is>
          <t>Pending</t>
        </is>
      </c>
      <c r="R66" s="55" t="inlineStr">
        <is>
          <t>None</t>
        </is>
      </c>
      <c r="S66" s="87"/>
      <c r="T66" s="87"/>
      <c r="U66" s="87"/>
      <c r="V66" s="87"/>
      <c r="W66" s="87"/>
      <c r="X66" s="87"/>
      <c r="Y66" s="87"/>
      <c r="Z66" s="76"/>
    </row>
    <row r="67">
      <c r="A67" s="75" t="inlineStr">
        <is>
          <t>P011</t>
        </is>
      </c>
      <c r="B67" s="60" t="n">
        <v>3</v>
      </c>
      <c r="C67" s="60" t="n">
        <v>2</v>
      </c>
      <c r="D67" s="60" t="inlineStr">
        <is>
          <t>无线鼠标</t>
        </is>
      </c>
      <c r="E67" s="60" t="inlineStr">
        <is>
          <t>S2</t>
        </is>
      </c>
      <c r="F67" s="60" t="n">
        <v>2</v>
      </c>
      <c r="G67" s="60" t="inlineStr">
        <is>
          <t>B</t>
        </is>
      </c>
      <c r="H67" s="60" t="inlineStr">
        <is>
          <t>One-Euro</t>
        </is>
      </c>
      <c r="I67" s="60" t="inlineStr">
        <is>
          <t>P011_Mouse_S1</t>
        </is>
      </c>
      <c r="J67" s="55"/>
      <c r="K67" s="55"/>
      <c r="L67" s="55" t="inlineStr">
        <is>
          <t>No</t>
        </is>
      </c>
      <c r="M67" s="55" t="inlineStr">
        <is>
          <t>No</t>
        </is>
      </c>
      <c r="N67" s="55" t="inlineStr">
        <is>
          <t>No</t>
        </is>
      </c>
      <c r="O67" s="55" t="inlineStr">
        <is>
          <t>Pending</t>
        </is>
      </c>
      <c r="P67" s="55" t="inlineStr">
        <is>
          <t>No</t>
        </is>
      </c>
      <c r="Q67" s="55" t="inlineStr">
        <is>
          <t>Pending</t>
        </is>
      </c>
      <c r="R67" s="55" t="inlineStr">
        <is>
          <t>None</t>
        </is>
      </c>
      <c r="S67" s="87"/>
      <c r="T67" s="87"/>
      <c r="U67" s="87"/>
      <c r="V67" s="87"/>
      <c r="W67" s="87"/>
      <c r="X67" s="87"/>
      <c r="Y67" s="87"/>
      <c r="Z67" s="76"/>
    </row>
    <row r="68">
      <c r="A68" s="75" t="inlineStr">
        <is>
          <t>P011</t>
        </is>
      </c>
      <c r="B68" s="60" t="n">
        <v>3</v>
      </c>
      <c r="C68" s="60" t="n">
        <v>3</v>
      </c>
      <c r="D68" s="60" t="inlineStr">
        <is>
          <t>游戏手柄</t>
        </is>
      </c>
      <c r="E68" s="60" t="inlineStr">
        <is>
          <t>S2</t>
        </is>
      </c>
      <c r="F68" s="60" t="n">
        <v>1</v>
      </c>
      <c r="G68" s="60" t="inlineStr">
        <is>
          <t>A</t>
        </is>
      </c>
      <c r="H68" s="60" t="inlineStr">
        <is>
          <t>One-Euro</t>
        </is>
      </c>
      <c r="I68" s="60" t="inlineStr">
        <is>
          <t>P011_Gamepad_S1</t>
        </is>
      </c>
      <c r="J68" s="55"/>
      <c r="K68" s="55"/>
      <c r="L68" s="55" t="inlineStr">
        <is>
          <t>No</t>
        </is>
      </c>
      <c r="M68" s="55" t="inlineStr">
        <is>
          <t>No</t>
        </is>
      </c>
      <c r="N68" s="55" t="inlineStr">
        <is>
          <t>No</t>
        </is>
      </c>
      <c r="O68" s="55" t="inlineStr">
        <is>
          <t>N/A</t>
        </is>
      </c>
      <c r="P68" s="55" t="inlineStr">
        <is>
          <t>No</t>
        </is>
      </c>
      <c r="Q68" s="55" t="inlineStr">
        <is>
          <t>Pending</t>
        </is>
      </c>
      <c r="R68" s="55" t="inlineStr">
        <is>
          <t>None</t>
        </is>
      </c>
      <c r="S68" s="87"/>
      <c r="T68" s="87"/>
      <c r="U68" s="87"/>
      <c r="V68" s="87"/>
      <c r="W68" s="87"/>
      <c r="X68" s="87"/>
      <c r="Y68" s="87"/>
      <c r="Z68" s="76"/>
    </row>
    <row r="69">
      <c r="A69" s="75" t="inlineStr">
        <is>
          <t>P011</t>
        </is>
      </c>
      <c r="B69" s="60" t="n">
        <v>3</v>
      </c>
      <c r="C69" s="60" t="n">
        <v>3</v>
      </c>
      <c r="D69" s="60" t="inlineStr">
        <is>
          <t>游戏手柄</t>
        </is>
      </c>
      <c r="E69" s="60" t="inlineStr">
        <is>
          <t>S2</t>
        </is>
      </c>
      <c r="F69" s="60" t="n">
        <v>2</v>
      </c>
      <c r="G69" s="60" t="inlineStr">
        <is>
          <t>B</t>
        </is>
      </c>
      <c r="H69" s="60" t="inlineStr">
        <is>
          <t>EgoAnchor</t>
        </is>
      </c>
      <c r="I69" s="60" t="inlineStr">
        <is>
          <t>P011_Gamepad_S1</t>
        </is>
      </c>
      <c r="J69" s="55"/>
      <c r="K69" s="55"/>
      <c r="L69" s="55" t="inlineStr">
        <is>
          <t>No</t>
        </is>
      </c>
      <c r="M69" s="55" t="inlineStr">
        <is>
          <t>No</t>
        </is>
      </c>
      <c r="N69" s="55" t="inlineStr">
        <is>
          <t>No</t>
        </is>
      </c>
      <c r="O69" s="55" t="inlineStr">
        <is>
          <t>Pending</t>
        </is>
      </c>
      <c r="P69" s="55" t="inlineStr">
        <is>
          <t>No</t>
        </is>
      </c>
      <c r="Q69" s="55" t="inlineStr">
        <is>
          <t>Pending</t>
        </is>
      </c>
      <c r="R69" s="55" t="inlineStr">
        <is>
          <t>None</t>
        </is>
      </c>
      <c r="S69" s="87"/>
      <c r="T69" s="87"/>
      <c r="U69" s="87"/>
      <c r="V69" s="87"/>
      <c r="W69" s="87"/>
      <c r="X69" s="87"/>
      <c r="Y69" s="87"/>
      <c r="Z69" s="76"/>
    </row>
    <row r="70">
      <c r="A70" s="75" t="inlineStr">
        <is>
          <t>P012</t>
        </is>
      </c>
      <c r="B70" s="60" t="n">
        <v>3</v>
      </c>
      <c r="C70" s="60" t="n">
        <v>1</v>
      </c>
      <c r="D70" s="60" t="inlineStr">
        <is>
          <t>固定闭合订书机</t>
        </is>
      </c>
      <c r="E70" s="60" t="inlineStr">
        <is>
          <t>S2</t>
        </is>
      </c>
      <c r="F70" s="60" t="n">
        <v>1</v>
      </c>
      <c r="G70" s="60" t="inlineStr">
        <is>
          <t>A</t>
        </is>
      </c>
      <c r="H70" s="60" t="inlineStr">
        <is>
          <t>One-Euro</t>
        </is>
      </c>
      <c r="I70" s="60" t="inlineStr">
        <is>
          <t>P012_Stapler_S1</t>
        </is>
      </c>
      <c r="J70" s="55"/>
      <c r="K70" s="55"/>
      <c r="L70" s="55" t="inlineStr">
        <is>
          <t>No</t>
        </is>
      </c>
      <c r="M70" s="55" t="inlineStr">
        <is>
          <t>No</t>
        </is>
      </c>
      <c r="N70" s="55" t="inlineStr">
        <is>
          <t>No</t>
        </is>
      </c>
      <c r="O70" s="55" t="inlineStr">
        <is>
          <t>N/A</t>
        </is>
      </c>
      <c r="P70" s="55" t="inlineStr">
        <is>
          <t>No</t>
        </is>
      </c>
      <c r="Q70" s="55" t="inlineStr">
        <is>
          <t>Pending</t>
        </is>
      </c>
      <c r="R70" s="55" t="inlineStr">
        <is>
          <t>None</t>
        </is>
      </c>
      <c r="S70" s="87"/>
      <c r="T70" s="87"/>
      <c r="U70" s="87"/>
      <c r="V70" s="87"/>
      <c r="W70" s="87"/>
      <c r="X70" s="87"/>
      <c r="Y70" s="87"/>
      <c r="Z70" s="76"/>
    </row>
    <row r="71">
      <c r="A71" s="75" t="inlineStr">
        <is>
          <t>P012</t>
        </is>
      </c>
      <c r="B71" s="60" t="n">
        <v>3</v>
      </c>
      <c r="C71" s="60" t="n">
        <v>1</v>
      </c>
      <c r="D71" s="60" t="inlineStr">
        <is>
          <t>固定闭合订书机</t>
        </is>
      </c>
      <c r="E71" s="60" t="inlineStr">
        <is>
          <t>S2</t>
        </is>
      </c>
      <c r="F71" s="60" t="n">
        <v>2</v>
      </c>
      <c r="G71" s="60" t="inlineStr">
        <is>
          <t>B</t>
        </is>
      </c>
      <c r="H71" s="60" t="inlineStr">
        <is>
          <t>EgoAnchor</t>
        </is>
      </c>
      <c r="I71" s="60" t="inlineStr">
        <is>
          <t>P012_Stapler_S1</t>
        </is>
      </c>
      <c r="J71" s="55"/>
      <c r="K71" s="55"/>
      <c r="L71" s="55" t="inlineStr">
        <is>
          <t>No</t>
        </is>
      </c>
      <c r="M71" s="55" t="inlineStr">
        <is>
          <t>No</t>
        </is>
      </c>
      <c r="N71" s="55" t="inlineStr">
        <is>
          <t>No</t>
        </is>
      </c>
      <c r="O71" s="55" t="inlineStr">
        <is>
          <t>Pending</t>
        </is>
      </c>
      <c r="P71" s="55" t="inlineStr">
        <is>
          <t>No</t>
        </is>
      </c>
      <c r="Q71" s="55" t="inlineStr">
        <is>
          <t>Pending</t>
        </is>
      </c>
      <c r="R71" s="55" t="inlineStr">
        <is>
          <t>None</t>
        </is>
      </c>
      <c r="S71" s="87"/>
      <c r="T71" s="87"/>
      <c r="U71" s="87"/>
      <c r="V71" s="87"/>
      <c r="W71" s="87"/>
      <c r="X71" s="87"/>
      <c r="Y71" s="87"/>
      <c r="Z71" s="76"/>
    </row>
    <row r="72">
      <c r="A72" s="75" t="inlineStr">
        <is>
          <t>P012</t>
        </is>
      </c>
      <c r="B72" s="60" t="n">
        <v>3</v>
      </c>
      <c r="C72" s="60" t="n">
        <v>2</v>
      </c>
      <c r="D72" s="60" t="inlineStr">
        <is>
          <t>无线鼠标</t>
        </is>
      </c>
      <c r="E72" s="60" t="inlineStr">
        <is>
          <t>S2</t>
        </is>
      </c>
      <c r="F72" s="60" t="n">
        <v>1</v>
      </c>
      <c r="G72" s="60" t="inlineStr">
        <is>
          <t>A</t>
        </is>
      </c>
      <c r="H72" s="60" t="inlineStr">
        <is>
          <t>EgoAnchor</t>
        </is>
      </c>
      <c r="I72" s="60" t="inlineStr">
        <is>
          <t>P012_Mouse_S1</t>
        </is>
      </c>
      <c r="J72" s="55"/>
      <c r="K72" s="55"/>
      <c r="L72" s="55" t="inlineStr">
        <is>
          <t>No</t>
        </is>
      </c>
      <c r="M72" s="55" t="inlineStr">
        <is>
          <t>No</t>
        </is>
      </c>
      <c r="N72" s="55" t="inlineStr">
        <is>
          <t>No</t>
        </is>
      </c>
      <c r="O72" s="55" t="inlineStr">
        <is>
          <t>N/A</t>
        </is>
      </c>
      <c r="P72" s="55" t="inlineStr">
        <is>
          <t>No</t>
        </is>
      </c>
      <c r="Q72" s="55" t="inlineStr">
        <is>
          <t>Pending</t>
        </is>
      </c>
      <c r="R72" s="55" t="inlineStr">
        <is>
          <t>None</t>
        </is>
      </c>
      <c r="S72" s="87"/>
      <c r="T72" s="87"/>
      <c r="U72" s="87"/>
      <c r="V72" s="87"/>
      <c r="W72" s="87"/>
      <c r="X72" s="87"/>
      <c r="Y72" s="87"/>
      <c r="Z72" s="76"/>
    </row>
    <row r="73">
      <c r="A73" s="75" t="inlineStr">
        <is>
          <t>P012</t>
        </is>
      </c>
      <c r="B73" s="60" t="n">
        <v>3</v>
      </c>
      <c r="C73" s="60" t="n">
        <v>2</v>
      </c>
      <c r="D73" s="60" t="inlineStr">
        <is>
          <t>无线鼠标</t>
        </is>
      </c>
      <c r="E73" s="60" t="inlineStr">
        <is>
          <t>S2</t>
        </is>
      </c>
      <c r="F73" s="60" t="n">
        <v>2</v>
      </c>
      <c r="G73" s="60" t="inlineStr">
        <is>
          <t>B</t>
        </is>
      </c>
      <c r="H73" s="60" t="inlineStr">
        <is>
          <t>One-Euro</t>
        </is>
      </c>
      <c r="I73" s="60" t="inlineStr">
        <is>
          <t>P012_Mouse_S1</t>
        </is>
      </c>
      <c r="J73" s="55"/>
      <c r="K73" s="55"/>
      <c r="L73" s="55" t="inlineStr">
        <is>
          <t>No</t>
        </is>
      </c>
      <c r="M73" s="55" t="inlineStr">
        <is>
          <t>No</t>
        </is>
      </c>
      <c r="N73" s="55" t="inlineStr">
        <is>
          <t>No</t>
        </is>
      </c>
      <c r="O73" s="55" t="inlineStr">
        <is>
          <t>Pending</t>
        </is>
      </c>
      <c r="P73" s="55" t="inlineStr">
        <is>
          <t>No</t>
        </is>
      </c>
      <c r="Q73" s="55" t="inlineStr">
        <is>
          <t>Pending</t>
        </is>
      </c>
      <c r="R73" s="55" t="inlineStr">
        <is>
          <t>None</t>
        </is>
      </c>
      <c r="S73" s="87"/>
      <c r="T73" s="87"/>
      <c r="U73" s="87"/>
      <c r="V73" s="87"/>
      <c r="W73" s="87"/>
      <c r="X73" s="87"/>
      <c r="Y73" s="87"/>
      <c r="Z73" s="76"/>
    </row>
    <row r="74">
      <c r="A74" s="75" t="inlineStr">
        <is>
          <t>P012</t>
        </is>
      </c>
      <c r="B74" s="60" t="n">
        <v>3</v>
      </c>
      <c r="C74" s="60" t="n">
        <v>3</v>
      </c>
      <c r="D74" s="60" t="inlineStr">
        <is>
          <t>游戏手柄</t>
        </is>
      </c>
      <c r="E74" s="60" t="inlineStr">
        <is>
          <t>S2</t>
        </is>
      </c>
      <c r="F74" s="60" t="n">
        <v>1</v>
      </c>
      <c r="G74" s="60" t="inlineStr">
        <is>
          <t>A</t>
        </is>
      </c>
      <c r="H74" s="60" t="inlineStr">
        <is>
          <t>One-Euro</t>
        </is>
      </c>
      <c r="I74" s="60" t="inlineStr">
        <is>
          <t>P012_Gamepad_S1</t>
        </is>
      </c>
      <c r="J74" s="55"/>
      <c r="K74" s="55"/>
      <c r="L74" s="55" t="inlineStr">
        <is>
          <t>No</t>
        </is>
      </c>
      <c r="M74" s="55" t="inlineStr">
        <is>
          <t>No</t>
        </is>
      </c>
      <c r="N74" s="55" t="inlineStr">
        <is>
          <t>No</t>
        </is>
      </c>
      <c r="O74" s="55" t="inlineStr">
        <is>
          <t>N/A</t>
        </is>
      </c>
      <c r="P74" s="55" t="inlineStr">
        <is>
          <t>No</t>
        </is>
      </c>
      <c r="Q74" s="55" t="inlineStr">
        <is>
          <t>Pending</t>
        </is>
      </c>
      <c r="R74" s="55" t="inlineStr">
        <is>
          <t>None</t>
        </is>
      </c>
      <c r="S74" s="87"/>
      <c r="T74" s="87"/>
      <c r="U74" s="87"/>
      <c r="V74" s="87"/>
      <c r="W74" s="87"/>
      <c r="X74" s="87"/>
      <c r="Y74" s="87"/>
      <c r="Z74" s="76"/>
    </row>
    <row r="75">
      <c r="A75" s="75" t="inlineStr">
        <is>
          <t>P012</t>
        </is>
      </c>
      <c r="B75" s="60" t="n">
        <v>3</v>
      </c>
      <c r="C75" s="60" t="n">
        <v>3</v>
      </c>
      <c r="D75" s="60" t="inlineStr">
        <is>
          <t>游戏手柄</t>
        </is>
      </c>
      <c r="E75" s="60" t="inlineStr">
        <is>
          <t>S2</t>
        </is>
      </c>
      <c r="F75" s="60" t="n">
        <v>2</v>
      </c>
      <c r="G75" s="60" t="inlineStr">
        <is>
          <t>B</t>
        </is>
      </c>
      <c r="H75" s="60" t="inlineStr">
        <is>
          <t>EgoAnchor</t>
        </is>
      </c>
      <c r="I75" s="60" t="inlineStr">
        <is>
          <t>P012_Gamepad_S1</t>
        </is>
      </c>
      <c r="J75" s="55"/>
      <c r="K75" s="55"/>
      <c r="L75" s="55" t="inlineStr">
        <is>
          <t>No</t>
        </is>
      </c>
      <c r="M75" s="55" t="inlineStr">
        <is>
          <t>No</t>
        </is>
      </c>
      <c r="N75" s="55" t="inlineStr">
        <is>
          <t>No</t>
        </is>
      </c>
      <c r="O75" s="55" t="inlineStr">
        <is>
          <t>Pending</t>
        </is>
      </c>
      <c r="P75" s="55" t="inlineStr">
        <is>
          <t>No</t>
        </is>
      </c>
      <c r="Q75" s="55" t="inlineStr">
        <is>
          <t>Pending</t>
        </is>
      </c>
      <c r="R75" s="55" t="inlineStr">
        <is>
          <t>None</t>
        </is>
      </c>
      <c r="S75" s="87"/>
      <c r="T75" s="87"/>
      <c r="U75" s="87"/>
      <c r="V75" s="87"/>
      <c r="W75" s="87"/>
      <c r="X75" s="87"/>
      <c r="Y75" s="87"/>
      <c r="Z75" s="76"/>
    </row>
    <row r="76">
      <c r="A76" s="75" t="inlineStr">
        <is>
          <t>P013</t>
        </is>
      </c>
      <c r="B76" s="60" t="n">
        <v>4</v>
      </c>
      <c r="C76" s="60" t="n">
        <v>1</v>
      </c>
      <c r="D76" s="60" t="inlineStr">
        <is>
          <t>固定闭合订书机</t>
        </is>
      </c>
      <c r="E76" s="60" t="inlineStr">
        <is>
          <t>S1</t>
        </is>
      </c>
      <c r="F76" s="60" t="n">
        <v>1</v>
      </c>
      <c r="G76" s="60" t="inlineStr">
        <is>
          <t>A</t>
        </is>
      </c>
      <c r="H76" s="60" t="inlineStr">
        <is>
          <t>EgoAnchor</t>
        </is>
      </c>
      <c r="I76" s="60" t="inlineStr">
        <is>
          <t>P013_Stapler_S1</t>
        </is>
      </c>
      <c r="J76" s="55"/>
      <c r="K76" s="55"/>
      <c r="L76" s="55" t="inlineStr">
        <is>
          <t>No</t>
        </is>
      </c>
      <c r="M76" s="55" t="inlineStr">
        <is>
          <t>No</t>
        </is>
      </c>
      <c r="N76" s="55" t="inlineStr">
        <is>
          <t>No</t>
        </is>
      </c>
      <c r="O76" s="55" t="inlineStr">
        <is>
          <t>N/A</t>
        </is>
      </c>
      <c r="P76" s="55" t="inlineStr">
        <is>
          <t>No</t>
        </is>
      </c>
      <c r="Q76" s="55" t="inlineStr">
        <is>
          <t>Pending</t>
        </is>
      </c>
      <c r="R76" s="55" t="inlineStr">
        <is>
          <t>None</t>
        </is>
      </c>
      <c r="S76" s="87"/>
      <c r="T76" s="87"/>
      <c r="U76" s="87"/>
      <c r="V76" s="87"/>
      <c r="W76" s="87"/>
      <c r="X76" s="87"/>
      <c r="Y76" s="87"/>
      <c r="Z76" s="76"/>
    </row>
    <row r="77">
      <c r="A77" s="75" t="inlineStr">
        <is>
          <t>P013</t>
        </is>
      </c>
      <c r="B77" s="60" t="n">
        <v>4</v>
      </c>
      <c r="C77" s="60" t="n">
        <v>1</v>
      </c>
      <c r="D77" s="60" t="inlineStr">
        <is>
          <t>固定闭合订书机</t>
        </is>
      </c>
      <c r="E77" s="60" t="inlineStr">
        <is>
          <t>S1</t>
        </is>
      </c>
      <c r="F77" s="60" t="n">
        <v>2</v>
      </c>
      <c r="G77" s="60" t="inlineStr">
        <is>
          <t>B</t>
        </is>
      </c>
      <c r="H77" s="60" t="inlineStr">
        <is>
          <t>One-Euro</t>
        </is>
      </c>
      <c r="I77" s="60" t="inlineStr">
        <is>
          <t>P013_Stapler_S1</t>
        </is>
      </c>
      <c r="J77" s="55"/>
      <c r="K77" s="55"/>
      <c r="L77" s="55" t="inlineStr">
        <is>
          <t>No</t>
        </is>
      </c>
      <c r="M77" s="55" t="inlineStr">
        <is>
          <t>No</t>
        </is>
      </c>
      <c r="N77" s="55" t="inlineStr">
        <is>
          <t>No</t>
        </is>
      </c>
      <c r="O77" s="55" t="inlineStr">
        <is>
          <t>Pending</t>
        </is>
      </c>
      <c r="P77" s="55" t="inlineStr">
        <is>
          <t>No</t>
        </is>
      </c>
      <c r="Q77" s="55" t="inlineStr">
        <is>
          <t>Pending</t>
        </is>
      </c>
      <c r="R77" s="55" t="inlineStr">
        <is>
          <t>None</t>
        </is>
      </c>
      <c r="S77" s="87"/>
      <c r="T77" s="87"/>
      <c r="U77" s="87"/>
      <c r="V77" s="87"/>
      <c r="W77" s="87"/>
      <c r="X77" s="87"/>
      <c r="Y77" s="87"/>
      <c r="Z77" s="76"/>
    </row>
    <row r="78">
      <c r="A78" s="75" t="inlineStr">
        <is>
          <t>P013</t>
        </is>
      </c>
      <c r="B78" s="60" t="n">
        <v>4</v>
      </c>
      <c r="C78" s="60" t="n">
        <v>2</v>
      </c>
      <c r="D78" s="60" t="inlineStr">
        <is>
          <t>游戏手柄</t>
        </is>
      </c>
      <c r="E78" s="60" t="inlineStr">
        <is>
          <t>S1</t>
        </is>
      </c>
      <c r="F78" s="60" t="n">
        <v>1</v>
      </c>
      <c r="G78" s="60" t="inlineStr">
        <is>
          <t>A</t>
        </is>
      </c>
      <c r="H78" s="60" t="inlineStr">
        <is>
          <t>One-Euro</t>
        </is>
      </c>
      <c r="I78" s="60" t="inlineStr">
        <is>
          <t>P013_Gamepad_S1</t>
        </is>
      </c>
      <c r="J78" s="55"/>
      <c r="K78" s="55"/>
      <c r="L78" s="55" t="inlineStr">
        <is>
          <t>No</t>
        </is>
      </c>
      <c r="M78" s="55" t="inlineStr">
        <is>
          <t>No</t>
        </is>
      </c>
      <c r="N78" s="55" t="inlineStr">
        <is>
          <t>No</t>
        </is>
      </c>
      <c r="O78" s="55" t="inlineStr">
        <is>
          <t>N/A</t>
        </is>
      </c>
      <c r="P78" s="55" t="inlineStr">
        <is>
          <t>No</t>
        </is>
      </c>
      <c r="Q78" s="55" t="inlineStr">
        <is>
          <t>Pending</t>
        </is>
      </c>
      <c r="R78" s="55" t="inlineStr">
        <is>
          <t>None</t>
        </is>
      </c>
      <c r="S78" s="87"/>
      <c r="T78" s="87"/>
      <c r="U78" s="87"/>
      <c r="V78" s="87"/>
      <c r="W78" s="87"/>
      <c r="X78" s="87"/>
      <c r="Y78" s="87"/>
      <c r="Z78" s="76"/>
    </row>
    <row r="79">
      <c r="A79" s="75" t="inlineStr">
        <is>
          <t>P013</t>
        </is>
      </c>
      <c r="B79" s="60" t="n">
        <v>4</v>
      </c>
      <c r="C79" s="60" t="n">
        <v>2</v>
      </c>
      <c r="D79" s="60" t="inlineStr">
        <is>
          <t>游戏手柄</t>
        </is>
      </c>
      <c r="E79" s="60" t="inlineStr">
        <is>
          <t>S1</t>
        </is>
      </c>
      <c r="F79" s="60" t="n">
        <v>2</v>
      </c>
      <c r="G79" s="60" t="inlineStr">
        <is>
          <t>B</t>
        </is>
      </c>
      <c r="H79" s="60" t="inlineStr">
        <is>
          <t>EgoAnchor</t>
        </is>
      </c>
      <c r="I79" s="60" t="inlineStr">
        <is>
          <t>P013_Gamepad_S1</t>
        </is>
      </c>
      <c r="J79" s="55"/>
      <c r="K79" s="55"/>
      <c r="L79" s="55" t="inlineStr">
        <is>
          <t>No</t>
        </is>
      </c>
      <c r="M79" s="55" t="inlineStr">
        <is>
          <t>No</t>
        </is>
      </c>
      <c r="N79" s="55" t="inlineStr">
        <is>
          <t>No</t>
        </is>
      </c>
      <c r="O79" s="55" t="inlineStr">
        <is>
          <t>Pending</t>
        </is>
      </c>
      <c r="P79" s="55" t="inlineStr">
        <is>
          <t>No</t>
        </is>
      </c>
      <c r="Q79" s="55" t="inlineStr">
        <is>
          <t>Pending</t>
        </is>
      </c>
      <c r="R79" s="55" t="inlineStr">
        <is>
          <t>None</t>
        </is>
      </c>
      <c r="S79" s="87"/>
      <c r="T79" s="87"/>
      <c r="U79" s="87"/>
      <c r="V79" s="87"/>
      <c r="W79" s="87"/>
      <c r="X79" s="87"/>
      <c r="Y79" s="87"/>
      <c r="Z79" s="76"/>
    </row>
    <row r="80">
      <c r="A80" s="75" t="inlineStr">
        <is>
          <t>P013</t>
        </is>
      </c>
      <c r="B80" s="60" t="n">
        <v>4</v>
      </c>
      <c r="C80" s="60" t="n">
        <v>3</v>
      </c>
      <c r="D80" s="60" t="inlineStr">
        <is>
          <t>无线鼠标</t>
        </is>
      </c>
      <c r="E80" s="60" t="inlineStr">
        <is>
          <t>S1</t>
        </is>
      </c>
      <c r="F80" s="60" t="n">
        <v>1</v>
      </c>
      <c r="G80" s="60" t="inlineStr">
        <is>
          <t>A</t>
        </is>
      </c>
      <c r="H80" s="60" t="inlineStr">
        <is>
          <t>EgoAnchor</t>
        </is>
      </c>
      <c r="I80" s="60" t="inlineStr">
        <is>
          <t>P013_Mouse_S1</t>
        </is>
      </c>
      <c r="J80" s="55"/>
      <c r="K80" s="55"/>
      <c r="L80" s="55" t="inlineStr">
        <is>
          <t>No</t>
        </is>
      </c>
      <c r="M80" s="55" t="inlineStr">
        <is>
          <t>No</t>
        </is>
      </c>
      <c r="N80" s="55" t="inlineStr">
        <is>
          <t>No</t>
        </is>
      </c>
      <c r="O80" s="55" t="inlineStr">
        <is>
          <t>N/A</t>
        </is>
      </c>
      <c r="P80" s="55" t="inlineStr">
        <is>
          <t>No</t>
        </is>
      </c>
      <c r="Q80" s="55" t="inlineStr">
        <is>
          <t>Pending</t>
        </is>
      </c>
      <c r="R80" s="55" t="inlineStr">
        <is>
          <t>None</t>
        </is>
      </c>
      <c r="S80" s="87"/>
      <c r="T80" s="87"/>
      <c r="U80" s="87"/>
      <c r="V80" s="87"/>
      <c r="W80" s="87"/>
      <c r="X80" s="87"/>
      <c r="Y80" s="87"/>
      <c r="Z80" s="76"/>
    </row>
    <row r="81">
      <c r="A81" s="75" t="inlineStr">
        <is>
          <t>P013</t>
        </is>
      </c>
      <c r="B81" s="60" t="n">
        <v>4</v>
      </c>
      <c r="C81" s="60" t="n">
        <v>3</v>
      </c>
      <c r="D81" s="60" t="inlineStr">
        <is>
          <t>无线鼠标</t>
        </is>
      </c>
      <c r="E81" s="60" t="inlineStr">
        <is>
          <t>S1</t>
        </is>
      </c>
      <c r="F81" s="60" t="n">
        <v>2</v>
      </c>
      <c r="G81" s="60" t="inlineStr">
        <is>
          <t>B</t>
        </is>
      </c>
      <c r="H81" s="60" t="inlineStr">
        <is>
          <t>One-Euro</t>
        </is>
      </c>
      <c r="I81" s="60" t="inlineStr">
        <is>
          <t>P013_Mouse_S1</t>
        </is>
      </c>
      <c r="J81" s="55"/>
      <c r="K81" s="55"/>
      <c r="L81" s="55" t="inlineStr">
        <is>
          <t>No</t>
        </is>
      </c>
      <c r="M81" s="55" t="inlineStr">
        <is>
          <t>No</t>
        </is>
      </c>
      <c r="N81" s="55" t="inlineStr">
        <is>
          <t>No</t>
        </is>
      </c>
      <c r="O81" s="55" t="inlineStr">
        <is>
          <t>Pending</t>
        </is>
      </c>
      <c r="P81" s="55" t="inlineStr">
        <is>
          <t>No</t>
        </is>
      </c>
      <c r="Q81" s="55" t="inlineStr">
        <is>
          <t>Pending</t>
        </is>
      </c>
      <c r="R81" s="55" t="inlineStr">
        <is>
          <t>None</t>
        </is>
      </c>
      <c r="S81" s="87"/>
      <c r="T81" s="87"/>
      <c r="U81" s="87"/>
      <c r="V81" s="87"/>
      <c r="W81" s="87"/>
      <c r="X81" s="87"/>
      <c r="Y81" s="87"/>
      <c r="Z81" s="76"/>
    </row>
    <row r="82">
      <c r="A82" s="75" t="inlineStr">
        <is>
          <t>P014</t>
        </is>
      </c>
      <c r="B82" s="60" t="n">
        <v>4</v>
      </c>
      <c r="C82" s="60" t="n">
        <v>1</v>
      </c>
      <c r="D82" s="60" t="inlineStr">
        <is>
          <t>固定闭合订书机</t>
        </is>
      </c>
      <c r="E82" s="60" t="inlineStr">
        <is>
          <t>S1</t>
        </is>
      </c>
      <c r="F82" s="60" t="n">
        <v>1</v>
      </c>
      <c r="G82" s="60" t="inlineStr">
        <is>
          <t>A</t>
        </is>
      </c>
      <c r="H82" s="60" t="inlineStr">
        <is>
          <t>EgoAnchor</t>
        </is>
      </c>
      <c r="I82" s="60" t="inlineStr">
        <is>
          <t>P014_Stapler_S1</t>
        </is>
      </c>
      <c r="J82" s="55"/>
      <c r="K82" s="55"/>
      <c r="L82" s="55" t="inlineStr">
        <is>
          <t>No</t>
        </is>
      </c>
      <c r="M82" s="55" t="inlineStr">
        <is>
          <t>No</t>
        </is>
      </c>
      <c r="N82" s="55" t="inlineStr">
        <is>
          <t>No</t>
        </is>
      </c>
      <c r="O82" s="55" t="inlineStr">
        <is>
          <t>N/A</t>
        </is>
      </c>
      <c r="P82" s="55" t="inlineStr">
        <is>
          <t>No</t>
        </is>
      </c>
      <c r="Q82" s="55" t="inlineStr">
        <is>
          <t>Pending</t>
        </is>
      </c>
      <c r="R82" s="55" t="inlineStr">
        <is>
          <t>None</t>
        </is>
      </c>
      <c r="S82" s="87"/>
      <c r="T82" s="87"/>
      <c r="U82" s="87"/>
      <c r="V82" s="87"/>
      <c r="W82" s="87"/>
      <c r="X82" s="87"/>
      <c r="Y82" s="87"/>
      <c r="Z82" s="76"/>
    </row>
    <row r="83">
      <c r="A83" s="75" t="inlineStr">
        <is>
          <t>P014</t>
        </is>
      </c>
      <c r="B83" s="60" t="n">
        <v>4</v>
      </c>
      <c r="C83" s="60" t="n">
        <v>1</v>
      </c>
      <c r="D83" s="60" t="inlineStr">
        <is>
          <t>固定闭合订书机</t>
        </is>
      </c>
      <c r="E83" s="60" t="inlineStr">
        <is>
          <t>S1</t>
        </is>
      </c>
      <c r="F83" s="60" t="n">
        <v>2</v>
      </c>
      <c r="G83" s="60" t="inlineStr">
        <is>
          <t>B</t>
        </is>
      </c>
      <c r="H83" s="60" t="inlineStr">
        <is>
          <t>One-Euro</t>
        </is>
      </c>
      <c r="I83" s="60" t="inlineStr">
        <is>
          <t>P014_Stapler_S1</t>
        </is>
      </c>
      <c r="J83" s="55"/>
      <c r="K83" s="55"/>
      <c r="L83" s="55" t="inlineStr">
        <is>
          <t>No</t>
        </is>
      </c>
      <c r="M83" s="55" t="inlineStr">
        <is>
          <t>No</t>
        </is>
      </c>
      <c r="N83" s="55" t="inlineStr">
        <is>
          <t>No</t>
        </is>
      </c>
      <c r="O83" s="55" t="inlineStr">
        <is>
          <t>Pending</t>
        </is>
      </c>
      <c r="P83" s="55" t="inlineStr">
        <is>
          <t>No</t>
        </is>
      </c>
      <c r="Q83" s="55" t="inlineStr">
        <is>
          <t>Pending</t>
        </is>
      </c>
      <c r="R83" s="55" t="inlineStr">
        <is>
          <t>None</t>
        </is>
      </c>
      <c r="S83" s="87"/>
      <c r="T83" s="87"/>
      <c r="U83" s="87"/>
      <c r="V83" s="87"/>
      <c r="W83" s="87"/>
      <c r="X83" s="87"/>
      <c r="Y83" s="87"/>
      <c r="Z83" s="76"/>
    </row>
    <row r="84">
      <c r="A84" s="75" t="inlineStr">
        <is>
          <t>P014</t>
        </is>
      </c>
      <c r="B84" s="60" t="n">
        <v>4</v>
      </c>
      <c r="C84" s="60" t="n">
        <v>2</v>
      </c>
      <c r="D84" s="60" t="inlineStr">
        <is>
          <t>游戏手柄</t>
        </is>
      </c>
      <c r="E84" s="60" t="inlineStr">
        <is>
          <t>S1</t>
        </is>
      </c>
      <c r="F84" s="60" t="n">
        <v>1</v>
      </c>
      <c r="G84" s="60" t="inlineStr">
        <is>
          <t>A</t>
        </is>
      </c>
      <c r="H84" s="60" t="inlineStr">
        <is>
          <t>One-Euro</t>
        </is>
      </c>
      <c r="I84" s="60" t="inlineStr">
        <is>
          <t>P014_Gamepad_S1</t>
        </is>
      </c>
      <c r="J84" s="55"/>
      <c r="K84" s="55"/>
      <c r="L84" s="55" t="inlineStr">
        <is>
          <t>No</t>
        </is>
      </c>
      <c r="M84" s="55" t="inlineStr">
        <is>
          <t>No</t>
        </is>
      </c>
      <c r="N84" s="55" t="inlineStr">
        <is>
          <t>No</t>
        </is>
      </c>
      <c r="O84" s="55" t="inlineStr">
        <is>
          <t>N/A</t>
        </is>
      </c>
      <c r="P84" s="55" t="inlineStr">
        <is>
          <t>No</t>
        </is>
      </c>
      <c r="Q84" s="55" t="inlineStr">
        <is>
          <t>Pending</t>
        </is>
      </c>
      <c r="R84" s="55" t="inlineStr">
        <is>
          <t>None</t>
        </is>
      </c>
      <c r="S84" s="87"/>
      <c r="T84" s="87"/>
      <c r="U84" s="87"/>
      <c r="V84" s="87"/>
      <c r="W84" s="87"/>
      <c r="X84" s="87"/>
      <c r="Y84" s="87"/>
      <c r="Z84" s="76"/>
    </row>
    <row r="85">
      <c r="A85" s="75" t="inlineStr">
        <is>
          <t>P014</t>
        </is>
      </c>
      <c r="B85" s="60" t="n">
        <v>4</v>
      </c>
      <c r="C85" s="60" t="n">
        <v>2</v>
      </c>
      <c r="D85" s="60" t="inlineStr">
        <is>
          <t>游戏手柄</t>
        </is>
      </c>
      <c r="E85" s="60" t="inlineStr">
        <is>
          <t>S1</t>
        </is>
      </c>
      <c r="F85" s="60" t="n">
        <v>2</v>
      </c>
      <c r="G85" s="60" t="inlineStr">
        <is>
          <t>B</t>
        </is>
      </c>
      <c r="H85" s="60" t="inlineStr">
        <is>
          <t>EgoAnchor</t>
        </is>
      </c>
      <c r="I85" s="60" t="inlineStr">
        <is>
          <t>P014_Gamepad_S1</t>
        </is>
      </c>
      <c r="J85" s="55"/>
      <c r="K85" s="55"/>
      <c r="L85" s="55" t="inlineStr">
        <is>
          <t>No</t>
        </is>
      </c>
      <c r="M85" s="55" t="inlineStr">
        <is>
          <t>No</t>
        </is>
      </c>
      <c r="N85" s="55" t="inlineStr">
        <is>
          <t>No</t>
        </is>
      </c>
      <c r="O85" s="55" t="inlineStr">
        <is>
          <t>Pending</t>
        </is>
      </c>
      <c r="P85" s="55" t="inlineStr">
        <is>
          <t>No</t>
        </is>
      </c>
      <c r="Q85" s="55" t="inlineStr">
        <is>
          <t>Pending</t>
        </is>
      </c>
      <c r="R85" s="55" t="inlineStr">
        <is>
          <t>None</t>
        </is>
      </c>
      <c r="S85" s="87"/>
      <c r="T85" s="87"/>
      <c r="U85" s="87"/>
      <c r="V85" s="87"/>
      <c r="W85" s="87"/>
      <c r="X85" s="87"/>
      <c r="Y85" s="87"/>
      <c r="Z85" s="76"/>
    </row>
    <row r="86">
      <c r="A86" s="75" t="inlineStr">
        <is>
          <t>P014</t>
        </is>
      </c>
      <c r="B86" s="60" t="n">
        <v>4</v>
      </c>
      <c r="C86" s="60" t="n">
        <v>3</v>
      </c>
      <c r="D86" s="60" t="inlineStr">
        <is>
          <t>无线鼠标</t>
        </is>
      </c>
      <c r="E86" s="60" t="inlineStr">
        <is>
          <t>S1</t>
        </is>
      </c>
      <c r="F86" s="60" t="n">
        <v>1</v>
      </c>
      <c r="G86" s="60" t="inlineStr">
        <is>
          <t>A</t>
        </is>
      </c>
      <c r="H86" s="60" t="inlineStr">
        <is>
          <t>EgoAnchor</t>
        </is>
      </c>
      <c r="I86" s="60" t="inlineStr">
        <is>
          <t>P014_Mouse_S1</t>
        </is>
      </c>
      <c r="J86" s="55"/>
      <c r="K86" s="55"/>
      <c r="L86" s="55" t="inlineStr">
        <is>
          <t>No</t>
        </is>
      </c>
      <c r="M86" s="55" t="inlineStr">
        <is>
          <t>No</t>
        </is>
      </c>
      <c r="N86" s="55" t="inlineStr">
        <is>
          <t>No</t>
        </is>
      </c>
      <c r="O86" s="55" t="inlineStr">
        <is>
          <t>N/A</t>
        </is>
      </c>
      <c r="P86" s="55" t="inlineStr">
        <is>
          <t>No</t>
        </is>
      </c>
      <c r="Q86" s="55" t="inlineStr">
        <is>
          <t>Pending</t>
        </is>
      </c>
      <c r="R86" s="55" t="inlineStr">
        <is>
          <t>None</t>
        </is>
      </c>
      <c r="S86" s="87"/>
      <c r="T86" s="87"/>
      <c r="U86" s="87"/>
      <c r="V86" s="87"/>
      <c r="W86" s="87"/>
      <c r="X86" s="87"/>
      <c r="Y86" s="87"/>
      <c r="Z86" s="76"/>
    </row>
    <row r="87">
      <c r="A87" s="75" t="inlineStr">
        <is>
          <t>P014</t>
        </is>
      </c>
      <c r="B87" s="60" t="n">
        <v>4</v>
      </c>
      <c r="C87" s="60" t="n">
        <v>3</v>
      </c>
      <c r="D87" s="60" t="inlineStr">
        <is>
          <t>无线鼠标</t>
        </is>
      </c>
      <c r="E87" s="60" t="inlineStr">
        <is>
          <t>S1</t>
        </is>
      </c>
      <c r="F87" s="60" t="n">
        <v>2</v>
      </c>
      <c r="G87" s="60" t="inlineStr">
        <is>
          <t>B</t>
        </is>
      </c>
      <c r="H87" s="60" t="inlineStr">
        <is>
          <t>One-Euro</t>
        </is>
      </c>
      <c r="I87" s="60" t="inlineStr">
        <is>
          <t>P014_Mouse_S1</t>
        </is>
      </c>
      <c r="J87" s="55"/>
      <c r="K87" s="55"/>
      <c r="L87" s="55" t="inlineStr">
        <is>
          <t>No</t>
        </is>
      </c>
      <c r="M87" s="55" t="inlineStr">
        <is>
          <t>No</t>
        </is>
      </c>
      <c r="N87" s="55" t="inlineStr">
        <is>
          <t>No</t>
        </is>
      </c>
      <c r="O87" s="55" t="inlineStr">
        <is>
          <t>Pending</t>
        </is>
      </c>
      <c r="P87" s="55" t="inlineStr">
        <is>
          <t>No</t>
        </is>
      </c>
      <c r="Q87" s="55" t="inlineStr">
        <is>
          <t>Pending</t>
        </is>
      </c>
      <c r="R87" s="55" t="inlineStr">
        <is>
          <t>None</t>
        </is>
      </c>
      <c r="S87" s="87"/>
      <c r="T87" s="87"/>
      <c r="U87" s="87"/>
      <c r="V87" s="87"/>
      <c r="W87" s="87"/>
      <c r="X87" s="87"/>
      <c r="Y87" s="87"/>
      <c r="Z87" s="76"/>
    </row>
    <row r="88">
      <c r="A88" s="75" t="inlineStr">
        <is>
          <t>P015</t>
        </is>
      </c>
      <c r="B88" s="60" t="n">
        <v>4</v>
      </c>
      <c r="C88" s="60" t="n">
        <v>1</v>
      </c>
      <c r="D88" s="60" t="inlineStr">
        <is>
          <t>固定闭合订书机</t>
        </is>
      </c>
      <c r="E88" s="60" t="inlineStr">
        <is>
          <t>S2</t>
        </is>
      </c>
      <c r="F88" s="60" t="n">
        <v>1</v>
      </c>
      <c r="G88" s="60" t="inlineStr">
        <is>
          <t>A</t>
        </is>
      </c>
      <c r="H88" s="60" t="inlineStr">
        <is>
          <t>One-Euro</t>
        </is>
      </c>
      <c r="I88" s="60" t="inlineStr">
        <is>
          <t>P015_Stapler_S1</t>
        </is>
      </c>
      <c r="J88" s="55"/>
      <c r="K88" s="55"/>
      <c r="L88" s="55" t="inlineStr">
        <is>
          <t>No</t>
        </is>
      </c>
      <c r="M88" s="55" t="inlineStr">
        <is>
          <t>No</t>
        </is>
      </c>
      <c r="N88" s="55" t="inlineStr">
        <is>
          <t>No</t>
        </is>
      </c>
      <c r="O88" s="55" t="inlineStr">
        <is>
          <t>N/A</t>
        </is>
      </c>
      <c r="P88" s="55" t="inlineStr">
        <is>
          <t>No</t>
        </is>
      </c>
      <c r="Q88" s="55" t="inlineStr">
        <is>
          <t>Pending</t>
        </is>
      </c>
      <c r="R88" s="55" t="inlineStr">
        <is>
          <t>None</t>
        </is>
      </c>
      <c r="S88" s="87"/>
      <c r="T88" s="87"/>
      <c r="U88" s="87"/>
      <c r="V88" s="87"/>
      <c r="W88" s="87"/>
      <c r="X88" s="87"/>
      <c r="Y88" s="87"/>
      <c r="Z88" s="76"/>
    </row>
    <row r="89">
      <c r="A89" s="75" t="inlineStr">
        <is>
          <t>P015</t>
        </is>
      </c>
      <c r="B89" s="60" t="n">
        <v>4</v>
      </c>
      <c r="C89" s="60" t="n">
        <v>1</v>
      </c>
      <c r="D89" s="60" t="inlineStr">
        <is>
          <t>固定闭合订书机</t>
        </is>
      </c>
      <c r="E89" s="60" t="inlineStr">
        <is>
          <t>S2</t>
        </is>
      </c>
      <c r="F89" s="60" t="n">
        <v>2</v>
      </c>
      <c r="G89" s="60" t="inlineStr">
        <is>
          <t>B</t>
        </is>
      </c>
      <c r="H89" s="60" t="inlineStr">
        <is>
          <t>EgoAnchor</t>
        </is>
      </c>
      <c r="I89" s="60" t="inlineStr">
        <is>
          <t>P015_Stapler_S1</t>
        </is>
      </c>
      <c r="J89" s="55"/>
      <c r="K89" s="55"/>
      <c r="L89" s="55" t="inlineStr">
        <is>
          <t>No</t>
        </is>
      </c>
      <c r="M89" s="55" t="inlineStr">
        <is>
          <t>No</t>
        </is>
      </c>
      <c r="N89" s="55" t="inlineStr">
        <is>
          <t>No</t>
        </is>
      </c>
      <c r="O89" s="55" t="inlineStr">
        <is>
          <t>Pending</t>
        </is>
      </c>
      <c r="P89" s="55" t="inlineStr">
        <is>
          <t>No</t>
        </is>
      </c>
      <c r="Q89" s="55" t="inlineStr">
        <is>
          <t>Pending</t>
        </is>
      </c>
      <c r="R89" s="55" t="inlineStr">
        <is>
          <t>None</t>
        </is>
      </c>
      <c r="S89" s="87"/>
      <c r="T89" s="87"/>
      <c r="U89" s="87"/>
      <c r="V89" s="87"/>
      <c r="W89" s="87"/>
      <c r="X89" s="87"/>
      <c r="Y89" s="87"/>
      <c r="Z89" s="76"/>
    </row>
    <row r="90">
      <c r="A90" s="75" t="inlineStr">
        <is>
          <t>P015</t>
        </is>
      </c>
      <c r="B90" s="60" t="n">
        <v>4</v>
      </c>
      <c r="C90" s="60" t="n">
        <v>2</v>
      </c>
      <c r="D90" s="60" t="inlineStr">
        <is>
          <t>游戏手柄</t>
        </is>
      </c>
      <c r="E90" s="60" t="inlineStr">
        <is>
          <t>S2</t>
        </is>
      </c>
      <c r="F90" s="60" t="n">
        <v>1</v>
      </c>
      <c r="G90" s="60" t="inlineStr">
        <is>
          <t>A</t>
        </is>
      </c>
      <c r="H90" s="60" t="inlineStr">
        <is>
          <t>EgoAnchor</t>
        </is>
      </c>
      <c r="I90" s="60" t="inlineStr">
        <is>
          <t>P015_Gamepad_S1</t>
        </is>
      </c>
      <c r="J90" s="55"/>
      <c r="K90" s="55"/>
      <c r="L90" s="55" t="inlineStr">
        <is>
          <t>No</t>
        </is>
      </c>
      <c r="M90" s="55" t="inlineStr">
        <is>
          <t>No</t>
        </is>
      </c>
      <c r="N90" s="55" t="inlineStr">
        <is>
          <t>No</t>
        </is>
      </c>
      <c r="O90" s="55" t="inlineStr">
        <is>
          <t>N/A</t>
        </is>
      </c>
      <c r="P90" s="55" t="inlineStr">
        <is>
          <t>No</t>
        </is>
      </c>
      <c r="Q90" s="55" t="inlineStr">
        <is>
          <t>Pending</t>
        </is>
      </c>
      <c r="R90" s="55" t="inlineStr">
        <is>
          <t>None</t>
        </is>
      </c>
      <c r="S90" s="87"/>
      <c r="T90" s="87"/>
      <c r="U90" s="87"/>
      <c r="V90" s="87"/>
      <c r="W90" s="87"/>
      <c r="X90" s="87"/>
      <c r="Y90" s="87"/>
      <c r="Z90" s="76"/>
    </row>
    <row r="91">
      <c r="A91" s="75" t="inlineStr">
        <is>
          <t>P015</t>
        </is>
      </c>
      <c r="B91" s="60" t="n">
        <v>4</v>
      </c>
      <c r="C91" s="60" t="n">
        <v>2</v>
      </c>
      <c r="D91" s="60" t="inlineStr">
        <is>
          <t>游戏手柄</t>
        </is>
      </c>
      <c r="E91" s="60" t="inlineStr">
        <is>
          <t>S2</t>
        </is>
      </c>
      <c r="F91" s="60" t="n">
        <v>2</v>
      </c>
      <c r="G91" s="60" t="inlineStr">
        <is>
          <t>B</t>
        </is>
      </c>
      <c r="H91" s="60" t="inlineStr">
        <is>
          <t>One-Euro</t>
        </is>
      </c>
      <c r="I91" s="60" t="inlineStr">
        <is>
          <t>P015_Gamepad_S1</t>
        </is>
      </c>
      <c r="J91" s="55"/>
      <c r="K91" s="55"/>
      <c r="L91" s="55" t="inlineStr">
        <is>
          <t>No</t>
        </is>
      </c>
      <c r="M91" s="55" t="inlineStr">
        <is>
          <t>No</t>
        </is>
      </c>
      <c r="N91" s="55" t="inlineStr">
        <is>
          <t>No</t>
        </is>
      </c>
      <c r="O91" s="55" t="inlineStr">
        <is>
          <t>Pending</t>
        </is>
      </c>
      <c r="P91" s="55" t="inlineStr">
        <is>
          <t>No</t>
        </is>
      </c>
      <c r="Q91" s="55" t="inlineStr">
        <is>
          <t>Pending</t>
        </is>
      </c>
      <c r="R91" s="55" t="inlineStr">
        <is>
          <t>None</t>
        </is>
      </c>
      <c r="S91" s="87"/>
      <c r="T91" s="87"/>
      <c r="U91" s="87"/>
      <c r="V91" s="87"/>
      <c r="W91" s="87"/>
      <c r="X91" s="87"/>
      <c r="Y91" s="87"/>
      <c r="Z91" s="76"/>
    </row>
    <row r="92">
      <c r="A92" s="75" t="inlineStr">
        <is>
          <t>P015</t>
        </is>
      </c>
      <c r="B92" s="60" t="n">
        <v>4</v>
      </c>
      <c r="C92" s="60" t="n">
        <v>3</v>
      </c>
      <c r="D92" s="60" t="inlineStr">
        <is>
          <t>无线鼠标</t>
        </is>
      </c>
      <c r="E92" s="60" t="inlineStr">
        <is>
          <t>S2</t>
        </is>
      </c>
      <c r="F92" s="60" t="n">
        <v>1</v>
      </c>
      <c r="G92" s="60" t="inlineStr">
        <is>
          <t>A</t>
        </is>
      </c>
      <c r="H92" s="60" t="inlineStr">
        <is>
          <t>One-Euro</t>
        </is>
      </c>
      <c r="I92" s="60" t="inlineStr">
        <is>
          <t>P015_Mouse_S1</t>
        </is>
      </c>
      <c r="J92" s="55"/>
      <c r="K92" s="55"/>
      <c r="L92" s="55" t="inlineStr">
        <is>
          <t>No</t>
        </is>
      </c>
      <c r="M92" s="55" t="inlineStr">
        <is>
          <t>No</t>
        </is>
      </c>
      <c r="N92" s="55" t="inlineStr">
        <is>
          <t>No</t>
        </is>
      </c>
      <c r="O92" s="55" t="inlineStr">
        <is>
          <t>N/A</t>
        </is>
      </c>
      <c r="P92" s="55" t="inlineStr">
        <is>
          <t>No</t>
        </is>
      </c>
      <c r="Q92" s="55" t="inlineStr">
        <is>
          <t>Pending</t>
        </is>
      </c>
      <c r="R92" s="55" t="inlineStr">
        <is>
          <t>None</t>
        </is>
      </c>
      <c r="S92" s="87"/>
      <c r="T92" s="87"/>
      <c r="U92" s="87"/>
      <c r="V92" s="87"/>
      <c r="W92" s="87"/>
      <c r="X92" s="87"/>
      <c r="Y92" s="87"/>
      <c r="Z92" s="76"/>
    </row>
    <row r="93">
      <c r="A93" s="75" t="inlineStr">
        <is>
          <t>P015</t>
        </is>
      </c>
      <c r="B93" s="60" t="n">
        <v>4</v>
      </c>
      <c r="C93" s="60" t="n">
        <v>3</v>
      </c>
      <c r="D93" s="60" t="inlineStr">
        <is>
          <t>无线鼠标</t>
        </is>
      </c>
      <c r="E93" s="60" t="inlineStr">
        <is>
          <t>S2</t>
        </is>
      </c>
      <c r="F93" s="60" t="n">
        <v>2</v>
      </c>
      <c r="G93" s="60" t="inlineStr">
        <is>
          <t>B</t>
        </is>
      </c>
      <c r="H93" s="60" t="inlineStr">
        <is>
          <t>EgoAnchor</t>
        </is>
      </c>
      <c r="I93" s="60" t="inlineStr">
        <is>
          <t>P015_Mouse_S1</t>
        </is>
      </c>
      <c r="J93" s="55"/>
      <c r="K93" s="55"/>
      <c r="L93" s="55" t="inlineStr">
        <is>
          <t>No</t>
        </is>
      </c>
      <c r="M93" s="55" t="inlineStr">
        <is>
          <t>No</t>
        </is>
      </c>
      <c r="N93" s="55" t="inlineStr">
        <is>
          <t>No</t>
        </is>
      </c>
      <c r="O93" s="55" t="inlineStr">
        <is>
          <t>Pending</t>
        </is>
      </c>
      <c r="P93" s="55" t="inlineStr">
        <is>
          <t>No</t>
        </is>
      </c>
      <c r="Q93" s="55" t="inlineStr">
        <is>
          <t>Pending</t>
        </is>
      </c>
      <c r="R93" s="55" t="inlineStr">
        <is>
          <t>None</t>
        </is>
      </c>
      <c r="S93" s="87"/>
      <c r="T93" s="87"/>
      <c r="U93" s="87"/>
      <c r="V93" s="87"/>
      <c r="W93" s="87"/>
      <c r="X93" s="87"/>
      <c r="Y93" s="87"/>
      <c r="Z93" s="76"/>
    </row>
    <row r="94">
      <c r="A94" s="75" t="inlineStr">
        <is>
          <t>P016</t>
        </is>
      </c>
      <c r="B94" s="60" t="n">
        <v>4</v>
      </c>
      <c r="C94" s="60" t="n">
        <v>1</v>
      </c>
      <c r="D94" s="60" t="inlineStr">
        <is>
          <t>固定闭合订书机</t>
        </is>
      </c>
      <c r="E94" s="60" t="inlineStr">
        <is>
          <t>S2</t>
        </is>
      </c>
      <c r="F94" s="60" t="n">
        <v>1</v>
      </c>
      <c r="G94" s="60" t="inlineStr">
        <is>
          <t>A</t>
        </is>
      </c>
      <c r="H94" s="60" t="inlineStr">
        <is>
          <t>One-Euro</t>
        </is>
      </c>
      <c r="I94" s="60" t="inlineStr">
        <is>
          <t>P016_Stapler_S1</t>
        </is>
      </c>
      <c r="J94" s="55"/>
      <c r="K94" s="55"/>
      <c r="L94" s="55" t="inlineStr">
        <is>
          <t>No</t>
        </is>
      </c>
      <c r="M94" s="55" t="inlineStr">
        <is>
          <t>No</t>
        </is>
      </c>
      <c r="N94" s="55" t="inlineStr">
        <is>
          <t>No</t>
        </is>
      </c>
      <c r="O94" s="55" t="inlineStr">
        <is>
          <t>N/A</t>
        </is>
      </c>
      <c r="P94" s="55" t="inlineStr">
        <is>
          <t>No</t>
        </is>
      </c>
      <c r="Q94" s="55" t="inlineStr">
        <is>
          <t>Pending</t>
        </is>
      </c>
      <c r="R94" s="55" t="inlineStr">
        <is>
          <t>None</t>
        </is>
      </c>
      <c r="S94" s="87"/>
      <c r="T94" s="87"/>
      <c r="U94" s="87"/>
      <c r="V94" s="87"/>
      <c r="W94" s="87"/>
      <c r="X94" s="87"/>
      <c r="Y94" s="87"/>
      <c r="Z94" s="76"/>
    </row>
    <row r="95">
      <c r="A95" s="75" t="inlineStr">
        <is>
          <t>P016</t>
        </is>
      </c>
      <c r="B95" s="60" t="n">
        <v>4</v>
      </c>
      <c r="C95" s="60" t="n">
        <v>1</v>
      </c>
      <c r="D95" s="60" t="inlineStr">
        <is>
          <t>固定闭合订书机</t>
        </is>
      </c>
      <c r="E95" s="60" t="inlineStr">
        <is>
          <t>S2</t>
        </is>
      </c>
      <c r="F95" s="60" t="n">
        <v>2</v>
      </c>
      <c r="G95" s="60" t="inlineStr">
        <is>
          <t>B</t>
        </is>
      </c>
      <c r="H95" s="60" t="inlineStr">
        <is>
          <t>EgoAnchor</t>
        </is>
      </c>
      <c r="I95" s="60" t="inlineStr">
        <is>
          <t>P016_Stapler_S1</t>
        </is>
      </c>
      <c r="J95" s="55"/>
      <c r="K95" s="55"/>
      <c r="L95" s="55" t="inlineStr">
        <is>
          <t>No</t>
        </is>
      </c>
      <c r="M95" s="55" t="inlineStr">
        <is>
          <t>No</t>
        </is>
      </c>
      <c r="N95" s="55" t="inlineStr">
        <is>
          <t>No</t>
        </is>
      </c>
      <c r="O95" s="55" t="inlineStr">
        <is>
          <t>Pending</t>
        </is>
      </c>
      <c r="P95" s="55" t="inlineStr">
        <is>
          <t>No</t>
        </is>
      </c>
      <c r="Q95" s="55" t="inlineStr">
        <is>
          <t>Pending</t>
        </is>
      </c>
      <c r="R95" s="55" t="inlineStr">
        <is>
          <t>None</t>
        </is>
      </c>
      <c r="S95" s="87"/>
      <c r="T95" s="87"/>
      <c r="U95" s="87"/>
      <c r="V95" s="87"/>
      <c r="W95" s="87"/>
      <c r="X95" s="87"/>
      <c r="Y95" s="87"/>
      <c r="Z95" s="76"/>
    </row>
    <row r="96">
      <c r="A96" s="75" t="inlineStr">
        <is>
          <t>P016</t>
        </is>
      </c>
      <c r="B96" s="60" t="n">
        <v>4</v>
      </c>
      <c r="C96" s="60" t="n">
        <v>2</v>
      </c>
      <c r="D96" s="60" t="inlineStr">
        <is>
          <t>游戏手柄</t>
        </is>
      </c>
      <c r="E96" s="60" t="inlineStr">
        <is>
          <t>S2</t>
        </is>
      </c>
      <c r="F96" s="60" t="n">
        <v>1</v>
      </c>
      <c r="G96" s="60" t="inlineStr">
        <is>
          <t>A</t>
        </is>
      </c>
      <c r="H96" s="60" t="inlineStr">
        <is>
          <t>EgoAnchor</t>
        </is>
      </c>
      <c r="I96" s="60" t="inlineStr">
        <is>
          <t>P016_Gamepad_S1</t>
        </is>
      </c>
      <c r="J96" s="55"/>
      <c r="K96" s="55"/>
      <c r="L96" s="55" t="inlineStr">
        <is>
          <t>No</t>
        </is>
      </c>
      <c r="M96" s="55" t="inlineStr">
        <is>
          <t>No</t>
        </is>
      </c>
      <c r="N96" s="55" t="inlineStr">
        <is>
          <t>No</t>
        </is>
      </c>
      <c r="O96" s="55" t="inlineStr">
        <is>
          <t>N/A</t>
        </is>
      </c>
      <c r="P96" s="55" t="inlineStr">
        <is>
          <t>No</t>
        </is>
      </c>
      <c r="Q96" s="55" t="inlineStr">
        <is>
          <t>Pending</t>
        </is>
      </c>
      <c r="R96" s="55" t="inlineStr">
        <is>
          <t>None</t>
        </is>
      </c>
      <c r="S96" s="87"/>
      <c r="T96" s="87"/>
      <c r="U96" s="87"/>
      <c r="V96" s="87"/>
      <c r="W96" s="87"/>
      <c r="X96" s="87"/>
      <c r="Y96" s="87"/>
      <c r="Z96" s="76"/>
    </row>
    <row r="97">
      <c r="A97" s="75" t="inlineStr">
        <is>
          <t>P016</t>
        </is>
      </c>
      <c r="B97" s="60" t="n">
        <v>4</v>
      </c>
      <c r="C97" s="60" t="n">
        <v>2</v>
      </c>
      <c r="D97" s="60" t="inlineStr">
        <is>
          <t>游戏手柄</t>
        </is>
      </c>
      <c r="E97" s="60" t="inlineStr">
        <is>
          <t>S2</t>
        </is>
      </c>
      <c r="F97" s="60" t="n">
        <v>2</v>
      </c>
      <c r="G97" s="60" t="inlineStr">
        <is>
          <t>B</t>
        </is>
      </c>
      <c r="H97" s="60" t="inlineStr">
        <is>
          <t>One-Euro</t>
        </is>
      </c>
      <c r="I97" s="60" t="inlineStr">
        <is>
          <t>P016_Gamepad_S1</t>
        </is>
      </c>
      <c r="J97" s="55"/>
      <c r="K97" s="55"/>
      <c r="L97" s="55" t="inlineStr">
        <is>
          <t>No</t>
        </is>
      </c>
      <c r="M97" s="55" t="inlineStr">
        <is>
          <t>No</t>
        </is>
      </c>
      <c r="N97" s="55" t="inlineStr">
        <is>
          <t>No</t>
        </is>
      </c>
      <c r="O97" s="55" t="inlineStr">
        <is>
          <t>Pending</t>
        </is>
      </c>
      <c r="P97" s="55" t="inlineStr">
        <is>
          <t>No</t>
        </is>
      </c>
      <c r="Q97" s="55" t="inlineStr">
        <is>
          <t>Pending</t>
        </is>
      </c>
      <c r="R97" s="55" t="inlineStr">
        <is>
          <t>None</t>
        </is>
      </c>
      <c r="S97" s="87"/>
      <c r="T97" s="87"/>
      <c r="U97" s="87"/>
      <c r="V97" s="87"/>
      <c r="W97" s="87"/>
      <c r="X97" s="87"/>
      <c r="Y97" s="87"/>
      <c r="Z97" s="76"/>
    </row>
    <row r="98">
      <c r="A98" s="75" t="inlineStr">
        <is>
          <t>P016</t>
        </is>
      </c>
      <c r="B98" s="60" t="n">
        <v>4</v>
      </c>
      <c r="C98" s="60" t="n">
        <v>3</v>
      </c>
      <c r="D98" s="60" t="inlineStr">
        <is>
          <t>无线鼠标</t>
        </is>
      </c>
      <c r="E98" s="60" t="inlineStr">
        <is>
          <t>S2</t>
        </is>
      </c>
      <c r="F98" s="60" t="n">
        <v>1</v>
      </c>
      <c r="G98" s="60" t="inlineStr">
        <is>
          <t>A</t>
        </is>
      </c>
      <c r="H98" s="60" t="inlineStr">
        <is>
          <t>One-Euro</t>
        </is>
      </c>
      <c r="I98" s="60" t="inlineStr">
        <is>
          <t>P016_Mouse_S1</t>
        </is>
      </c>
      <c r="J98" s="55"/>
      <c r="K98" s="55"/>
      <c r="L98" s="55" t="inlineStr">
        <is>
          <t>No</t>
        </is>
      </c>
      <c r="M98" s="55" t="inlineStr">
        <is>
          <t>No</t>
        </is>
      </c>
      <c r="N98" s="55" t="inlineStr">
        <is>
          <t>No</t>
        </is>
      </c>
      <c r="O98" s="55" t="inlineStr">
        <is>
          <t>N/A</t>
        </is>
      </c>
      <c r="P98" s="55" t="inlineStr">
        <is>
          <t>No</t>
        </is>
      </c>
      <c r="Q98" s="55" t="inlineStr">
        <is>
          <t>Pending</t>
        </is>
      </c>
      <c r="R98" s="55" t="inlineStr">
        <is>
          <t>None</t>
        </is>
      </c>
      <c r="S98" s="87"/>
      <c r="T98" s="87"/>
      <c r="U98" s="87"/>
      <c r="V98" s="87"/>
      <c r="W98" s="87"/>
      <c r="X98" s="87"/>
      <c r="Y98" s="87"/>
      <c r="Z98" s="76"/>
    </row>
    <row r="99">
      <c r="A99" s="75" t="inlineStr">
        <is>
          <t>P016</t>
        </is>
      </c>
      <c r="B99" s="60" t="n">
        <v>4</v>
      </c>
      <c r="C99" s="60" t="n">
        <v>3</v>
      </c>
      <c r="D99" s="60" t="inlineStr">
        <is>
          <t>无线鼠标</t>
        </is>
      </c>
      <c r="E99" s="60" t="inlineStr">
        <is>
          <t>S2</t>
        </is>
      </c>
      <c r="F99" s="60" t="n">
        <v>2</v>
      </c>
      <c r="G99" s="60" t="inlineStr">
        <is>
          <t>B</t>
        </is>
      </c>
      <c r="H99" s="60" t="inlineStr">
        <is>
          <t>EgoAnchor</t>
        </is>
      </c>
      <c r="I99" s="60" t="inlineStr">
        <is>
          <t>P016_Mouse_S1</t>
        </is>
      </c>
      <c r="J99" s="55"/>
      <c r="K99" s="55"/>
      <c r="L99" s="55" t="inlineStr">
        <is>
          <t>No</t>
        </is>
      </c>
      <c r="M99" s="55" t="inlineStr">
        <is>
          <t>No</t>
        </is>
      </c>
      <c r="N99" s="55" t="inlineStr">
        <is>
          <t>No</t>
        </is>
      </c>
      <c r="O99" s="55" t="inlineStr">
        <is>
          <t>Pending</t>
        </is>
      </c>
      <c r="P99" s="55" t="inlineStr">
        <is>
          <t>No</t>
        </is>
      </c>
      <c r="Q99" s="55" t="inlineStr">
        <is>
          <t>Pending</t>
        </is>
      </c>
      <c r="R99" s="55" t="inlineStr">
        <is>
          <t>None</t>
        </is>
      </c>
      <c r="S99" s="87"/>
      <c r="T99" s="87"/>
      <c r="U99" s="87"/>
      <c r="V99" s="87"/>
      <c r="W99" s="87"/>
      <c r="X99" s="87"/>
      <c r="Y99" s="87"/>
      <c r="Z99" s="76"/>
    </row>
    <row r="100">
      <c r="A100" s="75" t="inlineStr">
        <is>
          <t>P017</t>
        </is>
      </c>
      <c r="B100" s="60" t="n">
        <v>5</v>
      </c>
      <c r="C100" s="60" t="n">
        <v>1</v>
      </c>
      <c r="D100" s="60" t="inlineStr">
        <is>
          <t>游戏手柄</t>
        </is>
      </c>
      <c r="E100" s="60" t="inlineStr">
        <is>
          <t>S1</t>
        </is>
      </c>
      <c r="F100" s="60" t="n">
        <v>1</v>
      </c>
      <c r="G100" s="60" t="inlineStr">
        <is>
          <t>A</t>
        </is>
      </c>
      <c r="H100" s="60" t="inlineStr">
        <is>
          <t>EgoAnchor</t>
        </is>
      </c>
      <c r="I100" s="60" t="inlineStr">
        <is>
          <t>P017_Gamepad_S1</t>
        </is>
      </c>
      <c r="J100" s="55"/>
      <c r="K100" s="55"/>
      <c r="L100" s="55" t="inlineStr">
        <is>
          <t>No</t>
        </is>
      </c>
      <c r="M100" s="55" t="inlineStr">
        <is>
          <t>No</t>
        </is>
      </c>
      <c r="N100" s="55" t="inlineStr">
        <is>
          <t>No</t>
        </is>
      </c>
      <c r="O100" s="55" t="inlineStr">
        <is>
          <t>N/A</t>
        </is>
      </c>
      <c r="P100" s="55" t="inlineStr">
        <is>
          <t>No</t>
        </is>
      </c>
      <c r="Q100" s="55" t="inlineStr">
        <is>
          <t>Pending</t>
        </is>
      </c>
      <c r="R100" s="55" t="inlineStr">
        <is>
          <t>None</t>
        </is>
      </c>
      <c r="S100" s="87"/>
      <c r="T100" s="87"/>
      <c r="U100" s="87"/>
      <c r="V100" s="87"/>
      <c r="W100" s="87"/>
      <c r="X100" s="87"/>
      <c r="Y100" s="87"/>
      <c r="Z100" s="76"/>
    </row>
    <row r="101">
      <c r="A101" s="75" t="inlineStr">
        <is>
          <t>P017</t>
        </is>
      </c>
      <c r="B101" s="60" t="n">
        <v>5</v>
      </c>
      <c r="C101" s="60" t="n">
        <v>1</v>
      </c>
      <c r="D101" s="60" t="inlineStr">
        <is>
          <t>游戏手柄</t>
        </is>
      </c>
      <c r="E101" s="60" t="inlineStr">
        <is>
          <t>S1</t>
        </is>
      </c>
      <c r="F101" s="60" t="n">
        <v>2</v>
      </c>
      <c r="G101" s="60" t="inlineStr">
        <is>
          <t>B</t>
        </is>
      </c>
      <c r="H101" s="60" t="inlineStr">
        <is>
          <t>One-Euro</t>
        </is>
      </c>
      <c r="I101" s="60" t="inlineStr">
        <is>
          <t>P017_Gamepad_S1</t>
        </is>
      </c>
      <c r="J101" s="55"/>
      <c r="K101" s="55"/>
      <c r="L101" s="55" t="inlineStr">
        <is>
          <t>No</t>
        </is>
      </c>
      <c r="M101" s="55" t="inlineStr">
        <is>
          <t>No</t>
        </is>
      </c>
      <c r="N101" s="55" t="inlineStr">
        <is>
          <t>No</t>
        </is>
      </c>
      <c r="O101" s="55" t="inlineStr">
        <is>
          <t>Pending</t>
        </is>
      </c>
      <c r="P101" s="55" t="inlineStr">
        <is>
          <t>No</t>
        </is>
      </c>
      <c r="Q101" s="55" t="inlineStr">
        <is>
          <t>Pending</t>
        </is>
      </c>
      <c r="R101" s="55" t="inlineStr">
        <is>
          <t>None</t>
        </is>
      </c>
      <c r="S101" s="87"/>
      <c r="T101" s="87"/>
      <c r="U101" s="87"/>
      <c r="V101" s="87"/>
      <c r="W101" s="87"/>
      <c r="X101" s="87"/>
      <c r="Y101" s="87"/>
      <c r="Z101" s="76"/>
    </row>
    <row r="102">
      <c r="A102" s="75" t="inlineStr">
        <is>
          <t>P017</t>
        </is>
      </c>
      <c r="B102" s="60" t="n">
        <v>5</v>
      </c>
      <c r="C102" s="60" t="n">
        <v>2</v>
      </c>
      <c r="D102" s="60" t="inlineStr">
        <is>
          <t>无线鼠标</t>
        </is>
      </c>
      <c r="E102" s="60" t="inlineStr">
        <is>
          <t>S1</t>
        </is>
      </c>
      <c r="F102" s="60" t="n">
        <v>1</v>
      </c>
      <c r="G102" s="60" t="inlineStr">
        <is>
          <t>A</t>
        </is>
      </c>
      <c r="H102" s="60" t="inlineStr">
        <is>
          <t>One-Euro</t>
        </is>
      </c>
      <c r="I102" s="60" t="inlineStr">
        <is>
          <t>P017_Mouse_S1</t>
        </is>
      </c>
      <c r="J102" s="55"/>
      <c r="K102" s="55"/>
      <c r="L102" s="55" t="inlineStr">
        <is>
          <t>No</t>
        </is>
      </c>
      <c r="M102" s="55" t="inlineStr">
        <is>
          <t>No</t>
        </is>
      </c>
      <c r="N102" s="55" t="inlineStr">
        <is>
          <t>No</t>
        </is>
      </c>
      <c r="O102" s="55" t="inlineStr">
        <is>
          <t>N/A</t>
        </is>
      </c>
      <c r="P102" s="55" t="inlineStr">
        <is>
          <t>No</t>
        </is>
      </c>
      <c r="Q102" s="55" t="inlineStr">
        <is>
          <t>Pending</t>
        </is>
      </c>
      <c r="R102" s="55" t="inlineStr">
        <is>
          <t>None</t>
        </is>
      </c>
      <c r="S102" s="87"/>
      <c r="T102" s="87"/>
      <c r="U102" s="87"/>
      <c r="V102" s="87"/>
      <c r="W102" s="87"/>
      <c r="X102" s="87"/>
      <c r="Y102" s="87"/>
      <c r="Z102" s="76"/>
    </row>
    <row r="103">
      <c r="A103" s="75" t="inlineStr">
        <is>
          <t>P017</t>
        </is>
      </c>
      <c r="B103" s="60" t="n">
        <v>5</v>
      </c>
      <c r="C103" s="60" t="n">
        <v>2</v>
      </c>
      <c r="D103" s="60" t="inlineStr">
        <is>
          <t>无线鼠标</t>
        </is>
      </c>
      <c r="E103" s="60" t="inlineStr">
        <is>
          <t>S1</t>
        </is>
      </c>
      <c r="F103" s="60" t="n">
        <v>2</v>
      </c>
      <c r="G103" s="60" t="inlineStr">
        <is>
          <t>B</t>
        </is>
      </c>
      <c r="H103" s="60" t="inlineStr">
        <is>
          <t>EgoAnchor</t>
        </is>
      </c>
      <c r="I103" s="60" t="inlineStr">
        <is>
          <t>P017_Mouse_S1</t>
        </is>
      </c>
      <c r="J103" s="55"/>
      <c r="K103" s="55"/>
      <c r="L103" s="55" t="inlineStr">
        <is>
          <t>No</t>
        </is>
      </c>
      <c r="M103" s="55" t="inlineStr">
        <is>
          <t>No</t>
        </is>
      </c>
      <c r="N103" s="55" t="inlineStr">
        <is>
          <t>No</t>
        </is>
      </c>
      <c r="O103" s="55" t="inlineStr">
        <is>
          <t>Pending</t>
        </is>
      </c>
      <c r="P103" s="55" t="inlineStr">
        <is>
          <t>No</t>
        </is>
      </c>
      <c r="Q103" s="55" t="inlineStr">
        <is>
          <t>Pending</t>
        </is>
      </c>
      <c r="R103" s="55" t="inlineStr">
        <is>
          <t>None</t>
        </is>
      </c>
      <c r="S103" s="87"/>
      <c r="T103" s="87"/>
      <c r="U103" s="87"/>
      <c r="V103" s="87"/>
      <c r="W103" s="87"/>
      <c r="X103" s="87"/>
      <c r="Y103" s="87"/>
      <c r="Z103" s="76"/>
    </row>
    <row r="104">
      <c r="A104" s="75" t="inlineStr">
        <is>
          <t>P017</t>
        </is>
      </c>
      <c r="B104" s="60" t="n">
        <v>5</v>
      </c>
      <c r="C104" s="60" t="n">
        <v>3</v>
      </c>
      <c r="D104" s="60" t="inlineStr">
        <is>
          <t>固定闭合订书机</t>
        </is>
      </c>
      <c r="E104" s="60" t="inlineStr">
        <is>
          <t>S1</t>
        </is>
      </c>
      <c r="F104" s="60" t="n">
        <v>1</v>
      </c>
      <c r="G104" s="60" t="inlineStr">
        <is>
          <t>A</t>
        </is>
      </c>
      <c r="H104" s="60" t="inlineStr">
        <is>
          <t>EgoAnchor</t>
        </is>
      </c>
      <c r="I104" s="60" t="inlineStr">
        <is>
          <t>P017_Stapler_S1</t>
        </is>
      </c>
      <c r="J104" s="55"/>
      <c r="K104" s="55"/>
      <c r="L104" s="55" t="inlineStr">
        <is>
          <t>No</t>
        </is>
      </c>
      <c r="M104" s="55" t="inlineStr">
        <is>
          <t>No</t>
        </is>
      </c>
      <c r="N104" s="55" t="inlineStr">
        <is>
          <t>No</t>
        </is>
      </c>
      <c r="O104" s="55" t="inlineStr">
        <is>
          <t>N/A</t>
        </is>
      </c>
      <c r="P104" s="55" t="inlineStr">
        <is>
          <t>No</t>
        </is>
      </c>
      <c r="Q104" s="55" t="inlineStr">
        <is>
          <t>Pending</t>
        </is>
      </c>
      <c r="R104" s="55" t="inlineStr">
        <is>
          <t>None</t>
        </is>
      </c>
      <c r="S104" s="87"/>
      <c r="T104" s="87"/>
      <c r="U104" s="87"/>
      <c r="V104" s="87"/>
      <c r="W104" s="87"/>
      <c r="X104" s="87"/>
      <c r="Y104" s="87"/>
      <c r="Z104" s="76"/>
    </row>
    <row r="105">
      <c r="A105" s="75" t="inlineStr">
        <is>
          <t>P017</t>
        </is>
      </c>
      <c r="B105" s="60" t="n">
        <v>5</v>
      </c>
      <c r="C105" s="60" t="n">
        <v>3</v>
      </c>
      <c r="D105" s="60" t="inlineStr">
        <is>
          <t>固定闭合订书机</t>
        </is>
      </c>
      <c r="E105" s="60" t="inlineStr">
        <is>
          <t>S1</t>
        </is>
      </c>
      <c r="F105" s="60" t="n">
        <v>2</v>
      </c>
      <c r="G105" s="60" t="inlineStr">
        <is>
          <t>B</t>
        </is>
      </c>
      <c r="H105" s="60" t="inlineStr">
        <is>
          <t>One-Euro</t>
        </is>
      </c>
      <c r="I105" s="60" t="inlineStr">
        <is>
          <t>P017_Stapler_S1</t>
        </is>
      </c>
      <c r="J105" s="55"/>
      <c r="K105" s="55"/>
      <c r="L105" s="55" t="inlineStr">
        <is>
          <t>No</t>
        </is>
      </c>
      <c r="M105" s="55" t="inlineStr">
        <is>
          <t>No</t>
        </is>
      </c>
      <c r="N105" s="55" t="inlineStr">
        <is>
          <t>No</t>
        </is>
      </c>
      <c r="O105" s="55" t="inlineStr">
        <is>
          <t>Pending</t>
        </is>
      </c>
      <c r="P105" s="55" t="inlineStr">
        <is>
          <t>No</t>
        </is>
      </c>
      <c r="Q105" s="55" t="inlineStr">
        <is>
          <t>Pending</t>
        </is>
      </c>
      <c r="R105" s="55" t="inlineStr">
        <is>
          <t>None</t>
        </is>
      </c>
      <c r="S105" s="87"/>
      <c r="T105" s="87"/>
      <c r="U105" s="87"/>
      <c r="V105" s="87"/>
      <c r="W105" s="87"/>
      <c r="X105" s="87"/>
      <c r="Y105" s="87"/>
      <c r="Z105" s="76"/>
    </row>
    <row r="106">
      <c r="A106" s="75" t="inlineStr">
        <is>
          <t>P018</t>
        </is>
      </c>
      <c r="B106" s="60" t="n">
        <v>5</v>
      </c>
      <c r="C106" s="60" t="n">
        <v>1</v>
      </c>
      <c r="D106" s="60" t="inlineStr">
        <is>
          <t>游戏手柄</t>
        </is>
      </c>
      <c r="E106" s="60" t="inlineStr">
        <is>
          <t>S1</t>
        </is>
      </c>
      <c r="F106" s="60" t="n">
        <v>1</v>
      </c>
      <c r="G106" s="60" t="inlineStr">
        <is>
          <t>A</t>
        </is>
      </c>
      <c r="H106" s="60" t="inlineStr">
        <is>
          <t>EgoAnchor</t>
        </is>
      </c>
      <c r="I106" s="60" t="inlineStr">
        <is>
          <t>P018_Gamepad_S1</t>
        </is>
      </c>
      <c r="J106" s="55"/>
      <c r="K106" s="55"/>
      <c r="L106" s="55" t="inlineStr">
        <is>
          <t>No</t>
        </is>
      </c>
      <c r="M106" s="55" t="inlineStr">
        <is>
          <t>No</t>
        </is>
      </c>
      <c r="N106" s="55" t="inlineStr">
        <is>
          <t>No</t>
        </is>
      </c>
      <c r="O106" s="55" t="inlineStr">
        <is>
          <t>N/A</t>
        </is>
      </c>
      <c r="P106" s="55" t="inlineStr">
        <is>
          <t>No</t>
        </is>
      </c>
      <c r="Q106" s="55" t="inlineStr">
        <is>
          <t>Pending</t>
        </is>
      </c>
      <c r="R106" s="55" t="inlineStr">
        <is>
          <t>None</t>
        </is>
      </c>
      <c r="S106" s="87"/>
      <c r="T106" s="87"/>
      <c r="U106" s="87"/>
      <c r="V106" s="87"/>
      <c r="W106" s="87"/>
      <c r="X106" s="87"/>
      <c r="Y106" s="87"/>
      <c r="Z106" s="76"/>
    </row>
    <row r="107">
      <c r="A107" s="75" t="inlineStr">
        <is>
          <t>P018</t>
        </is>
      </c>
      <c r="B107" s="60" t="n">
        <v>5</v>
      </c>
      <c r="C107" s="60" t="n">
        <v>1</v>
      </c>
      <c r="D107" s="60" t="inlineStr">
        <is>
          <t>游戏手柄</t>
        </is>
      </c>
      <c r="E107" s="60" t="inlineStr">
        <is>
          <t>S1</t>
        </is>
      </c>
      <c r="F107" s="60" t="n">
        <v>2</v>
      </c>
      <c r="G107" s="60" t="inlineStr">
        <is>
          <t>B</t>
        </is>
      </c>
      <c r="H107" s="60" t="inlineStr">
        <is>
          <t>One-Euro</t>
        </is>
      </c>
      <c r="I107" s="60" t="inlineStr">
        <is>
          <t>P018_Gamepad_S1</t>
        </is>
      </c>
      <c r="J107" s="55"/>
      <c r="K107" s="55"/>
      <c r="L107" s="55" t="inlineStr">
        <is>
          <t>No</t>
        </is>
      </c>
      <c r="M107" s="55" t="inlineStr">
        <is>
          <t>No</t>
        </is>
      </c>
      <c r="N107" s="55" t="inlineStr">
        <is>
          <t>No</t>
        </is>
      </c>
      <c r="O107" s="55" t="inlineStr">
        <is>
          <t>Pending</t>
        </is>
      </c>
      <c r="P107" s="55" t="inlineStr">
        <is>
          <t>No</t>
        </is>
      </c>
      <c r="Q107" s="55" t="inlineStr">
        <is>
          <t>Pending</t>
        </is>
      </c>
      <c r="R107" s="55" t="inlineStr">
        <is>
          <t>None</t>
        </is>
      </c>
      <c r="S107" s="87"/>
      <c r="T107" s="87"/>
      <c r="U107" s="87"/>
      <c r="V107" s="87"/>
      <c r="W107" s="87"/>
      <c r="X107" s="87"/>
      <c r="Y107" s="87"/>
      <c r="Z107" s="76"/>
    </row>
    <row r="108">
      <c r="A108" s="75" t="inlineStr">
        <is>
          <t>P018</t>
        </is>
      </c>
      <c r="B108" s="60" t="n">
        <v>5</v>
      </c>
      <c r="C108" s="60" t="n">
        <v>2</v>
      </c>
      <c r="D108" s="60" t="inlineStr">
        <is>
          <t>无线鼠标</t>
        </is>
      </c>
      <c r="E108" s="60" t="inlineStr">
        <is>
          <t>S1</t>
        </is>
      </c>
      <c r="F108" s="60" t="n">
        <v>1</v>
      </c>
      <c r="G108" s="60" t="inlineStr">
        <is>
          <t>A</t>
        </is>
      </c>
      <c r="H108" s="60" t="inlineStr">
        <is>
          <t>One-Euro</t>
        </is>
      </c>
      <c r="I108" s="60" t="inlineStr">
        <is>
          <t>P018_Mouse_S1</t>
        </is>
      </c>
      <c r="J108" s="55"/>
      <c r="K108" s="55"/>
      <c r="L108" s="55" t="inlineStr">
        <is>
          <t>No</t>
        </is>
      </c>
      <c r="M108" s="55" t="inlineStr">
        <is>
          <t>No</t>
        </is>
      </c>
      <c r="N108" s="55" t="inlineStr">
        <is>
          <t>No</t>
        </is>
      </c>
      <c r="O108" s="55" t="inlineStr">
        <is>
          <t>N/A</t>
        </is>
      </c>
      <c r="P108" s="55" t="inlineStr">
        <is>
          <t>No</t>
        </is>
      </c>
      <c r="Q108" s="55" t="inlineStr">
        <is>
          <t>Pending</t>
        </is>
      </c>
      <c r="R108" s="55" t="inlineStr">
        <is>
          <t>None</t>
        </is>
      </c>
      <c r="S108" s="87"/>
      <c r="T108" s="87"/>
      <c r="U108" s="87"/>
      <c r="V108" s="87"/>
      <c r="W108" s="87"/>
      <c r="X108" s="87"/>
      <c r="Y108" s="87"/>
      <c r="Z108" s="76"/>
    </row>
    <row r="109">
      <c r="A109" s="75" t="inlineStr">
        <is>
          <t>P018</t>
        </is>
      </c>
      <c r="B109" s="60" t="n">
        <v>5</v>
      </c>
      <c r="C109" s="60" t="n">
        <v>2</v>
      </c>
      <c r="D109" s="60" t="inlineStr">
        <is>
          <t>无线鼠标</t>
        </is>
      </c>
      <c r="E109" s="60" t="inlineStr">
        <is>
          <t>S1</t>
        </is>
      </c>
      <c r="F109" s="60" t="n">
        <v>2</v>
      </c>
      <c r="G109" s="60" t="inlineStr">
        <is>
          <t>B</t>
        </is>
      </c>
      <c r="H109" s="60" t="inlineStr">
        <is>
          <t>EgoAnchor</t>
        </is>
      </c>
      <c r="I109" s="60" t="inlineStr">
        <is>
          <t>P018_Mouse_S1</t>
        </is>
      </c>
      <c r="J109" s="55"/>
      <c r="K109" s="55"/>
      <c r="L109" s="55" t="inlineStr">
        <is>
          <t>No</t>
        </is>
      </c>
      <c r="M109" s="55" t="inlineStr">
        <is>
          <t>No</t>
        </is>
      </c>
      <c r="N109" s="55" t="inlineStr">
        <is>
          <t>No</t>
        </is>
      </c>
      <c r="O109" s="55" t="inlineStr">
        <is>
          <t>Pending</t>
        </is>
      </c>
      <c r="P109" s="55" t="inlineStr">
        <is>
          <t>No</t>
        </is>
      </c>
      <c r="Q109" s="55" t="inlineStr">
        <is>
          <t>Pending</t>
        </is>
      </c>
      <c r="R109" s="55" t="inlineStr">
        <is>
          <t>None</t>
        </is>
      </c>
      <c r="S109" s="87"/>
      <c r="T109" s="87"/>
      <c r="U109" s="87"/>
      <c r="V109" s="87"/>
      <c r="W109" s="87"/>
      <c r="X109" s="87"/>
      <c r="Y109" s="87"/>
      <c r="Z109" s="76"/>
    </row>
    <row r="110">
      <c r="A110" s="75" t="inlineStr">
        <is>
          <t>P018</t>
        </is>
      </c>
      <c r="B110" s="60" t="n">
        <v>5</v>
      </c>
      <c r="C110" s="60" t="n">
        <v>3</v>
      </c>
      <c r="D110" s="60" t="inlineStr">
        <is>
          <t>固定闭合订书机</t>
        </is>
      </c>
      <c r="E110" s="60" t="inlineStr">
        <is>
          <t>S1</t>
        </is>
      </c>
      <c r="F110" s="60" t="n">
        <v>1</v>
      </c>
      <c r="G110" s="60" t="inlineStr">
        <is>
          <t>A</t>
        </is>
      </c>
      <c r="H110" s="60" t="inlineStr">
        <is>
          <t>EgoAnchor</t>
        </is>
      </c>
      <c r="I110" s="60" t="inlineStr">
        <is>
          <t>P018_Stapler_S1</t>
        </is>
      </c>
      <c r="J110" s="55"/>
      <c r="K110" s="55"/>
      <c r="L110" s="55" t="inlineStr">
        <is>
          <t>No</t>
        </is>
      </c>
      <c r="M110" s="55" t="inlineStr">
        <is>
          <t>No</t>
        </is>
      </c>
      <c r="N110" s="55" t="inlineStr">
        <is>
          <t>No</t>
        </is>
      </c>
      <c r="O110" s="55" t="inlineStr">
        <is>
          <t>N/A</t>
        </is>
      </c>
      <c r="P110" s="55" t="inlineStr">
        <is>
          <t>No</t>
        </is>
      </c>
      <c r="Q110" s="55" t="inlineStr">
        <is>
          <t>Pending</t>
        </is>
      </c>
      <c r="R110" s="55" t="inlineStr">
        <is>
          <t>None</t>
        </is>
      </c>
      <c r="S110" s="87"/>
      <c r="T110" s="87"/>
      <c r="U110" s="87"/>
      <c r="V110" s="87"/>
      <c r="W110" s="87"/>
      <c r="X110" s="87"/>
      <c r="Y110" s="87"/>
      <c r="Z110" s="76"/>
    </row>
    <row r="111">
      <c r="A111" s="75" t="inlineStr">
        <is>
          <t>P018</t>
        </is>
      </c>
      <c r="B111" s="60" t="n">
        <v>5</v>
      </c>
      <c r="C111" s="60" t="n">
        <v>3</v>
      </c>
      <c r="D111" s="60" t="inlineStr">
        <is>
          <t>固定闭合订书机</t>
        </is>
      </c>
      <c r="E111" s="60" t="inlineStr">
        <is>
          <t>S1</t>
        </is>
      </c>
      <c r="F111" s="60" t="n">
        <v>2</v>
      </c>
      <c r="G111" s="60" t="inlineStr">
        <is>
          <t>B</t>
        </is>
      </c>
      <c r="H111" s="60" t="inlineStr">
        <is>
          <t>One-Euro</t>
        </is>
      </c>
      <c r="I111" s="60" t="inlineStr">
        <is>
          <t>P018_Stapler_S1</t>
        </is>
      </c>
      <c r="J111" s="55"/>
      <c r="K111" s="55"/>
      <c r="L111" s="55" t="inlineStr">
        <is>
          <t>No</t>
        </is>
      </c>
      <c r="M111" s="55" t="inlineStr">
        <is>
          <t>No</t>
        </is>
      </c>
      <c r="N111" s="55" t="inlineStr">
        <is>
          <t>No</t>
        </is>
      </c>
      <c r="O111" s="55" t="inlineStr">
        <is>
          <t>Pending</t>
        </is>
      </c>
      <c r="P111" s="55" t="inlineStr">
        <is>
          <t>No</t>
        </is>
      </c>
      <c r="Q111" s="55" t="inlineStr">
        <is>
          <t>Pending</t>
        </is>
      </c>
      <c r="R111" s="55" t="inlineStr">
        <is>
          <t>None</t>
        </is>
      </c>
      <c r="S111" s="87"/>
      <c r="T111" s="87"/>
      <c r="U111" s="87"/>
      <c r="V111" s="87"/>
      <c r="W111" s="87"/>
      <c r="X111" s="87"/>
      <c r="Y111" s="87"/>
      <c r="Z111" s="76"/>
    </row>
    <row r="112">
      <c r="A112" s="75" t="inlineStr">
        <is>
          <t>P019</t>
        </is>
      </c>
      <c r="B112" s="60" t="n">
        <v>5</v>
      </c>
      <c r="C112" s="60" t="n">
        <v>1</v>
      </c>
      <c r="D112" s="60" t="inlineStr">
        <is>
          <t>游戏手柄</t>
        </is>
      </c>
      <c r="E112" s="60" t="inlineStr">
        <is>
          <t>S2</t>
        </is>
      </c>
      <c r="F112" s="60" t="n">
        <v>1</v>
      </c>
      <c r="G112" s="60" t="inlineStr">
        <is>
          <t>A</t>
        </is>
      </c>
      <c r="H112" s="60" t="inlineStr">
        <is>
          <t>One-Euro</t>
        </is>
      </c>
      <c r="I112" s="60" t="inlineStr">
        <is>
          <t>P019_Gamepad_S1</t>
        </is>
      </c>
      <c r="J112" s="55"/>
      <c r="K112" s="55"/>
      <c r="L112" s="55" t="inlineStr">
        <is>
          <t>No</t>
        </is>
      </c>
      <c r="M112" s="55" t="inlineStr">
        <is>
          <t>No</t>
        </is>
      </c>
      <c r="N112" s="55" t="inlineStr">
        <is>
          <t>No</t>
        </is>
      </c>
      <c r="O112" s="55" t="inlineStr">
        <is>
          <t>N/A</t>
        </is>
      </c>
      <c r="P112" s="55" t="inlineStr">
        <is>
          <t>No</t>
        </is>
      </c>
      <c r="Q112" s="55" t="inlineStr">
        <is>
          <t>Pending</t>
        </is>
      </c>
      <c r="R112" s="55" t="inlineStr">
        <is>
          <t>None</t>
        </is>
      </c>
      <c r="S112" s="87"/>
      <c r="T112" s="87"/>
      <c r="U112" s="87"/>
      <c r="V112" s="87"/>
      <c r="W112" s="87"/>
      <c r="X112" s="87"/>
      <c r="Y112" s="87"/>
      <c r="Z112" s="76"/>
    </row>
    <row r="113">
      <c r="A113" s="75" t="inlineStr">
        <is>
          <t>P019</t>
        </is>
      </c>
      <c r="B113" s="60" t="n">
        <v>5</v>
      </c>
      <c r="C113" s="60" t="n">
        <v>1</v>
      </c>
      <c r="D113" s="60" t="inlineStr">
        <is>
          <t>游戏手柄</t>
        </is>
      </c>
      <c r="E113" s="60" t="inlineStr">
        <is>
          <t>S2</t>
        </is>
      </c>
      <c r="F113" s="60" t="n">
        <v>2</v>
      </c>
      <c r="G113" s="60" t="inlineStr">
        <is>
          <t>B</t>
        </is>
      </c>
      <c r="H113" s="60" t="inlineStr">
        <is>
          <t>EgoAnchor</t>
        </is>
      </c>
      <c r="I113" s="60" t="inlineStr">
        <is>
          <t>P019_Gamepad_S1</t>
        </is>
      </c>
      <c r="J113" s="55"/>
      <c r="K113" s="55"/>
      <c r="L113" s="55" t="inlineStr">
        <is>
          <t>No</t>
        </is>
      </c>
      <c r="M113" s="55" t="inlineStr">
        <is>
          <t>No</t>
        </is>
      </c>
      <c r="N113" s="55" t="inlineStr">
        <is>
          <t>No</t>
        </is>
      </c>
      <c r="O113" s="55" t="inlineStr">
        <is>
          <t>Pending</t>
        </is>
      </c>
      <c r="P113" s="55" t="inlineStr">
        <is>
          <t>No</t>
        </is>
      </c>
      <c r="Q113" s="55" t="inlineStr">
        <is>
          <t>Pending</t>
        </is>
      </c>
      <c r="R113" s="55" t="inlineStr">
        <is>
          <t>None</t>
        </is>
      </c>
      <c r="S113" s="87"/>
      <c r="T113" s="87"/>
      <c r="U113" s="87"/>
      <c r="V113" s="87"/>
      <c r="W113" s="87"/>
      <c r="X113" s="87"/>
      <c r="Y113" s="87"/>
      <c r="Z113" s="76"/>
    </row>
    <row r="114">
      <c r="A114" s="75" t="inlineStr">
        <is>
          <t>P019</t>
        </is>
      </c>
      <c r="B114" s="60" t="n">
        <v>5</v>
      </c>
      <c r="C114" s="60" t="n">
        <v>2</v>
      </c>
      <c r="D114" s="60" t="inlineStr">
        <is>
          <t>无线鼠标</t>
        </is>
      </c>
      <c r="E114" s="60" t="inlineStr">
        <is>
          <t>S2</t>
        </is>
      </c>
      <c r="F114" s="60" t="n">
        <v>1</v>
      </c>
      <c r="G114" s="60" t="inlineStr">
        <is>
          <t>A</t>
        </is>
      </c>
      <c r="H114" s="60" t="inlineStr">
        <is>
          <t>EgoAnchor</t>
        </is>
      </c>
      <c r="I114" s="60" t="inlineStr">
        <is>
          <t>P019_Mouse_S1</t>
        </is>
      </c>
      <c r="J114" s="55"/>
      <c r="K114" s="55"/>
      <c r="L114" s="55" t="inlineStr">
        <is>
          <t>No</t>
        </is>
      </c>
      <c r="M114" s="55" t="inlineStr">
        <is>
          <t>No</t>
        </is>
      </c>
      <c r="N114" s="55" t="inlineStr">
        <is>
          <t>No</t>
        </is>
      </c>
      <c r="O114" s="55" t="inlineStr">
        <is>
          <t>N/A</t>
        </is>
      </c>
      <c r="P114" s="55" t="inlineStr">
        <is>
          <t>No</t>
        </is>
      </c>
      <c r="Q114" s="55" t="inlineStr">
        <is>
          <t>Pending</t>
        </is>
      </c>
      <c r="R114" s="55" t="inlineStr">
        <is>
          <t>None</t>
        </is>
      </c>
      <c r="S114" s="87"/>
      <c r="T114" s="87"/>
      <c r="U114" s="87"/>
      <c r="V114" s="87"/>
      <c r="W114" s="87"/>
      <c r="X114" s="87"/>
      <c r="Y114" s="87"/>
      <c r="Z114" s="76"/>
    </row>
    <row r="115">
      <c r="A115" s="75" t="inlineStr">
        <is>
          <t>P019</t>
        </is>
      </c>
      <c r="B115" s="60" t="n">
        <v>5</v>
      </c>
      <c r="C115" s="60" t="n">
        <v>2</v>
      </c>
      <c r="D115" s="60" t="inlineStr">
        <is>
          <t>无线鼠标</t>
        </is>
      </c>
      <c r="E115" s="60" t="inlineStr">
        <is>
          <t>S2</t>
        </is>
      </c>
      <c r="F115" s="60" t="n">
        <v>2</v>
      </c>
      <c r="G115" s="60" t="inlineStr">
        <is>
          <t>B</t>
        </is>
      </c>
      <c r="H115" s="60" t="inlineStr">
        <is>
          <t>One-Euro</t>
        </is>
      </c>
      <c r="I115" s="60" t="inlineStr">
        <is>
          <t>P019_Mouse_S1</t>
        </is>
      </c>
      <c r="J115" s="55"/>
      <c r="K115" s="55"/>
      <c r="L115" s="55" t="inlineStr">
        <is>
          <t>No</t>
        </is>
      </c>
      <c r="M115" s="55" t="inlineStr">
        <is>
          <t>No</t>
        </is>
      </c>
      <c r="N115" s="55" t="inlineStr">
        <is>
          <t>No</t>
        </is>
      </c>
      <c r="O115" s="55" t="inlineStr">
        <is>
          <t>Pending</t>
        </is>
      </c>
      <c r="P115" s="55" t="inlineStr">
        <is>
          <t>No</t>
        </is>
      </c>
      <c r="Q115" s="55" t="inlineStr">
        <is>
          <t>Pending</t>
        </is>
      </c>
      <c r="R115" s="55" t="inlineStr">
        <is>
          <t>None</t>
        </is>
      </c>
      <c r="S115" s="87"/>
      <c r="T115" s="87"/>
      <c r="U115" s="87"/>
      <c r="V115" s="87"/>
      <c r="W115" s="87"/>
      <c r="X115" s="87"/>
      <c r="Y115" s="87"/>
      <c r="Z115" s="76"/>
    </row>
    <row r="116">
      <c r="A116" s="75" t="inlineStr">
        <is>
          <t>P019</t>
        </is>
      </c>
      <c r="B116" s="60" t="n">
        <v>5</v>
      </c>
      <c r="C116" s="60" t="n">
        <v>3</v>
      </c>
      <c r="D116" s="60" t="inlineStr">
        <is>
          <t>固定闭合订书机</t>
        </is>
      </c>
      <c r="E116" s="60" t="inlineStr">
        <is>
          <t>S2</t>
        </is>
      </c>
      <c r="F116" s="60" t="n">
        <v>1</v>
      </c>
      <c r="G116" s="60" t="inlineStr">
        <is>
          <t>A</t>
        </is>
      </c>
      <c r="H116" s="60" t="inlineStr">
        <is>
          <t>One-Euro</t>
        </is>
      </c>
      <c r="I116" s="60" t="inlineStr">
        <is>
          <t>P019_Stapler_S1</t>
        </is>
      </c>
      <c r="J116" s="55"/>
      <c r="K116" s="55"/>
      <c r="L116" s="55" t="inlineStr">
        <is>
          <t>No</t>
        </is>
      </c>
      <c r="M116" s="55" t="inlineStr">
        <is>
          <t>No</t>
        </is>
      </c>
      <c r="N116" s="55" t="inlineStr">
        <is>
          <t>No</t>
        </is>
      </c>
      <c r="O116" s="55" t="inlineStr">
        <is>
          <t>N/A</t>
        </is>
      </c>
      <c r="P116" s="55" t="inlineStr">
        <is>
          <t>No</t>
        </is>
      </c>
      <c r="Q116" s="55" t="inlineStr">
        <is>
          <t>Pending</t>
        </is>
      </c>
      <c r="R116" s="55" t="inlineStr">
        <is>
          <t>None</t>
        </is>
      </c>
      <c r="S116" s="87"/>
      <c r="T116" s="87"/>
      <c r="U116" s="87"/>
      <c r="V116" s="87"/>
      <c r="W116" s="87"/>
      <c r="X116" s="87"/>
      <c r="Y116" s="87"/>
      <c r="Z116" s="76"/>
    </row>
    <row r="117">
      <c r="A117" s="75" t="inlineStr">
        <is>
          <t>P019</t>
        </is>
      </c>
      <c r="B117" s="60" t="n">
        <v>5</v>
      </c>
      <c r="C117" s="60" t="n">
        <v>3</v>
      </c>
      <c r="D117" s="60" t="inlineStr">
        <is>
          <t>固定闭合订书机</t>
        </is>
      </c>
      <c r="E117" s="60" t="inlineStr">
        <is>
          <t>S2</t>
        </is>
      </c>
      <c r="F117" s="60" t="n">
        <v>2</v>
      </c>
      <c r="G117" s="60" t="inlineStr">
        <is>
          <t>B</t>
        </is>
      </c>
      <c r="H117" s="60" t="inlineStr">
        <is>
          <t>EgoAnchor</t>
        </is>
      </c>
      <c r="I117" s="60" t="inlineStr">
        <is>
          <t>P019_Stapler_S1</t>
        </is>
      </c>
      <c r="J117" s="55"/>
      <c r="K117" s="55"/>
      <c r="L117" s="55" t="inlineStr">
        <is>
          <t>No</t>
        </is>
      </c>
      <c r="M117" s="55" t="inlineStr">
        <is>
          <t>No</t>
        </is>
      </c>
      <c r="N117" s="55" t="inlineStr">
        <is>
          <t>No</t>
        </is>
      </c>
      <c r="O117" s="55" t="inlineStr">
        <is>
          <t>Pending</t>
        </is>
      </c>
      <c r="P117" s="55" t="inlineStr">
        <is>
          <t>No</t>
        </is>
      </c>
      <c r="Q117" s="55" t="inlineStr">
        <is>
          <t>Pending</t>
        </is>
      </c>
      <c r="R117" s="55" t="inlineStr">
        <is>
          <t>None</t>
        </is>
      </c>
      <c r="S117" s="87"/>
      <c r="T117" s="87"/>
      <c r="U117" s="87"/>
      <c r="V117" s="87"/>
      <c r="W117" s="87"/>
      <c r="X117" s="87"/>
      <c r="Y117" s="87"/>
      <c r="Z117" s="76"/>
    </row>
    <row r="118">
      <c r="A118" s="75" t="inlineStr">
        <is>
          <t>P020</t>
        </is>
      </c>
      <c r="B118" s="60" t="n">
        <v>5</v>
      </c>
      <c r="C118" s="60" t="n">
        <v>1</v>
      </c>
      <c r="D118" s="60" t="inlineStr">
        <is>
          <t>游戏手柄</t>
        </is>
      </c>
      <c r="E118" s="60" t="inlineStr">
        <is>
          <t>S2</t>
        </is>
      </c>
      <c r="F118" s="60" t="n">
        <v>1</v>
      </c>
      <c r="G118" s="60" t="inlineStr">
        <is>
          <t>A</t>
        </is>
      </c>
      <c r="H118" s="60" t="inlineStr">
        <is>
          <t>One-Euro</t>
        </is>
      </c>
      <c r="I118" s="60" t="inlineStr">
        <is>
          <t>P020_Gamepad_S1</t>
        </is>
      </c>
      <c r="J118" s="55"/>
      <c r="K118" s="55"/>
      <c r="L118" s="55" t="inlineStr">
        <is>
          <t>No</t>
        </is>
      </c>
      <c r="M118" s="55" t="inlineStr">
        <is>
          <t>No</t>
        </is>
      </c>
      <c r="N118" s="55" t="inlineStr">
        <is>
          <t>No</t>
        </is>
      </c>
      <c r="O118" s="55" t="inlineStr">
        <is>
          <t>N/A</t>
        </is>
      </c>
      <c r="P118" s="55" t="inlineStr">
        <is>
          <t>No</t>
        </is>
      </c>
      <c r="Q118" s="55" t="inlineStr">
        <is>
          <t>Pending</t>
        </is>
      </c>
      <c r="R118" s="55" t="inlineStr">
        <is>
          <t>None</t>
        </is>
      </c>
      <c r="S118" s="87"/>
      <c r="T118" s="87"/>
      <c r="U118" s="87"/>
      <c r="V118" s="87"/>
      <c r="W118" s="87"/>
      <c r="X118" s="87"/>
      <c r="Y118" s="87"/>
      <c r="Z118" s="76"/>
    </row>
    <row r="119">
      <c r="A119" s="75" t="inlineStr">
        <is>
          <t>P020</t>
        </is>
      </c>
      <c r="B119" s="60" t="n">
        <v>5</v>
      </c>
      <c r="C119" s="60" t="n">
        <v>1</v>
      </c>
      <c r="D119" s="60" t="inlineStr">
        <is>
          <t>游戏手柄</t>
        </is>
      </c>
      <c r="E119" s="60" t="inlineStr">
        <is>
          <t>S2</t>
        </is>
      </c>
      <c r="F119" s="60" t="n">
        <v>2</v>
      </c>
      <c r="G119" s="60" t="inlineStr">
        <is>
          <t>B</t>
        </is>
      </c>
      <c r="H119" s="60" t="inlineStr">
        <is>
          <t>EgoAnchor</t>
        </is>
      </c>
      <c r="I119" s="60" t="inlineStr">
        <is>
          <t>P020_Gamepad_S1</t>
        </is>
      </c>
      <c r="J119" s="55"/>
      <c r="K119" s="55"/>
      <c r="L119" s="55" t="inlineStr">
        <is>
          <t>No</t>
        </is>
      </c>
      <c r="M119" s="55" t="inlineStr">
        <is>
          <t>No</t>
        </is>
      </c>
      <c r="N119" s="55" t="inlineStr">
        <is>
          <t>No</t>
        </is>
      </c>
      <c r="O119" s="55" t="inlineStr">
        <is>
          <t>Pending</t>
        </is>
      </c>
      <c r="P119" s="55" t="inlineStr">
        <is>
          <t>No</t>
        </is>
      </c>
      <c r="Q119" s="55" t="inlineStr">
        <is>
          <t>Pending</t>
        </is>
      </c>
      <c r="R119" s="55" t="inlineStr">
        <is>
          <t>None</t>
        </is>
      </c>
      <c r="S119" s="87"/>
      <c r="T119" s="87"/>
      <c r="U119" s="87"/>
      <c r="V119" s="87"/>
      <c r="W119" s="87"/>
      <c r="X119" s="87"/>
      <c r="Y119" s="87"/>
      <c r="Z119" s="76"/>
    </row>
    <row r="120">
      <c r="A120" s="75" t="inlineStr">
        <is>
          <t>P020</t>
        </is>
      </c>
      <c r="B120" s="60" t="n">
        <v>5</v>
      </c>
      <c r="C120" s="60" t="n">
        <v>2</v>
      </c>
      <c r="D120" s="60" t="inlineStr">
        <is>
          <t>无线鼠标</t>
        </is>
      </c>
      <c r="E120" s="60" t="inlineStr">
        <is>
          <t>S2</t>
        </is>
      </c>
      <c r="F120" s="60" t="n">
        <v>1</v>
      </c>
      <c r="G120" s="60" t="inlineStr">
        <is>
          <t>A</t>
        </is>
      </c>
      <c r="H120" s="60" t="inlineStr">
        <is>
          <t>EgoAnchor</t>
        </is>
      </c>
      <c r="I120" s="60" t="inlineStr">
        <is>
          <t>P020_Mouse_S1</t>
        </is>
      </c>
      <c r="J120" s="55"/>
      <c r="K120" s="55"/>
      <c r="L120" s="55" t="inlineStr">
        <is>
          <t>No</t>
        </is>
      </c>
      <c r="M120" s="55" t="inlineStr">
        <is>
          <t>No</t>
        </is>
      </c>
      <c r="N120" s="55" t="inlineStr">
        <is>
          <t>No</t>
        </is>
      </c>
      <c r="O120" s="55" t="inlineStr">
        <is>
          <t>N/A</t>
        </is>
      </c>
      <c r="P120" s="55" t="inlineStr">
        <is>
          <t>No</t>
        </is>
      </c>
      <c r="Q120" s="55" t="inlineStr">
        <is>
          <t>Pending</t>
        </is>
      </c>
      <c r="R120" s="55" t="inlineStr">
        <is>
          <t>None</t>
        </is>
      </c>
      <c r="S120" s="87"/>
      <c r="T120" s="87"/>
      <c r="U120" s="87"/>
      <c r="V120" s="87"/>
      <c r="W120" s="87"/>
      <c r="X120" s="87"/>
      <c r="Y120" s="87"/>
      <c r="Z120" s="76"/>
    </row>
    <row r="121">
      <c r="A121" s="75" t="inlineStr">
        <is>
          <t>P020</t>
        </is>
      </c>
      <c r="B121" s="60" t="n">
        <v>5</v>
      </c>
      <c r="C121" s="60" t="n">
        <v>2</v>
      </c>
      <c r="D121" s="60" t="inlineStr">
        <is>
          <t>无线鼠标</t>
        </is>
      </c>
      <c r="E121" s="60" t="inlineStr">
        <is>
          <t>S2</t>
        </is>
      </c>
      <c r="F121" s="60" t="n">
        <v>2</v>
      </c>
      <c r="G121" s="60" t="inlineStr">
        <is>
          <t>B</t>
        </is>
      </c>
      <c r="H121" s="60" t="inlineStr">
        <is>
          <t>One-Euro</t>
        </is>
      </c>
      <c r="I121" s="60" t="inlineStr">
        <is>
          <t>P020_Mouse_S1</t>
        </is>
      </c>
      <c r="J121" s="55"/>
      <c r="K121" s="55"/>
      <c r="L121" s="55" t="inlineStr">
        <is>
          <t>No</t>
        </is>
      </c>
      <c r="M121" s="55" t="inlineStr">
        <is>
          <t>No</t>
        </is>
      </c>
      <c r="N121" s="55" t="inlineStr">
        <is>
          <t>No</t>
        </is>
      </c>
      <c r="O121" s="55" t="inlineStr">
        <is>
          <t>Pending</t>
        </is>
      </c>
      <c r="P121" s="55" t="inlineStr">
        <is>
          <t>No</t>
        </is>
      </c>
      <c r="Q121" s="55" t="inlineStr">
        <is>
          <t>Pending</t>
        </is>
      </c>
      <c r="R121" s="55" t="inlineStr">
        <is>
          <t>None</t>
        </is>
      </c>
      <c r="S121" s="87"/>
      <c r="T121" s="87"/>
      <c r="U121" s="87"/>
      <c r="V121" s="87"/>
      <c r="W121" s="87"/>
      <c r="X121" s="87"/>
      <c r="Y121" s="87"/>
      <c r="Z121" s="76"/>
    </row>
    <row r="122">
      <c r="A122" s="75" t="inlineStr">
        <is>
          <t>P020</t>
        </is>
      </c>
      <c r="B122" s="60" t="n">
        <v>5</v>
      </c>
      <c r="C122" s="60" t="n">
        <v>3</v>
      </c>
      <c r="D122" s="60" t="inlineStr">
        <is>
          <t>固定闭合订书机</t>
        </is>
      </c>
      <c r="E122" s="60" t="inlineStr">
        <is>
          <t>S2</t>
        </is>
      </c>
      <c r="F122" s="60" t="n">
        <v>1</v>
      </c>
      <c r="G122" s="60" t="inlineStr">
        <is>
          <t>A</t>
        </is>
      </c>
      <c r="H122" s="60" t="inlineStr">
        <is>
          <t>One-Euro</t>
        </is>
      </c>
      <c r="I122" s="60" t="inlineStr">
        <is>
          <t>P020_Stapler_S1</t>
        </is>
      </c>
      <c r="J122" s="55"/>
      <c r="K122" s="55"/>
      <c r="L122" s="55" t="inlineStr">
        <is>
          <t>No</t>
        </is>
      </c>
      <c r="M122" s="55" t="inlineStr">
        <is>
          <t>No</t>
        </is>
      </c>
      <c r="N122" s="55" t="inlineStr">
        <is>
          <t>No</t>
        </is>
      </c>
      <c r="O122" s="55" t="inlineStr">
        <is>
          <t>N/A</t>
        </is>
      </c>
      <c r="P122" s="55" t="inlineStr">
        <is>
          <t>No</t>
        </is>
      </c>
      <c r="Q122" s="55" t="inlineStr">
        <is>
          <t>Pending</t>
        </is>
      </c>
      <c r="R122" s="55" t="inlineStr">
        <is>
          <t>None</t>
        </is>
      </c>
      <c r="S122" s="87"/>
      <c r="T122" s="87"/>
      <c r="U122" s="87"/>
      <c r="V122" s="87"/>
      <c r="W122" s="87"/>
      <c r="X122" s="87"/>
      <c r="Y122" s="87"/>
      <c r="Z122" s="76"/>
    </row>
    <row r="123">
      <c r="A123" s="75" t="inlineStr">
        <is>
          <t>P020</t>
        </is>
      </c>
      <c r="B123" s="60" t="n">
        <v>5</v>
      </c>
      <c r="C123" s="60" t="n">
        <v>3</v>
      </c>
      <c r="D123" s="60" t="inlineStr">
        <is>
          <t>固定闭合订书机</t>
        </is>
      </c>
      <c r="E123" s="60" t="inlineStr">
        <is>
          <t>S2</t>
        </is>
      </c>
      <c r="F123" s="60" t="n">
        <v>2</v>
      </c>
      <c r="G123" s="60" t="inlineStr">
        <is>
          <t>B</t>
        </is>
      </c>
      <c r="H123" s="60" t="inlineStr">
        <is>
          <t>EgoAnchor</t>
        </is>
      </c>
      <c r="I123" s="60" t="inlineStr">
        <is>
          <t>P020_Stapler_S1</t>
        </is>
      </c>
      <c r="J123" s="55"/>
      <c r="K123" s="55"/>
      <c r="L123" s="55" t="inlineStr">
        <is>
          <t>No</t>
        </is>
      </c>
      <c r="M123" s="55" t="inlineStr">
        <is>
          <t>No</t>
        </is>
      </c>
      <c r="N123" s="55" t="inlineStr">
        <is>
          <t>No</t>
        </is>
      </c>
      <c r="O123" s="55" t="inlineStr">
        <is>
          <t>Pending</t>
        </is>
      </c>
      <c r="P123" s="55" t="inlineStr">
        <is>
          <t>No</t>
        </is>
      </c>
      <c r="Q123" s="55" t="inlineStr">
        <is>
          <t>Pending</t>
        </is>
      </c>
      <c r="R123" s="55" t="inlineStr">
        <is>
          <t>None</t>
        </is>
      </c>
      <c r="S123" s="87"/>
      <c r="T123" s="87"/>
      <c r="U123" s="87"/>
      <c r="V123" s="87"/>
      <c r="W123" s="87"/>
      <c r="X123" s="87"/>
      <c r="Y123" s="87"/>
      <c r="Z123" s="76"/>
    </row>
    <row r="124">
      <c r="A124" s="75" t="inlineStr">
        <is>
          <t>P021</t>
        </is>
      </c>
      <c r="B124" s="60" t="n">
        <v>6</v>
      </c>
      <c r="C124" s="60" t="n">
        <v>1</v>
      </c>
      <c r="D124" s="60" t="inlineStr">
        <is>
          <t>游戏手柄</t>
        </is>
      </c>
      <c r="E124" s="60" t="inlineStr">
        <is>
          <t>S1</t>
        </is>
      </c>
      <c r="F124" s="60" t="n">
        <v>1</v>
      </c>
      <c r="G124" s="60" t="inlineStr">
        <is>
          <t>A</t>
        </is>
      </c>
      <c r="H124" s="60" t="inlineStr">
        <is>
          <t>EgoAnchor</t>
        </is>
      </c>
      <c r="I124" s="60" t="inlineStr">
        <is>
          <t>P021_Gamepad_S1</t>
        </is>
      </c>
      <c r="J124" s="55"/>
      <c r="K124" s="55"/>
      <c r="L124" s="55" t="inlineStr">
        <is>
          <t>No</t>
        </is>
      </c>
      <c r="M124" s="55" t="inlineStr">
        <is>
          <t>No</t>
        </is>
      </c>
      <c r="N124" s="55" t="inlineStr">
        <is>
          <t>No</t>
        </is>
      </c>
      <c r="O124" s="55" t="inlineStr">
        <is>
          <t>N/A</t>
        </is>
      </c>
      <c r="P124" s="55" t="inlineStr">
        <is>
          <t>No</t>
        </is>
      </c>
      <c r="Q124" s="55" t="inlineStr">
        <is>
          <t>Pending</t>
        </is>
      </c>
      <c r="R124" s="55" t="inlineStr">
        <is>
          <t>None</t>
        </is>
      </c>
      <c r="S124" s="87"/>
      <c r="T124" s="87"/>
      <c r="U124" s="87"/>
      <c r="V124" s="87"/>
      <c r="W124" s="87"/>
      <c r="X124" s="87"/>
      <c r="Y124" s="87"/>
      <c r="Z124" s="76"/>
    </row>
    <row r="125">
      <c r="A125" s="75" t="inlineStr">
        <is>
          <t>P021</t>
        </is>
      </c>
      <c r="B125" s="60" t="n">
        <v>6</v>
      </c>
      <c r="C125" s="60" t="n">
        <v>1</v>
      </c>
      <c r="D125" s="60" t="inlineStr">
        <is>
          <t>游戏手柄</t>
        </is>
      </c>
      <c r="E125" s="60" t="inlineStr">
        <is>
          <t>S1</t>
        </is>
      </c>
      <c r="F125" s="60" t="n">
        <v>2</v>
      </c>
      <c r="G125" s="60" t="inlineStr">
        <is>
          <t>B</t>
        </is>
      </c>
      <c r="H125" s="60" t="inlineStr">
        <is>
          <t>One-Euro</t>
        </is>
      </c>
      <c r="I125" s="60" t="inlineStr">
        <is>
          <t>P021_Gamepad_S1</t>
        </is>
      </c>
      <c r="J125" s="55"/>
      <c r="K125" s="55"/>
      <c r="L125" s="55" t="inlineStr">
        <is>
          <t>No</t>
        </is>
      </c>
      <c r="M125" s="55" t="inlineStr">
        <is>
          <t>No</t>
        </is>
      </c>
      <c r="N125" s="55" t="inlineStr">
        <is>
          <t>No</t>
        </is>
      </c>
      <c r="O125" s="55" t="inlineStr">
        <is>
          <t>Pending</t>
        </is>
      </c>
      <c r="P125" s="55" t="inlineStr">
        <is>
          <t>No</t>
        </is>
      </c>
      <c r="Q125" s="55" t="inlineStr">
        <is>
          <t>Pending</t>
        </is>
      </c>
      <c r="R125" s="55" t="inlineStr">
        <is>
          <t>None</t>
        </is>
      </c>
      <c r="S125" s="87"/>
      <c r="T125" s="87"/>
      <c r="U125" s="87"/>
      <c r="V125" s="87"/>
      <c r="W125" s="87"/>
      <c r="X125" s="87"/>
      <c r="Y125" s="87"/>
      <c r="Z125" s="76"/>
    </row>
    <row r="126">
      <c r="A126" s="75" t="inlineStr">
        <is>
          <t>P021</t>
        </is>
      </c>
      <c r="B126" s="60" t="n">
        <v>6</v>
      </c>
      <c r="C126" s="60" t="n">
        <v>2</v>
      </c>
      <c r="D126" s="60" t="inlineStr">
        <is>
          <t>固定闭合订书机</t>
        </is>
      </c>
      <c r="E126" s="60" t="inlineStr">
        <is>
          <t>S1</t>
        </is>
      </c>
      <c r="F126" s="60" t="n">
        <v>1</v>
      </c>
      <c r="G126" s="60" t="inlineStr">
        <is>
          <t>A</t>
        </is>
      </c>
      <c r="H126" s="60" t="inlineStr">
        <is>
          <t>One-Euro</t>
        </is>
      </c>
      <c r="I126" s="60" t="inlineStr">
        <is>
          <t>P021_Stapler_S1</t>
        </is>
      </c>
      <c r="J126" s="55"/>
      <c r="K126" s="55"/>
      <c r="L126" s="55" t="inlineStr">
        <is>
          <t>No</t>
        </is>
      </c>
      <c r="M126" s="55" t="inlineStr">
        <is>
          <t>No</t>
        </is>
      </c>
      <c r="N126" s="55" t="inlineStr">
        <is>
          <t>No</t>
        </is>
      </c>
      <c r="O126" s="55" t="inlineStr">
        <is>
          <t>N/A</t>
        </is>
      </c>
      <c r="P126" s="55" t="inlineStr">
        <is>
          <t>No</t>
        </is>
      </c>
      <c r="Q126" s="55" t="inlineStr">
        <is>
          <t>Pending</t>
        </is>
      </c>
      <c r="R126" s="55" t="inlineStr">
        <is>
          <t>None</t>
        </is>
      </c>
      <c r="S126" s="87"/>
      <c r="T126" s="87"/>
      <c r="U126" s="87"/>
      <c r="V126" s="87"/>
      <c r="W126" s="87"/>
      <c r="X126" s="87"/>
      <c r="Y126" s="87"/>
      <c r="Z126" s="76"/>
    </row>
    <row r="127">
      <c r="A127" s="75" t="inlineStr">
        <is>
          <t>P021</t>
        </is>
      </c>
      <c r="B127" s="60" t="n">
        <v>6</v>
      </c>
      <c r="C127" s="60" t="n">
        <v>2</v>
      </c>
      <c r="D127" s="60" t="inlineStr">
        <is>
          <t>固定闭合订书机</t>
        </is>
      </c>
      <c r="E127" s="60" t="inlineStr">
        <is>
          <t>S1</t>
        </is>
      </c>
      <c r="F127" s="60" t="n">
        <v>2</v>
      </c>
      <c r="G127" s="60" t="inlineStr">
        <is>
          <t>B</t>
        </is>
      </c>
      <c r="H127" s="60" t="inlineStr">
        <is>
          <t>EgoAnchor</t>
        </is>
      </c>
      <c r="I127" s="60" t="inlineStr">
        <is>
          <t>P021_Stapler_S1</t>
        </is>
      </c>
      <c r="J127" s="55"/>
      <c r="K127" s="55"/>
      <c r="L127" s="55" t="inlineStr">
        <is>
          <t>No</t>
        </is>
      </c>
      <c r="M127" s="55" t="inlineStr">
        <is>
          <t>No</t>
        </is>
      </c>
      <c r="N127" s="55" t="inlineStr">
        <is>
          <t>No</t>
        </is>
      </c>
      <c r="O127" s="55" t="inlineStr">
        <is>
          <t>Pending</t>
        </is>
      </c>
      <c r="P127" s="55" t="inlineStr">
        <is>
          <t>No</t>
        </is>
      </c>
      <c r="Q127" s="55" t="inlineStr">
        <is>
          <t>Pending</t>
        </is>
      </c>
      <c r="R127" s="55" t="inlineStr">
        <is>
          <t>None</t>
        </is>
      </c>
      <c r="S127" s="87"/>
      <c r="T127" s="87"/>
      <c r="U127" s="87"/>
      <c r="V127" s="87"/>
      <c r="W127" s="87"/>
      <c r="X127" s="87"/>
      <c r="Y127" s="87"/>
      <c r="Z127" s="76"/>
    </row>
    <row r="128">
      <c r="A128" s="75" t="inlineStr">
        <is>
          <t>P021</t>
        </is>
      </c>
      <c r="B128" s="60" t="n">
        <v>6</v>
      </c>
      <c r="C128" s="60" t="n">
        <v>3</v>
      </c>
      <c r="D128" s="60" t="inlineStr">
        <is>
          <t>无线鼠标</t>
        </is>
      </c>
      <c r="E128" s="60" t="inlineStr">
        <is>
          <t>S1</t>
        </is>
      </c>
      <c r="F128" s="60" t="n">
        <v>1</v>
      </c>
      <c r="G128" s="60" t="inlineStr">
        <is>
          <t>A</t>
        </is>
      </c>
      <c r="H128" s="60" t="inlineStr">
        <is>
          <t>EgoAnchor</t>
        </is>
      </c>
      <c r="I128" s="60" t="inlineStr">
        <is>
          <t>P021_Mouse_S1</t>
        </is>
      </c>
      <c r="J128" s="55"/>
      <c r="K128" s="55"/>
      <c r="L128" s="55" t="inlineStr">
        <is>
          <t>No</t>
        </is>
      </c>
      <c r="M128" s="55" t="inlineStr">
        <is>
          <t>No</t>
        </is>
      </c>
      <c r="N128" s="55" t="inlineStr">
        <is>
          <t>No</t>
        </is>
      </c>
      <c r="O128" s="55" t="inlineStr">
        <is>
          <t>N/A</t>
        </is>
      </c>
      <c r="P128" s="55" t="inlineStr">
        <is>
          <t>No</t>
        </is>
      </c>
      <c r="Q128" s="55" t="inlineStr">
        <is>
          <t>Pending</t>
        </is>
      </c>
      <c r="R128" s="55" t="inlineStr">
        <is>
          <t>None</t>
        </is>
      </c>
      <c r="S128" s="87"/>
      <c r="T128" s="87"/>
      <c r="U128" s="87"/>
      <c r="V128" s="87"/>
      <c r="W128" s="87"/>
      <c r="X128" s="87"/>
      <c r="Y128" s="87"/>
      <c r="Z128" s="76"/>
    </row>
    <row r="129">
      <c r="A129" s="75" t="inlineStr">
        <is>
          <t>P021</t>
        </is>
      </c>
      <c r="B129" s="60" t="n">
        <v>6</v>
      </c>
      <c r="C129" s="60" t="n">
        <v>3</v>
      </c>
      <c r="D129" s="60" t="inlineStr">
        <is>
          <t>无线鼠标</t>
        </is>
      </c>
      <c r="E129" s="60" t="inlineStr">
        <is>
          <t>S1</t>
        </is>
      </c>
      <c r="F129" s="60" t="n">
        <v>2</v>
      </c>
      <c r="G129" s="60" t="inlineStr">
        <is>
          <t>B</t>
        </is>
      </c>
      <c r="H129" s="60" t="inlineStr">
        <is>
          <t>One-Euro</t>
        </is>
      </c>
      <c r="I129" s="60" t="inlineStr">
        <is>
          <t>P021_Mouse_S1</t>
        </is>
      </c>
      <c r="J129" s="55"/>
      <c r="K129" s="55"/>
      <c r="L129" s="55" t="inlineStr">
        <is>
          <t>No</t>
        </is>
      </c>
      <c r="M129" s="55" t="inlineStr">
        <is>
          <t>No</t>
        </is>
      </c>
      <c r="N129" s="55" t="inlineStr">
        <is>
          <t>No</t>
        </is>
      </c>
      <c r="O129" s="55" t="inlineStr">
        <is>
          <t>Pending</t>
        </is>
      </c>
      <c r="P129" s="55" t="inlineStr">
        <is>
          <t>No</t>
        </is>
      </c>
      <c r="Q129" s="55" t="inlineStr">
        <is>
          <t>Pending</t>
        </is>
      </c>
      <c r="R129" s="55" t="inlineStr">
        <is>
          <t>None</t>
        </is>
      </c>
      <c r="S129" s="87"/>
      <c r="T129" s="87"/>
      <c r="U129" s="87"/>
      <c r="V129" s="87"/>
      <c r="W129" s="87"/>
      <c r="X129" s="87"/>
      <c r="Y129" s="87"/>
      <c r="Z129" s="76"/>
    </row>
    <row r="130">
      <c r="A130" s="75" t="inlineStr">
        <is>
          <t>P022</t>
        </is>
      </c>
      <c r="B130" s="60" t="n">
        <v>6</v>
      </c>
      <c r="C130" s="60" t="n">
        <v>1</v>
      </c>
      <c r="D130" s="60" t="inlineStr">
        <is>
          <t>游戏手柄</t>
        </is>
      </c>
      <c r="E130" s="60" t="inlineStr">
        <is>
          <t>S1</t>
        </is>
      </c>
      <c r="F130" s="60" t="n">
        <v>1</v>
      </c>
      <c r="G130" s="60" t="inlineStr">
        <is>
          <t>A</t>
        </is>
      </c>
      <c r="H130" s="60" t="inlineStr">
        <is>
          <t>EgoAnchor</t>
        </is>
      </c>
      <c r="I130" s="60" t="inlineStr">
        <is>
          <t>P022_Gamepad_S1</t>
        </is>
      </c>
      <c r="J130" s="55"/>
      <c r="K130" s="55"/>
      <c r="L130" s="55" t="inlineStr">
        <is>
          <t>No</t>
        </is>
      </c>
      <c r="M130" s="55" t="inlineStr">
        <is>
          <t>No</t>
        </is>
      </c>
      <c r="N130" s="55" t="inlineStr">
        <is>
          <t>No</t>
        </is>
      </c>
      <c r="O130" s="55" t="inlineStr">
        <is>
          <t>N/A</t>
        </is>
      </c>
      <c r="P130" s="55" t="inlineStr">
        <is>
          <t>No</t>
        </is>
      </c>
      <c r="Q130" s="55" t="inlineStr">
        <is>
          <t>Pending</t>
        </is>
      </c>
      <c r="R130" s="55" t="inlineStr">
        <is>
          <t>None</t>
        </is>
      </c>
      <c r="S130" s="87"/>
      <c r="T130" s="87"/>
      <c r="U130" s="87"/>
      <c r="V130" s="87"/>
      <c r="W130" s="87"/>
      <c r="X130" s="87"/>
      <c r="Y130" s="87"/>
      <c r="Z130" s="76"/>
    </row>
    <row r="131">
      <c r="A131" s="75" t="inlineStr">
        <is>
          <t>P022</t>
        </is>
      </c>
      <c r="B131" s="60" t="n">
        <v>6</v>
      </c>
      <c r="C131" s="60" t="n">
        <v>1</v>
      </c>
      <c r="D131" s="60" t="inlineStr">
        <is>
          <t>游戏手柄</t>
        </is>
      </c>
      <c r="E131" s="60" t="inlineStr">
        <is>
          <t>S1</t>
        </is>
      </c>
      <c r="F131" s="60" t="n">
        <v>2</v>
      </c>
      <c r="G131" s="60" t="inlineStr">
        <is>
          <t>B</t>
        </is>
      </c>
      <c r="H131" s="60" t="inlineStr">
        <is>
          <t>One-Euro</t>
        </is>
      </c>
      <c r="I131" s="60" t="inlineStr">
        <is>
          <t>P022_Gamepad_S1</t>
        </is>
      </c>
      <c r="J131" s="55"/>
      <c r="K131" s="55"/>
      <c r="L131" s="55" t="inlineStr">
        <is>
          <t>No</t>
        </is>
      </c>
      <c r="M131" s="55" t="inlineStr">
        <is>
          <t>No</t>
        </is>
      </c>
      <c r="N131" s="55" t="inlineStr">
        <is>
          <t>No</t>
        </is>
      </c>
      <c r="O131" s="55" t="inlineStr">
        <is>
          <t>Pending</t>
        </is>
      </c>
      <c r="P131" s="55" t="inlineStr">
        <is>
          <t>No</t>
        </is>
      </c>
      <c r="Q131" s="55" t="inlineStr">
        <is>
          <t>Pending</t>
        </is>
      </c>
      <c r="R131" s="55" t="inlineStr">
        <is>
          <t>None</t>
        </is>
      </c>
      <c r="S131" s="87"/>
      <c r="T131" s="87"/>
      <c r="U131" s="87"/>
      <c r="V131" s="87"/>
      <c r="W131" s="87"/>
      <c r="X131" s="87"/>
      <c r="Y131" s="87"/>
      <c r="Z131" s="76"/>
    </row>
    <row r="132">
      <c r="A132" s="75" t="inlineStr">
        <is>
          <t>P022</t>
        </is>
      </c>
      <c r="B132" s="60" t="n">
        <v>6</v>
      </c>
      <c r="C132" s="60" t="n">
        <v>2</v>
      </c>
      <c r="D132" s="60" t="inlineStr">
        <is>
          <t>固定闭合订书机</t>
        </is>
      </c>
      <c r="E132" s="60" t="inlineStr">
        <is>
          <t>S1</t>
        </is>
      </c>
      <c r="F132" s="60" t="n">
        <v>1</v>
      </c>
      <c r="G132" s="60" t="inlineStr">
        <is>
          <t>A</t>
        </is>
      </c>
      <c r="H132" s="60" t="inlineStr">
        <is>
          <t>One-Euro</t>
        </is>
      </c>
      <c r="I132" s="60" t="inlineStr">
        <is>
          <t>P022_Stapler_S1</t>
        </is>
      </c>
      <c r="J132" s="55"/>
      <c r="K132" s="55"/>
      <c r="L132" s="55" t="inlineStr">
        <is>
          <t>No</t>
        </is>
      </c>
      <c r="M132" s="55" t="inlineStr">
        <is>
          <t>No</t>
        </is>
      </c>
      <c r="N132" s="55" t="inlineStr">
        <is>
          <t>No</t>
        </is>
      </c>
      <c r="O132" s="55" t="inlineStr">
        <is>
          <t>N/A</t>
        </is>
      </c>
      <c r="P132" s="55" t="inlineStr">
        <is>
          <t>No</t>
        </is>
      </c>
      <c r="Q132" s="55" t="inlineStr">
        <is>
          <t>Pending</t>
        </is>
      </c>
      <c r="R132" s="55" t="inlineStr">
        <is>
          <t>None</t>
        </is>
      </c>
      <c r="S132" s="87"/>
      <c r="T132" s="87"/>
      <c r="U132" s="87"/>
      <c r="V132" s="87"/>
      <c r="W132" s="87"/>
      <c r="X132" s="87"/>
      <c r="Y132" s="87"/>
      <c r="Z132" s="76"/>
    </row>
    <row r="133">
      <c r="A133" s="75" t="inlineStr">
        <is>
          <t>P022</t>
        </is>
      </c>
      <c r="B133" s="60" t="n">
        <v>6</v>
      </c>
      <c r="C133" s="60" t="n">
        <v>2</v>
      </c>
      <c r="D133" s="60" t="inlineStr">
        <is>
          <t>固定闭合订书机</t>
        </is>
      </c>
      <c r="E133" s="60" t="inlineStr">
        <is>
          <t>S1</t>
        </is>
      </c>
      <c r="F133" s="60" t="n">
        <v>2</v>
      </c>
      <c r="G133" s="60" t="inlineStr">
        <is>
          <t>B</t>
        </is>
      </c>
      <c r="H133" s="60" t="inlineStr">
        <is>
          <t>EgoAnchor</t>
        </is>
      </c>
      <c r="I133" s="60" t="inlineStr">
        <is>
          <t>P022_Stapler_S1</t>
        </is>
      </c>
      <c r="J133" s="55"/>
      <c r="K133" s="55"/>
      <c r="L133" s="55" t="inlineStr">
        <is>
          <t>No</t>
        </is>
      </c>
      <c r="M133" s="55" t="inlineStr">
        <is>
          <t>No</t>
        </is>
      </c>
      <c r="N133" s="55" t="inlineStr">
        <is>
          <t>No</t>
        </is>
      </c>
      <c r="O133" s="55" t="inlineStr">
        <is>
          <t>Pending</t>
        </is>
      </c>
      <c r="P133" s="55" t="inlineStr">
        <is>
          <t>No</t>
        </is>
      </c>
      <c r="Q133" s="55" t="inlineStr">
        <is>
          <t>Pending</t>
        </is>
      </c>
      <c r="R133" s="55" t="inlineStr">
        <is>
          <t>None</t>
        </is>
      </c>
      <c r="S133" s="87"/>
      <c r="T133" s="87"/>
      <c r="U133" s="87"/>
      <c r="V133" s="87"/>
      <c r="W133" s="87"/>
      <c r="X133" s="87"/>
      <c r="Y133" s="87"/>
      <c r="Z133" s="76"/>
    </row>
    <row r="134">
      <c r="A134" s="75" t="inlineStr">
        <is>
          <t>P022</t>
        </is>
      </c>
      <c r="B134" s="60" t="n">
        <v>6</v>
      </c>
      <c r="C134" s="60" t="n">
        <v>3</v>
      </c>
      <c r="D134" s="60" t="inlineStr">
        <is>
          <t>无线鼠标</t>
        </is>
      </c>
      <c r="E134" s="60" t="inlineStr">
        <is>
          <t>S1</t>
        </is>
      </c>
      <c r="F134" s="60" t="n">
        <v>1</v>
      </c>
      <c r="G134" s="60" t="inlineStr">
        <is>
          <t>A</t>
        </is>
      </c>
      <c r="H134" s="60" t="inlineStr">
        <is>
          <t>EgoAnchor</t>
        </is>
      </c>
      <c r="I134" s="60" t="inlineStr">
        <is>
          <t>P022_Mouse_S1</t>
        </is>
      </c>
      <c r="J134" s="55"/>
      <c r="K134" s="55"/>
      <c r="L134" s="55" t="inlineStr">
        <is>
          <t>No</t>
        </is>
      </c>
      <c r="M134" s="55" t="inlineStr">
        <is>
          <t>No</t>
        </is>
      </c>
      <c r="N134" s="55" t="inlineStr">
        <is>
          <t>No</t>
        </is>
      </c>
      <c r="O134" s="55" t="inlineStr">
        <is>
          <t>N/A</t>
        </is>
      </c>
      <c r="P134" s="55" t="inlineStr">
        <is>
          <t>No</t>
        </is>
      </c>
      <c r="Q134" s="55" t="inlineStr">
        <is>
          <t>Pending</t>
        </is>
      </c>
      <c r="R134" s="55" t="inlineStr">
        <is>
          <t>None</t>
        </is>
      </c>
      <c r="S134" s="87"/>
      <c r="T134" s="87"/>
      <c r="U134" s="87"/>
      <c r="V134" s="87"/>
      <c r="W134" s="87"/>
      <c r="X134" s="87"/>
      <c r="Y134" s="87"/>
      <c r="Z134" s="76"/>
    </row>
    <row r="135">
      <c r="A135" s="75" t="inlineStr">
        <is>
          <t>P022</t>
        </is>
      </c>
      <c r="B135" s="60" t="n">
        <v>6</v>
      </c>
      <c r="C135" s="60" t="n">
        <v>3</v>
      </c>
      <c r="D135" s="60" t="inlineStr">
        <is>
          <t>无线鼠标</t>
        </is>
      </c>
      <c r="E135" s="60" t="inlineStr">
        <is>
          <t>S1</t>
        </is>
      </c>
      <c r="F135" s="60" t="n">
        <v>2</v>
      </c>
      <c r="G135" s="60" t="inlineStr">
        <is>
          <t>B</t>
        </is>
      </c>
      <c r="H135" s="60" t="inlineStr">
        <is>
          <t>One-Euro</t>
        </is>
      </c>
      <c r="I135" s="60" t="inlineStr">
        <is>
          <t>P022_Mouse_S1</t>
        </is>
      </c>
      <c r="J135" s="55"/>
      <c r="K135" s="55"/>
      <c r="L135" s="55" t="inlineStr">
        <is>
          <t>No</t>
        </is>
      </c>
      <c r="M135" s="55" t="inlineStr">
        <is>
          <t>No</t>
        </is>
      </c>
      <c r="N135" s="55" t="inlineStr">
        <is>
          <t>No</t>
        </is>
      </c>
      <c r="O135" s="55" t="inlineStr">
        <is>
          <t>Pending</t>
        </is>
      </c>
      <c r="P135" s="55" t="inlineStr">
        <is>
          <t>No</t>
        </is>
      </c>
      <c r="Q135" s="55" t="inlineStr">
        <is>
          <t>Pending</t>
        </is>
      </c>
      <c r="R135" s="55" t="inlineStr">
        <is>
          <t>None</t>
        </is>
      </c>
      <c r="S135" s="87"/>
      <c r="T135" s="87"/>
      <c r="U135" s="87"/>
      <c r="V135" s="87"/>
      <c r="W135" s="87"/>
      <c r="X135" s="87"/>
      <c r="Y135" s="87"/>
      <c r="Z135" s="76"/>
    </row>
    <row r="136">
      <c r="A136" s="75" t="inlineStr">
        <is>
          <t>P023</t>
        </is>
      </c>
      <c r="B136" s="60" t="n">
        <v>6</v>
      </c>
      <c r="C136" s="60" t="n">
        <v>1</v>
      </c>
      <c r="D136" s="60" t="inlineStr">
        <is>
          <t>游戏手柄</t>
        </is>
      </c>
      <c r="E136" s="60" t="inlineStr">
        <is>
          <t>S2</t>
        </is>
      </c>
      <c r="F136" s="60" t="n">
        <v>1</v>
      </c>
      <c r="G136" s="60" t="inlineStr">
        <is>
          <t>A</t>
        </is>
      </c>
      <c r="H136" s="60" t="inlineStr">
        <is>
          <t>One-Euro</t>
        </is>
      </c>
      <c r="I136" s="60" t="inlineStr">
        <is>
          <t>P023_Gamepad_S1</t>
        </is>
      </c>
      <c r="J136" s="55"/>
      <c r="K136" s="55"/>
      <c r="L136" s="55" t="inlineStr">
        <is>
          <t>No</t>
        </is>
      </c>
      <c r="M136" s="55" t="inlineStr">
        <is>
          <t>No</t>
        </is>
      </c>
      <c r="N136" s="55" t="inlineStr">
        <is>
          <t>No</t>
        </is>
      </c>
      <c r="O136" s="55" t="inlineStr">
        <is>
          <t>N/A</t>
        </is>
      </c>
      <c r="P136" s="55" t="inlineStr">
        <is>
          <t>No</t>
        </is>
      </c>
      <c r="Q136" s="55" t="inlineStr">
        <is>
          <t>Pending</t>
        </is>
      </c>
      <c r="R136" s="55" t="inlineStr">
        <is>
          <t>None</t>
        </is>
      </c>
      <c r="S136" s="87"/>
      <c r="T136" s="87"/>
      <c r="U136" s="87"/>
      <c r="V136" s="87"/>
      <c r="W136" s="87"/>
      <c r="X136" s="87"/>
      <c r="Y136" s="87"/>
      <c r="Z136" s="76"/>
    </row>
    <row r="137">
      <c r="A137" s="75" t="inlineStr">
        <is>
          <t>P023</t>
        </is>
      </c>
      <c r="B137" s="60" t="n">
        <v>6</v>
      </c>
      <c r="C137" s="60" t="n">
        <v>1</v>
      </c>
      <c r="D137" s="60" t="inlineStr">
        <is>
          <t>游戏手柄</t>
        </is>
      </c>
      <c r="E137" s="60" t="inlineStr">
        <is>
          <t>S2</t>
        </is>
      </c>
      <c r="F137" s="60" t="n">
        <v>2</v>
      </c>
      <c r="G137" s="60" t="inlineStr">
        <is>
          <t>B</t>
        </is>
      </c>
      <c r="H137" s="60" t="inlineStr">
        <is>
          <t>EgoAnchor</t>
        </is>
      </c>
      <c r="I137" s="60" t="inlineStr">
        <is>
          <t>P023_Gamepad_S1</t>
        </is>
      </c>
      <c r="J137" s="55"/>
      <c r="K137" s="55"/>
      <c r="L137" s="55" t="inlineStr">
        <is>
          <t>No</t>
        </is>
      </c>
      <c r="M137" s="55" t="inlineStr">
        <is>
          <t>No</t>
        </is>
      </c>
      <c r="N137" s="55" t="inlineStr">
        <is>
          <t>No</t>
        </is>
      </c>
      <c r="O137" s="55" t="inlineStr">
        <is>
          <t>Pending</t>
        </is>
      </c>
      <c r="P137" s="55" t="inlineStr">
        <is>
          <t>No</t>
        </is>
      </c>
      <c r="Q137" s="55" t="inlineStr">
        <is>
          <t>Pending</t>
        </is>
      </c>
      <c r="R137" s="55" t="inlineStr">
        <is>
          <t>None</t>
        </is>
      </c>
      <c r="S137" s="87"/>
      <c r="T137" s="87"/>
      <c r="U137" s="87"/>
      <c r="V137" s="87"/>
      <c r="W137" s="87"/>
      <c r="X137" s="87"/>
      <c r="Y137" s="87"/>
      <c r="Z137" s="76"/>
    </row>
    <row r="138">
      <c r="A138" s="75" t="inlineStr">
        <is>
          <t>P023</t>
        </is>
      </c>
      <c r="B138" s="60" t="n">
        <v>6</v>
      </c>
      <c r="C138" s="60" t="n">
        <v>2</v>
      </c>
      <c r="D138" s="60" t="inlineStr">
        <is>
          <t>固定闭合订书机</t>
        </is>
      </c>
      <c r="E138" s="60" t="inlineStr">
        <is>
          <t>S2</t>
        </is>
      </c>
      <c r="F138" s="60" t="n">
        <v>1</v>
      </c>
      <c r="G138" s="60" t="inlineStr">
        <is>
          <t>A</t>
        </is>
      </c>
      <c r="H138" s="60" t="inlineStr">
        <is>
          <t>EgoAnchor</t>
        </is>
      </c>
      <c r="I138" s="60" t="inlineStr">
        <is>
          <t>P023_Stapler_S1</t>
        </is>
      </c>
      <c r="J138" s="55"/>
      <c r="K138" s="55"/>
      <c r="L138" s="55" t="inlineStr">
        <is>
          <t>No</t>
        </is>
      </c>
      <c r="M138" s="55" t="inlineStr">
        <is>
          <t>No</t>
        </is>
      </c>
      <c r="N138" s="55" t="inlineStr">
        <is>
          <t>No</t>
        </is>
      </c>
      <c r="O138" s="55" t="inlineStr">
        <is>
          <t>N/A</t>
        </is>
      </c>
      <c r="P138" s="55" t="inlineStr">
        <is>
          <t>No</t>
        </is>
      </c>
      <c r="Q138" s="55" t="inlineStr">
        <is>
          <t>Pending</t>
        </is>
      </c>
      <c r="R138" s="55" t="inlineStr">
        <is>
          <t>None</t>
        </is>
      </c>
      <c r="S138" s="87"/>
      <c r="T138" s="87"/>
      <c r="U138" s="87"/>
      <c r="V138" s="87"/>
      <c r="W138" s="87"/>
      <c r="X138" s="87"/>
      <c r="Y138" s="87"/>
      <c r="Z138" s="76"/>
    </row>
    <row r="139">
      <c r="A139" s="75" t="inlineStr">
        <is>
          <t>P023</t>
        </is>
      </c>
      <c r="B139" s="60" t="n">
        <v>6</v>
      </c>
      <c r="C139" s="60" t="n">
        <v>2</v>
      </c>
      <c r="D139" s="60" t="inlineStr">
        <is>
          <t>固定闭合订书机</t>
        </is>
      </c>
      <c r="E139" s="60" t="inlineStr">
        <is>
          <t>S2</t>
        </is>
      </c>
      <c r="F139" s="60" t="n">
        <v>2</v>
      </c>
      <c r="G139" s="60" t="inlineStr">
        <is>
          <t>B</t>
        </is>
      </c>
      <c r="H139" s="60" t="inlineStr">
        <is>
          <t>One-Euro</t>
        </is>
      </c>
      <c r="I139" s="60" t="inlineStr">
        <is>
          <t>P023_Stapler_S1</t>
        </is>
      </c>
      <c r="J139" s="55"/>
      <c r="K139" s="55"/>
      <c r="L139" s="55" t="inlineStr">
        <is>
          <t>No</t>
        </is>
      </c>
      <c r="M139" s="55" t="inlineStr">
        <is>
          <t>No</t>
        </is>
      </c>
      <c r="N139" s="55" t="inlineStr">
        <is>
          <t>No</t>
        </is>
      </c>
      <c r="O139" s="55" t="inlineStr">
        <is>
          <t>Pending</t>
        </is>
      </c>
      <c r="P139" s="55" t="inlineStr">
        <is>
          <t>No</t>
        </is>
      </c>
      <c r="Q139" s="55" t="inlineStr">
        <is>
          <t>Pending</t>
        </is>
      </c>
      <c r="R139" s="55" t="inlineStr">
        <is>
          <t>None</t>
        </is>
      </c>
      <c r="S139" s="87"/>
      <c r="T139" s="87"/>
      <c r="U139" s="87"/>
      <c r="V139" s="87"/>
      <c r="W139" s="87"/>
      <c r="X139" s="87"/>
      <c r="Y139" s="87"/>
      <c r="Z139" s="76"/>
    </row>
    <row r="140">
      <c r="A140" s="75" t="inlineStr">
        <is>
          <t>P023</t>
        </is>
      </c>
      <c r="B140" s="60" t="n">
        <v>6</v>
      </c>
      <c r="C140" s="60" t="n">
        <v>3</v>
      </c>
      <c r="D140" s="60" t="inlineStr">
        <is>
          <t>无线鼠标</t>
        </is>
      </c>
      <c r="E140" s="60" t="inlineStr">
        <is>
          <t>S2</t>
        </is>
      </c>
      <c r="F140" s="60" t="n">
        <v>1</v>
      </c>
      <c r="G140" s="60" t="inlineStr">
        <is>
          <t>A</t>
        </is>
      </c>
      <c r="H140" s="60" t="inlineStr">
        <is>
          <t>One-Euro</t>
        </is>
      </c>
      <c r="I140" s="60" t="inlineStr">
        <is>
          <t>P023_Mouse_S1</t>
        </is>
      </c>
      <c r="J140" s="55"/>
      <c r="K140" s="55"/>
      <c r="L140" s="55" t="inlineStr">
        <is>
          <t>No</t>
        </is>
      </c>
      <c r="M140" s="55" t="inlineStr">
        <is>
          <t>No</t>
        </is>
      </c>
      <c r="N140" s="55" t="inlineStr">
        <is>
          <t>No</t>
        </is>
      </c>
      <c r="O140" s="55" t="inlineStr">
        <is>
          <t>N/A</t>
        </is>
      </c>
      <c r="P140" s="55" t="inlineStr">
        <is>
          <t>No</t>
        </is>
      </c>
      <c r="Q140" s="55" t="inlineStr">
        <is>
          <t>Pending</t>
        </is>
      </c>
      <c r="R140" s="55" t="inlineStr">
        <is>
          <t>None</t>
        </is>
      </c>
      <c r="S140" s="87"/>
      <c r="T140" s="87"/>
      <c r="U140" s="87"/>
      <c r="V140" s="87"/>
      <c r="W140" s="87"/>
      <c r="X140" s="87"/>
      <c r="Y140" s="87"/>
      <c r="Z140" s="76"/>
    </row>
    <row r="141">
      <c r="A141" s="75" t="inlineStr">
        <is>
          <t>P023</t>
        </is>
      </c>
      <c r="B141" s="60" t="n">
        <v>6</v>
      </c>
      <c r="C141" s="60" t="n">
        <v>3</v>
      </c>
      <c r="D141" s="60" t="inlineStr">
        <is>
          <t>无线鼠标</t>
        </is>
      </c>
      <c r="E141" s="60" t="inlineStr">
        <is>
          <t>S2</t>
        </is>
      </c>
      <c r="F141" s="60" t="n">
        <v>2</v>
      </c>
      <c r="G141" s="60" t="inlineStr">
        <is>
          <t>B</t>
        </is>
      </c>
      <c r="H141" s="60" t="inlineStr">
        <is>
          <t>EgoAnchor</t>
        </is>
      </c>
      <c r="I141" s="60" t="inlineStr">
        <is>
          <t>P023_Mouse_S1</t>
        </is>
      </c>
      <c r="J141" s="55"/>
      <c r="K141" s="55"/>
      <c r="L141" s="55" t="inlineStr">
        <is>
          <t>No</t>
        </is>
      </c>
      <c r="M141" s="55" t="inlineStr">
        <is>
          <t>No</t>
        </is>
      </c>
      <c r="N141" s="55" t="inlineStr">
        <is>
          <t>No</t>
        </is>
      </c>
      <c r="O141" s="55" t="inlineStr">
        <is>
          <t>Pending</t>
        </is>
      </c>
      <c r="P141" s="55" t="inlineStr">
        <is>
          <t>No</t>
        </is>
      </c>
      <c r="Q141" s="55" t="inlineStr">
        <is>
          <t>Pending</t>
        </is>
      </c>
      <c r="R141" s="55" t="inlineStr">
        <is>
          <t>None</t>
        </is>
      </c>
      <c r="S141" s="87"/>
      <c r="T141" s="87"/>
      <c r="U141" s="87"/>
      <c r="V141" s="87"/>
      <c r="W141" s="87"/>
      <c r="X141" s="87"/>
      <c r="Y141" s="87"/>
      <c r="Z141" s="76"/>
    </row>
    <row r="142">
      <c r="A142" s="75" t="inlineStr">
        <is>
          <t>P024</t>
        </is>
      </c>
      <c r="B142" s="60" t="n">
        <v>6</v>
      </c>
      <c r="C142" s="60" t="n">
        <v>1</v>
      </c>
      <c r="D142" s="60" t="inlineStr">
        <is>
          <t>游戏手柄</t>
        </is>
      </c>
      <c r="E142" s="60" t="inlineStr">
        <is>
          <t>S2</t>
        </is>
      </c>
      <c r="F142" s="60" t="n">
        <v>1</v>
      </c>
      <c r="G142" s="60" t="inlineStr">
        <is>
          <t>A</t>
        </is>
      </c>
      <c r="H142" s="60" t="inlineStr">
        <is>
          <t>One-Euro</t>
        </is>
      </c>
      <c r="I142" s="60" t="inlineStr">
        <is>
          <t>P024_Gamepad_S1</t>
        </is>
      </c>
      <c r="J142" s="55"/>
      <c r="K142" s="55"/>
      <c r="L142" s="55" t="inlineStr">
        <is>
          <t>No</t>
        </is>
      </c>
      <c r="M142" s="55" t="inlineStr">
        <is>
          <t>No</t>
        </is>
      </c>
      <c r="N142" s="55" t="inlineStr">
        <is>
          <t>No</t>
        </is>
      </c>
      <c r="O142" s="55" t="inlineStr">
        <is>
          <t>N/A</t>
        </is>
      </c>
      <c r="P142" s="55" t="inlineStr">
        <is>
          <t>No</t>
        </is>
      </c>
      <c r="Q142" s="55" t="inlineStr">
        <is>
          <t>Pending</t>
        </is>
      </c>
      <c r="R142" s="55" t="inlineStr">
        <is>
          <t>None</t>
        </is>
      </c>
      <c r="S142" s="87"/>
      <c r="T142" s="87"/>
      <c r="U142" s="87"/>
      <c r="V142" s="87"/>
      <c r="W142" s="87"/>
      <c r="X142" s="87"/>
      <c r="Y142" s="87"/>
      <c r="Z142" s="76"/>
    </row>
    <row r="143">
      <c r="A143" s="75" t="inlineStr">
        <is>
          <t>P024</t>
        </is>
      </c>
      <c r="B143" s="60" t="n">
        <v>6</v>
      </c>
      <c r="C143" s="60" t="n">
        <v>1</v>
      </c>
      <c r="D143" s="60" t="inlineStr">
        <is>
          <t>游戏手柄</t>
        </is>
      </c>
      <c r="E143" s="60" t="inlineStr">
        <is>
          <t>S2</t>
        </is>
      </c>
      <c r="F143" s="60" t="n">
        <v>2</v>
      </c>
      <c r="G143" s="60" t="inlineStr">
        <is>
          <t>B</t>
        </is>
      </c>
      <c r="H143" s="60" t="inlineStr">
        <is>
          <t>EgoAnchor</t>
        </is>
      </c>
      <c r="I143" s="60" t="inlineStr">
        <is>
          <t>P024_Gamepad_S1</t>
        </is>
      </c>
      <c r="J143" s="55"/>
      <c r="K143" s="55"/>
      <c r="L143" s="55" t="inlineStr">
        <is>
          <t>No</t>
        </is>
      </c>
      <c r="M143" s="55" t="inlineStr">
        <is>
          <t>No</t>
        </is>
      </c>
      <c r="N143" s="55" t="inlineStr">
        <is>
          <t>No</t>
        </is>
      </c>
      <c r="O143" s="55" t="inlineStr">
        <is>
          <t>Pending</t>
        </is>
      </c>
      <c r="P143" s="55" t="inlineStr">
        <is>
          <t>No</t>
        </is>
      </c>
      <c r="Q143" s="55" t="inlineStr">
        <is>
          <t>Pending</t>
        </is>
      </c>
      <c r="R143" s="55" t="inlineStr">
        <is>
          <t>None</t>
        </is>
      </c>
      <c r="S143" s="87"/>
      <c r="T143" s="87"/>
      <c r="U143" s="87"/>
      <c r="V143" s="87"/>
      <c r="W143" s="87"/>
      <c r="X143" s="87"/>
      <c r="Y143" s="87"/>
      <c r="Z143" s="76"/>
    </row>
    <row r="144">
      <c r="A144" s="75" t="inlineStr">
        <is>
          <t>P024</t>
        </is>
      </c>
      <c r="B144" s="60" t="n">
        <v>6</v>
      </c>
      <c r="C144" s="60" t="n">
        <v>2</v>
      </c>
      <c r="D144" s="60" t="inlineStr">
        <is>
          <t>固定闭合订书机</t>
        </is>
      </c>
      <c r="E144" s="60" t="inlineStr">
        <is>
          <t>S2</t>
        </is>
      </c>
      <c r="F144" s="60" t="n">
        <v>1</v>
      </c>
      <c r="G144" s="60" t="inlineStr">
        <is>
          <t>A</t>
        </is>
      </c>
      <c r="H144" s="60" t="inlineStr">
        <is>
          <t>EgoAnchor</t>
        </is>
      </c>
      <c r="I144" s="60" t="inlineStr">
        <is>
          <t>P024_Stapler_S1</t>
        </is>
      </c>
      <c r="J144" s="55"/>
      <c r="K144" s="55"/>
      <c r="L144" s="55" t="inlineStr">
        <is>
          <t>No</t>
        </is>
      </c>
      <c r="M144" s="55" t="inlineStr">
        <is>
          <t>No</t>
        </is>
      </c>
      <c r="N144" s="55" t="inlineStr">
        <is>
          <t>No</t>
        </is>
      </c>
      <c r="O144" s="55" t="inlineStr">
        <is>
          <t>N/A</t>
        </is>
      </c>
      <c r="P144" s="55" t="inlineStr">
        <is>
          <t>No</t>
        </is>
      </c>
      <c r="Q144" s="55" t="inlineStr">
        <is>
          <t>Pending</t>
        </is>
      </c>
      <c r="R144" s="55" t="inlineStr">
        <is>
          <t>None</t>
        </is>
      </c>
      <c r="S144" s="87"/>
      <c r="T144" s="87"/>
      <c r="U144" s="87"/>
      <c r="V144" s="87"/>
      <c r="W144" s="87"/>
      <c r="X144" s="87"/>
      <c r="Y144" s="87"/>
      <c r="Z144" s="76"/>
    </row>
    <row r="145">
      <c r="A145" s="75" t="inlineStr">
        <is>
          <t>P024</t>
        </is>
      </c>
      <c r="B145" s="60" t="n">
        <v>6</v>
      </c>
      <c r="C145" s="60" t="n">
        <v>2</v>
      </c>
      <c r="D145" s="60" t="inlineStr">
        <is>
          <t>固定闭合订书机</t>
        </is>
      </c>
      <c r="E145" s="60" t="inlineStr">
        <is>
          <t>S2</t>
        </is>
      </c>
      <c r="F145" s="60" t="n">
        <v>2</v>
      </c>
      <c r="G145" s="60" t="inlineStr">
        <is>
          <t>B</t>
        </is>
      </c>
      <c r="H145" s="60" t="inlineStr">
        <is>
          <t>One-Euro</t>
        </is>
      </c>
      <c r="I145" s="60" t="inlineStr">
        <is>
          <t>P024_Stapler_S1</t>
        </is>
      </c>
      <c r="J145" s="55"/>
      <c r="K145" s="55"/>
      <c r="L145" s="55" t="inlineStr">
        <is>
          <t>No</t>
        </is>
      </c>
      <c r="M145" s="55" t="inlineStr">
        <is>
          <t>No</t>
        </is>
      </c>
      <c r="N145" s="55" t="inlineStr">
        <is>
          <t>No</t>
        </is>
      </c>
      <c r="O145" s="55" t="inlineStr">
        <is>
          <t>Pending</t>
        </is>
      </c>
      <c r="P145" s="55" t="inlineStr">
        <is>
          <t>No</t>
        </is>
      </c>
      <c r="Q145" s="55" t="inlineStr">
        <is>
          <t>Pending</t>
        </is>
      </c>
      <c r="R145" s="55" t="inlineStr">
        <is>
          <t>None</t>
        </is>
      </c>
      <c r="S145" s="87"/>
      <c r="T145" s="87"/>
      <c r="U145" s="87"/>
      <c r="V145" s="87"/>
      <c r="W145" s="87"/>
      <c r="X145" s="87"/>
      <c r="Y145" s="87"/>
      <c r="Z145" s="76"/>
    </row>
    <row r="146">
      <c r="A146" s="75" t="inlineStr">
        <is>
          <t>P024</t>
        </is>
      </c>
      <c r="B146" s="60" t="n">
        <v>6</v>
      </c>
      <c r="C146" s="60" t="n">
        <v>3</v>
      </c>
      <c r="D146" s="60" t="inlineStr">
        <is>
          <t>无线鼠标</t>
        </is>
      </c>
      <c r="E146" s="60" t="inlineStr">
        <is>
          <t>S2</t>
        </is>
      </c>
      <c r="F146" s="60" t="n">
        <v>1</v>
      </c>
      <c r="G146" s="60" t="inlineStr">
        <is>
          <t>A</t>
        </is>
      </c>
      <c r="H146" s="60" t="inlineStr">
        <is>
          <t>One-Euro</t>
        </is>
      </c>
      <c r="I146" s="60" t="inlineStr">
        <is>
          <t>P024_Mouse_S1</t>
        </is>
      </c>
      <c r="J146" s="55"/>
      <c r="K146" s="55"/>
      <c r="L146" s="55" t="inlineStr">
        <is>
          <t>No</t>
        </is>
      </c>
      <c r="M146" s="55" t="inlineStr">
        <is>
          <t>No</t>
        </is>
      </c>
      <c r="N146" s="55" t="inlineStr">
        <is>
          <t>No</t>
        </is>
      </c>
      <c r="O146" s="55" t="inlineStr">
        <is>
          <t>N/A</t>
        </is>
      </c>
      <c r="P146" s="55" t="inlineStr">
        <is>
          <t>No</t>
        </is>
      </c>
      <c r="Q146" s="55" t="inlineStr">
        <is>
          <t>Pending</t>
        </is>
      </c>
      <c r="R146" s="55" t="inlineStr">
        <is>
          <t>None</t>
        </is>
      </c>
      <c r="S146" s="87"/>
      <c r="T146" s="87"/>
      <c r="U146" s="87"/>
      <c r="V146" s="87"/>
      <c r="W146" s="87"/>
      <c r="X146" s="87"/>
      <c r="Y146" s="87"/>
      <c r="Z146" s="76"/>
    </row>
    <row r="147">
      <c r="A147" s="77" t="inlineStr">
        <is>
          <t>P024</t>
        </is>
      </c>
      <c r="B147" s="78" t="n">
        <v>6</v>
      </c>
      <c r="C147" s="78" t="n">
        <v>3</v>
      </c>
      <c r="D147" s="78" t="inlineStr">
        <is>
          <t>无线鼠标</t>
        </is>
      </c>
      <c r="E147" s="78" t="inlineStr">
        <is>
          <t>S2</t>
        </is>
      </c>
      <c r="F147" s="78" t="n">
        <v>2</v>
      </c>
      <c r="G147" s="78" t="inlineStr">
        <is>
          <t>B</t>
        </is>
      </c>
      <c r="H147" s="78" t="inlineStr">
        <is>
          <t>EgoAnchor</t>
        </is>
      </c>
      <c r="I147" s="78" t="inlineStr">
        <is>
          <t>P024_Mouse_S1</t>
        </is>
      </c>
      <c r="J147" s="79"/>
      <c r="K147" s="79"/>
      <c r="L147" s="79" t="inlineStr">
        <is>
          <t>No</t>
        </is>
      </c>
      <c r="M147" s="79" t="inlineStr">
        <is>
          <t>No</t>
        </is>
      </c>
      <c r="N147" s="79" t="inlineStr">
        <is>
          <t>No</t>
        </is>
      </c>
      <c r="O147" s="79" t="inlineStr">
        <is>
          <t>Pending</t>
        </is>
      </c>
      <c r="P147" s="79" t="inlineStr">
        <is>
          <t>No</t>
        </is>
      </c>
      <c r="Q147" s="79" t="inlineStr">
        <is>
          <t>Pending</t>
        </is>
      </c>
      <c r="R147" s="79" t="inlineStr">
        <is>
          <t>None</t>
        </is>
      </c>
      <c r="S147" s="89"/>
      <c r="T147" s="89"/>
      <c r="U147" s="89"/>
      <c r="V147" s="89"/>
      <c r="W147" s="89"/>
      <c r="X147" s="89"/>
      <c r="Y147" s="89"/>
      <c r="Z147" s="80"/>
    </row>
  </sheetData>
  <dataValidations count="6">
    <dataValidation type="whole" operator="between" allowBlank="1" showErrorMessage="1" errorTitle="Invalid rating" error="Enter an integer from 1 to 7." sqref="S4:Y147">
      <formula1>1</formula1>
      <formula2>7</formula2>
    </dataValidation>
    <dataValidation type="list" allowBlank="0" showErrorMessage="1" sqref="L4:N147">
      <formula1>"Yes,No"</formula1>
    </dataValidation>
    <dataValidation type="list" allowBlank="0" showErrorMessage="1" sqref="P4:P147">
      <formula1>"Yes,No"</formula1>
    </dataValidation>
    <dataValidation type="list" allowBlank="0" showErrorMessage="1" sqref="Q4:Q147">
      <formula1>"Pending,Yes,No"</formula1>
    </dataValidation>
    <dataValidation type="list" allowBlank="0" showErrorMessage="1" sqref="O4:O147">
      <formula1>"N/A,Pending,Yes,No"</formula1>
    </dataValidation>
    <dataValidation type="list" allowBlank="0" showErrorMessage="1" sqref="R4:R147">
      <formula1>"None,System crash,Wrong condition,Tracking failure,Protocol deviation,Participant interruption,Other"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FormatPr defaultRowHeight="15"/>
  <cols>
    <col min="1" max="1" width="16" hidden="0" customWidth="1"/>
    <col min="2" max="2" width="21" hidden="0" customWidth="1"/>
    <col min="3" max="3" width="55" hidden="0" customWidth="1"/>
    <col min="4" max="4" width="58" hidden="0" customWidth="1"/>
    <col min="5" max="5" width="21" hidden="0" customWidth="1"/>
    <col min="6" max="6" width="20" hidden="0" customWidth="1"/>
    <col min="7" max="7" width="14" hidden="0" customWidth="1"/>
    <col min="8" max="8" width="34" hidden="0" customWidth="1"/>
  </cols>
  <sheetData>
    <row r="1">
      <c r="A1" s="4" t="inlineStr">
        <is>
          <t>最终偏好、开放反馈与安全检查</t>
        </is>
      </c>
      <c r="B1" s="4"/>
      <c r="C1" s="4"/>
      <c r="D1" s="4"/>
      <c r="E1" s="4"/>
      <c r="F1" s="4"/>
      <c r="G1" s="4"/>
      <c r="H1" s="4"/>
    </row>
    <row r="3">
      <c r="A3" s="28" t="inlineStr">
        <is>
          <t>Participant_ID</t>
        </is>
      </c>
      <c r="B3" s="29" t="inlineStr">
        <is>
          <t>Final_Choice</t>
        </is>
      </c>
      <c r="C3" s="29" t="inlineStr">
        <is>
          <t>Most_Noticeable_Difference</t>
        </is>
      </c>
      <c r="D3" s="29" t="inlineStr">
        <is>
          <t>Primary_Distrust_Factor</t>
        </is>
      </c>
      <c r="E3" s="29" t="inlineStr">
        <is>
          <t>End_Discomfort</t>
        </is>
      </c>
      <c r="F3" s="29" t="inlineStr">
        <is>
          <t>Participant_Included</t>
        </is>
      </c>
      <c r="G3" s="29" t="inlineStr">
        <is>
          <t>Completed</t>
        </is>
      </c>
      <c r="H3" s="30" t="inlineStr">
        <is>
          <t>Notes</t>
        </is>
      </c>
    </row>
    <row r="4">
      <c r="A4" s="75" t="inlineStr">
        <is>
          <t>P001</t>
        </is>
      </c>
      <c r="B4" s="55"/>
      <c r="C4" s="55"/>
      <c r="D4" s="55"/>
      <c r="E4" s="55"/>
      <c r="F4" s="60" t="inlineStr">
        <is>
          <t>Yes</t>
        </is>
      </c>
      <c r="G4" s="55" t="inlineStr">
        <is>
          <t>No</t>
        </is>
      </c>
      <c r="H4" s="76"/>
    </row>
    <row r="5">
      <c r="A5" s="75" t="inlineStr">
        <is>
          <t>P002</t>
        </is>
      </c>
      <c r="B5" s="55"/>
      <c r="C5" s="55"/>
      <c r="D5" s="55"/>
      <c r="E5" s="55"/>
      <c r="F5" s="60" t="inlineStr">
        <is>
          <t>Yes</t>
        </is>
      </c>
      <c r="G5" s="55" t="inlineStr">
        <is>
          <t>No</t>
        </is>
      </c>
      <c r="H5" s="76"/>
    </row>
    <row r="6">
      <c r="A6" s="75" t="inlineStr">
        <is>
          <t>P003</t>
        </is>
      </c>
      <c r="B6" s="55"/>
      <c r="C6" s="55"/>
      <c r="D6" s="55"/>
      <c r="E6" s="55"/>
      <c r="F6" s="60" t="inlineStr">
        <is>
          <t>Yes</t>
        </is>
      </c>
      <c r="G6" s="55" t="inlineStr">
        <is>
          <t>No</t>
        </is>
      </c>
      <c r="H6" s="76"/>
    </row>
    <row r="7">
      <c r="A7" s="75" t="inlineStr">
        <is>
          <t>P004</t>
        </is>
      </c>
      <c r="B7" s="55"/>
      <c r="C7" s="55"/>
      <c r="D7" s="55"/>
      <c r="E7" s="55"/>
      <c r="F7" s="60" t="inlineStr">
        <is>
          <t>Yes</t>
        </is>
      </c>
      <c r="G7" s="55" t="inlineStr">
        <is>
          <t>No</t>
        </is>
      </c>
      <c r="H7" s="76"/>
    </row>
    <row r="8">
      <c r="A8" s="75" t="inlineStr">
        <is>
          <t>P005</t>
        </is>
      </c>
      <c r="B8" s="55"/>
      <c r="C8" s="55"/>
      <c r="D8" s="55"/>
      <c r="E8" s="55"/>
      <c r="F8" s="60" t="inlineStr">
        <is>
          <t>Yes</t>
        </is>
      </c>
      <c r="G8" s="55" t="inlineStr">
        <is>
          <t>No</t>
        </is>
      </c>
      <c r="H8" s="76"/>
    </row>
    <row r="9">
      <c r="A9" s="75" t="inlineStr">
        <is>
          <t>P006</t>
        </is>
      </c>
      <c r="B9" s="55"/>
      <c r="C9" s="55"/>
      <c r="D9" s="55"/>
      <c r="E9" s="55"/>
      <c r="F9" s="60" t="inlineStr">
        <is>
          <t>Yes</t>
        </is>
      </c>
      <c r="G9" s="55" t="inlineStr">
        <is>
          <t>No</t>
        </is>
      </c>
      <c r="H9" s="76"/>
    </row>
    <row r="10">
      <c r="A10" s="75" t="inlineStr">
        <is>
          <t>P007</t>
        </is>
      </c>
      <c r="B10" s="55"/>
      <c r="C10" s="55"/>
      <c r="D10" s="55"/>
      <c r="E10" s="55"/>
      <c r="F10" s="60" t="inlineStr">
        <is>
          <t>Yes</t>
        </is>
      </c>
      <c r="G10" s="55" t="inlineStr">
        <is>
          <t>No</t>
        </is>
      </c>
      <c r="H10" s="76"/>
    </row>
    <row r="11">
      <c r="A11" s="75" t="inlineStr">
        <is>
          <t>P008</t>
        </is>
      </c>
      <c r="B11" s="55"/>
      <c r="C11" s="55"/>
      <c r="D11" s="55"/>
      <c r="E11" s="55"/>
      <c r="F11" s="60" t="inlineStr">
        <is>
          <t>Yes</t>
        </is>
      </c>
      <c r="G11" s="55" t="inlineStr">
        <is>
          <t>No</t>
        </is>
      </c>
      <c r="H11" s="76"/>
    </row>
    <row r="12">
      <c r="A12" s="75" t="inlineStr">
        <is>
          <t>P009</t>
        </is>
      </c>
      <c r="B12" s="55"/>
      <c r="C12" s="55"/>
      <c r="D12" s="55"/>
      <c r="E12" s="55"/>
      <c r="F12" s="60" t="inlineStr">
        <is>
          <t>Yes</t>
        </is>
      </c>
      <c r="G12" s="55" t="inlineStr">
        <is>
          <t>No</t>
        </is>
      </c>
      <c r="H12" s="76"/>
    </row>
    <row r="13">
      <c r="A13" s="75" t="inlineStr">
        <is>
          <t>P010</t>
        </is>
      </c>
      <c r="B13" s="55"/>
      <c r="C13" s="55"/>
      <c r="D13" s="55"/>
      <c r="E13" s="55"/>
      <c r="F13" s="60" t="inlineStr">
        <is>
          <t>Yes</t>
        </is>
      </c>
      <c r="G13" s="55" t="inlineStr">
        <is>
          <t>No</t>
        </is>
      </c>
      <c r="H13" s="76"/>
    </row>
    <row r="14">
      <c r="A14" s="75" t="inlineStr">
        <is>
          <t>P011</t>
        </is>
      </c>
      <c r="B14" s="55"/>
      <c r="C14" s="55"/>
      <c r="D14" s="55"/>
      <c r="E14" s="55"/>
      <c r="F14" s="60" t="inlineStr">
        <is>
          <t>Yes</t>
        </is>
      </c>
      <c r="G14" s="55" t="inlineStr">
        <is>
          <t>No</t>
        </is>
      </c>
      <c r="H14" s="76"/>
    </row>
    <row r="15">
      <c r="A15" s="75" t="inlineStr">
        <is>
          <t>P012</t>
        </is>
      </c>
      <c r="B15" s="55"/>
      <c r="C15" s="55"/>
      <c r="D15" s="55"/>
      <c r="E15" s="55"/>
      <c r="F15" s="60" t="inlineStr">
        <is>
          <t>Yes</t>
        </is>
      </c>
      <c r="G15" s="55" t="inlineStr">
        <is>
          <t>No</t>
        </is>
      </c>
      <c r="H15" s="76"/>
    </row>
    <row r="16">
      <c r="A16" s="75" t="inlineStr">
        <is>
          <t>P013</t>
        </is>
      </c>
      <c r="B16" s="55"/>
      <c r="C16" s="55"/>
      <c r="D16" s="55"/>
      <c r="E16" s="55"/>
      <c r="F16" s="60" t="inlineStr">
        <is>
          <t>Yes</t>
        </is>
      </c>
      <c r="G16" s="55" t="inlineStr">
        <is>
          <t>No</t>
        </is>
      </c>
      <c r="H16" s="76"/>
    </row>
    <row r="17">
      <c r="A17" s="75" t="inlineStr">
        <is>
          <t>P014</t>
        </is>
      </c>
      <c r="B17" s="55"/>
      <c r="C17" s="55"/>
      <c r="D17" s="55"/>
      <c r="E17" s="55"/>
      <c r="F17" s="60" t="inlineStr">
        <is>
          <t>Yes</t>
        </is>
      </c>
      <c r="G17" s="55" t="inlineStr">
        <is>
          <t>No</t>
        </is>
      </c>
      <c r="H17" s="76"/>
    </row>
    <row r="18">
      <c r="A18" s="75" t="inlineStr">
        <is>
          <t>P015</t>
        </is>
      </c>
      <c r="B18" s="55"/>
      <c r="C18" s="55"/>
      <c r="D18" s="55"/>
      <c r="E18" s="55"/>
      <c r="F18" s="60" t="inlineStr">
        <is>
          <t>Yes</t>
        </is>
      </c>
      <c r="G18" s="55" t="inlineStr">
        <is>
          <t>No</t>
        </is>
      </c>
      <c r="H18" s="76"/>
    </row>
    <row r="19">
      <c r="A19" s="75" t="inlineStr">
        <is>
          <t>P016</t>
        </is>
      </c>
      <c r="B19" s="55"/>
      <c r="C19" s="55"/>
      <c r="D19" s="55"/>
      <c r="E19" s="55"/>
      <c r="F19" s="60" t="inlineStr">
        <is>
          <t>Yes</t>
        </is>
      </c>
      <c r="G19" s="55" t="inlineStr">
        <is>
          <t>No</t>
        </is>
      </c>
      <c r="H19" s="76"/>
    </row>
    <row r="20">
      <c r="A20" s="75" t="inlineStr">
        <is>
          <t>P017</t>
        </is>
      </c>
      <c r="B20" s="55"/>
      <c r="C20" s="55"/>
      <c r="D20" s="55"/>
      <c r="E20" s="55"/>
      <c r="F20" s="60" t="inlineStr">
        <is>
          <t>Yes</t>
        </is>
      </c>
      <c r="G20" s="55" t="inlineStr">
        <is>
          <t>No</t>
        </is>
      </c>
      <c r="H20" s="76"/>
    </row>
    <row r="21">
      <c r="A21" s="75" t="inlineStr">
        <is>
          <t>P018</t>
        </is>
      </c>
      <c r="B21" s="55"/>
      <c r="C21" s="55"/>
      <c r="D21" s="55"/>
      <c r="E21" s="55"/>
      <c r="F21" s="60" t="inlineStr">
        <is>
          <t>Yes</t>
        </is>
      </c>
      <c r="G21" s="55" t="inlineStr">
        <is>
          <t>No</t>
        </is>
      </c>
      <c r="H21" s="76"/>
    </row>
    <row r="22">
      <c r="A22" s="75" t="inlineStr">
        <is>
          <t>P019</t>
        </is>
      </c>
      <c r="B22" s="55"/>
      <c r="C22" s="55"/>
      <c r="D22" s="55"/>
      <c r="E22" s="55"/>
      <c r="F22" s="60" t="inlineStr">
        <is>
          <t>Yes</t>
        </is>
      </c>
      <c r="G22" s="55" t="inlineStr">
        <is>
          <t>No</t>
        </is>
      </c>
      <c r="H22" s="76"/>
    </row>
    <row r="23">
      <c r="A23" s="75" t="inlineStr">
        <is>
          <t>P020</t>
        </is>
      </c>
      <c r="B23" s="55"/>
      <c r="C23" s="55"/>
      <c r="D23" s="55"/>
      <c r="E23" s="55"/>
      <c r="F23" s="60" t="inlineStr">
        <is>
          <t>Yes</t>
        </is>
      </c>
      <c r="G23" s="55" t="inlineStr">
        <is>
          <t>No</t>
        </is>
      </c>
      <c r="H23" s="76"/>
    </row>
    <row r="24">
      <c r="A24" s="75" t="inlineStr">
        <is>
          <t>P021</t>
        </is>
      </c>
      <c r="B24" s="55"/>
      <c r="C24" s="55"/>
      <c r="D24" s="55"/>
      <c r="E24" s="55"/>
      <c r="F24" s="60" t="inlineStr">
        <is>
          <t>Yes</t>
        </is>
      </c>
      <c r="G24" s="55" t="inlineStr">
        <is>
          <t>No</t>
        </is>
      </c>
      <c r="H24" s="76"/>
    </row>
    <row r="25">
      <c r="A25" s="75" t="inlineStr">
        <is>
          <t>P022</t>
        </is>
      </c>
      <c r="B25" s="55"/>
      <c r="C25" s="55"/>
      <c r="D25" s="55"/>
      <c r="E25" s="55"/>
      <c r="F25" s="60" t="inlineStr">
        <is>
          <t>Yes</t>
        </is>
      </c>
      <c r="G25" s="55" t="inlineStr">
        <is>
          <t>No</t>
        </is>
      </c>
      <c r="H25" s="76"/>
    </row>
    <row r="26">
      <c r="A26" s="75" t="inlineStr">
        <is>
          <t>P023</t>
        </is>
      </c>
      <c r="B26" s="55"/>
      <c r="C26" s="55"/>
      <c r="D26" s="55"/>
      <c r="E26" s="55"/>
      <c r="F26" s="60" t="inlineStr">
        <is>
          <t>Yes</t>
        </is>
      </c>
      <c r="G26" s="55" t="inlineStr">
        <is>
          <t>No</t>
        </is>
      </c>
      <c r="H26" s="76"/>
    </row>
    <row r="27">
      <c r="A27" s="77" t="inlineStr">
        <is>
          <t>P024</t>
        </is>
      </c>
      <c r="B27" s="79"/>
      <c r="C27" s="79"/>
      <c r="D27" s="79"/>
      <c r="E27" s="79"/>
      <c r="F27" s="78" t="inlineStr">
        <is>
          <t>Yes</t>
        </is>
      </c>
      <c r="G27" s="79" t="inlineStr">
        <is>
          <t>No</t>
        </is>
      </c>
      <c r="H27" s="80"/>
    </row>
  </sheetData>
  <dataValidations count="3">
    <dataValidation type="list" sqref="B4:B27">
      <formula1>"EgoAnchor,One-Euro,No clear preference"</formula1>
    </dataValidation>
    <dataValidation type="list" sqref="E4:E27">
      <formula1>"None,Mild,Moderate,Marked / stopped"</formula1>
    </dataValidation>
    <dataValidation type="list" sqref="G4:G27">
      <formula1>"Yes,No"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FormatPr defaultRowHeight="15"/>
  <cols>
    <col min="1" max="1" width="16" hidden="0" customWidth="1"/>
    <col min="2" max="2" width="21" hidden="0" customWidth="1"/>
    <col min="3" max="3" width="20" hidden="0" customWidth="1"/>
    <col min="4" max="4" width="20" hidden="0" customWidth="1"/>
    <col min="5" max="5" width="16" hidden="0" customWidth="1"/>
    <col min="6" max="6" width="24" hidden="0" customWidth="1"/>
    <col min="7" max="7" width="18" hidden="0" customWidth="1"/>
    <col min="8" max="8" width="18" hidden="0" customWidth="1"/>
    <col min="9" max="9" width="17" hidden="0" customWidth="1"/>
    <col min="10" max="10" width="18" hidden="0" customWidth="1"/>
    <col min="11" max="11" width="22" hidden="0" customWidth="1"/>
    <col min="12" max="12" width="17" hidden="0" customWidth="1"/>
    <col min="13" max="13" width="22" hidden="0" customWidth="1"/>
    <col min="14" max="14" width="23" hidden="0" customWidth="1"/>
    <col min="15" max="15" width="27" hidden="0" customWidth="1"/>
    <col min="16" max="16" width="21" hidden="0" customWidth="1"/>
    <col min="17" max="17" width="20" hidden="0" customWidth="1"/>
    <col min="18" max="18" width="17" hidden="0" customWidth="1"/>
    <col min="19" max="19" width="25" hidden="0" customWidth="1"/>
    <col min="20" max="20" width="36" hidden="0" customWidth="1"/>
  </cols>
  <sheetData>
    <row r="1">
      <c r="A1" s="4" t="inlineStr">
        <is>
          <t>操纵检查与运行时审计（不作为客观绩效因变量）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3">
      <c r="A3" s="28" t="inlineStr">
        <is>
          <t>Participant_ID</t>
        </is>
      </c>
      <c r="B3" s="29" t="inlineStr">
        <is>
          <t>Object_Block_Position</t>
        </is>
      </c>
      <c r="C3" s="29" t="inlineStr">
        <is>
          <t>Object</t>
        </is>
      </c>
      <c r="D3" s="29" t="inlineStr">
        <is>
          <t>WithinObject_Period</t>
        </is>
      </c>
      <c r="E3" s="29" t="inlineStr">
        <is>
          <t>Method</t>
        </is>
      </c>
      <c r="F3" s="29" t="inlineStr">
        <is>
          <t>Python_Session_ID</t>
        </is>
      </c>
      <c r="G3" s="29" t="inlineStr">
        <is>
          <t>Launch_Time</t>
        </is>
      </c>
      <c r="H3" s="29" t="inlineStr">
        <is>
          <t>Ready_Time</t>
        </is>
      </c>
      <c r="I3" s="29" t="inlineStr">
        <is>
          <t>Calibration_OK</t>
        </is>
      </c>
      <c r="J3" s="29" t="inlineStr">
        <is>
          <t>Object_Reset_OK</t>
        </is>
      </c>
      <c r="K3" s="29" t="inlineStr">
        <is>
          <t>Anchor_State_Cleared</t>
        </is>
      </c>
      <c r="L3" s="29" t="inlineStr">
        <is>
          <t>Runtime_Crash</t>
        </is>
      </c>
      <c r="M3" s="29" t="inlineStr">
        <is>
          <t>Reinitialization_Count</t>
        </is>
      </c>
      <c r="N3" s="29" t="inlineStr">
        <is>
          <t>Tracking_Long_Failure</t>
        </is>
      </c>
      <c r="O3" s="29" t="inlineStr">
        <is>
          <t>Protocol_Deviation</t>
        </is>
      </c>
      <c r="P3" s="29" t="inlineStr">
        <is>
          <t>Occlusion_Duration_s</t>
        </is>
      </c>
      <c r="Q3" s="29" t="inlineStr">
        <is>
          <t>Questionnaire_UI_OK</t>
        </is>
      </c>
      <c r="R3" s="29" t="inlineStr">
        <is>
          <t>Condition_Valid</t>
        </is>
      </c>
      <c r="S3" s="29" t="inlineStr">
        <is>
          <t>Issue_Category</t>
        </is>
      </c>
      <c r="T3" s="30" t="inlineStr">
        <is>
          <t>Notes</t>
        </is>
      </c>
    </row>
    <row r="4">
      <c r="A4" s="75" t="inlineStr">
        <is>
          <t>P001</t>
        </is>
      </c>
      <c r="B4" s="60" t="n">
        <v>1</v>
      </c>
      <c r="C4" s="60" t="inlineStr">
        <is>
          <t>无线鼠标</t>
        </is>
      </c>
      <c r="D4" s="60" t="n">
        <v>1</v>
      </c>
      <c r="E4" s="60" t="inlineStr">
        <is>
          <t>EgoAnchor</t>
        </is>
      </c>
      <c r="F4" s="60" t="inlineStr">
        <is>
          <t>P001_Mouse_S1</t>
        </is>
      </c>
      <c r="G4" s="55"/>
      <c r="H4" s="55"/>
      <c r="I4" s="55" t="inlineStr">
        <is>
          <t>Pending</t>
        </is>
      </c>
      <c r="J4" s="55" t="inlineStr">
        <is>
          <t>Pending</t>
        </is>
      </c>
      <c r="K4" s="55" t="inlineStr">
        <is>
          <t>N/A</t>
        </is>
      </c>
      <c r="L4" s="55" t="inlineStr">
        <is>
          <t>No</t>
        </is>
      </c>
      <c r="M4" s="55" t="n">
        <v>0</v>
      </c>
      <c r="N4" s="55" t="inlineStr">
        <is>
          <t>No</t>
        </is>
      </c>
      <c r="O4" s="55" t="inlineStr">
        <is>
          <t>None</t>
        </is>
      </c>
      <c r="P4" s="55"/>
      <c r="Q4" s="55" t="inlineStr">
        <is>
          <t>Pending</t>
        </is>
      </c>
      <c r="R4" s="55" t="inlineStr">
        <is>
          <t>Pending</t>
        </is>
      </c>
      <c r="S4" s="55" t="inlineStr">
        <is>
          <t>None</t>
        </is>
      </c>
      <c r="T4" s="76"/>
    </row>
    <row r="5">
      <c r="A5" s="75" t="inlineStr">
        <is>
          <t>P001</t>
        </is>
      </c>
      <c r="B5" s="60" t="n">
        <v>1</v>
      </c>
      <c r="C5" s="60" t="inlineStr">
        <is>
          <t>无线鼠标</t>
        </is>
      </c>
      <c r="D5" s="60" t="n">
        <v>2</v>
      </c>
      <c r="E5" s="60" t="inlineStr">
        <is>
          <t>One-Euro</t>
        </is>
      </c>
      <c r="F5" s="60" t="inlineStr">
        <is>
          <t>P001_Mouse_S1</t>
        </is>
      </c>
      <c r="G5" s="55"/>
      <c r="H5" s="55"/>
      <c r="I5" s="55" t="inlineStr">
        <is>
          <t>Pending</t>
        </is>
      </c>
      <c r="J5" s="55" t="inlineStr">
        <is>
          <t>Pending</t>
        </is>
      </c>
      <c r="K5" s="55" t="inlineStr">
        <is>
          <t>Pending</t>
        </is>
      </c>
      <c r="L5" s="55" t="inlineStr">
        <is>
          <t>No</t>
        </is>
      </c>
      <c r="M5" s="55" t="n">
        <v>0</v>
      </c>
      <c r="N5" s="55" t="inlineStr">
        <is>
          <t>No</t>
        </is>
      </c>
      <c r="O5" s="55" t="inlineStr">
        <is>
          <t>None</t>
        </is>
      </c>
      <c r="P5" s="55"/>
      <c r="Q5" s="55" t="inlineStr">
        <is>
          <t>Pending</t>
        </is>
      </c>
      <c r="R5" s="55" t="inlineStr">
        <is>
          <t>Pending</t>
        </is>
      </c>
      <c r="S5" s="55" t="inlineStr">
        <is>
          <t>None</t>
        </is>
      </c>
      <c r="T5" s="76"/>
    </row>
    <row r="6">
      <c r="A6" s="75" t="inlineStr">
        <is>
          <t>P001</t>
        </is>
      </c>
      <c r="B6" s="60" t="n">
        <v>2</v>
      </c>
      <c r="C6" s="60" t="inlineStr">
        <is>
          <t>固定闭合订书机</t>
        </is>
      </c>
      <c r="D6" s="60" t="n">
        <v>1</v>
      </c>
      <c r="E6" s="60" t="inlineStr">
        <is>
          <t>One-Euro</t>
        </is>
      </c>
      <c r="F6" s="60" t="inlineStr">
        <is>
          <t>P001_Stapler_S1</t>
        </is>
      </c>
      <c r="G6" s="55"/>
      <c r="H6" s="55"/>
      <c r="I6" s="55" t="inlineStr">
        <is>
          <t>Pending</t>
        </is>
      </c>
      <c r="J6" s="55" t="inlineStr">
        <is>
          <t>Pending</t>
        </is>
      </c>
      <c r="K6" s="55" t="inlineStr">
        <is>
          <t>N/A</t>
        </is>
      </c>
      <c r="L6" s="55" t="inlineStr">
        <is>
          <t>No</t>
        </is>
      </c>
      <c r="M6" s="55" t="n">
        <v>0</v>
      </c>
      <c r="N6" s="55" t="inlineStr">
        <is>
          <t>No</t>
        </is>
      </c>
      <c r="O6" s="55" t="inlineStr">
        <is>
          <t>None</t>
        </is>
      </c>
      <c r="P6" s="55"/>
      <c r="Q6" s="55" t="inlineStr">
        <is>
          <t>Pending</t>
        </is>
      </c>
      <c r="R6" s="55" t="inlineStr">
        <is>
          <t>Pending</t>
        </is>
      </c>
      <c r="S6" s="55" t="inlineStr">
        <is>
          <t>None</t>
        </is>
      </c>
      <c r="T6" s="76"/>
    </row>
    <row r="7">
      <c r="A7" s="75" t="inlineStr">
        <is>
          <t>P001</t>
        </is>
      </c>
      <c r="B7" s="60" t="n">
        <v>2</v>
      </c>
      <c r="C7" s="60" t="inlineStr">
        <is>
          <t>固定闭合订书机</t>
        </is>
      </c>
      <c r="D7" s="60" t="n">
        <v>2</v>
      </c>
      <c r="E7" s="60" t="inlineStr">
        <is>
          <t>EgoAnchor</t>
        </is>
      </c>
      <c r="F7" s="60" t="inlineStr">
        <is>
          <t>P001_Stapler_S1</t>
        </is>
      </c>
      <c r="G7" s="55"/>
      <c r="H7" s="55"/>
      <c r="I7" s="55" t="inlineStr">
        <is>
          <t>Pending</t>
        </is>
      </c>
      <c r="J7" s="55" t="inlineStr">
        <is>
          <t>Pending</t>
        </is>
      </c>
      <c r="K7" s="55" t="inlineStr">
        <is>
          <t>Pending</t>
        </is>
      </c>
      <c r="L7" s="55" t="inlineStr">
        <is>
          <t>No</t>
        </is>
      </c>
      <c r="M7" s="55" t="n">
        <v>0</v>
      </c>
      <c r="N7" s="55" t="inlineStr">
        <is>
          <t>No</t>
        </is>
      </c>
      <c r="O7" s="55" t="inlineStr">
        <is>
          <t>None</t>
        </is>
      </c>
      <c r="P7" s="55"/>
      <c r="Q7" s="55" t="inlineStr">
        <is>
          <t>Pending</t>
        </is>
      </c>
      <c r="R7" s="55" t="inlineStr">
        <is>
          <t>Pending</t>
        </is>
      </c>
      <c r="S7" s="55" t="inlineStr">
        <is>
          <t>None</t>
        </is>
      </c>
      <c r="T7" s="76"/>
    </row>
    <row r="8">
      <c r="A8" s="75" t="inlineStr">
        <is>
          <t>P001</t>
        </is>
      </c>
      <c r="B8" s="60" t="n">
        <v>3</v>
      </c>
      <c r="C8" s="60" t="inlineStr">
        <is>
          <t>游戏手柄</t>
        </is>
      </c>
      <c r="D8" s="60" t="n">
        <v>1</v>
      </c>
      <c r="E8" s="60" t="inlineStr">
        <is>
          <t>EgoAnchor</t>
        </is>
      </c>
      <c r="F8" s="60" t="inlineStr">
        <is>
          <t>P001_Gamepad_S1</t>
        </is>
      </c>
      <c r="G8" s="55"/>
      <c r="H8" s="55"/>
      <c r="I8" s="55" t="inlineStr">
        <is>
          <t>Pending</t>
        </is>
      </c>
      <c r="J8" s="55" t="inlineStr">
        <is>
          <t>Pending</t>
        </is>
      </c>
      <c r="K8" s="55" t="inlineStr">
        <is>
          <t>N/A</t>
        </is>
      </c>
      <c r="L8" s="55" t="inlineStr">
        <is>
          <t>No</t>
        </is>
      </c>
      <c r="M8" s="55" t="n">
        <v>0</v>
      </c>
      <c r="N8" s="55" t="inlineStr">
        <is>
          <t>No</t>
        </is>
      </c>
      <c r="O8" s="55" t="inlineStr">
        <is>
          <t>None</t>
        </is>
      </c>
      <c r="P8" s="55"/>
      <c r="Q8" s="55" t="inlineStr">
        <is>
          <t>Pending</t>
        </is>
      </c>
      <c r="R8" s="55" t="inlineStr">
        <is>
          <t>Pending</t>
        </is>
      </c>
      <c r="S8" s="55" t="inlineStr">
        <is>
          <t>None</t>
        </is>
      </c>
      <c r="T8" s="76"/>
    </row>
    <row r="9">
      <c r="A9" s="75" t="inlineStr">
        <is>
          <t>P001</t>
        </is>
      </c>
      <c r="B9" s="60" t="n">
        <v>3</v>
      </c>
      <c r="C9" s="60" t="inlineStr">
        <is>
          <t>游戏手柄</t>
        </is>
      </c>
      <c r="D9" s="60" t="n">
        <v>2</v>
      </c>
      <c r="E9" s="60" t="inlineStr">
        <is>
          <t>One-Euro</t>
        </is>
      </c>
      <c r="F9" s="60" t="inlineStr">
        <is>
          <t>P001_Gamepad_S1</t>
        </is>
      </c>
      <c r="G9" s="55"/>
      <c r="H9" s="55"/>
      <c r="I9" s="55" t="inlineStr">
        <is>
          <t>Pending</t>
        </is>
      </c>
      <c r="J9" s="55" t="inlineStr">
        <is>
          <t>Pending</t>
        </is>
      </c>
      <c r="K9" s="55" t="inlineStr">
        <is>
          <t>Pending</t>
        </is>
      </c>
      <c r="L9" s="55" t="inlineStr">
        <is>
          <t>No</t>
        </is>
      </c>
      <c r="M9" s="55" t="n">
        <v>0</v>
      </c>
      <c r="N9" s="55" t="inlineStr">
        <is>
          <t>No</t>
        </is>
      </c>
      <c r="O9" s="55" t="inlineStr">
        <is>
          <t>None</t>
        </is>
      </c>
      <c r="P9" s="55"/>
      <c r="Q9" s="55" t="inlineStr">
        <is>
          <t>Pending</t>
        </is>
      </c>
      <c r="R9" s="55" t="inlineStr">
        <is>
          <t>Pending</t>
        </is>
      </c>
      <c r="S9" s="55" t="inlineStr">
        <is>
          <t>None</t>
        </is>
      </c>
      <c r="T9" s="76"/>
    </row>
    <row r="10">
      <c r="A10" s="75" t="inlineStr">
        <is>
          <t>P002</t>
        </is>
      </c>
      <c r="B10" s="60" t="n">
        <v>1</v>
      </c>
      <c r="C10" s="60" t="inlineStr">
        <is>
          <t>无线鼠标</t>
        </is>
      </c>
      <c r="D10" s="60" t="n">
        <v>1</v>
      </c>
      <c r="E10" s="60" t="inlineStr">
        <is>
          <t>EgoAnchor</t>
        </is>
      </c>
      <c r="F10" s="60" t="inlineStr">
        <is>
          <t>P002_Mouse_S1</t>
        </is>
      </c>
      <c r="G10" s="55"/>
      <c r="H10" s="55"/>
      <c r="I10" s="55" t="inlineStr">
        <is>
          <t>Pending</t>
        </is>
      </c>
      <c r="J10" s="55" t="inlineStr">
        <is>
          <t>Pending</t>
        </is>
      </c>
      <c r="K10" s="55" t="inlineStr">
        <is>
          <t>N/A</t>
        </is>
      </c>
      <c r="L10" s="55" t="inlineStr">
        <is>
          <t>No</t>
        </is>
      </c>
      <c r="M10" s="55" t="n">
        <v>0</v>
      </c>
      <c r="N10" s="55" t="inlineStr">
        <is>
          <t>No</t>
        </is>
      </c>
      <c r="O10" s="55" t="inlineStr">
        <is>
          <t>None</t>
        </is>
      </c>
      <c r="P10" s="55"/>
      <c r="Q10" s="55" t="inlineStr">
        <is>
          <t>Pending</t>
        </is>
      </c>
      <c r="R10" s="55" t="inlineStr">
        <is>
          <t>Pending</t>
        </is>
      </c>
      <c r="S10" s="55" t="inlineStr">
        <is>
          <t>None</t>
        </is>
      </c>
      <c r="T10" s="76"/>
    </row>
    <row r="11">
      <c r="A11" s="75" t="inlineStr">
        <is>
          <t>P002</t>
        </is>
      </c>
      <c r="B11" s="60" t="n">
        <v>1</v>
      </c>
      <c r="C11" s="60" t="inlineStr">
        <is>
          <t>无线鼠标</t>
        </is>
      </c>
      <c r="D11" s="60" t="n">
        <v>2</v>
      </c>
      <c r="E11" s="60" t="inlineStr">
        <is>
          <t>One-Euro</t>
        </is>
      </c>
      <c r="F11" s="60" t="inlineStr">
        <is>
          <t>P002_Mouse_S1</t>
        </is>
      </c>
      <c r="G11" s="55"/>
      <c r="H11" s="55"/>
      <c r="I11" s="55" t="inlineStr">
        <is>
          <t>Pending</t>
        </is>
      </c>
      <c r="J11" s="55" t="inlineStr">
        <is>
          <t>Pending</t>
        </is>
      </c>
      <c r="K11" s="55" t="inlineStr">
        <is>
          <t>Pending</t>
        </is>
      </c>
      <c r="L11" s="55" t="inlineStr">
        <is>
          <t>No</t>
        </is>
      </c>
      <c r="M11" s="55" t="n">
        <v>0</v>
      </c>
      <c r="N11" s="55" t="inlineStr">
        <is>
          <t>No</t>
        </is>
      </c>
      <c r="O11" s="55" t="inlineStr">
        <is>
          <t>None</t>
        </is>
      </c>
      <c r="P11" s="55"/>
      <c r="Q11" s="55" t="inlineStr">
        <is>
          <t>Pending</t>
        </is>
      </c>
      <c r="R11" s="55" t="inlineStr">
        <is>
          <t>Pending</t>
        </is>
      </c>
      <c r="S11" s="55" t="inlineStr">
        <is>
          <t>None</t>
        </is>
      </c>
      <c r="T11" s="76"/>
    </row>
    <row r="12">
      <c r="A12" s="75" t="inlineStr">
        <is>
          <t>P002</t>
        </is>
      </c>
      <c r="B12" s="60" t="n">
        <v>2</v>
      </c>
      <c r="C12" s="60" t="inlineStr">
        <is>
          <t>固定闭合订书机</t>
        </is>
      </c>
      <c r="D12" s="60" t="n">
        <v>1</v>
      </c>
      <c r="E12" s="60" t="inlineStr">
        <is>
          <t>One-Euro</t>
        </is>
      </c>
      <c r="F12" s="60" t="inlineStr">
        <is>
          <t>P002_Stapler_S1</t>
        </is>
      </c>
      <c r="G12" s="55"/>
      <c r="H12" s="55"/>
      <c r="I12" s="55" t="inlineStr">
        <is>
          <t>Pending</t>
        </is>
      </c>
      <c r="J12" s="55" t="inlineStr">
        <is>
          <t>Pending</t>
        </is>
      </c>
      <c r="K12" s="55" t="inlineStr">
        <is>
          <t>N/A</t>
        </is>
      </c>
      <c r="L12" s="55" t="inlineStr">
        <is>
          <t>No</t>
        </is>
      </c>
      <c r="M12" s="55" t="n">
        <v>0</v>
      </c>
      <c r="N12" s="55" t="inlineStr">
        <is>
          <t>No</t>
        </is>
      </c>
      <c r="O12" s="55" t="inlineStr">
        <is>
          <t>None</t>
        </is>
      </c>
      <c r="P12" s="55"/>
      <c r="Q12" s="55" t="inlineStr">
        <is>
          <t>Pending</t>
        </is>
      </c>
      <c r="R12" s="55" t="inlineStr">
        <is>
          <t>Pending</t>
        </is>
      </c>
      <c r="S12" s="55" t="inlineStr">
        <is>
          <t>None</t>
        </is>
      </c>
      <c r="T12" s="76"/>
    </row>
    <row r="13">
      <c r="A13" s="75" t="inlineStr">
        <is>
          <t>P002</t>
        </is>
      </c>
      <c r="B13" s="60" t="n">
        <v>2</v>
      </c>
      <c r="C13" s="60" t="inlineStr">
        <is>
          <t>固定闭合订书机</t>
        </is>
      </c>
      <c r="D13" s="60" t="n">
        <v>2</v>
      </c>
      <c r="E13" s="60" t="inlineStr">
        <is>
          <t>EgoAnchor</t>
        </is>
      </c>
      <c r="F13" s="60" t="inlineStr">
        <is>
          <t>P002_Stapler_S1</t>
        </is>
      </c>
      <c r="G13" s="55"/>
      <c r="H13" s="55"/>
      <c r="I13" s="55" t="inlineStr">
        <is>
          <t>Pending</t>
        </is>
      </c>
      <c r="J13" s="55" t="inlineStr">
        <is>
          <t>Pending</t>
        </is>
      </c>
      <c r="K13" s="55" t="inlineStr">
        <is>
          <t>Pending</t>
        </is>
      </c>
      <c r="L13" s="55" t="inlineStr">
        <is>
          <t>No</t>
        </is>
      </c>
      <c r="M13" s="55" t="n">
        <v>0</v>
      </c>
      <c r="N13" s="55" t="inlineStr">
        <is>
          <t>No</t>
        </is>
      </c>
      <c r="O13" s="55" t="inlineStr">
        <is>
          <t>None</t>
        </is>
      </c>
      <c r="P13" s="55"/>
      <c r="Q13" s="55" t="inlineStr">
        <is>
          <t>Pending</t>
        </is>
      </c>
      <c r="R13" s="55" t="inlineStr">
        <is>
          <t>Pending</t>
        </is>
      </c>
      <c r="S13" s="55" t="inlineStr">
        <is>
          <t>None</t>
        </is>
      </c>
      <c r="T13" s="76"/>
    </row>
    <row r="14">
      <c r="A14" s="75" t="inlineStr">
        <is>
          <t>P002</t>
        </is>
      </c>
      <c r="B14" s="60" t="n">
        <v>3</v>
      </c>
      <c r="C14" s="60" t="inlineStr">
        <is>
          <t>游戏手柄</t>
        </is>
      </c>
      <c r="D14" s="60" t="n">
        <v>1</v>
      </c>
      <c r="E14" s="60" t="inlineStr">
        <is>
          <t>EgoAnchor</t>
        </is>
      </c>
      <c r="F14" s="60" t="inlineStr">
        <is>
          <t>P002_Gamepad_S1</t>
        </is>
      </c>
      <c r="G14" s="55"/>
      <c r="H14" s="55"/>
      <c r="I14" s="55" t="inlineStr">
        <is>
          <t>Pending</t>
        </is>
      </c>
      <c r="J14" s="55" t="inlineStr">
        <is>
          <t>Pending</t>
        </is>
      </c>
      <c r="K14" s="55" t="inlineStr">
        <is>
          <t>N/A</t>
        </is>
      </c>
      <c r="L14" s="55" t="inlineStr">
        <is>
          <t>No</t>
        </is>
      </c>
      <c r="M14" s="55" t="n">
        <v>0</v>
      </c>
      <c r="N14" s="55" t="inlineStr">
        <is>
          <t>No</t>
        </is>
      </c>
      <c r="O14" s="55" t="inlineStr">
        <is>
          <t>None</t>
        </is>
      </c>
      <c r="P14" s="55"/>
      <c r="Q14" s="55" t="inlineStr">
        <is>
          <t>Pending</t>
        </is>
      </c>
      <c r="R14" s="55" t="inlineStr">
        <is>
          <t>Pending</t>
        </is>
      </c>
      <c r="S14" s="55" t="inlineStr">
        <is>
          <t>None</t>
        </is>
      </c>
      <c r="T14" s="76"/>
    </row>
    <row r="15">
      <c r="A15" s="75" t="inlineStr">
        <is>
          <t>P002</t>
        </is>
      </c>
      <c r="B15" s="60" t="n">
        <v>3</v>
      </c>
      <c r="C15" s="60" t="inlineStr">
        <is>
          <t>游戏手柄</t>
        </is>
      </c>
      <c r="D15" s="60" t="n">
        <v>2</v>
      </c>
      <c r="E15" s="60" t="inlineStr">
        <is>
          <t>One-Euro</t>
        </is>
      </c>
      <c r="F15" s="60" t="inlineStr">
        <is>
          <t>P002_Gamepad_S1</t>
        </is>
      </c>
      <c r="G15" s="55"/>
      <c r="H15" s="55"/>
      <c r="I15" s="55" t="inlineStr">
        <is>
          <t>Pending</t>
        </is>
      </c>
      <c r="J15" s="55" t="inlineStr">
        <is>
          <t>Pending</t>
        </is>
      </c>
      <c r="K15" s="55" t="inlineStr">
        <is>
          <t>Pending</t>
        </is>
      </c>
      <c r="L15" s="55" t="inlineStr">
        <is>
          <t>No</t>
        </is>
      </c>
      <c r="M15" s="55" t="n">
        <v>0</v>
      </c>
      <c r="N15" s="55" t="inlineStr">
        <is>
          <t>No</t>
        </is>
      </c>
      <c r="O15" s="55" t="inlineStr">
        <is>
          <t>None</t>
        </is>
      </c>
      <c r="P15" s="55"/>
      <c r="Q15" s="55" t="inlineStr">
        <is>
          <t>Pending</t>
        </is>
      </c>
      <c r="R15" s="55" t="inlineStr">
        <is>
          <t>Pending</t>
        </is>
      </c>
      <c r="S15" s="55" t="inlineStr">
        <is>
          <t>None</t>
        </is>
      </c>
      <c r="T15" s="76"/>
    </row>
    <row r="16">
      <c r="A16" s="75" t="inlineStr">
        <is>
          <t>P003</t>
        </is>
      </c>
      <c r="B16" s="60" t="n">
        <v>1</v>
      </c>
      <c r="C16" s="60" t="inlineStr">
        <is>
          <t>无线鼠标</t>
        </is>
      </c>
      <c r="D16" s="60" t="n">
        <v>1</v>
      </c>
      <c r="E16" s="60" t="inlineStr">
        <is>
          <t>One-Euro</t>
        </is>
      </c>
      <c r="F16" s="60" t="inlineStr">
        <is>
          <t>P003_Mouse_S1</t>
        </is>
      </c>
      <c r="G16" s="55"/>
      <c r="H16" s="55"/>
      <c r="I16" s="55" t="inlineStr">
        <is>
          <t>Pending</t>
        </is>
      </c>
      <c r="J16" s="55" t="inlineStr">
        <is>
          <t>Pending</t>
        </is>
      </c>
      <c r="K16" s="55" t="inlineStr">
        <is>
          <t>N/A</t>
        </is>
      </c>
      <c r="L16" s="55" t="inlineStr">
        <is>
          <t>No</t>
        </is>
      </c>
      <c r="M16" s="55" t="n">
        <v>0</v>
      </c>
      <c r="N16" s="55" t="inlineStr">
        <is>
          <t>No</t>
        </is>
      </c>
      <c r="O16" s="55" t="inlineStr">
        <is>
          <t>None</t>
        </is>
      </c>
      <c r="P16" s="55"/>
      <c r="Q16" s="55" t="inlineStr">
        <is>
          <t>Pending</t>
        </is>
      </c>
      <c r="R16" s="55" t="inlineStr">
        <is>
          <t>Pending</t>
        </is>
      </c>
      <c r="S16" s="55" t="inlineStr">
        <is>
          <t>None</t>
        </is>
      </c>
      <c r="T16" s="76"/>
    </row>
    <row r="17">
      <c r="A17" s="75" t="inlineStr">
        <is>
          <t>P003</t>
        </is>
      </c>
      <c r="B17" s="60" t="n">
        <v>1</v>
      </c>
      <c r="C17" s="60" t="inlineStr">
        <is>
          <t>无线鼠标</t>
        </is>
      </c>
      <c r="D17" s="60" t="n">
        <v>2</v>
      </c>
      <c r="E17" s="60" t="inlineStr">
        <is>
          <t>EgoAnchor</t>
        </is>
      </c>
      <c r="F17" s="60" t="inlineStr">
        <is>
          <t>P003_Mouse_S1</t>
        </is>
      </c>
      <c r="G17" s="55"/>
      <c r="H17" s="55"/>
      <c r="I17" s="55" t="inlineStr">
        <is>
          <t>Pending</t>
        </is>
      </c>
      <c r="J17" s="55" t="inlineStr">
        <is>
          <t>Pending</t>
        </is>
      </c>
      <c r="K17" s="55" t="inlineStr">
        <is>
          <t>Pending</t>
        </is>
      </c>
      <c r="L17" s="55" t="inlineStr">
        <is>
          <t>No</t>
        </is>
      </c>
      <c r="M17" s="55" t="n">
        <v>0</v>
      </c>
      <c r="N17" s="55" t="inlineStr">
        <is>
          <t>No</t>
        </is>
      </c>
      <c r="O17" s="55" t="inlineStr">
        <is>
          <t>None</t>
        </is>
      </c>
      <c r="P17" s="55"/>
      <c r="Q17" s="55" t="inlineStr">
        <is>
          <t>Pending</t>
        </is>
      </c>
      <c r="R17" s="55" t="inlineStr">
        <is>
          <t>Pending</t>
        </is>
      </c>
      <c r="S17" s="55" t="inlineStr">
        <is>
          <t>None</t>
        </is>
      </c>
      <c r="T17" s="76"/>
    </row>
    <row r="18">
      <c r="A18" s="75" t="inlineStr">
        <is>
          <t>P003</t>
        </is>
      </c>
      <c r="B18" s="60" t="n">
        <v>2</v>
      </c>
      <c r="C18" s="60" t="inlineStr">
        <is>
          <t>固定闭合订书机</t>
        </is>
      </c>
      <c r="D18" s="60" t="n">
        <v>1</v>
      </c>
      <c r="E18" s="60" t="inlineStr">
        <is>
          <t>EgoAnchor</t>
        </is>
      </c>
      <c r="F18" s="60" t="inlineStr">
        <is>
          <t>P003_Stapler_S1</t>
        </is>
      </c>
      <c r="G18" s="55"/>
      <c r="H18" s="55"/>
      <c r="I18" s="55" t="inlineStr">
        <is>
          <t>Pending</t>
        </is>
      </c>
      <c r="J18" s="55" t="inlineStr">
        <is>
          <t>Pending</t>
        </is>
      </c>
      <c r="K18" s="55" t="inlineStr">
        <is>
          <t>N/A</t>
        </is>
      </c>
      <c r="L18" s="55" t="inlineStr">
        <is>
          <t>No</t>
        </is>
      </c>
      <c r="M18" s="55" t="n">
        <v>0</v>
      </c>
      <c r="N18" s="55" t="inlineStr">
        <is>
          <t>No</t>
        </is>
      </c>
      <c r="O18" s="55" t="inlineStr">
        <is>
          <t>None</t>
        </is>
      </c>
      <c r="P18" s="55"/>
      <c r="Q18" s="55" t="inlineStr">
        <is>
          <t>Pending</t>
        </is>
      </c>
      <c r="R18" s="55" t="inlineStr">
        <is>
          <t>Pending</t>
        </is>
      </c>
      <c r="S18" s="55" t="inlineStr">
        <is>
          <t>None</t>
        </is>
      </c>
      <c r="T18" s="76"/>
    </row>
    <row r="19">
      <c r="A19" s="75" t="inlineStr">
        <is>
          <t>P003</t>
        </is>
      </c>
      <c r="B19" s="60" t="n">
        <v>2</v>
      </c>
      <c r="C19" s="60" t="inlineStr">
        <is>
          <t>固定闭合订书机</t>
        </is>
      </c>
      <c r="D19" s="60" t="n">
        <v>2</v>
      </c>
      <c r="E19" s="60" t="inlineStr">
        <is>
          <t>One-Euro</t>
        </is>
      </c>
      <c r="F19" s="60" t="inlineStr">
        <is>
          <t>P003_Stapler_S1</t>
        </is>
      </c>
      <c r="G19" s="55"/>
      <c r="H19" s="55"/>
      <c r="I19" s="55" t="inlineStr">
        <is>
          <t>Pending</t>
        </is>
      </c>
      <c r="J19" s="55" t="inlineStr">
        <is>
          <t>Pending</t>
        </is>
      </c>
      <c r="K19" s="55" t="inlineStr">
        <is>
          <t>Pending</t>
        </is>
      </c>
      <c r="L19" s="55" t="inlineStr">
        <is>
          <t>No</t>
        </is>
      </c>
      <c r="M19" s="55" t="n">
        <v>0</v>
      </c>
      <c r="N19" s="55" t="inlineStr">
        <is>
          <t>No</t>
        </is>
      </c>
      <c r="O19" s="55" t="inlineStr">
        <is>
          <t>None</t>
        </is>
      </c>
      <c r="P19" s="55"/>
      <c r="Q19" s="55" t="inlineStr">
        <is>
          <t>Pending</t>
        </is>
      </c>
      <c r="R19" s="55" t="inlineStr">
        <is>
          <t>Pending</t>
        </is>
      </c>
      <c r="S19" s="55" t="inlineStr">
        <is>
          <t>None</t>
        </is>
      </c>
      <c r="T19" s="76"/>
    </row>
    <row r="20">
      <c r="A20" s="75" t="inlineStr">
        <is>
          <t>P003</t>
        </is>
      </c>
      <c r="B20" s="60" t="n">
        <v>3</v>
      </c>
      <c r="C20" s="60" t="inlineStr">
        <is>
          <t>游戏手柄</t>
        </is>
      </c>
      <c r="D20" s="60" t="n">
        <v>1</v>
      </c>
      <c r="E20" s="60" t="inlineStr">
        <is>
          <t>One-Euro</t>
        </is>
      </c>
      <c r="F20" s="60" t="inlineStr">
        <is>
          <t>P003_Gamepad_S1</t>
        </is>
      </c>
      <c r="G20" s="55"/>
      <c r="H20" s="55"/>
      <c r="I20" s="55" t="inlineStr">
        <is>
          <t>Pending</t>
        </is>
      </c>
      <c r="J20" s="55" t="inlineStr">
        <is>
          <t>Pending</t>
        </is>
      </c>
      <c r="K20" s="55" t="inlineStr">
        <is>
          <t>N/A</t>
        </is>
      </c>
      <c r="L20" s="55" t="inlineStr">
        <is>
          <t>No</t>
        </is>
      </c>
      <c r="M20" s="55" t="n">
        <v>0</v>
      </c>
      <c r="N20" s="55" t="inlineStr">
        <is>
          <t>No</t>
        </is>
      </c>
      <c r="O20" s="55" t="inlineStr">
        <is>
          <t>None</t>
        </is>
      </c>
      <c r="P20" s="55"/>
      <c r="Q20" s="55" t="inlineStr">
        <is>
          <t>Pending</t>
        </is>
      </c>
      <c r="R20" s="55" t="inlineStr">
        <is>
          <t>Pending</t>
        </is>
      </c>
      <c r="S20" s="55" t="inlineStr">
        <is>
          <t>None</t>
        </is>
      </c>
      <c r="T20" s="76"/>
    </row>
    <row r="21">
      <c r="A21" s="75" t="inlineStr">
        <is>
          <t>P003</t>
        </is>
      </c>
      <c r="B21" s="60" t="n">
        <v>3</v>
      </c>
      <c r="C21" s="60" t="inlineStr">
        <is>
          <t>游戏手柄</t>
        </is>
      </c>
      <c r="D21" s="60" t="n">
        <v>2</v>
      </c>
      <c r="E21" s="60" t="inlineStr">
        <is>
          <t>EgoAnchor</t>
        </is>
      </c>
      <c r="F21" s="60" t="inlineStr">
        <is>
          <t>P003_Gamepad_S1</t>
        </is>
      </c>
      <c r="G21" s="55"/>
      <c r="H21" s="55"/>
      <c r="I21" s="55" t="inlineStr">
        <is>
          <t>Pending</t>
        </is>
      </c>
      <c r="J21" s="55" t="inlineStr">
        <is>
          <t>Pending</t>
        </is>
      </c>
      <c r="K21" s="55" t="inlineStr">
        <is>
          <t>Pending</t>
        </is>
      </c>
      <c r="L21" s="55" t="inlineStr">
        <is>
          <t>No</t>
        </is>
      </c>
      <c r="M21" s="55" t="n">
        <v>0</v>
      </c>
      <c r="N21" s="55" t="inlineStr">
        <is>
          <t>No</t>
        </is>
      </c>
      <c r="O21" s="55" t="inlineStr">
        <is>
          <t>None</t>
        </is>
      </c>
      <c r="P21" s="55"/>
      <c r="Q21" s="55" t="inlineStr">
        <is>
          <t>Pending</t>
        </is>
      </c>
      <c r="R21" s="55" t="inlineStr">
        <is>
          <t>Pending</t>
        </is>
      </c>
      <c r="S21" s="55" t="inlineStr">
        <is>
          <t>None</t>
        </is>
      </c>
      <c r="T21" s="76"/>
    </row>
    <row r="22">
      <c r="A22" s="75" t="inlineStr">
        <is>
          <t>P004</t>
        </is>
      </c>
      <c r="B22" s="60" t="n">
        <v>1</v>
      </c>
      <c r="C22" s="60" t="inlineStr">
        <is>
          <t>无线鼠标</t>
        </is>
      </c>
      <c r="D22" s="60" t="n">
        <v>1</v>
      </c>
      <c r="E22" s="60" t="inlineStr">
        <is>
          <t>One-Euro</t>
        </is>
      </c>
      <c r="F22" s="60" t="inlineStr">
        <is>
          <t>P004_Mouse_S1</t>
        </is>
      </c>
      <c r="G22" s="55"/>
      <c r="H22" s="55"/>
      <c r="I22" s="55" t="inlineStr">
        <is>
          <t>Pending</t>
        </is>
      </c>
      <c r="J22" s="55" t="inlineStr">
        <is>
          <t>Pending</t>
        </is>
      </c>
      <c r="K22" s="55" t="inlineStr">
        <is>
          <t>N/A</t>
        </is>
      </c>
      <c r="L22" s="55" t="inlineStr">
        <is>
          <t>No</t>
        </is>
      </c>
      <c r="M22" s="55" t="n">
        <v>0</v>
      </c>
      <c r="N22" s="55" t="inlineStr">
        <is>
          <t>No</t>
        </is>
      </c>
      <c r="O22" s="55" t="inlineStr">
        <is>
          <t>None</t>
        </is>
      </c>
      <c r="P22" s="55"/>
      <c r="Q22" s="55" t="inlineStr">
        <is>
          <t>Pending</t>
        </is>
      </c>
      <c r="R22" s="55" t="inlineStr">
        <is>
          <t>Pending</t>
        </is>
      </c>
      <c r="S22" s="55" t="inlineStr">
        <is>
          <t>None</t>
        </is>
      </c>
      <c r="T22" s="76"/>
    </row>
    <row r="23">
      <c r="A23" s="75" t="inlineStr">
        <is>
          <t>P004</t>
        </is>
      </c>
      <c r="B23" s="60" t="n">
        <v>1</v>
      </c>
      <c r="C23" s="60" t="inlineStr">
        <is>
          <t>无线鼠标</t>
        </is>
      </c>
      <c r="D23" s="60" t="n">
        <v>2</v>
      </c>
      <c r="E23" s="60" t="inlineStr">
        <is>
          <t>EgoAnchor</t>
        </is>
      </c>
      <c r="F23" s="60" t="inlineStr">
        <is>
          <t>P004_Mouse_S1</t>
        </is>
      </c>
      <c r="G23" s="55"/>
      <c r="H23" s="55"/>
      <c r="I23" s="55" t="inlineStr">
        <is>
          <t>Pending</t>
        </is>
      </c>
      <c r="J23" s="55" t="inlineStr">
        <is>
          <t>Pending</t>
        </is>
      </c>
      <c r="K23" s="55" t="inlineStr">
        <is>
          <t>Pending</t>
        </is>
      </c>
      <c r="L23" s="55" t="inlineStr">
        <is>
          <t>No</t>
        </is>
      </c>
      <c r="M23" s="55" t="n">
        <v>0</v>
      </c>
      <c r="N23" s="55" t="inlineStr">
        <is>
          <t>No</t>
        </is>
      </c>
      <c r="O23" s="55" t="inlineStr">
        <is>
          <t>None</t>
        </is>
      </c>
      <c r="P23" s="55"/>
      <c r="Q23" s="55" t="inlineStr">
        <is>
          <t>Pending</t>
        </is>
      </c>
      <c r="R23" s="55" t="inlineStr">
        <is>
          <t>Pending</t>
        </is>
      </c>
      <c r="S23" s="55" t="inlineStr">
        <is>
          <t>None</t>
        </is>
      </c>
      <c r="T23" s="76"/>
    </row>
    <row r="24">
      <c r="A24" s="75" t="inlineStr">
        <is>
          <t>P004</t>
        </is>
      </c>
      <c r="B24" s="60" t="n">
        <v>2</v>
      </c>
      <c r="C24" s="60" t="inlineStr">
        <is>
          <t>固定闭合订书机</t>
        </is>
      </c>
      <c r="D24" s="60" t="n">
        <v>1</v>
      </c>
      <c r="E24" s="60" t="inlineStr">
        <is>
          <t>EgoAnchor</t>
        </is>
      </c>
      <c r="F24" s="60" t="inlineStr">
        <is>
          <t>P004_Stapler_S1</t>
        </is>
      </c>
      <c r="G24" s="55"/>
      <c r="H24" s="55"/>
      <c r="I24" s="55" t="inlineStr">
        <is>
          <t>Pending</t>
        </is>
      </c>
      <c r="J24" s="55" t="inlineStr">
        <is>
          <t>Pending</t>
        </is>
      </c>
      <c r="K24" s="55" t="inlineStr">
        <is>
          <t>N/A</t>
        </is>
      </c>
      <c r="L24" s="55" t="inlineStr">
        <is>
          <t>No</t>
        </is>
      </c>
      <c r="M24" s="55" t="n">
        <v>0</v>
      </c>
      <c r="N24" s="55" t="inlineStr">
        <is>
          <t>No</t>
        </is>
      </c>
      <c r="O24" s="55" t="inlineStr">
        <is>
          <t>None</t>
        </is>
      </c>
      <c r="P24" s="55"/>
      <c r="Q24" s="55" t="inlineStr">
        <is>
          <t>Pending</t>
        </is>
      </c>
      <c r="R24" s="55" t="inlineStr">
        <is>
          <t>Pending</t>
        </is>
      </c>
      <c r="S24" s="55" t="inlineStr">
        <is>
          <t>None</t>
        </is>
      </c>
      <c r="T24" s="76"/>
    </row>
    <row r="25">
      <c r="A25" s="75" t="inlineStr">
        <is>
          <t>P004</t>
        </is>
      </c>
      <c r="B25" s="60" t="n">
        <v>2</v>
      </c>
      <c r="C25" s="60" t="inlineStr">
        <is>
          <t>固定闭合订书机</t>
        </is>
      </c>
      <c r="D25" s="60" t="n">
        <v>2</v>
      </c>
      <c r="E25" s="60" t="inlineStr">
        <is>
          <t>One-Euro</t>
        </is>
      </c>
      <c r="F25" s="60" t="inlineStr">
        <is>
          <t>P004_Stapler_S1</t>
        </is>
      </c>
      <c r="G25" s="55"/>
      <c r="H25" s="55"/>
      <c r="I25" s="55" t="inlineStr">
        <is>
          <t>Pending</t>
        </is>
      </c>
      <c r="J25" s="55" t="inlineStr">
        <is>
          <t>Pending</t>
        </is>
      </c>
      <c r="K25" s="55" t="inlineStr">
        <is>
          <t>Pending</t>
        </is>
      </c>
      <c r="L25" s="55" t="inlineStr">
        <is>
          <t>No</t>
        </is>
      </c>
      <c r="M25" s="55" t="n">
        <v>0</v>
      </c>
      <c r="N25" s="55" t="inlineStr">
        <is>
          <t>No</t>
        </is>
      </c>
      <c r="O25" s="55" t="inlineStr">
        <is>
          <t>None</t>
        </is>
      </c>
      <c r="P25" s="55"/>
      <c r="Q25" s="55" t="inlineStr">
        <is>
          <t>Pending</t>
        </is>
      </c>
      <c r="R25" s="55" t="inlineStr">
        <is>
          <t>Pending</t>
        </is>
      </c>
      <c r="S25" s="55" t="inlineStr">
        <is>
          <t>None</t>
        </is>
      </c>
      <c r="T25" s="76"/>
    </row>
    <row r="26">
      <c r="A26" s="75" t="inlineStr">
        <is>
          <t>P004</t>
        </is>
      </c>
      <c r="B26" s="60" t="n">
        <v>3</v>
      </c>
      <c r="C26" s="60" t="inlineStr">
        <is>
          <t>游戏手柄</t>
        </is>
      </c>
      <c r="D26" s="60" t="n">
        <v>1</v>
      </c>
      <c r="E26" s="60" t="inlineStr">
        <is>
          <t>One-Euro</t>
        </is>
      </c>
      <c r="F26" s="60" t="inlineStr">
        <is>
          <t>P004_Gamepad_S1</t>
        </is>
      </c>
      <c r="G26" s="55"/>
      <c r="H26" s="55"/>
      <c r="I26" s="55" t="inlineStr">
        <is>
          <t>Pending</t>
        </is>
      </c>
      <c r="J26" s="55" t="inlineStr">
        <is>
          <t>Pending</t>
        </is>
      </c>
      <c r="K26" s="55" t="inlineStr">
        <is>
          <t>N/A</t>
        </is>
      </c>
      <c r="L26" s="55" t="inlineStr">
        <is>
          <t>No</t>
        </is>
      </c>
      <c r="M26" s="55" t="n">
        <v>0</v>
      </c>
      <c r="N26" s="55" t="inlineStr">
        <is>
          <t>No</t>
        </is>
      </c>
      <c r="O26" s="55" t="inlineStr">
        <is>
          <t>None</t>
        </is>
      </c>
      <c r="P26" s="55"/>
      <c r="Q26" s="55" t="inlineStr">
        <is>
          <t>Pending</t>
        </is>
      </c>
      <c r="R26" s="55" t="inlineStr">
        <is>
          <t>Pending</t>
        </is>
      </c>
      <c r="S26" s="55" t="inlineStr">
        <is>
          <t>None</t>
        </is>
      </c>
      <c r="T26" s="76"/>
    </row>
    <row r="27">
      <c r="A27" s="75" t="inlineStr">
        <is>
          <t>P004</t>
        </is>
      </c>
      <c r="B27" s="60" t="n">
        <v>3</v>
      </c>
      <c r="C27" s="60" t="inlineStr">
        <is>
          <t>游戏手柄</t>
        </is>
      </c>
      <c r="D27" s="60" t="n">
        <v>2</v>
      </c>
      <c r="E27" s="60" t="inlineStr">
        <is>
          <t>EgoAnchor</t>
        </is>
      </c>
      <c r="F27" s="60" t="inlineStr">
        <is>
          <t>P004_Gamepad_S1</t>
        </is>
      </c>
      <c r="G27" s="55"/>
      <c r="H27" s="55"/>
      <c r="I27" s="55" t="inlineStr">
        <is>
          <t>Pending</t>
        </is>
      </c>
      <c r="J27" s="55" t="inlineStr">
        <is>
          <t>Pending</t>
        </is>
      </c>
      <c r="K27" s="55" t="inlineStr">
        <is>
          <t>Pending</t>
        </is>
      </c>
      <c r="L27" s="55" t="inlineStr">
        <is>
          <t>No</t>
        </is>
      </c>
      <c r="M27" s="55" t="n">
        <v>0</v>
      </c>
      <c r="N27" s="55" t="inlineStr">
        <is>
          <t>No</t>
        </is>
      </c>
      <c r="O27" s="55" t="inlineStr">
        <is>
          <t>None</t>
        </is>
      </c>
      <c r="P27" s="55"/>
      <c r="Q27" s="55" t="inlineStr">
        <is>
          <t>Pending</t>
        </is>
      </c>
      <c r="R27" s="55" t="inlineStr">
        <is>
          <t>Pending</t>
        </is>
      </c>
      <c r="S27" s="55" t="inlineStr">
        <is>
          <t>None</t>
        </is>
      </c>
      <c r="T27" s="76"/>
    </row>
    <row r="28">
      <c r="A28" s="75" t="inlineStr">
        <is>
          <t>P005</t>
        </is>
      </c>
      <c r="B28" s="60" t="n">
        <v>1</v>
      </c>
      <c r="C28" s="60" t="inlineStr">
        <is>
          <t>无线鼠标</t>
        </is>
      </c>
      <c r="D28" s="60" t="n">
        <v>1</v>
      </c>
      <c r="E28" s="60" t="inlineStr">
        <is>
          <t>EgoAnchor</t>
        </is>
      </c>
      <c r="F28" s="60" t="inlineStr">
        <is>
          <t>P005_Mouse_S1</t>
        </is>
      </c>
      <c r="G28" s="55"/>
      <c r="H28" s="55"/>
      <c r="I28" s="55" t="inlineStr">
        <is>
          <t>Pending</t>
        </is>
      </c>
      <c r="J28" s="55" t="inlineStr">
        <is>
          <t>Pending</t>
        </is>
      </c>
      <c r="K28" s="55" t="inlineStr">
        <is>
          <t>N/A</t>
        </is>
      </c>
      <c r="L28" s="55" t="inlineStr">
        <is>
          <t>No</t>
        </is>
      </c>
      <c r="M28" s="55" t="n">
        <v>0</v>
      </c>
      <c r="N28" s="55" t="inlineStr">
        <is>
          <t>No</t>
        </is>
      </c>
      <c r="O28" s="55" t="inlineStr">
        <is>
          <t>None</t>
        </is>
      </c>
      <c r="P28" s="55"/>
      <c r="Q28" s="55" t="inlineStr">
        <is>
          <t>Pending</t>
        </is>
      </c>
      <c r="R28" s="55" t="inlineStr">
        <is>
          <t>Pending</t>
        </is>
      </c>
      <c r="S28" s="55" t="inlineStr">
        <is>
          <t>None</t>
        </is>
      </c>
      <c r="T28" s="76"/>
    </row>
    <row r="29">
      <c r="A29" s="75" t="inlineStr">
        <is>
          <t>P005</t>
        </is>
      </c>
      <c r="B29" s="60" t="n">
        <v>1</v>
      </c>
      <c r="C29" s="60" t="inlineStr">
        <is>
          <t>无线鼠标</t>
        </is>
      </c>
      <c r="D29" s="60" t="n">
        <v>2</v>
      </c>
      <c r="E29" s="60" t="inlineStr">
        <is>
          <t>One-Euro</t>
        </is>
      </c>
      <c r="F29" s="60" t="inlineStr">
        <is>
          <t>P005_Mouse_S1</t>
        </is>
      </c>
      <c r="G29" s="55"/>
      <c r="H29" s="55"/>
      <c r="I29" s="55" t="inlineStr">
        <is>
          <t>Pending</t>
        </is>
      </c>
      <c r="J29" s="55" t="inlineStr">
        <is>
          <t>Pending</t>
        </is>
      </c>
      <c r="K29" s="55" t="inlineStr">
        <is>
          <t>Pending</t>
        </is>
      </c>
      <c r="L29" s="55" t="inlineStr">
        <is>
          <t>No</t>
        </is>
      </c>
      <c r="M29" s="55" t="n">
        <v>0</v>
      </c>
      <c r="N29" s="55" t="inlineStr">
        <is>
          <t>No</t>
        </is>
      </c>
      <c r="O29" s="55" t="inlineStr">
        <is>
          <t>None</t>
        </is>
      </c>
      <c r="P29" s="55"/>
      <c r="Q29" s="55" t="inlineStr">
        <is>
          <t>Pending</t>
        </is>
      </c>
      <c r="R29" s="55" t="inlineStr">
        <is>
          <t>Pending</t>
        </is>
      </c>
      <c r="S29" s="55" t="inlineStr">
        <is>
          <t>None</t>
        </is>
      </c>
      <c r="T29" s="76"/>
    </row>
    <row r="30">
      <c r="A30" s="75" t="inlineStr">
        <is>
          <t>P005</t>
        </is>
      </c>
      <c r="B30" s="60" t="n">
        <v>2</v>
      </c>
      <c r="C30" s="60" t="inlineStr">
        <is>
          <t>游戏手柄</t>
        </is>
      </c>
      <c r="D30" s="60" t="n">
        <v>1</v>
      </c>
      <c r="E30" s="60" t="inlineStr">
        <is>
          <t>One-Euro</t>
        </is>
      </c>
      <c r="F30" s="60" t="inlineStr">
        <is>
          <t>P005_Gamepad_S1</t>
        </is>
      </c>
      <c r="G30" s="55"/>
      <c r="H30" s="55"/>
      <c r="I30" s="55" t="inlineStr">
        <is>
          <t>Pending</t>
        </is>
      </c>
      <c r="J30" s="55" t="inlineStr">
        <is>
          <t>Pending</t>
        </is>
      </c>
      <c r="K30" s="55" t="inlineStr">
        <is>
          <t>N/A</t>
        </is>
      </c>
      <c r="L30" s="55" t="inlineStr">
        <is>
          <t>No</t>
        </is>
      </c>
      <c r="M30" s="55" t="n">
        <v>0</v>
      </c>
      <c r="N30" s="55" t="inlineStr">
        <is>
          <t>No</t>
        </is>
      </c>
      <c r="O30" s="55" t="inlineStr">
        <is>
          <t>None</t>
        </is>
      </c>
      <c r="P30" s="55"/>
      <c r="Q30" s="55" t="inlineStr">
        <is>
          <t>Pending</t>
        </is>
      </c>
      <c r="R30" s="55" t="inlineStr">
        <is>
          <t>Pending</t>
        </is>
      </c>
      <c r="S30" s="55" t="inlineStr">
        <is>
          <t>None</t>
        </is>
      </c>
      <c r="T30" s="76"/>
    </row>
    <row r="31">
      <c r="A31" s="75" t="inlineStr">
        <is>
          <t>P005</t>
        </is>
      </c>
      <c r="B31" s="60" t="n">
        <v>2</v>
      </c>
      <c r="C31" s="60" t="inlineStr">
        <is>
          <t>游戏手柄</t>
        </is>
      </c>
      <c r="D31" s="60" t="n">
        <v>2</v>
      </c>
      <c r="E31" s="60" t="inlineStr">
        <is>
          <t>EgoAnchor</t>
        </is>
      </c>
      <c r="F31" s="60" t="inlineStr">
        <is>
          <t>P005_Gamepad_S1</t>
        </is>
      </c>
      <c r="G31" s="55"/>
      <c r="H31" s="55"/>
      <c r="I31" s="55" t="inlineStr">
        <is>
          <t>Pending</t>
        </is>
      </c>
      <c r="J31" s="55" t="inlineStr">
        <is>
          <t>Pending</t>
        </is>
      </c>
      <c r="K31" s="55" t="inlineStr">
        <is>
          <t>Pending</t>
        </is>
      </c>
      <c r="L31" s="55" t="inlineStr">
        <is>
          <t>No</t>
        </is>
      </c>
      <c r="M31" s="55" t="n">
        <v>0</v>
      </c>
      <c r="N31" s="55" t="inlineStr">
        <is>
          <t>No</t>
        </is>
      </c>
      <c r="O31" s="55" t="inlineStr">
        <is>
          <t>None</t>
        </is>
      </c>
      <c r="P31" s="55"/>
      <c r="Q31" s="55" t="inlineStr">
        <is>
          <t>Pending</t>
        </is>
      </c>
      <c r="R31" s="55" t="inlineStr">
        <is>
          <t>Pending</t>
        </is>
      </c>
      <c r="S31" s="55" t="inlineStr">
        <is>
          <t>None</t>
        </is>
      </c>
      <c r="T31" s="76"/>
    </row>
    <row r="32">
      <c r="A32" s="75" t="inlineStr">
        <is>
          <t>P005</t>
        </is>
      </c>
      <c r="B32" s="60" t="n">
        <v>3</v>
      </c>
      <c r="C32" s="60" t="inlineStr">
        <is>
          <t>固定闭合订书机</t>
        </is>
      </c>
      <c r="D32" s="60" t="n">
        <v>1</v>
      </c>
      <c r="E32" s="60" t="inlineStr">
        <is>
          <t>EgoAnchor</t>
        </is>
      </c>
      <c r="F32" s="60" t="inlineStr">
        <is>
          <t>P005_Stapler_S1</t>
        </is>
      </c>
      <c r="G32" s="55"/>
      <c r="H32" s="55"/>
      <c r="I32" s="55" t="inlineStr">
        <is>
          <t>Pending</t>
        </is>
      </c>
      <c r="J32" s="55" t="inlineStr">
        <is>
          <t>Pending</t>
        </is>
      </c>
      <c r="K32" s="55" t="inlineStr">
        <is>
          <t>N/A</t>
        </is>
      </c>
      <c r="L32" s="55" t="inlineStr">
        <is>
          <t>No</t>
        </is>
      </c>
      <c r="M32" s="55" t="n">
        <v>0</v>
      </c>
      <c r="N32" s="55" t="inlineStr">
        <is>
          <t>No</t>
        </is>
      </c>
      <c r="O32" s="55" t="inlineStr">
        <is>
          <t>None</t>
        </is>
      </c>
      <c r="P32" s="55"/>
      <c r="Q32" s="55" t="inlineStr">
        <is>
          <t>Pending</t>
        </is>
      </c>
      <c r="R32" s="55" t="inlineStr">
        <is>
          <t>Pending</t>
        </is>
      </c>
      <c r="S32" s="55" t="inlineStr">
        <is>
          <t>None</t>
        </is>
      </c>
      <c r="T32" s="76"/>
    </row>
    <row r="33">
      <c r="A33" s="75" t="inlineStr">
        <is>
          <t>P005</t>
        </is>
      </c>
      <c r="B33" s="60" t="n">
        <v>3</v>
      </c>
      <c r="C33" s="60" t="inlineStr">
        <is>
          <t>固定闭合订书机</t>
        </is>
      </c>
      <c r="D33" s="60" t="n">
        <v>2</v>
      </c>
      <c r="E33" s="60" t="inlineStr">
        <is>
          <t>One-Euro</t>
        </is>
      </c>
      <c r="F33" s="60" t="inlineStr">
        <is>
          <t>P005_Stapler_S1</t>
        </is>
      </c>
      <c r="G33" s="55"/>
      <c r="H33" s="55"/>
      <c r="I33" s="55" t="inlineStr">
        <is>
          <t>Pending</t>
        </is>
      </c>
      <c r="J33" s="55" t="inlineStr">
        <is>
          <t>Pending</t>
        </is>
      </c>
      <c r="K33" s="55" t="inlineStr">
        <is>
          <t>Pending</t>
        </is>
      </c>
      <c r="L33" s="55" t="inlineStr">
        <is>
          <t>No</t>
        </is>
      </c>
      <c r="M33" s="55" t="n">
        <v>0</v>
      </c>
      <c r="N33" s="55" t="inlineStr">
        <is>
          <t>No</t>
        </is>
      </c>
      <c r="O33" s="55" t="inlineStr">
        <is>
          <t>None</t>
        </is>
      </c>
      <c r="P33" s="55"/>
      <c r="Q33" s="55" t="inlineStr">
        <is>
          <t>Pending</t>
        </is>
      </c>
      <c r="R33" s="55" t="inlineStr">
        <is>
          <t>Pending</t>
        </is>
      </c>
      <c r="S33" s="55" t="inlineStr">
        <is>
          <t>None</t>
        </is>
      </c>
      <c r="T33" s="76"/>
    </row>
    <row r="34">
      <c r="A34" s="75" t="inlineStr">
        <is>
          <t>P006</t>
        </is>
      </c>
      <c r="B34" s="60" t="n">
        <v>1</v>
      </c>
      <c r="C34" s="60" t="inlineStr">
        <is>
          <t>无线鼠标</t>
        </is>
      </c>
      <c r="D34" s="60" t="n">
        <v>1</v>
      </c>
      <c r="E34" s="60" t="inlineStr">
        <is>
          <t>EgoAnchor</t>
        </is>
      </c>
      <c r="F34" s="60" t="inlineStr">
        <is>
          <t>P006_Mouse_S1</t>
        </is>
      </c>
      <c r="G34" s="55"/>
      <c r="H34" s="55"/>
      <c r="I34" s="55" t="inlineStr">
        <is>
          <t>Pending</t>
        </is>
      </c>
      <c r="J34" s="55" t="inlineStr">
        <is>
          <t>Pending</t>
        </is>
      </c>
      <c r="K34" s="55" t="inlineStr">
        <is>
          <t>N/A</t>
        </is>
      </c>
      <c r="L34" s="55" t="inlineStr">
        <is>
          <t>No</t>
        </is>
      </c>
      <c r="M34" s="55" t="n">
        <v>0</v>
      </c>
      <c r="N34" s="55" t="inlineStr">
        <is>
          <t>No</t>
        </is>
      </c>
      <c r="O34" s="55" t="inlineStr">
        <is>
          <t>None</t>
        </is>
      </c>
      <c r="P34" s="55"/>
      <c r="Q34" s="55" t="inlineStr">
        <is>
          <t>Pending</t>
        </is>
      </c>
      <c r="R34" s="55" t="inlineStr">
        <is>
          <t>Pending</t>
        </is>
      </c>
      <c r="S34" s="55" t="inlineStr">
        <is>
          <t>None</t>
        </is>
      </c>
      <c r="T34" s="76"/>
    </row>
    <row r="35">
      <c r="A35" s="75" t="inlineStr">
        <is>
          <t>P006</t>
        </is>
      </c>
      <c r="B35" s="60" t="n">
        <v>1</v>
      </c>
      <c r="C35" s="60" t="inlineStr">
        <is>
          <t>无线鼠标</t>
        </is>
      </c>
      <c r="D35" s="60" t="n">
        <v>2</v>
      </c>
      <c r="E35" s="60" t="inlineStr">
        <is>
          <t>One-Euro</t>
        </is>
      </c>
      <c r="F35" s="60" t="inlineStr">
        <is>
          <t>P006_Mouse_S1</t>
        </is>
      </c>
      <c r="G35" s="55"/>
      <c r="H35" s="55"/>
      <c r="I35" s="55" t="inlineStr">
        <is>
          <t>Pending</t>
        </is>
      </c>
      <c r="J35" s="55" t="inlineStr">
        <is>
          <t>Pending</t>
        </is>
      </c>
      <c r="K35" s="55" t="inlineStr">
        <is>
          <t>Pending</t>
        </is>
      </c>
      <c r="L35" s="55" t="inlineStr">
        <is>
          <t>No</t>
        </is>
      </c>
      <c r="M35" s="55" t="n">
        <v>0</v>
      </c>
      <c r="N35" s="55" t="inlineStr">
        <is>
          <t>No</t>
        </is>
      </c>
      <c r="O35" s="55" t="inlineStr">
        <is>
          <t>None</t>
        </is>
      </c>
      <c r="P35" s="55"/>
      <c r="Q35" s="55" t="inlineStr">
        <is>
          <t>Pending</t>
        </is>
      </c>
      <c r="R35" s="55" t="inlineStr">
        <is>
          <t>Pending</t>
        </is>
      </c>
      <c r="S35" s="55" t="inlineStr">
        <is>
          <t>None</t>
        </is>
      </c>
      <c r="T35" s="76"/>
    </row>
    <row r="36">
      <c r="A36" s="75" t="inlineStr">
        <is>
          <t>P006</t>
        </is>
      </c>
      <c r="B36" s="60" t="n">
        <v>2</v>
      </c>
      <c r="C36" s="60" t="inlineStr">
        <is>
          <t>游戏手柄</t>
        </is>
      </c>
      <c r="D36" s="60" t="n">
        <v>1</v>
      </c>
      <c r="E36" s="60" t="inlineStr">
        <is>
          <t>One-Euro</t>
        </is>
      </c>
      <c r="F36" s="60" t="inlineStr">
        <is>
          <t>P006_Gamepad_S1</t>
        </is>
      </c>
      <c r="G36" s="55"/>
      <c r="H36" s="55"/>
      <c r="I36" s="55" t="inlineStr">
        <is>
          <t>Pending</t>
        </is>
      </c>
      <c r="J36" s="55" t="inlineStr">
        <is>
          <t>Pending</t>
        </is>
      </c>
      <c r="K36" s="55" t="inlineStr">
        <is>
          <t>N/A</t>
        </is>
      </c>
      <c r="L36" s="55" t="inlineStr">
        <is>
          <t>No</t>
        </is>
      </c>
      <c r="M36" s="55" t="n">
        <v>0</v>
      </c>
      <c r="N36" s="55" t="inlineStr">
        <is>
          <t>No</t>
        </is>
      </c>
      <c r="O36" s="55" t="inlineStr">
        <is>
          <t>None</t>
        </is>
      </c>
      <c r="P36" s="55"/>
      <c r="Q36" s="55" t="inlineStr">
        <is>
          <t>Pending</t>
        </is>
      </c>
      <c r="R36" s="55" t="inlineStr">
        <is>
          <t>Pending</t>
        </is>
      </c>
      <c r="S36" s="55" t="inlineStr">
        <is>
          <t>None</t>
        </is>
      </c>
      <c r="T36" s="76"/>
    </row>
    <row r="37">
      <c r="A37" s="75" t="inlineStr">
        <is>
          <t>P006</t>
        </is>
      </c>
      <c r="B37" s="60" t="n">
        <v>2</v>
      </c>
      <c r="C37" s="60" t="inlineStr">
        <is>
          <t>游戏手柄</t>
        </is>
      </c>
      <c r="D37" s="60" t="n">
        <v>2</v>
      </c>
      <c r="E37" s="60" t="inlineStr">
        <is>
          <t>EgoAnchor</t>
        </is>
      </c>
      <c r="F37" s="60" t="inlineStr">
        <is>
          <t>P006_Gamepad_S1</t>
        </is>
      </c>
      <c r="G37" s="55"/>
      <c r="H37" s="55"/>
      <c r="I37" s="55" t="inlineStr">
        <is>
          <t>Pending</t>
        </is>
      </c>
      <c r="J37" s="55" t="inlineStr">
        <is>
          <t>Pending</t>
        </is>
      </c>
      <c r="K37" s="55" t="inlineStr">
        <is>
          <t>Pending</t>
        </is>
      </c>
      <c r="L37" s="55" t="inlineStr">
        <is>
          <t>No</t>
        </is>
      </c>
      <c r="M37" s="55" t="n">
        <v>0</v>
      </c>
      <c r="N37" s="55" t="inlineStr">
        <is>
          <t>No</t>
        </is>
      </c>
      <c r="O37" s="55" t="inlineStr">
        <is>
          <t>None</t>
        </is>
      </c>
      <c r="P37" s="55"/>
      <c r="Q37" s="55" t="inlineStr">
        <is>
          <t>Pending</t>
        </is>
      </c>
      <c r="R37" s="55" t="inlineStr">
        <is>
          <t>Pending</t>
        </is>
      </c>
      <c r="S37" s="55" t="inlineStr">
        <is>
          <t>None</t>
        </is>
      </c>
      <c r="T37" s="76"/>
    </row>
    <row r="38">
      <c r="A38" s="75" t="inlineStr">
        <is>
          <t>P006</t>
        </is>
      </c>
      <c r="B38" s="60" t="n">
        <v>3</v>
      </c>
      <c r="C38" s="60" t="inlineStr">
        <is>
          <t>固定闭合订书机</t>
        </is>
      </c>
      <c r="D38" s="60" t="n">
        <v>1</v>
      </c>
      <c r="E38" s="60" t="inlineStr">
        <is>
          <t>EgoAnchor</t>
        </is>
      </c>
      <c r="F38" s="60" t="inlineStr">
        <is>
          <t>P006_Stapler_S1</t>
        </is>
      </c>
      <c r="G38" s="55"/>
      <c r="H38" s="55"/>
      <c r="I38" s="55" t="inlineStr">
        <is>
          <t>Pending</t>
        </is>
      </c>
      <c r="J38" s="55" t="inlineStr">
        <is>
          <t>Pending</t>
        </is>
      </c>
      <c r="K38" s="55" t="inlineStr">
        <is>
          <t>N/A</t>
        </is>
      </c>
      <c r="L38" s="55" t="inlineStr">
        <is>
          <t>No</t>
        </is>
      </c>
      <c r="M38" s="55" t="n">
        <v>0</v>
      </c>
      <c r="N38" s="55" t="inlineStr">
        <is>
          <t>No</t>
        </is>
      </c>
      <c r="O38" s="55" t="inlineStr">
        <is>
          <t>None</t>
        </is>
      </c>
      <c r="P38" s="55"/>
      <c r="Q38" s="55" t="inlineStr">
        <is>
          <t>Pending</t>
        </is>
      </c>
      <c r="R38" s="55" t="inlineStr">
        <is>
          <t>Pending</t>
        </is>
      </c>
      <c r="S38" s="55" t="inlineStr">
        <is>
          <t>None</t>
        </is>
      </c>
      <c r="T38" s="76"/>
    </row>
    <row r="39">
      <c r="A39" s="75" t="inlineStr">
        <is>
          <t>P006</t>
        </is>
      </c>
      <c r="B39" s="60" t="n">
        <v>3</v>
      </c>
      <c r="C39" s="60" t="inlineStr">
        <is>
          <t>固定闭合订书机</t>
        </is>
      </c>
      <c r="D39" s="60" t="n">
        <v>2</v>
      </c>
      <c r="E39" s="60" t="inlineStr">
        <is>
          <t>One-Euro</t>
        </is>
      </c>
      <c r="F39" s="60" t="inlineStr">
        <is>
          <t>P006_Stapler_S1</t>
        </is>
      </c>
      <c r="G39" s="55"/>
      <c r="H39" s="55"/>
      <c r="I39" s="55" t="inlineStr">
        <is>
          <t>Pending</t>
        </is>
      </c>
      <c r="J39" s="55" t="inlineStr">
        <is>
          <t>Pending</t>
        </is>
      </c>
      <c r="K39" s="55" t="inlineStr">
        <is>
          <t>Pending</t>
        </is>
      </c>
      <c r="L39" s="55" t="inlineStr">
        <is>
          <t>No</t>
        </is>
      </c>
      <c r="M39" s="55" t="n">
        <v>0</v>
      </c>
      <c r="N39" s="55" t="inlineStr">
        <is>
          <t>No</t>
        </is>
      </c>
      <c r="O39" s="55" t="inlineStr">
        <is>
          <t>None</t>
        </is>
      </c>
      <c r="P39" s="55"/>
      <c r="Q39" s="55" t="inlineStr">
        <is>
          <t>Pending</t>
        </is>
      </c>
      <c r="R39" s="55" t="inlineStr">
        <is>
          <t>Pending</t>
        </is>
      </c>
      <c r="S39" s="55" t="inlineStr">
        <is>
          <t>None</t>
        </is>
      </c>
      <c r="T39" s="76"/>
    </row>
    <row r="40">
      <c r="A40" s="75" t="inlineStr">
        <is>
          <t>P007</t>
        </is>
      </c>
      <c r="B40" s="60" t="n">
        <v>1</v>
      </c>
      <c r="C40" s="60" t="inlineStr">
        <is>
          <t>无线鼠标</t>
        </is>
      </c>
      <c r="D40" s="60" t="n">
        <v>1</v>
      </c>
      <c r="E40" s="60" t="inlineStr">
        <is>
          <t>One-Euro</t>
        </is>
      </c>
      <c r="F40" s="60" t="inlineStr">
        <is>
          <t>P007_Mouse_S1</t>
        </is>
      </c>
      <c r="G40" s="55"/>
      <c r="H40" s="55"/>
      <c r="I40" s="55" t="inlineStr">
        <is>
          <t>Pending</t>
        </is>
      </c>
      <c r="J40" s="55" t="inlineStr">
        <is>
          <t>Pending</t>
        </is>
      </c>
      <c r="K40" s="55" t="inlineStr">
        <is>
          <t>N/A</t>
        </is>
      </c>
      <c r="L40" s="55" t="inlineStr">
        <is>
          <t>No</t>
        </is>
      </c>
      <c r="M40" s="55" t="n">
        <v>0</v>
      </c>
      <c r="N40" s="55" t="inlineStr">
        <is>
          <t>No</t>
        </is>
      </c>
      <c r="O40" s="55" t="inlineStr">
        <is>
          <t>None</t>
        </is>
      </c>
      <c r="P40" s="55"/>
      <c r="Q40" s="55" t="inlineStr">
        <is>
          <t>Pending</t>
        </is>
      </c>
      <c r="R40" s="55" t="inlineStr">
        <is>
          <t>Pending</t>
        </is>
      </c>
      <c r="S40" s="55" t="inlineStr">
        <is>
          <t>None</t>
        </is>
      </c>
      <c r="T40" s="76"/>
    </row>
    <row r="41">
      <c r="A41" s="75" t="inlineStr">
        <is>
          <t>P007</t>
        </is>
      </c>
      <c r="B41" s="60" t="n">
        <v>1</v>
      </c>
      <c r="C41" s="60" t="inlineStr">
        <is>
          <t>无线鼠标</t>
        </is>
      </c>
      <c r="D41" s="60" t="n">
        <v>2</v>
      </c>
      <c r="E41" s="60" t="inlineStr">
        <is>
          <t>EgoAnchor</t>
        </is>
      </c>
      <c r="F41" s="60" t="inlineStr">
        <is>
          <t>P007_Mouse_S1</t>
        </is>
      </c>
      <c r="G41" s="55"/>
      <c r="H41" s="55"/>
      <c r="I41" s="55" t="inlineStr">
        <is>
          <t>Pending</t>
        </is>
      </c>
      <c r="J41" s="55" t="inlineStr">
        <is>
          <t>Pending</t>
        </is>
      </c>
      <c r="K41" s="55" t="inlineStr">
        <is>
          <t>Pending</t>
        </is>
      </c>
      <c r="L41" s="55" t="inlineStr">
        <is>
          <t>No</t>
        </is>
      </c>
      <c r="M41" s="55" t="n">
        <v>0</v>
      </c>
      <c r="N41" s="55" t="inlineStr">
        <is>
          <t>No</t>
        </is>
      </c>
      <c r="O41" s="55" t="inlineStr">
        <is>
          <t>None</t>
        </is>
      </c>
      <c r="P41" s="55"/>
      <c r="Q41" s="55" t="inlineStr">
        <is>
          <t>Pending</t>
        </is>
      </c>
      <c r="R41" s="55" t="inlineStr">
        <is>
          <t>Pending</t>
        </is>
      </c>
      <c r="S41" s="55" t="inlineStr">
        <is>
          <t>None</t>
        </is>
      </c>
      <c r="T41" s="76"/>
    </row>
    <row r="42">
      <c r="A42" s="75" t="inlineStr">
        <is>
          <t>P007</t>
        </is>
      </c>
      <c r="B42" s="60" t="n">
        <v>2</v>
      </c>
      <c r="C42" s="60" t="inlineStr">
        <is>
          <t>游戏手柄</t>
        </is>
      </c>
      <c r="D42" s="60" t="n">
        <v>1</v>
      </c>
      <c r="E42" s="60" t="inlineStr">
        <is>
          <t>EgoAnchor</t>
        </is>
      </c>
      <c r="F42" s="60" t="inlineStr">
        <is>
          <t>P007_Gamepad_S1</t>
        </is>
      </c>
      <c r="G42" s="55"/>
      <c r="H42" s="55"/>
      <c r="I42" s="55" t="inlineStr">
        <is>
          <t>Pending</t>
        </is>
      </c>
      <c r="J42" s="55" t="inlineStr">
        <is>
          <t>Pending</t>
        </is>
      </c>
      <c r="K42" s="55" t="inlineStr">
        <is>
          <t>N/A</t>
        </is>
      </c>
      <c r="L42" s="55" t="inlineStr">
        <is>
          <t>No</t>
        </is>
      </c>
      <c r="M42" s="55" t="n">
        <v>0</v>
      </c>
      <c r="N42" s="55" t="inlineStr">
        <is>
          <t>No</t>
        </is>
      </c>
      <c r="O42" s="55" t="inlineStr">
        <is>
          <t>None</t>
        </is>
      </c>
      <c r="P42" s="55"/>
      <c r="Q42" s="55" t="inlineStr">
        <is>
          <t>Pending</t>
        </is>
      </c>
      <c r="R42" s="55" t="inlineStr">
        <is>
          <t>Pending</t>
        </is>
      </c>
      <c r="S42" s="55" t="inlineStr">
        <is>
          <t>None</t>
        </is>
      </c>
      <c r="T42" s="76"/>
    </row>
    <row r="43">
      <c r="A43" s="75" t="inlineStr">
        <is>
          <t>P007</t>
        </is>
      </c>
      <c r="B43" s="60" t="n">
        <v>2</v>
      </c>
      <c r="C43" s="60" t="inlineStr">
        <is>
          <t>游戏手柄</t>
        </is>
      </c>
      <c r="D43" s="60" t="n">
        <v>2</v>
      </c>
      <c r="E43" s="60" t="inlineStr">
        <is>
          <t>One-Euro</t>
        </is>
      </c>
      <c r="F43" s="60" t="inlineStr">
        <is>
          <t>P007_Gamepad_S1</t>
        </is>
      </c>
      <c r="G43" s="55"/>
      <c r="H43" s="55"/>
      <c r="I43" s="55" t="inlineStr">
        <is>
          <t>Pending</t>
        </is>
      </c>
      <c r="J43" s="55" t="inlineStr">
        <is>
          <t>Pending</t>
        </is>
      </c>
      <c r="K43" s="55" t="inlineStr">
        <is>
          <t>Pending</t>
        </is>
      </c>
      <c r="L43" s="55" t="inlineStr">
        <is>
          <t>No</t>
        </is>
      </c>
      <c r="M43" s="55" t="n">
        <v>0</v>
      </c>
      <c r="N43" s="55" t="inlineStr">
        <is>
          <t>No</t>
        </is>
      </c>
      <c r="O43" s="55" t="inlineStr">
        <is>
          <t>None</t>
        </is>
      </c>
      <c r="P43" s="55"/>
      <c r="Q43" s="55" t="inlineStr">
        <is>
          <t>Pending</t>
        </is>
      </c>
      <c r="R43" s="55" t="inlineStr">
        <is>
          <t>Pending</t>
        </is>
      </c>
      <c r="S43" s="55" t="inlineStr">
        <is>
          <t>None</t>
        </is>
      </c>
      <c r="T43" s="76"/>
    </row>
    <row r="44">
      <c r="A44" s="75" t="inlineStr">
        <is>
          <t>P007</t>
        </is>
      </c>
      <c r="B44" s="60" t="n">
        <v>3</v>
      </c>
      <c r="C44" s="60" t="inlineStr">
        <is>
          <t>固定闭合订书机</t>
        </is>
      </c>
      <c r="D44" s="60" t="n">
        <v>1</v>
      </c>
      <c r="E44" s="60" t="inlineStr">
        <is>
          <t>One-Euro</t>
        </is>
      </c>
      <c r="F44" s="60" t="inlineStr">
        <is>
          <t>P007_Stapler_S1</t>
        </is>
      </c>
      <c r="G44" s="55"/>
      <c r="H44" s="55"/>
      <c r="I44" s="55" t="inlineStr">
        <is>
          <t>Pending</t>
        </is>
      </c>
      <c r="J44" s="55" t="inlineStr">
        <is>
          <t>Pending</t>
        </is>
      </c>
      <c r="K44" s="55" t="inlineStr">
        <is>
          <t>N/A</t>
        </is>
      </c>
      <c r="L44" s="55" t="inlineStr">
        <is>
          <t>No</t>
        </is>
      </c>
      <c r="M44" s="55" t="n">
        <v>0</v>
      </c>
      <c r="N44" s="55" t="inlineStr">
        <is>
          <t>No</t>
        </is>
      </c>
      <c r="O44" s="55" t="inlineStr">
        <is>
          <t>None</t>
        </is>
      </c>
      <c r="P44" s="55"/>
      <c r="Q44" s="55" t="inlineStr">
        <is>
          <t>Pending</t>
        </is>
      </c>
      <c r="R44" s="55" t="inlineStr">
        <is>
          <t>Pending</t>
        </is>
      </c>
      <c r="S44" s="55" t="inlineStr">
        <is>
          <t>None</t>
        </is>
      </c>
      <c r="T44" s="76"/>
    </row>
    <row r="45">
      <c r="A45" s="75" t="inlineStr">
        <is>
          <t>P007</t>
        </is>
      </c>
      <c r="B45" s="60" t="n">
        <v>3</v>
      </c>
      <c r="C45" s="60" t="inlineStr">
        <is>
          <t>固定闭合订书机</t>
        </is>
      </c>
      <c r="D45" s="60" t="n">
        <v>2</v>
      </c>
      <c r="E45" s="60" t="inlineStr">
        <is>
          <t>EgoAnchor</t>
        </is>
      </c>
      <c r="F45" s="60" t="inlineStr">
        <is>
          <t>P007_Stapler_S1</t>
        </is>
      </c>
      <c r="G45" s="55"/>
      <c r="H45" s="55"/>
      <c r="I45" s="55" t="inlineStr">
        <is>
          <t>Pending</t>
        </is>
      </c>
      <c r="J45" s="55" t="inlineStr">
        <is>
          <t>Pending</t>
        </is>
      </c>
      <c r="K45" s="55" t="inlineStr">
        <is>
          <t>Pending</t>
        </is>
      </c>
      <c r="L45" s="55" t="inlineStr">
        <is>
          <t>No</t>
        </is>
      </c>
      <c r="M45" s="55" t="n">
        <v>0</v>
      </c>
      <c r="N45" s="55" t="inlineStr">
        <is>
          <t>No</t>
        </is>
      </c>
      <c r="O45" s="55" t="inlineStr">
        <is>
          <t>None</t>
        </is>
      </c>
      <c r="P45" s="55"/>
      <c r="Q45" s="55" t="inlineStr">
        <is>
          <t>Pending</t>
        </is>
      </c>
      <c r="R45" s="55" t="inlineStr">
        <is>
          <t>Pending</t>
        </is>
      </c>
      <c r="S45" s="55" t="inlineStr">
        <is>
          <t>None</t>
        </is>
      </c>
      <c r="T45" s="76"/>
    </row>
    <row r="46">
      <c r="A46" s="75" t="inlineStr">
        <is>
          <t>P008</t>
        </is>
      </c>
      <c r="B46" s="60" t="n">
        <v>1</v>
      </c>
      <c r="C46" s="60" t="inlineStr">
        <is>
          <t>无线鼠标</t>
        </is>
      </c>
      <c r="D46" s="60" t="n">
        <v>1</v>
      </c>
      <c r="E46" s="60" t="inlineStr">
        <is>
          <t>One-Euro</t>
        </is>
      </c>
      <c r="F46" s="60" t="inlineStr">
        <is>
          <t>P008_Mouse_S1</t>
        </is>
      </c>
      <c r="G46" s="55"/>
      <c r="H46" s="55"/>
      <c r="I46" s="55" t="inlineStr">
        <is>
          <t>Pending</t>
        </is>
      </c>
      <c r="J46" s="55" t="inlineStr">
        <is>
          <t>Pending</t>
        </is>
      </c>
      <c r="K46" s="55" t="inlineStr">
        <is>
          <t>N/A</t>
        </is>
      </c>
      <c r="L46" s="55" t="inlineStr">
        <is>
          <t>No</t>
        </is>
      </c>
      <c r="M46" s="55" t="n">
        <v>0</v>
      </c>
      <c r="N46" s="55" t="inlineStr">
        <is>
          <t>No</t>
        </is>
      </c>
      <c r="O46" s="55" t="inlineStr">
        <is>
          <t>None</t>
        </is>
      </c>
      <c r="P46" s="55"/>
      <c r="Q46" s="55" t="inlineStr">
        <is>
          <t>Pending</t>
        </is>
      </c>
      <c r="R46" s="55" t="inlineStr">
        <is>
          <t>Pending</t>
        </is>
      </c>
      <c r="S46" s="55" t="inlineStr">
        <is>
          <t>None</t>
        </is>
      </c>
      <c r="T46" s="76"/>
    </row>
    <row r="47">
      <c r="A47" s="75" t="inlineStr">
        <is>
          <t>P008</t>
        </is>
      </c>
      <c r="B47" s="60" t="n">
        <v>1</v>
      </c>
      <c r="C47" s="60" t="inlineStr">
        <is>
          <t>无线鼠标</t>
        </is>
      </c>
      <c r="D47" s="60" t="n">
        <v>2</v>
      </c>
      <c r="E47" s="60" t="inlineStr">
        <is>
          <t>EgoAnchor</t>
        </is>
      </c>
      <c r="F47" s="60" t="inlineStr">
        <is>
          <t>P008_Mouse_S1</t>
        </is>
      </c>
      <c r="G47" s="55"/>
      <c r="H47" s="55"/>
      <c r="I47" s="55" t="inlineStr">
        <is>
          <t>Pending</t>
        </is>
      </c>
      <c r="J47" s="55" t="inlineStr">
        <is>
          <t>Pending</t>
        </is>
      </c>
      <c r="K47" s="55" t="inlineStr">
        <is>
          <t>Pending</t>
        </is>
      </c>
      <c r="L47" s="55" t="inlineStr">
        <is>
          <t>No</t>
        </is>
      </c>
      <c r="M47" s="55" t="n">
        <v>0</v>
      </c>
      <c r="N47" s="55" t="inlineStr">
        <is>
          <t>No</t>
        </is>
      </c>
      <c r="O47" s="55" t="inlineStr">
        <is>
          <t>None</t>
        </is>
      </c>
      <c r="P47" s="55"/>
      <c r="Q47" s="55" t="inlineStr">
        <is>
          <t>Pending</t>
        </is>
      </c>
      <c r="R47" s="55" t="inlineStr">
        <is>
          <t>Pending</t>
        </is>
      </c>
      <c r="S47" s="55" t="inlineStr">
        <is>
          <t>None</t>
        </is>
      </c>
      <c r="T47" s="76"/>
    </row>
    <row r="48">
      <c r="A48" s="75" t="inlineStr">
        <is>
          <t>P008</t>
        </is>
      </c>
      <c r="B48" s="60" t="n">
        <v>2</v>
      </c>
      <c r="C48" s="60" t="inlineStr">
        <is>
          <t>游戏手柄</t>
        </is>
      </c>
      <c r="D48" s="60" t="n">
        <v>1</v>
      </c>
      <c r="E48" s="60" t="inlineStr">
        <is>
          <t>EgoAnchor</t>
        </is>
      </c>
      <c r="F48" s="60" t="inlineStr">
        <is>
          <t>P008_Gamepad_S1</t>
        </is>
      </c>
      <c r="G48" s="55"/>
      <c r="H48" s="55"/>
      <c r="I48" s="55" t="inlineStr">
        <is>
          <t>Pending</t>
        </is>
      </c>
      <c r="J48" s="55" t="inlineStr">
        <is>
          <t>Pending</t>
        </is>
      </c>
      <c r="K48" s="55" t="inlineStr">
        <is>
          <t>N/A</t>
        </is>
      </c>
      <c r="L48" s="55" t="inlineStr">
        <is>
          <t>No</t>
        </is>
      </c>
      <c r="M48" s="55" t="n">
        <v>0</v>
      </c>
      <c r="N48" s="55" t="inlineStr">
        <is>
          <t>No</t>
        </is>
      </c>
      <c r="O48" s="55" t="inlineStr">
        <is>
          <t>None</t>
        </is>
      </c>
      <c r="P48" s="55"/>
      <c r="Q48" s="55" t="inlineStr">
        <is>
          <t>Pending</t>
        </is>
      </c>
      <c r="R48" s="55" t="inlineStr">
        <is>
          <t>Pending</t>
        </is>
      </c>
      <c r="S48" s="55" t="inlineStr">
        <is>
          <t>None</t>
        </is>
      </c>
      <c r="T48" s="76"/>
    </row>
    <row r="49">
      <c r="A49" s="75" t="inlineStr">
        <is>
          <t>P008</t>
        </is>
      </c>
      <c r="B49" s="60" t="n">
        <v>2</v>
      </c>
      <c r="C49" s="60" t="inlineStr">
        <is>
          <t>游戏手柄</t>
        </is>
      </c>
      <c r="D49" s="60" t="n">
        <v>2</v>
      </c>
      <c r="E49" s="60" t="inlineStr">
        <is>
          <t>One-Euro</t>
        </is>
      </c>
      <c r="F49" s="60" t="inlineStr">
        <is>
          <t>P008_Gamepad_S1</t>
        </is>
      </c>
      <c r="G49" s="55"/>
      <c r="H49" s="55"/>
      <c r="I49" s="55" t="inlineStr">
        <is>
          <t>Pending</t>
        </is>
      </c>
      <c r="J49" s="55" t="inlineStr">
        <is>
          <t>Pending</t>
        </is>
      </c>
      <c r="K49" s="55" t="inlineStr">
        <is>
          <t>Pending</t>
        </is>
      </c>
      <c r="L49" s="55" t="inlineStr">
        <is>
          <t>No</t>
        </is>
      </c>
      <c r="M49" s="55" t="n">
        <v>0</v>
      </c>
      <c r="N49" s="55" t="inlineStr">
        <is>
          <t>No</t>
        </is>
      </c>
      <c r="O49" s="55" t="inlineStr">
        <is>
          <t>None</t>
        </is>
      </c>
      <c r="P49" s="55"/>
      <c r="Q49" s="55" t="inlineStr">
        <is>
          <t>Pending</t>
        </is>
      </c>
      <c r="R49" s="55" t="inlineStr">
        <is>
          <t>Pending</t>
        </is>
      </c>
      <c r="S49" s="55" t="inlineStr">
        <is>
          <t>None</t>
        </is>
      </c>
      <c r="T49" s="76"/>
    </row>
    <row r="50">
      <c r="A50" s="75" t="inlineStr">
        <is>
          <t>P008</t>
        </is>
      </c>
      <c r="B50" s="60" t="n">
        <v>3</v>
      </c>
      <c r="C50" s="60" t="inlineStr">
        <is>
          <t>固定闭合订书机</t>
        </is>
      </c>
      <c r="D50" s="60" t="n">
        <v>1</v>
      </c>
      <c r="E50" s="60" t="inlineStr">
        <is>
          <t>One-Euro</t>
        </is>
      </c>
      <c r="F50" s="60" t="inlineStr">
        <is>
          <t>P008_Stapler_S1</t>
        </is>
      </c>
      <c r="G50" s="55"/>
      <c r="H50" s="55"/>
      <c r="I50" s="55" t="inlineStr">
        <is>
          <t>Pending</t>
        </is>
      </c>
      <c r="J50" s="55" t="inlineStr">
        <is>
          <t>Pending</t>
        </is>
      </c>
      <c r="K50" s="55" t="inlineStr">
        <is>
          <t>N/A</t>
        </is>
      </c>
      <c r="L50" s="55" t="inlineStr">
        <is>
          <t>No</t>
        </is>
      </c>
      <c r="M50" s="55" t="n">
        <v>0</v>
      </c>
      <c r="N50" s="55" t="inlineStr">
        <is>
          <t>No</t>
        </is>
      </c>
      <c r="O50" s="55" t="inlineStr">
        <is>
          <t>None</t>
        </is>
      </c>
      <c r="P50" s="55"/>
      <c r="Q50" s="55" t="inlineStr">
        <is>
          <t>Pending</t>
        </is>
      </c>
      <c r="R50" s="55" t="inlineStr">
        <is>
          <t>Pending</t>
        </is>
      </c>
      <c r="S50" s="55" t="inlineStr">
        <is>
          <t>None</t>
        </is>
      </c>
      <c r="T50" s="76"/>
    </row>
    <row r="51">
      <c r="A51" s="75" t="inlineStr">
        <is>
          <t>P008</t>
        </is>
      </c>
      <c r="B51" s="60" t="n">
        <v>3</v>
      </c>
      <c r="C51" s="60" t="inlineStr">
        <is>
          <t>固定闭合订书机</t>
        </is>
      </c>
      <c r="D51" s="60" t="n">
        <v>2</v>
      </c>
      <c r="E51" s="60" t="inlineStr">
        <is>
          <t>EgoAnchor</t>
        </is>
      </c>
      <c r="F51" s="60" t="inlineStr">
        <is>
          <t>P008_Stapler_S1</t>
        </is>
      </c>
      <c r="G51" s="55"/>
      <c r="H51" s="55"/>
      <c r="I51" s="55" t="inlineStr">
        <is>
          <t>Pending</t>
        </is>
      </c>
      <c r="J51" s="55" t="inlineStr">
        <is>
          <t>Pending</t>
        </is>
      </c>
      <c r="K51" s="55" t="inlineStr">
        <is>
          <t>Pending</t>
        </is>
      </c>
      <c r="L51" s="55" t="inlineStr">
        <is>
          <t>No</t>
        </is>
      </c>
      <c r="M51" s="55" t="n">
        <v>0</v>
      </c>
      <c r="N51" s="55" t="inlineStr">
        <is>
          <t>No</t>
        </is>
      </c>
      <c r="O51" s="55" t="inlineStr">
        <is>
          <t>None</t>
        </is>
      </c>
      <c r="P51" s="55"/>
      <c r="Q51" s="55" t="inlineStr">
        <is>
          <t>Pending</t>
        </is>
      </c>
      <c r="R51" s="55" t="inlineStr">
        <is>
          <t>Pending</t>
        </is>
      </c>
      <c r="S51" s="55" t="inlineStr">
        <is>
          <t>None</t>
        </is>
      </c>
      <c r="T51" s="76"/>
    </row>
    <row r="52">
      <c r="A52" s="75" t="inlineStr">
        <is>
          <t>P009</t>
        </is>
      </c>
      <c r="B52" s="60" t="n">
        <v>1</v>
      </c>
      <c r="C52" s="60" t="inlineStr">
        <is>
          <t>固定闭合订书机</t>
        </is>
      </c>
      <c r="D52" s="60" t="n">
        <v>1</v>
      </c>
      <c r="E52" s="60" t="inlineStr">
        <is>
          <t>EgoAnchor</t>
        </is>
      </c>
      <c r="F52" s="60" t="inlineStr">
        <is>
          <t>P009_Stapler_S1</t>
        </is>
      </c>
      <c r="G52" s="55"/>
      <c r="H52" s="55"/>
      <c r="I52" s="55" t="inlineStr">
        <is>
          <t>Pending</t>
        </is>
      </c>
      <c r="J52" s="55" t="inlineStr">
        <is>
          <t>Pending</t>
        </is>
      </c>
      <c r="K52" s="55" t="inlineStr">
        <is>
          <t>N/A</t>
        </is>
      </c>
      <c r="L52" s="55" t="inlineStr">
        <is>
          <t>No</t>
        </is>
      </c>
      <c r="M52" s="55" t="n">
        <v>0</v>
      </c>
      <c r="N52" s="55" t="inlineStr">
        <is>
          <t>No</t>
        </is>
      </c>
      <c r="O52" s="55" t="inlineStr">
        <is>
          <t>None</t>
        </is>
      </c>
      <c r="P52" s="55"/>
      <c r="Q52" s="55" t="inlineStr">
        <is>
          <t>Pending</t>
        </is>
      </c>
      <c r="R52" s="55" t="inlineStr">
        <is>
          <t>Pending</t>
        </is>
      </c>
      <c r="S52" s="55" t="inlineStr">
        <is>
          <t>None</t>
        </is>
      </c>
      <c r="T52" s="76"/>
    </row>
    <row r="53">
      <c r="A53" s="75" t="inlineStr">
        <is>
          <t>P009</t>
        </is>
      </c>
      <c r="B53" s="60" t="n">
        <v>1</v>
      </c>
      <c r="C53" s="60" t="inlineStr">
        <is>
          <t>固定闭合订书机</t>
        </is>
      </c>
      <c r="D53" s="60" t="n">
        <v>2</v>
      </c>
      <c r="E53" s="60" t="inlineStr">
        <is>
          <t>One-Euro</t>
        </is>
      </c>
      <c r="F53" s="60" t="inlineStr">
        <is>
          <t>P009_Stapler_S1</t>
        </is>
      </c>
      <c r="G53" s="55"/>
      <c r="H53" s="55"/>
      <c r="I53" s="55" t="inlineStr">
        <is>
          <t>Pending</t>
        </is>
      </c>
      <c r="J53" s="55" t="inlineStr">
        <is>
          <t>Pending</t>
        </is>
      </c>
      <c r="K53" s="55" t="inlineStr">
        <is>
          <t>Pending</t>
        </is>
      </c>
      <c r="L53" s="55" t="inlineStr">
        <is>
          <t>No</t>
        </is>
      </c>
      <c r="M53" s="55" t="n">
        <v>0</v>
      </c>
      <c r="N53" s="55" t="inlineStr">
        <is>
          <t>No</t>
        </is>
      </c>
      <c r="O53" s="55" t="inlineStr">
        <is>
          <t>None</t>
        </is>
      </c>
      <c r="P53" s="55"/>
      <c r="Q53" s="55" t="inlineStr">
        <is>
          <t>Pending</t>
        </is>
      </c>
      <c r="R53" s="55" t="inlineStr">
        <is>
          <t>Pending</t>
        </is>
      </c>
      <c r="S53" s="55" t="inlineStr">
        <is>
          <t>None</t>
        </is>
      </c>
      <c r="T53" s="76"/>
    </row>
    <row r="54">
      <c r="A54" s="75" t="inlineStr">
        <is>
          <t>P009</t>
        </is>
      </c>
      <c r="B54" s="60" t="n">
        <v>2</v>
      </c>
      <c r="C54" s="60" t="inlineStr">
        <is>
          <t>无线鼠标</t>
        </is>
      </c>
      <c r="D54" s="60" t="n">
        <v>1</v>
      </c>
      <c r="E54" s="60" t="inlineStr">
        <is>
          <t>One-Euro</t>
        </is>
      </c>
      <c r="F54" s="60" t="inlineStr">
        <is>
          <t>P009_Mouse_S1</t>
        </is>
      </c>
      <c r="G54" s="55"/>
      <c r="H54" s="55"/>
      <c r="I54" s="55" t="inlineStr">
        <is>
          <t>Pending</t>
        </is>
      </c>
      <c r="J54" s="55" t="inlineStr">
        <is>
          <t>Pending</t>
        </is>
      </c>
      <c r="K54" s="55" t="inlineStr">
        <is>
          <t>N/A</t>
        </is>
      </c>
      <c r="L54" s="55" t="inlineStr">
        <is>
          <t>No</t>
        </is>
      </c>
      <c r="M54" s="55" t="n">
        <v>0</v>
      </c>
      <c r="N54" s="55" t="inlineStr">
        <is>
          <t>No</t>
        </is>
      </c>
      <c r="O54" s="55" t="inlineStr">
        <is>
          <t>None</t>
        </is>
      </c>
      <c r="P54" s="55"/>
      <c r="Q54" s="55" t="inlineStr">
        <is>
          <t>Pending</t>
        </is>
      </c>
      <c r="R54" s="55" t="inlineStr">
        <is>
          <t>Pending</t>
        </is>
      </c>
      <c r="S54" s="55" t="inlineStr">
        <is>
          <t>None</t>
        </is>
      </c>
      <c r="T54" s="76"/>
    </row>
    <row r="55">
      <c r="A55" s="75" t="inlineStr">
        <is>
          <t>P009</t>
        </is>
      </c>
      <c r="B55" s="60" t="n">
        <v>2</v>
      </c>
      <c r="C55" s="60" t="inlineStr">
        <is>
          <t>无线鼠标</t>
        </is>
      </c>
      <c r="D55" s="60" t="n">
        <v>2</v>
      </c>
      <c r="E55" s="60" t="inlineStr">
        <is>
          <t>EgoAnchor</t>
        </is>
      </c>
      <c r="F55" s="60" t="inlineStr">
        <is>
          <t>P009_Mouse_S1</t>
        </is>
      </c>
      <c r="G55" s="55"/>
      <c r="H55" s="55"/>
      <c r="I55" s="55" t="inlineStr">
        <is>
          <t>Pending</t>
        </is>
      </c>
      <c r="J55" s="55" t="inlineStr">
        <is>
          <t>Pending</t>
        </is>
      </c>
      <c r="K55" s="55" t="inlineStr">
        <is>
          <t>Pending</t>
        </is>
      </c>
      <c r="L55" s="55" t="inlineStr">
        <is>
          <t>No</t>
        </is>
      </c>
      <c r="M55" s="55" t="n">
        <v>0</v>
      </c>
      <c r="N55" s="55" t="inlineStr">
        <is>
          <t>No</t>
        </is>
      </c>
      <c r="O55" s="55" t="inlineStr">
        <is>
          <t>None</t>
        </is>
      </c>
      <c r="P55" s="55"/>
      <c r="Q55" s="55" t="inlineStr">
        <is>
          <t>Pending</t>
        </is>
      </c>
      <c r="R55" s="55" t="inlineStr">
        <is>
          <t>Pending</t>
        </is>
      </c>
      <c r="S55" s="55" t="inlineStr">
        <is>
          <t>None</t>
        </is>
      </c>
      <c r="T55" s="76"/>
    </row>
    <row r="56">
      <c r="A56" s="75" t="inlineStr">
        <is>
          <t>P009</t>
        </is>
      </c>
      <c r="B56" s="60" t="n">
        <v>3</v>
      </c>
      <c r="C56" s="60" t="inlineStr">
        <is>
          <t>游戏手柄</t>
        </is>
      </c>
      <c r="D56" s="60" t="n">
        <v>1</v>
      </c>
      <c r="E56" s="60" t="inlineStr">
        <is>
          <t>EgoAnchor</t>
        </is>
      </c>
      <c r="F56" s="60" t="inlineStr">
        <is>
          <t>P009_Gamepad_S1</t>
        </is>
      </c>
      <c r="G56" s="55"/>
      <c r="H56" s="55"/>
      <c r="I56" s="55" t="inlineStr">
        <is>
          <t>Pending</t>
        </is>
      </c>
      <c r="J56" s="55" t="inlineStr">
        <is>
          <t>Pending</t>
        </is>
      </c>
      <c r="K56" s="55" t="inlineStr">
        <is>
          <t>N/A</t>
        </is>
      </c>
      <c r="L56" s="55" t="inlineStr">
        <is>
          <t>No</t>
        </is>
      </c>
      <c r="M56" s="55" t="n">
        <v>0</v>
      </c>
      <c r="N56" s="55" t="inlineStr">
        <is>
          <t>No</t>
        </is>
      </c>
      <c r="O56" s="55" t="inlineStr">
        <is>
          <t>None</t>
        </is>
      </c>
      <c r="P56" s="55"/>
      <c r="Q56" s="55" t="inlineStr">
        <is>
          <t>Pending</t>
        </is>
      </c>
      <c r="R56" s="55" t="inlineStr">
        <is>
          <t>Pending</t>
        </is>
      </c>
      <c r="S56" s="55" t="inlineStr">
        <is>
          <t>None</t>
        </is>
      </c>
      <c r="T56" s="76"/>
    </row>
    <row r="57">
      <c r="A57" s="75" t="inlineStr">
        <is>
          <t>P009</t>
        </is>
      </c>
      <c r="B57" s="60" t="n">
        <v>3</v>
      </c>
      <c r="C57" s="60" t="inlineStr">
        <is>
          <t>游戏手柄</t>
        </is>
      </c>
      <c r="D57" s="60" t="n">
        <v>2</v>
      </c>
      <c r="E57" s="60" t="inlineStr">
        <is>
          <t>One-Euro</t>
        </is>
      </c>
      <c r="F57" s="60" t="inlineStr">
        <is>
          <t>P009_Gamepad_S1</t>
        </is>
      </c>
      <c r="G57" s="55"/>
      <c r="H57" s="55"/>
      <c r="I57" s="55" t="inlineStr">
        <is>
          <t>Pending</t>
        </is>
      </c>
      <c r="J57" s="55" t="inlineStr">
        <is>
          <t>Pending</t>
        </is>
      </c>
      <c r="K57" s="55" t="inlineStr">
        <is>
          <t>Pending</t>
        </is>
      </c>
      <c r="L57" s="55" t="inlineStr">
        <is>
          <t>No</t>
        </is>
      </c>
      <c r="M57" s="55" t="n">
        <v>0</v>
      </c>
      <c r="N57" s="55" t="inlineStr">
        <is>
          <t>No</t>
        </is>
      </c>
      <c r="O57" s="55" t="inlineStr">
        <is>
          <t>None</t>
        </is>
      </c>
      <c r="P57" s="55"/>
      <c r="Q57" s="55" t="inlineStr">
        <is>
          <t>Pending</t>
        </is>
      </c>
      <c r="R57" s="55" t="inlineStr">
        <is>
          <t>Pending</t>
        </is>
      </c>
      <c r="S57" s="55" t="inlineStr">
        <is>
          <t>None</t>
        </is>
      </c>
      <c r="T57" s="76"/>
    </row>
    <row r="58">
      <c r="A58" s="75" t="inlineStr">
        <is>
          <t>P010</t>
        </is>
      </c>
      <c r="B58" s="60" t="n">
        <v>1</v>
      </c>
      <c r="C58" s="60" t="inlineStr">
        <is>
          <t>固定闭合订书机</t>
        </is>
      </c>
      <c r="D58" s="60" t="n">
        <v>1</v>
      </c>
      <c r="E58" s="60" t="inlineStr">
        <is>
          <t>EgoAnchor</t>
        </is>
      </c>
      <c r="F58" s="60" t="inlineStr">
        <is>
          <t>P010_Stapler_S1</t>
        </is>
      </c>
      <c r="G58" s="55"/>
      <c r="H58" s="55"/>
      <c r="I58" s="55" t="inlineStr">
        <is>
          <t>Pending</t>
        </is>
      </c>
      <c r="J58" s="55" t="inlineStr">
        <is>
          <t>Pending</t>
        </is>
      </c>
      <c r="K58" s="55" t="inlineStr">
        <is>
          <t>N/A</t>
        </is>
      </c>
      <c r="L58" s="55" t="inlineStr">
        <is>
          <t>No</t>
        </is>
      </c>
      <c r="M58" s="55" t="n">
        <v>0</v>
      </c>
      <c r="N58" s="55" t="inlineStr">
        <is>
          <t>No</t>
        </is>
      </c>
      <c r="O58" s="55" t="inlineStr">
        <is>
          <t>None</t>
        </is>
      </c>
      <c r="P58" s="55"/>
      <c r="Q58" s="55" t="inlineStr">
        <is>
          <t>Pending</t>
        </is>
      </c>
      <c r="R58" s="55" t="inlineStr">
        <is>
          <t>Pending</t>
        </is>
      </c>
      <c r="S58" s="55" t="inlineStr">
        <is>
          <t>None</t>
        </is>
      </c>
      <c r="T58" s="76"/>
    </row>
    <row r="59">
      <c r="A59" s="75" t="inlineStr">
        <is>
          <t>P010</t>
        </is>
      </c>
      <c r="B59" s="60" t="n">
        <v>1</v>
      </c>
      <c r="C59" s="60" t="inlineStr">
        <is>
          <t>固定闭合订书机</t>
        </is>
      </c>
      <c r="D59" s="60" t="n">
        <v>2</v>
      </c>
      <c r="E59" s="60" t="inlineStr">
        <is>
          <t>One-Euro</t>
        </is>
      </c>
      <c r="F59" s="60" t="inlineStr">
        <is>
          <t>P010_Stapler_S1</t>
        </is>
      </c>
      <c r="G59" s="55"/>
      <c r="H59" s="55"/>
      <c r="I59" s="55" t="inlineStr">
        <is>
          <t>Pending</t>
        </is>
      </c>
      <c r="J59" s="55" t="inlineStr">
        <is>
          <t>Pending</t>
        </is>
      </c>
      <c r="K59" s="55" t="inlineStr">
        <is>
          <t>Pending</t>
        </is>
      </c>
      <c r="L59" s="55" t="inlineStr">
        <is>
          <t>No</t>
        </is>
      </c>
      <c r="M59" s="55" t="n">
        <v>0</v>
      </c>
      <c r="N59" s="55" t="inlineStr">
        <is>
          <t>No</t>
        </is>
      </c>
      <c r="O59" s="55" t="inlineStr">
        <is>
          <t>None</t>
        </is>
      </c>
      <c r="P59" s="55"/>
      <c r="Q59" s="55" t="inlineStr">
        <is>
          <t>Pending</t>
        </is>
      </c>
      <c r="R59" s="55" t="inlineStr">
        <is>
          <t>Pending</t>
        </is>
      </c>
      <c r="S59" s="55" t="inlineStr">
        <is>
          <t>None</t>
        </is>
      </c>
      <c r="T59" s="76"/>
    </row>
    <row r="60">
      <c r="A60" s="75" t="inlineStr">
        <is>
          <t>P010</t>
        </is>
      </c>
      <c r="B60" s="60" t="n">
        <v>2</v>
      </c>
      <c r="C60" s="60" t="inlineStr">
        <is>
          <t>无线鼠标</t>
        </is>
      </c>
      <c r="D60" s="60" t="n">
        <v>1</v>
      </c>
      <c r="E60" s="60" t="inlineStr">
        <is>
          <t>One-Euro</t>
        </is>
      </c>
      <c r="F60" s="60" t="inlineStr">
        <is>
          <t>P010_Mouse_S1</t>
        </is>
      </c>
      <c r="G60" s="55"/>
      <c r="H60" s="55"/>
      <c r="I60" s="55" t="inlineStr">
        <is>
          <t>Pending</t>
        </is>
      </c>
      <c r="J60" s="55" t="inlineStr">
        <is>
          <t>Pending</t>
        </is>
      </c>
      <c r="K60" s="55" t="inlineStr">
        <is>
          <t>N/A</t>
        </is>
      </c>
      <c r="L60" s="55" t="inlineStr">
        <is>
          <t>No</t>
        </is>
      </c>
      <c r="M60" s="55" t="n">
        <v>0</v>
      </c>
      <c r="N60" s="55" t="inlineStr">
        <is>
          <t>No</t>
        </is>
      </c>
      <c r="O60" s="55" t="inlineStr">
        <is>
          <t>None</t>
        </is>
      </c>
      <c r="P60" s="55"/>
      <c r="Q60" s="55" t="inlineStr">
        <is>
          <t>Pending</t>
        </is>
      </c>
      <c r="R60" s="55" t="inlineStr">
        <is>
          <t>Pending</t>
        </is>
      </c>
      <c r="S60" s="55" t="inlineStr">
        <is>
          <t>None</t>
        </is>
      </c>
      <c r="T60" s="76"/>
    </row>
    <row r="61">
      <c r="A61" s="75" t="inlineStr">
        <is>
          <t>P010</t>
        </is>
      </c>
      <c r="B61" s="60" t="n">
        <v>2</v>
      </c>
      <c r="C61" s="60" t="inlineStr">
        <is>
          <t>无线鼠标</t>
        </is>
      </c>
      <c r="D61" s="60" t="n">
        <v>2</v>
      </c>
      <c r="E61" s="60" t="inlineStr">
        <is>
          <t>EgoAnchor</t>
        </is>
      </c>
      <c r="F61" s="60" t="inlineStr">
        <is>
          <t>P010_Mouse_S1</t>
        </is>
      </c>
      <c r="G61" s="55"/>
      <c r="H61" s="55"/>
      <c r="I61" s="55" t="inlineStr">
        <is>
          <t>Pending</t>
        </is>
      </c>
      <c r="J61" s="55" t="inlineStr">
        <is>
          <t>Pending</t>
        </is>
      </c>
      <c r="K61" s="55" t="inlineStr">
        <is>
          <t>Pending</t>
        </is>
      </c>
      <c r="L61" s="55" t="inlineStr">
        <is>
          <t>No</t>
        </is>
      </c>
      <c r="M61" s="55" t="n">
        <v>0</v>
      </c>
      <c r="N61" s="55" t="inlineStr">
        <is>
          <t>No</t>
        </is>
      </c>
      <c r="O61" s="55" t="inlineStr">
        <is>
          <t>None</t>
        </is>
      </c>
      <c r="P61" s="55"/>
      <c r="Q61" s="55" t="inlineStr">
        <is>
          <t>Pending</t>
        </is>
      </c>
      <c r="R61" s="55" t="inlineStr">
        <is>
          <t>Pending</t>
        </is>
      </c>
      <c r="S61" s="55" t="inlineStr">
        <is>
          <t>None</t>
        </is>
      </c>
      <c r="T61" s="76"/>
    </row>
    <row r="62">
      <c r="A62" s="75" t="inlineStr">
        <is>
          <t>P010</t>
        </is>
      </c>
      <c r="B62" s="60" t="n">
        <v>3</v>
      </c>
      <c r="C62" s="60" t="inlineStr">
        <is>
          <t>游戏手柄</t>
        </is>
      </c>
      <c r="D62" s="60" t="n">
        <v>1</v>
      </c>
      <c r="E62" s="60" t="inlineStr">
        <is>
          <t>EgoAnchor</t>
        </is>
      </c>
      <c r="F62" s="60" t="inlineStr">
        <is>
          <t>P010_Gamepad_S1</t>
        </is>
      </c>
      <c r="G62" s="55"/>
      <c r="H62" s="55"/>
      <c r="I62" s="55" t="inlineStr">
        <is>
          <t>Pending</t>
        </is>
      </c>
      <c r="J62" s="55" t="inlineStr">
        <is>
          <t>Pending</t>
        </is>
      </c>
      <c r="K62" s="55" t="inlineStr">
        <is>
          <t>N/A</t>
        </is>
      </c>
      <c r="L62" s="55" t="inlineStr">
        <is>
          <t>No</t>
        </is>
      </c>
      <c r="M62" s="55" t="n">
        <v>0</v>
      </c>
      <c r="N62" s="55" t="inlineStr">
        <is>
          <t>No</t>
        </is>
      </c>
      <c r="O62" s="55" t="inlineStr">
        <is>
          <t>None</t>
        </is>
      </c>
      <c r="P62" s="55"/>
      <c r="Q62" s="55" t="inlineStr">
        <is>
          <t>Pending</t>
        </is>
      </c>
      <c r="R62" s="55" t="inlineStr">
        <is>
          <t>Pending</t>
        </is>
      </c>
      <c r="S62" s="55" t="inlineStr">
        <is>
          <t>None</t>
        </is>
      </c>
      <c r="T62" s="76"/>
    </row>
    <row r="63">
      <c r="A63" s="75" t="inlineStr">
        <is>
          <t>P010</t>
        </is>
      </c>
      <c r="B63" s="60" t="n">
        <v>3</v>
      </c>
      <c r="C63" s="60" t="inlineStr">
        <is>
          <t>游戏手柄</t>
        </is>
      </c>
      <c r="D63" s="60" t="n">
        <v>2</v>
      </c>
      <c r="E63" s="60" t="inlineStr">
        <is>
          <t>One-Euro</t>
        </is>
      </c>
      <c r="F63" s="60" t="inlineStr">
        <is>
          <t>P010_Gamepad_S1</t>
        </is>
      </c>
      <c r="G63" s="55"/>
      <c r="H63" s="55"/>
      <c r="I63" s="55" t="inlineStr">
        <is>
          <t>Pending</t>
        </is>
      </c>
      <c r="J63" s="55" t="inlineStr">
        <is>
          <t>Pending</t>
        </is>
      </c>
      <c r="K63" s="55" t="inlineStr">
        <is>
          <t>Pending</t>
        </is>
      </c>
      <c r="L63" s="55" t="inlineStr">
        <is>
          <t>No</t>
        </is>
      </c>
      <c r="M63" s="55" t="n">
        <v>0</v>
      </c>
      <c r="N63" s="55" t="inlineStr">
        <is>
          <t>No</t>
        </is>
      </c>
      <c r="O63" s="55" t="inlineStr">
        <is>
          <t>None</t>
        </is>
      </c>
      <c r="P63" s="55"/>
      <c r="Q63" s="55" t="inlineStr">
        <is>
          <t>Pending</t>
        </is>
      </c>
      <c r="R63" s="55" t="inlineStr">
        <is>
          <t>Pending</t>
        </is>
      </c>
      <c r="S63" s="55" t="inlineStr">
        <is>
          <t>None</t>
        </is>
      </c>
      <c r="T63" s="76"/>
    </row>
    <row r="64">
      <c r="A64" s="75" t="inlineStr">
        <is>
          <t>P011</t>
        </is>
      </c>
      <c r="B64" s="60" t="n">
        <v>1</v>
      </c>
      <c r="C64" s="60" t="inlineStr">
        <is>
          <t>固定闭合订书机</t>
        </is>
      </c>
      <c r="D64" s="60" t="n">
        <v>1</v>
      </c>
      <c r="E64" s="60" t="inlineStr">
        <is>
          <t>One-Euro</t>
        </is>
      </c>
      <c r="F64" s="60" t="inlineStr">
        <is>
          <t>P011_Stapler_S1</t>
        </is>
      </c>
      <c r="G64" s="55"/>
      <c r="H64" s="55"/>
      <c r="I64" s="55" t="inlineStr">
        <is>
          <t>Pending</t>
        </is>
      </c>
      <c r="J64" s="55" t="inlineStr">
        <is>
          <t>Pending</t>
        </is>
      </c>
      <c r="K64" s="55" t="inlineStr">
        <is>
          <t>N/A</t>
        </is>
      </c>
      <c r="L64" s="55" t="inlineStr">
        <is>
          <t>No</t>
        </is>
      </c>
      <c r="M64" s="55" t="n">
        <v>0</v>
      </c>
      <c r="N64" s="55" t="inlineStr">
        <is>
          <t>No</t>
        </is>
      </c>
      <c r="O64" s="55" t="inlineStr">
        <is>
          <t>None</t>
        </is>
      </c>
      <c r="P64" s="55"/>
      <c r="Q64" s="55" t="inlineStr">
        <is>
          <t>Pending</t>
        </is>
      </c>
      <c r="R64" s="55" t="inlineStr">
        <is>
          <t>Pending</t>
        </is>
      </c>
      <c r="S64" s="55" t="inlineStr">
        <is>
          <t>None</t>
        </is>
      </c>
      <c r="T64" s="76"/>
    </row>
    <row r="65">
      <c r="A65" s="75" t="inlineStr">
        <is>
          <t>P011</t>
        </is>
      </c>
      <c r="B65" s="60" t="n">
        <v>1</v>
      </c>
      <c r="C65" s="60" t="inlineStr">
        <is>
          <t>固定闭合订书机</t>
        </is>
      </c>
      <c r="D65" s="60" t="n">
        <v>2</v>
      </c>
      <c r="E65" s="60" t="inlineStr">
        <is>
          <t>EgoAnchor</t>
        </is>
      </c>
      <c r="F65" s="60" t="inlineStr">
        <is>
          <t>P011_Stapler_S1</t>
        </is>
      </c>
      <c r="G65" s="55"/>
      <c r="H65" s="55"/>
      <c r="I65" s="55" t="inlineStr">
        <is>
          <t>Pending</t>
        </is>
      </c>
      <c r="J65" s="55" t="inlineStr">
        <is>
          <t>Pending</t>
        </is>
      </c>
      <c r="K65" s="55" t="inlineStr">
        <is>
          <t>Pending</t>
        </is>
      </c>
      <c r="L65" s="55" t="inlineStr">
        <is>
          <t>No</t>
        </is>
      </c>
      <c r="M65" s="55" t="n">
        <v>0</v>
      </c>
      <c r="N65" s="55" t="inlineStr">
        <is>
          <t>No</t>
        </is>
      </c>
      <c r="O65" s="55" t="inlineStr">
        <is>
          <t>None</t>
        </is>
      </c>
      <c r="P65" s="55"/>
      <c r="Q65" s="55" t="inlineStr">
        <is>
          <t>Pending</t>
        </is>
      </c>
      <c r="R65" s="55" t="inlineStr">
        <is>
          <t>Pending</t>
        </is>
      </c>
      <c r="S65" s="55" t="inlineStr">
        <is>
          <t>None</t>
        </is>
      </c>
      <c r="T65" s="76"/>
    </row>
    <row r="66">
      <c r="A66" s="75" t="inlineStr">
        <is>
          <t>P011</t>
        </is>
      </c>
      <c r="B66" s="60" t="n">
        <v>2</v>
      </c>
      <c r="C66" s="60" t="inlineStr">
        <is>
          <t>无线鼠标</t>
        </is>
      </c>
      <c r="D66" s="60" t="n">
        <v>1</v>
      </c>
      <c r="E66" s="60" t="inlineStr">
        <is>
          <t>EgoAnchor</t>
        </is>
      </c>
      <c r="F66" s="60" t="inlineStr">
        <is>
          <t>P011_Mouse_S1</t>
        </is>
      </c>
      <c r="G66" s="55"/>
      <c r="H66" s="55"/>
      <c r="I66" s="55" t="inlineStr">
        <is>
          <t>Pending</t>
        </is>
      </c>
      <c r="J66" s="55" t="inlineStr">
        <is>
          <t>Pending</t>
        </is>
      </c>
      <c r="K66" s="55" t="inlineStr">
        <is>
          <t>N/A</t>
        </is>
      </c>
      <c r="L66" s="55" t="inlineStr">
        <is>
          <t>No</t>
        </is>
      </c>
      <c r="M66" s="55" t="n">
        <v>0</v>
      </c>
      <c r="N66" s="55" t="inlineStr">
        <is>
          <t>No</t>
        </is>
      </c>
      <c r="O66" s="55" t="inlineStr">
        <is>
          <t>None</t>
        </is>
      </c>
      <c r="P66" s="55"/>
      <c r="Q66" s="55" t="inlineStr">
        <is>
          <t>Pending</t>
        </is>
      </c>
      <c r="R66" s="55" t="inlineStr">
        <is>
          <t>Pending</t>
        </is>
      </c>
      <c r="S66" s="55" t="inlineStr">
        <is>
          <t>None</t>
        </is>
      </c>
      <c r="T66" s="76"/>
    </row>
    <row r="67">
      <c r="A67" s="75" t="inlineStr">
        <is>
          <t>P011</t>
        </is>
      </c>
      <c r="B67" s="60" t="n">
        <v>2</v>
      </c>
      <c r="C67" s="60" t="inlineStr">
        <is>
          <t>无线鼠标</t>
        </is>
      </c>
      <c r="D67" s="60" t="n">
        <v>2</v>
      </c>
      <c r="E67" s="60" t="inlineStr">
        <is>
          <t>One-Euro</t>
        </is>
      </c>
      <c r="F67" s="60" t="inlineStr">
        <is>
          <t>P011_Mouse_S1</t>
        </is>
      </c>
      <c r="G67" s="55"/>
      <c r="H67" s="55"/>
      <c r="I67" s="55" t="inlineStr">
        <is>
          <t>Pending</t>
        </is>
      </c>
      <c r="J67" s="55" t="inlineStr">
        <is>
          <t>Pending</t>
        </is>
      </c>
      <c r="K67" s="55" t="inlineStr">
        <is>
          <t>Pending</t>
        </is>
      </c>
      <c r="L67" s="55" t="inlineStr">
        <is>
          <t>No</t>
        </is>
      </c>
      <c r="M67" s="55" t="n">
        <v>0</v>
      </c>
      <c r="N67" s="55" t="inlineStr">
        <is>
          <t>No</t>
        </is>
      </c>
      <c r="O67" s="55" t="inlineStr">
        <is>
          <t>None</t>
        </is>
      </c>
      <c r="P67" s="55"/>
      <c r="Q67" s="55" t="inlineStr">
        <is>
          <t>Pending</t>
        </is>
      </c>
      <c r="R67" s="55" t="inlineStr">
        <is>
          <t>Pending</t>
        </is>
      </c>
      <c r="S67" s="55" t="inlineStr">
        <is>
          <t>None</t>
        </is>
      </c>
      <c r="T67" s="76"/>
    </row>
    <row r="68">
      <c r="A68" s="75" t="inlineStr">
        <is>
          <t>P011</t>
        </is>
      </c>
      <c r="B68" s="60" t="n">
        <v>3</v>
      </c>
      <c r="C68" s="60" t="inlineStr">
        <is>
          <t>游戏手柄</t>
        </is>
      </c>
      <c r="D68" s="60" t="n">
        <v>1</v>
      </c>
      <c r="E68" s="60" t="inlineStr">
        <is>
          <t>One-Euro</t>
        </is>
      </c>
      <c r="F68" s="60" t="inlineStr">
        <is>
          <t>P011_Gamepad_S1</t>
        </is>
      </c>
      <c r="G68" s="55"/>
      <c r="H68" s="55"/>
      <c r="I68" s="55" t="inlineStr">
        <is>
          <t>Pending</t>
        </is>
      </c>
      <c r="J68" s="55" t="inlineStr">
        <is>
          <t>Pending</t>
        </is>
      </c>
      <c r="K68" s="55" t="inlineStr">
        <is>
          <t>N/A</t>
        </is>
      </c>
      <c r="L68" s="55" t="inlineStr">
        <is>
          <t>No</t>
        </is>
      </c>
      <c r="M68" s="55" t="n">
        <v>0</v>
      </c>
      <c r="N68" s="55" t="inlineStr">
        <is>
          <t>No</t>
        </is>
      </c>
      <c r="O68" s="55" t="inlineStr">
        <is>
          <t>None</t>
        </is>
      </c>
      <c r="P68" s="55"/>
      <c r="Q68" s="55" t="inlineStr">
        <is>
          <t>Pending</t>
        </is>
      </c>
      <c r="R68" s="55" t="inlineStr">
        <is>
          <t>Pending</t>
        </is>
      </c>
      <c r="S68" s="55" t="inlineStr">
        <is>
          <t>None</t>
        </is>
      </c>
      <c r="T68" s="76"/>
    </row>
    <row r="69">
      <c r="A69" s="75" t="inlineStr">
        <is>
          <t>P011</t>
        </is>
      </c>
      <c r="B69" s="60" t="n">
        <v>3</v>
      </c>
      <c r="C69" s="60" t="inlineStr">
        <is>
          <t>游戏手柄</t>
        </is>
      </c>
      <c r="D69" s="60" t="n">
        <v>2</v>
      </c>
      <c r="E69" s="60" t="inlineStr">
        <is>
          <t>EgoAnchor</t>
        </is>
      </c>
      <c r="F69" s="60" t="inlineStr">
        <is>
          <t>P011_Gamepad_S1</t>
        </is>
      </c>
      <c r="G69" s="55"/>
      <c r="H69" s="55"/>
      <c r="I69" s="55" t="inlineStr">
        <is>
          <t>Pending</t>
        </is>
      </c>
      <c r="J69" s="55" t="inlineStr">
        <is>
          <t>Pending</t>
        </is>
      </c>
      <c r="K69" s="55" t="inlineStr">
        <is>
          <t>Pending</t>
        </is>
      </c>
      <c r="L69" s="55" t="inlineStr">
        <is>
          <t>No</t>
        </is>
      </c>
      <c r="M69" s="55" t="n">
        <v>0</v>
      </c>
      <c r="N69" s="55" t="inlineStr">
        <is>
          <t>No</t>
        </is>
      </c>
      <c r="O69" s="55" t="inlineStr">
        <is>
          <t>None</t>
        </is>
      </c>
      <c r="P69" s="55"/>
      <c r="Q69" s="55" t="inlineStr">
        <is>
          <t>Pending</t>
        </is>
      </c>
      <c r="R69" s="55" t="inlineStr">
        <is>
          <t>Pending</t>
        </is>
      </c>
      <c r="S69" s="55" t="inlineStr">
        <is>
          <t>None</t>
        </is>
      </c>
      <c r="T69" s="76"/>
    </row>
    <row r="70">
      <c r="A70" s="75" t="inlineStr">
        <is>
          <t>P012</t>
        </is>
      </c>
      <c r="B70" s="60" t="n">
        <v>1</v>
      </c>
      <c r="C70" s="60" t="inlineStr">
        <is>
          <t>固定闭合订书机</t>
        </is>
      </c>
      <c r="D70" s="60" t="n">
        <v>1</v>
      </c>
      <c r="E70" s="60" t="inlineStr">
        <is>
          <t>One-Euro</t>
        </is>
      </c>
      <c r="F70" s="60" t="inlineStr">
        <is>
          <t>P012_Stapler_S1</t>
        </is>
      </c>
      <c r="G70" s="55"/>
      <c r="H70" s="55"/>
      <c r="I70" s="55" t="inlineStr">
        <is>
          <t>Pending</t>
        </is>
      </c>
      <c r="J70" s="55" t="inlineStr">
        <is>
          <t>Pending</t>
        </is>
      </c>
      <c r="K70" s="55" t="inlineStr">
        <is>
          <t>N/A</t>
        </is>
      </c>
      <c r="L70" s="55" t="inlineStr">
        <is>
          <t>No</t>
        </is>
      </c>
      <c r="M70" s="55" t="n">
        <v>0</v>
      </c>
      <c r="N70" s="55" t="inlineStr">
        <is>
          <t>No</t>
        </is>
      </c>
      <c r="O70" s="55" t="inlineStr">
        <is>
          <t>None</t>
        </is>
      </c>
      <c r="P70" s="55"/>
      <c r="Q70" s="55" t="inlineStr">
        <is>
          <t>Pending</t>
        </is>
      </c>
      <c r="R70" s="55" t="inlineStr">
        <is>
          <t>Pending</t>
        </is>
      </c>
      <c r="S70" s="55" t="inlineStr">
        <is>
          <t>None</t>
        </is>
      </c>
      <c r="T70" s="76"/>
    </row>
    <row r="71">
      <c r="A71" s="75" t="inlineStr">
        <is>
          <t>P012</t>
        </is>
      </c>
      <c r="B71" s="60" t="n">
        <v>1</v>
      </c>
      <c r="C71" s="60" t="inlineStr">
        <is>
          <t>固定闭合订书机</t>
        </is>
      </c>
      <c r="D71" s="60" t="n">
        <v>2</v>
      </c>
      <c r="E71" s="60" t="inlineStr">
        <is>
          <t>EgoAnchor</t>
        </is>
      </c>
      <c r="F71" s="60" t="inlineStr">
        <is>
          <t>P012_Stapler_S1</t>
        </is>
      </c>
      <c r="G71" s="55"/>
      <c r="H71" s="55"/>
      <c r="I71" s="55" t="inlineStr">
        <is>
          <t>Pending</t>
        </is>
      </c>
      <c r="J71" s="55" t="inlineStr">
        <is>
          <t>Pending</t>
        </is>
      </c>
      <c r="K71" s="55" t="inlineStr">
        <is>
          <t>Pending</t>
        </is>
      </c>
      <c r="L71" s="55" t="inlineStr">
        <is>
          <t>No</t>
        </is>
      </c>
      <c r="M71" s="55" t="n">
        <v>0</v>
      </c>
      <c r="N71" s="55" t="inlineStr">
        <is>
          <t>No</t>
        </is>
      </c>
      <c r="O71" s="55" t="inlineStr">
        <is>
          <t>None</t>
        </is>
      </c>
      <c r="P71" s="55"/>
      <c r="Q71" s="55" t="inlineStr">
        <is>
          <t>Pending</t>
        </is>
      </c>
      <c r="R71" s="55" t="inlineStr">
        <is>
          <t>Pending</t>
        </is>
      </c>
      <c r="S71" s="55" t="inlineStr">
        <is>
          <t>None</t>
        </is>
      </c>
      <c r="T71" s="76"/>
    </row>
    <row r="72">
      <c r="A72" s="75" t="inlineStr">
        <is>
          <t>P012</t>
        </is>
      </c>
      <c r="B72" s="60" t="n">
        <v>2</v>
      </c>
      <c r="C72" s="60" t="inlineStr">
        <is>
          <t>无线鼠标</t>
        </is>
      </c>
      <c r="D72" s="60" t="n">
        <v>1</v>
      </c>
      <c r="E72" s="60" t="inlineStr">
        <is>
          <t>EgoAnchor</t>
        </is>
      </c>
      <c r="F72" s="60" t="inlineStr">
        <is>
          <t>P012_Mouse_S1</t>
        </is>
      </c>
      <c r="G72" s="55"/>
      <c r="H72" s="55"/>
      <c r="I72" s="55" t="inlineStr">
        <is>
          <t>Pending</t>
        </is>
      </c>
      <c r="J72" s="55" t="inlineStr">
        <is>
          <t>Pending</t>
        </is>
      </c>
      <c r="K72" s="55" t="inlineStr">
        <is>
          <t>N/A</t>
        </is>
      </c>
      <c r="L72" s="55" t="inlineStr">
        <is>
          <t>No</t>
        </is>
      </c>
      <c r="M72" s="55" t="n">
        <v>0</v>
      </c>
      <c r="N72" s="55" t="inlineStr">
        <is>
          <t>No</t>
        </is>
      </c>
      <c r="O72" s="55" t="inlineStr">
        <is>
          <t>None</t>
        </is>
      </c>
      <c r="P72" s="55"/>
      <c r="Q72" s="55" t="inlineStr">
        <is>
          <t>Pending</t>
        </is>
      </c>
      <c r="R72" s="55" t="inlineStr">
        <is>
          <t>Pending</t>
        </is>
      </c>
      <c r="S72" s="55" t="inlineStr">
        <is>
          <t>None</t>
        </is>
      </c>
      <c r="T72" s="76"/>
    </row>
    <row r="73">
      <c r="A73" s="75" t="inlineStr">
        <is>
          <t>P012</t>
        </is>
      </c>
      <c r="B73" s="60" t="n">
        <v>2</v>
      </c>
      <c r="C73" s="60" t="inlineStr">
        <is>
          <t>无线鼠标</t>
        </is>
      </c>
      <c r="D73" s="60" t="n">
        <v>2</v>
      </c>
      <c r="E73" s="60" t="inlineStr">
        <is>
          <t>One-Euro</t>
        </is>
      </c>
      <c r="F73" s="60" t="inlineStr">
        <is>
          <t>P012_Mouse_S1</t>
        </is>
      </c>
      <c r="G73" s="55"/>
      <c r="H73" s="55"/>
      <c r="I73" s="55" t="inlineStr">
        <is>
          <t>Pending</t>
        </is>
      </c>
      <c r="J73" s="55" t="inlineStr">
        <is>
          <t>Pending</t>
        </is>
      </c>
      <c r="K73" s="55" t="inlineStr">
        <is>
          <t>Pending</t>
        </is>
      </c>
      <c r="L73" s="55" t="inlineStr">
        <is>
          <t>No</t>
        </is>
      </c>
      <c r="M73" s="55" t="n">
        <v>0</v>
      </c>
      <c r="N73" s="55" t="inlineStr">
        <is>
          <t>No</t>
        </is>
      </c>
      <c r="O73" s="55" t="inlineStr">
        <is>
          <t>None</t>
        </is>
      </c>
      <c r="P73" s="55"/>
      <c r="Q73" s="55" t="inlineStr">
        <is>
          <t>Pending</t>
        </is>
      </c>
      <c r="R73" s="55" t="inlineStr">
        <is>
          <t>Pending</t>
        </is>
      </c>
      <c r="S73" s="55" t="inlineStr">
        <is>
          <t>None</t>
        </is>
      </c>
      <c r="T73" s="76"/>
    </row>
    <row r="74">
      <c r="A74" s="75" t="inlineStr">
        <is>
          <t>P012</t>
        </is>
      </c>
      <c r="B74" s="60" t="n">
        <v>3</v>
      </c>
      <c r="C74" s="60" t="inlineStr">
        <is>
          <t>游戏手柄</t>
        </is>
      </c>
      <c r="D74" s="60" t="n">
        <v>1</v>
      </c>
      <c r="E74" s="60" t="inlineStr">
        <is>
          <t>One-Euro</t>
        </is>
      </c>
      <c r="F74" s="60" t="inlineStr">
        <is>
          <t>P012_Gamepad_S1</t>
        </is>
      </c>
      <c r="G74" s="55"/>
      <c r="H74" s="55"/>
      <c r="I74" s="55" t="inlineStr">
        <is>
          <t>Pending</t>
        </is>
      </c>
      <c r="J74" s="55" t="inlineStr">
        <is>
          <t>Pending</t>
        </is>
      </c>
      <c r="K74" s="55" t="inlineStr">
        <is>
          <t>N/A</t>
        </is>
      </c>
      <c r="L74" s="55" t="inlineStr">
        <is>
          <t>No</t>
        </is>
      </c>
      <c r="M74" s="55" t="n">
        <v>0</v>
      </c>
      <c r="N74" s="55" t="inlineStr">
        <is>
          <t>No</t>
        </is>
      </c>
      <c r="O74" s="55" t="inlineStr">
        <is>
          <t>None</t>
        </is>
      </c>
      <c r="P74" s="55"/>
      <c r="Q74" s="55" t="inlineStr">
        <is>
          <t>Pending</t>
        </is>
      </c>
      <c r="R74" s="55" t="inlineStr">
        <is>
          <t>Pending</t>
        </is>
      </c>
      <c r="S74" s="55" t="inlineStr">
        <is>
          <t>None</t>
        </is>
      </c>
      <c r="T74" s="76"/>
    </row>
    <row r="75">
      <c r="A75" s="75" t="inlineStr">
        <is>
          <t>P012</t>
        </is>
      </c>
      <c r="B75" s="60" t="n">
        <v>3</v>
      </c>
      <c r="C75" s="60" t="inlineStr">
        <is>
          <t>游戏手柄</t>
        </is>
      </c>
      <c r="D75" s="60" t="n">
        <v>2</v>
      </c>
      <c r="E75" s="60" t="inlineStr">
        <is>
          <t>EgoAnchor</t>
        </is>
      </c>
      <c r="F75" s="60" t="inlineStr">
        <is>
          <t>P012_Gamepad_S1</t>
        </is>
      </c>
      <c r="G75" s="55"/>
      <c r="H75" s="55"/>
      <c r="I75" s="55" t="inlineStr">
        <is>
          <t>Pending</t>
        </is>
      </c>
      <c r="J75" s="55" t="inlineStr">
        <is>
          <t>Pending</t>
        </is>
      </c>
      <c r="K75" s="55" t="inlineStr">
        <is>
          <t>Pending</t>
        </is>
      </c>
      <c r="L75" s="55" t="inlineStr">
        <is>
          <t>No</t>
        </is>
      </c>
      <c r="M75" s="55" t="n">
        <v>0</v>
      </c>
      <c r="N75" s="55" t="inlineStr">
        <is>
          <t>No</t>
        </is>
      </c>
      <c r="O75" s="55" t="inlineStr">
        <is>
          <t>None</t>
        </is>
      </c>
      <c r="P75" s="55"/>
      <c r="Q75" s="55" t="inlineStr">
        <is>
          <t>Pending</t>
        </is>
      </c>
      <c r="R75" s="55" t="inlineStr">
        <is>
          <t>Pending</t>
        </is>
      </c>
      <c r="S75" s="55" t="inlineStr">
        <is>
          <t>None</t>
        </is>
      </c>
      <c r="T75" s="76"/>
    </row>
    <row r="76">
      <c r="A76" s="75" t="inlineStr">
        <is>
          <t>P013</t>
        </is>
      </c>
      <c r="B76" s="60" t="n">
        <v>1</v>
      </c>
      <c r="C76" s="60" t="inlineStr">
        <is>
          <t>固定闭合订书机</t>
        </is>
      </c>
      <c r="D76" s="60" t="n">
        <v>1</v>
      </c>
      <c r="E76" s="60" t="inlineStr">
        <is>
          <t>EgoAnchor</t>
        </is>
      </c>
      <c r="F76" s="60" t="inlineStr">
        <is>
          <t>P013_Stapler_S1</t>
        </is>
      </c>
      <c r="G76" s="55"/>
      <c r="H76" s="55"/>
      <c r="I76" s="55" t="inlineStr">
        <is>
          <t>Pending</t>
        </is>
      </c>
      <c r="J76" s="55" t="inlineStr">
        <is>
          <t>Pending</t>
        </is>
      </c>
      <c r="K76" s="55" t="inlineStr">
        <is>
          <t>N/A</t>
        </is>
      </c>
      <c r="L76" s="55" t="inlineStr">
        <is>
          <t>No</t>
        </is>
      </c>
      <c r="M76" s="55" t="n">
        <v>0</v>
      </c>
      <c r="N76" s="55" t="inlineStr">
        <is>
          <t>No</t>
        </is>
      </c>
      <c r="O76" s="55" t="inlineStr">
        <is>
          <t>None</t>
        </is>
      </c>
      <c r="P76" s="55"/>
      <c r="Q76" s="55" t="inlineStr">
        <is>
          <t>Pending</t>
        </is>
      </c>
      <c r="R76" s="55" t="inlineStr">
        <is>
          <t>Pending</t>
        </is>
      </c>
      <c r="S76" s="55" t="inlineStr">
        <is>
          <t>None</t>
        </is>
      </c>
      <c r="T76" s="76"/>
    </row>
    <row r="77">
      <c r="A77" s="75" t="inlineStr">
        <is>
          <t>P013</t>
        </is>
      </c>
      <c r="B77" s="60" t="n">
        <v>1</v>
      </c>
      <c r="C77" s="60" t="inlineStr">
        <is>
          <t>固定闭合订书机</t>
        </is>
      </c>
      <c r="D77" s="60" t="n">
        <v>2</v>
      </c>
      <c r="E77" s="60" t="inlineStr">
        <is>
          <t>One-Euro</t>
        </is>
      </c>
      <c r="F77" s="60" t="inlineStr">
        <is>
          <t>P013_Stapler_S1</t>
        </is>
      </c>
      <c r="G77" s="55"/>
      <c r="H77" s="55"/>
      <c r="I77" s="55" t="inlineStr">
        <is>
          <t>Pending</t>
        </is>
      </c>
      <c r="J77" s="55" t="inlineStr">
        <is>
          <t>Pending</t>
        </is>
      </c>
      <c r="K77" s="55" t="inlineStr">
        <is>
          <t>Pending</t>
        </is>
      </c>
      <c r="L77" s="55" t="inlineStr">
        <is>
          <t>No</t>
        </is>
      </c>
      <c r="M77" s="55" t="n">
        <v>0</v>
      </c>
      <c r="N77" s="55" t="inlineStr">
        <is>
          <t>No</t>
        </is>
      </c>
      <c r="O77" s="55" t="inlineStr">
        <is>
          <t>None</t>
        </is>
      </c>
      <c r="P77" s="55"/>
      <c r="Q77" s="55" t="inlineStr">
        <is>
          <t>Pending</t>
        </is>
      </c>
      <c r="R77" s="55" t="inlineStr">
        <is>
          <t>Pending</t>
        </is>
      </c>
      <c r="S77" s="55" t="inlineStr">
        <is>
          <t>None</t>
        </is>
      </c>
      <c r="T77" s="76"/>
    </row>
    <row r="78">
      <c r="A78" s="75" t="inlineStr">
        <is>
          <t>P013</t>
        </is>
      </c>
      <c r="B78" s="60" t="n">
        <v>2</v>
      </c>
      <c r="C78" s="60" t="inlineStr">
        <is>
          <t>游戏手柄</t>
        </is>
      </c>
      <c r="D78" s="60" t="n">
        <v>1</v>
      </c>
      <c r="E78" s="60" t="inlineStr">
        <is>
          <t>One-Euro</t>
        </is>
      </c>
      <c r="F78" s="60" t="inlineStr">
        <is>
          <t>P013_Gamepad_S1</t>
        </is>
      </c>
      <c r="G78" s="55"/>
      <c r="H78" s="55"/>
      <c r="I78" s="55" t="inlineStr">
        <is>
          <t>Pending</t>
        </is>
      </c>
      <c r="J78" s="55" t="inlineStr">
        <is>
          <t>Pending</t>
        </is>
      </c>
      <c r="K78" s="55" t="inlineStr">
        <is>
          <t>N/A</t>
        </is>
      </c>
      <c r="L78" s="55" t="inlineStr">
        <is>
          <t>No</t>
        </is>
      </c>
      <c r="M78" s="55" t="n">
        <v>0</v>
      </c>
      <c r="N78" s="55" t="inlineStr">
        <is>
          <t>No</t>
        </is>
      </c>
      <c r="O78" s="55" t="inlineStr">
        <is>
          <t>None</t>
        </is>
      </c>
      <c r="P78" s="55"/>
      <c r="Q78" s="55" t="inlineStr">
        <is>
          <t>Pending</t>
        </is>
      </c>
      <c r="R78" s="55" t="inlineStr">
        <is>
          <t>Pending</t>
        </is>
      </c>
      <c r="S78" s="55" t="inlineStr">
        <is>
          <t>None</t>
        </is>
      </c>
      <c r="T78" s="76"/>
    </row>
    <row r="79">
      <c r="A79" s="75" t="inlineStr">
        <is>
          <t>P013</t>
        </is>
      </c>
      <c r="B79" s="60" t="n">
        <v>2</v>
      </c>
      <c r="C79" s="60" t="inlineStr">
        <is>
          <t>游戏手柄</t>
        </is>
      </c>
      <c r="D79" s="60" t="n">
        <v>2</v>
      </c>
      <c r="E79" s="60" t="inlineStr">
        <is>
          <t>EgoAnchor</t>
        </is>
      </c>
      <c r="F79" s="60" t="inlineStr">
        <is>
          <t>P013_Gamepad_S1</t>
        </is>
      </c>
      <c r="G79" s="55"/>
      <c r="H79" s="55"/>
      <c r="I79" s="55" t="inlineStr">
        <is>
          <t>Pending</t>
        </is>
      </c>
      <c r="J79" s="55" t="inlineStr">
        <is>
          <t>Pending</t>
        </is>
      </c>
      <c r="K79" s="55" t="inlineStr">
        <is>
          <t>Pending</t>
        </is>
      </c>
      <c r="L79" s="55" t="inlineStr">
        <is>
          <t>No</t>
        </is>
      </c>
      <c r="M79" s="55" t="n">
        <v>0</v>
      </c>
      <c r="N79" s="55" t="inlineStr">
        <is>
          <t>No</t>
        </is>
      </c>
      <c r="O79" s="55" t="inlineStr">
        <is>
          <t>None</t>
        </is>
      </c>
      <c r="P79" s="55"/>
      <c r="Q79" s="55" t="inlineStr">
        <is>
          <t>Pending</t>
        </is>
      </c>
      <c r="R79" s="55" t="inlineStr">
        <is>
          <t>Pending</t>
        </is>
      </c>
      <c r="S79" s="55" t="inlineStr">
        <is>
          <t>None</t>
        </is>
      </c>
      <c r="T79" s="76"/>
    </row>
    <row r="80">
      <c r="A80" s="75" t="inlineStr">
        <is>
          <t>P013</t>
        </is>
      </c>
      <c r="B80" s="60" t="n">
        <v>3</v>
      </c>
      <c r="C80" s="60" t="inlineStr">
        <is>
          <t>无线鼠标</t>
        </is>
      </c>
      <c r="D80" s="60" t="n">
        <v>1</v>
      </c>
      <c r="E80" s="60" t="inlineStr">
        <is>
          <t>EgoAnchor</t>
        </is>
      </c>
      <c r="F80" s="60" t="inlineStr">
        <is>
          <t>P013_Mouse_S1</t>
        </is>
      </c>
      <c r="G80" s="55"/>
      <c r="H80" s="55"/>
      <c r="I80" s="55" t="inlineStr">
        <is>
          <t>Pending</t>
        </is>
      </c>
      <c r="J80" s="55" t="inlineStr">
        <is>
          <t>Pending</t>
        </is>
      </c>
      <c r="K80" s="55" t="inlineStr">
        <is>
          <t>N/A</t>
        </is>
      </c>
      <c r="L80" s="55" t="inlineStr">
        <is>
          <t>No</t>
        </is>
      </c>
      <c r="M80" s="55" t="n">
        <v>0</v>
      </c>
      <c r="N80" s="55" t="inlineStr">
        <is>
          <t>No</t>
        </is>
      </c>
      <c r="O80" s="55" t="inlineStr">
        <is>
          <t>None</t>
        </is>
      </c>
      <c r="P80" s="55"/>
      <c r="Q80" s="55" t="inlineStr">
        <is>
          <t>Pending</t>
        </is>
      </c>
      <c r="R80" s="55" t="inlineStr">
        <is>
          <t>Pending</t>
        </is>
      </c>
      <c r="S80" s="55" t="inlineStr">
        <is>
          <t>None</t>
        </is>
      </c>
      <c r="T80" s="76"/>
    </row>
    <row r="81">
      <c r="A81" s="75" t="inlineStr">
        <is>
          <t>P013</t>
        </is>
      </c>
      <c r="B81" s="60" t="n">
        <v>3</v>
      </c>
      <c r="C81" s="60" t="inlineStr">
        <is>
          <t>无线鼠标</t>
        </is>
      </c>
      <c r="D81" s="60" t="n">
        <v>2</v>
      </c>
      <c r="E81" s="60" t="inlineStr">
        <is>
          <t>One-Euro</t>
        </is>
      </c>
      <c r="F81" s="60" t="inlineStr">
        <is>
          <t>P013_Mouse_S1</t>
        </is>
      </c>
      <c r="G81" s="55"/>
      <c r="H81" s="55"/>
      <c r="I81" s="55" t="inlineStr">
        <is>
          <t>Pending</t>
        </is>
      </c>
      <c r="J81" s="55" t="inlineStr">
        <is>
          <t>Pending</t>
        </is>
      </c>
      <c r="K81" s="55" t="inlineStr">
        <is>
          <t>Pending</t>
        </is>
      </c>
      <c r="L81" s="55" t="inlineStr">
        <is>
          <t>No</t>
        </is>
      </c>
      <c r="M81" s="55" t="n">
        <v>0</v>
      </c>
      <c r="N81" s="55" t="inlineStr">
        <is>
          <t>No</t>
        </is>
      </c>
      <c r="O81" s="55" t="inlineStr">
        <is>
          <t>None</t>
        </is>
      </c>
      <c r="P81" s="55"/>
      <c r="Q81" s="55" t="inlineStr">
        <is>
          <t>Pending</t>
        </is>
      </c>
      <c r="R81" s="55" t="inlineStr">
        <is>
          <t>Pending</t>
        </is>
      </c>
      <c r="S81" s="55" t="inlineStr">
        <is>
          <t>None</t>
        </is>
      </c>
      <c r="T81" s="76"/>
    </row>
    <row r="82">
      <c r="A82" s="75" t="inlineStr">
        <is>
          <t>P014</t>
        </is>
      </c>
      <c r="B82" s="60" t="n">
        <v>1</v>
      </c>
      <c r="C82" s="60" t="inlineStr">
        <is>
          <t>固定闭合订书机</t>
        </is>
      </c>
      <c r="D82" s="60" t="n">
        <v>1</v>
      </c>
      <c r="E82" s="60" t="inlineStr">
        <is>
          <t>EgoAnchor</t>
        </is>
      </c>
      <c r="F82" s="60" t="inlineStr">
        <is>
          <t>P014_Stapler_S1</t>
        </is>
      </c>
      <c r="G82" s="55"/>
      <c r="H82" s="55"/>
      <c r="I82" s="55" t="inlineStr">
        <is>
          <t>Pending</t>
        </is>
      </c>
      <c r="J82" s="55" t="inlineStr">
        <is>
          <t>Pending</t>
        </is>
      </c>
      <c r="K82" s="55" t="inlineStr">
        <is>
          <t>N/A</t>
        </is>
      </c>
      <c r="L82" s="55" t="inlineStr">
        <is>
          <t>No</t>
        </is>
      </c>
      <c r="M82" s="55" t="n">
        <v>0</v>
      </c>
      <c r="N82" s="55" t="inlineStr">
        <is>
          <t>No</t>
        </is>
      </c>
      <c r="O82" s="55" t="inlineStr">
        <is>
          <t>None</t>
        </is>
      </c>
      <c r="P82" s="55"/>
      <c r="Q82" s="55" t="inlineStr">
        <is>
          <t>Pending</t>
        </is>
      </c>
      <c r="R82" s="55" t="inlineStr">
        <is>
          <t>Pending</t>
        </is>
      </c>
      <c r="S82" s="55" t="inlineStr">
        <is>
          <t>None</t>
        </is>
      </c>
      <c r="T82" s="76"/>
    </row>
    <row r="83">
      <c r="A83" s="75" t="inlineStr">
        <is>
          <t>P014</t>
        </is>
      </c>
      <c r="B83" s="60" t="n">
        <v>1</v>
      </c>
      <c r="C83" s="60" t="inlineStr">
        <is>
          <t>固定闭合订书机</t>
        </is>
      </c>
      <c r="D83" s="60" t="n">
        <v>2</v>
      </c>
      <c r="E83" s="60" t="inlineStr">
        <is>
          <t>One-Euro</t>
        </is>
      </c>
      <c r="F83" s="60" t="inlineStr">
        <is>
          <t>P014_Stapler_S1</t>
        </is>
      </c>
      <c r="G83" s="55"/>
      <c r="H83" s="55"/>
      <c r="I83" s="55" t="inlineStr">
        <is>
          <t>Pending</t>
        </is>
      </c>
      <c r="J83" s="55" t="inlineStr">
        <is>
          <t>Pending</t>
        </is>
      </c>
      <c r="K83" s="55" t="inlineStr">
        <is>
          <t>Pending</t>
        </is>
      </c>
      <c r="L83" s="55" t="inlineStr">
        <is>
          <t>No</t>
        </is>
      </c>
      <c r="M83" s="55" t="n">
        <v>0</v>
      </c>
      <c r="N83" s="55" t="inlineStr">
        <is>
          <t>No</t>
        </is>
      </c>
      <c r="O83" s="55" t="inlineStr">
        <is>
          <t>None</t>
        </is>
      </c>
      <c r="P83" s="55"/>
      <c r="Q83" s="55" t="inlineStr">
        <is>
          <t>Pending</t>
        </is>
      </c>
      <c r="R83" s="55" t="inlineStr">
        <is>
          <t>Pending</t>
        </is>
      </c>
      <c r="S83" s="55" t="inlineStr">
        <is>
          <t>None</t>
        </is>
      </c>
      <c r="T83" s="76"/>
    </row>
    <row r="84">
      <c r="A84" s="75" t="inlineStr">
        <is>
          <t>P014</t>
        </is>
      </c>
      <c r="B84" s="60" t="n">
        <v>2</v>
      </c>
      <c r="C84" s="60" t="inlineStr">
        <is>
          <t>游戏手柄</t>
        </is>
      </c>
      <c r="D84" s="60" t="n">
        <v>1</v>
      </c>
      <c r="E84" s="60" t="inlineStr">
        <is>
          <t>One-Euro</t>
        </is>
      </c>
      <c r="F84" s="60" t="inlineStr">
        <is>
          <t>P014_Gamepad_S1</t>
        </is>
      </c>
      <c r="G84" s="55"/>
      <c r="H84" s="55"/>
      <c r="I84" s="55" t="inlineStr">
        <is>
          <t>Pending</t>
        </is>
      </c>
      <c r="J84" s="55" t="inlineStr">
        <is>
          <t>Pending</t>
        </is>
      </c>
      <c r="K84" s="55" t="inlineStr">
        <is>
          <t>N/A</t>
        </is>
      </c>
      <c r="L84" s="55" t="inlineStr">
        <is>
          <t>No</t>
        </is>
      </c>
      <c r="M84" s="55" t="n">
        <v>0</v>
      </c>
      <c r="N84" s="55" t="inlineStr">
        <is>
          <t>No</t>
        </is>
      </c>
      <c r="O84" s="55" t="inlineStr">
        <is>
          <t>None</t>
        </is>
      </c>
      <c r="P84" s="55"/>
      <c r="Q84" s="55" t="inlineStr">
        <is>
          <t>Pending</t>
        </is>
      </c>
      <c r="R84" s="55" t="inlineStr">
        <is>
          <t>Pending</t>
        </is>
      </c>
      <c r="S84" s="55" t="inlineStr">
        <is>
          <t>None</t>
        </is>
      </c>
      <c r="T84" s="76"/>
    </row>
    <row r="85">
      <c r="A85" s="75" t="inlineStr">
        <is>
          <t>P014</t>
        </is>
      </c>
      <c r="B85" s="60" t="n">
        <v>2</v>
      </c>
      <c r="C85" s="60" t="inlineStr">
        <is>
          <t>游戏手柄</t>
        </is>
      </c>
      <c r="D85" s="60" t="n">
        <v>2</v>
      </c>
      <c r="E85" s="60" t="inlineStr">
        <is>
          <t>EgoAnchor</t>
        </is>
      </c>
      <c r="F85" s="60" t="inlineStr">
        <is>
          <t>P014_Gamepad_S1</t>
        </is>
      </c>
      <c r="G85" s="55"/>
      <c r="H85" s="55"/>
      <c r="I85" s="55" t="inlineStr">
        <is>
          <t>Pending</t>
        </is>
      </c>
      <c r="J85" s="55" t="inlineStr">
        <is>
          <t>Pending</t>
        </is>
      </c>
      <c r="K85" s="55" t="inlineStr">
        <is>
          <t>Pending</t>
        </is>
      </c>
      <c r="L85" s="55" t="inlineStr">
        <is>
          <t>No</t>
        </is>
      </c>
      <c r="M85" s="55" t="n">
        <v>0</v>
      </c>
      <c r="N85" s="55" t="inlineStr">
        <is>
          <t>No</t>
        </is>
      </c>
      <c r="O85" s="55" t="inlineStr">
        <is>
          <t>None</t>
        </is>
      </c>
      <c r="P85" s="55"/>
      <c r="Q85" s="55" t="inlineStr">
        <is>
          <t>Pending</t>
        </is>
      </c>
      <c r="R85" s="55" t="inlineStr">
        <is>
          <t>Pending</t>
        </is>
      </c>
      <c r="S85" s="55" t="inlineStr">
        <is>
          <t>None</t>
        </is>
      </c>
      <c r="T85" s="76"/>
    </row>
    <row r="86">
      <c r="A86" s="75" t="inlineStr">
        <is>
          <t>P014</t>
        </is>
      </c>
      <c r="B86" s="60" t="n">
        <v>3</v>
      </c>
      <c r="C86" s="60" t="inlineStr">
        <is>
          <t>无线鼠标</t>
        </is>
      </c>
      <c r="D86" s="60" t="n">
        <v>1</v>
      </c>
      <c r="E86" s="60" t="inlineStr">
        <is>
          <t>EgoAnchor</t>
        </is>
      </c>
      <c r="F86" s="60" t="inlineStr">
        <is>
          <t>P014_Mouse_S1</t>
        </is>
      </c>
      <c r="G86" s="55"/>
      <c r="H86" s="55"/>
      <c r="I86" s="55" t="inlineStr">
        <is>
          <t>Pending</t>
        </is>
      </c>
      <c r="J86" s="55" t="inlineStr">
        <is>
          <t>Pending</t>
        </is>
      </c>
      <c r="K86" s="55" t="inlineStr">
        <is>
          <t>N/A</t>
        </is>
      </c>
      <c r="L86" s="55" t="inlineStr">
        <is>
          <t>No</t>
        </is>
      </c>
      <c r="M86" s="55" t="n">
        <v>0</v>
      </c>
      <c r="N86" s="55" t="inlineStr">
        <is>
          <t>No</t>
        </is>
      </c>
      <c r="O86" s="55" t="inlineStr">
        <is>
          <t>None</t>
        </is>
      </c>
      <c r="P86" s="55"/>
      <c r="Q86" s="55" t="inlineStr">
        <is>
          <t>Pending</t>
        </is>
      </c>
      <c r="R86" s="55" t="inlineStr">
        <is>
          <t>Pending</t>
        </is>
      </c>
      <c r="S86" s="55" t="inlineStr">
        <is>
          <t>None</t>
        </is>
      </c>
      <c r="T86" s="76"/>
    </row>
    <row r="87">
      <c r="A87" s="75" t="inlineStr">
        <is>
          <t>P014</t>
        </is>
      </c>
      <c r="B87" s="60" t="n">
        <v>3</v>
      </c>
      <c r="C87" s="60" t="inlineStr">
        <is>
          <t>无线鼠标</t>
        </is>
      </c>
      <c r="D87" s="60" t="n">
        <v>2</v>
      </c>
      <c r="E87" s="60" t="inlineStr">
        <is>
          <t>One-Euro</t>
        </is>
      </c>
      <c r="F87" s="60" t="inlineStr">
        <is>
          <t>P014_Mouse_S1</t>
        </is>
      </c>
      <c r="G87" s="55"/>
      <c r="H87" s="55"/>
      <c r="I87" s="55" t="inlineStr">
        <is>
          <t>Pending</t>
        </is>
      </c>
      <c r="J87" s="55" t="inlineStr">
        <is>
          <t>Pending</t>
        </is>
      </c>
      <c r="K87" s="55" t="inlineStr">
        <is>
          <t>Pending</t>
        </is>
      </c>
      <c r="L87" s="55" t="inlineStr">
        <is>
          <t>No</t>
        </is>
      </c>
      <c r="M87" s="55" t="n">
        <v>0</v>
      </c>
      <c r="N87" s="55" t="inlineStr">
        <is>
          <t>No</t>
        </is>
      </c>
      <c r="O87" s="55" t="inlineStr">
        <is>
          <t>None</t>
        </is>
      </c>
      <c r="P87" s="55"/>
      <c r="Q87" s="55" t="inlineStr">
        <is>
          <t>Pending</t>
        </is>
      </c>
      <c r="R87" s="55" t="inlineStr">
        <is>
          <t>Pending</t>
        </is>
      </c>
      <c r="S87" s="55" t="inlineStr">
        <is>
          <t>None</t>
        </is>
      </c>
      <c r="T87" s="76"/>
    </row>
    <row r="88">
      <c r="A88" s="75" t="inlineStr">
        <is>
          <t>P015</t>
        </is>
      </c>
      <c r="B88" s="60" t="n">
        <v>1</v>
      </c>
      <c r="C88" s="60" t="inlineStr">
        <is>
          <t>固定闭合订书机</t>
        </is>
      </c>
      <c r="D88" s="60" t="n">
        <v>1</v>
      </c>
      <c r="E88" s="60" t="inlineStr">
        <is>
          <t>One-Euro</t>
        </is>
      </c>
      <c r="F88" s="60" t="inlineStr">
        <is>
          <t>P015_Stapler_S1</t>
        </is>
      </c>
      <c r="G88" s="55"/>
      <c r="H88" s="55"/>
      <c r="I88" s="55" t="inlineStr">
        <is>
          <t>Pending</t>
        </is>
      </c>
      <c r="J88" s="55" t="inlineStr">
        <is>
          <t>Pending</t>
        </is>
      </c>
      <c r="K88" s="55" t="inlineStr">
        <is>
          <t>N/A</t>
        </is>
      </c>
      <c r="L88" s="55" t="inlineStr">
        <is>
          <t>No</t>
        </is>
      </c>
      <c r="M88" s="55" t="n">
        <v>0</v>
      </c>
      <c r="N88" s="55" t="inlineStr">
        <is>
          <t>No</t>
        </is>
      </c>
      <c r="O88" s="55" t="inlineStr">
        <is>
          <t>None</t>
        </is>
      </c>
      <c r="P88" s="55"/>
      <c r="Q88" s="55" t="inlineStr">
        <is>
          <t>Pending</t>
        </is>
      </c>
      <c r="R88" s="55" t="inlineStr">
        <is>
          <t>Pending</t>
        </is>
      </c>
      <c r="S88" s="55" t="inlineStr">
        <is>
          <t>None</t>
        </is>
      </c>
      <c r="T88" s="76"/>
    </row>
    <row r="89">
      <c r="A89" s="75" t="inlineStr">
        <is>
          <t>P015</t>
        </is>
      </c>
      <c r="B89" s="60" t="n">
        <v>1</v>
      </c>
      <c r="C89" s="60" t="inlineStr">
        <is>
          <t>固定闭合订书机</t>
        </is>
      </c>
      <c r="D89" s="60" t="n">
        <v>2</v>
      </c>
      <c r="E89" s="60" t="inlineStr">
        <is>
          <t>EgoAnchor</t>
        </is>
      </c>
      <c r="F89" s="60" t="inlineStr">
        <is>
          <t>P015_Stapler_S1</t>
        </is>
      </c>
      <c r="G89" s="55"/>
      <c r="H89" s="55"/>
      <c r="I89" s="55" t="inlineStr">
        <is>
          <t>Pending</t>
        </is>
      </c>
      <c r="J89" s="55" t="inlineStr">
        <is>
          <t>Pending</t>
        </is>
      </c>
      <c r="K89" s="55" t="inlineStr">
        <is>
          <t>Pending</t>
        </is>
      </c>
      <c r="L89" s="55" t="inlineStr">
        <is>
          <t>No</t>
        </is>
      </c>
      <c r="M89" s="55" t="n">
        <v>0</v>
      </c>
      <c r="N89" s="55" t="inlineStr">
        <is>
          <t>No</t>
        </is>
      </c>
      <c r="O89" s="55" t="inlineStr">
        <is>
          <t>None</t>
        </is>
      </c>
      <c r="P89" s="55"/>
      <c r="Q89" s="55" t="inlineStr">
        <is>
          <t>Pending</t>
        </is>
      </c>
      <c r="R89" s="55" t="inlineStr">
        <is>
          <t>Pending</t>
        </is>
      </c>
      <c r="S89" s="55" t="inlineStr">
        <is>
          <t>None</t>
        </is>
      </c>
      <c r="T89" s="76"/>
    </row>
    <row r="90">
      <c r="A90" s="75" t="inlineStr">
        <is>
          <t>P015</t>
        </is>
      </c>
      <c r="B90" s="60" t="n">
        <v>2</v>
      </c>
      <c r="C90" s="60" t="inlineStr">
        <is>
          <t>游戏手柄</t>
        </is>
      </c>
      <c r="D90" s="60" t="n">
        <v>1</v>
      </c>
      <c r="E90" s="60" t="inlineStr">
        <is>
          <t>EgoAnchor</t>
        </is>
      </c>
      <c r="F90" s="60" t="inlineStr">
        <is>
          <t>P015_Gamepad_S1</t>
        </is>
      </c>
      <c r="G90" s="55"/>
      <c r="H90" s="55"/>
      <c r="I90" s="55" t="inlineStr">
        <is>
          <t>Pending</t>
        </is>
      </c>
      <c r="J90" s="55" t="inlineStr">
        <is>
          <t>Pending</t>
        </is>
      </c>
      <c r="K90" s="55" t="inlineStr">
        <is>
          <t>N/A</t>
        </is>
      </c>
      <c r="L90" s="55" t="inlineStr">
        <is>
          <t>No</t>
        </is>
      </c>
      <c r="M90" s="55" t="n">
        <v>0</v>
      </c>
      <c r="N90" s="55" t="inlineStr">
        <is>
          <t>No</t>
        </is>
      </c>
      <c r="O90" s="55" t="inlineStr">
        <is>
          <t>None</t>
        </is>
      </c>
      <c r="P90" s="55"/>
      <c r="Q90" s="55" t="inlineStr">
        <is>
          <t>Pending</t>
        </is>
      </c>
      <c r="R90" s="55" t="inlineStr">
        <is>
          <t>Pending</t>
        </is>
      </c>
      <c r="S90" s="55" t="inlineStr">
        <is>
          <t>None</t>
        </is>
      </c>
      <c r="T90" s="76"/>
    </row>
    <row r="91">
      <c r="A91" s="75" t="inlineStr">
        <is>
          <t>P015</t>
        </is>
      </c>
      <c r="B91" s="60" t="n">
        <v>2</v>
      </c>
      <c r="C91" s="60" t="inlineStr">
        <is>
          <t>游戏手柄</t>
        </is>
      </c>
      <c r="D91" s="60" t="n">
        <v>2</v>
      </c>
      <c r="E91" s="60" t="inlineStr">
        <is>
          <t>One-Euro</t>
        </is>
      </c>
      <c r="F91" s="60" t="inlineStr">
        <is>
          <t>P015_Gamepad_S1</t>
        </is>
      </c>
      <c r="G91" s="55"/>
      <c r="H91" s="55"/>
      <c r="I91" s="55" t="inlineStr">
        <is>
          <t>Pending</t>
        </is>
      </c>
      <c r="J91" s="55" t="inlineStr">
        <is>
          <t>Pending</t>
        </is>
      </c>
      <c r="K91" s="55" t="inlineStr">
        <is>
          <t>Pending</t>
        </is>
      </c>
      <c r="L91" s="55" t="inlineStr">
        <is>
          <t>No</t>
        </is>
      </c>
      <c r="M91" s="55" t="n">
        <v>0</v>
      </c>
      <c r="N91" s="55" t="inlineStr">
        <is>
          <t>No</t>
        </is>
      </c>
      <c r="O91" s="55" t="inlineStr">
        <is>
          <t>None</t>
        </is>
      </c>
      <c r="P91" s="55"/>
      <c r="Q91" s="55" t="inlineStr">
        <is>
          <t>Pending</t>
        </is>
      </c>
      <c r="R91" s="55" t="inlineStr">
        <is>
          <t>Pending</t>
        </is>
      </c>
      <c r="S91" s="55" t="inlineStr">
        <is>
          <t>None</t>
        </is>
      </c>
      <c r="T91" s="76"/>
    </row>
    <row r="92">
      <c r="A92" s="75" t="inlineStr">
        <is>
          <t>P015</t>
        </is>
      </c>
      <c r="B92" s="60" t="n">
        <v>3</v>
      </c>
      <c r="C92" s="60" t="inlineStr">
        <is>
          <t>无线鼠标</t>
        </is>
      </c>
      <c r="D92" s="60" t="n">
        <v>1</v>
      </c>
      <c r="E92" s="60" t="inlineStr">
        <is>
          <t>One-Euro</t>
        </is>
      </c>
      <c r="F92" s="60" t="inlineStr">
        <is>
          <t>P015_Mouse_S1</t>
        </is>
      </c>
      <c r="G92" s="55"/>
      <c r="H92" s="55"/>
      <c r="I92" s="55" t="inlineStr">
        <is>
          <t>Pending</t>
        </is>
      </c>
      <c r="J92" s="55" t="inlineStr">
        <is>
          <t>Pending</t>
        </is>
      </c>
      <c r="K92" s="55" t="inlineStr">
        <is>
          <t>N/A</t>
        </is>
      </c>
      <c r="L92" s="55" t="inlineStr">
        <is>
          <t>No</t>
        </is>
      </c>
      <c r="M92" s="55" t="n">
        <v>0</v>
      </c>
      <c r="N92" s="55" t="inlineStr">
        <is>
          <t>No</t>
        </is>
      </c>
      <c r="O92" s="55" t="inlineStr">
        <is>
          <t>None</t>
        </is>
      </c>
      <c r="P92" s="55"/>
      <c r="Q92" s="55" t="inlineStr">
        <is>
          <t>Pending</t>
        </is>
      </c>
      <c r="R92" s="55" t="inlineStr">
        <is>
          <t>Pending</t>
        </is>
      </c>
      <c r="S92" s="55" t="inlineStr">
        <is>
          <t>None</t>
        </is>
      </c>
      <c r="T92" s="76"/>
    </row>
    <row r="93">
      <c r="A93" s="75" t="inlineStr">
        <is>
          <t>P015</t>
        </is>
      </c>
      <c r="B93" s="60" t="n">
        <v>3</v>
      </c>
      <c r="C93" s="60" t="inlineStr">
        <is>
          <t>无线鼠标</t>
        </is>
      </c>
      <c r="D93" s="60" t="n">
        <v>2</v>
      </c>
      <c r="E93" s="60" t="inlineStr">
        <is>
          <t>EgoAnchor</t>
        </is>
      </c>
      <c r="F93" s="60" t="inlineStr">
        <is>
          <t>P015_Mouse_S1</t>
        </is>
      </c>
      <c r="G93" s="55"/>
      <c r="H93" s="55"/>
      <c r="I93" s="55" t="inlineStr">
        <is>
          <t>Pending</t>
        </is>
      </c>
      <c r="J93" s="55" t="inlineStr">
        <is>
          <t>Pending</t>
        </is>
      </c>
      <c r="K93" s="55" t="inlineStr">
        <is>
          <t>Pending</t>
        </is>
      </c>
      <c r="L93" s="55" t="inlineStr">
        <is>
          <t>No</t>
        </is>
      </c>
      <c r="M93" s="55" t="n">
        <v>0</v>
      </c>
      <c r="N93" s="55" t="inlineStr">
        <is>
          <t>No</t>
        </is>
      </c>
      <c r="O93" s="55" t="inlineStr">
        <is>
          <t>None</t>
        </is>
      </c>
      <c r="P93" s="55"/>
      <c r="Q93" s="55" t="inlineStr">
        <is>
          <t>Pending</t>
        </is>
      </c>
      <c r="R93" s="55" t="inlineStr">
        <is>
          <t>Pending</t>
        </is>
      </c>
      <c r="S93" s="55" t="inlineStr">
        <is>
          <t>None</t>
        </is>
      </c>
      <c r="T93" s="76"/>
    </row>
    <row r="94">
      <c r="A94" s="75" t="inlineStr">
        <is>
          <t>P016</t>
        </is>
      </c>
      <c r="B94" s="60" t="n">
        <v>1</v>
      </c>
      <c r="C94" s="60" t="inlineStr">
        <is>
          <t>固定闭合订书机</t>
        </is>
      </c>
      <c r="D94" s="60" t="n">
        <v>1</v>
      </c>
      <c r="E94" s="60" t="inlineStr">
        <is>
          <t>One-Euro</t>
        </is>
      </c>
      <c r="F94" s="60" t="inlineStr">
        <is>
          <t>P016_Stapler_S1</t>
        </is>
      </c>
      <c r="G94" s="55"/>
      <c r="H94" s="55"/>
      <c r="I94" s="55" t="inlineStr">
        <is>
          <t>Pending</t>
        </is>
      </c>
      <c r="J94" s="55" t="inlineStr">
        <is>
          <t>Pending</t>
        </is>
      </c>
      <c r="K94" s="55" t="inlineStr">
        <is>
          <t>N/A</t>
        </is>
      </c>
      <c r="L94" s="55" t="inlineStr">
        <is>
          <t>No</t>
        </is>
      </c>
      <c r="M94" s="55" t="n">
        <v>0</v>
      </c>
      <c r="N94" s="55" t="inlineStr">
        <is>
          <t>No</t>
        </is>
      </c>
      <c r="O94" s="55" t="inlineStr">
        <is>
          <t>None</t>
        </is>
      </c>
      <c r="P94" s="55"/>
      <c r="Q94" s="55" t="inlineStr">
        <is>
          <t>Pending</t>
        </is>
      </c>
      <c r="R94" s="55" t="inlineStr">
        <is>
          <t>Pending</t>
        </is>
      </c>
      <c r="S94" s="55" t="inlineStr">
        <is>
          <t>None</t>
        </is>
      </c>
      <c r="T94" s="76"/>
    </row>
    <row r="95">
      <c r="A95" s="75" t="inlineStr">
        <is>
          <t>P016</t>
        </is>
      </c>
      <c r="B95" s="60" t="n">
        <v>1</v>
      </c>
      <c r="C95" s="60" t="inlineStr">
        <is>
          <t>固定闭合订书机</t>
        </is>
      </c>
      <c r="D95" s="60" t="n">
        <v>2</v>
      </c>
      <c r="E95" s="60" t="inlineStr">
        <is>
          <t>EgoAnchor</t>
        </is>
      </c>
      <c r="F95" s="60" t="inlineStr">
        <is>
          <t>P016_Stapler_S1</t>
        </is>
      </c>
      <c r="G95" s="55"/>
      <c r="H95" s="55"/>
      <c r="I95" s="55" t="inlineStr">
        <is>
          <t>Pending</t>
        </is>
      </c>
      <c r="J95" s="55" t="inlineStr">
        <is>
          <t>Pending</t>
        </is>
      </c>
      <c r="K95" s="55" t="inlineStr">
        <is>
          <t>Pending</t>
        </is>
      </c>
      <c r="L95" s="55" t="inlineStr">
        <is>
          <t>No</t>
        </is>
      </c>
      <c r="M95" s="55" t="n">
        <v>0</v>
      </c>
      <c r="N95" s="55" t="inlineStr">
        <is>
          <t>No</t>
        </is>
      </c>
      <c r="O95" s="55" t="inlineStr">
        <is>
          <t>None</t>
        </is>
      </c>
      <c r="P95" s="55"/>
      <c r="Q95" s="55" t="inlineStr">
        <is>
          <t>Pending</t>
        </is>
      </c>
      <c r="R95" s="55" t="inlineStr">
        <is>
          <t>Pending</t>
        </is>
      </c>
      <c r="S95" s="55" t="inlineStr">
        <is>
          <t>None</t>
        </is>
      </c>
      <c r="T95" s="76"/>
    </row>
    <row r="96">
      <c r="A96" s="75" t="inlineStr">
        <is>
          <t>P016</t>
        </is>
      </c>
      <c r="B96" s="60" t="n">
        <v>2</v>
      </c>
      <c r="C96" s="60" t="inlineStr">
        <is>
          <t>游戏手柄</t>
        </is>
      </c>
      <c r="D96" s="60" t="n">
        <v>1</v>
      </c>
      <c r="E96" s="60" t="inlineStr">
        <is>
          <t>EgoAnchor</t>
        </is>
      </c>
      <c r="F96" s="60" t="inlineStr">
        <is>
          <t>P016_Gamepad_S1</t>
        </is>
      </c>
      <c r="G96" s="55"/>
      <c r="H96" s="55"/>
      <c r="I96" s="55" t="inlineStr">
        <is>
          <t>Pending</t>
        </is>
      </c>
      <c r="J96" s="55" t="inlineStr">
        <is>
          <t>Pending</t>
        </is>
      </c>
      <c r="K96" s="55" t="inlineStr">
        <is>
          <t>N/A</t>
        </is>
      </c>
      <c r="L96" s="55" t="inlineStr">
        <is>
          <t>No</t>
        </is>
      </c>
      <c r="M96" s="55" t="n">
        <v>0</v>
      </c>
      <c r="N96" s="55" t="inlineStr">
        <is>
          <t>No</t>
        </is>
      </c>
      <c r="O96" s="55" t="inlineStr">
        <is>
          <t>None</t>
        </is>
      </c>
      <c r="P96" s="55"/>
      <c r="Q96" s="55" t="inlineStr">
        <is>
          <t>Pending</t>
        </is>
      </c>
      <c r="R96" s="55" t="inlineStr">
        <is>
          <t>Pending</t>
        </is>
      </c>
      <c r="S96" s="55" t="inlineStr">
        <is>
          <t>None</t>
        </is>
      </c>
      <c r="T96" s="76"/>
    </row>
    <row r="97">
      <c r="A97" s="75" t="inlineStr">
        <is>
          <t>P016</t>
        </is>
      </c>
      <c r="B97" s="60" t="n">
        <v>2</v>
      </c>
      <c r="C97" s="60" t="inlineStr">
        <is>
          <t>游戏手柄</t>
        </is>
      </c>
      <c r="D97" s="60" t="n">
        <v>2</v>
      </c>
      <c r="E97" s="60" t="inlineStr">
        <is>
          <t>One-Euro</t>
        </is>
      </c>
      <c r="F97" s="60" t="inlineStr">
        <is>
          <t>P016_Gamepad_S1</t>
        </is>
      </c>
      <c r="G97" s="55"/>
      <c r="H97" s="55"/>
      <c r="I97" s="55" t="inlineStr">
        <is>
          <t>Pending</t>
        </is>
      </c>
      <c r="J97" s="55" t="inlineStr">
        <is>
          <t>Pending</t>
        </is>
      </c>
      <c r="K97" s="55" t="inlineStr">
        <is>
          <t>Pending</t>
        </is>
      </c>
      <c r="L97" s="55" t="inlineStr">
        <is>
          <t>No</t>
        </is>
      </c>
      <c r="M97" s="55" t="n">
        <v>0</v>
      </c>
      <c r="N97" s="55" t="inlineStr">
        <is>
          <t>No</t>
        </is>
      </c>
      <c r="O97" s="55" t="inlineStr">
        <is>
          <t>None</t>
        </is>
      </c>
      <c r="P97" s="55"/>
      <c r="Q97" s="55" t="inlineStr">
        <is>
          <t>Pending</t>
        </is>
      </c>
      <c r="R97" s="55" t="inlineStr">
        <is>
          <t>Pending</t>
        </is>
      </c>
      <c r="S97" s="55" t="inlineStr">
        <is>
          <t>None</t>
        </is>
      </c>
      <c r="T97" s="76"/>
    </row>
    <row r="98">
      <c r="A98" s="75" t="inlineStr">
        <is>
          <t>P016</t>
        </is>
      </c>
      <c r="B98" s="60" t="n">
        <v>3</v>
      </c>
      <c r="C98" s="60" t="inlineStr">
        <is>
          <t>无线鼠标</t>
        </is>
      </c>
      <c r="D98" s="60" t="n">
        <v>1</v>
      </c>
      <c r="E98" s="60" t="inlineStr">
        <is>
          <t>One-Euro</t>
        </is>
      </c>
      <c r="F98" s="60" t="inlineStr">
        <is>
          <t>P016_Mouse_S1</t>
        </is>
      </c>
      <c r="G98" s="55"/>
      <c r="H98" s="55"/>
      <c r="I98" s="55" t="inlineStr">
        <is>
          <t>Pending</t>
        </is>
      </c>
      <c r="J98" s="55" t="inlineStr">
        <is>
          <t>Pending</t>
        </is>
      </c>
      <c r="K98" s="55" t="inlineStr">
        <is>
          <t>N/A</t>
        </is>
      </c>
      <c r="L98" s="55" t="inlineStr">
        <is>
          <t>No</t>
        </is>
      </c>
      <c r="M98" s="55" t="n">
        <v>0</v>
      </c>
      <c r="N98" s="55" t="inlineStr">
        <is>
          <t>No</t>
        </is>
      </c>
      <c r="O98" s="55" t="inlineStr">
        <is>
          <t>None</t>
        </is>
      </c>
      <c r="P98" s="55"/>
      <c r="Q98" s="55" t="inlineStr">
        <is>
          <t>Pending</t>
        </is>
      </c>
      <c r="R98" s="55" t="inlineStr">
        <is>
          <t>Pending</t>
        </is>
      </c>
      <c r="S98" s="55" t="inlineStr">
        <is>
          <t>None</t>
        </is>
      </c>
      <c r="T98" s="76"/>
    </row>
    <row r="99">
      <c r="A99" s="75" t="inlineStr">
        <is>
          <t>P016</t>
        </is>
      </c>
      <c r="B99" s="60" t="n">
        <v>3</v>
      </c>
      <c r="C99" s="60" t="inlineStr">
        <is>
          <t>无线鼠标</t>
        </is>
      </c>
      <c r="D99" s="60" t="n">
        <v>2</v>
      </c>
      <c r="E99" s="60" t="inlineStr">
        <is>
          <t>EgoAnchor</t>
        </is>
      </c>
      <c r="F99" s="60" t="inlineStr">
        <is>
          <t>P016_Mouse_S1</t>
        </is>
      </c>
      <c r="G99" s="55"/>
      <c r="H99" s="55"/>
      <c r="I99" s="55" t="inlineStr">
        <is>
          <t>Pending</t>
        </is>
      </c>
      <c r="J99" s="55" t="inlineStr">
        <is>
          <t>Pending</t>
        </is>
      </c>
      <c r="K99" s="55" t="inlineStr">
        <is>
          <t>Pending</t>
        </is>
      </c>
      <c r="L99" s="55" t="inlineStr">
        <is>
          <t>No</t>
        </is>
      </c>
      <c r="M99" s="55" t="n">
        <v>0</v>
      </c>
      <c r="N99" s="55" t="inlineStr">
        <is>
          <t>No</t>
        </is>
      </c>
      <c r="O99" s="55" t="inlineStr">
        <is>
          <t>None</t>
        </is>
      </c>
      <c r="P99" s="55"/>
      <c r="Q99" s="55" t="inlineStr">
        <is>
          <t>Pending</t>
        </is>
      </c>
      <c r="R99" s="55" t="inlineStr">
        <is>
          <t>Pending</t>
        </is>
      </c>
      <c r="S99" s="55" t="inlineStr">
        <is>
          <t>None</t>
        </is>
      </c>
      <c r="T99" s="76"/>
    </row>
    <row r="100">
      <c r="A100" s="75" t="inlineStr">
        <is>
          <t>P017</t>
        </is>
      </c>
      <c r="B100" s="60" t="n">
        <v>1</v>
      </c>
      <c r="C100" s="60" t="inlineStr">
        <is>
          <t>游戏手柄</t>
        </is>
      </c>
      <c r="D100" s="60" t="n">
        <v>1</v>
      </c>
      <c r="E100" s="60" t="inlineStr">
        <is>
          <t>EgoAnchor</t>
        </is>
      </c>
      <c r="F100" s="60" t="inlineStr">
        <is>
          <t>P017_Gamepad_S1</t>
        </is>
      </c>
      <c r="G100" s="55"/>
      <c r="H100" s="55"/>
      <c r="I100" s="55" t="inlineStr">
        <is>
          <t>Pending</t>
        </is>
      </c>
      <c r="J100" s="55" t="inlineStr">
        <is>
          <t>Pending</t>
        </is>
      </c>
      <c r="K100" s="55" t="inlineStr">
        <is>
          <t>N/A</t>
        </is>
      </c>
      <c r="L100" s="55" t="inlineStr">
        <is>
          <t>No</t>
        </is>
      </c>
      <c r="M100" s="55" t="n">
        <v>0</v>
      </c>
      <c r="N100" s="55" t="inlineStr">
        <is>
          <t>No</t>
        </is>
      </c>
      <c r="O100" s="55" t="inlineStr">
        <is>
          <t>None</t>
        </is>
      </c>
      <c r="P100" s="55"/>
      <c r="Q100" s="55" t="inlineStr">
        <is>
          <t>Pending</t>
        </is>
      </c>
      <c r="R100" s="55" t="inlineStr">
        <is>
          <t>Pending</t>
        </is>
      </c>
      <c r="S100" s="55" t="inlineStr">
        <is>
          <t>None</t>
        </is>
      </c>
      <c r="T100" s="76"/>
    </row>
    <row r="101">
      <c r="A101" s="75" t="inlineStr">
        <is>
          <t>P017</t>
        </is>
      </c>
      <c r="B101" s="60" t="n">
        <v>1</v>
      </c>
      <c r="C101" s="60" t="inlineStr">
        <is>
          <t>游戏手柄</t>
        </is>
      </c>
      <c r="D101" s="60" t="n">
        <v>2</v>
      </c>
      <c r="E101" s="60" t="inlineStr">
        <is>
          <t>One-Euro</t>
        </is>
      </c>
      <c r="F101" s="60" t="inlineStr">
        <is>
          <t>P017_Gamepad_S1</t>
        </is>
      </c>
      <c r="G101" s="55"/>
      <c r="H101" s="55"/>
      <c r="I101" s="55" t="inlineStr">
        <is>
          <t>Pending</t>
        </is>
      </c>
      <c r="J101" s="55" t="inlineStr">
        <is>
          <t>Pending</t>
        </is>
      </c>
      <c r="K101" s="55" t="inlineStr">
        <is>
          <t>Pending</t>
        </is>
      </c>
      <c r="L101" s="55" t="inlineStr">
        <is>
          <t>No</t>
        </is>
      </c>
      <c r="M101" s="55" t="n">
        <v>0</v>
      </c>
      <c r="N101" s="55" t="inlineStr">
        <is>
          <t>No</t>
        </is>
      </c>
      <c r="O101" s="55" t="inlineStr">
        <is>
          <t>None</t>
        </is>
      </c>
      <c r="P101" s="55"/>
      <c r="Q101" s="55" t="inlineStr">
        <is>
          <t>Pending</t>
        </is>
      </c>
      <c r="R101" s="55" t="inlineStr">
        <is>
          <t>Pending</t>
        </is>
      </c>
      <c r="S101" s="55" t="inlineStr">
        <is>
          <t>None</t>
        </is>
      </c>
      <c r="T101" s="76"/>
    </row>
    <row r="102">
      <c r="A102" s="75" t="inlineStr">
        <is>
          <t>P017</t>
        </is>
      </c>
      <c r="B102" s="60" t="n">
        <v>2</v>
      </c>
      <c r="C102" s="60" t="inlineStr">
        <is>
          <t>无线鼠标</t>
        </is>
      </c>
      <c r="D102" s="60" t="n">
        <v>1</v>
      </c>
      <c r="E102" s="60" t="inlineStr">
        <is>
          <t>One-Euro</t>
        </is>
      </c>
      <c r="F102" s="60" t="inlineStr">
        <is>
          <t>P017_Mouse_S1</t>
        </is>
      </c>
      <c r="G102" s="55"/>
      <c r="H102" s="55"/>
      <c r="I102" s="55" t="inlineStr">
        <is>
          <t>Pending</t>
        </is>
      </c>
      <c r="J102" s="55" t="inlineStr">
        <is>
          <t>Pending</t>
        </is>
      </c>
      <c r="K102" s="55" t="inlineStr">
        <is>
          <t>N/A</t>
        </is>
      </c>
      <c r="L102" s="55" t="inlineStr">
        <is>
          <t>No</t>
        </is>
      </c>
      <c r="M102" s="55" t="n">
        <v>0</v>
      </c>
      <c r="N102" s="55" t="inlineStr">
        <is>
          <t>No</t>
        </is>
      </c>
      <c r="O102" s="55" t="inlineStr">
        <is>
          <t>None</t>
        </is>
      </c>
      <c r="P102" s="55"/>
      <c r="Q102" s="55" t="inlineStr">
        <is>
          <t>Pending</t>
        </is>
      </c>
      <c r="R102" s="55" t="inlineStr">
        <is>
          <t>Pending</t>
        </is>
      </c>
      <c r="S102" s="55" t="inlineStr">
        <is>
          <t>None</t>
        </is>
      </c>
      <c r="T102" s="76"/>
    </row>
    <row r="103">
      <c r="A103" s="75" t="inlineStr">
        <is>
          <t>P017</t>
        </is>
      </c>
      <c r="B103" s="60" t="n">
        <v>2</v>
      </c>
      <c r="C103" s="60" t="inlineStr">
        <is>
          <t>无线鼠标</t>
        </is>
      </c>
      <c r="D103" s="60" t="n">
        <v>2</v>
      </c>
      <c r="E103" s="60" t="inlineStr">
        <is>
          <t>EgoAnchor</t>
        </is>
      </c>
      <c r="F103" s="60" t="inlineStr">
        <is>
          <t>P017_Mouse_S1</t>
        </is>
      </c>
      <c r="G103" s="55"/>
      <c r="H103" s="55"/>
      <c r="I103" s="55" t="inlineStr">
        <is>
          <t>Pending</t>
        </is>
      </c>
      <c r="J103" s="55" t="inlineStr">
        <is>
          <t>Pending</t>
        </is>
      </c>
      <c r="K103" s="55" t="inlineStr">
        <is>
          <t>Pending</t>
        </is>
      </c>
      <c r="L103" s="55" t="inlineStr">
        <is>
          <t>No</t>
        </is>
      </c>
      <c r="M103" s="55" t="n">
        <v>0</v>
      </c>
      <c r="N103" s="55" t="inlineStr">
        <is>
          <t>No</t>
        </is>
      </c>
      <c r="O103" s="55" t="inlineStr">
        <is>
          <t>None</t>
        </is>
      </c>
      <c r="P103" s="55"/>
      <c r="Q103" s="55" t="inlineStr">
        <is>
          <t>Pending</t>
        </is>
      </c>
      <c r="R103" s="55" t="inlineStr">
        <is>
          <t>Pending</t>
        </is>
      </c>
      <c r="S103" s="55" t="inlineStr">
        <is>
          <t>None</t>
        </is>
      </c>
      <c r="T103" s="76"/>
    </row>
    <row r="104">
      <c r="A104" s="75" t="inlineStr">
        <is>
          <t>P017</t>
        </is>
      </c>
      <c r="B104" s="60" t="n">
        <v>3</v>
      </c>
      <c r="C104" s="60" t="inlineStr">
        <is>
          <t>固定闭合订书机</t>
        </is>
      </c>
      <c r="D104" s="60" t="n">
        <v>1</v>
      </c>
      <c r="E104" s="60" t="inlineStr">
        <is>
          <t>EgoAnchor</t>
        </is>
      </c>
      <c r="F104" s="60" t="inlineStr">
        <is>
          <t>P017_Stapler_S1</t>
        </is>
      </c>
      <c r="G104" s="55"/>
      <c r="H104" s="55"/>
      <c r="I104" s="55" t="inlineStr">
        <is>
          <t>Pending</t>
        </is>
      </c>
      <c r="J104" s="55" t="inlineStr">
        <is>
          <t>Pending</t>
        </is>
      </c>
      <c r="K104" s="55" t="inlineStr">
        <is>
          <t>N/A</t>
        </is>
      </c>
      <c r="L104" s="55" t="inlineStr">
        <is>
          <t>No</t>
        </is>
      </c>
      <c r="M104" s="55" t="n">
        <v>0</v>
      </c>
      <c r="N104" s="55" t="inlineStr">
        <is>
          <t>No</t>
        </is>
      </c>
      <c r="O104" s="55" t="inlineStr">
        <is>
          <t>None</t>
        </is>
      </c>
      <c r="P104" s="55"/>
      <c r="Q104" s="55" t="inlineStr">
        <is>
          <t>Pending</t>
        </is>
      </c>
      <c r="R104" s="55" t="inlineStr">
        <is>
          <t>Pending</t>
        </is>
      </c>
      <c r="S104" s="55" t="inlineStr">
        <is>
          <t>None</t>
        </is>
      </c>
      <c r="T104" s="76"/>
    </row>
    <row r="105">
      <c r="A105" s="75" t="inlineStr">
        <is>
          <t>P017</t>
        </is>
      </c>
      <c r="B105" s="60" t="n">
        <v>3</v>
      </c>
      <c r="C105" s="60" t="inlineStr">
        <is>
          <t>固定闭合订书机</t>
        </is>
      </c>
      <c r="D105" s="60" t="n">
        <v>2</v>
      </c>
      <c r="E105" s="60" t="inlineStr">
        <is>
          <t>One-Euro</t>
        </is>
      </c>
      <c r="F105" s="60" t="inlineStr">
        <is>
          <t>P017_Stapler_S1</t>
        </is>
      </c>
      <c r="G105" s="55"/>
      <c r="H105" s="55"/>
      <c r="I105" s="55" t="inlineStr">
        <is>
          <t>Pending</t>
        </is>
      </c>
      <c r="J105" s="55" t="inlineStr">
        <is>
          <t>Pending</t>
        </is>
      </c>
      <c r="K105" s="55" t="inlineStr">
        <is>
          <t>Pending</t>
        </is>
      </c>
      <c r="L105" s="55" t="inlineStr">
        <is>
          <t>No</t>
        </is>
      </c>
      <c r="M105" s="55" t="n">
        <v>0</v>
      </c>
      <c r="N105" s="55" t="inlineStr">
        <is>
          <t>No</t>
        </is>
      </c>
      <c r="O105" s="55" t="inlineStr">
        <is>
          <t>None</t>
        </is>
      </c>
      <c r="P105" s="55"/>
      <c r="Q105" s="55" t="inlineStr">
        <is>
          <t>Pending</t>
        </is>
      </c>
      <c r="R105" s="55" t="inlineStr">
        <is>
          <t>Pending</t>
        </is>
      </c>
      <c r="S105" s="55" t="inlineStr">
        <is>
          <t>None</t>
        </is>
      </c>
      <c r="T105" s="76"/>
    </row>
    <row r="106">
      <c r="A106" s="75" t="inlineStr">
        <is>
          <t>P018</t>
        </is>
      </c>
      <c r="B106" s="60" t="n">
        <v>1</v>
      </c>
      <c r="C106" s="60" t="inlineStr">
        <is>
          <t>游戏手柄</t>
        </is>
      </c>
      <c r="D106" s="60" t="n">
        <v>1</v>
      </c>
      <c r="E106" s="60" t="inlineStr">
        <is>
          <t>EgoAnchor</t>
        </is>
      </c>
      <c r="F106" s="60" t="inlineStr">
        <is>
          <t>P018_Gamepad_S1</t>
        </is>
      </c>
      <c r="G106" s="55"/>
      <c r="H106" s="55"/>
      <c r="I106" s="55" t="inlineStr">
        <is>
          <t>Pending</t>
        </is>
      </c>
      <c r="J106" s="55" t="inlineStr">
        <is>
          <t>Pending</t>
        </is>
      </c>
      <c r="K106" s="55" t="inlineStr">
        <is>
          <t>N/A</t>
        </is>
      </c>
      <c r="L106" s="55" t="inlineStr">
        <is>
          <t>No</t>
        </is>
      </c>
      <c r="M106" s="55" t="n">
        <v>0</v>
      </c>
      <c r="N106" s="55" t="inlineStr">
        <is>
          <t>No</t>
        </is>
      </c>
      <c r="O106" s="55" t="inlineStr">
        <is>
          <t>None</t>
        </is>
      </c>
      <c r="P106" s="55"/>
      <c r="Q106" s="55" t="inlineStr">
        <is>
          <t>Pending</t>
        </is>
      </c>
      <c r="R106" s="55" t="inlineStr">
        <is>
          <t>Pending</t>
        </is>
      </c>
      <c r="S106" s="55" t="inlineStr">
        <is>
          <t>None</t>
        </is>
      </c>
      <c r="T106" s="76"/>
    </row>
    <row r="107">
      <c r="A107" s="75" t="inlineStr">
        <is>
          <t>P018</t>
        </is>
      </c>
      <c r="B107" s="60" t="n">
        <v>1</v>
      </c>
      <c r="C107" s="60" t="inlineStr">
        <is>
          <t>游戏手柄</t>
        </is>
      </c>
      <c r="D107" s="60" t="n">
        <v>2</v>
      </c>
      <c r="E107" s="60" t="inlineStr">
        <is>
          <t>One-Euro</t>
        </is>
      </c>
      <c r="F107" s="60" t="inlineStr">
        <is>
          <t>P018_Gamepad_S1</t>
        </is>
      </c>
      <c r="G107" s="55"/>
      <c r="H107" s="55"/>
      <c r="I107" s="55" t="inlineStr">
        <is>
          <t>Pending</t>
        </is>
      </c>
      <c r="J107" s="55" t="inlineStr">
        <is>
          <t>Pending</t>
        </is>
      </c>
      <c r="K107" s="55" t="inlineStr">
        <is>
          <t>Pending</t>
        </is>
      </c>
      <c r="L107" s="55" t="inlineStr">
        <is>
          <t>No</t>
        </is>
      </c>
      <c r="M107" s="55" t="n">
        <v>0</v>
      </c>
      <c r="N107" s="55" t="inlineStr">
        <is>
          <t>No</t>
        </is>
      </c>
      <c r="O107" s="55" t="inlineStr">
        <is>
          <t>None</t>
        </is>
      </c>
      <c r="P107" s="55"/>
      <c r="Q107" s="55" t="inlineStr">
        <is>
          <t>Pending</t>
        </is>
      </c>
      <c r="R107" s="55" t="inlineStr">
        <is>
          <t>Pending</t>
        </is>
      </c>
      <c r="S107" s="55" t="inlineStr">
        <is>
          <t>None</t>
        </is>
      </c>
      <c r="T107" s="76"/>
    </row>
    <row r="108">
      <c r="A108" s="75" t="inlineStr">
        <is>
          <t>P018</t>
        </is>
      </c>
      <c r="B108" s="60" t="n">
        <v>2</v>
      </c>
      <c r="C108" s="60" t="inlineStr">
        <is>
          <t>无线鼠标</t>
        </is>
      </c>
      <c r="D108" s="60" t="n">
        <v>1</v>
      </c>
      <c r="E108" s="60" t="inlineStr">
        <is>
          <t>One-Euro</t>
        </is>
      </c>
      <c r="F108" s="60" t="inlineStr">
        <is>
          <t>P018_Mouse_S1</t>
        </is>
      </c>
      <c r="G108" s="55"/>
      <c r="H108" s="55"/>
      <c r="I108" s="55" t="inlineStr">
        <is>
          <t>Pending</t>
        </is>
      </c>
      <c r="J108" s="55" t="inlineStr">
        <is>
          <t>Pending</t>
        </is>
      </c>
      <c r="K108" s="55" t="inlineStr">
        <is>
          <t>N/A</t>
        </is>
      </c>
      <c r="L108" s="55" t="inlineStr">
        <is>
          <t>No</t>
        </is>
      </c>
      <c r="M108" s="55" t="n">
        <v>0</v>
      </c>
      <c r="N108" s="55" t="inlineStr">
        <is>
          <t>No</t>
        </is>
      </c>
      <c r="O108" s="55" t="inlineStr">
        <is>
          <t>None</t>
        </is>
      </c>
      <c r="P108" s="55"/>
      <c r="Q108" s="55" t="inlineStr">
        <is>
          <t>Pending</t>
        </is>
      </c>
      <c r="R108" s="55" t="inlineStr">
        <is>
          <t>Pending</t>
        </is>
      </c>
      <c r="S108" s="55" t="inlineStr">
        <is>
          <t>None</t>
        </is>
      </c>
      <c r="T108" s="76"/>
    </row>
    <row r="109">
      <c r="A109" s="75" t="inlineStr">
        <is>
          <t>P018</t>
        </is>
      </c>
      <c r="B109" s="60" t="n">
        <v>2</v>
      </c>
      <c r="C109" s="60" t="inlineStr">
        <is>
          <t>无线鼠标</t>
        </is>
      </c>
      <c r="D109" s="60" t="n">
        <v>2</v>
      </c>
      <c r="E109" s="60" t="inlineStr">
        <is>
          <t>EgoAnchor</t>
        </is>
      </c>
      <c r="F109" s="60" t="inlineStr">
        <is>
          <t>P018_Mouse_S1</t>
        </is>
      </c>
      <c r="G109" s="55"/>
      <c r="H109" s="55"/>
      <c r="I109" s="55" t="inlineStr">
        <is>
          <t>Pending</t>
        </is>
      </c>
      <c r="J109" s="55" t="inlineStr">
        <is>
          <t>Pending</t>
        </is>
      </c>
      <c r="K109" s="55" t="inlineStr">
        <is>
          <t>Pending</t>
        </is>
      </c>
      <c r="L109" s="55" t="inlineStr">
        <is>
          <t>No</t>
        </is>
      </c>
      <c r="M109" s="55" t="n">
        <v>0</v>
      </c>
      <c r="N109" s="55" t="inlineStr">
        <is>
          <t>No</t>
        </is>
      </c>
      <c r="O109" s="55" t="inlineStr">
        <is>
          <t>None</t>
        </is>
      </c>
      <c r="P109" s="55"/>
      <c r="Q109" s="55" t="inlineStr">
        <is>
          <t>Pending</t>
        </is>
      </c>
      <c r="R109" s="55" t="inlineStr">
        <is>
          <t>Pending</t>
        </is>
      </c>
      <c r="S109" s="55" t="inlineStr">
        <is>
          <t>None</t>
        </is>
      </c>
      <c r="T109" s="76"/>
    </row>
    <row r="110">
      <c r="A110" s="75" t="inlineStr">
        <is>
          <t>P018</t>
        </is>
      </c>
      <c r="B110" s="60" t="n">
        <v>3</v>
      </c>
      <c r="C110" s="60" t="inlineStr">
        <is>
          <t>固定闭合订书机</t>
        </is>
      </c>
      <c r="D110" s="60" t="n">
        <v>1</v>
      </c>
      <c r="E110" s="60" t="inlineStr">
        <is>
          <t>EgoAnchor</t>
        </is>
      </c>
      <c r="F110" s="60" t="inlineStr">
        <is>
          <t>P018_Stapler_S1</t>
        </is>
      </c>
      <c r="G110" s="55"/>
      <c r="H110" s="55"/>
      <c r="I110" s="55" t="inlineStr">
        <is>
          <t>Pending</t>
        </is>
      </c>
      <c r="J110" s="55" t="inlineStr">
        <is>
          <t>Pending</t>
        </is>
      </c>
      <c r="K110" s="55" t="inlineStr">
        <is>
          <t>N/A</t>
        </is>
      </c>
      <c r="L110" s="55" t="inlineStr">
        <is>
          <t>No</t>
        </is>
      </c>
      <c r="M110" s="55" t="n">
        <v>0</v>
      </c>
      <c r="N110" s="55" t="inlineStr">
        <is>
          <t>No</t>
        </is>
      </c>
      <c r="O110" s="55" t="inlineStr">
        <is>
          <t>None</t>
        </is>
      </c>
      <c r="P110" s="55"/>
      <c r="Q110" s="55" t="inlineStr">
        <is>
          <t>Pending</t>
        </is>
      </c>
      <c r="R110" s="55" t="inlineStr">
        <is>
          <t>Pending</t>
        </is>
      </c>
      <c r="S110" s="55" t="inlineStr">
        <is>
          <t>None</t>
        </is>
      </c>
      <c r="T110" s="76"/>
    </row>
    <row r="111">
      <c r="A111" s="75" t="inlineStr">
        <is>
          <t>P018</t>
        </is>
      </c>
      <c r="B111" s="60" t="n">
        <v>3</v>
      </c>
      <c r="C111" s="60" t="inlineStr">
        <is>
          <t>固定闭合订书机</t>
        </is>
      </c>
      <c r="D111" s="60" t="n">
        <v>2</v>
      </c>
      <c r="E111" s="60" t="inlineStr">
        <is>
          <t>One-Euro</t>
        </is>
      </c>
      <c r="F111" s="60" t="inlineStr">
        <is>
          <t>P018_Stapler_S1</t>
        </is>
      </c>
      <c r="G111" s="55"/>
      <c r="H111" s="55"/>
      <c r="I111" s="55" t="inlineStr">
        <is>
          <t>Pending</t>
        </is>
      </c>
      <c r="J111" s="55" t="inlineStr">
        <is>
          <t>Pending</t>
        </is>
      </c>
      <c r="K111" s="55" t="inlineStr">
        <is>
          <t>Pending</t>
        </is>
      </c>
      <c r="L111" s="55" t="inlineStr">
        <is>
          <t>No</t>
        </is>
      </c>
      <c r="M111" s="55" t="n">
        <v>0</v>
      </c>
      <c r="N111" s="55" t="inlineStr">
        <is>
          <t>No</t>
        </is>
      </c>
      <c r="O111" s="55" t="inlineStr">
        <is>
          <t>None</t>
        </is>
      </c>
      <c r="P111" s="55"/>
      <c r="Q111" s="55" t="inlineStr">
        <is>
          <t>Pending</t>
        </is>
      </c>
      <c r="R111" s="55" t="inlineStr">
        <is>
          <t>Pending</t>
        </is>
      </c>
      <c r="S111" s="55" t="inlineStr">
        <is>
          <t>None</t>
        </is>
      </c>
      <c r="T111" s="76"/>
    </row>
    <row r="112">
      <c r="A112" s="75" t="inlineStr">
        <is>
          <t>P019</t>
        </is>
      </c>
      <c r="B112" s="60" t="n">
        <v>1</v>
      </c>
      <c r="C112" s="60" t="inlineStr">
        <is>
          <t>游戏手柄</t>
        </is>
      </c>
      <c r="D112" s="60" t="n">
        <v>1</v>
      </c>
      <c r="E112" s="60" t="inlineStr">
        <is>
          <t>One-Euro</t>
        </is>
      </c>
      <c r="F112" s="60" t="inlineStr">
        <is>
          <t>P019_Gamepad_S1</t>
        </is>
      </c>
      <c r="G112" s="55"/>
      <c r="H112" s="55"/>
      <c r="I112" s="55" t="inlineStr">
        <is>
          <t>Pending</t>
        </is>
      </c>
      <c r="J112" s="55" t="inlineStr">
        <is>
          <t>Pending</t>
        </is>
      </c>
      <c r="K112" s="55" t="inlineStr">
        <is>
          <t>N/A</t>
        </is>
      </c>
      <c r="L112" s="55" t="inlineStr">
        <is>
          <t>No</t>
        </is>
      </c>
      <c r="M112" s="55" t="n">
        <v>0</v>
      </c>
      <c r="N112" s="55" t="inlineStr">
        <is>
          <t>No</t>
        </is>
      </c>
      <c r="O112" s="55" t="inlineStr">
        <is>
          <t>None</t>
        </is>
      </c>
      <c r="P112" s="55"/>
      <c r="Q112" s="55" t="inlineStr">
        <is>
          <t>Pending</t>
        </is>
      </c>
      <c r="R112" s="55" t="inlineStr">
        <is>
          <t>Pending</t>
        </is>
      </c>
      <c r="S112" s="55" t="inlineStr">
        <is>
          <t>None</t>
        </is>
      </c>
      <c r="T112" s="76"/>
    </row>
    <row r="113">
      <c r="A113" s="75" t="inlineStr">
        <is>
          <t>P019</t>
        </is>
      </c>
      <c r="B113" s="60" t="n">
        <v>1</v>
      </c>
      <c r="C113" s="60" t="inlineStr">
        <is>
          <t>游戏手柄</t>
        </is>
      </c>
      <c r="D113" s="60" t="n">
        <v>2</v>
      </c>
      <c r="E113" s="60" t="inlineStr">
        <is>
          <t>EgoAnchor</t>
        </is>
      </c>
      <c r="F113" s="60" t="inlineStr">
        <is>
          <t>P019_Gamepad_S1</t>
        </is>
      </c>
      <c r="G113" s="55"/>
      <c r="H113" s="55"/>
      <c r="I113" s="55" t="inlineStr">
        <is>
          <t>Pending</t>
        </is>
      </c>
      <c r="J113" s="55" t="inlineStr">
        <is>
          <t>Pending</t>
        </is>
      </c>
      <c r="K113" s="55" t="inlineStr">
        <is>
          <t>Pending</t>
        </is>
      </c>
      <c r="L113" s="55" t="inlineStr">
        <is>
          <t>No</t>
        </is>
      </c>
      <c r="M113" s="55" t="n">
        <v>0</v>
      </c>
      <c r="N113" s="55" t="inlineStr">
        <is>
          <t>No</t>
        </is>
      </c>
      <c r="O113" s="55" t="inlineStr">
        <is>
          <t>None</t>
        </is>
      </c>
      <c r="P113" s="55"/>
      <c r="Q113" s="55" t="inlineStr">
        <is>
          <t>Pending</t>
        </is>
      </c>
      <c r="R113" s="55" t="inlineStr">
        <is>
          <t>Pending</t>
        </is>
      </c>
      <c r="S113" s="55" t="inlineStr">
        <is>
          <t>None</t>
        </is>
      </c>
      <c r="T113" s="76"/>
    </row>
    <row r="114">
      <c r="A114" s="75" t="inlineStr">
        <is>
          <t>P019</t>
        </is>
      </c>
      <c r="B114" s="60" t="n">
        <v>2</v>
      </c>
      <c r="C114" s="60" t="inlineStr">
        <is>
          <t>无线鼠标</t>
        </is>
      </c>
      <c r="D114" s="60" t="n">
        <v>1</v>
      </c>
      <c r="E114" s="60" t="inlineStr">
        <is>
          <t>EgoAnchor</t>
        </is>
      </c>
      <c r="F114" s="60" t="inlineStr">
        <is>
          <t>P019_Mouse_S1</t>
        </is>
      </c>
      <c r="G114" s="55"/>
      <c r="H114" s="55"/>
      <c r="I114" s="55" t="inlineStr">
        <is>
          <t>Pending</t>
        </is>
      </c>
      <c r="J114" s="55" t="inlineStr">
        <is>
          <t>Pending</t>
        </is>
      </c>
      <c r="K114" s="55" t="inlineStr">
        <is>
          <t>N/A</t>
        </is>
      </c>
      <c r="L114" s="55" t="inlineStr">
        <is>
          <t>No</t>
        </is>
      </c>
      <c r="M114" s="55" t="n">
        <v>0</v>
      </c>
      <c r="N114" s="55" t="inlineStr">
        <is>
          <t>No</t>
        </is>
      </c>
      <c r="O114" s="55" t="inlineStr">
        <is>
          <t>None</t>
        </is>
      </c>
      <c r="P114" s="55"/>
      <c r="Q114" s="55" t="inlineStr">
        <is>
          <t>Pending</t>
        </is>
      </c>
      <c r="R114" s="55" t="inlineStr">
        <is>
          <t>Pending</t>
        </is>
      </c>
      <c r="S114" s="55" t="inlineStr">
        <is>
          <t>None</t>
        </is>
      </c>
      <c r="T114" s="76"/>
    </row>
    <row r="115">
      <c r="A115" s="75" t="inlineStr">
        <is>
          <t>P019</t>
        </is>
      </c>
      <c r="B115" s="60" t="n">
        <v>2</v>
      </c>
      <c r="C115" s="60" t="inlineStr">
        <is>
          <t>无线鼠标</t>
        </is>
      </c>
      <c r="D115" s="60" t="n">
        <v>2</v>
      </c>
      <c r="E115" s="60" t="inlineStr">
        <is>
          <t>One-Euro</t>
        </is>
      </c>
      <c r="F115" s="60" t="inlineStr">
        <is>
          <t>P019_Mouse_S1</t>
        </is>
      </c>
      <c r="G115" s="55"/>
      <c r="H115" s="55"/>
      <c r="I115" s="55" t="inlineStr">
        <is>
          <t>Pending</t>
        </is>
      </c>
      <c r="J115" s="55" t="inlineStr">
        <is>
          <t>Pending</t>
        </is>
      </c>
      <c r="K115" s="55" t="inlineStr">
        <is>
          <t>Pending</t>
        </is>
      </c>
      <c r="L115" s="55" t="inlineStr">
        <is>
          <t>No</t>
        </is>
      </c>
      <c r="M115" s="55" t="n">
        <v>0</v>
      </c>
      <c r="N115" s="55" t="inlineStr">
        <is>
          <t>No</t>
        </is>
      </c>
      <c r="O115" s="55" t="inlineStr">
        <is>
          <t>None</t>
        </is>
      </c>
      <c r="P115" s="55"/>
      <c r="Q115" s="55" t="inlineStr">
        <is>
          <t>Pending</t>
        </is>
      </c>
      <c r="R115" s="55" t="inlineStr">
        <is>
          <t>Pending</t>
        </is>
      </c>
      <c r="S115" s="55" t="inlineStr">
        <is>
          <t>None</t>
        </is>
      </c>
      <c r="T115" s="76"/>
    </row>
    <row r="116">
      <c r="A116" s="75" t="inlineStr">
        <is>
          <t>P019</t>
        </is>
      </c>
      <c r="B116" s="60" t="n">
        <v>3</v>
      </c>
      <c r="C116" s="60" t="inlineStr">
        <is>
          <t>固定闭合订书机</t>
        </is>
      </c>
      <c r="D116" s="60" t="n">
        <v>1</v>
      </c>
      <c r="E116" s="60" t="inlineStr">
        <is>
          <t>One-Euro</t>
        </is>
      </c>
      <c r="F116" s="60" t="inlineStr">
        <is>
          <t>P019_Stapler_S1</t>
        </is>
      </c>
      <c r="G116" s="55"/>
      <c r="H116" s="55"/>
      <c r="I116" s="55" t="inlineStr">
        <is>
          <t>Pending</t>
        </is>
      </c>
      <c r="J116" s="55" t="inlineStr">
        <is>
          <t>Pending</t>
        </is>
      </c>
      <c r="K116" s="55" t="inlineStr">
        <is>
          <t>N/A</t>
        </is>
      </c>
      <c r="L116" s="55" t="inlineStr">
        <is>
          <t>No</t>
        </is>
      </c>
      <c r="M116" s="55" t="n">
        <v>0</v>
      </c>
      <c r="N116" s="55" t="inlineStr">
        <is>
          <t>No</t>
        </is>
      </c>
      <c r="O116" s="55" t="inlineStr">
        <is>
          <t>None</t>
        </is>
      </c>
      <c r="P116" s="55"/>
      <c r="Q116" s="55" t="inlineStr">
        <is>
          <t>Pending</t>
        </is>
      </c>
      <c r="R116" s="55" t="inlineStr">
        <is>
          <t>Pending</t>
        </is>
      </c>
      <c r="S116" s="55" t="inlineStr">
        <is>
          <t>None</t>
        </is>
      </c>
      <c r="T116" s="76"/>
    </row>
    <row r="117">
      <c r="A117" s="75" t="inlineStr">
        <is>
          <t>P019</t>
        </is>
      </c>
      <c r="B117" s="60" t="n">
        <v>3</v>
      </c>
      <c r="C117" s="60" t="inlineStr">
        <is>
          <t>固定闭合订书机</t>
        </is>
      </c>
      <c r="D117" s="60" t="n">
        <v>2</v>
      </c>
      <c r="E117" s="60" t="inlineStr">
        <is>
          <t>EgoAnchor</t>
        </is>
      </c>
      <c r="F117" s="60" t="inlineStr">
        <is>
          <t>P019_Stapler_S1</t>
        </is>
      </c>
      <c r="G117" s="55"/>
      <c r="H117" s="55"/>
      <c r="I117" s="55" t="inlineStr">
        <is>
          <t>Pending</t>
        </is>
      </c>
      <c r="J117" s="55" t="inlineStr">
        <is>
          <t>Pending</t>
        </is>
      </c>
      <c r="K117" s="55" t="inlineStr">
        <is>
          <t>Pending</t>
        </is>
      </c>
      <c r="L117" s="55" t="inlineStr">
        <is>
          <t>No</t>
        </is>
      </c>
      <c r="M117" s="55" t="n">
        <v>0</v>
      </c>
      <c r="N117" s="55" t="inlineStr">
        <is>
          <t>No</t>
        </is>
      </c>
      <c r="O117" s="55" t="inlineStr">
        <is>
          <t>None</t>
        </is>
      </c>
      <c r="P117" s="55"/>
      <c r="Q117" s="55" t="inlineStr">
        <is>
          <t>Pending</t>
        </is>
      </c>
      <c r="R117" s="55" t="inlineStr">
        <is>
          <t>Pending</t>
        </is>
      </c>
      <c r="S117" s="55" t="inlineStr">
        <is>
          <t>None</t>
        </is>
      </c>
      <c r="T117" s="76"/>
    </row>
    <row r="118">
      <c r="A118" s="75" t="inlineStr">
        <is>
          <t>P020</t>
        </is>
      </c>
      <c r="B118" s="60" t="n">
        <v>1</v>
      </c>
      <c r="C118" s="60" t="inlineStr">
        <is>
          <t>游戏手柄</t>
        </is>
      </c>
      <c r="D118" s="60" t="n">
        <v>1</v>
      </c>
      <c r="E118" s="60" t="inlineStr">
        <is>
          <t>One-Euro</t>
        </is>
      </c>
      <c r="F118" s="60" t="inlineStr">
        <is>
          <t>P020_Gamepad_S1</t>
        </is>
      </c>
      <c r="G118" s="55"/>
      <c r="H118" s="55"/>
      <c r="I118" s="55" t="inlineStr">
        <is>
          <t>Pending</t>
        </is>
      </c>
      <c r="J118" s="55" t="inlineStr">
        <is>
          <t>Pending</t>
        </is>
      </c>
      <c r="K118" s="55" t="inlineStr">
        <is>
          <t>N/A</t>
        </is>
      </c>
      <c r="L118" s="55" t="inlineStr">
        <is>
          <t>No</t>
        </is>
      </c>
      <c r="M118" s="55" t="n">
        <v>0</v>
      </c>
      <c r="N118" s="55" t="inlineStr">
        <is>
          <t>No</t>
        </is>
      </c>
      <c r="O118" s="55" t="inlineStr">
        <is>
          <t>None</t>
        </is>
      </c>
      <c r="P118" s="55"/>
      <c r="Q118" s="55" t="inlineStr">
        <is>
          <t>Pending</t>
        </is>
      </c>
      <c r="R118" s="55" t="inlineStr">
        <is>
          <t>Pending</t>
        </is>
      </c>
      <c r="S118" s="55" t="inlineStr">
        <is>
          <t>None</t>
        </is>
      </c>
      <c r="T118" s="76"/>
    </row>
    <row r="119">
      <c r="A119" s="75" t="inlineStr">
        <is>
          <t>P020</t>
        </is>
      </c>
      <c r="B119" s="60" t="n">
        <v>1</v>
      </c>
      <c r="C119" s="60" t="inlineStr">
        <is>
          <t>游戏手柄</t>
        </is>
      </c>
      <c r="D119" s="60" t="n">
        <v>2</v>
      </c>
      <c r="E119" s="60" t="inlineStr">
        <is>
          <t>EgoAnchor</t>
        </is>
      </c>
      <c r="F119" s="60" t="inlineStr">
        <is>
          <t>P020_Gamepad_S1</t>
        </is>
      </c>
      <c r="G119" s="55"/>
      <c r="H119" s="55"/>
      <c r="I119" s="55" t="inlineStr">
        <is>
          <t>Pending</t>
        </is>
      </c>
      <c r="J119" s="55" t="inlineStr">
        <is>
          <t>Pending</t>
        </is>
      </c>
      <c r="K119" s="55" t="inlineStr">
        <is>
          <t>Pending</t>
        </is>
      </c>
      <c r="L119" s="55" t="inlineStr">
        <is>
          <t>No</t>
        </is>
      </c>
      <c r="M119" s="55" t="n">
        <v>0</v>
      </c>
      <c r="N119" s="55" t="inlineStr">
        <is>
          <t>No</t>
        </is>
      </c>
      <c r="O119" s="55" t="inlineStr">
        <is>
          <t>None</t>
        </is>
      </c>
      <c r="P119" s="55"/>
      <c r="Q119" s="55" t="inlineStr">
        <is>
          <t>Pending</t>
        </is>
      </c>
      <c r="R119" s="55" t="inlineStr">
        <is>
          <t>Pending</t>
        </is>
      </c>
      <c r="S119" s="55" t="inlineStr">
        <is>
          <t>None</t>
        </is>
      </c>
      <c r="T119" s="76"/>
    </row>
    <row r="120">
      <c r="A120" s="75" t="inlineStr">
        <is>
          <t>P020</t>
        </is>
      </c>
      <c r="B120" s="60" t="n">
        <v>2</v>
      </c>
      <c r="C120" s="60" t="inlineStr">
        <is>
          <t>无线鼠标</t>
        </is>
      </c>
      <c r="D120" s="60" t="n">
        <v>1</v>
      </c>
      <c r="E120" s="60" t="inlineStr">
        <is>
          <t>EgoAnchor</t>
        </is>
      </c>
      <c r="F120" s="60" t="inlineStr">
        <is>
          <t>P020_Mouse_S1</t>
        </is>
      </c>
      <c r="G120" s="55"/>
      <c r="H120" s="55"/>
      <c r="I120" s="55" t="inlineStr">
        <is>
          <t>Pending</t>
        </is>
      </c>
      <c r="J120" s="55" t="inlineStr">
        <is>
          <t>Pending</t>
        </is>
      </c>
      <c r="K120" s="55" t="inlineStr">
        <is>
          <t>N/A</t>
        </is>
      </c>
      <c r="L120" s="55" t="inlineStr">
        <is>
          <t>No</t>
        </is>
      </c>
      <c r="M120" s="55" t="n">
        <v>0</v>
      </c>
      <c r="N120" s="55" t="inlineStr">
        <is>
          <t>No</t>
        </is>
      </c>
      <c r="O120" s="55" t="inlineStr">
        <is>
          <t>None</t>
        </is>
      </c>
      <c r="P120" s="55"/>
      <c r="Q120" s="55" t="inlineStr">
        <is>
          <t>Pending</t>
        </is>
      </c>
      <c r="R120" s="55" t="inlineStr">
        <is>
          <t>Pending</t>
        </is>
      </c>
      <c r="S120" s="55" t="inlineStr">
        <is>
          <t>None</t>
        </is>
      </c>
      <c r="T120" s="76"/>
    </row>
    <row r="121">
      <c r="A121" s="75" t="inlineStr">
        <is>
          <t>P020</t>
        </is>
      </c>
      <c r="B121" s="60" t="n">
        <v>2</v>
      </c>
      <c r="C121" s="60" t="inlineStr">
        <is>
          <t>无线鼠标</t>
        </is>
      </c>
      <c r="D121" s="60" t="n">
        <v>2</v>
      </c>
      <c r="E121" s="60" t="inlineStr">
        <is>
          <t>One-Euro</t>
        </is>
      </c>
      <c r="F121" s="60" t="inlineStr">
        <is>
          <t>P020_Mouse_S1</t>
        </is>
      </c>
      <c r="G121" s="55"/>
      <c r="H121" s="55"/>
      <c r="I121" s="55" t="inlineStr">
        <is>
          <t>Pending</t>
        </is>
      </c>
      <c r="J121" s="55" t="inlineStr">
        <is>
          <t>Pending</t>
        </is>
      </c>
      <c r="K121" s="55" t="inlineStr">
        <is>
          <t>Pending</t>
        </is>
      </c>
      <c r="L121" s="55" t="inlineStr">
        <is>
          <t>No</t>
        </is>
      </c>
      <c r="M121" s="55" t="n">
        <v>0</v>
      </c>
      <c r="N121" s="55" t="inlineStr">
        <is>
          <t>No</t>
        </is>
      </c>
      <c r="O121" s="55" t="inlineStr">
        <is>
          <t>None</t>
        </is>
      </c>
      <c r="P121" s="55"/>
      <c r="Q121" s="55" t="inlineStr">
        <is>
          <t>Pending</t>
        </is>
      </c>
      <c r="R121" s="55" t="inlineStr">
        <is>
          <t>Pending</t>
        </is>
      </c>
      <c r="S121" s="55" t="inlineStr">
        <is>
          <t>None</t>
        </is>
      </c>
      <c r="T121" s="76"/>
    </row>
    <row r="122">
      <c r="A122" s="75" t="inlineStr">
        <is>
          <t>P020</t>
        </is>
      </c>
      <c r="B122" s="60" t="n">
        <v>3</v>
      </c>
      <c r="C122" s="60" t="inlineStr">
        <is>
          <t>固定闭合订书机</t>
        </is>
      </c>
      <c r="D122" s="60" t="n">
        <v>1</v>
      </c>
      <c r="E122" s="60" t="inlineStr">
        <is>
          <t>One-Euro</t>
        </is>
      </c>
      <c r="F122" s="60" t="inlineStr">
        <is>
          <t>P020_Stapler_S1</t>
        </is>
      </c>
      <c r="G122" s="55"/>
      <c r="H122" s="55"/>
      <c r="I122" s="55" t="inlineStr">
        <is>
          <t>Pending</t>
        </is>
      </c>
      <c r="J122" s="55" t="inlineStr">
        <is>
          <t>Pending</t>
        </is>
      </c>
      <c r="K122" s="55" t="inlineStr">
        <is>
          <t>N/A</t>
        </is>
      </c>
      <c r="L122" s="55" t="inlineStr">
        <is>
          <t>No</t>
        </is>
      </c>
      <c r="M122" s="55" t="n">
        <v>0</v>
      </c>
      <c r="N122" s="55" t="inlineStr">
        <is>
          <t>No</t>
        </is>
      </c>
      <c r="O122" s="55" t="inlineStr">
        <is>
          <t>None</t>
        </is>
      </c>
      <c r="P122" s="55"/>
      <c r="Q122" s="55" t="inlineStr">
        <is>
          <t>Pending</t>
        </is>
      </c>
      <c r="R122" s="55" t="inlineStr">
        <is>
          <t>Pending</t>
        </is>
      </c>
      <c r="S122" s="55" t="inlineStr">
        <is>
          <t>None</t>
        </is>
      </c>
      <c r="T122" s="76"/>
    </row>
    <row r="123">
      <c r="A123" s="75" t="inlineStr">
        <is>
          <t>P020</t>
        </is>
      </c>
      <c r="B123" s="60" t="n">
        <v>3</v>
      </c>
      <c r="C123" s="60" t="inlineStr">
        <is>
          <t>固定闭合订书机</t>
        </is>
      </c>
      <c r="D123" s="60" t="n">
        <v>2</v>
      </c>
      <c r="E123" s="60" t="inlineStr">
        <is>
          <t>EgoAnchor</t>
        </is>
      </c>
      <c r="F123" s="60" t="inlineStr">
        <is>
          <t>P020_Stapler_S1</t>
        </is>
      </c>
      <c r="G123" s="55"/>
      <c r="H123" s="55"/>
      <c r="I123" s="55" t="inlineStr">
        <is>
          <t>Pending</t>
        </is>
      </c>
      <c r="J123" s="55" t="inlineStr">
        <is>
          <t>Pending</t>
        </is>
      </c>
      <c r="K123" s="55" t="inlineStr">
        <is>
          <t>Pending</t>
        </is>
      </c>
      <c r="L123" s="55" t="inlineStr">
        <is>
          <t>No</t>
        </is>
      </c>
      <c r="M123" s="55" t="n">
        <v>0</v>
      </c>
      <c r="N123" s="55" t="inlineStr">
        <is>
          <t>No</t>
        </is>
      </c>
      <c r="O123" s="55" t="inlineStr">
        <is>
          <t>None</t>
        </is>
      </c>
      <c r="P123" s="55"/>
      <c r="Q123" s="55" t="inlineStr">
        <is>
          <t>Pending</t>
        </is>
      </c>
      <c r="R123" s="55" t="inlineStr">
        <is>
          <t>Pending</t>
        </is>
      </c>
      <c r="S123" s="55" t="inlineStr">
        <is>
          <t>None</t>
        </is>
      </c>
      <c r="T123" s="76"/>
    </row>
    <row r="124">
      <c r="A124" s="75" t="inlineStr">
        <is>
          <t>P021</t>
        </is>
      </c>
      <c r="B124" s="60" t="n">
        <v>1</v>
      </c>
      <c r="C124" s="60" t="inlineStr">
        <is>
          <t>游戏手柄</t>
        </is>
      </c>
      <c r="D124" s="60" t="n">
        <v>1</v>
      </c>
      <c r="E124" s="60" t="inlineStr">
        <is>
          <t>EgoAnchor</t>
        </is>
      </c>
      <c r="F124" s="60" t="inlineStr">
        <is>
          <t>P021_Gamepad_S1</t>
        </is>
      </c>
      <c r="G124" s="55"/>
      <c r="H124" s="55"/>
      <c r="I124" s="55" t="inlineStr">
        <is>
          <t>Pending</t>
        </is>
      </c>
      <c r="J124" s="55" t="inlineStr">
        <is>
          <t>Pending</t>
        </is>
      </c>
      <c r="K124" s="55" t="inlineStr">
        <is>
          <t>N/A</t>
        </is>
      </c>
      <c r="L124" s="55" t="inlineStr">
        <is>
          <t>No</t>
        </is>
      </c>
      <c r="M124" s="55" t="n">
        <v>0</v>
      </c>
      <c r="N124" s="55" t="inlineStr">
        <is>
          <t>No</t>
        </is>
      </c>
      <c r="O124" s="55" t="inlineStr">
        <is>
          <t>None</t>
        </is>
      </c>
      <c r="P124" s="55"/>
      <c r="Q124" s="55" t="inlineStr">
        <is>
          <t>Pending</t>
        </is>
      </c>
      <c r="R124" s="55" t="inlineStr">
        <is>
          <t>Pending</t>
        </is>
      </c>
      <c r="S124" s="55" t="inlineStr">
        <is>
          <t>None</t>
        </is>
      </c>
      <c r="T124" s="76"/>
    </row>
    <row r="125">
      <c r="A125" s="75" t="inlineStr">
        <is>
          <t>P021</t>
        </is>
      </c>
      <c r="B125" s="60" t="n">
        <v>1</v>
      </c>
      <c r="C125" s="60" t="inlineStr">
        <is>
          <t>游戏手柄</t>
        </is>
      </c>
      <c r="D125" s="60" t="n">
        <v>2</v>
      </c>
      <c r="E125" s="60" t="inlineStr">
        <is>
          <t>One-Euro</t>
        </is>
      </c>
      <c r="F125" s="60" t="inlineStr">
        <is>
          <t>P021_Gamepad_S1</t>
        </is>
      </c>
      <c r="G125" s="55"/>
      <c r="H125" s="55"/>
      <c r="I125" s="55" t="inlineStr">
        <is>
          <t>Pending</t>
        </is>
      </c>
      <c r="J125" s="55" t="inlineStr">
        <is>
          <t>Pending</t>
        </is>
      </c>
      <c r="K125" s="55" t="inlineStr">
        <is>
          <t>Pending</t>
        </is>
      </c>
      <c r="L125" s="55" t="inlineStr">
        <is>
          <t>No</t>
        </is>
      </c>
      <c r="M125" s="55" t="n">
        <v>0</v>
      </c>
      <c r="N125" s="55" t="inlineStr">
        <is>
          <t>No</t>
        </is>
      </c>
      <c r="O125" s="55" t="inlineStr">
        <is>
          <t>None</t>
        </is>
      </c>
      <c r="P125" s="55"/>
      <c r="Q125" s="55" t="inlineStr">
        <is>
          <t>Pending</t>
        </is>
      </c>
      <c r="R125" s="55" t="inlineStr">
        <is>
          <t>Pending</t>
        </is>
      </c>
      <c r="S125" s="55" t="inlineStr">
        <is>
          <t>None</t>
        </is>
      </c>
      <c r="T125" s="76"/>
    </row>
    <row r="126">
      <c r="A126" s="75" t="inlineStr">
        <is>
          <t>P021</t>
        </is>
      </c>
      <c r="B126" s="60" t="n">
        <v>2</v>
      </c>
      <c r="C126" s="60" t="inlineStr">
        <is>
          <t>固定闭合订书机</t>
        </is>
      </c>
      <c r="D126" s="60" t="n">
        <v>1</v>
      </c>
      <c r="E126" s="60" t="inlineStr">
        <is>
          <t>One-Euro</t>
        </is>
      </c>
      <c r="F126" s="60" t="inlineStr">
        <is>
          <t>P021_Stapler_S1</t>
        </is>
      </c>
      <c r="G126" s="55"/>
      <c r="H126" s="55"/>
      <c r="I126" s="55" t="inlineStr">
        <is>
          <t>Pending</t>
        </is>
      </c>
      <c r="J126" s="55" t="inlineStr">
        <is>
          <t>Pending</t>
        </is>
      </c>
      <c r="K126" s="55" t="inlineStr">
        <is>
          <t>N/A</t>
        </is>
      </c>
      <c r="L126" s="55" t="inlineStr">
        <is>
          <t>No</t>
        </is>
      </c>
      <c r="M126" s="55" t="n">
        <v>0</v>
      </c>
      <c r="N126" s="55" t="inlineStr">
        <is>
          <t>No</t>
        </is>
      </c>
      <c r="O126" s="55" t="inlineStr">
        <is>
          <t>None</t>
        </is>
      </c>
      <c r="P126" s="55"/>
      <c r="Q126" s="55" t="inlineStr">
        <is>
          <t>Pending</t>
        </is>
      </c>
      <c r="R126" s="55" t="inlineStr">
        <is>
          <t>Pending</t>
        </is>
      </c>
      <c r="S126" s="55" t="inlineStr">
        <is>
          <t>None</t>
        </is>
      </c>
      <c r="T126" s="76"/>
    </row>
    <row r="127">
      <c r="A127" s="75" t="inlineStr">
        <is>
          <t>P021</t>
        </is>
      </c>
      <c r="B127" s="60" t="n">
        <v>2</v>
      </c>
      <c r="C127" s="60" t="inlineStr">
        <is>
          <t>固定闭合订书机</t>
        </is>
      </c>
      <c r="D127" s="60" t="n">
        <v>2</v>
      </c>
      <c r="E127" s="60" t="inlineStr">
        <is>
          <t>EgoAnchor</t>
        </is>
      </c>
      <c r="F127" s="60" t="inlineStr">
        <is>
          <t>P021_Stapler_S1</t>
        </is>
      </c>
      <c r="G127" s="55"/>
      <c r="H127" s="55"/>
      <c r="I127" s="55" t="inlineStr">
        <is>
          <t>Pending</t>
        </is>
      </c>
      <c r="J127" s="55" t="inlineStr">
        <is>
          <t>Pending</t>
        </is>
      </c>
      <c r="K127" s="55" t="inlineStr">
        <is>
          <t>Pending</t>
        </is>
      </c>
      <c r="L127" s="55" t="inlineStr">
        <is>
          <t>No</t>
        </is>
      </c>
      <c r="M127" s="55" t="n">
        <v>0</v>
      </c>
      <c r="N127" s="55" t="inlineStr">
        <is>
          <t>No</t>
        </is>
      </c>
      <c r="O127" s="55" t="inlineStr">
        <is>
          <t>None</t>
        </is>
      </c>
      <c r="P127" s="55"/>
      <c r="Q127" s="55" t="inlineStr">
        <is>
          <t>Pending</t>
        </is>
      </c>
      <c r="R127" s="55" t="inlineStr">
        <is>
          <t>Pending</t>
        </is>
      </c>
      <c r="S127" s="55" t="inlineStr">
        <is>
          <t>None</t>
        </is>
      </c>
      <c r="T127" s="76"/>
    </row>
    <row r="128">
      <c r="A128" s="75" t="inlineStr">
        <is>
          <t>P021</t>
        </is>
      </c>
      <c r="B128" s="60" t="n">
        <v>3</v>
      </c>
      <c r="C128" s="60" t="inlineStr">
        <is>
          <t>无线鼠标</t>
        </is>
      </c>
      <c r="D128" s="60" t="n">
        <v>1</v>
      </c>
      <c r="E128" s="60" t="inlineStr">
        <is>
          <t>EgoAnchor</t>
        </is>
      </c>
      <c r="F128" s="60" t="inlineStr">
        <is>
          <t>P021_Mouse_S1</t>
        </is>
      </c>
      <c r="G128" s="55"/>
      <c r="H128" s="55"/>
      <c r="I128" s="55" t="inlineStr">
        <is>
          <t>Pending</t>
        </is>
      </c>
      <c r="J128" s="55" t="inlineStr">
        <is>
          <t>Pending</t>
        </is>
      </c>
      <c r="K128" s="55" t="inlineStr">
        <is>
          <t>N/A</t>
        </is>
      </c>
      <c r="L128" s="55" t="inlineStr">
        <is>
          <t>No</t>
        </is>
      </c>
      <c r="M128" s="55" t="n">
        <v>0</v>
      </c>
      <c r="N128" s="55" t="inlineStr">
        <is>
          <t>No</t>
        </is>
      </c>
      <c r="O128" s="55" t="inlineStr">
        <is>
          <t>None</t>
        </is>
      </c>
      <c r="P128" s="55"/>
      <c r="Q128" s="55" t="inlineStr">
        <is>
          <t>Pending</t>
        </is>
      </c>
      <c r="R128" s="55" t="inlineStr">
        <is>
          <t>Pending</t>
        </is>
      </c>
      <c r="S128" s="55" t="inlineStr">
        <is>
          <t>None</t>
        </is>
      </c>
      <c r="T128" s="76"/>
    </row>
    <row r="129">
      <c r="A129" s="75" t="inlineStr">
        <is>
          <t>P021</t>
        </is>
      </c>
      <c r="B129" s="60" t="n">
        <v>3</v>
      </c>
      <c r="C129" s="60" t="inlineStr">
        <is>
          <t>无线鼠标</t>
        </is>
      </c>
      <c r="D129" s="60" t="n">
        <v>2</v>
      </c>
      <c r="E129" s="60" t="inlineStr">
        <is>
          <t>One-Euro</t>
        </is>
      </c>
      <c r="F129" s="60" t="inlineStr">
        <is>
          <t>P021_Mouse_S1</t>
        </is>
      </c>
      <c r="G129" s="55"/>
      <c r="H129" s="55"/>
      <c r="I129" s="55" t="inlineStr">
        <is>
          <t>Pending</t>
        </is>
      </c>
      <c r="J129" s="55" t="inlineStr">
        <is>
          <t>Pending</t>
        </is>
      </c>
      <c r="K129" s="55" t="inlineStr">
        <is>
          <t>Pending</t>
        </is>
      </c>
      <c r="L129" s="55" t="inlineStr">
        <is>
          <t>No</t>
        </is>
      </c>
      <c r="M129" s="55" t="n">
        <v>0</v>
      </c>
      <c r="N129" s="55" t="inlineStr">
        <is>
          <t>No</t>
        </is>
      </c>
      <c r="O129" s="55" t="inlineStr">
        <is>
          <t>None</t>
        </is>
      </c>
      <c r="P129" s="55"/>
      <c r="Q129" s="55" t="inlineStr">
        <is>
          <t>Pending</t>
        </is>
      </c>
      <c r="R129" s="55" t="inlineStr">
        <is>
          <t>Pending</t>
        </is>
      </c>
      <c r="S129" s="55" t="inlineStr">
        <is>
          <t>None</t>
        </is>
      </c>
      <c r="T129" s="76"/>
    </row>
    <row r="130">
      <c r="A130" s="75" t="inlineStr">
        <is>
          <t>P022</t>
        </is>
      </c>
      <c r="B130" s="60" t="n">
        <v>1</v>
      </c>
      <c r="C130" s="60" t="inlineStr">
        <is>
          <t>游戏手柄</t>
        </is>
      </c>
      <c r="D130" s="60" t="n">
        <v>1</v>
      </c>
      <c r="E130" s="60" t="inlineStr">
        <is>
          <t>EgoAnchor</t>
        </is>
      </c>
      <c r="F130" s="60" t="inlineStr">
        <is>
          <t>P022_Gamepad_S1</t>
        </is>
      </c>
      <c r="G130" s="55"/>
      <c r="H130" s="55"/>
      <c r="I130" s="55" t="inlineStr">
        <is>
          <t>Pending</t>
        </is>
      </c>
      <c r="J130" s="55" t="inlineStr">
        <is>
          <t>Pending</t>
        </is>
      </c>
      <c r="K130" s="55" t="inlineStr">
        <is>
          <t>N/A</t>
        </is>
      </c>
      <c r="L130" s="55" t="inlineStr">
        <is>
          <t>No</t>
        </is>
      </c>
      <c r="M130" s="55" t="n">
        <v>0</v>
      </c>
      <c r="N130" s="55" t="inlineStr">
        <is>
          <t>No</t>
        </is>
      </c>
      <c r="O130" s="55" t="inlineStr">
        <is>
          <t>None</t>
        </is>
      </c>
      <c r="P130" s="55"/>
      <c r="Q130" s="55" t="inlineStr">
        <is>
          <t>Pending</t>
        </is>
      </c>
      <c r="R130" s="55" t="inlineStr">
        <is>
          <t>Pending</t>
        </is>
      </c>
      <c r="S130" s="55" t="inlineStr">
        <is>
          <t>None</t>
        </is>
      </c>
      <c r="T130" s="76"/>
    </row>
    <row r="131">
      <c r="A131" s="75" t="inlineStr">
        <is>
          <t>P022</t>
        </is>
      </c>
      <c r="B131" s="60" t="n">
        <v>1</v>
      </c>
      <c r="C131" s="60" t="inlineStr">
        <is>
          <t>游戏手柄</t>
        </is>
      </c>
      <c r="D131" s="60" t="n">
        <v>2</v>
      </c>
      <c r="E131" s="60" t="inlineStr">
        <is>
          <t>One-Euro</t>
        </is>
      </c>
      <c r="F131" s="60" t="inlineStr">
        <is>
          <t>P022_Gamepad_S1</t>
        </is>
      </c>
      <c r="G131" s="55"/>
      <c r="H131" s="55"/>
      <c r="I131" s="55" t="inlineStr">
        <is>
          <t>Pending</t>
        </is>
      </c>
      <c r="J131" s="55" t="inlineStr">
        <is>
          <t>Pending</t>
        </is>
      </c>
      <c r="K131" s="55" t="inlineStr">
        <is>
          <t>Pending</t>
        </is>
      </c>
      <c r="L131" s="55" t="inlineStr">
        <is>
          <t>No</t>
        </is>
      </c>
      <c r="M131" s="55" t="n">
        <v>0</v>
      </c>
      <c r="N131" s="55" t="inlineStr">
        <is>
          <t>No</t>
        </is>
      </c>
      <c r="O131" s="55" t="inlineStr">
        <is>
          <t>None</t>
        </is>
      </c>
      <c r="P131" s="55"/>
      <c r="Q131" s="55" t="inlineStr">
        <is>
          <t>Pending</t>
        </is>
      </c>
      <c r="R131" s="55" t="inlineStr">
        <is>
          <t>Pending</t>
        </is>
      </c>
      <c r="S131" s="55" t="inlineStr">
        <is>
          <t>None</t>
        </is>
      </c>
      <c r="T131" s="76"/>
    </row>
    <row r="132">
      <c r="A132" s="75" t="inlineStr">
        <is>
          <t>P022</t>
        </is>
      </c>
      <c r="B132" s="60" t="n">
        <v>2</v>
      </c>
      <c r="C132" s="60" t="inlineStr">
        <is>
          <t>固定闭合订书机</t>
        </is>
      </c>
      <c r="D132" s="60" t="n">
        <v>1</v>
      </c>
      <c r="E132" s="60" t="inlineStr">
        <is>
          <t>One-Euro</t>
        </is>
      </c>
      <c r="F132" s="60" t="inlineStr">
        <is>
          <t>P022_Stapler_S1</t>
        </is>
      </c>
      <c r="G132" s="55"/>
      <c r="H132" s="55"/>
      <c r="I132" s="55" t="inlineStr">
        <is>
          <t>Pending</t>
        </is>
      </c>
      <c r="J132" s="55" t="inlineStr">
        <is>
          <t>Pending</t>
        </is>
      </c>
      <c r="K132" s="55" t="inlineStr">
        <is>
          <t>N/A</t>
        </is>
      </c>
      <c r="L132" s="55" t="inlineStr">
        <is>
          <t>No</t>
        </is>
      </c>
      <c r="M132" s="55" t="n">
        <v>0</v>
      </c>
      <c r="N132" s="55" t="inlineStr">
        <is>
          <t>No</t>
        </is>
      </c>
      <c r="O132" s="55" t="inlineStr">
        <is>
          <t>None</t>
        </is>
      </c>
      <c r="P132" s="55"/>
      <c r="Q132" s="55" t="inlineStr">
        <is>
          <t>Pending</t>
        </is>
      </c>
      <c r="R132" s="55" t="inlineStr">
        <is>
          <t>Pending</t>
        </is>
      </c>
      <c r="S132" s="55" t="inlineStr">
        <is>
          <t>None</t>
        </is>
      </c>
      <c r="T132" s="76"/>
    </row>
    <row r="133">
      <c r="A133" s="75" t="inlineStr">
        <is>
          <t>P022</t>
        </is>
      </c>
      <c r="B133" s="60" t="n">
        <v>2</v>
      </c>
      <c r="C133" s="60" t="inlineStr">
        <is>
          <t>固定闭合订书机</t>
        </is>
      </c>
      <c r="D133" s="60" t="n">
        <v>2</v>
      </c>
      <c r="E133" s="60" t="inlineStr">
        <is>
          <t>EgoAnchor</t>
        </is>
      </c>
      <c r="F133" s="60" t="inlineStr">
        <is>
          <t>P022_Stapler_S1</t>
        </is>
      </c>
      <c r="G133" s="55"/>
      <c r="H133" s="55"/>
      <c r="I133" s="55" t="inlineStr">
        <is>
          <t>Pending</t>
        </is>
      </c>
      <c r="J133" s="55" t="inlineStr">
        <is>
          <t>Pending</t>
        </is>
      </c>
      <c r="K133" s="55" t="inlineStr">
        <is>
          <t>Pending</t>
        </is>
      </c>
      <c r="L133" s="55" t="inlineStr">
        <is>
          <t>No</t>
        </is>
      </c>
      <c r="M133" s="55" t="n">
        <v>0</v>
      </c>
      <c r="N133" s="55" t="inlineStr">
        <is>
          <t>No</t>
        </is>
      </c>
      <c r="O133" s="55" t="inlineStr">
        <is>
          <t>None</t>
        </is>
      </c>
      <c r="P133" s="55"/>
      <c r="Q133" s="55" t="inlineStr">
        <is>
          <t>Pending</t>
        </is>
      </c>
      <c r="R133" s="55" t="inlineStr">
        <is>
          <t>Pending</t>
        </is>
      </c>
      <c r="S133" s="55" t="inlineStr">
        <is>
          <t>None</t>
        </is>
      </c>
      <c r="T133" s="76"/>
    </row>
    <row r="134">
      <c r="A134" s="75" t="inlineStr">
        <is>
          <t>P022</t>
        </is>
      </c>
      <c r="B134" s="60" t="n">
        <v>3</v>
      </c>
      <c r="C134" s="60" t="inlineStr">
        <is>
          <t>无线鼠标</t>
        </is>
      </c>
      <c r="D134" s="60" t="n">
        <v>1</v>
      </c>
      <c r="E134" s="60" t="inlineStr">
        <is>
          <t>EgoAnchor</t>
        </is>
      </c>
      <c r="F134" s="60" t="inlineStr">
        <is>
          <t>P022_Mouse_S1</t>
        </is>
      </c>
      <c r="G134" s="55"/>
      <c r="H134" s="55"/>
      <c r="I134" s="55" t="inlineStr">
        <is>
          <t>Pending</t>
        </is>
      </c>
      <c r="J134" s="55" t="inlineStr">
        <is>
          <t>Pending</t>
        </is>
      </c>
      <c r="K134" s="55" t="inlineStr">
        <is>
          <t>N/A</t>
        </is>
      </c>
      <c r="L134" s="55" t="inlineStr">
        <is>
          <t>No</t>
        </is>
      </c>
      <c r="M134" s="55" t="n">
        <v>0</v>
      </c>
      <c r="N134" s="55" t="inlineStr">
        <is>
          <t>No</t>
        </is>
      </c>
      <c r="O134" s="55" t="inlineStr">
        <is>
          <t>None</t>
        </is>
      </c>
      <c r="P134" s="55"/>
      <c r="Q134" s="55" t="inlineStr">
        <is>
          <t>Pending</t>
        </is>
      </c>
      <c r="R134" s="55" t="inlineStr">
        <is>
          <t>Pending</t>
        </is>
      </c>
      <c r="S134" s="55" t="inlineStr">
        <is>
          <t>None</t>
        </is>
      </c>
      <c r="T134" s="76"/>
    </row>
    <row r="135">
      <c r="A135" s="75" t="inlineStr">
        <is>
          <t>P022</t>
        </is>
      </c>
      <c r="B135" s="60" t="n">
        <v>3</v>
      </c>
      <c r="C135" s="60" t="inlineStr">
        <is>
          <t>无线鼠标</t>
        </is>
      </c>
      <c r="D135" s="60" t="n">
        <v>2</v>
      </c>
      <c r="E135" s="60" t="inlineStr">
        <is>
          <t>One-Euro</t>
        </is>
      </c>
      <c r="F135" s="60" t="inlineStr">
        <is>
          <t>P022_Mouse_S1</t>
        </is>
      </c>
      <c r="G135" s="55"/>
      <c r="H135" s="55"/>
      <c r="I135" s="55" t="inlineStr">
        <is>
          <t>Pending</t>
        </is>
      </c>
      <c r="J135" s="55" t="inlineStr">
        <is>
          <t>Pending</t>
        </is>
      </c>
      <c r="K135" s="55" t="inlineStr">
        <is>
          <t>Pending</t>
        </is>
      </c>
      <c r="L135" s="55" t="inlineStr">
        <is>
          <t>No</t>
        </is>
      </c>
      <c r="M135" s="55" t="n">
        <v>0</v>
      </c>
      <c r="N135" s="55" t="inlineStr">
        <is>
          <t>No</t>
        </is>
      </c>
      <c r="O135" s="55" t="inlineStr">
        <is>
          <t>None</t>
        </is>
      </c>
      <c r="P135" s="55"/>
      <c r="Q135" s="55" t="inlineStr">
        <is>
          <t>Pending</t>
        </is>
      </c>
      <c r="R135" s="55" t="inlineStr">
        <is>
          <t>Pending</t>
        </is>
      </c>
      <c r="S135" s="55" t="inlineStr">
        <is>
          <t>None</t>
        </is>
      </c>
      <c r="T135" s="76"/>
    </row>
    <row r="136">
      <c r="A136" s="75" t="inlineStr">
        <is>
          <t>P023</t>
        </is>
      </c>
      <c r="B136" s="60" t="n">
        <v>1</v>
      </c>
      <c r="C136" s="60" t="inlineStr">
        <is>
          <t>游戏手柄</t>
        </is>
      </c>
      <c r="D136" s="60" t="n">
        <v>1</v>
      </c>
      <c r="E136" s="60" t="inlineStr">
        <is>
          <t>One-Euro</t>
        </is>
      </c>
      <c r="F136" s="60" t="inlineStr">
        <is>
          <t>P023_Gamepad_S1</t>
        </is>
      </c>
      <c r="G136" s="55"/>
      <c r="H136" s="55"/>
      <c r="I136" s="55" t="inlineStr">
        <is>
          <t>Pending</t>
        </is>
      </c>
      <c r="J136" s="55" t="inlineStr">
        <is>
          <t>Pending</t>
        </is>
      </c>
      <c r="K136" s="55" t="inlineStr">
        <is>
          <t>N/A</t>
        </is>
      </c>
      <c r="L136" s="55" t="inlineStr">
        <is>
          <t>No</t>
        </is>
      </c>
      <c r="M136" s="55" t="n">
        <v>0</v>
      </c>
      <c r="N136" s="55" t="inlineStr">
        <is>
          <t>No</t>
        </is>
      </c>
      <c r="O136" s="55" t="inlineStr">
        <is>
          <t>None</t>
        </is>
      </c>
      <c r="P136" s="55"/>
      <c r="Q136" s="55" t="inlineStr">
        <is>
          <t>Pending</t>
        </is>
      </c>
      <c r="R136" s="55" t="inlineStr">
        <is>
          <t>Pending</t>
        </is>
      </c>
      <c r="S136" s="55" t="inlineStr">
        <is>
          <t>None</t>
        </is>
      </c>
      <c r="T136" s="76"/>
    </row>
    <row r="137">
      <c r="A137" s="75" t="inlineStr">
        <is>
          <t>P023</t>
        </is>
      </c>
      <c r="B137" s="60" t="n">
        <v>1</v>
      </c>
      <c r="C137" s="60" t="inlineStr">
        <is>
          <t>游戏手柄</t>
        </is>
      </c>
      <c r="D137" s="60" t="n">
        <v>2</v>
      </c>
      <c r="E137" s="60" t="inlineStr">
        <is>
          <t>EgoAnchor</t>
        </is>
      </c>
      <c r="F137" s="60" t="inlineStr">
        <is>
          <t>P023_Gamepad_S1</t>
        </is>
      </c>
      <c r="G137" s="55"/>
      <c r="H137" s="55"/>
      <c r="I137" s="55" t="inlineStr">
        <is>
          <t>Pending</t>
        </is>
      </c>
      <c r="J137" s="55" t="inlineStr">
        <is>
          <t>Pending</t>
        </is>
      </c>
      <c r="K137" s="55" t="inlineStr">
        <is>
          <t>Pending</t>
        </is>
      </c>
      <c r="L137" s="55" t="inlineStr">
        <is>
          <t>No</t>
        </is>
      </c>
      <c r="M137" s="55" t="n">
        <v>0</v>
      </c>
      <c r="N137" s="55" t="inlineStr">
        <is>
          <t>No</t>
        </is>
      </c>
      <c r="O137" s="55" t="inlineStr">
        <is>
          <t>None</t>
        </is>
      </c>
      <c r="P137" s="55"/>
      <c r="Q137" s="55" t="inlineStr">
        <is>
          <t>Pending</t>
        </is>
      </c>
      <c r="R137" s="55" t="inlineStr">
        <is>
          <t>Pending</t>
        </is>
      </c>
      <c r="S137" s="55" t="inlineStr">
        <is>
          <t>None</t>
        </is>
      </c>
      <c r="T137" s="76"/>
    </row>
    <row r="138">
      <c r="A138" s="75" t="inlineStr">
        <is>
          <t>P023</t>
        </is>
      </c>
      <c r="B138" s="60" t="n">
        <v>2</v>
      </c>
      <c r="C138" s="60" t="inlineStr">
        <is>
          <t>固定闭合订书机</t>
        </is>
      </c>
      <c r="D138" s="60" t="n">
        <v>1</v>
      </c>
      <c r="E138" s="60" t="inlineStr">
        <is>
          <t>EgoAnchor</t>
        </is>
      </c>
      <c r="F138" s="60" t="inlineStr">
        <is>
          <t>P023_Stapler_S1</t>
        </is>
      </c>
      <c r="G138" s="55"/>
      <c r="H138" s="55"/>
      <c r="I138" s="55" t="inlineStr">
        <is>
          <t>Pending</t>
        </is>
      </c>
      <c r="J138" s="55" t="inlineStr">
        <is>
          <t>Pending</t>
        </is>
      </c>
      <c r="K138" s="55" t="inlineStr">
        <is>
          <t>N/A</t>
        </is>
      </c>
      <c r="L138" s="55" t="inlineStr">
        <is>
          <t>No</t>
        </is>
      </c>
      <c r="M138" s="55" t="n">
        <v>0</v>
      </c>
      <c r="N138" s="55" t="inlineStr">
        <is>
          <t>No</t>
        </is>
      </c>
      <c r="O138" s="55" t="inlineStr">
        <is>
          <t>None</t>
        </is>
      </c>
      <c r="P138" s="55"/>
      <c r="Q138" s="55" t="inlineStr">
        <is>
          <t>Pending</t>
        </is>
      </c>
      <c r="R138" s="55" t="inlineStr">
        <is>
          <t>Pending</t>
        </is>
      </c>
      <c r="S138" s="55" t="inlineStr">
        <is>
          <t>None</t>
        </is>
      </c>
      <c r="T138" s="76"/>
    </row>
    <row r="139">
      <c r="A139" s="75" t="inlineStr">
        <is>
          <t>P023</t>
        </is>
      </c>
      <c r="B139" s="60" t="n">
        <v>2</v>
      </c>
      <c r="C139" s="60" t="inlineStr">
        <is>
          <t>固定闭合订书机</t>
        </is>
      </c>
      <c r="D139" s="60" t="n">
        <v>2</v>
      </c>
      <c r="E139" s="60" t="inlineStr">
        <is>
          <t>One-Euro</t>
        </is>
      </c>
      <c r="F139" s="60" t="inlineStr">
        <is>
          <t>P023_Stapler_S1</t>
        </is>
      </c>
      <c r="G139" s="55"/>
      <c r="H139" s="55"/>
      <c r="I139" s="55" t="inlineStr">
        <is>
          <t>Pending</t>
        </is>
      </c>
      <c r="J139" s="55" t="inlineStr">
        <is>
          <t>Pending</t>
        </is>
      </c>
      <c r="K139" s="55" t="inlineStr">
        <is>
          <t>Pending</t>
        </is>
      </c>
      <c r="L139" s="55" t="inlineStr">
        <is>
          <t>No</t>
        </is>
      </c>
      <c r="M139" s="55" t="n">
        <v>0</v>
      </c>
      <c r="N139" s="55" t="inlineStr">
        <is>
          <t>No</t>
        </is>
      </c>
      <c r="O139" s="55" t="inlineStr">
        <is>
          <t>None</t>
        </is>
      </c>
      <c r="P139" s="55"/>
      <c r="Q139" s="55" t="inlineStr">
        <is>
          <t>Pending</t>
        </is>
      </c>
      <c r="R139" s="55" t="inlineStr">
        <is>
          <t>Pending</t>
        </is>
      </c>
      <c r="S139" s="55" t="inlineStr">
        <is>
          <t>None</t>
        </is>
      </c>
      <c r="T139" s="76"/>
    </row>
    <row r="140">
      <c r="A140" s="75" t="inlineStr">
        <is>
          <t>P023</t>
        </is>
      </c>
      <c r="B140" s="60" t="n">
        <v>3</v>
      </c>
      <c r="C140" s="60" t="inlineStr">
        <is>
          <t>无线鼠标</t>
        </is>
      </c>
      <c r="D140" s="60" t="n">
        <v>1</v>
      </c>
      <c r="E140" s="60" t="inlineStr">
        <is>
          <t>One-Euro</t>
        </is>
      </c>
      <c r="F140" s="60" t="inlineStr">
        <is>
          <t>P023_Mouse_S1</t>
        </is>
      </c>
      <c r="G140" s="55"/>
      <c r="H140" s="55"/>
      <c r="I140" s="55" t="inlineStr">
        <is>
          <t>Pending</t>
        </is>
      </c>
      <c r="J140" s="55" t="inlineStr">
        <is>
          <t>Pending</t>
        </is>
      </c>
      <c r="K140" s="55" t="inlineStr">
        <is>
          <t>N/A</t>
        </is>
      </c>
      <c r="L140" s="55" t="inlineStr">
        <is>
          <t>No</t>
        </is>
      </c>
      <c r="M140" s="55" t="n">
        <v>0</v>
      </c>
      <c r="N140" s="55" t="inlineStr">
        <is>
          <t>No</t>
        </is>
      </c>
      <c r="O140" s="55" t="inlineStr">
        <is>
          <t>None</t>
        </is>
      </c>
      <c r="P140" s="55"/>
      <c r="Q140" s="55" t="inlineStr">
        <is>
          <t>Pending</t>
        </is>
      </c>
      <c r="R140" s="55" t="inlineStr">
        <is>
          <t>Pending</t>
        </is>
      </c>
      <c r="S140" s="55" t="inlineStr">
        <is>
          <t>None</t>
        </is>
      </c>
      <c r="T140" s="76"/>
    </row>
    <row r="141">
      <c r="A141" s="75" t="inlineStr">
        <is>
          <t>P023</t>
        </is>
      </c>
      <c r="B141" s="60" t="n">
        <v>3</v>
      </c>
      <c r="C141" s="60" t="inlineStr">
        <is>
          <t>无线鼠标</t>
        </is>
      </c>
      <c r="D141" s="60" t="n">
        <v>2</v>
      </c>
      <c r="E141" s="60" t="inlineStr">
        <is>
          <t>EgoAnchor</t>
        </is>
      </c>
      <c r="F141" s="60" t="inlineStr">
        <is>
          <t>P023_Mouse_S1</t>
        </is>
      </c>
      <c r="G141" s="55"/>
      <c r="H141" s="55"/>
      <c r="I141" s="55" t="inlineStr">
        <is>
          <t>Pending</t>
        </is>
      </c>
      <c r="J141" s="55" t="inlineStr">
        <is>
          <t>Pending</t>
        </is>
      </c>
      <c r="K141" s="55" t="inlineStr">
        <is>
          <t>Pending</t>
        </is>
      </c>
      <c r="L141" s="55" t="inlineStr">
        <is>
          <t>No</t>
        </is>
      </c>
      <c r="M141" s="55" t="n">
        <v>0</v>
      </c>
      <c r="N141" s="55" t="inlineStr">
        <is>
          <t>No</t>
        </is>
      </c>
      <c r="O141" s="55" t="inlineStr">
        <is>
          <t>None</t>
        </is>
      </c>
      <c r="P141" s="55"/>
      <c r="Q141" s="55" t="inlineStr">
        <is>
          <t>Pending</t>
        </is>
      </c>
      <c r="R141" s="55" t="inlineStr">
        <is>
          <t>Pending</t>
        </is>
      </c>
      <c r="S141" s="55" t="inlineStr">
        <is>
          <t>None</t>
        </is>
      </c>
      <c r="T141" s="76"/>
    </row>
    <row r="142">
      <c r="A142" s="75" t="inlineStr">
        <is>
          <t>P024</t>
        </is>
      </c>
      <c r="B142" s="60" t="n">
        <v>1</v>
      </c>
      <c r="C142" s="60" t="inlineStr">
        <is>
          <t>游戏手柄</t>
        </is>
      </c>
      <c r="D142" s="60" t="n">
        <v>1</v>
      </c>
      <c r="E142" s="60" t="inlineStr">
        <is>
          <t>One-Euro</t>
        </is>
      </c>
      <c r="F142" s="60" t="inlineStr">
        <is>
          <t>P024_Gamepad_S1</t>
        </is>
      </c>
      <c r="G142" s="55"/>
      <c r="H142" s="55"/>
      <c r="I142" s="55" t="inlineStr">
        <is>
          <t>Pending</t>
        </is>
      </c>
      <c r="J142" s="55" t="inlineStr">
        <is>
          <t>Pending</t>
        </is>
      </c>
      <c r="K142" s="55" t="inlineStr">
        <is>
          <t>N/A</t>
        </is>
      </c>
      <c r="L142" s="55" t="inlineStr">
        <is>
          <t>No</t>
        </is>
      </c>
      <c r="M142" s="55" t="n">
        <v>0</v>
      </c>
      <c r="N142" s="55" t="inlineStr">
        <is>
          <t>No</t>
        </is>
      </c>
      <c r="O142" s="55" t="inlineStr">
        <is>
          <t>None</t>
        </is>
      </c>
      <c r="P142" s="55"/>
      <c r="Q142" s="55" t="inlineStr">
        <is>
          <t>Pending</t>
        </is>
      </c>
      <c r="R142" s="55" t="inlineStr">
        <is>
          <t>Pending</t>
        </is>
      </c>
      <c r="S142" s="55" t="inlineStr">
        <is>
          <t>None</t>
        </is>
      </c>
      <c r="T142" s="76"/>
    </row>
    <row r="143">
      <c r="A143" s="75" t="inlineStr">
        <is>
          <t>P024</t>
        </is>
      </c>
      <c r="B143" s="60" t="n">
        <v>1</v>
      </c>
      <c r="C143" s="60" t="inlineStr">
        <is>
          <t>游戏手柄</t>
        </is>
      </c>
      <c r="D143" s="60" t="n">
        <v>2</v>
      </c>
      <c r="E143" s="60" t="inlineStr">
        <is>
          <t>EgoAnchor</t>
        </is>
      </c>
      <c r="F143" s="60" t="inlineStr">
        <is>
          <t>P024_Gamepad_S1</t>
        </is>
      </c>
      <c r="G143" s="55"/>
      <c r="H143" s="55"/>
      <c r="I143" s="55" t="inlineStr">
        <is>
          <t>Pending</t>
        </is>
      </c>
      <c r="J143" s="55" t="inlineStr">
        <is>
          <t>Pending</t>
        </is>
      </c>
      <c r="K143" s="55" t="inlineStr">
        <is>
          <t>Pending</t>
        </is>
      </c>
      <c r="L143" s="55" t="inlineStr">
        <is>
          <t>No</t>
        </is>
      </c>
      <c r="M143" s="55" t="n">
        <v>0</v>
      </c>
      <c r="N143" s="55" t="inlineStr">
        <is>
          <t>No</t>
        </is>
      </c>
      <c r="O143" s="55" t="inlineStr">
        <is>
          <t>None</t>
        </is>
      </c>
      <c r="P143" s="55"/>
      <c r="Q143" s="55" t="inlineStr">
        <is>
          <t>Pending</t>
        </is>
      </c>
      <c r="R143" s="55" t="inlineStr">
        <is>
          <t>Pending</t>
        </is>
      </c>
      <c r="S143" s="55" t="inlineStr">
        <is>
          <t>None</t>
        </is>
      </c>
      <c r="T143" s="76"/>
    </row>
    <row r="144">
      <c r="A144" s="75" t="inlineStr">
        <is>
          <t>P024</t>
        </is>
      </c>
      <c r="B144" s="60" t="n">
        <v>2</v>
      </c>
      <c r="C144" s="60" t="inlineStr">
        <is>
          <t>固定闭合订书机</t>
        </is>
      </c>
      <c r="D144" s="60" t="n">
        <v>1</v>
      </c>
      <c r="E144" s="60" t="inlineStr">
        <is>
          <t>EgoAnchor</t>
        </is>
      </c>
      <c r="F144" s="60" t="inlineStr">
        <is>
          <t>P024_Stapler_S1</t>
        </is>
      </c>
      <c r="G144" s="55"/>
      <c r="H144" s="55"/>
      <c r="I144" s="55" t="inlineStr">
        <is>
          <t>Pending</t>
        </is>
      </c>
      <c r="J144" s="55" t="inlineStr">
        <is>
          <t>Pending</t>
        </is>
      </c>
      <c r="K144" s="55" t="inlineStr">
        <is>
          <t>N/A</t>
        </is>
      </c>
      <c r="L144" s="55" t="inlineStr">
        <is>
          <t>No</t>
        </is>
      </c>
      <c r="M144" s="55" t="n">
        <v>0</v>
      </c>
      <c r="N144" s="55" t="inlineStr">
        <is>
          <t>No</t>
        </is>
      </c>
      <c r="O144" s="55" t="inlineStr">
        <is>
          <t>None</t>
        </is>
      </c>
      <c r="P144" s="55"/>
      <c r="Q144" s="55" t="inlineStr">
        <is>
          <t>Pending</t>
        </is>
      </c>
      <c r="R144" s="55" t="inlineStr">
        <is>
          <t>Pending</t>
        </is>
      </c>
      <c r="S144" s="55" t="inlineStr">
        <is>
          <t>None</t>
        </is>
      </c>
      <c r="T144" s="76"/>
    </row>
    <row r="145">
      <c r="A145" s="75" t="inlineStr">
        <is>
          <t>P024</t>
        </is>
      </c>
      <c r="B145" s="60" t="n">
        <v>2</v>
      </c>
      <c r="C145" s="60" t="inlineStr">
        <is>
          <t>固定闭合订书机</t>
        </is>
      </c>
      <c r="D145" s="60" t="n">
        <v>2</v>
      </c>
      <c r="E145" s="60" t="inlineStr">
        <is>
          <t>One-Euro</t>
        </is>
      </c>
      <c r="F145" s="60" t="inlineStr">
        <is>
          <t>P024_Stapler_S1</t>
        </is>
      </c>
      <c r="G145" s="55"/>
      <c r="H145" s="55"/>
      <c r="I145" s="55" t="inlineStr">
        <is>
          <t>Pending</t>
        </is>
      </c>
      <c r="J145" s="55" t="inlineStr">
        <is>
          <t>Pending</t>
        </is>
      </c>
      <c r="K145" s="55" t="inlineStr">
        <is>
          <t>Pending</t>
        </is>
      </c>
      <c r="L145" s="55" t="inlineStr">
        <is>
          <t>No</t>
        </is>
      </c>
      <c r="M145" s="55" t="n">
        <v>0</v>
      </c>
      <c r="N145" s="55" t="inlineStr">
        <is>
          <t>No</t>
        </is>
      </c>
      <c r="O145" s="55" t="inlineStr">
        <is>
          <t>None</t>
        </is>
      </c>
      <c r="P145" s="55"/>
      <c r="Q145" s="55" t="inlineStr">
        <is>
          <t>Pending</t>
        </is>
      </c>
      <c r="R145" s="55" t="inlineStr">
        <is>
          <t>Pending</t>
        </is>
      </c>
      <c r="S145" s="55" t="inlineStr">
        <is>
          <t>None</t>
        </is>
      </c>
      <c r="T145" s="76"/>
    </row>
    <row r="146">
      <c r="A146" s="75" t="inlineStr">
        <is>
          <t>P024</t>
        </is>
      </c>
      <c r="B146" s="60" t="n">
        <v>3</v>
      </c>
      <c r="C146" s="60" t="inlineStr">
        <is>
          <t>无线鼠标</t>
        </is>
      </c>
      <c r="D146" s="60" t="n">
        <v>1</v>
      </c>
      <c r="E146" s="60" t="inlineStr">
        <is>
          <t>One-Euro</t>
        </is>
      </c>
      <c r="F146" s="60" t="inlineStr">
        <is>
          <t>P024_Mouse_S1</t>
        </is>
      </c>
      <c r="G146" s="55"/>
      <c r="H146" s="55"/>
      <c r="I146" s="55" t="inlineStr">
        <is>
          <t>Pending</t>
        </is>
      </c>
      <c r="J146" s="55" t="inlineStr">
        <is>
          <t>Pending</t>
        </is>
      </c>
      <c r="K146" s="55" t="inlineStr">
        <is>
          <t>N/A</t>
        </is>
      </c>
      <c r="L146" s="55" t="inlineStr">
        <is>
          <t>No</t>
        </is>
      </c>
      <c r="M146" s="55" t="n">
        <v>0</v>
      </c>
      <c r="N146" s="55" t="inlineStr">
        <is>
          <t>No</t>
        </is>
      </c>
      <c r="O146" s="55" t="inlineStr">
        <is>
          <t>None</t>
        </is>
      </c>
      <c r="P146" s="55"/>
      <c r="Q146" s="55" t="inlineStr">
        <is>
          <t>Pending</t>
        </is>
      </c>
      <c r="R146" s="55" t="inlineStr">
        <is>
          <t>Pending</t>
        </is>
      </c>
      <c r="S146" s="55" t="inlineStr">
        <is>
          <t>None</t>
        </is>
      </c>
      <c r="T146" s="76"/>
    </row>
    <row r="147">
      <c r="A147" s="77" t="inlineStr">
        <is>
          <t>P024</t>
        </is>
      </c>
      <c r="B147" s="78" t="n">
        <v>3</v>
      </c>
      <c r="C147" s="78" t="inlineStr">
        <is>
          <t>无线鼠标</t>
        </is>
      </c>
      <c r="D147" s="78" t="n">
        <v>2</v>
      </c>
      <c r="E147" s="78" t="inlineStr">
        <is>
          <t>EgoAnchor</t>
        </is>
      </c>
      <c r="F147" s="78" t="inlineStr">
        <is>
          <t>P024_Mouse_S1</t>
        </is>
      </c>
      <c r="G147" s="79"/>
      <c r="H147" s="79"/>
      <c r="I147" s="79" t="inlineStr">
        <is>
          <t>Pending</t>
        </is>
      </c>
      <c r="J147" s="79" t="inlineStr">
        <is>
          <t>Pending</t>
        </is>
      </c>
      <c r="K147" s="79" t="inlineStr">
        <is>
          <t>Pending</t>
        </is>
      </c>
      <c r="L147" s="79" t="inlineStr">
        <is>
          <t>No</t>
        </is>
      </c>
      <c r="M147" s="79" t="n">
        <v>0</v>
      </c>
      <c r="N147" s="79" t="inlineStr">
        <is>
          <t>No</t>
        </is>
      </c>
      <c r="O147" s="79" t="inlineStr">
        <is>
          <t>None</t>
        </is>
      </c>
      <c r="P147" s="79"/>
      <c r="Q147" s="79" t="inlineStr">
        <is>
          <t>Pending</t>
        </is>
      </c>
      <c r="R147" s="79" t="inlineStr">
        <is>
          <t>Pending</t>
        </is>
      </c>
      <c r="S147" s="79" t="inlineStr">
        <is>
          <t>None</t>
        </is>
      </c>
      <c r="T147" s="8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FormatPr defaultRowHeight="15"/>
  <cols>
    <col min="1" max="1" width="28" hidden="0" customWidth="1"/>
    <col min="2" max="2" width="18" hidden="0" customWidth="1"/>
    <col min="3" max="3" width="18" hidden="0" customWidth="1"/>
    <col min="4" max="4" width="18" hidden="0" customWidth="1"/>
    <col min="5" max="5" width="30" hidden="0" customWidth="1"/>
    <col min="6" max="6" width="14" hidden="0" customWidth="1"/>
    <col min="7" max="7" width="15" hidden="0" customWidth="1"/>
    <col min="8" max="8" width="14" hidden="0" customWidth="1"/>
  </cols>
  <sheetData>
    <row r="1">
      <c r="A1" s="4" t="inlineStr">
        <is>
          <t>自动质量检查：完整性、评分范围与平衡</t>
        </is>
      </c>
      <c r="B1" s="4"/>
      <c r="C1" s="4"/>
      <c r="D1" s="4"/>
      <c r="E1" s="4"/>
      <c r="F1" s="4"/>
      <c r="G1" s="4"/>
      <c r="H1" s="4"/>
    </row>
    <row r="3">
      <c r="A3" s="28" t="inlineStr">
        <is>
          <t>全局检查</t>
        </is>
      </c>
      <c r="B3" s="29" t="inlineStr">
        <is>
          <t>值</t>
        </is>
      </c>
      <c r="C3" s="30" t="inlineStr">
        <is>
          <t>判定</t>
        </is>
      </c>
      <c r="E3" s="28" t="inlineStr">
        <is>
          <t>平衡检查</t>
        </is>
      </c>
      <c r="F3" s="29" t="inlineStr">
        <is>
          <t>目标</t>
        </is>
      </c>
      <c r="G3" s="29" t="inlineStr">
        <is>
          <t>实际</t>
        </is>
      </c>
      <c r="H3" s="30" t="inlineStr">
        <is>
          <t>判定</t>
        </is>
      </c>
    </row>
    <row r="4">
      <c r="A4" s="64" t="inlineStr">
        <is>
          <t>计划参与者</t>
        </is>
      </c>
      <c r="B4" s="65" t="n">
        <v>24</v>
      </c>
      <c r="C4" s="66" t="inlineStr">
        <is>
          <t>冻结</t>
        </is>
      </c>
      <c r="E4" s="64" t="inlineStr">
        <is>
          <t>Object order 1</t>
        </is>
      </c>
      <c r="F4" s="65" t="n">
        <v>4</v>
      </c>
      <c r="G4" s="60" t="n">
        <f>COUNTIF(Participants!H4:H27,1)</f>
        <v>4</v>
      </c>
      <c r="H4" s="97" t="str">
        <f>IF(G4=F4,"OK","CHECK")</f>
        <v>OK</v>
      </c>
    </row>
    <row r="5">
      <c r="A5" s="64" t="inlineStr">
        <is>
          <t>参与者行数</t>
        </is>
      </c>
      <c r="B5" s="60" t="n">
        <f>COUNTA(Participants!A4:A27)</f>
        <v>24</v>
      </c>
      <c r="C5" s="97" t="str">
        <f>IF(B5=24,"OK","CHECK")</f>
        <v>OK</v>
      </c>
      <c r="E5" s="64" t="inlineStr">
        <is>
          <t>Object order 2</t>
        </is>
      </c>
      <c r="F5" s="65" t="n">
        <v>4</v>
      </c>
      <c r="G5" s="60" t="n">
        <f>COUNTIF(Participants!H4:H27,2)</f>
        <v>4</v>
      </c>
      <c r="H5" s="97" t="str">
        <f>IF(G5=F5,"OK","CHECK")</f>
        <v>OK</v>
      </c>
    </row>
    <row r="6">
      <c r="A6" s="64" t="inlineStr">
        <is>
          <t>纳入参与者</t>
        </is>
      </c>
      <c r="B6" s="60" t="n">
        <f>COUNTIF(Participants!B4:B27,"Yes")</f>
        <v>24</v>
      </c>
      <c r="C6" s="97" t="inlineStr">
        <is>
          <t>采集后确认</t>
        </is>
      </c>
      <c r="E6" s="64" t="inlineStr">
        <is>
          <t>Object order 3</t>
        </is>
      </c>
      <c r="F6" s="65" t="n">
        <v>4</v>
      </c>
      <c r="G6" s="60" t="n">
        <f>COUNTIF(Participants!H4:H27,3)</f>
        <v>4</v>
      </c>
      <c r="H6" s="97" t="str">
        <f>IF(G6=F6,"OK","CHECK")</f>
        <v>OK</v>
      </c>
    </row>
    <row r="7">
      <c r="A7" s="64" t="inlineStr">
        <is>
          <t>计划条件行数</t>
        </is>
      </c>
      <c r="B7" s="60" t="n">
        <v>144</v>
      </c>
      <c r="C7" s="97" t="inlineStr">
        <is>
          <t>冻结</t>
        </is>
      </c>
      <c r="E7" s="64" t="inlineStr">
        <is>
          <t>Object order 4</t>
        </is>
      </c>
      <c r="F7" s="65" t="n">
        <v>4</v>
      </c>
      <c r="G7" s="60" t="n">
        <f>COUNTIF(Participants!H4:H27,4)</f>
        <v>4</v>
      </c>
      <c r="H7" s="97" t="str">
        <f>IF(G7=F7,"OK","CHECK")</f>
        <v>OK</v>
      </c>
    </row>
    <row r="8">
      <c r="A8" s="64" t="inlineStr">
        <is>
          <t>条件行数</t>
        </is>
      </c>
      <c r="B8" s="60" t="n">
        <f>COUNTA(ConditionRatings!A4:A147)</f>
        <v>144</v>
      </c>
      <c r="C8" s="97" t="str">
        <f>IF(B8=144,"OK","CHECK")</f>
        <v>OK</v>
      </c>
      <c r="E8" s="64" t="inlineStr">
        <is>
          <t>Object order 5</t>
        </is>
      </c>
      <c r="F8" s="65" t="n">
        <v>4</v>
      </c>
      <c r="G8" s="60" t="n">
        <f>COUNTIF(Participants!H4:H27,5)</f>
        <v>4</v>
      </c>
      <c r="H8" s="97" t="str">
        <f>IF(G8=F8,"OK","CHECK")</f>
        <v>OK</v>
      </c>
    </row>
    <row r="9">
      <c r="A9" s="64" t="inlineStr">
        <is>
          <t>有效条件行数</t>
        </is>
      </c>
      <c r="B9" s="60" t="n">
        <f>COUNTIF(ConditionRatings!Q4:Q147,"Yes")</f>
        <v>0</v>
      </c>
      <c r="C9" s="97" t="inlineStr">
        <is>
          <t>完成并审核后应为 144</t>
        </is>
      </c>
      <c r="E9" s="64" t="inlineStr">
        <is>
          <t>Object order 6</t>
        </is>
      </c>
      <c r="F9" s="65" t="n">
        <v>4</v>
      </c>
      <c r="G9" s="60" t="n">
        <f>COUNTIF(Participants!H4:H27,6)</f>
        <v>4</v>
      </c>
      <c r="H9" s="97" t="str">
        <f>IF(G9=F9,"OK","CHECK")</f>
        <v>OK</v>
      </c>
    </row>
    <row r="10">
      <c r="A10" s="64" t="inlineStr">
        <is>
          <t>计划七点评分</t>
        </is>
      </c>
      <c r="B10" s="60" t="n">
        <v>1008</v>
      </c>
      <c r="C10" s="97" t="inlineStr">
        <is>
          <t>24×6×7</t>
        </is>
      </c>
      <c r="E10" s="64" t="inlineStr">
        <is>
          <t>Method sequence S1</t>
        </is>
      </c>
      <c r="F10" s="65" t="n">
        <v>12</v>
      </c>
      <c r="G10" s="60" t="n">
        <f>COUNTIF(Participants!I4:I27,"S1")</f>
        <v>12</v>
      </c>
      <c r="H10" s="97" t="str">
        <f>IF(G10=F10,"OK","CHECK")</f>
        <v>OK</v>
      </c>
    </row>
    <row r="11">
      <c r="A11" s="64" t="inlineStr">
        <is>
          <t>已完成问卷条件</t>
        </is>
      </c>
      <c r="B11" s="60" t="n">
        <f>COUNTIF(ConditionRatings!P4:P147,"Yes")</f>
        <v>0</v>
      </c>
      <c r="C11" s="97" t="inlineStr">
        <is>
          <t>目标 144</t>
        </is>
      </c>
      <c r="E11" s="64" t="inlineStr">
        <is>
          <t>Method sequence S2</t>
        </is>
      </c>
      <c r="F11" s="65" t="n">
        <v>12</v>
      </c>
      <c r="G11" s="60" t="n">
        <f>COUNTIF(Participants!I4:I27,"S2")</f>
        <v>12</v>
      </c>
      <c r="H11" s="97" t="str">
        <f>IF(G11=F11,"OK","CHECK")</f>
        <v>OK</v>
      </c>
    </row>
    <row r="12">
      <c r="A12" s="64" t="inlineStr">
        <is>
          <t>已填写评分总数</t>
        </is>
      </c>
      <c r="B12" s="60" t="n">
        <f>COUNT(ConditionRatings!S4:S147)+COUNT(ConditionRatings!T4:T147)+COUNT(ConditionRatings!U4:U147)+COUNT(ConditionRatings!V4:V147)+COUNT(ConditionRatings!W4:W147)+COUNT(ConditionRatings!X4:X147)+COUNT(ConditionRatings!Y4:Y147)</f>
        <v>0</v>
      </c>
      <c r="C12" s="97" t="str">
        <f>IF(B12=0,"NOT STARTED",IF(B12=B10,"COMPLETE","IN PROGRESS"))</f>
        <v>NOT STARTED</v>
      </c>
      <c r="E12" s="64" t="inlineStr">
        <is>
          <t>无线鼠标: first = EgoAnchor</t>
        </is>
      </c>
      <c r="F12" s="65" t="n">
        <v>12</v>
      </c>
      <c r="G12" s="60" t="n">
        <f>COUNTIFS(ConditionRatings!D4:D147,"无线鼠标",ConditionRatings!F4:F147,1,ConditionRatings!H4:H147,"EgoAnchor")</f>
        <v>12</v>
      </c>
      <c r="H12" s="97" t="str">
        <f>IF(G12=F12,"OK","CHECK")</f>
        <v>OK</v>
      </c>
    </row>
    <row r="13">
      <c r="A13" s="64" t="inlineStr">
        <is>
          <t>剩余计划评分</t>
        </is>
      </c>
      <c r="B13" s="60" t="n">
        <f>B10-B12</f>
        <v>1008</v>
      </c>
      <c r="C13" s="97" t="str">
        <f>IF(B13=0,"OK","IN PROGRESS")</f>
        <v>IN PROGRESS</v>
      </c>
      <c r="E13" s="64" t="inlineStr">
        <is>
          <t>无线鼠标: first = One-Euro</t>
        </is>
      </c>
      <c r="F13" s="65" t="n">
        <v>12</v>
      </c>
      <c r="G13" s="60" t="n">
        <f>COUNTIFS(ConditionRatings!D4:D147,"无线鼠标",ConditionRatings!F4:F147,1,ConditionRatings!H4:H147,"One-Euro")</f>
        <v>12</v>
      </c>
      <c r="H13" s="97" t="str">
        <f>IF(G13=F13,"OK","CHECK")</f>
        <v>OK</v>
      </c>
    </row>
    <row r="14">
      <c r="A14" s="64" t="inlineStr">
        <is>
          <t>已完成且有效条件内的缺失评分</t>
        </is>
      </c>
      <c r="B14" s="60" t="n">
        <f>COUNTIFS(ConditionRatings!P4:P147,"Yes",ConditionRatings!Q4:Q147,"Yes")*7-(COUNTIFS(ConditionRatings!P4:P147,"Yes",ConditionRatings!Q4:Q147,"Yes",ConditionRatings!S4:S147,"&gt;=1")+COUNTIFS(ConditionRatings!P4:P147,"Yes",ConditionRatings!Q4:Q147,"Yes",ConditionRatings!T4:T147,"&gt;=1")+COUNTIFS(ConditionRatings!P4:P147,"Yes",ConditionRatings!Q4:Q147,"Yes",ConditionRatings!U4:U147,"&gt;=1")+COUNTIFS(ConditionRatings!P4:P147,"Yes",ConditionRatings!Q4:Q147,"Yes",ConditionRatings!V4:V147,"&gt;=1")+COUNTIFS(ConditionRatings!P4:P147,"Yes",ConditionRatings!Q4:Q147,"Yes",ConditionRatings!W4:W147,"&gt;=1")+COUNTIFS(ConditionRatings!P4:P147,"Yes",ConditionRatings!Q4:Q147,"Yes",ConditionRatings!X4:X147,"&gt;=1")+COUNTIFS(ConditionRatings!P4:P147,"Yes",ConditionRatings!Q4:Q147,"Yes",ConditionRatings!Y4:Y147,"&gt;=1"))</f>
        <v>0</v>
      </c>
      <c r="C14" s="97" t="str">
        <f>IF(B14=0,"OK","CHECK")</f>
        <v>OK</v>
      </c>
      <c r="E14" s="64" t="inlineStr">
        <is>
          <t>固定闭合订书机: first = EgoAnchor</t>
        </is>
      </c>
      <c r="F14" s="65" t="n">
        <v>12</v>
      </c>
      <c r="G14" s="60" t="n">
        <f>COUNTIFS(ConditionRatings!D4:D147,"固定闭合订书机",ConditionRatings!F4:F147,1,ConditionRatings!H4:H147,"EgoAnchor")</f>
        <v>12</v>
      </c>
      <c r="H14" s="97" t="str">
        <f>IF(G14=F14,"OK","CHECK")</f>
        <v>OK</v>
      </c>
    </row>
    <row r="15">
      <c r="A15" s="67" t="inlineStr">
        <is>
          <t>越界或非 1–7 数值</t>
        </is>
      </c>
      <c r="B15" s="78" t="n">
        <f>COUNT(ConditionRatings!S4:Y147)-(COUNTIF(ConditionRatings!S4:Y147,1)+COUNTIF(ConditionRatings!S4:Y147,2)+COUNTIF(ConditionRatings!S4:Y147,3)+COUNTIF(ConditionRatings!S4:Y147,4)+COUNTIF(ConditionRatings!S4:Y147,5)+COUNTIF(ConditionRatings!S4:Y147,6)+COUNTIF(ConditionRatings!S4:Y147,7))</f>
        <v>0</v>
      </c>
      <c r="C15" s="98" t="str">
        <f>IF(B15=0,"OK","CHECK")</f>
        <v>OK</v>
      </c>
      <c r="E15" s="64" t="inlineStr">
        <is>
          <t>固定闭合订书机: first = One-Euro</t>
        </is>
      </c>
      <c r="F15" s="65" t="n">
        <v>12</v>
      </c>
      <c r="G15" s="60" t="n">
        <f>COUNTIFS(ConditionRatings!D4:D147,"固定闭合订书机",ConditionRatings!F4:F147,1,ConditionRatings!H4:H147,"One-Euro")</f>
        <v>12</v>
      </c>
      <c r="H15" s="97" t="str">
        <f>IF(G15=F15,"OK","CHECK")</f>
        <v>OK</v>
      </c>
    </row>
    <row r="16">
      <c r="A16" s="64" t="inlineStr">
        <is>
          <t>无技术异常条件</t>
        </is>
      </c>
      <c r="B16" s="60" t="n">
        <f>COUNTIF(ConditionRatings!R4:R147,"None")</f>
        <v>144</v>
      </c>
      <c r="C16" s="97" t="inlineStr">
        <is>
          <t>描述性</t>
        </is>
      </c>
      <c r="E16" s="64" t="inlineStr">
        <is>
          <t>游戏手柄: first = EgoAnchor</t>
        </is>
      </c>
      <c r="F16" s="65" t="n">
        <v>12</v>
      </c>
      <c r="G16" s="60" t="n">
        <f>COUNTIFS(ConditionRatings!D4:D147,"游戏手柄",ConditionRatings!F4:F147,1,ConditionRatings!H4:H147,"EgoAnchor")</f>
        <v>12</v>
      </c>
      <c r="H16" s="97" t="str">
        <f>IF(G16=F16,"OK","CHECK")</f>
        <v>OK</v>
      </c>
    </row>
    <row r="17">
      <c r="A17" s="67" t="inlineStr">
        <is>
          <t>待审核条件</t>
        </is>
      </c>
      <c r="B17" s="78" t="n">
        <f>COUNTIF(ConditionRatings!Q4:Q147,"Pending")</f>
        <v>144</v>
      </c>
      <c r="C17" s="98" t="str">
        <f>IF(B17=0,"OK","IN PROGRESS")</f>
        <v>IN PROGRESS</v>
      </c>
      <c r="E17" s="67" t="inlineStr">
        <is>
          <t>游戏手柄: first = One-Euro</t>
        </is>
      </c>
      <c r="F17" s="68" t="n">
        <v>12</v>
      </c>
      <c r="G17" s="78" t="n">
        <f>COUNTIFS(ConditionRatings!D4:D147,"游戏手柄",ConditionRatings!F4:F147,1,ConditionRatings!H4:H147,"One-Euro")</f>
        <v>12</v>
      </c>
      <c r="H17" s="98" t="str">
        <f>IF(G17=F17,"OK","CHECK")</f>
        <v>OK</v>
      </c>
    </row>
    <row r="22">
      <c r="A22" s="28" t="inlineStr">
        <is>
          <t>Participant_ID</t>
        </is>
      </c>
      <c r="B22" s="29" t="inlineStr">
        <is>
          <t>Condition_Rows</t>
        </is>
      </c>
      <c r="C22" s="29" t="inlineStr">
        <is>
          <t>Ratings_Filled</t>
        </is>
      </c>
      <c r="D22" s="29" t="inlineStr">
        <is>
          <t>Expected_Ratings</t>
        </is>
      </c>
      <c r="E22" s="29" t="inlineStr">
        <is>
          <t>Questionnaire_Completed_Rows</t>
        </is>
      </c>
      <c r="F22" s="30" t="inlineStr">
        <is>
          <t>Status</t>
        </is>
      </c>
    </row>
    <row r="23">
      <c r="A23" s="64" t="inlineStr">
        <is>
          <t>P001</t>
        </is>
      </c>
      <c r="B23" s="60" t="n">
        <f>COUNTIF(ConditionRatings!A4:A147,A23)</f>
        <v>6</v>
      </c>
      <c r="C23" s="60" t="n">
        <f>COUNTIFS(ConditionRatings!A4:A147,A23,ConditionRatings!S4:S147,"&gt;=1")+COUNTIFS(ConditionRatings!A4:A147,A23,ConditionRatings!T4:T147,"&gt;=1")+COUNTIFS(ConditionRatings!A4:A147,A23,ConditionRatings!U4:U147,"&gt;=1")+COUNTIFS(ConditionRatings!A4:A147,A23,ConditionRatings!V4:V147,"&gt;=1")+COUNTIFS(ConditionRatings!A4:A147,A23,ConditionRatings!W4:W147,"&gt;=1")+COUNTIFS(ConditionRatings!A4:A147,A23,ConditionRatings!X4:X147,"&gt;=1")+COUNTIFS(ConditionRatings!A4:A147,A23,ConditionRatings!Y4:Y147,"&gt;=1")</f>
        <v>0</v>
      </c>
      <c r="D23" s="60" t="n">
        <v>42</v>
      </c>
      <c r="E23" s="60" t="n">
        <f>COUNTIFS(ConditionRatings!A4:A147,A23,ConditionRatings!P4:P147,"Yes")</f>
        <v>0</v>
      </c>
      <c r="F23" s="97" t="str">
        <f>IF(AND(B23=6,C23=0,E23=0),"NOT STARTED",IF(AND(B23=6,C23=D23,E23=6),"OK","IN PROGRESS"))</f>
        <v>NOT STARTED</v>
      </c>
    </row>
    <row r="24">
      <c r="A24" s="64" t="inlineStr">
        <is>
          <t>P002</t>
        </is>
      </c>
      <c r="B24" s="60" t="n">
        <f>COUNTIF(ConditionRatings!A4:A147,A24)</f>
        <v>6</v>
      </c>
      <c r="C24" s="60" t="n">
        <f>COUNTIFS(ConditionRatings!A4:A147,A24,ConditionRatings!S4:S147,"&gt;=1")+COUNTIFS(ConditionRatings!A4:A147,A24,ConditionRatings!T4:T147,"&gt;=1")+COUNTIFS(ConditionRatings!A4:A147,A24,ConditionRatings!U4:U147,"&gt;=1")+COUNTIFS(ConditionRatings!A4:A147,A24,ConditionRatings!V4:V147,"&gt;=1")+COUNTIFS(ConditionRatings!A4:A147,A24,ConditionRatings!W4:W147,"&gt;=1")+COUNTIFS(ConditionRatings!A4:A147,A24,ConditionRatings!X4:X147,"&gt;=1")+COUNTIFS(ConditionRatings!A4:A147,A24,ConditionRatings!Y4:Y147,"&gt;=1")</f>
        <v>0</v>
      </c>
      <c r="D24" s="60" t="n">
        <v>42</v>
      </c>
      <c r="E24" s="60" t="n">
        <f>COUNTIFS(ConditionRatings!A4:A147,A24,ConditionRatings!P4:P147,"Yes")</f>
        <v>0</v>
      </c>
      <c r="F24" s="97" t="str">
        <f>IF(AND(B24=6,C24=0,E24=0),"NOT STARTED",IF(AND(B24=6,C24=D24,E24=6),"OK","IN PROGRESS"))</f>
        <v>NOT STARTED</v>
      </c>
    </row>
    <row r="25">
      <c r="A25" s="64" t="inlineStr">
        <is>
          <t>P003</t>
        </is>
      </c>
      <c r="B25" s="60" t="n">
        <f>COUNTIF(ConditionRatings!A4:A147,A25)</f>
        <v>6</v>
      </c>
      <c r="C25" s="60" t="n">
        <f>COUNTIFS(ConditionRatings!A4:A147,A25,ConditionRatings!S4:S147,"&gt;=1")+COUNTIFS(ConditionRatings!A4:A147,A25,ConditionRatings!T4:T147,"&gt;=1")+COUNTIFS(ConditionRatings!A4:A147,A25,ConditionRatings!U4:U147,"&gt;=1")+COUNTIFS(ConditionRatings!A4:A147,A25,ConditionRatings!V4:V147,"&gt;=1")+COUNTIFS(ConditionRatings!A4:A147,A25,ConditionRatings!W4:W147,"&gt;=1")+COUNTIFS(ConditionRatings!A4:A147,A25,ConditionRatings!X4:X147,"&gt;=1")+COUNTIFS(ConditionRatings!A4:A147,A25,ConditionRatings!Y4:Y147,"&gt;=1")</f>
        <v>0</v>
      </c>
      <c r="D25" s="60" t="n">
        <v>42</v>
      </c>
      <c r="E25" s="60" t="n">
        <f>COUNTIFS(ConditionRatings!A4:A147,A25,ConditionRatings!P4:P147,"Yes")</f>
        <v>0</v>
      </c>
      <c r="F25" s="97" t="str">
        <f>IF(AND(B25=6,C25=0,E25=0),"NOT STARTED",IF(AND(B25=6,C25=D25,E25=6),"OK","IN PROGRESS"))</f>
        <v>NOT STARTED</v>
      </c>
    </row>
    <row r="26">
      <c r="A26" s="64" t="inlineStr">
        <is>
          <t>P004</t>
        </is>
      </c>
      <c r="B26" s="60" t="n">
        <f>COUNTIF(ConditionRatings!A4:A147,A26)</f>
        <v>6</v>
      </c>
      <c r="C26" s="60" t="n">
        <f>COUNTIFS(ConditionRatings!A4:A147,A26,ConditionRatings!S4:S147,"&gt;=1")+COUNTIFS(ConditionRatings!A4:A147,A26,ConditionRatings!T4:T147,"&gt;=1")+COUNTIFS(ConditionRatings!A4:A147,A26,ConditionRatings!U4:U147,"&gt;=1")+COUNTIFS(ConditionRatings!A4:A147,A26,ConditionRatings!V4:V147,"&gt;=1")+COUNTIFS(ConditionRatings!A4:A147,A26,ConditionRatings!W4:W147,"&gt;=1")+COUNTIFS(ConditionRatings!A4:A147,A26,ConditionRatings!X4:X147,"&gt;=1")+COUNTIFS(ConditionRatings!A4:A147,A26,ConditionRatings!Y4:Y147,"&gt;=1")</f>
        <v>0</v>
      </c>
      <c r="D26" s="60" t="n">
        <v>42</v>
      </c>
      <c r="E26" s="60" t="n">
        <f>COUNTIFS(ConditionRatings!A4:A147,A26,ConditionRatings!P4:P147,"Yes")</f>
        <v>0</v>
      </c>
      <c r="F26" s="97" t="str">
        <f>IF(AND(B26=6,C26=0,E26=0),"NOT STARTED",IF(AND(B26=6,C26=D26,E26=6),"OK","IN PROGRESS"))</f>
        <v>NOT STARTED</v>
      </c>
    </row>
    <row r="27">
      <c r="A27" s="64" t="inlineStr">
        <is>
          <t>P005</t>
        </is>
      </c>
      <c r="B27" s="60" t="n">
        <f>COUNTIF(ConditionRatings!A4:A147,A27)</f>
        <v>6</v>
      </c>
      <c r="C27" s="60" t="n">
        <f>COUNTIFS(ConditionRatings!A4:A147,A27,ConditionRatings!S4:S147,"&gt;=1")+COUNTIFS(ConditionRatings!A4:A147,A27,ConditionRatings!T4:T147,"&gt;=1")+COUNTIFS(ConditionRatings!A4:A147,A27,ConditionRatings!U4:U147,"&gt;=1")+COUNTIFS(ConditionRatings!A4:A147,A27,ConditionRatings!V4:V147,"&gt;=1")+COUNTIFS(ConditionRatings!A4:A147,A27,ConditionRatings!W4:W147,"&gt;=1")+COUNTIFS(ConditionRatings!A4:A147,A27,ConditionRatings!X4:X147,"&gt;=1")+COUNTIFS(ConditionRatings!A4:A147,A27,ConditionRatings!Y4:Y147,"&gt;=1")</f>
        <v>0</v>
      </c>
      <c r="D27" s="60" t="n">
        <v>42</v>
      </c>
      <c r="E27" s="60" t="n">
        <f>COUNTIFS(ConditionRatings!A4:A147,A27,ConditionRatings!P4:P147,"Yes")</f>
        <v>0</v>
      </c>
      <c r="F27" s="97" t="str">
        <f>IF(AND(B27=6,C27=0,E27=0),"NOT STARTED",IF(AND(B27=6,C27=D27,E27=6),"OK","IN PROGRESS"))</f>
        <v>NOT STARTED</v>
      </c>
    </row>
    <row r="28">
      <c r="A28" s="64" t="inlineStr">
        <is>
          <t>P006</t>
        </is>
      </c>
      <c r="B28" s="60" t="n">
        <f>COUNTIF(ConditionRatings!A4:A147,A28)</f>
        <v>6</v>
      </c>
      <c r="C28" s="60" t="n">
        <f>COUNTIFS(ConditionRatings!A4:A147,A28,ConditionRatings!S4:S147,"&gt;=1")+COUNTIFS(ConditionRatings!A4:A147,A28,ConditionRatings!T4:T147,"&gt;=1")+COUNTIFS(ConditionRatings!A4:A147,A28,ConditionRatings!U4:U147,"&gt;=1")+COUNTIFS(ConditionRatings!A4:A147,A28,ConditionRatings!V4:V147,"&gt;=1")+COUNTIFS(ConditionRatings!A4:A147,A28,ConditionRatings!W4:W147,"&gt;=1")+COUNTIFS(ConditionRatings!A4:A147,A28,ConditionRatings!X4:X147,"&gt;=1")+COUNTIFS(ConditionRatings!A4:A147,A28,ConditionRatings!Y4:Y147,"&gt;=1")</f>
        <v>0</v>
      </c>
      <c r="D28" s="60" t="n">
        <v>42</v>
      </c>
      <c r="E28" s="60" t="n">
        <f>COUNTIFS(ConditionRatings!A4:A147,A28,ConditionRatings!P4:P147,"Yes")</f>
        <v>0</v>
      </c>
      <c r="F28" s="97" t="str">
        <f>IF(AND(B28=6,C28=0,E28=0),"NOT STARTED",IF(AND(B28=6,C28=D28,E28=6),"OK","IN PROGRESS"))</f>
        <v>NOT STARTED</v>
      </c>
    </row>
    <row r="29">
      <c r="A29" s="64" t="inlineStr">
        <is>
          <t>P007</t>
        </is>
      </c>
      <c r="B29" s="60" t="n">
        <f>COUNTIF(ConditionRatings!A4:A147,A29)</f>
        <v>6</v>
      </c>
      <c r="C29" s="60" t="n">
        <f>COUNTIFS(ConditionRatings!A4:A147,A29,ConditionRatings!S4:S147,"&gt;=1")+COUNTIFS(ConditionRatings!A4:A147,A29,ConditionRatings!T4:T147,"&gt;=1")+COUNTIFS(ConditionRatings!A4:A147,A29,ConditionRatings!U4:U147,"&gt;=1")+COUNTIFS(ConditionRatings!A4:A147,A29,ConditionRatings!V4:V147,"&gt;=1")+COUNTIFS(ConditionRatings!A4:A147,A29,ConditionRatings!W4:W147,"&gt;=1")+COUNTIFS(ConditionRatings!A4:A147,A29,ConditionRatings!X4:X147,"&gt;=1")+COUNTIFS(ConditionRatings!A4:A147,A29,ConditionRatings!Y4:Y147,"&gt;=1")</f>
        <v>0</v>
      </c>
      <c r="D29" s="60" t="n">
        <v>42</v>
      </c>
      <c r="E29" s="60" t="n">
        <f>COUNTIFS(ConditionRatings!A4:A147,A29,ConditionRatings!P4:P147,"Yes")</f>
        <v>0</v>
      </c>
      <c r="F29" s="97" t="str">
        <f>IF(AND(B29=6,C29=0,E29=0),"NOT STARTED",IF(AND(B29=6,C29=D29,E29=6),"OK","IN PROGRESS"))</f>
        <v>NOT STARTED</v>
      </c>
    </row>
    <row r="30">
      <c r="A30" s="64" t="inlineStr">
        <is>
          <t>P008</t>
        </is>
      </c>
      <c r="B30" s="60" t="n">
        <f>COUNTIF(ConditionRatings!A4:A147,A30)</f>
        <v>6</v>
      </c>
      <c r="C30" s="60" t="n">
        <f>COUNTIFS(ConditionRatings!A4:A147,A30,ConditionRatings!S4:S147,"&gt;=1")+COUNTIFS(ConditionRatings!A4:A147,A30,ConditionRatings!T4:T147,"&gt;=1")+COUNTIFS(ConditionRatings!A4:A147,A30,ConditionRatings!U4:U147,"&gt;=1")+COUNTIFS(ConditionRatings!A4:A147,A30,ConditionRatings!V4:V147,"&gt;=1")+COUNTIFS(ConditionRatings!A4:A147,A30,ConditionRatings!W4:W147,"&gt;=1")+COUNTIFS(ConditionRatings!A4:A147,A30,ConditionRatings!X4:X147,"&gt;=1")+COUNTIFS(ConditionRatings!A4:A147,A30,ConditionRatings!Y4:Y147,"&gt;=1")</f>
        <v>0</v>
      </c>
      <c r="D30" s="60" t="n">
        <v>42</v>
      </c>
      <c r="E30" s="60" t="n">
        <f>COUNTIFS(ConditionRatings!A4:A147,A30,ConditionRatings!P4:P147,"Yes")</f>
        <v>0</v>
      </c>
      <c r="F30" s="97" t="str">
        <f>IF(AND(B30=6,C30=0,E30=0),"NOT STARTED",IF(AND(B30=6,C30=D30,E30=6),"OK","IN PROGRESS"))</f>
        <v>NOT STARTED</v>
      </c>
    </row>
    <row r="31">
      <c r="A31" s="64" t="inlineStr">
        <is>
          <t>P009</t>
        </is>
      </c>
      <c r="B31" s="60" t="n">
        <f>COUNTIF(ConditionRatings!A4:A147,A31)</f>
        <v>6</v>
      </c>
      <c r="C31" s="60" t="n">
        <f>COUNTIFS(ConditionRatings!A4:A147,A31,ConditionRatings!S4:S147,"&gt;=1")+COUNTIFS(ConditionRatings!A4:A147,A31,ConditionRatings!T4:T147,"&gt;=1")+COUNTIFS(ConditionRatings!A4:A147,A31,ConditionRatings!U4:U147,"&gt;=1")+COUNTIFS(ConditionRatings!A4:A147,A31,ConditionRatings!V4:V147,"&gt;=1")+COUNTIFS(ConditionRatings!A4:A147,A31,ConditionRatings!W4:W147,"&gt;=1")+COUNTIFS(ConditionRatings!A4:A147,A31,ConditionRatings!X4:X147,"&gt;=1")+COUNTIFS(ConditionRatings!A4:A147,A31,ConditionRatings!Y4:Y147,"&gt;=1")</f>
        <v>0</v>
      </c>
      <c r="D31" s="60" t="n">
        <v>42</v>
      </c>
      <c r="E31" s="60" t="n">
        <f>COUNTIFS(ConditionRatings!A4:A147,A31,ConditionRatings!P4:P147,"Yes")</f>
        <v>0</v>
      </c>
      <c r="F31" s="97" t="str">
        <f>IF(AND(B31=6,C31=0,E31=0),"NOT STARTED",IF(AND(B31=6,C31=D31,E31=6),"OK","IN PROGRESS"))</f>
        <v>NOT STARTED</v>
      </c>
    </row>
    <row r="32">
      <c r="A32" s="64" t="inlineStr">
        <is>
          <t>P010</t>
        </is>
      </c>
      <c r="B32" s="60" t="n">
        <f>COUNTIF(ConditionRatings!A4:A147,A32)</f>
        <v>6</v>
      </c>
      <c r="C32" s="60" t="n">
        <f>COUNTIFS(ConditionRatings!A4:A147,A32,ConditionRatings!S4:S147,"&gt;=1")+COUNTIFS(ConditionRatings!A4:A147,A32,ConditionRatings!T4:T147,"&gt;=1")+COUNTIFS(ConditionRatings!A4:A147,A32,ConditionRatings!U4:U147,"&gt;=1")+COUNTIFS(ConditionRatings!A4:A147,A32,ConditionRatings!V4:V147,"&gt;=1")+COUNTIFS(ConditionRatings!A4:A147,A32,ConditionRatings!W4:W147,"&gt;=1")+COUNTIFS(ConditionRatings!A4:A147,A32,ConditionRatings!X4:X147,"&gt;=1")+COUNTIFS(ConditionRatings!A4:A147,A32,ConditionRatings!Y4:Y147,"&gt;=1")</f>
        <v>0</v>
      </c>
      <c r="D32" s="60" t="n">
        <v>42</v>
      </c>
      <c r="E32" s="60" t="n">
        <f>COUNTIFS(ConditionRatings!A4:A147,A32,ConditionRatings!P4:P147,"Yes")</f>
        <v>0</v>
      </c>
      <c r="F32" s="97" t="str">
        <f>IF(AND(B32=6,C32=0,E32=0),"NOT STARTED",IF(AND(B32=6,C32=D32,E32=6),"OK","IN PROGRESS"))</f>
        <v>NOT STARTED</v>
      </c>
    </row>
    <row r="33">
      <c r="A33" s="64" t="inlineStr">
        <is>
          <t>P011</t>
        </is>
      </c>
      <c r="B33" s="60" t="n">
        <f>COUNTIF(ConditionRatings!A4:A147,A33)</f>
        <v>6</v>
      </c>
      <c r="C33" s="60" t="n">
        <f>COUNTIFS(ConditionRatings!A4:A147,A33,ConditionRatings!S4:S147,"&gt;=1")+COUNTIFS(ConditionRatings!A4:A147,A33,ConditionRatings!T4:T147,"&gt;=1")+COUNTIFS(ConditionRatings!A4:A147,A33,ConditionRatings!U4:U147,"&gt;=1")+COUNTIFS(ConditionRatings!A4:A147,A33,ConditionRatings!V4:V147,"&gt;=1")+COUNTIFS(ConditionRatings!A4:A147,A33,ConditionRatings!W4:W147,"&gt;=1")+COUNTIFS(ConditionRatings!A4:A147,A33,ConditionRatings!X4:X147,"&gt;=1")+COUNTIFS(ConditionRatings!A4:A147,A33,ConditionRatings!Y4:Y147,"&gt;=1")</f>
        <v>0</v>
      </c>
      <c r="D33" s="60" t="n">
        <v>42</v>
      </c>
      <c r="E33" s="60" t="n">
        <f>COUNTIFS(ConditionRatings!A4:A147,A33,ConditionRatings!P4:P147,"Yes")</f>
        <v>0</v>
      </c>
      <c r="F33" s="97" t="str">
        <f>IF(AND(B33=6,C33=0,E33=0),"NOT STARTED",IF(AND(B33=6,C33=D33,E33=6),"OK","IN PROGRESS"))</f>
        <v>NOT STARTED</v>
      </c>
    </row>
    <row r="34">
      <c r="A34" s="64" t="inlineStr">
        <is>
          <t>P012</t>
        </is>
      </c>
      <c r="B34" s="60" t="n">
        <f>COUNTIF(ConditionRatings!A4:A147,A34)</f>
        <v>6</v>
      </c>
      <c r="C34" s="60" t="n">
        <f>COUNTIFS(ConditionRatings!A4:A147,A34,ConditionRatings!S4:S147,"&gt;=1")+COUNTIFS(ConditionRatings!A4:A147,A34,ConditionRatings!T4:T147,"&gt;=1")+COUNTIFS(ConditionRatings!A4:A147,A34,ConditionRatings!U4:U147,"&gt;=1")+COUNTIFS(ConditionRatings!A4:A147,A34,ConditionRatings!V4:V147,"&gt;=1")+COUNTIFS(ConditionRatings!A4:A147,A34,ConditionRatings!W4:W147,"&gt;=1")+COUNTIFS(ConditionRatings!A4:A147,A34,ConditionRatings!X4:X147,"&gt;=1")+COUNTIFS(ConditionRatings!A4:A147,A34,ConditionRatings!Y4:Y147,"&gt;=1")</f>
        <v>0</v>
      </c>
      <c r="D34" s="60" t="n">
        <v>42</v>
      </c>
      <c r="E34" s="60" t="n">
        <f>COUNTIFS(ConditionRatings!A4:A147,A34,ConditionRatings!P4:P147,"Yes")</f>
        <v>0</v>
      </c>
      <c r="F34" s="97" t="str">
        <f>IF(AND(B34=6,C34=0,E34=0),"NOT STARTED",IF(AND(B34=6,C34=D34,E34=6),"OK","IN PROGRESS"))</f>
        <v>NOT STARTED</v>
      </c>
    </row>
    <row r="35">
      <c r="A35" s="64" t="inlineStr">
        <is>
          <t>P013</t>
        </is>
      </c>
      <c r="B35" s="60" t="n">
        <f>COUNTIF(ConditionRatings!A4:A147,A35)</f>
        <v>6</v>
      </c>
      <c r="C35" s="60" t="n">
        <f>COUNTIFS(ConditionRatings!A4:A147,A35,ConditionRatings!S4:S147,"&gt;=1")+COUNTIFS(ConditionRatings!A4:A147,A35,ConditionRatings!T4:T147,"&gt;=1")+COUNTIFS(ConditionRatings!A4:A147,A35,ConditionRatings!U4:U147,"&gt;=1")+COUNTIFS(ConditionRatings!A4:A147,A35,ConditionRatings!V4:V147,"&gt;=1")+COUNTIFS(ConditionRatings!A4:A147,A35,ConditionRatings!W4:W147,"&gt;=1")+COUNTIFS(ConditionRatings!A4:A147,A35,ConditionRatings!X4:X147,"&gt;=1")+COUNTIFS(ConditionRatings!A4:A147,A35,ConditionRatings!Y4:Y147,"&gt;=1")</f>
        <v>0</v>
      </c>
      <c r="D35" s="60" t="n">
        <v>42</v>
      </c>
      <c r="E35" s="60" t="n">
        <f>COUNTIFS(ConditionRatings!A4:A147,A35,ConditionRatings!P4:P147,"Yes")</f>
        <v>0</v>
      </c>
      <c r="F35" s="97" t="str">
        <f>IF(AND(B35=6,C35=0,E35=0),"NOT STARTED",IF(AND(B35=6,C35=D35,E35=6),"OK","IN PROGRESS"))</f>
        <v>NOT STARTED</v>
      </c>
    </row>
    <row r="36">
      <c r="A36" s="64" t="inlineStr">
        <is>
          <t>P014</t>
        </is>
      </c>
      <c r="B36" s="60" t="n">
        <f>COUNTIF(ConditionRatings!A4:A147,A36)</f>
        <v>6</v>
      </c>
      <c r="C36" s="60" t="n">
        <f>COUNTIFS(ConditionRatings!A4:A147,A36,ConditionRatings!S4:S147,"&gt;=1")+COUNTIFS(ConditionRatings!A4:A147,A36,ConditionRatings!T4:T147,"&gt;=1")+COUNTIFS(ConditionRatings!A4:A147,A36,ConditionRatings!U4:U147,"&gt;=1")+COUNTIFS(ConditionRatings!A4:A147,A36,ConditionRatings!V4:V147,"&gt;=1")+COUNTIFS(ConditionRatings!A4:A147,A36,ConditionRatings!W4:W147,"&gt;=1")+COUNTIFS(ConditionRatings!A4:A147,A36,ConditionRatings!X4:X147,"&gt;=1")+COUNTIFS(ConditionRatings!A4:A147,A36,ConditionRatings!Y4:Y147,"&gt;=1")</f>
        <v>0</v>
      </c>
      <c r="D36" s="60" t="n">
        <v>42</v>
      </c>
      <c r="E36" s="60" t="n">
        <f>COUNTIFS(ConditionRatings!A4:A147,A36,ConditionRatings!P4:P147,"Yes")</f>
        <v>0</v>
      </c>
      <c r="F36" s="97" t="str">
        <f>IF(AND(B36=6,C36=0,E36=0),"NOT STARTED",IF(AND(B36=6,C36=D36,E36=6),"OK","IN PROGRESS"))</f>
        <v>NOT STARTED</v>
      </c>
    </row>
    <row r="37">
      <c r="A37" s="64" t="inlineStr">
        <is>
          <t>P015</t>
        </is>
      </c>
      <c r="B37" s="60" t="n">
        <f>COUNTIF(ConditionRatings!A4:A147,A37)</f>
        <v>6</v>
      </c>
      <c r="C37" s="60" t="n">
        <f>COUNTIFS(ConditionRatings!A4:A147,A37,ConditionRatings!S4:S147,"&gt;=1")+COUNTIFS(ConditionRatings!A4:A147,A37,ConditionRatings!T4:T147,"&gt;=1")+COUNTIFS(ConditionRatings!A4:A147,A37,ConditionRatings!U4:U147,"&gt;=1")+COUNTIFS(ConditionRatings!A4:A147,A37,ConditionRatings!V4:V147,"&gt;=1")+COUNTIFS(ConditionRatings!A4:A147,A37,ConditionRatings!W4:W147,"&gt;=1")+COUNTIFS(ConditionRatings!A4:A147,A37,ConditionRatings!X4:X147,"&gt;=1")+COUNTIFS(ConditionRatings!A4:A147,A37,ConditionRatings!Y4:Y147,"&gt;=1")</f>
        <v>0</v>
      </c>
      <c r="D37" s="60" t="n">
        <v>42</v>
      </c>
      <c r="E37" s="60" t="n">
        <f>COUNTIFS(ConditionRatings!A4:A147,A37,ConditionRatings!P4:P147,"Yes")</f>
        <v>0</v>
      </c>
      <c r="F37" s="97" t="str">
        <f>IF(AND(B37=6,C37=0,E37=0),"NOT STARTED",IF(AND(B37=6,C37=D37,E37=6),"OK","IN PROGRESS"))</f>
        <v>NOT STARTED</v>
      </c>
    </row>
    <row r="38">
      <c r="A38" s="64" t="inlineStr">
        <is>
          <t>P016</t>
        </is>
      </c>
      <c r="B38" s="60" t="n">
        <f>COUNTIF(ConditionRatings!A4:A147,A38)</f>
        <v>6</v>
      </c>
      <c r="C38" s="60" t="n">
        <f>COUNTIFS(ConditionRatings!A4:A147,A38,ConditionRatings!S4:S147,"&gt;=1")+COUNTIFS(ConditionRatings!A4:A147,A38,ConditionRatings!T4:T147,"&gt;=1")+COUNTIFS(ConditionRatings!A4:A147,A38,ConditionRatings!U4:U147,"&gt;=1")+COUNTIFS(ConditionRatings!A4:A147,A38,ConditionRatings!V4:V147,"&gt;=1")+COUNTIFS(ConditionRatings!A4:A147,A38,ConditionRatings!W4:W147,"&gt;=1")+COUNTIFS(ConditionRatings!A4:A147,A38,ConditionRatings!X4:X147,"&gt;=1")+COUNTIFS(ConditionRatings!A4:A147,A38,ConditionRatings!Y4:Y147,"&gt;=1")</f>
        <v>0</v>
      </c>
      <c r="D38" s="60" t="n">
        <v>42</v>
      </c>
      <c r="E38" s="60" t="n">
        <f>COUNTIFS(ConditionRatings!A4:A147,A38,ConditionRatings!P4:P147,"Yes")</f>
        <v>0</v>
      </c>
      <c r="F38" s="97" t="str">
        <f>IF(AND(B38=6,C38=0,E38=0),"NOT STARTED",IF(AND(B38=6,C38=D38,E38=6),"OK","IN PROGRESS"))</f>
        <v>NOT STARTED</v>
      </c>
    </row>
    <row r="39">
      <c r="A39" s="64" t="inlineStr">
        <is>
          <t>P017</t>
        </is>
      </c>
      <c r="B39" s="60" t="n">
        <f>COUNTIF(ConditionRatings!A4:A147,A39)</f>
        <v>6</v>
      </c>
      <c r="C39" s="60" t="n">
        <f>COUNTIFS(ConditionRatings!A4:A147,A39,ConditionRatings!S4:S147,"&gt;=1")+COUNTIFS(ConditionRatings!A4:A147,A39,ConditionRatings!T4:T147,"&gt;=1")+COUNTIFS(ConditionRatings!A4:A147,A39,ConditionRatings!U4:U147,"&gt;=1")+COUNTIFS(ConditionRatings!A4:A147,A39,ConditionRatings!V4:V147,"&gt;=1")+COUNTIFS(ConditionRatings!A4:A147,A39,ConditionRatings!W4:W147,"&gt;=1")+COUNTIFS(ConditionRatings!A4:A147,A39,ConditionRatings!X4:X147,"&gt;=1")+COUNTIFS(ConditionRatings!A4:A147,A39,ConditionRatings!Y4:Y147,"&gt;=1")</f>
        <v>0</v>
      </c>
      <c r="D39" s="60" t="n">
        <v>42</v>
      </c>
      <c r="E39" s="60" t="n">
        <f>COUNTIFS(ConditionRatings!A4:A147,A39,ConditionRatings!P4:P147,"Yes")</f>
        <v>0</v>
      </c>
      <c r="F39" s="97" t="str">
        <f>IF(AND(B39=6,C39=0,E39=0),"NOT STARTED",IF(AND(B39=6,C39=D39,E39=6),"OK","IN PROGRESS"))</f>
        <v>NOT STARTED</v>
      </c>
    </row>
    <row r="40">
      <c r="A40" s="64" t="inlineStr">
        <is>
          <t>P018</t>
        </is>
      </c>
      <c r="B40" s="60" t="n">
        <f>COUNTIF(ConditionRatings!A4:A147,A40)</f>
        <v>6</v>
      </c>
      <c r="C40" s="60" t="n">
        <f>COUNTIFS(ConditionRatings!A4:A147,A40,ConditionRatings!S4:S147,"&gt;=1")+COUNTIFS(ConditionRatings!A4:A147,A40,ConditionRatings!T4:T147,"&gt;=1")+COUNTIFS(ConditionRatings!A4:A147,A40,ConditionRatings!U4:U147,"&gt;=1")+COUNTIFS(ConditionRatings!A4:A147,A40,ConditionRatings!V4:V147,"&gt;=1")+COUNTIFS(ConditionRatings!A4:A147,A40,ConditionRatings!W4:W147,"&gt;=1")+COUNTIFS(ConditionRatings!A4:A147,A40,ConditionRatings!X4:X147,"&gt;=1")+COUNTIFS(ConditionRatings!A4:A147,A40,ConditionRatings!Y4:Y147,"&gt;=1")</f>
        <v>0</v>
      </c>
      <c r="D40" s="60" t="n">
        <v>42</v>
      </c>
      <c r="E40" s="60" t="n">
        <f>COUNTIFS(ConditionRatings!A4:A147,A40,ConditionRatings!P4:P147,"Yes")</f>
        <v>0</v>
      </c>
      <c r="F40" s="97" t="str">
        <f>IF(AND(B40=6,C40=0,E40=0),"NOT STARTED",IF(AND(B40=6,C40=D40,E40=6),"OK","IN PROGRESS"))</f>
        <v>NOT STARTED</v>
      </c>
    </row>
    <row r="41">
      <c r="A41" s="64" t="inlineStr">
        <is>
          <t>P019</t>
        </is>
      </c>
      <c r="B41" s="60" t="n">
        <f>COUNTIF(ConditionRatings!A4:A147,A41)</f>
        <v>6</v>
      </c>
      <c r="C41" s="60" t="n">
        <f>COUNTIFS(ConditionRatings!A4:A147,A41,ConditionRatings!S4:S147,"&gt;=1")+COUNTIFS(ConditionRatings!A4:A147,A41,ConditionRatings!T4:T147,"&gt;=1")+COUNTIFS(ConditionRatings!A4:A147,A41,ConditionRatings!U4:U147,"&gt;=1")+COUNTIFS(ConditionRatings!A4:A147,A41,ConditionRatings!V4:V147,"&gt;=1")+COUNTIFS(ConditionRatings!A4:A147,A41,ConditionRatings!W4:W147,"&gt;=1")+COUNTIFS(ConditionRatings!A4:A147,A41,ConditionRatings!X4:X147,"&gt;=1")+COUNTIFS(ConditionRatings!A4:A147,A41,ConditionRatings!Y4:Y147,"&gt;=1")</f>
        <v>0</v>
      </c>
      <c r="D41" s="60" t="n">
        <v>42</v>
      </c>
      <c r="E41" s="60" t="n">
        <f>COUNTIFS(ConditionRatings!A4:A147,A41,ConditionRatings!P4:P147,"Yes")</f>
        <v>0</v>
      </c>
      <c r="F41" s="97" t="str">
        <f>IF(AND(B41=6,C41=0,E41=0),"NOT STARTED",IF(AND(B41=6,C41=D41,E41=6),"OK","IN PROGRESS"))</f>
        <v>NOT STARTED</v>
      </c>
    </row>
    <row r="42">
      <c r="A42" s="64" t="inlineStr">
        <is>
          <t>P020</t>
        </is>
      </c>
      <c r="B42" s="60" t="n">
        <f>COUNTIF(ConditionRatings!A4:A147,A42)</f>
        <v>6</v>
      </c>
      <c r="C42" s="60" t="n">
        <f>COUNTIFS(ConditionRatings!A4:A147,A42,ConditionRatings!S4:S147,"&gt;=1")+COUNTIFS(ConditionRatings!A4:A147,A42,ConditionRatings!T4:T147,"&gt;=1")+COUNTIFS(ConditionRatings!A4:A147,A42,ConditionRatings!U4:U147,"&gt;=1")+COUNTIFS(ConditionRatings!A4:A147,A42,ConditionRatings!V4:V147,"&gt;=1")+COUNTIFS(ConditionRatings!A4:A147,A42,ConditionRatings!W4:W147,"&gt;=1")+COUNTIFS(ConditionRatings!A4:A147,A42,ConditionRatings!X4:X147,"&gt;=1")+COUNTIFS(ConditionRatings!A4:A147,A42,ConditionRatings!Y4:Y147,"&gt;=1")</f>
        <v>0</v>
      </c>
      <c r="D42" s="60" t="n">
        <v>42</v>
      </c>
      <c r="E42" s="60" t="n">
        <f>COUNTIFS(ConditionRatings!A4:A147,A42,ConditionRatings!P4:P147,"Yes")</f>
        <v>0</v>
      </c>
      <c r="F42" s="97" t="str">
        <f>IF(AND(B42=6,C42=0,E42=0),"NOT STARTED",IF(AND(B42=6,C42=D42,E42=6),"OK","IN PROGRESS"))</f>
        <v>NOT STARTED</v>
      </c>
    </row>
    <row r="43">
      <c r="A43" s="64" t="inlineStr">
        <is>
          <t>P021</t>
        </is>
      </c>
      <c r="B43" s="60" t="n">
        <f>COUNTIF(ConditionRatings!A4:A147,A43)</f>
        <v>6</v>
      </c>
      <c r="C43" s="60" t="n">
        <f>COUNTIFS(ConditionRatings!A4:A147,A43,ConditionRatings!S4:S147,"&gt;=1")+COUNTIFS(ConditionRatings!A4:A147,A43,ConditionRatings!T4:T147,"&gt;=1")+COUNTIFS(ConditionRatings!A4:A147,A43,ConditionRatings!U4:U147,"&gt;=1")+COUNTIFS(ConditionRatings!A4:A147,A43,ConditionRatings!V4:V147,"&gt;=1")+COUNTIFS(ConditionRatings!A4:A147,A43,ConditionRatings!W4:W147,"&gt;=1")+COUNTIFS(ConditionRatings!A4:A147,A43,ConditionRatings!X4:X147,"&gt;=1")+COUNTIFS(ConditionRatings!A4:A147,A43,ConditionRatings!Y4:Y147,"&gt;=1")</f>
        <v>0</v>
      </c>
      <c r="D43" s="60" t="n">
        <v>42</v>
      </c>
      <c r="E43" s="60" t="n">
        <f>COUNTIFS(ConditionRatings!A4:A147,A43,ConditionRatings!P4:P147,"Yes")</f>
        <v>0</v>
      </c>
      <c r="F43" s="97" t="str">
        <f>IF(AND(B43=6,C43=0,E43=0),"NOT STARTED",IF(AND(B43=6,C43=D43,E43=6),"OK","IN PROGRESS"))</f>
        <v>NOT STARTED</v>
      </c>
    </row>
    <row r="44">
      <c r="A44" s="64" t="inlineStr">
        <is>
          <t>P022</t>
        </is>
      </c>
      <c r="B44" s="60" t="n">
        <f>COUNTIF(ConditionRatings!A4:A147,A44)</f>
        <v>6</v>
      </c>
      <c r="C44" s="60" t="n">
        <f>COUNTIFS(ConditionRatings!A4:A147,A44,ConditionRatings!S4:S147,"&gt;=1")+COUNTIFS(ConditionRatings!A4:A147,A44,ConditionRatings!T4:T147,"&gt;=1")+COUNTIFS(ConditionRatings!A4:A147,A44,ConditionRatings!U4:U147,"&gt;=1")+COUNTIFS(ConditionRatings!A4:A147,A44,ConditionRatings!V4:V147,"&gt;=1")+COUNTIFS(ConditionRatings!A4:A147,A44,ConditionRatings!W4:W147,"&gt;=1")+COUNTIFS(ConditionRatings!A4:A147,A44,ConditionRatings!X4:X147,"&gt;=1")+COUNTIFS(ConditionRatings!A4:A147,A44,ConditionRatings!Y4:Y147,"&gt;=1")</f>
        <v>0</v>
      </c>
      <c r="D44" s="60" t="n">
        <v>42</v>
      </c>
      <c r="E44" s="60" t="n">
        <f>COUNTIFS(ConditionRatings!A4:A147,A44,ConditionRatings!P4:P147,"Yes")</f>
        <v>0</v>
      </c>
      <c r="F44" s="97" t="str">
        <f>IF(AND(B44=6,C44=0,E44=0),"NOT STARTED",IF(AND(B44=6,C44=D44,E44=6),"OK","IN PROGRESS"))</f>
        <v>NOT STARTED</v>
      </c>
    </row>
    <row r="45">
      <c r="A45" s="64" t="inlineStr">
        <is>
          <t>P023</t>
        </is>
      </c>
      <c r="B45" s="60" t="n">
        <f>COUNTIF(ConditionRatings!A4:A147,A45)</f>
        <v>6</v>
      </c>
      <c r="C45" s="60" t="n">
        <f>COUNTIFS(ConditionRatings!A4:A147,A45,ConditionRatings!S4:S147,"&gt;=1")+COUNTIFS(ConditionRatings!A4:A147,A45,ConditionRatings!T4:T147,"&gt;=1")+COUNTIFS(ConditionRatings!A4:A147,A45,ConditionRatings!U4:U147,"&gt;=1")+COUNTIFS(ConditionRatings!A4:A147,A45,ConditionRatings!V4:V147,"&gt;=1")+COUNTIFS(ConditionRatings!A4:A147,A45,ConditionRatings!W4:W147,"&gt;=1")+COUNTIFS(ConditionRatings!A4:A147,A45,ConditionRatings!X4:X147,"&gt;=1")+COUNTIFS(ConditionRatings!A4:A147,A45,ConditionRatings!Y4:Y147,"&gt;=1")</f>
        <v>0</v>
      </c>
      <c r="D45" s="60" t="n">
        <v>42</v>
      </c>
      <c r="E45" s="60" t="n">
        <f>COUNTIFS(ConditionRatings!A4:A147,A45,ConditionRatings!P4:P147,"Yes")</f>
        <v>0</v>
      </c>
      <c r="F45" s="97" t="str">
        <f>IF(AND(B45=6,C45=0,E45=0),"NOT STARTED",IF(AND(B45=6,C45=D45,E45=6),"OK","IN PROGRESS"))</f>
        <v>NOT STARTED</v>
      </c>
    </row>
    <row r="46">
      <c r="A46" s="67" t="inlineStr">
        <is>
          <t>P024</t>
        </is>
      </c>
      <c r="B46" s="78" t="n">
        <f>COUNTIF(ConditionRatings!A4:A147,A46)</f>
        <v>6</v>
      </c>
      <c r="C46" s="78" t="n">
        <f>COUNTIFS(ConditionRatings!A4:A147,A46,ConditionRatings!S4:S147,"&gt;=1")+COUNTIFS(ConditionRatings!A4:A147,A46,ConditionRatings!T4:T147,"&gt;=1")+COUNTIFS(ConditionRatings!A4:A147,A46,ConditionRatings!U4:U147,"&gt;=1")+COUNTIFS(ConditionRatings!A4:A147,A46,ConditionRatings!V4:V147,"&gt;=1")+COUNTIFS(ConditionRatings!A4:A147,A46,ConditionRatings!W4:W147,"&gt;=1")+COUNTIFS(ConditionRatings!A4:A147,A46,ConditionRatings!X4:X147,"&gt;=1")+COUNTIFS(ConditionRatings!A4:A147,A46,ConditionRatings!Y4:Y147,"&gt;=1")</f>
        <v>0</v>
      </c>
      <c r="D46" s="78" t="n">
        <v>42</v>
      </c>
      <c r="E46" s="78" t="n">
        <f>COUNTIFS(ConditionRatings!A4:A147,A46,ConditionRatings!P4:P147,"Yes")</f>
        <v>0</v>
      </c>
      <c r="F46" s="98" t="str">
        <f>IF(AND(B46=6,C46=0,E46=0),"NOT STARTED",IF(AND(B46=6,C46=D46,E46=6),"OK","IN PROGRESS"))</f>
        <v>NOT STARTED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FormatPr defaultRowHeight="15"/>
  <cols>
    <col min="1" max="1" width="34" hidden="0" customWidth="1"/>
    <col min="2" max="2" width="24" hidden="0" customWidth="1"/>
    <col min="3" max="3" width="16" hidden="0" customWidth="1"/>
    <col min="4" max="4" width="20" hidden="0" customWidth="1"/>
    <col min="5" max="5" width="16" hidden="0" customWidth="1"/>
    <col min="6" max="6" width="21" hidden="0" customWidth="1"/>
    <col min="7" max="7" width="14" hidden="0" customWidth="1"/>
    <col min="8" max="8" width="14" hidden="0" customWidth="1"/>
    <col min="9" max="9" width="14" hidden="0" customWidth="1"/>
    <col min="10" max="10" width="22" hidden="0" customWidth="1"/>
    <col min="11" max="11" width="38" hidden="0" customWidth="1"/>
  </cols>
  <sheetData>
    <row r="1">
      <c r="A1" s="4" t="inlineStr">
        <is>
          <t>逐项描述性统计：自动 N/Mean；Median 与 IQR 从 R 输出回填</t>
        </is>
      </c>
      <c r="B1" s="4"/>
      <c r="C1" s="4"/>
      <c r="D1" s="4"/>
      <c r="E1" s="4"/>
      <c r="F1" s="4"/>
      <c r="G1" s="4"/>
      <c r="H1" s="4"/>
      <c r="I1" s="4"/>
      <c r="J1" s="4"/>
      <c r="K1" s="4"/>
    </row>
    <row r="3">
      <c r="A3" s="28" t="inlineStr">
        <is>
          <t>Item_ID</t>
        </is>
      </c>
      <c r="B3" s="29" t="inlineStr">
        <is>
          <t>Construct</t>
        </is>
      </c>
      <c r="C3" s="29" t="inlineStr">
        <is>
          <t>Method</t>
        </is>
      </c>
      <c r="D3" s="29" t="inlineStr">
        <is>
          <t>Object</t>
        </is>
      </c>
      <c r="E3" s="29" t="inlineStr">
        <is>
          <t>N</t>
        </is>
      </c>
      <c r="F3" s="29" t="inlineStr">
        <is>
          <t>Mean_Monitoring</t>
        </is>
      </c>
      <c r="G3" s="29" t="inlineStr">
        <is>
          <t>Median_R</t>
        </is>
      </c>
      <c r="H3" s="29" t="inlineStr">
        <is>
          <t>Q1_R</t>
        </is>
      </c>
      <c r="I3" s="29" t="inlineStr">
        <is>
          <t>Q3_R</t>
        </is>
      </c>
      <c r="J3" s="29" t="inlineStr">
        <is>
          <t>Median_[Q1,Q3]</t>
        </is>
      </c>
      <c r="K3" s="30" t="inlineStr">
        <is>
          <t>Notes</t>
        </is>
      </c>
    </row>
    <row r="4">
      <c r="A4" s="64" t="inlineStr">
        <is>
          <t>Q1_STATIC_STABILITY</t>
        </is>
      </c>
      <c r="B4" s="65" t="inlineStr">
        <is>
          <t>静止稳定性</t>
        </is>
      </c>
      <c r="C4" s="65" t="inlineStr">
        <is>
          <t>EgoAnchor</t>
        </is>
      </c>
      <c r="D4" s="65" t="inlineStr">
        <is>
          <t>无线鼠标</t>
        </is>
      </c>
      <c r="E4" s="60" t="n">
        <f>COUNTIFS(ConditionRatings!$H$4:$H$147,$C4,ConditionRatings!$D$4:$D$147,$D4,ConditionRatings!$Q$4:$Q$147,"Yes",ConditionRatings!$S$4:$S$147,"&gt;=1")</f>
        <v>0</v>
      </c>
      <c r="F4" s="107" t="str">
        <f>IF(E4=0,"",SUMIFS(ConditionRatings!$S$4:$S$147,ConditionRatings!$H$4:$H$147,$C4,ConditionRatings!$D$4:$D$147,$D4,ConditionRatings!$Q$4:$Q$147,"Yes")/E4)</f>
      </c>
      <c r="G4" s="108"/>
      <c r="H4" s="108"/>
      <c r="I4" s="108"/>
      <c r="J4" s="60" t="str">
        <f>IF(COUNT(G4:I4)=3,TEXT(G4,"0.00")&amp;" ["&amp;TEXT(H4,"0.00")&amp;", "&amp;TEXT(I4,"0.00")&amp;"]","")</f>
      </c>
      <c r="K4" s="66" t="inlineStr">
        <is>
          <t/>
        </is>
      </c>
    </row>
    <row r="5">
      <c r="A5" s="64" t="inlineStr">
        <is>
          <t>Q1_STATIC_STABILITY</t>
        </is>
      </c>
      <c r="B5" s="65" t="inlineStr">
        <is>
          <t>静止稳定性</t>
        </is>
      </c>
      <c r="C5" s="65" t="inlineStr">
        <is>
          <t>EgoAnchor</t>
        </is>
      </c>
      <c r="D5" s="65" t="inlineStr">
        <is>
          <t>固定闭合订书机</t>
        </is>
      </c>
      <c r="E5" s="60" t="n">
        <f>COUNTIFS(ConditionRatings!$H$4:$H$147,$C5,ConditionRatings!$D$4:$D$147,$D5,ConditionRatings!$Q$4:$Q$147,"Yes",ConditionRatings!$S$4:$S$147,"&gt;=1")</f>
        <v>0</v>
      </c>
      <c r="F5" s="107" t="str">
        <f>IF(E5=0,"",SUMIFS(ConditionRatings!$S$4:$S$147,ConditionRatings!$H$4:$H$147,$C5,ConditionRatings!$D$4:$D$147,$D5,ConditionRatings!$Q$4:$Q$147,"Yes")/E5)</f>
      </c>
      <c r="G5" s="108"/>
      <c r="H5" s="108"/>
      <c r="I5" s="108"/>
      <c r="J5" s="60" t="str">
        <f>IF(COUNT(G5:I5)=3,TEXT(G5,"0.00")&amp;" ["&amp;TEXT(H5,"0.00")&amp;", "&amp;TEXT(I5,"0.00")&amp;"]","")</f>
      </c>
      <c r="K5" s="66" t="inlineStr">
        <is>
          <t/>
        </is>
      </c>
    </row>
    <row r="6">
      <c r="A6" s="64" t="inlineStr">
        <is>
          <t>Q1_STATIC_STABILITY</t>
        </is>
      </c>
      <c r="B6" s="65" t="inlineStr">
        <is>
          <t>静止稳定性</t>
        </is>
      </c>
      <c r="C6" s="65" t="inlineStr">
        <is>
          <t>EgoAnchor</t>
        </is>
      </c>
      <c r="D6" s="65" t="inlineStr">
        <is>
          <t>游戏手柄</t>
        </is>
      </c>
      <c r="E6" s="60" t="n">
        <f>COUNTIFS(ConditionRatings!$H$4:$H$147,$C6,ConditionRatings!$D$4:$D$147,$D6,ConditionRatings!$Q$4:$Q$147,"Yes",ConditionRatings!$S$4:$S$147,"&gt;=1")</f>
        <v>0</v>
      </c>
      <c r="F6" s="107" t="str">
        <f>IF(E6=0,"",SUMIFS(ConditionRatings!$S$4:$S$147,ConditionRatings!$H$4:$H$147,$C6,ConditionRatings!$D$4:$D$147,$D6,ConditionRatings!$Q$4:$Q$147,"Yes")/E6)</f>
      </c>
      <c r="G6" s="108"/>
      <c r="H6" s="108"/>
      <c r="I6" s="108"/>
      <c r="J6" s="60" t="str">
        <f>IF(COUNT(G6:I6)=3,TEXT(G6,"0.00")&amp;" ["&amp;TEXT(H6,"0.00")&amp;", "&amp;TEXT(I6,"0.00")&amp;"]","")</f>
      </c>
      <c r="K6" s="66" t="inlineStr">
        <is>
          <t/>
        </is>
      </c>
    </row>
    <row r="7">
      <c r="A7" s="64" t="inlineStr">
        <is>
          <t>Q1_STATIC_STABILITY</t>
        </is>
      </c>
      <c r="B7" s="65" t="inlineStr">
        <is>
          <t>静止稳定性</t>
        </is>
      </c>
      <c r="C7" s="65" t="inlineStr">
        <is>
          <t>One-Euro</t>
        </is>
      </c>
      <c r="D7" s="65" t="inlineStr">
        <is>
          <t>无线鼠标</t>
        </is>
      </c>
      <c r="E7" s="60" t="n">
        <f>COUNTIFS(ConditionRatings!$H$4:$H$147,$C7,ConditionRatings!$D$4:$D$147,$D7,ConditionRatings!$Q$4:$Q$147,"Yes",ConditionRatings!$S$4:$S$147,"&gt;=1")</f>
        <v>0</v>
      </c>
      <c r="F7" s="107" t="str">
        <f>IF(E7=0,"",SUMIFS(ConditionRatings!$S$4:$S$147,ConditionRatings!$H$4:$H$147,$C7,ConditionRatings!$D$4:$D$147,$D7,ConditionRatings!$Q$4:$Q$147,"Yes")/E7)</f>
      </c>
      <c r="G7" s="108"/>
      <c r="H7" s="108"/>
      <c r="I7" s="108"/>
      <c r="J7" s="60" t="str">
        <f>IF(COUNT(G7:I7)=3,TEXT(G7,"0.00")&amp;" ["&amp;TEXT(H7,"0.00")&amp;", "&amp;TEXT(I7,"0.00")&amp;"]","")</f>
      </c>
      <c r="K7" s="66" t="inlineStr">
        <is>
          <t/>
        </is>
      </c>
    </row>
    <row r="8">
      <c r="A8" s="64" t="inlineStr">
        <is>
          <t>Q1_STATIC_STABILITY</t>
        </is>
      </c>
      <c r="B8" s="65" t="inlineStr">
        <is>
          <t>静止稳定性</t>
        </is>
      </c>
      <c r="C8" s="65" t="inlineStr">
        <is>
          <t>One-Euro</t>
        </is>
      </c>
      <c r="D8" s="65" t="inlineStr">
        <is>
          <t>固定闭合订书机</t>
        </is>
      </c>
      <c r="E8" s="60" t="n">
        <f>COUNTIFS(ConditionRatings!$H$4:$H$147,$C8,ConditionRatings!$D$4:$D$147,$D8,ConditionRatings!$Q$4:$Q$147,"Yes",ConditionRatings!$S$4:$S$147,"&gt;=1")</f>
        <v>0</v>
      </c>
      <c r="F8" s="107" t="str">
        <f>IF(E8=0,"",SUMIFS(ConditionRatings!$S$4:$S$147,ConditionRatings!$H$4:$H$147,$C8,ConditionRatings!$D$4:$D$147,$D8,ConditionRatings!$Q$4:$Q$147,"Yes")/E8)</f>
      </c>
      <c r="G8" s="108"/>
      <c r="H8" s="108"/>
      <c r="I8" s="108"/>
      <c r="J8" s="60" t="str">
        <f>IF(COUNT(G8:I8)=3,TEXT(G8,"0.00")&amp;" ["&amp;TEXT(H8,"0.00")&amp;", "&amp;TEXT(I8,"0.00")&amp;"]","")</f>
      </c>
      <c r="K8" s="66" t="inlineStr">
        <is>
          <t/>
        </is>
      </c>
    </row>
    <row r="9">
      <c r="A9" s="64" t="inlineStr">
        <is>
          <t>Q1_STATIC_STABILITY</t>
        </is>
      </c>
      <c r="B9" s="65" t="inlineStr">
        <is>
          <t>静止稳定性</t>
        </is>
      </c>
      <c r="C9" s="65" t="inlineStr">
        <is>
          <t>One-Euro</t>
        </is>
      </c>
      <c r="D9" s="65" t="inlineStr">
        <is>
          <t>游戏手柄</t>
        </is>
      </c>
      <c r="E9" s="60" t="n">
        <f>COUNTIFS(ConditionRatings!$H$4:$H$147,$C9,ConditionRatings!$D$4:$D$147,$D9,ConditionRatings!$Q$4:$Q$147,"Yes",ConditionRatings!$S$4:$S$147,"&gt;=1")</f>
        <v>0</v>
      </c>
      <c r="F9" s="107" t="str">
        <f>IF(E9=0,"",SUMIFS(ConditionRatings!$S$4:$S$147,ConditionRatings!$H$4:$H$147,$C9,ConditionRatings!$D$4:$D$147,$D9,ConditionRatings!$Q$4:$Q$147,"Yes")/E9)</f>
      </c>
      <c r="G9" s="108"/>
      <c r="H9" s="108"/>
      <c r="I9" s="108"/>
      <c r="J9" s="60" t="str">
        <f>IF(COUNT(G9:I9)=3,TEXT(G9,"0.00")&amp;" ["&amp;TEXT(H9,"0.00")&amp;", "&amp;TEXT(I9,"0.00")&amp;"]","")</f>
      </c>
      <c r="K9" s="66" t="inlineStr">
        <is>
          <t/>
        </is>
      </c>
    </row>
    <row r="10">
      <c r="A10" s="64" t="inlineStr">
        <is>
          <t>Q2_MOTION_ATTACHMENT</t>
        </is>
      </c>
      <c r="B10" s="65" t="inlineStr">
        <is>
          <t>运动附着感</t>
        </is>
      </c>
      <c r="C10" s="65" t="inlineStr">
        <is>
          <t>EgoAnchor</t>
        </is>
      </c>
      <c r="D10" s="65" t="inlineStr">
        <is>
          <t>无线鼠标</t>
        </is>
      </c>
      <c r="E10" s="60" t="n">
        <f>COUNTIFS(ConditionRatings!$H$4:$H$147,$C10,ConditionRatings!$D$4:$D$147,$D10,ConditionRatings!$Q$4:$Q$147,"Yes",ConditionRatings!$T$4:$T$147,"&gt;=1")</f>
        <v>0</v>
      </c>
      <c r="F10" s="107" t="str">
        <f>IF(E10=0,"",SUMIFS(ConditionRatings!$T$4:$T$147,ConditionRatings!$H$4:$H$147,$C10,ConditionRatings!$D$4:$D$147,$D10,ConditionRatings!$Q$4:$Q$147,"Yes")/E10)</f>
      </c>
      <c r="G10" s="108"/>
      <c r="H10" s="108"/>
      <c r="I10" s="108"/>
      <c r="J10" s="60" t="str">
        <f>IF(COUNT(G10:I10)=3,TEXT(G10,"0.00")&amp;" ["&amp;TEXT(H10,"0.00")&amp;", "&amp;TEXT(I10,"0.00")&amp;"]","")</f>
      </c>
      <c r="K10" s="66" t="inlineStr">
        <is>
          <t/>
        </is>
      </c>
    </row>
    <row r="11">
      <c r="A11" s="64" t="inlineStr">
        <is>
          <t>Q2_MOTION_ATTACHMENT</t>
        </is>
      </c>
      <c r="B11" s="65" t="inlineStr">
        <is>
          <t>运动附着感</t>
        </is>
      </c>
      <c r="C11" s="65" t="inlineStr">
        <is>
          <t>EgoAnchor</t>
        </is>
      </c>
      <c r="D11" s="65" t="inlineStr">
        <is>
          <t>固定闭合订书机</t>
        </is>
      </c>
      <c r="E11" s="60" t="n">
        <f>COUNTIFS(ConditionRatings!$H$4:$H$147,$C11,ConditionRatings!$D$4:$D$147,$D11,ConditionRatings!$Q$4:$Q$147,"Yes",ConditionRatings!$T$4:$T$147,"&gt;=1")</f>
        <v>0</v>
      </c>
      <c r="F11" s="107" t="str">
        <f>IF(E11=0,"",SUMIFS(ConditionRatings!$T$4:$T$147,ConditionRatings!$H$4:$H$147,$C11,ConditionRatings!$D$4:$D$147,$D11,ConditionRatings!$Q$4:$Q$147,"Yes")/E11)</f>
      </c>
      <c r="G11" s="108"/>
      <c r="H11" s="108"/>
      <c r="I11" s="108"/>
      <c r="J11" s="60" t="str">
        <f>IF(COUNT(G11:I11)=3,TEXT(G11,"0.00")&amp;" ["&amp;TEXT(H11,"0.00")&amp;", "&amp;TEXT(I11,"0.00")&amp;"]","")</f>
      </c>
      <c r="K11" s="66" t="inlineStr">
        <is>
          <t/>
        </is>
      </c>
    </row>
    <row r="12">
      <c r="A12" s="64" t="inlineStr">
        <is>
          <t>Q2_MOTION_ATTACHMENT</t>
        </is>
      </c>
      <c r="B12" s="65" t="inlineStr">
        <is>
          <t>运动附着感</t>
        </is>
      </c>
      <c r="C12" s="65" t="inlineStr">
        <is>
          <t>EgoAnchor</t>
        </is>
      </c>
      <c r="D12" s="65" t="inlineStr">
        <is>
          <t>游戏手柄</t>
        </is>
      </c>
      <c r="E12" s="60" t="n">
        <f>COUNTIFS(ConditionRatings!$H$4:$H$147,$C12,ConditionRatings!$D$4:$D$147,$D12,ConditionRatings!$Q$4:$Q$147,"Yes",ConditionRatings!$T$4:$T$147,"&gt;=1")</f>
        <v>0</v>
      </c>
      <c r="F12" s="107" t="str">
        <f>IF(E12=0,"",SUMIFS(ConditionRatings!$T$4:$T$147,ConditionRatings!$H$4:$H$147,$C12,ConditionRatings!$D$4:$D$147,$D12,ConditionRatings!$Q$4:$Q$147,"Yes")/E12)</f>
      </c>
      <c r="G12" s="108"/>
      <c r="H12" s="108"/>
      <c r="I12" s="108"/>
      <c r="J12" s="60" t="str">
        <f>IF(COUNT(G12:I12)=3,TEXT(G12,"0.00")&amp;" ["&amp;TEXT(H12,"0.00")&amp;", "&amp;TEXT(I12,"0.00")&amp;"]","")</f>
      </c>
      <c r="K12" s="66" t="inlineStr">
        <is>
          <t/>
        </is>
      </c>
    </row>
    <row r="13">
      <c r="A13" s="64" t="inlineStr">
        <is>
          <t>Q2_MOTION_ATTACHMENT</t>
        </is>
      </c>
      <c r="B13" s="65" t="inlineStr">
        <is>
          <t>运动附着感</t>
        </is>
      </c>
      <c r="C13" s="65" t="inlineStr">
        <is>
          <t>One-Euro</t>
        </is>
      </c>
      <c r="D13" s="65" t="inlineStr">
        <is>
          <t>无线鼠标</t>
        </is>
      </c>
      <c r="E13" s="60" t="n">
        <f>COUNTIFS(ConditionRatings!$H$4:$H$147,$C13,ConditionRatings!$D$4:$D$147,$D13,ConditionRatings!$Q$4:$Q$147,"Yes",ConditionRatings!$T$4:$T$147,"&gt;=1")</f>
        <v>0</v>
      </c>
      <c r="F13" s="107" t="str">
        <f>IF(E13=0,"",SUMIFS(ConditionRatings!$T$4:$T$147,ConditionRatings!$H$4:$H$147,$C13,ConditionRatings!$D$4:$D$147,$D13,ConditionRatings!$Q$4:$Q$147,"Yes")/E13)</f>
      </c>
      <c r="G13" s="108"/>
      <c r="H13" s="108"/>
      <c r="I13" s="108"/>
      <c r="J13" s="60" t="str">
        <f>IF(COUNT(G13:I13)=3,TEXT(G13,"0.00")&amp;" ["&amp;TEXT(H13,"0.00")&amp;", "&amp;TEXT(I13,"0.00")&amp;"]","")</f>
      </c>
      <c r="K13" s="66" t="inlineStr">
        <is>
          <t/>
        </is>
      </c>
    </row>
    <row r="14">
      <c r="A14" s="64" t="inlineStr">
        <is>
          <t>Q2_MOTION_ATTACHMENT</t>
        </is>
      </c>
      <c r="B14" s="65" t="inlineStr">
        <is>
          <t>运动附着感</t>
        </is>
      </c>
      <c r="C14" s="65" t="inlineStr">
        <is>
          <t>One-Euro</t>
        </is>
      </c>
      <c r="D14" s="65" t="inlineStr">
        <is>
          <t>固定闭合订书机</t>
        </is>
      </c>
      <c r="E14" s="60" t="n">
        <f>COUNTIFS(ConditionRatings!$H$4:$H$147,$C14,ConditionRatings!$D$4:$D$147,$D14,ConditionRatings!$Q$4:$Q$147,"Yes",ConditionRatings!$T$4:$T$147,"&gt;=1")</f>
        <v>0</v>
      </c>
      <c r="F14" s="107" t="str">
        <f>IF(E14=0,"",SUMIFS(ConditionRatings!$T$4:$T$147,ConditionRatings!$H$4:$H$147,$C14,ConditionRatings!$D$4:$D$147,$D14,ConditionRatings!$Q$4:$Q$147,"Yes")/E14)</f>
      </c>
      <c r="G14" s="108"/>
      <c r="H14" s="108"/>
      <c r="I14" s="108"/>
      <c r="J14" s="60" t="str">
        <f>IF(COUNT(G14:I14)=3,TEXT(G14,"0.00")&amp;" ["&amp;TEXT(H14,"0.00")&amp;", "&amp;TEXT(I14,"0.00")&amp;"]","")</f>
      </c>
      <c r="K14" s="66" t="inlineStr">
        <is>
          <t/>
        </is>
      </c>
    </row>
    <row r="15">
      <c r="A15" s="64" t="inlineStr">
        <is>
          <t>Q2_MOTION_ATTACHMENT</t>
        </is>
      </c>
      <c r="B15" s="65" t="inlineStr">
        <is>
          <t>运动附着感</t>
        </is>
      </c>
      <c r="C15" s="65" t="inlineStr">
        <is>
          <t>One-Euro</t>
        </is>
      </c>
      <c r="D15" s="65" t="inlineStr">
        <is>
          <t>游戏手柄</t>
        </is>
      </c>
      <c r="E15" s="60" t="n">
        <f>COUNTIFS(ConditionRatings!$H$4:$H$147,$C15,ConditionRatings!$D$4:$D$147,$D15,ConditionRatings!$Q$4:$Q$147,"Yes",ConditionRatings!$T$4:$T$147,"&gt;=1")</f>
        <v>0</v>
      </c>
      <c r="F15" s="107" t="str">
        <f>IF(E15=0,"",SUMIFS(ConditionRatings!$T$4:$T$147,ConditionRatings!$H$4:$H$147,$C15,ConditionRatings!$D$4:$D$147,$D15,ConditionRatings!$Q$4:$Q$147,"Yes")/E15)</f>
      </c>
      <c r="G15" s="108"/>
      <c r="H15" s="108"/>
      <c r="I15" s="108"/>
      <c r="J15" s="60" t="str">
        <f>IF(COUNT(G15:I15)=3,TEXT(G15,"0.00")&amp;" ["&amp;TEXT(H15,"0.00")&amp;", "&amp;TEXT(I15,"0.00")&amp;"]","")</f>
      </c>
      <c r="K15" s="66" t="inlineStr">
        <is>
          <t/>
        </is>
      </c>
    </row>
    <row r="16">
      <c r="A16" s="64" t="inlineStr">
        <is>
          <t>Q3_RECOVERY_CONSISTENCY</t>
        </is>
      </c>
      <c r="B16" s="65" t="inlineStr">
        <is>
          <t>遮挡恢复一致性</t>
        </is>
      </c>
      <c r="C16" s="65" t="inlineStr">
        <is>
          <t>EgoAnchor</t>
        </is>
      </c>
      <c r="D16" s="65" t="inlineStr">
        <is>
          <t>无线鼠标</t>
        </is>
      </c>
      <c r="E16" s="60" t="n">
        <f>COUNTIFS(ConditionRatings!$H$4:$H$147,$C16,ConditionRatings!$D$4:$D$147,$D16,ConditionRatings!$Q$4:$Q$147,"Yes",ConditionRatings!$U$4:$U$147,"&gt;=1")</f>
        <v>0</v>
      </c>
      <c r="F16" s="107" t="str">
        <f>IF(E16=0,"",SUMIFS(ConditionRatings!$U$4:$U$147,ConditionRatings!$H$4:$H$147,$C16,ConditionRatings!$D$4:$D$147,$D16,ConditionRatings!$Q$4:$Q$147,"Yes")/E16)</f>
      </c>
      <c r="G16" s="108"/>
      <c r="H16" s="108"/>
      <c r="I16" s="108"/>
      <c r="J16" s="60" t="str">
        <f>IF(COUNT(G16:I16)=3,TEXT(G16,"0.00")&amp;" ["&amp;TEXT(H16,"0.00")&amp;", "&amp;TEXT(I16,"0.00")&amp;"]","")</f>
      </c>
      <c r="K16" s="66" t="inlineStr">
        <is>
          <t/>
        </is>
      </c>
    </row>
    <row r="17">
      <c r="A17" s="64" t="inlineStr">
        <is>
          <t>Q3_RECOVERY_CONSISTENCY</t>
        </is>
      </c>
      <c r="B17" s="65" t="inlineStr">
        <is>
          <t>遮挡恢复一致性</t>
        </is>
      </c>
      <c r="C17" s="65" t="inlineStr">
        <is>
          <t>EgoAnchor</t>
        </is>
      </c>
      <c r="D17" s="65" t="inlineStr">
        <is>
          <t>固定闭合订书机</t>
        </is>
      </c>
      <c r="E17" s="60" t="n">
        <f>COUNTIFS(ConditionRatings!$H$4:$H$147,$C17,ConditionRatings!$D$4:$D$147,$D17,ConditionRatings!$Q$4:$Q$147,"Yes",ConditionRatings!$U$4:$U$147,"&gt;=1")</f>
        <v>0</v>
      </c>
      <c r="F17" s="107" t="str">
        <f>IF(E17=0,"",SUMIFS(ConditionRatings!$U$4:$U$147,ConditionRatings!$H$4:$H$147,$C17,ConditionRatings!$D$4:$D$147,$D17,ConditionRatings!$Q$4:$Q$147,"Yes")/E17)</f>
      </c>
      <c r="G17" s="108"/>
      <c r="H17" s="108"/>
      <c r="I17" s="108"/>
      <c r="J17" s="60" t="str">
        <f>IF(COUNT(G17:I17)=3,TEXT(G17,"0.00")&amp;" ["&amp;TEXT(H17,"0.00")&amp;", "&amp;TEXT(I17,"0.00")&amp;"]","")</f>
      </c>
      <c r="K17" s="66" t="inlineStr">
        <is>
          <t/>
        </is>
      </c>
    </row>
    <row r="18">
      <c r="A18" s="64" t="inlineStr">
        <is>
          <t>Q3_RECOVERY_CONSISTENCY</t>
        </is>
      </c>
      <c r="B18" s="65" t="inlineStr">
        <is>
          <t>遮挡恢复一致性</t>
        </is>
      </c>
      <c r="C18" s="65" t="inlineStr">
        <is>
          <t>EgoAnchor</t>
        </is>
      </c>
      <c r="D18" s="65" t="inlineStr">
        <is>
          <t>游戏手柄</t>
        </is>
      </c>
      <c r="E18" s="60" t="n">
        <f>COUNTIFS(ConditionRatings!$H$4:$H$147,$C18,ConditionRatings!$D$4:$D$147,$D18,ConditionRatings!$Q$4:$Q$147,"Yes",ConditionRatings!$U$4:$U$147,"&gt;=1")</f>
        <v>0</v>
      </c>
      <c r="F18" s="107" t="str">
        <f>IF(E18=0,"",SUMIFS(ConditionRatings!$U$4:$U$147,ConditionRatings!$H$4:$H$147,$C18,ConditionRatings!$D$4:$D$147,$D18,ConditionRatings!$Q$4:$Q$147,"Yes")/E18)</f>
      </c>
      <c r="G18" s="108"/>
      <c r="H18" s="108"/>
      <c r="I18" s="108"/>
      <c r="J18" s="60" t="str">
        <f>IF(COUNT(G18:I18)=3,TEXT(G18,"0.00")&amp;" ["&amp;TEXT(H18,"0.00")&amp;", "&amp;TEXT(I18,"0.00")&amp;"]","")</f>
      </c>
      <c r="K18" s="66" t="inlineStr">
        <is>
          <t/>
        </is>
      </c>
    </row>
    <row r="19">
      <c r="A19" s="64" t="inlineStr">
        <is>
          <t>Q3_RECOVERY_CONSISTENCY</t>
        </is>
      </c>
      <c r="B19" s="65" t="inlineStr">
        <is>
          <t>遮挡恢复一致性</t>
        </is>
      </c>
      <c r="C19" s="65" t="inlineStr">
        <is>
          <t>One-Euro</t>
        </is>
      </c>
      <c r="D19" s="65" t="inlineStr">
        <is>
          <t>无线鼠标</t>
        </is>
      </c>
      <c r="E19" s="60" t="n">
        <f>COUNTIFS(ConditionRatings!$H$4:$H$147,$C19,ConditionRatings!$D$4:$D$147,$D19,ConditionRatings!$Q$4:$Q$147,"Yes",ConditionRatings!$U$4:$U$147,"&gt;=1")</f>
        <v>0</v>
      </c>
      <c r="F19" s="107" t="str">
        <f>IF(E19=0,"",SUMIFS(ConditionRatings!$U$4:$U$147,ConditionRatings!$H$4:$H$147,$C19,ConditionRatings!$D$4:$D$147,$D19,ConditionRatings!$Q$4:$Q$147,"Yes")/E19)</f>
      </c>
      <c r="G19" s="108"/>
      <c r="H19" s="108"/>
      <c r="I19" s="108"/>
      <c r="J19" s="60" t="str">
        <f>IF(COUNT(G19:I19)=3,TEXT(G19,"0.00")&amp;" ["&amp;TEXT(H19,"0.00")&amp;", "&amp;TEXT(I19,"0.00")&amp;"]","")</f>
      </c>
      <c r="K19" s="66" t="inlineStr">
        <is>
          <t/>
        </is>
      </c>
    </row>
    <row r="20">
      <c r="A20" s="64" t="inlineStr">
        <is>
          <t>Q3_RECOVERY_CONSISTENCY</t>
        </is>
      </c>
      <c r="B20" s="65" t="inlineStr">
        <is>
          <t>遮挡恢复一致性</t>
        </is>
      </c>
      <c r="C20" s="65" t="inlineStr">
        <is>
          <t>One-Euro</t>
        </is>
      </c>
      <c r="D20" s="65" t="inlineStr">
        <is>
          <t>固定闭合订书机</t>
        </is>
      </c>
      <c r="E20" s="60" t="n">
        <f>COUNTIFS(ConditionRatings!$H$4:$H$147,$C20,ConditionRatings!$D$4:$D$147,$D20,ConditionRatings!$Q$4:$Q$147,"Yes",ConditionRatings!$U$4:$U$147,"&gt;=1")</f>
        <v>0</v>
      </c>
      <c r="F20" s="107" t="str">
        <f>IF(E20=0,"",SUMIFS(ConditionRatings!$U$4:$U$147,ConditionRatings!$H$4:$H$147,$C20,ConditionRatings!$D$4:$D$147,$D20,ConditionRatings!$Q$4:$Q$147,"Yes")/E20)</f>
      </c>
      <c r="G20" s="108"/>
      <c r="H20" s="108"/>
      <c r="I20" s="108"/>
      <c r="J20" s="60" t="str">
        <f>IF(COUNT(G20:I20)=3,TEXT(G20,"0.00")&amp;" ["&amp;TEXT(H20,"0.00")&amp;", "&amp;TEXT(I20,"0.00")&amp;"]","")</f>
      </c>
      <c r="K20" s="66" t="inlineStr">
        <is>
          <t/>
        </is>
      </c>
    </row>
    <row r="21">
      <c r="A21" s="64" t="inlineStr">
        <is>
          <t>Q3_RECOVERY_CONSISTENCY</t>
        </is>
      </c>
      <c r="B21" s="65" t="inlineStr">
        <is>
          <t>遮挡恢复一致性</t>
        </is>
      </c>
      <c r="C21" s="65" t="inlineStr">
        <is>
          <t>One-Euro</t>
        </is>
      </c>
      <c r="D21" s="65" t="inlineStr">
        <is>
          <t>游戏手柄</t>
        </is>
      </c>
      <c r="E21" s="60" t="n">
        <f>COUNTIFS(ConditionRatings!$H$4:$H$147,$C21,ConditionRatings!$D$4:$D$147,$D21,ConditionRatings!$Q$4:$Q$147,"Yes",ConditionRatings!$U$4:$U$147,"&gt;=1")</f>
        <v>0</v>
      </c>
      <c r="F21" s="107" t="str">
        <f>IF(E21=0,"",SUMIFS(ConditionRatings!$U$4:$U$147,ConditionRatings!$H$4:$H$147,$C21,ConditionRatings!$D$4:$D$147,$D21,ConditionRatings!$Q$4:$Q$147,"Yes")/E21)</f>
      </c>
      <c r="G21" s="108"/>
      <c r="H21" s="108"/>
      <c r="I21" s="108"/>
      <c r="J21" s="60" t="str">
        <f>IF(COUNT(G21:I21)=3,TEXT(G21,"0.00")&amp;" ["&amp;TEXT(H21,"0.00")&amp;", "&amp;TEXT(I21,"0.00")&amp;"]","")</f>
      </c>
      <c r="K21" s="66" t="inlineStr">
        <is>
          <t/>
        </is>
      </c>
    </row>
    <row r="22">
      <c r="A22" s="64" t="inlineStr">
        <is>
          <t>Q4_PLAUSIBILITY</t>
        </is>
      </c>
      <c r="B22" s="65" t="inlineStr">
        <is>
          <t>合理可信度</t>
        </is>
      </c>
      <c r="C22" s="65" t="inlineStr">
        <is>
          <t>EgoAnchor</t>
        </is>
      </c>
      <c r="D22" s="65" t="inlineStr">
        <is>
          <t>无线鼠标</t>
        </is>
      </c>
      <c r="E22" s="60" t="n">
        <f>COUNTIFS(ConditionRatings!$H$4:$H$147,$C22,ConditionRatings!$D$4:$D$147,$D22,ConditionRatings!$Q$4:$Q$147,"Yes",ConditionRatings!$V$4:$V$147,"&gt;=1")</f>
        <v>0</v>
      </c>
      <c r="F22" s="107" t="str">
        <f>IF(E22=0,"",SUMIFS(ConditionRatings!$V$4:$V$147,ConditionRatings!$H$4:$H$147,$C22,ConditionRatings!$D$4:$D$147,$D22,ConditionRatings!$Q$4:$Q$147,"Yes")/E22)</f>
      </c>
      <c r="G22" s="108"/>
      <c r="H22" s="108"/>
      <c r="I22" s="108"/>
      <c r="J22" s="60" t="str">
        <f>IF(COUNT(G22:I22)=3,TEXT(G22,"0.00")&amp;" ["&amp;TEXT(H22,"0.00")&amp;", "&amp;TEXT(I22,"0.00")&amp;"]","")</f>
      </c>
      <c r="K22" s="66" t="inlineStr">
        <is>
          <t/>
        </is>
      </c>
    </row>
    <row r="23">
      <c r="A23" s="64" t="inlineStr">
        <is>
          <t>Q4_PLAUSIBILITY</t>
        </is>
      </c>
      <c r="B23" s="65" t="inlineStr">
        <is>
          <t>合理可信度</t>
        </is>
      </c>
      <c r="C23" s="65" t="inlineStr">
        <is>
          <t>EgoAnchor</t>
        </is>
      </c>
      <c r="D23" s="65" t="inlineStr">
        <is>
          <t>固定闭合订书机</t>
        </is>
      </c>
      <c r="E23" s="60" t="n">
        <f>COUNTIFS(ConditionRatings!$H$4:$H$147,$C23,ConditionRatings!$D$4:$D$147,$D23,ConditionRatings!$Q$4:$Q$147,"Yes",ConditionRatings!$V$4:$V$147,"&gt;=1")</f>
        <v>0</v>
      </c>
      <c r="F23" s="107" t="str">
        <f>IF(E23=0,"",SUMIFS(ConditionRatings!$V$4:$V$147,ConditionRatings!$H$4:$H$147,$C23,ConditionRatings!$D$4:$D$147,$D23,ConditionRatings!$Q$4:$Q$147,"Yes")/E23)</f>
      </c>
      <c r="G23" s="108"/>
      <c r="H23" s="108"/>
      <c r="I23" s="108"/>
      <c r="J23" s="60" t="str">
        <f>IF(COUNT(G23:I23)=3,TEXT(G23,"0.00")&amp;" ["&amp;TEXT(H23,"0.00")&amp;", "&amp;TEXT(I23,"0.00")&amp;"]","")</f>
      </c>
      <c r="K23" s="66" t="inlineStr">
        <is>
          <t/>
        </is>
      </c>
    </row>
    <row r="24">
      <c r="A24" s="64" t="inlineStr">
        <is>
          <t>Q4_PLAUSIBILITY</t>
        </is>
      </c>
      <c r="B24" s="65" t="inlineStr">
        <is>
          <t>合理可信度</t>
        </is>
      </c>
      <c r="C24" s="65" t="inlineStr">
        <is>
          <t>EgoAnchor</t>
        </is>
      </c>
      <c r="D24" s="65" t="inlineStr">
        <is>
          <t>游戏手柄</t>
        </is>
      </c>
      <c r="E24" s="60" t="n">
        <f>COUNTIFS(ConditionRatings!$H$4:$H$147,$C24,ConditionRatings!$D$4:$D$147,$D24,ConditionRatings!$Q$4:$Q$147,"Yes",ConditionRatings!$V$4:$V$147,"&gt;=1")</f>
        <v>0</v>
      </c>
      <c r="F24" s="107" t="str">
        <f>IF(E24=0,"",SUMIFS(ConditionRatings!$V$4:$V$147,ConditionRatings!$H$4:$H$147,$C24,ConditionRatings!$D$4:$D$147,$D24,ConditionRatings!$Q$4:$Q$147,"Yes")/E24)</f>
      </c>
      <c r="G24" s="108"/>
      <c r="H24" s="108"/>
      <c r="I24" s="108"/>
      <c r="J24" s="60" t="str">
        <f>IF(COUNT(G24:I24)=3,TEXT(G24,"0.00")&amp;" ["&amp;TEXT(H24,"0.00")&amp;", "&amp;TEXT(I24,"0.00")&amp;"]","")</f>
      </c>
      <c r="K24" s="66" t="inlineStr">
        <is>
          <t/>
        </is>
      </c>
    </row>
    <row r="25">
      <c r="A25" s="64" t="inlineStr">
        <is>
          <t>Q4_PLAUSIBILITY</t>
        </is>
      </c>
      <c r="B25" s="65" t="inlineStr">
        <is>
          <t>合理可信度</t>
        </is>
      </c>
      <c r="C25" s="65" t="inlineStr">
        <is>
          <t>One-Euro</t>
        </is>
      </c>
      <c r="D25" s="65" t="inlineStr">
        <is>
          <t>无线鼠标</t>
        </is>
      </c>
      <c r="E25" s="60" t="n">
        <f>COUNTIFS(ConditionRatings!$H$4:$H$147,$C25,ConditionRatings!$D$4:$D$147,$D25,ConditionRatings!$Q$4:$Q$147,"Yes",ConditionRatings!$V$4:$V$147,"&gt;=1")</f>
        <v>0</v>
      </c>
      <c r="F25" s="107" t="str">
        <f>IF(E25=0,"",SUMIFS(ConditionRatings!$V$4:$V$147,ConditionRatings!$H$4:$H$147,$C25,ConditionRatings!$D$4:$D$147,$D25,ConditionRatings!$Q$4:$Q$147,"Yes")/E25)</f>
      </c>
      <c r="G25" s="108"/>
      <c r="H25" s="108"/>
      <c r="I25" s="108"/>
      <c r="J25" s="60" t="str">
        <f>IF(COUNT(G25:I25)=3,TEXT(G25,"0.00")&amp;" ["&amp;TEXT(H25,"0.00")&amp;", "&amp;TEXT(I25,"0.00")&amp;"]","")</f>
      </c>
      <c r="K25" s="66" t="inlineStr">
        <is>
          <t/>
        </is>
      </c>
    </row>
    <row r="26">
      <c r="A26" s="64" t="inlineStr">
        <is>
          <t>Q4_PLAUSIBILITY</t>
        </is>
      </c>
      <c r="B26" s="65" t="inlineStr">
        <is>
          <t>合理可信度</t>
        </is>
      </c>
      <c r="C26" s="65" t="inlineStr">
        <is>
          <t>One-Euro</t>
        </is>
      </c>
      <c r="D26" s="65" t="inlineStr">
        <is>
          <t>固定闭合订书机</t>
        </is>
      </c>
      <c r="E26" s="60" t="n">
        <f>COUNTIFS(ConditionRatings!$H$4:$H$147,$C26,ConditionRatings!$D$4:$D$147,$D26,ConditionRatings!$Q$4:$Q$147,"Yes",ConditionRatings!$V$4:$V$147,"&gt;=1")</f>
        <v>0</v>
      </c>
      <c r="F26" s="107" t="str">
        <f>IF(E26=0,"",SUMIFS(ConditionRatings!$V$4:$V$147,ConditionRatings!$H$4:$H$147,$C26,ConditionRatings!$D$4:$D$147,$D26,ConditionRatings!$Q$4:$Q$147,"Yes")/E26)</f>
      </c>
      <c r="G26" s="108"/>
      <c r="H26" s="108"/>
      <c r="I26" s="108"/>
      <c r="J26" s="60" t="str">
        <f>IF(COUNT(G26:I26)=3,TEXT(G26,"0.00")&amp;" ["&amp;TEXT(H26,"0.00")&amp;", "&amp;TEXT(I26,"0.00")&amp;"]","")</f>
      </c>
      <c r="K26" s="66" t="inlineStr">
        <is>
          <t/>
        </is>
      </c>
    </row>
    <row r="27">
      <c r="A27" s="64" t="inlineStr">
        <is>
          <t>Q4_PLAUSIBILITY</t>
        </is>
      </c>
      <c r="B27" s="65" t="inlineStr">
        <is>
          <t>合理可信度</t>
        </is>
      </c>
      <c r="C27" s="65" t="inlineStr">
        <is>
          <t>One-Euro</t>
        </is>
      </c>
      <c r="D27" s="65" t="inlineStr">
        <is>
          <t>游戏手柄</t>
        </is>
      </c>
      <c r="E27" s="60" t="n">
        <f>COUNTIFS(ConditionRatings!$H$4:$H$147,$C27,ConditionRatings!$D$4:$D$147,$D27,ConditionRatings!$Q$4:$Q$147,"Yes",ConditionRatings!$V$4:$V$147,"&gt;=1")</f>
        <v>0</v>
      </c>
      <c r="F27" s="107" t="str">
        <f>IF(E27=0,"",SUMIFS(ConditionRatings!$V$4:$V$147,ConditionRatings!$H$4:$H$147,$C27,ConditionRatings!$D$4:$D$147,$D27,ConditionRatings!$Q$4:$Q$147,"Yes")/E27)</f>
      </c>
      <c r="G27" s="108"/>
      <c r="H27" s="108"/>
      <c r="I27" s="108"/>
      <c r="J27" s="60" t="str">
        <f>IF(COUNT(G27:I27)=3,TEXT(G27,"0.00")&amp;" ["&amp;TEXT(H27,"0.00")&amp;", "&amp;TEXT(I27,"0.00")&amp;"]","")</f>
      </c>
      <c r="K27" s="66" t="inlineStr">
        <is>
          <t/>
        </is>
      </c>
    </row>
    <row r="28">
      <c r="A28" s="64" t="inlineStr">
        <is>
          <t>Q5_SYNCHRONY</t>
        </is>
      </c>
      <c r="B28" s="65" t="inlineStr">
        <is>
          <t>虚实同步性</t>
        </is>
      </c>
      <c r="C28" s="65" t="inlineStr">
        <is>
          <t>EgoAnchor</t>
        </is>
      </c>
      <c r="D28" s="65" t="inlineStr">
        <is>
          <t>无线鼠标</t>
        </is>
      </c>
      <c r="E28" s="60" t="n">
        <f>COUNTIFS(ConditionRatings!$H$4:$H$147,$C28,ConditionRatings!$D$4:$D$147,$D28,ConditionRatings!$Q$4:$Q$147,"Yes",ConditionRatings!$W$4:$W$147,"&gt;=1")</f>
        <v>0</v>
      </c>
      <c r="F28" s="107" t="str">
        <f>IF(E28=0,"",SUMIFS(ConditionRatings!$W$4:$W$147,ConditionRatings!$H$4:$H$147,$C28,ConditionRatings!$D$4:$D$147,$D28,ConditionRatings!$Q$4:$Q$147,"Yes")/E28)</f>
      </c>
      <c r="G28" s="108"/>
      <c r="H28" s="108"/>
      <c r="I28" s="108"/>
      <c r="J28" s="60" t="str">
        <f>IF(COUNT(G28:I28)=3,TEXT(G28,"0.00")&amp;" ["&amp;TEXT(H28,"0.00")&amp;", "&amp;TEXT(I28,"0.00")&amp;"]","")</f>
      </c>
      <c r="K28" s="66" t="inlineStr">
        <is>
          <t/>
        </is>
      </c>
    </row>
    <row r="29">
      <c r="A29" s="64" t="inlineStr">
        <is>
          <t>Q5_SYNCHRONY</t>
        </is>
      </c>
      <c r="B29" s="65" t="inlineStr">
        <is>
          <t>虚实同步性</t>
        </is>
      </c>
      <c r="C29" s="65" t="inlineStr">
        <is>
          <t>EgoAnchor</t>
        </is>
      </c>
      <c r="D29" s="65" t="inlineStr">
        <is>
          <t>固定闭合订书机</t>
        </is>
      </c>
      <c r="E29" s="60" t="n">
        <f>COUNTIFS(ConditionRatings!$H$4:$H$147,$C29,ConditionRatings!$D$4:$D$147,$D29,ConditionRatings!$Q$4:$Q$147,"Yes",ConditionRatings!$W$4:$W$147,"&gt;=1")</f>
        <v>0</v>
      </c>
      <c r="F29" s="107" t="str">
        <f>IF(E29=0,"",SUMIFS(ConditionRatings!$W$4:$W$147,ConditionRatings!$H$4:$H$147,$C29,ConditionRatings!$D$4:$D$147,$D29,ConditionRatings!$Q$4:$Q$147,"Yes")/E29)</f>
      </c>
      <c r="G29" s="108"/>
      <c r="H29" s="108"/>
      <c r="I29" s="108"/>
      <c r="J29" s="60" t="str">
        <f>IF(COUNT(G29:I29)=3,TEXT(G29,"0.00")&amp;" ["&amp;TEXT(H29,"0.00")&amp;", "&amp;TEXT(I29,"0.00")&amp;"]","")</f>
      </c>
      <c r="K29" s="66" t="inlineStr">
        <is>
          <t/>
        </is>
      </c>
    </row>
    <row r="30">
      <c r="A30" s="64" t="inlineStr">
        <is>
          <t>Q5_SYNCHRONY</t>
        </is>
      </c>
      <c r="B30" s="65" t="inlineStr">
        <is>
          <t>虚实同步性</t>
        </is>
      </c>
      <c r="C30" s="65" t="inlineStr">
        <is>
          <t>EgoAnchor</t>
        </is>
      </c>
      <c r="D30" s="65" t="inlineStr">
        <is>
          <t>游戏手柄</t>
        </is>
      </c>
      <c r="E30" s="60" t="n">
        <f>COUNTIFS(ConditionRatings!$H$4:$H$147,$C30,ConditionRatings!$D$4:$D$147,$D30,ConditionRatings!$Q$4:$Q$147,"Yes",ConditionRatings!$W$4:$W$147,"&gt;=1")</f>
        <v>0</v>
      </c>
      <c r="F30" s="107" t="str">
        <f>IF(E30=0,"",SUMIFS(ConditionRatings!$W$4:$W$147,ConditionRatings!$H$4:$H$147,$C30,ConditionRatings!$D$4:$D$147,$D30,ConditionRatings!$Q$4:$Q$147,"Yes")/E30)</f>
      </c>
      <c r="G30" s="108"/>
      <c r="H30" s="108"/>
      <c r="I30" s="108"/>
      <c r="J30" s="60" t="str">
        <f>IF(COUNT(G30:I30)=3,TEXT(G30,"0.00")&amp;" ["&amp;TEXT(H30,"0.00")&amp;", "&amp;TEXT(I30,"0.00")&amp;"]","")</f>
      </c>
      <c r="K30" s="66" t="inlineStr">
        <is>
          <t/>
        </is>
      </c>
    </row>
    <row r="31">
      <c r="A31" s="64" t="inlineStr">
        <is>
          <t>Q5_SYNCHRONY</t>
        </is>
      </c>
      <c r="B31" s="65" t="inlineStr">
        <is>
          <t>虚实同步性</t>
        </is>
      </c>
      <c r="C31" s="65" t="inlineStr">
        <is>
          <t>One-Euro</t>
        </is>
      </c>
      <c r="D31" s="65" t="inlineStr">
        <is>
          <t>无线鼠标</t>
        </is>
      </c>
      <c r="E31" s="60" t="n">
        <f>COUNTIFS(ConditionRatings!$H$4:$H$147,$C31,ConditionRatings!$D$4:$D$147,$D31,ConditionRatings!$Q$4:$Q$147,"Yes",ConditionRatings!$W$4:$W$147,"&gt;=1")</f>
        <v>0</v>
      </c>
      <c r="F31" s="107" t="str">
        <f>IF(E31=0,"",SUMIFS(ConditionRatings!$W$4:$W$147,ConditionRatings!$H$4:$H$147,$C31,ConditionRatings!$D$4:$D$147,$D31,ConditionRatings!$Q$4:$Q$147,"Yes")/E31)</f>
      </c>
      <c r="G31" s="108"/>
      <c r="H31" s="108"/>
      <c r="I31" s="108"/>
      <c r="J31" s="60" t="str">
        <f>IF(COUNT(G31:I31)=3,TEXT(G31,"0.00")&amp;" ["&amp;TEXT(H31,"0.00")&amp;", "&amp;TEXT(I31,"0.00")&amp;"]","")</f>
      </c>
      <c r="K31" s="66" t="inlineStr">
        <is>
          <t/>
        </is>
      </c>
    </row>
    <row r="32">
      <c r="A32" s="64" t="inlineStr">
        <is>
          <t>Q5_SYNCHRONY</t>
        </is>
      </c>
      <c r="B32" s="65" t="inlineStr">
        <is>
          <t>虚实同步性</t>
        </is>
      </c>
      <c r="C32" s="65" t="inlineStr">
        <is>
          <t>One-Euro</t>
        </is>
      </c>
      <c r="D32" s="65" t="inlineStr">
        <is>
          <t>固定闭合订书机</t>
        </is>
      </c>
      <c r="E32" s="60" t="n">
        <f>COUNTIFS(ConditionRatings!$H$4:$H$147,$C32,ConditionRatings!$D$4:$D$147,$D32,ConditionRatings!$Q$4:$Q$147,"Yes",ConditionRatings!$W$4:$W$147,"&gt;=1")</f>
        <v>0</v>
      </c>
      <c r="F32" s="107" t="str">
        <f>IF(E32=0,"",SUMIFS(ConditionRatings!$W$4:$W$147,ConditionRatings!$H$4:$H$147,$C32,ConditionRatings!$D$4:$D$147,$D32,ConditionRatings!$Q$4:$Q$147,"Yes")/E32)</f>
      </c>
      <c r="G32" s="108"/>
      <c r="H32" s="108"/>
      <c r="I32" s="108"/>
      <c r="J32" s="60" t="str">
        <f>IF(COUNT(G32:I32)=3,TEXT(G32,"0.00")&amp;" ["&amp;TEXT(H32,"0.00")&amp;", "&amp;TEXT(I32,"0.00")&amp;"]","")</f>
      </c>
      <c r="K32" s="66" t="inlineStr">
        <is>
          <t/>
        </is>
      </c>
    </row>
    <row r="33">
      <c r="A33" s="64" t="inlineStr">
        <is>
          <t>Q5_SYNCHRONY</t>
        </is>
      </c>
      <c r="B33" s="65" t="inlineStr">
        <is>
          <t>虚实同步性</t>
        </is>
      </c>
      <c r="C33" s="65" t="inlineStr">
        <is>
          <t>One-Euro</t>
        </is>
      </c>
      <c r="D33" s="65" t="inlineStr">
        <is>
          <t>游戏手柄</t>
        </is>
      </c>
      <c r="E33" s="60" t="n">
        <f>COUNTIFS(ConditionRatings!$H$4:$H$147,$C33,ConditionRatings!$D$4:$D$147,$D33,ConditionRatings!$Q$4:$Q$147,"Yes",ConditionRatings!$W$4:$W$147,"&gt;=1")</f>
        <v>0</v>
      </c>
      <c r="F33" s="107" t="str">
        <f>IF(E33=0,"",SUMIFS(ConditionRatings!$W$4:$W$147,ConditionRatings!$H$4:$H$147,$C33,ConditionRatings!$D$4:$D$147,$D33,ConditionRatings!$Q$4:$Q$147,"Yes")/E33)</f>
      </c>
      <c r="G33" s="108"/>
      <c r="H33" s="108"/>
      <c r="I33" s="108"/>
      <c r="J33" s="60" t="str">
        <f>IF(COUNT(G33:I33)=3,TEXT(G33,"0.00")&amp;" ["&amp;TEXT(H33,"0.00")&amp;", "&amp;TEXT(I33,"0.00")&amp;"]","")</f>
      </c>
      <c r="K33" s="66" t="inlineStr">
        <is>
          <t/>
        </is>
      </c>
    </row>
    <row r="34">
      <c r="A34" s="64" t="inlineStr">
        <is>
          <t>Q6_RELIANCE</t>
        </is>
      </c>
      <c r="B34" s="65" t="inlineStr">
        <is>
          <t>依赖意愿</t>
        </is>
      </c>
      <c r="C34" s="65" t="inlineStr">
        <is>
          <t>EgoAnchor</t>
        </is>
      </c>
      <c r="D34" s="65" t="inlineStr">
        <is>
          <t>无线鼠标</t>
        </is>
      </c>
      <c r="E34" s="60" t="n">
        <f>COUNTIFS(ConditionRatings!$H$4:$H$147,$C34,ConditionRatings!$D$4:$D$147,$D34,ConditionRatings!$Q$4:$Q$147,"Yes",ConditionRatings!$X$4:$X$147,"&gt;=1")</f>
        <v>0</v>
      </c>
      <c r="F34" s="107" t="str">
        <f>IF(E34=0,"",SUMIFS(ConditionRatings!$X$4:$X$147,ConditionRatings!$H$4:$H$147,$C34,ConditionRatings!$D$4:$D$147,$D34,ConditionRatings!$Q$4:$Q$147,"Yes")/E34)</f>
      </c>
      <c r="G34" s="108"/>
      <c r="H34" s="108"/>
      <c r="I34" s="108"/>
      <c r="J34" s="60" t="str">
        <f>IF(COUNT(G34:I34)=3,TEXT(G34,"0.00")&amp;" ["&amp;TEXT(H34,"0.00")&amp;", "&amp;TEXT(I34,"0.00")&amp;"]","")</f>
      </c>
      <c r="K34" s="66" t="inlineStr">
        <is>
          <t/>
        </is>
      </c>
    </row>
    <row r="35">
      <c r="A35" s="64" t="inlineStr">
        <is>
          <t>Q6_RELIANCE</t>
        </is>
      </c>
      <c r="B35" s="65" t="inlineStr">
        <is>
          <t>依赖意愿</t>
        </is>
      </c>
      <c r="C35" s="65" t="inlineStr">
        <is>
          <t>EgoAnchor</t>
        </is>
      </c>
      <c r="D35" s="65" t="inlineStr">
        <is>
          <t>固定闭合订书机</t>
        </is>
      </c>
      <c r="E35" s="60" t="n">
        <f>COUNTIFS(ConditionRatings!$H$4:$H$147,$C35,ConditionRatings!$D$4:$D$147,$D35,ConditionRatings!$Q$4:$Q$147,"Yes",ConditionRatings!$X$4:$X$147,"&gt;=1")</f>
        <v>0</v>
      </c>
      <c r="F35" s="107" t="str">
        <f>IF(E35=0,"",SUMIFS(ConditionRatings!$X$4:$X$147,ConditionRatings!$H$4:$H$147,$C35,ConditionRatings!$D$4:$D$147,$D35,ConditionRatings!$Q$4:$Q$147,"Yes")/E35)</f>
      </c>
      <c r="G35" s="108"/>
      <c r="H35" s="108"/>
      <c r="I35" s="108"/>
      <c r="J35" s="60" t="str">
        <f>IF(COUNT(G35:I35)=3,TEXT(G35,"0.00")&amp;" ["&amp;TEXT(H35,"0.00")&amp;", "&amp;TEXT(I35,"0.00")&amp;"]","")</f>
      </c>
      <c r="K35" s="66" t="inlineStr">
        <is>
          <t/>
        </is>
      </c>
    </row>
    <row r="36">
      <c r="A36" s="64" t="inlineStr">
        <is>
          <t>Q6_RELIANCE</t>
        </is>
      </c>
      <c r="B36" s="65" t="inlineStr">
        <is>
          <t>依赖意愿</t>
        </is>
      </c>
      <c r="C36" s="65" t="inlineStr">
        <is>
          <t>EgoAnchor</t>
        </is>
      </c>
      <c r="D36" s="65" t="inlineStr">
        <is>
          <t>游戏手柄</t>
        </is>
      </c>
      <c r="E36" s="60" t="n">
        <f>COUNTIFS(ConditionRatings!$H$4:$H$147,$C36,ConditionRatings!$D$4:$D$147,$D36,ConditionRatings!$Q$4:$Q$147,"Yes",ConditionRatings!$X$4:$X$147,"&gt;=1")</f>
        <v>0</v>
      </c>
      <c r="F36" s="107" t="str">
        <f>IF(E36=0,"",SUMIFS(ConditionRatings!$X$4:$X$147,ConditionRatings!$H$4:$H$147,$C36,ConditionRatings!$D$4:$D$147,$D36,ConditionRatings!$Q$4:$Q$147,"Yes")/E36)</f>
      </c>
      <c r="G36" s="108"/>
      <c r="H36" s="108"/>
      <c r="I36" s="108"/>
      <c r="J36" s="60" t="str">
        <f>IF(COUNT(G36:I36)=3,TEXT(G36,"0.00")&amp;" ["&amp;TEXT(H36,"0.00")&amp;", "&amp;TEXT(I36,"0.00")&amp;"]","")</f>
      </c>
      <c r="K36" s="66" t="inlineStr">
        <is>
          <t/>
        </is>
      </c>
    </row>
    <row r="37">
      <c r="A37" s="64" t="inlineStr">
        <is>
          <t>Q6_RELIANCE</t>
        </is>
      </c>
      <c r="B37" s="65" t="inlineStr">
        <is>
          <t>依赖意愿</t>
        </is>
      </c>
      <c r="C37" s="65" t="inlineStr">
        <is>
          <t>One-Euro</t>
        </is>
      </c>
      <c r="D37" s="65" t="inlineStr">
        <is>
          <t>无线鼠标</t>
        </is>
      </c>
      <c r="E37" s="60" t="n">
        <f>COUNTIFS(ConditionRatings!$H$4:$H$147,$C37,ConditionRatings!$D$4:$D$147,$D37,ConditionRatings!$Q$4:$Q$147,"Yes",ConditionRatings!$X$4:$X$147,"&gt;=1")</f>
        <v>0</v>
      </c>
      <c r="F37" s="107" t="str">
        <f>IF(E37=0,"",SUMIFS(ConditionRatings!$X$4:$X$147,ConditionRatings!$H$4:$H$147,$C37,ConditionRatings!$D$4:$D$147,$D37,ConditionRatings!$Q$4:$Q$147,"Yes")/E37)</f>
      </c>
      <c r="G37" s="108"/>
      <c r="H37" s="108"/>
      <c r="I37" s="108"/>
      <c r="J37" s="60" t="str">
        <f>IF(COUNT(G37:I37)=3,TEXT(G37,"0.00")&amp;" ["&amp;TEXT(H37,"0.00")&amp;", "&amp;TEXT(I37,"0.00")&amp;"]","")</f>
      </c>
      <c r="K37" s="66" t="inlineStr">
        <is>
          <t/>
        </is>
      </c>
    </row>
    <row r="38">
      <c r="A38" s="64" t="inlineStr">
        <is>
          <t>Q6_RELIANCE</t>
        </is>
      </c>
      <c r="B38" s="65" t="inlineStr">
        <is>
          <t>依赖意愿</t>
        </is>
      </c>
      <c r="C38" s="65" t="inlineStr">
        <is>
          <t>One-Euro</t>
        </is>
      </c>
      <c r="D38" s="65" t="inlineStr">
        <is>
          <t>固定闭合订书机</t>
        </is>
      </c>
      <c r="E38" s="60" t="n">
        <f>COUNTIFS(ConditionRatings!$H$4:$H$147,$C38,ConditionRatings!$D$4:$D$147,$D38,ConditionRatings!$Q$4:$Q$147,"Yes",ConditionRatings!$X$4:$X$147,"&gt;=1")</f>
        <v>0</v>
      </c>
      <c r="F38" s="107" t="str">
        <f>IF(E38=0,"",SUMIFS(ConditionRatings!$X$4:$X$147,ConditionRatings!$H$4:$H$147,$C38,ConditionRatings!$D$4:$D$147,$D38,ConditionRatings!$Q$4:$Q$147,"Yes")/E38)</f>
      </c>
      <c r="G38" s="108"/>
      <c r="H38" s="108"/>
      <c r="I38" s="108"/>
      <c r="J38" s="60" t="str">
        <f>IF(COUNT(G38:I38)=3,TEXT(G38,"0.00")&amp;" ["&amp;TEXT(H38,"0.00")&amp;", "&amp;TEXT(I38,"0.00")&amp;"]","")</f>
      </c>
      <c r="K38" s="66" t="inlineStr">
        <is>
          <t/>
        </is>
      </c>
    </row>
    <row r="39">
      <c r="A39" s="64" t="inlineStr">
        <is>
          <t>Q6_RELIANCE</t>
        </is>
      </c>
      <c r="B39" s="65" t="inlineStr">
        <is>
          <t>依赖意愿</t>
        </is>
      </c>
      <c r="C39" s="65" t="inlineStr">
        <is>
          <t>One-Euro</t>
        </is>
      </c>
      <c r="D39" s="65" t="inlineStr">
        <is>
          <t>游戏手柄</t>
        </is>
      </c>
      <c r="E39" s="60" t="n">
        <f>COUNTIFS(ConditionRatings!$H$4:$H$147,$C39,ConditionRatings!$D$4:$D$147,$D39,ConditionRatings!$Q$4:$Q$147,"Yes",ConditionRatings!$X$4:$X$147,"&gt;=1")</f>
        <v>0</v>
      </c>
      <c r="F39" s="107" t="str">
        <f>IF(E39=0,"",SUMIFS(ConditionRatings!$X$4:$X$147,ConditionRatings!$H$4:$H$147,$C39,ConditionRatings!$D$4:$D$147,$D39,ConditionRatings!$Q$4:$Q$147,"Yes")/E39)</f>
      </c>
      <c r="G39" s="108"/>
      <c r="H39" s="108"/>
      <c r="I39" s="108"/>
      <c r="J39" s="60" t="str">
        <f>IF(COUNT(G39:I39)=3,TEXT(G39,"0.00")&amp;" ["&amp;TEXT(H39,"0.00")&amp;", "&amp;TEXT(I39,"0.00")&amp;"]","")</f>
      </c>
      <c r="K39" s="66" t="inlineStr">
        <is>
          <t/>
        </is>
      </c>
    </row>
    <row r="40">
      <c r="A40" s="64" t="inlineStr">
        <is>
          <t>Q7_STABILITY_RESPONSE_BALANCE</t>
        </is>
      </c>
      <c r="B40" s="65" t="inlineStr">
        <is>
          <t>稳定性–响应性平衡</t>
        </is>
      </c>
      <c r="C40" s="65" t="inlineStr">
        <is>
          <t>EgoAnchor</t>
        </is>
      </c>
      <c r="D40" s="65" t="inlineStr">
        <is>
          <t>无线鼠标</t>
        </is>
      </c>
      <c r="E40" s="60" t="n">
        <f>COUNTIFS(ConditionRatings!$H$4:$H$147,$C40,ConditionRatings!$D$4:$D$147,$D40,ConditionRatings!$Q$4:$Q$147,"Yes",ConditionRatings!$Y$4:$Y$147,"&gt;=1")</f>
        <v>0</v>
      </c>
      <c r="F40" s="107" t="str">
        <f>IF(E40=0,"",SUMIFS(ConditionRatings!$Y$4:$Y$147,ConditionRatings!$H$4:$H$147,$C40,ConditionRatings!$D$4:$D$147,$D40,ConditionRatings!$Q$4:$Q$147,"Yes")/E40)</f>
      </c>
      <c r="G40" s="108"/>
      <c r="H40" s="108"/>
      <c r="I40" s="108"/>
      <c r="J40" s="60" t="str">
        <f>IF(COUNT(G40:I40)=3,TEXT(G40,"0.00")&amp;" ["&amp;TEXT(H40,"0.00")&amp;", "&amp;TEXT(I40,"0.00")&amp;"]","")</f>
      </c>
      <c r="K40" s="66" t="inlineStr">
        <is>
          <t/>
        </is>
      </c>
    </row>
    <row r="41">
      <c r="A41" s="64" t="inlineStr">
        <is>
          <t>Q7_STABILITY_RESPONSE_BALANCE</t>
        </is>
      </c>
      <c r="B41" s="65" t="inlineStr">
        <is>
          <t>稳定性–响应性平衡</t>
        </is>
      </c>
      <c r="C41" s="65" t="inlineStr">
        <is>
          <t>EgoAnchor</t>
        </is>
      </c>
      <c r="D41" s="65" t="inlineStr">
        <is>
          <t>固定闭合订书机</t>
        </is>
      </c>
      <c r="E41" s="60" t="n">
        <f>COUNTIFS(ConditionRatings!$H$4:$H$147,$C41,ConditionRatings!$D$4:$D$147,$D41,ConditionRatings!$Q$4:$Q$147,"Yes",ConditionRatings!$Y$4:$Y$147,"&gt;=1")</f>
        <v>0</v>
      </c>
      <c r="F41" s="107" t="str">
        <f>IF(E41=0,"",SUMIFS(ConditionRatings!$Y$4:$Y$147,ConditionRatings!$H$4:$H$147,$C41,ConditionRatings!$D$4:$D$147,$D41,ConditionRatings!$Q$4:$Q$147,"Yes")/E41)</f>
      </c>
      <c r="G41" s="108"/>
      <c r="H41" s="108"/>
      <c r="I41" s="108"/>
      <c r="J41" s="60" t="str">
        <f>IF(COUNT(G41:I41)=3,TEXT(G41,"0.00")&amp;" ["&amp;TEXT(H41,"0.00")&amp;", "&amp;TEXT(I41,"0.00")&amp;"]","")</f>
      </c>
      <c r="K41" s="66" t="inlineStr">
        <is>
          <t/>
        </is>
      </c>
    </row>
    <row r="42">
      <c r="A42" s="64" t="inlineStr">
        <is>
          <t>Q7_STABILITY_RESPONSE_BALANCE</t>
        </is>
      </c>
      <c r="B42" s="65" t="inlineStr">
        <is>
          <t>稳定性–响应性平衡</t>
        </is>
      </c>
      <c r="C42" s="65" t="inlineStr">
        <is>
          <t>EgoAnchor</t>
        </is>
      </c>
      <c r="D42" s="65" t="inlineStr">
        <is>
          <t>游戏手柄</t>
        </is>
      </c>
      <c r="E42" s="60" t="n">
        <f>COUNTIFS(ConditionRatings!$H$4:$H$147,$C42,ConditionRatings!$D$4:$D$147,$D42,ConditionRatings!$Q$4:$Q$147,"Yes",ConditionRatings!$Y$4:$Y$147,"&gt;=1")</f>
        <v>0</v>
      </c>
      <c r="F42" s="107" t="str">
        <f>IF(E42=0,"",SUMIFS(ConditionRatings!$Y$4:$Y$147,ConditionRatings!$H$4:$H$147,$C42,ConditionRatings!$D$4:$D$147,$D42,ConditionRatings!$Q$4:$Q$147,"Yes")/E42)</f>
      </c>
      <c r="G42" s="108"/>
      <c r="H42" s="108"/>
      <c r="I42" s="108"/>
      <c r="J42" s="60" t="str">
        <f>IF(COUNT(G42:I42)=3,TEXT(G42,"0.00")&amp;" ["&amp;TEXT(H42,"0.00")&amp;", "&amp;TEXT(I42,"0.00")&amp;"]","")</f>
      </c>
      <c r="K42" s="66" t="inlineStr">
        <is>
          <t/>
        </is>
      </c>
    </row>
    <row r="43">
      <c r="A43" s="64" t="inlineStr">
        <is>
          <t>Q7_STABILITY_RESPONSE_BALANCE</t>
        </is>
      </c>
      <c r="B43" s="65" t="inlineStr">
        <is>
          <t>稳定性–响应性平衡</t>
        </is>
      </c>
      <c r="C43" s="65" t="inlineStr">
        <is>
          <t>One-Euro</t>
        </is>
      </c>
      <c r="D43" s="65" t="inlineStr">
        <is>
          <t>无线鼠标</t>
        </is>
      </c>
      <c r="E43" s="60" t="n">
        <f>COUNTIFS(ConditionRatings!$H$4:$H$147,$C43,ConditionRatings!$D$4:$D$147,$D43,ConditionRatings!$Q$4:$Q$147,"Yes",ConditionRatings!$Y$4:$Y$147,"&gt;=1")</f>
        <v>0</v>
      </c>
      <c r="F43" s="107" t="str">
        <f>IF(E43=0,"",SUMIFS(ConditionRatings!$Y$4:$Y$147,ConditionRatings!$H$4:$H$147,$C43,ConditionRatings!$D$4:$D$147,$D43,ConditionRatings!$Q$4:$Q$147,"Yes")/E43)</f>
      </c>
      <c r="G43" s="108"/>
      <c r="H43" s="108"/>
      <c r="I43" s="108"/>
      <c r="J43" s="60" t="str">
        <f>IF(COUNT(G43:I43)=3,TEXT(G43,"0.00")&amp;" ["&amp;TEXT(H43,"0.00")&amp;", "&amp;TEXT(I43,"0.00")&amp;"]","")</f>
      </c>
      <c r="K43" s="66" t="inlineStr">
        <is>
          <t/>
        </is>
      </c>
    </row>
    <row r="44">
      <c r="A44" s="64" t="inlineStr">
        <is>
          <t>Q7_STABILITY_RESPONSE_BALANCE</t>
        </is>
      </c>
      <c r="B44" s="65" t="inlineStr">
        <is>
          <t>稳定性–响应性平衡</t>
        </is>
      </c>
      <c r="C44" s="65" t="inlineStr">
        <is>
          <t>One-Euro</t>
        </is>
      </c>
      <c r="D44" s="65" t="inlineStr">
        <is>
          <t>固定闭合订书机</t>
        </is>
      </c>
      <c r="E44" s="60" t="n">
        <f>COUNTIFS(ConditionRatings!$H$4:$H$147,$C44,ConditionRatings!$D$4:$D$147,$D44,ConditionRatings!$Q$4:$Q$147,"Yes",ConditionRatings!$Y$4:$Y$147,"&gt;=1")</f>
        <v>0</v>
      </c>
      <c r="F44" s="107" t="str">
        <f>IF(E44=0,"",SUMIFS(ConditionRatings!$Y$4:$Y$147,ConditionRatings!$H$4:$H$147,$C44,ConditionRatings!$D$4:$D$147,$D44,ConditionRatings!$Q$4:$Q$147,"Yes")/E44)</f>
      </c>
      <c r="G44" s="108"/>
      <c r="H44" s="108"/>
      <c r="I44" s="108"/>
      <c r="J44" s="60" t="str">
        <f>IF(COUNT(G44:I44)=3,TEXT(G44,"0.00")&amp;" ["&amp;TEXT(H44,"0.00")&amp;", "&amp;TEXT(I44,"0.00")&amp;"]","")</f>
      </c>
      <c r="K44" s="66" t="inlineStr">
        <is>
          <t/>
        </is>
      </c>
    </row>
    <row r="45">
      <c r="A45" s="67" t="inlineStr">
        <is>
          <t>Q7_STABILITY_RESPONSE_BALANCE</t>
        </is>
      </c>
      <c r="B45" s="68" t="inlineStr">
        <is>
          <t>稳定性–响应性平衡</t>
        </is>
      </c>
      <c r="C45" s="68" t="inlineStr">
        <is>
          <t>One-Euro</t>
        </is>
      </c>
      <c r="D45" s="68" t="inlineStr">
        <is>
          <t>游戏手柄</t>
        </is>
      </c>
      <c r="E45" s="78" t="n">
        <f>COUNTIFS(ConditionRatings!$H$4:$H$147,$C45,ConditionRatings!$D$4:$D$147,$D45,ConditionRatings!$Q$4:$Q$147,"Yes",ConditionRatings!$Y$4:$Y$147,"&gt;=1")</f>
        <v>0</v>
      </c>
      <c r="F45" s="111" t="str">
        <f>IF(E45=0,"",SUMIFS(ConditionRatings!$Y$4:$Y$147,ConditionRatings!$H$4:$H$147,$C45,ConditionRatings!$D$4:$D$147,$D45,ConditionRatings!$Q$4:$Q$147,"Yes")/E45)</f>
      </c>
      <c r="G45" s="112"/>
      <c r="H45" s="112"/>
      <c r="I45" s="112"/>
      <c r="J45" s="78" t="str">
        <f>IF(COUNT(G45:I45)=3,TEXT(G45,"0.00")&amp;" ["&amp;TEXT(H45,"0.00")&amp;", "&amp;TEXT(I45,"0.00")&amp;"]","")</f>
      </c>
      <c r="K45" s="69" t="inlineStr">
        <is>
          <t/>
        </is>
      </c>
    </row>
    <row r="49">
      <c r="A49" s="28" t="inlineStr">
        <is>
          <t>Item_ID</t>
        </is>
      </c>
      <c r="B49" s="29" t="inlineStr">
        <is>
          <t>Construct</t>
        </is>
      </c>
      <c r="C49" s="29" t="inlineStr">
        <is>
          <t>Method</t>
        </is>
      </c>
      <c r="D49" s="29" t="inlineStr">
        <is>
          <t>N</t>
        </is>
      </c>
      <c r="E49" s="29" t="inlineStr">
        <is>
          <t>Mean_Monitoring</t>
        </is>
      </c>
      <c r="F49" s="29" t="inlineStr">
        <is>
          <t>Median_R</t>
        </is>
      </c>
      <c r="G49" s="29" t="inlineStr">
        <is>
          <t>IQR_R</t>
        </is>
      </c>
      <c r="H49" s="30" t="inlineStr">
        <is>
          <t>Use</t>
        </is>
      </c>
    </row>
    <row r="50">
      <c r="A50" s="64" t="inlineStr">
        <is>
          <t>Q1_STATIC_STABILITY</t>
        </is>
      </c>
      <c r="B50" s="65" t="inlineStr">
        <is>
          <t>静止稳定性</t>
        </is>
      </c>
      <c r="C50" s="65" t="inlineStr">
        <is>
          <t>EgoAnchor</t>
        </is>
      </c>
      <c r="D50" s="60" t="n">
        <f>COUNTIFS(ConditionRatings!$H$4:$H$147,$C50,ConditionRatings!$Q$4:$Q$147,"Yes",ConditionRatings!$S$4:$S$147,"&gt;=1")</f>
        <v>0</v>
      </c>
      <c r="E50" s="60" t="str">
        <f>IF(D50=0,"",SUMIFS(ConditionRatings!$S$4:$S$147,ConditionRatings!$H$4:$H$147,$C50,ConditionRatings!$Q$4:$Q$147,"Yes")/D50)</f>
      </c>
      <c r="F50" s="55"/>
      <c r="G50" s="55"/>
      <c r="H50" s="66" t="inlineStr">
        <is>
          <t>跨物体描述；不跨条目合并</t>
        </is>
      </c>
    </row>
    <row r="51">
      <c r="A51" s="64" t="inlineStr">
        <is>
          <t>Q1_STATIC_STABILITY</t>
        </is>
      </c>
      <c r="B51" s="65" t="inlineStr">
        <is>
          <t>静止稳定性</t>
        </is>
      </c>
      <c r="C51" s="65" t="inlineStr">
        <is>
          <t>One-Euro</t>
        </is>
      </c>
      <c r="D51" s="60" t="n">
        <f>COUNTIFS(ConditionRatings!$H$4:$H$147,$C51,ConditionRatings!$Q$4:$Q$147,"Yes",ConditionRatings!$S$4:$S$147,"&gt;=1")</f>
        <v>0</v>
      </c>
      <c r="E51" s="60" t="str">
        <f>IF(D51=0,"",SUMIFS(ConditionRatings!$S$4:$S$147,ConditionRatings!$H$4:$H$147,$C51,ConditionRatings!$Q$4:$Q$147,"Yes")/D51)</f>
      </c>
      <c r="F51" s="55"/>
      <c r="G51" s="55"/>
      <c r="H51" s="66" t="inlineStr">
        <is>
          <t>跨物体描述；不跨条目合并</t>
        </is>
      </c>
    </row>
    <row r="52">
      <c r="A52" s="64" t="inlineStr">
        <is>
          <t>Q2_MOTION_ATTACHMENT</t>
        </is>
      </c>
      <c r="B52" s="65" t="inlineStr">
        <is>
          <t>运动附着感</t>
        </is>
      </c>
      <c r="C52" s="65" t="inlineStr">
        <is>
          <t>EgoAnchor</t>
        </is>
      </c>
      <c r="D52" s="60" t="n">
        <f>COUNTIFS(ConditionRatings!$H$4:$H$147,$C52,ConditionRatings!$Q$4:$Q$147,"Yes",ConditionRatings!$T$4:$T$147,"&gt;=1")</f>
        <v>0</v>
      </c>
      <c r="E52" s="60" t="str">
        <f>IF(D52=0,"",SUMIFS(ConditionRatings!$T$4:$T$147,ConditionRatings!$H$4:$H$147,$C52,ConditionRatings!$Q$4:$Q$147,"Yes")/D52)</f>
      </c>
      <c r="F52" s="55"/>
      <c r="G52" s="55"/>
      <c r="H52" s="66" t="inlineStr">
        <is>
          <t>跨物体描述；不跨条目合并</t>
        </is>
      </c>
    </row>
    <row r="53">
      <c r="A53" s="64" t="inlineStr">
        <is>
          <t>Q2_MOTION_ATTACHMENT</t>
        </is>
      </c>
      <c r="B53" s="65" t="inlineStr">
        <is>
          <t>运动附着感</t>
        </is>
      </c>
      <c r="C53" s="65" t="inlineStr">
        <is>
          <t>One-Euro</t>
        </is>
      </c>
      <c r="D53" s="60" t="n">
        <f>COUNTIFS(ConditionRatings!$H$4:$H$147,$C53,ConditionRatings!$Q$4:$Q$147,"Yes",ConditionRatings!$T$4:$T$147,"&gt;=1")</f>
        <v>0</v>
      </c>
      <c r="E53" s="60" t="str">
        <f>IF(D53=0,"",SUMIFS(ConditionRatings!$T$4:$T$147,ConditionRatings!$H$4:$H$147,$C53,ConditionRatings!$Q$4:$Q$147,"Yes")/D53)</f>
      </c>
      <c r="F53" s="55"/>
      <c r="G53" s="55"/>
      <c r="H53" s="66" t="inlineStr">
        <is>
          <t>跨物体描述；不跨条目合并</t>
        </is>
      </c>
    </row>
    <row r="54">
      <c r="A54" s="64" t="inlineStr">
        <is>
          <t>Q3_RECOVERY_CONSISTENCY</t>
        </is>
      </c>
      <c r="B54" s="65" t="inlineStr">
        <is>
          <t>遮挡恢复一致性</t>
        </is>
      </c>
      <c r="C54" s="65" t="inlineStr">
        <is>
          <t>EgoAnchor</t>
        </is>
      </c>
      <c r="D54" s="60" t="n">
        <f>COUNTIFS(ConditionRatings!$H$4:$H$147,$C54,ConditionRatings!$Q$4:$Q$147,"Yes",ConditionRatings!$U$4:$U$147,"&gt;=1")</f>
        <v>0</v>
      </c>
      <c r="E54" s="60" t="str">
        <f>IF(D54=0,"",SUMIFS(ConditionRatings!$U$4:$U$147,ConditionRatings!$H$4:$H$147,$C54,ConditionRatings!$Q$4:$Q$147,"Yes")/D54)</f>
      </c>
      <c r="F54" s="55"/>
      <c r="G54" s="55"/>
      <c r="H54" s="66" t="inlineStr">
        <is>
          <t>跨物体描述；不跨条目合并</t>
        </is>
      </c>
    </row>
    <row r="55">
      <c r="A55" s="64" t="inlineStr">
        <is>
          <t>Q3_RECOVERY_CONSISTENCY</t>
        </is>
      </c>
      <c r="B55" s="65" t="inlineStr">
        <is>
          <t>遮挡恢复一致性</t>
        </is>
      </c>
      <c r="C55" s="65" t="inlineStr">
        <is>
          <t>One-Euro</t>
        </is>
      </c>
      <c r="D55" s="60" t="n">
        <f>COUNTIFS(ConditionRatings!$H$4:$H$147,$C55,ConditionRatings!$Q$4:$Q$147,"Yes",ConditionRatings!$U$4:$U$147,"&gt;=1")</f>
        <v>0</v>
      </c>
      <c r="E55" s="60" t="str">
        <f>IF(D55=0,"",SUMIFS(ConditionRatings!$U$4:$U$147,ConditionRatings!$H$4:$H$147,$C55,ConditionRatings!$Q$4:$Q$147,"Yes")/D55)</f>
      </c>
      <c r="F55" s="55"/>
      <c r="G55" s="55"/>
      <c r="H55" s="66" t="inlineStr">
        <is>
          <t>跨物体描述；不跨条目合并</t>
        </is>
      </c>
    </row>
    <row r="56">
      <c r="A56" s="64" t="inlineStr">
        <is>
          <t>Q4_PLAUSIBILITY</t>
        </is>
      </c>
      <c r="B56" s="65" t="inlineStr">
        <is>
          <t>合理可信度</t>
        </is>
      </c>
      <c r="C56" s="65" t="inlineStr">
        <is>
          <t>EgoAnchor</t>
        </is>
      </c>
      <c r="D56" s="60" t="n">
        <f>COUNTIFS(ConditionRatings!$H$4:$H$147,$C56,ConditionRatings!$Q$4:$Q$147,"Yes",ConditionRatings!$V$4:$V$147,"&gt;=1")</f>
        <v>0</v>
      </c>
      <c r="E56" s="60" t="str">
        <f>IF(D56=0,"",SUMIFS(ConditionRatings!$V$4:$V$147,ConditionRatings!$H$4:$H$147,$C56,ConditionRatings!$Q$4:$Q$147,"Yes")/D56)</f>
      </c>
      <c r="F56" s="55"/>
      <c r="G56" s="55"/>
      <c r="H56" s="66" t="inlineStr">
        <is>
          <t>跨物体描述；不跨条目合并</t>
        </is>
      </c>
    </row>
    <row r="57">
      <c r="A57" s="64" t="inlineStr">
        <is>
          <t>Q4_PLAUSIBILITY</t>
        </is>
      </c>
      <c r="B57" s="65" t="inlineStr">
        <is>
          <t>合理可信度</t>
        </is>
      </c>
      <c r="C57" s="65" t="inlineStr">
        <is>
          <t>One-Euro</t>
        </is>
      </c>
      <c r="D57" s="60" t="n">
        <f>COUNTIFS(ConditionRatings!$H$4:$H$147,$C57,ConditionRatings!$Q$4:$Q$147,"Yes",ConditionRatings!$V$4:$V$147,"&gt;=1")</f>
        <v>0</v>
      </c>
      <c r="E57" s="60" t="str">
        <f>IF(D57=0,"",SUMIFS(ConditionRatings!$V$4:$V$147,ConditionRatings!$H$4:$H$147,$C57,ConditionRatings!$Q$4:$Q$147,"Yes")/D57)</f>
      </c>
      <c r="F57" s="55"/>
      <c r="G57" s="55"/>
      <c r="H57" s="66" t="inlineStr">
        <is>
          <t>跨物体描述；不跨条目合并</t>
        </is>
      </c>
    </row>
    <row r="58">
      <c r="A58" s="64" t="inlineStr">
        <is>
          <t>Q5_SYNCHRONY</t>
        </is>
      </c>
      <c r="B58" s="65" t="inlineStr">
        <is>
          <t>虚实同步性</t>
        </is>
      </c>
      <c r="C58" s="65" t="inlineStr">
        <is>
          <t>EgoAnchor</t>
        </is>
      </c>
      <c r="D58" s="60" t="n">
        <f>COUNTIFS(ConditionRatings!$H$4:$H$147,$C58,ConditionRatings!$Q$4:$Q$147,"Yes",ConditionRatings!$W$4:$W$147,"&gt;=1")</f>
        <v>0</v>
      </c>
      <c r="E58" s="60" t="str">
        <f>IF(D58=0,"",SUMIFS(ConditionRatings!$W$4:$W$147,ConditionRatings!$H$4:$H$147,$C58,ConditionRatings!$Q$4:$Q$147,"Yes")/D58)</f>
      </c>
      <c r="F58" s="55"/>
      <c r="G58" s="55"/>
      <c r="H58" s="66" t="inlineStr">
        <is>
          <t>跨物体描述；不跨条目合并</t>
        </is>
      </c>
    </row>
    <row r="59">
      <c r="A59" s="64" t="inlineStr">
        <is>
          <t>Q5_SYNCHRONY</t>
        </is>
      </c>
      <c r="B59" s="65" t="inlineStr">
        <is>
          <t>虚实同步性</t>
        </is>
      </c>
      <c r="C59" s="65" t="inlineStr">
        <is>
          <t>One-Euro</t>
        </is>
      </c>
      <c r="D59" s="60" t="n">
        <f>COUNTIFS(ConditionRatings!$H$4:$H$147,$C59,ConditionRatings!$Q$4:$Q$147,"Yes",ConditionRatings!$W$4:$W$147,"&gt;=1")</f>
        <v>0</v>
      </c>
      <c r="E59" s="60" t="str">
        <f>IF(D59=0,"",SUMIFS(ConditionRatings!$W$4:$W$147,ConditionRatings!$H$4:$H$147,$C59,ConditionRatings!$Q$4:$Q$147,"Yes")/D59)</f>
      </c>
      <c r="F59" s="55"/>
      <c r="G59" s="55"/>
      <c r="H59" s="66" t="inlineStr">
        <is>
          <t>跨物体描述；不跨条目合并</t>
        </is>
      </c>
    </row>
    <row r="60">
      <c r="A60" s="64" t="inlineStr">
        <is>
          <t>Q6_RELIANCE</t>
        </is>
      </c>
      <c r="B60" s="65" t="inlineStr">
        <is>
          <t>依赖意愿</t>
        </is>
      </c>
      <c r="C60" s="65" t="inlineStr">
        <is>
          <t>EgoAnchor</t>
        </is>
      </c>
      <c r="D60" s="60" t="n">
        <f>COUNTIFS(ConditionRatings!$H$4:$H$147,$C60,ConditionRatings!$Q$4:$Q$147,"Yes",ConditionRatings!$X$4:$X$147,"&gt;=1")</f>
        <v>0</v>
      </c>
      <c r="E60" s="60" t="str">
        <f>IF(D60=0,"",SUMIFS(ConditionRatings!$X$4:$X$147,ConditionRatings!$H$4:$H$147,$C60,ConditionRatings!$Q$4:$Q$147,"Yes")/D60)</f>
      </c>
      <c r="F60" s="55"/>
      <c r="G60" s="55"/>
      <c r="H60" s="66" t="inlineStr">
        <is>
          <t>跨物体描述；不跨条目合并</t>
        </is>
      </c>
    </row>
    <row r="61">
      <c r="A61" s="64" t="inlineStr">
        <is>
          <t>Q6_RELIANCE</t>
        </is>
      </c>
      <c r="B61" s="65" t="inlineStr">
        <is>
          <t>依赖意愿</t>
        </is>
      </c>
      <c r="C61" s="65" t="inlineStr">
        <is>
          <t>One-Euro</t>
        </is>
      </c>
      <c r="D61" s="60" t="n">
        <f>COUNTIFS(ConditionRatings!$H$4:$H$147,$C61,ConditionRatings!$Q$4:$Q$147,"Yes",ConditionRatings!$X$4:$X$147,"&gt;=1")</f>
        <v>0</v>
      </c>
      <c r="E61" s="60" t="str">
        <f>IF(D61=0,"",SUMIFS(ConditionRatings!$X$4:$X$147,ConditionRatings!$H$4:$H$147,$C61,ConditionRatings!$Q$4:$Q$147,"Yes")/D61)</f>
      </c>
      <c r="F61" s="55"/>
      <c r="G61" s="55"/>
      <c r="H61" s="66" t="inlineStr">
        <is>
          <t>跨物体描述；不跨条目合并</t>
        </is>
      </c>
    </row>
    <row r="62">
      <c r="A62" s="64" t="inlineStr">
        <is>
          <t>Q7_STABILITY_RESPONSE_BALANCE</t>
        </is>
      </c>
      <c r="B62" s="65" t="inlineStr">
        <is>
          <t>稳定性–响应性平衡</t>
        </is>
      </c>
      <c r="C62" s="65" t="inlineStr">
        <is>
          <t>EgoAnchor</t>
        </is>
      </c>
      <c r="D62" s="60" t="n">
        <f>COUNTIFS(ConditionRatings!$H$4:$H$147,$C62,ConditionRatings!$Q$4:$Q$147,"Yes",ConditionRatings!$Y$4:$Y$147,"&gt;=1")</f>
        <v>0</v>
      </c>
      <c r="E62" s="60" t="str">
        <f>IF(D62=0,"",SUMIFS(ConditionRatings!$Y$4:$Y$147,ConditionRatings!$H$4:$H$147,$C62,ConditionRatings!$Q$4:$Q$147,"Yes")/D62)</f>
      </c>
      <c r="F62" s="55"/>
      <c r="G62" s="55"/>
      <c r="H62" s="66" t="inlineStr">
        <is>
          <t>跨物体描述；不跨条目合并</t>
        </is>
      </c>
    </row>
    <row r="63">
      <c r="A63" s="67" t="inlineStr">
        <is>
          <t>Q7_STABILITY_RESPONSE_BALANCE</t>
        </is>
      </c>
      <c r="B63" s="68" t="inlineStr">
        <is>
          <t>稳定性–响应性平衡</t>
        </is>
      </c>
      <c r="C63" s="68" t="inlineStr">
        <is>
          <t>One-Euro</t>
        </is>
      </c>
      <c r="D63" s="78" t="n">
        <f>COUNTIFS(ConditionRatings!$H$4:$H$147,$C63,ConditionRatings!$Q$4:$Q$147,"Yes",ConditionRatings!$Y$4:$Y$147,"&gt;=1")</f>
        <v>0</v>
      </c>
      <c r="E63" s="78" t="str">
        <f>IF(D63=0,"",SUMIFS(ConditionRatings!$Y$4:$Y$147,ConditionRatings!$H$4:$H$147,$C63,ConditionRatings!$Q$4:$Q$147,"Yes")/D63)</f>
      </c>
      <c r="F63" s="79"/>
      <c r="G63" s="79"/>
      <c r="H63" s="69" t="inlineStr">
        <is>
          <t>跨物体描述；不跨条目合并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FormatPr defaultRowHeight="15"/>
  <cols>
    <col min="1" max="1" width="20" hidden="0" customWidth="1"/>
    <col min="2" max="2" width="34" hidden="0" customWidth="1"/>
    <col min="3" max="3" width="55" hidden="0" customWidth="1"/>
    <col min="4" max="4" width="36" hidden="0" customWidth="1"/>
    <col min="5" max="5" width="48" hidden="0" customWidth="1"/>
    <col min="6" max="6" width="26" hidden="0" customWidth="1"/>
  </cols>
  <sheetData>
    <row r="1">
      <c r="A1" s="4" t="inlineStr">
        <is>
          <t>冻结统计分析计划</t>
        </is>
      </c>
      <c r="B1" s="4"/>
      <c r="C1" s="4"/>
      <c r="D1" s="4"/>
      <c r="E1" s="4"/>
      <c r="F1" s="4"/>
    </row>
    <row r="3">
      <c r="A3" s="28" t="inlineStr">
        <is>
          <t>主题</t>
        </is>
      </c>
      <c r="B3" s="29" t="inlineStr">
        <is>
          <t>冻结规则</t>
        </is>
      </c>
      <c r="C3" s="29" t="inlineStr">
        <is>
          <t>具体实施</t>
        </is>
      </c>
      <c r="D3" s="29" t="inlineStr">
        <is>
          <t>报告内容</t>
        </is>
      </c>
      <c r="E3" s="29" t="inlineStr">
        <is>
          <t>不得进行</t>
        </is>
      </c>
      <c r="F3" s="30" t="inlineStr">
        <is>
          <t>备注</t>
        </is>
      </c>
    </row>
    <row r="4">
      <c r="A4" s="31" t="inlineStr">
        <is>
          <t>统计单位</t>
        </is>
      </c>
      <c r="B4" s="26" t="inlineStr">
        <is>
          <t>参与者为推断单位；每个条目独立</t>
        </is>
      </c>
      <c r="C4" s="26" t="inlineStr">
        <is>
          <t>每人 6 个条件评分/条目</t>
        </is>
      </c>
      <c r="D4" s="26" t="inlineStr">
        <is>
          <t>条件与对象描述统计</t>
        </is>
      </c>
      <c r="E4" s="26" t="inlineStr">
        <is>
          <t>不得把 1008 个评分当独立样本</t>
        </is>
      </c>
      <c r="F4" s="32" t="inlineStr">
        <is>
          <t/>
        </is>
      </c>
    </row>
    <row r="5">
      <c r="A5" s="31" t="inlineStr">
        <is>
          <t>主模型</t>
        </is>
      </c>
      <c r="B5" s="26" t="inlineStr">
        <is>
          <t>累积链接混合模型（CLMM）</t>
        </is>
      </c>
      <c r="C5" s="26" t="inlineStr">
        <is>
          <t>Rating ~ Method * Object + WithinObject_Period + Object_Block_Position + (1 | Participant_ID)</t>
        </is>
      </c>
      <c r="D5" s="26" t="inlineStr">
        <is>
          <t>Method OR、95% CI、p；Method×Object 交互</t>
        </is>
      </c>
      <c r="E5" s="26" t="inlineStr">
        <is>
          <t>不得使用帧级或普通独立样本检验</t>
        </is>
      </c>
      <c r="F5" s="32" t="inlineStr">
        <is>
          <t>Rating 为 ordered 1–7</t>
        </is>
      </c>
    </row>
    <row r="6">
      <c r="A6" s="31" t="inlineStr">
        <is>
          <t>因子编码</t>
        </is>
      </c>
      <c r="B6" s="26" t="inlineStr">
        <is>
          <t>One-Euro 为 Method 参考；Mouse 为 Object 参考</t>
        </is>
      </c>
      <c r="C6" s="26" t="inlineStr">
        <is>
          <t>Method、Object、Period、BlockPosition 均设为因子</t>
        </is>
      </c>
      <c r="D6" s="26" t="inlineStr">
        <is>
          <t>OR&gt;1 表示 EgoAnchor 更可能得到更高评分</t>
        </is>
      </c>
      <c r="E6" s="26" t="inlineStr">
        <is>
          <t>不得在看到结果后改变参考与方向</t>
        </is>
      </c>
      <c r="F6" s="32" t="inlineStr">
        <is>
          <t/>
        </is>
      </c>
    </row>
    <row r="7">
      <c r="A7" s="31" t="inlineStr">
        <is>
          <t>七个结局</t>
        </is>
      </c>
      <c r="B7" s="26" t="inlineStr">
        <is>
          <t>Q1–Q7 逐项分析</t>
        </is>
      </c>
      <c r="C7" s="26" t="inlineStr">
        <is>
          <t>为每个条目拟合一套模型</t>
        </is>
      </c>
      <c r="D7" s="26" t="inlineStr">
        <is>
          <t>七行结果</t>
        </is>
      </c>
      <c r="E7" s="26" t="inlineStr">
        <is>
          <t>不得构造总体锚定质量分数</t>
        </is>
      </c>
      <c r="F7" s="32" t="inlineStr">
        <is>
          <t/>
        </is>
      </c>
    </row>
    <row r="8">
      <c r="A8" s="31" t="inlineStr">
        <is>
          <t>多重比较</t>
        </is>
      </c>
      <c r="B8" s="26" t="inlineStr">
        <is>
          <t>Method 主效应的七个检验采用 Holm 校正</t>
        </is>
      </c>
      <c r="C8" s="26" t="inlineStr">
        <is>
          <t>保存原始 p 与 Holm-adjusted p</t>
        </is>
      </c>
      <c r="D8" s="26" t="inlineStr">
        <is>
          <t>正文报告调整后 p</t>
        </is>
      </c>
      <c r="E8" s="26" t="inlineStr">
        <is>
          <t>不得挑选未校正显著结果</t>
        </is>
      </c>
      <c r="F8" s="32" t="inlineStr">
        <is>
          <t/>
        </is>
      </c>
    </row>
    <row r="9">
      <c r="A9" s="31" t="inlineStr">
        <is>
          <t>交互</t>
        </is>
      </c>
      <c r="B9" s="26" t="inlineStr">
        <is>
          <t>Method×Object 作为跨对象一致性检验</t>
        </is>
      </c>
      <c r="C9" s="26" t="inlineStr">
        <is>
          <t>先报告整体交互；仅在预设或交互需要解释时进行对象内方法对比</t>
        </is>
      </c>
      <c r="D9" s="26" t="inlineStr">
        <is>
          <t>交互 p 与对象内 OR/CI</t>
        </is>
      </c>
      <c r="E9" s="26" t="inlineStr">
        <is>
          <t>不得把不显著交互解释为证明完全相同</t>
        </is>
      </c>
      <c r="F9" s="32" t="inlineStr">
        <is>
          <t/>
        </is>
      </c>
    </row>
    <row r="10">
      <c r="A10" s="31" t="inlineStr">
        <is>
          <t>对象内对比</t>
        </is>
      </c>
      <c r="B10" s="26" t="inlineStr">
        <is>
          <t>同一条目内三个对象对比使用 Holm 校正</t>
        </is>
      </c>
      <c r="C10" s="26" t="inlineStr">
        <is>
          <t>emmeans: Method | Object</t>
        </is>
      </c>
      <c r="D10" s="26" t="inlineStr">
        <is>
          <t>每个对象的 OR、CI、调整 p</t>
        </is>
      </c>
      <c r="E10" s="26" t="inlineStr">
        <is>
          <t>不得跨条目合并校正后再选择</t>
        </is>
      </c>
      <c r="F10" s="32" t="inlineStr">
        <is>
          <t/>
        </is>
      </c>
    </row>
    <row r="11">
      <c r="A11" s="31" t="inlineStr">
        <is>
          <t>顺序控制</t>
        </is>
      </c>
      <c r="B11" s="26" t="inlineStr">
        <is>
          <t>固定包含 WithinObject_Period 与 Object_Block_Position</t>
        </is>
      </c>
      <c r="C11" s="26" t="inlineStr">
        <is>
          <t>检查 Method_Sequence 作为敏感性协变量</t>
        </is>
      </c>
      <c r="D11" s="26" t="inlineStr">
        <is>
          <t>顺序效应描述</t>
        </is>
      </c>
      <c r="E11" s="26" t="inlineStr">
        <is>
          <t>不得忽略对象外层执行带来的周期效应</t>
        </is>
      </c>
      <c r="F11" s="32" t="inlineStr">
        <is>
          <t/>
        </is>
      </c>
    </row>
    <row r="12">
      <c r="A12" s="31" t="inlineStr">
        <is>
          <t>随机效应</t>
        </is>
      </c>
      <c r="B12" s="26" t="inlineStr">
        <is>
          <t>主模型随机截距</t>
        </is>
      </c>
      <c r="C12" s="26" t="inlineStr">
        <is>
          <t>若收敛允许，敏感性模型加入 Method 随机斜率</t>
        </is>
      </c>
      <c r="D12" s="26" t="inlineStr">
        <is>
          <t>模型收敛和敏感性结论</t>
        </is>
      </c>
      <c r="E12" s="26" t="inlineStr">
        <is>
          <t>不得为追求显著性随意更换随机结构</t>
        </is>
      </c>
      <c r="F12" s="32" t="inlineStr">
        <is>
          <t/>
        </is>
      </c>
    </row>
    <row r="13">
      <c r="A13" s="31" t="inlineStr">
        <is>
          <t>缺失数据</t>
        </is>
      </c>
      <c r="B13" s="26" t="inlineStr">
        <is>
          <t>不插补评分</t>
        </is>
      </c>
      <c r="C13" s="26" t="inlineStr">
        <is>
          <t>每个条目按可用有效条件进行完整案例分析</t>
        </is>
      </c>
      <c r="D13" s="26" t="inlineStr">
        <is>
          <t>每条目有效 N</t>
        </is>
      </c>
      <c r="E13" s="26" t="inlineStr">
        <is>
          <t>不得用参与者均值补齐</t>
        </is>
      </c>
      <c r="F13" s="32" t="inlineStr">
        <is>
          <t/>
        </is>
      </c>
    </row>
    <row r="14">
      <c r="A14" s="31" t="inlineStr">
        <is>
          <t>条件无效</t>
        </is>
      </c>
      <c r="B14" s="26" t="inlineStr">
        <is>
          <t>按预先定义的技术或协议失败标记</t>
        </is>
      </c>
      <c r="C14" s="26" t="inlineStr">
        <is>
          <t>Condition_Valid=No 的该条件评分排除；保留审计记录</t>
        </is>
      </c>
      <c r="D14" s="26" t="inlineStr">
        <is>
          <t>排除数量与原因</t>
        </is>
      </c>
      <c r="E14" s="26" t="inlineStr">
        <is>
          <t>不得因评分高低排除</t>
        </is>
      </c>
      <c r="F14" s="32" t="inlineStr">
        <is>
          <t/>
        </is>
      </c>
    </row>
    <row r="15">
      <c r="A15" s="31" t="inlineStr">
        <is>
          <t>参与者排除</t>
        </is>
      </c>
      <c r="B15" s="26" t="inlineStr">
        <is>
          <t>仅按伦理、退出、无法完成或预设严重技术失败标准</t>
        </is>
      </c>
      <c r="C15" s="26" t="inlineStr">
        <is>
          <t>Participants.Include=No</t>
        </is>
      </c>
      <c r="D15" s="26" t="inlineStr">
        <is>
          <t>纳入/排除流程</t>
        </is>
      </c>
      <c r="E15" s="26" t="inlineStr">
        <is>
          <t>不得事后按偏好或差异排除</t>
        </is>
      </c>
      <c r="F15" s="32" t="inlineStr">
        <is>
          <t/>
        </is>
      </c>
    </row>
    <row r="16">
      <c r="A16" s="31" t="inlineStr">
        <is>
          <t>描述统计</t>
        </is>
      </c>
      <c r="B16" s="26" t="inlineStr">
        <is>
          <t>七点评分主要报告 median [Q1,Q3]</t>
        </is>
      </c>
      <c r="C16" s="26" t="inlineStr">
        <is>
          <t>按 Method×Object 与 Method 汇总</t>
        </is>
      </c>
      <c r="D16" s="26" t="inlineStr">
        <is>
          <t>中位数与 IQR</t>
        </is>
      </c>
      <c r="E16" s="26" t="inlineStr">
        <is>
          <t>Mean 仅用于数据监控，不作为主要论文描述</t>
        </is>
      </c>
      <c r="F16" s="32" t="inlineStr">
        <is>
          <t/>
        </is>
      </c>
    </row>
    <row r="17">
      <c r="A17" s="31" t="inlineStr">
        <is>
          <t>效应量</t>
        </is>
      </c>
      <c r="B17" s="26" t="inlineStr">
        <is>
          <t>CLMM 报告优势比 OR</t>
        </is>
      </c>
      <c r="C17" s="26" t="inlineStr">
        <is>
          <t>OR=exp(beta)，CI=exp(beta±1.96SE)</t>
        </is>
      </c>
      <c r="D17" s="26" t="inlineStr">
        <is>
          <t>OR 和 95% CI</t>
        </is>
      </c>
      <c r="E17" s="26" t="inlineStr">
        <is>
          <t>不得将 OR 解释为均值差</t>
        </is>
      </c>
      <c r="F17" s="32" t="inlineStr">
        <is>
          <t/>
        </is>
      </c>
    </row>
    <row r="18">
      <c r="A18" s="31" t="inlineStr">
        <is>
          <t>最终偏好</t>
        </is>
      </c>
      <c r="B18" s="26" t="inlineStr">
        <is>
          <t>人数与比例</t>
        </is>
      </c>
      <c r="C18" s="26" t="inlineStr">
        <is>
          <t>三分类描述；排除无偏好后的精确二项检验仅作补充</t>
        </is>
      </c>
      <c r="D18" s="26" t="inlineStr">
        <is>
          <t>X/24、Y/24、Z/24</t>
        </is>
      </c>
      <c r="E18" s="26" t="inlineStr">
        <is>
          <t>不得替代七项模型</t>
        </is>
      </c>
      <c r="F18" s="32" t="inlineStr">
        <is>
          <t/>
        </is>
      </c>
    </row>
    <row r="19">
      <c r="A19" s="31" t="inlineStr">
        <is>
          <t>开放反馈</t>
        </is>
      </c>
      <c r="B19" s="26" t="inlineStr">
        <is>
          <t>轻量主题分析</t>
        </is>
      </c>
      <c r="C19" s="26" t="inlineStr">
        <is>
          <t>至少双人复核主题框架；记录代表性短引文</t>
        </is>
      </c>
      <c r="D19" s="26" t="inlineStr">
        <is>
          <t>3–4 个主要主题</t>
        </is>
      </c>
      <c r="E19" s="26" t="inlineStr">
        <is>
          <t>不得伪装为定量验证</t>
        </is>
      </c>
      <c r="F19" s="32" t="inlineStr">
        <is>
          <t/>
        </is>
      </c>
    </row>
    <row r="20">
      <c r="A20" s="31" t="inlineStr">
        <is>
          <t>图形</t>
        </is>
      </c>
      <c r="B20" s="26" t="inlineStr">
        <is>
          <t>参与者配对点/线或序数分布</t>
        </is>
      </c>
      <c r="C20" s="26" t="inlineStr">
        <is>
          <t>Q1–Q7 分面；对象分面放补充材料</t>
        </is>
      </c>
      <c r="D20" s="26" t="inlineStr">
        <is>
          <t>不使用仅显示均值的柱状图</t>
        </is>
      </c>
      <c r="E20" s="26" t="inlineStr">
        <is>
          <t>不得隐藏个体差异</t>
        </is>
      </c>
      <c r="F20" s="32" t="inlineStr">
        <is>
          <t/>
        </is>
      </c>
    </row>
    <row r="21">
      <c r="A21" s="33" t="inlineStr">
        <is>
          <t>可主张结论</t>
        </is>
      </c>
      <c r="B21" s="34" t="inlineStr">
        <is>
          <t>只主张主观感知与依赖意愿</t>
        </is>
      </c>
      <c r="C21" s="34" t="inlineStr">
        <is>
          <t>根据显著条目精确措辞</t>
        </is>
      </c>
      <c r="D21" s="34" t="inlineStr">
        <is>
          <t>Across the three tested objects...</t>
        </is>
      </c>
      <c r="E21" s="34" t="inlineStr">
        <is>
          <t>不得声称更快、更准确、更高任务绩效或任意对象泛化</t>
        </is>
      </c>
      <c r="F21" s="35" t="inlineStr">
        <is>
          <t/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FormatPr defaultRowHeight="15"/>
  <cols>
    <col min="1" max="1" width="9" hidden="0" customWidth="1"/>
    <col min="2" max="2" width="92" hidden="0" customWidth="1"/>
    <col min="3" max="3" width="35" hidden="0" customWidth="1"/>
  </cols>
  <sheetData>
    <row r="1">
      <c r="A1" s="4" t="inlineStr">
        <is>
          <t>R 分析代码模板（复制后修改文件路径）</t>
        </is>
      </c>
      <c r="B1" s="4"/>
      <c r="C1" s="4"/>
    </row>
    <row r="3">
      <c r="A3" s="28" t="inlineStr">
        <is>
          <t>Line</t>
        </is>
      </c>
      <c r="B3" s="29" t="inlineStr">
        <is>
          <t>R code</t>
        </is>
      </c>
      <c r="C3" s="30" t="inlineStr">
        <is>
          <t>Purpose</t>
        </is>
      </c>
    </row>
    <row r="4">
      <c r="A4" s="64" t="n">
        <v>1</v>
      </c>
      <c r="B4" s="115" t="inlineStr">
        <is>
          <t>library(readxl)</t>
        </is>
      </c>
      <c r="C4" s="66" t="inlineStr">
        <is>
          <t>读取 xlsx</t>
        </is>
      </c>
    </row>
    <row r="5">
      <c r="A5" s="64" t="n">
        <v>2</v>
      </c>
      <c r="B5" s="115" t="inlineStr">
        <is>
          <t>library(dplyr)</t>
        </is>
      </c>
      <c r="C5" s="66" t="inlineStr">
        <is>
          <t>数据整理</t>
        </is>
      </c>
    </row>
    <row r="6">
      <c r="A6" s="64" t="n">
        <v>3</v>
      </c>
      <c r="B6" s="115" t="inlineStr">
        <is>
          <t>library(tidyr)</t>
        </is>
      </c>
      <c r="C6" s="66" t="inlineStr">
        <is>
          <t>宽表转长表</t>
        </is>
      </c>
    </row>
    <row r="7">
      <c r="A7" s="64" t="n">
        <v>4</v>
      </c>
      <c r="B7" s="115" t="inlineStr">
        <is>
          <t>library(ordinal)</t>
        </is>
      </c>
      <c r="C7" s="66" t="inlineStr">
        <is>
          <t>累积链接混合模型</t>
        </is>
      </c>
    </row>
    <row r="8">
      <c r="A8" s="64" t="n">
        <v>5</v>
      </c>
      <c r="B8" s="115" t="inlineStr">
        <is>
          <t>library(emmeans)</t>
        </is>
      </c>
      <c r="C8" s="66" t="inlineStr">
        <is>
          <t>估计边际对比</t>
        </is>
      </c>
    </row>
    <row r="9">
      <c r="A9" s="64" t="n">
        <v>6</v>
      </c>
      <c r="B9" s="115" t="inlineStr">
        <is>
          <t>library(purrr)</t>
        </is>
      </c>
      <c r="C9" s="66" t="inlineStr">
        <is>
          <t>逐条目拟合</t>
        </is>
      </c>
    </row>
    <row r="10">
      <c r="A10" s="64" t="n">
        <v>7</v>
      </c>
      <c r="B10" s="115" t="inlineStr">
        <is>
          <t>library(broom.mixed)</t>
        </is>
      </c>
      <c r="C10" s="66" t="inlineStr">
        <is>
          <t>整理模型结果</t>
        </is>
      </c>
    </row>
    <row r="11">
      <c r="A11" s="64" t="n">
        <v>8</v>
      </c>
      <c r="B11" s="115" t="inlineStr">
        <is>
          <t>path &lt;- "EgoAnchor_Exp3_v9_Frozen_Detailed_24P.xlsx"</t>
        </is>
      </c>
      <c r="C11" s="66" t="inlineStr">
        <is>
          <t>修改为实际路径</t>
        </is>
      </c>
    </row>
    <row r="12">
      <c r="A12" s="64" t="n">
        <v>9</v>
      </c>
      <c r="B12" s="115" t="inlineStr">
        <is>
          <t>participants &lt;- read_excel(path, sheet = "Participants")</t>
        </is>
      </c>
      <c r="C12" s="66" t="inlineStr">
        <is>
          <t>参与者表</t>
        </is>
      </c>
    </row>
    <row r="13">
      <c r="A13" s="64" t="n">
        <v>10</v>
      </c>
      <c r="B13" s="115" t="inlineStr">
        <is>
          <t>ratings_wide &lt;- read_excel(path, sheet = "ConditionRatings")</t>
        </is>
      </c>
      <c r="C13" s="66" t="inlineStr">
        <is>
          <t>正式评分表</t>
        </is>
      </c>
    </row>
    <row r="14">
      <c r="A14" s="64" t="n">
        <v>11</v>
      </c>
      <c r="B14" s="115" t="inlineStr">
        <is>
          <t>ratings &lt;- ratings_wide %&gt;%</t>
        </is>
      </c>
      <c r="C14" s="66" t="inlineStr">
        <is>
          <t>开始整理</t>
        </is>
      </c>
    </row>
    <row r="15">
      <c r="A15" s="64" t="n">
        <v>12</v>
      </c>
      <c r="B15" s="115" t="inlineStr">
        <is>
          <t xml:space="preserve">  filter(Condition_Valid == "Yes") %&gt;%</t>
        </is>
      </c>
      <c r="C15" s="66" t="inlineStr">
        <is>
          <t>仅保留有效条件</t>
        </is>
      </c>
    </row>
    <row r="16">
      <c r="A16" s="64" t="n">
        <v>13</v>
      </c>
      <c r="B16" s="115" t="inlineStr">
        <is>
          <t xml:space="preserve">  pivot_longer(cols = starts_with("Q"),</t>
        </is>
      </c>
      <c r="C16" s="66" t="inlineStr">
        <is>
          <t>Q1–Q7 转长表</t>
        </is>
      </c>
    </row>
    <row r="17">
      <c r="A17" s="64" t="n">
        <v>14</v>
      </c>
      <c r="B17" s="115" t="inlineStr">
        <is>
          <t xml:space="preserve">               names_to = "Item_ID", values_to = "Rating") %&gt;%</t>
        </is>
      </c>
      <c r="C17" s="66" t="inlineStr">
        <is>
          <t/>
        </is>
      </c>
    </row>
    <row r="18">
      <c r="A18" s="64" t="n">
        <v>15</v>
      </c>
      <c r="B18" s="115" t="inlineStr">
        <is>
          <t xml:space="preserve">  filter(!is.na(Rating)) %&gt;%</t>
        </is>
      </c>
      <c r="C18" s="66" t="inlineStr">
        <is>
          <t>不插补缺失</t>
        </is>
      </c>
    </row>
    <row r="19">
      <c r="A19" s="64" t="n">
        <v>16</v>
      </c>
      <c r="B19" s="115" t="inlineStr">
        <is>
          <t xml:space="preserve">  mutate(</t>
        </is>
      </c>
      <c r="C19" s="66" t="inlineStr">
        <is>
          <t/>
        </is>
      </c>
    </row>
    <row r="20">
      <c r="A20" s="64" t="n">
        <v>17</v>
      </c>
      <c r="B20" s="115" t="inlineStr">
        <is>
          <t xml:space="preserve">    Rating = ordered(Rating, levels = 1:7),</t>
        </is>
      </c>
      <c r="C20" s="66" t="inlineStr">
        <is>
          <t>序数响应</t>
        </is>
      </c>
    </row>
    <row r="21">
      <c r="A21" s="64" t="n">
        <v>18</v>
      </c>
      <c r="B21" s="115" t="inlineStr">
        <is>
          <t xml:space="preserve">    Method = relevel(factor(Method), ref = "One-Euro"),</t>
        </is>
      </c>
      <c r="C21" s="66" t="inlineStr">
        <is>
          <t>One-Euro 作为参考</t>
        </is>
      </c>
    </row>
    <row r="22">
      <c r="A22" s="64" t="n">
        <v>19</v>
      </c>
      <c r="B22" s="115" t="inlineStr">
        <is>
          <t xml:space="preserve">    Object = relevel(factor(Object), ref = "无线鼠标"),</t>
        </is>
      </c>
      <c r="C22" s="66" t="inlineStr">
        <is>
          <t>Mouse 作为参考</t>
        </is>
      </c>
    </row>
    <row r="23">
      <c r="A23" s="64" t="n">
        <v>20</v>
      </c>
      <c r="B23" s="115" t="inlineStr">
        <is>
          <t xml:space="preserve">    WithinObject_Period = factor(WithinObject_Period),</t>
        </is>
      </c>
      <c r="C23" s="66" t="inlineStr">
        <is>
          <t/>
        </is>
      </c>
    </row>
    <row r="24">
      <c r="A24" s="64" t="n">
        <v>21</v>
      </c>
      <c r="B24" s="115" t="inlineStr">
        <is>
          <t xml:space="preserve">    Object_Block_Position = factor(Object_Block_Position),</t>
        </is>
      </c>
      <c r="C24" s="66" t="inlineStr">
        <is>
          <t/>
        </is>
      </c>
    </row>
    <row r="25">
      <c r="A25" s="64" t="n">
        <v>22</v>
      </c>
      <c r="B25" s="115" t="inlineStr">
        <is>
          <t xml:space="preserve">    Participant_ID = factor(Participant_ID)</t>
        </is>
      </c>
      <c r="C25" s="66" t="inlineStr">
        <is>
          <t/>
        </is>
      </c>
    </row>
    <row r="26">
      <c r="A26" s="64" t="n">
        <v>23</v>
      </c>
      <c r="B26" s="115" t="inlineStr">
        <is>
          <t xml:space="preserve">  )</t>
        </is>
      </c>
      <c r="C26" s="66" t="inlineStr">
        <is>
          <t/>
        </is>
      </c>
    </row>
    <row r="27">
      <c r="A27" s="64" t="n">
        <v>24</v>
      </c>
      <c r="B27" s="115" t="inlineStr">
        <is>
          <t>fit_one &lt;- function(d) {</t>
        </is>
      </c>
      <c r="C27" s="66" t="inlineStr">
        <is>
          <t>单条目 CLMM</t>
        </is>
      </c>
    </row>
    <row r="28">
      <c r="A28" s="64" t="n">
        <v>25</v>
      </c>
      <c r="B28" s="115" t="inlineStr">
        <is>
          <t xml:space="preserve">  clmm(Rating ~ Method * Object + WithinObject_Period +</t>
        </is>
      </c>
      <c r="C28" s="66" t="inlineStr">
        <is>
          <t/>
        </is>
      </c>
    </row>
    <row r="29">
      <c r="A29" s="64" t="n">
        <v>26</v>
      </c>
      <c r="B29" s="115" t="inlineStr">
        <is>
          <t xml:space="preserve">         Object_Block_Position + (1 | Participant_ID),</t>
        </is>
      </c>
      <c r="C29" s="66" t="inlineStr">
        <is>
          <t/>
        </is>
      </c>
    </row>
    <row r="30">
      <c r="A30" s="64" t="n">
        <v>27</v>
      </c>
      <c r="B30" s="115" t="inlineStr">
        <is>
          <t xml:space="preserve">       data = d, Hess = TRUE, link = "logit")</t>
        </is>
      </c>
      <c r="C30" s="66" t="inlineStr">
        <is>
          <t/>
        </is>
      </c>
    </row>
    <row r="31">
      <c r="A31" s="64" t="n">
        <v>28</v>
      </c>
      <c r="B31" s="115" t="inlineStr">
        <is>
          <t>}</t>
        </is>
      </c>
      <c r="C31" s="66" t="inlineStr">
        <is>
          <t/>
        </is>
      </c>
    </row>
    <row r="32">
      <c r="A32" s="64" t="n">
        <v>29</v>
      </c>
      <c r="B32" s="115" t="inlineStr">
        <is>
          <t>fits &lt;- ratings %&gt;% split(.$Item_ID) %&gt;% map(fit_one)</t>
        </is>
      </c>
      <c r="C32" s="66" t="inlineStr">
        <is>
          <t>七项分别拟合</t>
        </is>
      </c>
    </row>
    <row r="33">
      <c r="A33" s="64" t="n">
        <v>30</v>
      </c>
      <c r="B33" s="115" t="inlineStr">
        <is>
          <t>coef_method &lt;- imap_dfr(fits, function(fit, item) {</t>
        </is>
      </c>
      <c r="C33" s="66" t="inlineStr">
        <is>
          <t>提取 EgoAnchor 主效应</t>
        </is>
      </c>
    </row>
    <row r="34">
      <c r="A34" s="64" t="n">
        <v>31</v>
      </c>
      <c r="B34" s="115" t="inlineStr">
        <is>
          <t xml:space="preserve">  tt &lt;- coef(summary(fit))</t>
        </is>
      </c>
      <c r="C34" s="66" t="inlineStr">
        <is>
          <t/>
        </is>
      </c>
    </row>
    <row r="35">
      <c r="A35" s="64" t="n">
        <v>32</v>
      </c>
      <c r="B35" s="115" t="inlineStr">
        <is>
          <t xml:space="preserve">  row &lt;- tt[grep("^Method", rownames(tt))[1], ]</t>
        </is>
      </c>
      <c r="C35" s="66" t="inlineStr">
        <is>
          <t/>
        </is>
      </c>
    </row>
    <row r="36">
      <c r="A36" s="64" t="n">
        <v>33</v>
      </c>
      <c r="B36" s="115" t="inlineStr">
        <is>
          <t xml:space="preserve">  tibble(Item_ID = item, beta = row["Estimate"],</t>
        </is>
      </c>
      <c r="C36" s="66" t="inlineStr">
        <is>
          <t/>
        </is>
      </c>
    </row>
    <row r="37">
      <c r="A37" s="64" t="n">
        <v>34</v>
      </c>
      <c r="B37" s="115" t="inlineStr">
        <is>
          <t xml:space="preserve">         SE = row["Std. Error"], z = row["z value"],</t>
        </is>
      </c>
      <c r="C37" s="66" t="inlineStr">
        <is>
          <t/>
        </is>
      </c>
    </row>
    <row r="38">
      <c r="A38" s="64" t="n">
        <v>35</v>
      </c>
      <c r="B38" s="115" t="inlineStr">
        <is>
          <t xml:space="preserve">         p_raw = row["Pr(&gt;|z|)"], OR = exp(beta),</t>
        </is>
      </c>
      <c r="C38" s="66" t="inlineStr">
        <is>
          <t/>
        </is>
      </c>
    </row>
    <row r="39">
      <c r="A39" s="64" t="n">
        <v>36</v>
      </c>
      <c r="B39" s="115" t="inlineStr">
        <is>
          <t xml:space="preserve">         CI_low = exp(beta - 1.96 * SE),</t>
        </is>
      </c>
      <c r="C39" s="66" t="inlineStr">
        <is>
          <t/>
        </is>
      </c>
    </row>
    <row r="40">
      <c r="A40" s="64" t="n">
        <v>37</v>
      </c>
      <c r="B40" s="115" t="inlineStr">
        <is>
          <t xml:space="preserve">         CI_high = exp(beta + 1.96 * SE))</t>
        </is>
      </c>
      <c r="C40" s="66" t="inlineStr">
        <is>
          <t/>
        </is>
      </c>
    </row>
    <row r="41">
      <c r="A41" s="64" t="n">
        <v>38</v>
      </c>
      <c r="B41" s="115" t="inlineStr">
        <is>
          <t>}) %&gt;% mutate(p_holm = p.adjust(p_raw, method = "holm"))</t>
        </is>
      </c>
      <c r="C41" s="66" t="inlineStr">
        <is>
          <t>七个 Method 检验 Holm 校正</t>
        </is>
      </c>
    </row>
    <row r="42">
      <c r="A42" s="64" t="n">
        <v>39</v>
      </c>
      <c r="B42" s="115" t="inlineStr">
        <is>
          <t>object_contrasts &lt;- imap(fits, function(fit, item) {</t>
        </is>
      </c>
      <c r="C42" s="66" t="inlineStr">
        <is>
          <t>对象内方法对比</t>
        </is>
      </c>
    </row>
    <row r="43">
      <c r="A43" s="64" t="n">
        <v>40</v>
      </c>
      <c r="B43" s="115" t="inlineStr">
        <is>
          <t xml:space="preserve">  emmeans(fit, ~ Method | Object, mode = "latent") %&gt;%</t>
        </is>
      </c>
      <c r="C43" s="66" t="inlineStr">
        <is>
          <t/>
        </is>
      </c>
    </row>
    <row r="44">
      <c r="A44" s="64" t="n">
        <v>41</v>
      </c>
      <c r="B44" s="115" t="inlineStr">
        <is>
          <t xml:space="preserve">    contrast(method = "revpairwise", adjust = "holm") %&gt;%</t>
        </is>
      </c>
      <c r="C44" s="66" t="inlineStr">
        <is>
          <t/>
        </is>
      </c>
    </row>
    <row r="45">
      <c r="A45" s="64" t="n">
        <v>42</v>
      </c>
      <c r="B45" s="115" t="inlineStr">
        <is>
          <t xml:space="preserve">    as.data.frame() %&gt;% mutate(Item_ID = item)</t>
        </is>
      </c>
      <c r="C45" s="66" t="inlineStr">
        <is>
          <t/>
        </is>
      </c>
    </row>
    <row r="46">
      <c r="A46" s="64" t="n">
        <v>43</v>
      </c>
      <c r="B46" s="115" t="inlineStr">
        <is>
          <t>}) %&gt;% bind_rows()</t>
        </is>
      </c>
      <c r="C46" s="66" t="inlineStr">
        <is>
          <t/>
        </is>
      </c>
    </row>
    <row r="47">
      <c r="A47" s="64" t="n">
        <v>44</v>
      </c>
      <c r="B47" s="115" t="inlineStr">
        <is>
          <t>descriptive &lt;- ratings %&gt;%</t>
        </is>
      </c>
      <c r="C47" s="66" t="inlineStr">
        <is>
          <t>中位数与 IQR</t>
        </is>
      </c>
    </row>
    <row r="48">
      <c r="A48" s="64" t="n">
        <v>45</v>
      </c>
      <c r="B48" s="115" t="inlineStr">
        <is>
          <t xml:space="preserve">  group_by(Item_ID, Method, Object) %&gt;%</t>
        </is>
      </c>
      <c r="C48" s="66" t="inlineStr">
        <is>
          <t/>
        </is>
      </c>
    </row>
    <row r="49">
      <c r="A49" s="64" t="n">
        <v>46</v>
      </c>
      <c r="B49" s="115" t="inlineStr">
        <is>
          <t xml:space="preserve">  summarise(n = n(), median = median(as.numeric(Rating)),</t>
        </is>
      </c>
      <c r="C49" s="66" t="inlineStr">
        <is>
          <t/>
        </is>
      </c>
    </row>
    <row r="50">
      <c r="A50" s="64" t="n">
        <v>47</v>
      </c>
      <c r="B50" s="115" t="inlineStr">
        <is>
          <t xml:space="preserve">            q1 = quantile(as.numeric(Rating), .25),</t>
        </is>
      </c>
      <c r="C50" s="66" t="inlineStr">
        <is>
          <t/>
        </is>
      </c>
    </row>
    <row r="51">
      <c r="A51" s="64" t="n">
        <v>48</v>
      </c>
      <c r="B51" s="115" t="inlineStr">
        <is>
          <t xml:space="preserve">            q3 = quantile(as.numeric(Rating), .75), .groups = "drop")</t>
        </is>
      </c>
      <c r="C51" s="66" t="inlineStr">
        <is>
          <t/>
        </is>
      </c>
    </row>
    <row r="52">
      <c r="A52" s="64" t="n">
        <v>49</v>
      </c>
      <c r="B52" s="115" t="inlineStr">
        <is>
          <t>write.csv(coef_method, "exp3_method_effects.csv", row.names = FALSE)</t>
        </is>
      </c>
      <c r="C52" s="66" t="inlineStr">
        <is>
          <t>导出主结果</t>
        </is>
      </c>
    </row>
    <row r="53">
      <c r="A53" s="64" t="n">
        <v>50</v>
      </c>
      <c r="B53" s="115" t="inlineStr">
        <is>
          <t>write.csv(object_contrasts, "exp3_object_contrasts.csv", row.names = FALSE)</t>
        </is>
      </c>
      <c r="C53" s="66" t="inlineStr">
        <is>
          <t>导出对象内对比</t>
        </is>
      </c>
    </row>
    <row r="54">
      <c r="A54" s="67" t="n">
        <v>51</v>
      </c>
      <c r="B54" s="117" t="inlineStr">
        <is>
          <t>write.csv(descriptive, "exp3_descriptives.csv", row.names = FALSE)</t>
        </is>
      </c>
      <c r="C54" s="69" t="inlineStr">
        <is>
          <t>导出描述统计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FormatPr defaultRowHeight="15"/>
  <cols>
    <col min="1" max="1" width="34" hidden="0" customWidth="1"/>
    <col min="2" max="2" width="25" hidden="0" customWidth="1"/>
    <col min="3" max="3" width="22" hidden="0" customWidth="1"/>
    <col min="4" max="4" width="22" hidden="0" customWidth="1"/>
    <col min="5" max="5" width="14" hidden="0" customWidth="1"/>
    <col min="6" max="6" width="13" hidden="0" customWidth="1"/>
    <col min="7" max="7" width="13" hidden="0" customWidth="1"/>
    <col min="8" max="8" width="12" hidden="0" customWidth="1"/>
    <col min="9" max="9" width="12" hidden="0" customWidth="1"/>
    <col min="10" max="10" width="20" hidden="0" customWidth="1"/>
    <col min="11" max="11" width="28" hidden="0" customWidth="1"/>
    <col min="12" max="12" width="28" hidden="0" customWidth="1"/>
    <col min="13" max="13" width="28" hidden="0" customWidth="1"/>
    <col min="14" max="14" width="14" hidden="0" customWidth="1"/>
    <col min="15" max="15" width="24" hidden="0" customWidth="1"/>
    <col min="16" max="16" width="50" hidden="0" customWidth="1"/>
    <col min="17" max="17" width="56" hidden="0" customWidth="1"/>
  </cols>
  <sheetData>
    <row r="1">
      <c r="A1" s="4" t="inlineStr">
        <is>
          <t>论文结果回填模板：七项逐项，不使用复合分数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3">
      <c r="A3" s="28" t="inlineStr">
        <is>
          <t>Item_ID</t>
        </is>
      </c>
      <c r="B3" s="29" t="inlineStr">
        <is>
          <t>Construct</t>
        </is>
      </c>
      <c r="C3" s="29" t="inlineStr">
        <is>
          <t>OneEuro_Median_IQR</t>
        </is>
      </c>
      <c r="D3" s="29" t="inlineStr">
        <is>
          <t>EgoAnchor_Median_IQR</t>
        </is>
      </c>
      <c r="E3" s="29" t="inlineStr">
        <is>
          <t>Method_OR</t>
        </is>
      </c>
      <c r="F3" s="29" t="inlineStr">
        <is>
          <t>CI_Low</t>
        </is>
      </c>
      <c r="G3" s="29" t="inlineStr">
        <is>
          <t>CI_High</t>
        </is>
      </c>
      <c r="H3" s="29" t="inlineStr">
        <is>
          <t>p_Raw</t>
        </is>
      </c>
      <c r="I3" s="29" t="inlineStr">
        <is>
          <t>p_Holm</t>
        </is>
      </c>
      <c r="J3" s="29" t="inlineStr">
        <is>
          <t>MethodXObject_p</t>
        </is>
      </c>
      <c r="K3" s="29" t="inlineStr">
        <is>
          <t>Mouse_Contrast</t>
        </is>
      </c>
      <c r="L3" s="29" t="inlineStr">
        <is>
          <t>Stapler_Contrast</t>
        </is>
      </c>
      <c r="M3" s="29" t="inlineStr">
        <is>
          <t>Gamepad_Contrast</t>
        </is>
      </c>
      <c r="N3" s="29" t="inlineStr">
        <is>
          <t>Valid_N</t>
        </is>
      </c>
      <c r="O3" s="29" t="inlineStr">
        <is>
          <t>Direction</t>
        </is>
      </c>
      <c r="P3" s="29" t="inlineStr">
        <is>
          <t>Result_Interpretation</t>
        </is>
      </c>
      <c r="Q3" s="30" t="inlineStr">
        <is>
          <t>Paper_Sentence</t>
        </is>
      </c>
    </row>
    <row r="4">
      <c r="A4" s="64" t="inlineStr">
        <is>
          <t>Q1_STATIC_STABILITY</t>
        </is>
      </c>
      <c r="B4" s="65" t="inlineStr">
        <is>
          <t>静止稳定性</t>
        </is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 t="inlineStr">
        <is>
          <t>OR&gt;1 favors EgoAnchor</t>
        </is>
      </c>
      <c r="P4" s="55"/>
      <c r="Q4" s="76"/>
    </row>
    <row r="5">
      <c r="A5" s="64" t="inlineStr">
        <is>
          <t>Q2_MOTION_ATTACHMENT</t>
        </is>
      </c>
      <c r="B5" s="65" t="inlineStr">
        <is>
          <t>运动附着感</t>
        </is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 t="inlineStr">
        <is>
          <t>OR&gt;1 favors EgoAnchor</t>
        </is>
      </c>
      <c r="P5" s="55"/>
      <c r="Q5" s="76"/>
    </row>
    <row r="6">
      <c r="A6" s="64" t="inlineStr">
        <is>
          <t>Q3_RECOVERY_CONSISTENCY</t>
        </is>
      </c>
      <c r="B6" s="65" t="inlineStr">
        <is>
          <t>遮挡恢复一致性</t>
        </is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 t="inlineStr">
        <is>
          <t>OR&gt;1 favors EgoAnchor</t>
        </is>
      </c>
      <c r="P6" s="55"/>
      <c r="Q6" s="76"/>
    </row>
    <row r="7">
      <c r="A7" s="64" t="inlineStr">
        <is>
          <t>Q4_PLAUSIBILITY</t>
        </is>
      </c>
      <c r="B7" s="65" t="inlineStr">
        <is>
          <t>合理可信度</t>
        </is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 t="inlineStr">
        <is>
          <t>OR&gt;1 favors EgoAnchor</t>
        </is>
      </c>
      <c r="P7" s="55"/>
      <c r="Q7" s="76"/>
    </row>
    <row r="8">
      <c r="A8" s="64" t="inlineStr">
        <is>
          <t>Q5_SYNCHRONY</t>
        </is>
      </c>
      <c r="B8" s="65" t="inlineStr">
        <is>
          <t>虚实同步性</t>
        </is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 t="inlineStr">
        <is>
          <t>OR&gt;1 favors EgoAnchor</t>
        </is>
      </c>
      <c r="P8" s="55"/>
      <c r="Q8" s="76"/>
    </row>
    <row r="9">
      <c r="A9" s="64" t="inlineStr">
        <is>
          <t>Q6_RELIANCE</t>
        </is>
      </c>
      <c r="B9" s="65" t="inlineStr">
        <is>
          <t>依赖意愿</t>
        </is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 t="inlineStr">
        <is>
          <t>OR&gt;1 favors EgoAnchor</t>
        </is>
      </c>
      <c r="P9" s="55"/>
      <c r="Q9" s="76"/>
    </row>
    <row r="10">
      <c r="A10" s="67" t="inlineStr">
        <is>
          <t>Q7_STABILITY_RESPONSE_BALANCE</t>
        </is>
      </c>
      <c r="B10" s="68" t="inlineStr">
        <is>
          <t>稳定性–响应性平衡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 t="inlineStr">
        <is>
          <t>OR&gt;1 favors EgoAnchor</t>
        </is>
      </c>
      <c r="P10" s="79"/>
      <c r="Q10" s="80"/>
    </row>
    <row r="13">
      <c r="A13" s="28" t="inlineStr">
        <is>
          <t>Final preference</t>
        </is>
      </c>
      <c r="B13" s="29" t="inlineStr">
        <is>
          <t>EgoAnchor_n</t>
        </is>
      </c>
      <c r="C13" s="29" t="inlineStr">
        <is>
          <t>OneEuro_n</t>
        </is>
      </c>
      <c r="D13" s="29" t="inlineStr">
        <is>
          <t>NoPreference_n</t>
        </is>
      </c>
      <c r="E13" s="29" t="inlineStr">
        <is>
          <t>Included_N</t>
        </is>
      </c>
      <c r="F13" s="29" t="inlineStr">
        <is>
          <t>Supplementary_Test</t>
        </is>
      </c>
      <c r="G13" s="29" t="inlineStr">
        <is>
          <t>Qualitative_Themes</t>
        </is>
      </c>
      <c r="H13" s="30" t="inlineStr">
        <is>
          <t>Paper_Sentence</t>
        </is>
      </c>
    </row>
    <row r="14">
      <c r="A14" s="67" t="inlineStr">
        <is>
          <t>Final method choice</t>
        </is>
      </c>
      <c r="B14" s="79"/>
      <c r="C14" s="79"/>
      <c r="D14" s="79"/>
      <c r="E14" s="79"/>
      <c r="F14" s="79" t="inlineStr">
        <is>
          <t>Exact binomial excluding no preference (optional)</t>
        </is>
      </c>
      <c r="G14" s="79"/>
      <c r="H14" s="80"/>
    </row>
    <row r="17">
      <c r="A17" s="28" t="inlineStr">
        <is>
          <t>允许的论文句式</t>
        </is>
      </c>
      <c r="B17" s="29" t="inlineStr">
        <is>
          <t>条件</t>
        </is>
      </c>
      <c r="C17" s="29" t="inlineStr">
        <is>
          <t>示例</t>
        </is>
      </c>
      <c r="D17" s="29" t="inlineStr">
        <is>
          <t>禁止句式</t>
        </is>
      </c>
      <c r="E17" s="29" t="inlineStr">
        <is>
          <t>原因</t>
        </is>
      </c>
      <c r="F17" s="30" t="inlineStr">
        <is>
          <t>修订</t>
        </is>
      </c>
    </row>
    <row r="18">
      <c r="A18" s="31" t="inlineStr">
        <is>
          <t>感知结果</t>
        </is>
      </c>
      <c r="B18" s="26" t="inlineStr">
        <is>
          <t>某条目显著且 Holm 后成立</t>
        </is>
      </c>
      <c r="C18" s="26" t="inlineStr">
        <is>
          <t>Across the three tested everyday objects, EgoAnchor received higher perceived static-stability ratings than One-Euro.</t>
        </is>
      </c>
      <c r="D18" s="26" t="inlineStr">
        <is>
          <t>EgoAnchor was more accurate.</t>
        </is>
      </c>
      <c r="E18" s="26" t="inlineStr">
        <is>
          <t>实验三没有客观真值</t>
        </is>
      </c>
      <c r="F18" s="32" t="inlineStr">
        <is>
          <t/>
        </is>
      </c>
    </row>
    <row r="19">
      <c r="A19" s="31" t="inlineStr">
        <is>
          <t>依赖意愿</t>
        </is>
      </c>
      <c r="B19" s="26" t="inlineStr">
        <is>
          <t>Q6 显著</t>
        </is>
      </c>
      <c r="C19" s="26" t="inlineStr">
        <is>
          <t>Participants reported greater willingness to rely on EgoAnchor for object-attached MR content.</t>
        </is>
      </c>
      <c r="D19" s="26" t="inlineStr">
        <is>
          <t>EgoAnchor improved task performance.</t>
        </is>
      </c>
      <c r="E19" s="26" t="inlineStr">
        <is>
          <t>未采集绩效</t>
        </is>
      </c>
      <c r="F19" s="32" t="inlineStr">
        <is>
          <t/>
        </is>
      </c>
    </row>
    <row r="20">
      <c r="A20" s="31" t="inlineStr">
        <is>
          <t>对象一致性</t>
        </is>
      </c>
      <c r="B20" s="26" t="inlineStr">
        <is>
          <t>Method×Object 不显著且方向一致</t>
        </is>
      </c>
      <c r="C20" s="26" t="inlineStr">
        <is>
          <t>The method effect was directionally consistent across the three tested objects.</t>
        </is>
      </c>
      <c r="D20" s="26" t="inlineStr">
        <is>
          <t>The method generalizes to arbitrary objects.</t>
        </is>
      </c>
      <c r="E20" s="26" t="inlineStr">
        <is>
          <t>仅测试三个对象；不显著不证明相同</t>
        </is>
      </c>
      <c r="F20" s="32" t="inlineStr">
        <is>
          <t/>
        </is>
      </c>
    </row>
    <row r="21">
      <c r="A21" s="33" t="inlineStr">
        <is>
          <t>权衡</t>
        </is>
      </c>
      <c r="B21" s="34" t="inlineStr">
        <is>
          <t>Q7 支持且动态条目不一定同时占优</t>
        </is>
      </c>
      <c r="C21" s="34" t="inlineStr">
        <is>
          <t>Participants judged EgoAnchor's overall stability–responsiveness balance more favorably.</t>
        </is>
      </c>
      <c r="D21" s="34" t="inlineStr">
        <is>
          <t>EgoAnchor was faster and more stable.</t>
        </is>
      </c>
      <c r="E21" s="34" t="inlineStr">
        <is>
          <t>Q7 是整体主观权衡，不是速度测量</t>
        </is>
      </c>
      <c r="F21" s="35" t="inlineStr">
        <is>
          <t/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FormatPr defaultRowHeight="15"/>
  <cols>
    <col min="1" max="1" width="20" hidden="0" customWidth="1"/>
    <col min="2" max="2" width="31" hidden="0" customWidth="1"/>
    <col min="3" max="3" width="16" hidden="0" customWidth="1"/>
    <col min="4" max="4" width="36" hidden="0" customWidth="1"/>
    <col min="5" max="5" width="42" hidden="0" customWidth="1"/>
    <col min="6" max="6" width="18" hidden="0" customWidth="1"/>
    <col min="7" max="7" width="31" hidden="0" customWidth="1"/>
    <col min="8" max="8" width="34" hidden="0" customWidth="1"/>
  </cols>
  <sheetData>
    <row r="1">
      <c r="A1" s="4" t="inlineStr">
        <is>
          <t>数据字典：关键字段、类型与允许值</t>
        </is>
      </c>
      <c r="B1" s="4"/>
      <c r="C1" s="4"/>
      <c r="D1" s="4"/>
      <c r="E1" s="4"/>
      <c r="F1" s="4"/>
      <c r="G1" s="4"/>
      <c r="H1" s="4"/>
    </row>
    <row r="3">
      <c r="A3" s="28" t="inlineStr">
        <is>
          <t>Sheet</t>
        </is>
      </c>
      <c r="B3" s="29" t="inlineStr">
        <is>
          <t>Field</t>
        </is>
      </c>
      <c r="C3" s="29" t="inlineStr">
        <is>
          <t>Type</t>
        </is>
      </c>
      <c r="D3" s="29" t="inlineStr">
        <is>
          <t>Allowed / Format</t>
        </is>
      </c>
      <c r="E3" s="29" t="inlineStr">
        <is>
          <t>Meaning</t>
        </is>
      </c>
      <c r="F3" s="29" t="inlineStr">
        <is>
          <t>Entered_By</t>
        </is>
      </c>
      <c r="G3" s="29" t="inlineStr">
        <is>
          <t>Use_In_Analysis</t>
        </is>
      </c>
      <c r="H3" s="30" t="inlineStr">
        <is>
          <t>Notes</t>
        </is>
      </c>
    </row>
    <row r="4">
      <c r="A4" s="31" t="inlineStr">
        <is>
          <t>Participants</t>
        </is>
      </c>
      <c r="B4" s="26" t="inlineStr">
        <is>
          <t>Participant_ID</t>
        </is>
      </c>
      <c r="C4" s="26" t="inlineStr">
        <is>
          <t>text</t>
        </is>
      </c>
      <c r="D4" s="26" t="inlineStr">
        <is>
          <t>P001–P024</t>
        </is>
      </c>
      <c r="E4" s="26" t="inlineStr">
        <is>
          <t>匿名参与者编号</t>
        </is>
      </c>
      <c r="F4" s="26" t="inlineStr">
        <is>
          <t>预填</t>
        </is>
      </c>
      <c r="G4" s="26" t="inlineStr">
        <is>
          <t>随机效应/连接键</t>
        </is>
      </c>
      <c r="H4" s="32" t="inlineStr">
        <is>
          <t>不得包含姓名</t>
        </is>
      </c>
    </row>
    <row r="5">
      <c r="A5" s="31" t="inlineStr">
        <is>
          <t>Participants</t>
        </is>
      </c>
      <c r="B5" s="26" t="inlineStr">
        <is>
          <t>Include</t>
        </is>
      </c>
      <c r="C5" s="26" t="inlineStr">
        <is>
          <t>category</t>
        </is>
      </c>
      <c r="D5" s="26" t="inlineStr">
        <is>
          <t>Yes/No</t>
        </is>
      </c>
      <c r="E5" s="26" t="inlineStr">
        <is>
          <t>是否进入正式分析</t>
        </is>
      </c>
      <c r="F5" s="26" t="inlineStr">
        <is>
          <t>实验员</t>
        </is>
      </c>
      <c r="G5" s="26" t="inlineStr">
        <is>
          <t>参与者筛选</t>
        </is>
      </c>
      <c r="H5" s="32" t="inlineStr">
        <is>
          <t>按预设标准</t>
        </is>
      </c>
    </row>
    <row r="6">
      <c r="A6" s="31" t="inlineStr">
        <is>
          <t>Participants</t>
        </is>
      </c>
      <c r="B6" s="26" t="inlineStr">
        <is>
          <t>Object_Order_ID</t>
        </is>
      </c>
      <c r="C6" s="26" t="inlineStr">
        <is>
          <t>integer</t>
        </is>
      </c>
      <c r="D6" s="26" t="inlineStr">
        <is>
          <t>1–6</t>
        </is>
      </c>
      <c r="E6" s="26" t="inlineStr">
        <is>
          <t>三物体全排列编号</t>
        </is>
      </c>
      <c r="F6" s="26" t="inlineStr">
        <is>
          <t>预填</t>
        </is>
      </c>
      <c r="G6" s="26" t="inlineStr">
        <is>
          <t>平衡检查</t>
        </is>
      </c>
      <c r="H6" s="32" t="inlineStr">
        <is>
          <t/>
        </is>
      </c>
    </row>
    <row r="7">
      <c r="A7" s="31" t="inlineStr">
        <is>
          <t>Participants</t>
        </is>
      </c>
      <c r="B7" s="26" t="inlineStr">
        <is>
          <t>Method_Sequence</t>
        </is>
      </c>
      <c r="C7" s="26" t="inlineStr">
        <is>
          <t>category</t>
        </is>
      </c>
      <c r="D7" s="26" t="inlineStr">
        <is>
          <t>S1/S2</t>
        </is>
      </c>
      <c r="E7" s="26" t="inlineStr">
        <is>
          <t>对象内互补方法顺序</t>
        </is>
      </c>
      <c r="F7" s="26" t="inlineStr">
        <is>
          <t>预填</t>
        </is>
      </c>
      <c r="G7" s="26" t="inlineStr">
        <is>
          <t>敏感性分析</t>
        </is>
      </c>
      <c r="H7" s="32" t="inlineStr">
        <is>
          <t/>
        </is>
      </c>
    </row>
    <row r="8">
      <c r="A8" s="31" t="inlineStr">
        <is>
          <t>ConditionRatings</t>
        </is>
      </c>
      <c r="B8" s="26" t="inlineStr">
        <is>
          <t>Object_Block_Position</t>
        </is>
      </c>
      <c r="C8" s="26" t="inlineStr">
        <is>
          <t>integer</t>
        </is>
      </c>
      <c r="D8" s="26" t="inlineStr">
        <is>
          <t>1/2/3</t>
        </is>
      </c>
      <c r="E8" s="26" t="inlineStr">
        <is>
          <t>对象在参与者流程中的位置</t>
        </is>
      </c>
      <c r="F8" s="26" t="inlineStr">
        <is>
          <t>预填</t>
        </is>
      </c>
      <c r="G8" s="26" t="inlineStr">
        <is>
          <t>固定效应控制</t>
        </is>
      </c>
      <c r="H8" s="32" t="inlineStr">
        <is>
          <t/>
        </is>
      </c>
    </row>
    <row r="9">
      <c r="A9" s="31" t="inlineStr">
        <is>
          <t>ConditionRatings</t>
        </is>
      </c>
      <c r="B9" s="26" t="inlineStr">
        <is>
          <t>WithinObject_Period</t>
        </is>
      </c>
      <c r="C9" s="26" t="inlineStr">
        <is>
          <t>integer</t>
        </is>
      </c>
      <c r="D9" s="26" t="inlineStr">
        <is>
          <t>1/2</t>
        </is>
      </c>
      <c r="E9" s="26" t="inlineStr">
        <is>
          <t>同一物体内方法先后</t>
        </is>
      </c>
      <c r="F9" s="26" t="inlineStr">
        <is>
          <t>预填</t>
        </is>
      </c>
      <c r="G9" s="26" t="inlineStr">
        <is>
          <t>固定效应控制</t>
        </is>
      </c>
      <c r="H9" s="32" t="inlineStr">
        <is>
          <t/>
        </is>
      </c>
    </row>
    <row r="10">
      <c r="A10" s="31" t="inlineStr">
        <is>
          <t>ConditionRatings</t>
        </is>
      </c>
      <c r="B10" s="26" t="inlineStr">
        <is>
          <t>Display_Label</t>
        </is>
      </c>
      <c r="C10" s="26" t="inlineStr">
        <is>
          <t>category</t>
        </is>
      </c>
      <c r="D10" s="26" t="inlineStr">
        <is>
          <t>A/B</t>
        </is>
      </c>
      <c r="E10" s="26" t="inlineStr">
        <is>
          <t>参与者看到的匿名标签</t>
        </is>
      </c>
      <c r="F10" s="26" t="inlineStr">
        <is>
          <t>预填</t>
        </is>
      </c>
      <c r="G10" s="26" t="inlineStr">
        <is>
          <t>不直接分析</t>
        </is>
      </c>
      <c r="H10" s="32" t="inlineStr">
        <is>
          <t/>
        </is>
      </c>
    </row>
    <row r="11">
      <c r="A11" s="31" t="inlineStr">
        <is>
          <t>ConditionRatings</t>
        </is>
      </c>
      <c r="B11" s="26" t="inlineStr">
        <is>
          <t>Method</t>
        </is>
      </c>
      <c r="C11" s="26" t="inlineStr">
        <is>
          <t>category</t>
        </is>
      </c>
      <c r="D11" s="26" t="inlineStr">
        <is>
          <t>EgoAnchor/One-Euro</t>
        </is>
      </c>
      <c r="E11" s="26" t="inlineStr">
        <is>
          <t>真实锚定方法</t>
        </is>
      </c>
      <c r="F11" s="26" t="inlineStr">
        <is>
          <t>预填</t>
        </is>
      </c>
      <c r="G11" s="26" t="inlineStr">
        <is>
          <t>主要固定效应</t>
        </is>
      </c>
      <c r="H11" s="32" t="inlineStr">
        <is>
          <t/>
        </is>
      </c>
    </row>
    <row r="12">
      <c r="A12" s="31" t="inlineStr">
        <is>
          <t>ConditionRatings</t>
        </is>
      </c>
      <c r="B12" s="26" t="inlineStr">
        <is>
          <t>Condition_Valid</t>
        </is>
      </c>
      <c r="C12" s="26" t="inlineStr">
        <is>
          <t>category</t>
        </is>
      </c>
      <c r="D12" s="26" t="inlineStr">
        <is>
          <t>Yes/No</t>
        </is>
      </c>
      <c r="E12" s="26" t="inlineStr">
        <is>
          <t>条件是否满足预设有效性</t>
        </is>
      </c>
      <c r="F12" s="26" t="inlineStr">
        <is>
          <t>实验员</t>
        </is>
      </c>
      <c r="G12" s="26" t="inlineStr">
        <is>
          <t>筛选</t>
        </is>
      </c>
      <c r="H12" s="32" t="inlineStr">
        <is>
          <t>原因留在 AuditLog</t>
        </is>
      </c>
    </row>
    <row r="13">
      <c r="A13" s="31" t="inlineStr">
        <is>
          <t>ConditionRatings</t>
        </is>
      </c>
      <c r="B13" s="26" t="inlineStr">
        <is>
          <t>Q1–Q7</t>
        </is>
      </c>
      <c r="C13" s="26" t="inlineStr">
        <is>
          <t>integer</t>
        </is>
      </c>
      <c r="D13" s="26" t="inlineStr">
        <is>
          <t>1–7</t>
        </is>
      </c>
      <c r="E13" s="26" t="inlineStr">
        <is>
          <t>七项主观评分</t>
        </is>
      </c>
      <c r="F13" s="26" t="inlineStr">
        <is>
          <t>实验员/系统导出</t>
        </is>
      </c>
      <c r="G13" s="26" t="inlineStr">
        <is>
          <t>七个独立结局</t>
        </is>
      </c>
      <c r="H13" s="32" t="inlineStr">
        <is>
          <t>不合并</t>
        </is>
      </c>
    </row>
    <row r="14">
      <c r="A14" s="31" t="inlineStr">
        <is>
          <t>AuditLog</t>
        </is>
      </c>
      <c r="B14" s="26" t="inlineStr">
        <is>
          <t>Runtime_Crash</t>
        </is>
      </c>
      <c r="C14" s="26" t="inlineStr">
        <is>
          <t>category</t>
        </is>
      </c>
      <c r="D14" s="26" t="inlineStr">
        <is>
          <t>Yes/No</t>
        </is>
      </c>
      <c r="E14" s="26" t="inlineStr">
        <is>
          <t>运行时是否崩溃</t>
        </is>
      </c>
      <c r="F14" s="26" t="inlineStr">
        <is>
          <t>实验员</t>
        </is>
      </c>
      <c r="G14" s="26" t="inlineStr">
        <is>
          <t>审计</t>
        </is>
      </c>
      <c r="H14" s="32" t="inlineStr">
        <is>
          <t>非因变量</t>
        </is>
      </c>
    </row>
    <row r="15">
      <c r="A15" s="31" t="inlineStr">
        <is>
          <t>AuditLog</t>
        </is>
      </c>
      <c r="B15" s="26" t="inlineStr">
        <is>
          <t>Reinitialization_Count</t>
        </is>
      </c>
      <c r="C15" s="26" t="inlineStr">
        <is>
          <t>integer</t>
        </is>
      </c>
      <c r="D15" s="26" t="inlineStr">
        <is>
          <t>0+</t>
        </is>
      </c>
      <c r="E15" s="26" t="inlineStr">
        <is>
          <t>该条件重初始化次数</t>
        </is>
      </c>
      <c r="F15" s="26" t="inlineStr">
        <is>
          <t>实验员</t>
        </is>
      </c>
      <c r="G15" s="26" t="inlineStr">
        <is>
          <t>审计/敏感性</t>
        </is>
      </c>
      <c r="H15" s="32" t="inlineStr">
        <is>
          <t>非因变量</t>
        </is>
      </c>
    </row>
    <row r="16">
      <c r="A16" s="31" t="inlineStr">
        <is>
          <t>AuditLog</t>
        </is>
      </c>
      <c r="B16" s="26" t="inlineStr">
        <is>
          <t>Occlusion_Duration_s</t>
        </is>
      </c>
      <c r="C16" s="26" t="inlineStr">
        <is>
          <t>numeric</t>
        </is>
      </c>
      <c r="D16" s="26" t="inlineStr">
        <is>
          <t>冻结后的单一目标时长；预期 0.6–0.9</t>
        </is>
      </c>
      <c r="E16" s="26" t="inlineStr">
        <is>
          <t>实际遮挡时长</t>
        </is>
      </c>
      <c r="F16" s="26" t="inlineStr">
        <is>
          <t>实验员</t>
        </is>
      </c>
      <c r="G16" s="26" t="inlineStr">
        <is>
          <t>操纵检查</t>
        </is>
      </c>
      <c r="H16" s="32" t="inlineStr">
        <is>
          <t>非绩效结局</t>
        </is>
      </c>
    </row>
    <row r="17">
      <c r="A17" s="31" t="inlineStr">
        <is>
          <t>FinalFeedback</t>
        </is>
      </c>
      <c r="B17" s="26" t="inlineStr">
        <is>
          <t>Final_Choice</t>
        </is>
      </c>
      <c r="C17" s="26" t="inlineStr">
        <is>
          <t>category</t>
        </is>
      </c>
      <c r="D17" s="26" t="inlineStr">
        <is>
          <t>EgoAnchor/One-Euro/No clear preference</t>
        </is>
      </c>
      <c r="E17" s="26" t="inlineStr">
        <is>
          <t>总体选择</t>
        </is>
      </c>
      <c r="F17" s="26" t="inlineStr">
        <is>
          <t>实验员</t>
        </is>
      </c>
      <c r="G17" s="26" t="inlineStr">
        <is>
          <t>人数与比例</t>
        </is>
      </c>
      <c r="H17" s="32" t="inlineStr">
        <is>
          <t/>
        </is>
      </c>
    </row>
    <row r="18">
      <c r="A18" s="31" t="inlineStr">
        <is>
          <t>FinalFeedback</t>
        </is>
      </c>
      <c r="B18" s="26" t="inlineStr">
        <is>
          <t>Most_Noticeable_Difference</t>
        </is>
      </c>
      <c r="C18" s="26" t="inlineStr">
        <is>
          <t>text</t>
        </is>
      </c>
      <c r="D18" s="26" t="inlineStr">
        <is>
          <t>开放文本</t>
        </is>
      </c>
      <c r="E18" s="26" t="inlineStr">
        <is>
          <t>最明显差异</t>
        </is>
      </c>
      <c r="F18" s="26" t="inlineStr">
        <is>
          <t>参与者</t>
        </is>
      </c>
      <c r="G18" s="26" t="inlineStr">
        <is>
          <t>主题分析</t>
        </is>
      </c>
      <c r="H18" s="32" t="inlineStr">
        <is>
          <t/>
        </is>
      </c>
    </row>
    <row r="19">
      <c r="A19" s="33" t="inlineStr">
        <is>
          <t>FinalFeedback</t>
        </is>
      </c>
      <c r="B19" s="34" t="inlineStr">
        <is>
          <t>Primary_Distrust_Factor</t>
        </is>
      </c>
      <c r="C19" s="34" t="inlineStr">
        <is>
          <t>text</t>
        </is>
      </c>
      <c r="D19" s="34" t="inlineStr">
        <is>
          <t>开放文本</t>
        </is>
      </c>
      <c r="E19" s="34" t="inlineStr">
        <is>
          <t>最易破坏信任的现象</t>
        </is>
      </c>
      <c r="F19" s="34" t="inlineStr">
        <is>
          <t>参与者</t>
        </is>
      </c>
      <c r="G19" s="34" t="inlineStr">
        <is>
          <t>主题分析</t>
        </is>
      </c>
      <c r="H19" s="3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relationships/extended-properties" xmlns:vt="http://schemas.openxmlformats.org/officeDocument/2006/relationships/docPropsVTypes">
  <Application>Microsoft Excel Compatible Workbook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Protocol</vt:lpstr>
      <vt:lpstr>Questionnaire</vt:lpstr>
      <vt:lpstr>ScaleAnchors</vt:lpstr>
      <vt:lpstr>BalanceSchedule</vt:lpstr>
      <vt:lpstr>Participants</vt:lpstr>
      <vt:lpstr>ConditionRatings</vt:lpstr>
      <vt:lpstr>FinalFeedback</vt:lpstr>
      <vt:lpstr>AuditLog</vt:lpstr>
      <vt:lpstr>DataChecks</vt:lpstr>
      <vt:lpstr>Descriptives</vt:lpstr>
      <vt:lpstr>AnalysisPlan</vt:lpstr>
      <vt:lpstr>RCode</vt:lpstr>
      <vt:lpstr>ResultsTemplate</vt:lpstr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EgoAnchor Experiment 3 Detailed Workbook</dc:title>
  <dc:subject>24-participant frozen v9 data collection and analysis</dc:subject>
  <dc:creator>OpenAI</dc:creator>
  <cp:lastModifiedBy>OpenAI</cp:lastModifiedBy>
  <dcterms:created xsi:type="dcterms:W3CDTF">2026-07-26T11:12:19Z</dcterms:created>
  <dcterms:modified xsi:type="dcterms:W3CDTF">2026-07-26T11:12:19Z</dcterms:modified>
</cp:coreProperties>
</file>