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articipants" sheetId="2" state="visible" r:id="rId2"/>
    <sheet name="Records" sheetId="3" state="visible" r:id="rId3"/>
    <sheet name="Derived" sheetId="4" state="visible" r:id="rId4"/>
    <sheet name="Analysis" sheetId="5" state="visible" r:id="rId5"/>
    <sheet name="Resample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00"/>
    <numFmt numFmtId="165" formatCode="0.0"/>
    <numFmt numFmtId="166" formatCode="+0.000;-0.000;0.000"/>
    <numFmt numFmtId="167" formatCode="0.0000"/>
    <numFmt numFmtId="168" formatCode="+0.0000;-0.0000;0.0000"/>
  </numFmts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9C0006"/>
      <sz val="11"/>
    </font>
    <font>
      <b val="1"/>
      <sz val="10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699"/>
      </patternFill>
    </fill>
    <fill>
      <patternFill patternType="solid">
        <fgColor rgb="00D9E2F3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vertical="top" wrapText="1"/>
    </xf>
    <xf numFmtId="0" fontId="0" fillId="3" borderId="0" pivotButton="0" quotePrefix="0" xfId="0"/>
    <xf numFmtId="0" fontId="3" fillId="4" borderId="1" pivotButton="0" quotePrefix="0" xfId="0"/>
    <xf numFmtId="0" fontId="0" fillId="0" borderId="1" pivotButton="0" quotePrefix="0" xfId="0"/>
    <xf numFmtId="0" fontId="4" fillId="5" borderId="0" pivotButton="0" quotePrefix="0" xfId="0"/>
    <xf numFmtId="0" fontId="0" fillId="5" borderId="0" pivotButton="0" quotePrefix="0" xfId="0"/>
    <xf numFmtId="0" fontId="3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2" fontId="0" fillId="0" borderId="1" pivotButton="0" quotePrefix="0" xfId="0"/>
    <xf numFmtId="164" fontId="0" fillId="6" borderId="1" pivotButton="0" quotePrefix="0" xfId="0"/>
    <xf numFmtId="165" fontId="0" fillId="6" borderId="1" pivotButton="0" quotePrefix="0" xfId="0"/>
    <xf numFmtId="0" fontId="0" fillId="6" borderId="1" pivotButton="0" quotePrefix="0" xfId="0"/>
    <xf numFmtId="1" fontId="0" fillId="6" borderId="1" pivotButton="0" quotePrefix="0" xfId="0"/>
    <xf numFmtId="166" fontId="0" fillId="6" borderId="1" pivotButton="0" quotePrefix="0" xfId="0"/>
    <xf numFmtId="165" fontId="0" fillId="7" borderId="1" pivotButton="0" quotePrefix="0" xfId="0"/>
    <xf numFmtId="167" fontId="0" fillId="7" borderId="1" pivotButton="0" quotePrefix="0" xfId="0"/>
    <xf numFmtId="166" fontId="0" fillId="7" borderId="1" pivotButton="0" quotePrefix="0" xfId="0"/>
    <xf numFmtId="0" fontId="0" fillId="7" borderId="1" pivotButton="0" quotePrefix="0" xfId="0"/>
    <xf numFmtId="164" fontId="0" fillId="7" borderId="1" pivotButton="0" quotePrefix="0" xfId="0"/>
    <xf numFmtId="2" fontId="0" fillId="6" borderId="1" pivotButton="0" quotePrefix="0" xfId="0"/>
    <xf numFmtId="168" fontId="0" fillId="6" borderId="1" pivotButton="0" quotePrefix="0" xfId="0"/>
    <xf numFmtId="1" fontId="0" fillId="7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  <col width="34" customWidth="1" min="4" max="4"/>
    <col width="40" customWidth="1" min="5" max="5"/>
  </cols>
  <sheetData>
    <row r="1">
      <c r="A1" s="1" t="inlineStr">
        <is>
          <t>EgoAnchor 实验三 · AI 模拟演练数据（Round 2 · Claude-Opus-5-1M）</t>
        </is>
      </c>
      <c r="B1" s="2" t="n"/>
      <c r="C1" s="2" t="n"/>
      <c r="D1" s="2" t="n"/>
      <c r="E1" s="2" t="n"/>
    </row>
    <row r="2" ht="46" customHeight="1">
      <c r="A2" s="3" t="inlineStr">
        <is>
          <t>【合成数据 · 严禁作为真实实验数据使用】本工作簿全部评分由语言模型扮演虚拟参与者生成，只用于 v5.1 采集表填写演练与分析流程验证；不得进入论文结果、效应量、功效或样本量推断，不得与真实参与者数据合并。</t>
        </is>
      </c>
      <c r="B2" s="4" t="n"/>
      <c r="C2" s="4" t="n"/>
      <c r="D2" s="4" t="n"/>
      <c r="E2" s="4" t="n"/>
    </row>
    <row r="4">
      <c r="A4" s="5" t="inlineStr">
        <is>
          <t>生成模型</t>
        </is>
      </c>
      <c r="B4" s="6" t="inlineStr">
        <is>
          <t>Claude-Opus-5-1M</t>
        </is>
      </c>
      <c r="C4" s="5" t="n"/>
      <c r="D4" s="6" t="n"/>
      <c r="E4" s="6" t="n"/>
    </row>
    <row r="5">
      <c r="A5" s="5" t="inlineStr">
        <is>
          <t>轮次</t>
        </is>
      </c>
      <c r="B5" s="6" t="inlineStr">
        <is>
          <t>Round 2（独立重抽，不复用 Round 1 参数校准）</t>
        </is>
      </c>
      <c r="C5" s="5" t="n"/>
      <c r="D5" s="6" t="n"/>
      <c r="E5" s="6" t="n"/>
    </row>
    <row r="6">
      <c r="A6" s="5" t="inlineStr">
        <is>
          <t>主种子</t>
        </is>
      </c>
      <c r="B6" s="6" t="inlineStr">
        <is>
          <t>202607272</t>
        </is>
      </c>
      <c r="C6" s="5" t="inlineStr">
        <is>
          <t>换种子重抽次数</t>
        </is>
      </c>
      <c r="D6" s="6" t="inlineStr">
        <is>
          <t>400</t>
        </is>
      </c>
      <c r="E6" s="6" t="n"/>
    </row>
    <row r="7">
      <c r="A7" s="5" t="inlineStr">
        <is>
          <t>生成时间</t>
        </is>
      </c>
      <c r="B7" s="6" t="inlineStr">
        <is>
          <t>2026-07-27 15:42</t>
        </is>
      </c>
      <c r="C7" s="5" t="n"/>
      <c r="D7" s="6" t="n"/>
      <c r="E7" s="6" t="n"/>
    </row>
    <row r="8">
      <c r="A8" s="5" t="inlineStr">
        <is>
          <t>设计版本</t>
        </is>
      </c>
      <c r="B8" s="6" t="inlineStr">
        <is>
          <t>问卷 v5.1（32 条目 / 每人 108 评分）</t>
        </is>
      </c>
      <c r="C8" s="5" t="inlineStr">
        <is>
          <t>样本</t>
        </is>
      </c>
      <c r="D8" s="6" t="inlineStr">
        <is>
          <t>N=24（24 平衡单元各 1 人）</t>
        </is>
      </c>
      <c r="E8" s="6" t="n"/>
    </row>
    <row r="9">
      <c r="A9" s="5" t="inlineStr">
        <is>
          <t>结构来源</t>
        </is>
      </c>
      <c r="B9" s="6" t="inlineStr">
        <is>
          <t>官方采集表 EgoAnchor_Experiment3_DataCollection_24P_v5_1_Beautified_Checked_VSCodeSafe.xlsx</t>
        </is>
      </c>
      <c r="C9" s="5" t="n"/>
      <c r="D9" s="6" t="n"/>
      <c r="E9" s="6" t="n"/>
    </row>
    <row r="10">
      <c r="A10" s="5" t="inlineStr">
        <is>
          <t>权威规格</t>
        </is>
      </c>
      <c r="B10" s="6" t="inlineStr">
        <is>
          <t>2026-EgoAnchor/experiment_3_questionnaire_design_zh.md（v5.1）</t>
        </is>
      </c>
      <c r="C10" s="5" t="n"/>
      <c r="D10" s="6" t="n"/>
      <c r="E10" s="6" t="n"/>
    </row>
    <row r="12">
      <c r="A12" s="7" t="inlineStr">
        <is>
          <t>工作簿结构与小分公式约定</t>
        </is>
      </c>
      <c r="B12" s="8" t="n"/>
      <c r="C12" s="8" t="n"/>
      <c r="D12" s="8" t="n"/>
      <c r="E12" s="8" t="n"/>
    </row>
    <row r="13">
      <c r="A13" s="9" t="inlineStr">
        <is>
          <t>工作表</t>
        </is>
      </c>
      <c r="B13" s="9" t="inlineStr">
        <is>
          <t>内容</t>
        </is>
      </c>
      <c r="C13" s="9" t="inlineStr">
        <is>
          <t>小分是否公式计算</t>
        </is>
      </c>
      <c r="D13" s="9" t="inlineStr">
        <is>
          <t>说明</t>
        </is>
      </c>
      <c r="E13" s="9" t="inlineStr">
        <is>
          <t>备注</t>
        </is>
      </c>
    </row>
    <row r="14" ht="34" customHeight="1">
      <c r="A14" s="10" t="inlineStr">
        <is>
          <t>Participants</t>
        </is>
      </c>
      <c r="B14" s="10" t="inlineStr">
        <is>
          <t>24 名虚拟参与者的平衡单元、背景 B1–B6、人物速写</t>
        </is>
      </c>
      <c r="C14" s="10" t="inlineStr">
        <is>
          <t>—</t>
        </is>
      </c>
      <c r="D14" s="10" t="inlineStr">
        <is>
          <t>平衡单元定义沿用官方采集表；人物到单元的指派按感知灵敏度分层随机</t>
        </is>
      </c>
      <c r="E14" s="10" t="inlineStr">
        <is>
          <t>人物速写为手写内容</t>
        </is>
      </c>
    </row>
    <row r="15" ht="34" customHeight="1">
      <c r="A15" s="10" t="inlineStr">
        <is>
          <t>Records</t>
        </is>
      </c>
      <c r="B15" s="10" t="inlineStr">
        <is>
          <t>实验记录三段堆叠：A 区块 144 行 / B 方法级 48 行 / C 最终 24 行</t>
        </is>
      </c>
      <c r="C15" s="10" t="inlineStr">
        <is>
          <t>否（只放原始评分）</t>
        </is>
      </c>
      <c r="D15" s="10" t="inlineStr">
        <is>
          <t>含 TiA 四个反向项的**原始分**；按计划书 9.1，原始评分不得被反向分覆盖</t>
        </is>
      </c>
      <c r="E15" s="10" t="inlineStr">
        <is>
          <t>唯一的数据输入表</t>
        </is>
      </c>
    </row>
    <row r="16" ht="34" customHeight="1">
      <c r="A16" s="10" t="inlineStr">
        <is>
          <t>Derived</t>
        </is>
      </c>
      <c r="B16" s="10" t="inlineStr">
        <is>
          <t>四级派生：区块 AQ 子量表 → 方法级反向计分与分量表 → 每人每方法三物体均值 → 每人配对差</t>
        </is>
      </c>
      <c r="C16" s="10" t="inlineStr">
        <is>
          <t>**是 · 全部公式**</t>
        </is>
      </c>
      <c r="D16" s="10" t="inlineStr">
        <is>
          <t>改动 Records 中任一原始评分，本表全部小分立即重算</t>
        </is>
      </c>
      <c r="E16" s="10" t="inlineStr">
        <is>
          <t>绿底 = 公式</t>
        </is>
      </c>
    </row>
    <row r="17" ht="34" customHeight="1">
      <c r="A17" s="10" t="inlineStr">
        <is>
          <t>Analysis</t>
        </is>
      </c>
      <c r="B17" s="10" t="inlineStr">
        <is>
          <t>回填壳：主家族 7 项 / 量表家族 5 检验 / 逐物体 / 操纵检验 / 最终计数 / 开放题</t>
        </is>
      </c>
      <c r="C17" s="10" t="inlineStr">
        <is>
          <t>**是 · Mdn、IQR、配对差、dz 均为公式**</t>
        </is>
      </c>
      <c r="D17" s="10" t="inlineStr">
        <is>
          <t>W、p、Holm 校正 p、r_rb 自举 CI 与 α/ω 由 Python 写入（普通单元格函数无法表达）</t>
        </is>
      </c>
      <c r="E17" s="10" t="inlineStr">
        <is>
          <t>绿底 = 公式；黄底 = Python 数值</t>
        </is>
      </c>
    </row>
    <row r="18" ht="34" customHeight="1">
      <c r="A18" s="10" t="inlineStr">
        <is>
          <t>Resample</t>
        </is>
      </c>
      <c r="B18" s="10" t="inlineStr">
        <is>
          <t>400 次换种子重抽的 p 与 dz 分布</t>
        </is>
      </c>
      <c r="C18" s="10" t="inlineStr">
        <is>
          <t>—</t>
        </is>
      </c>
      <c r="D18" s="10" t="inlineStr">
        <is>
          <t>回答「单次抽样是否可复现」：报告分布而非单点</t>
        </is>
      </c>
      <c r="E18" s="10" t="inlineStr">
        <is>
          <t>本轮新增</t>
        </is>
      </c>
    </row>
    <row r="20">
      <c r="A20" s="7" t="inlineStr">
        <is>
          <t>本轮与 Round 1 的差异</t>
        </is>
      </c>
      <c r="B20" s="8" t="n"/>
      <c r="C20" s="8" t="n"/>
      <c r="D20" s="8" t="n"/>
      <c r="E20" s="8" t="n"/>
    </row>
    <row r="21" ht="30" customHeight="1">
      <c r="A21" s="10" t="inlineStr">
        <is>
          <t>1. 24 名虚拟参与者改为逐人手写人物设定（背景、评分风格、逐通道感知灵敏度、信任倾向、两道开放题原文与访谈备注），生成器只把人物参数映射成 108 个评分。</t>
        </is>
      </c>
    </row>
    <row r="22" ht="30" customHeight="1">
      <c r="A22" s="10" t="inlineStr">
        <is>
          <t>2. 不做事后校准：潜在效应量按实验一/二实测通道差异一次设定后不再按实得效应回调，只取单次抽样结果，因此本轮结论是「一次真实抽样」而非「中心估计的一次实现」。</t>
        </is>
      </c>
    </row>
    <row r="23" ht="30" customHeight="1">
      <c r="A23" s="10" t="inlineStr">
        <is>
          <t>3. 人物到平衡单元的指派按感知灵敏度分层随机搜索：手写人物按专家/新手交替的叙事节奏排列，若直接顺序对应会使灵敏度与先行方法共线（实测相差 26%），凭空造出顺序效应。</t>
        </is>
      </c>
    </row>
    <row r="24" ht="30" customHeight="1">
      <c r="A24" s="10" t="inlineStr">
        <is>
          <t>4. 问卷小分全部改由公式实时计算，Python 只写原始评分。</t>
        </is>
      </c>
    </row>
    <row r="25" ht="30" customHeight="1">
      <c r="A25" s="10" t="inlineStr">
        <is>
          <t>5. 追加 400 次换种子重抽，报告 p 与 dz 的分布而非单点。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9" customWidth="1" min="4" max="4"/>
    <col width="12" customWidth="1" min="5" max="5"/>
    <col width="13" customWidth="1" min="6" max="6"/>
    <col width="12" customWidth="1" min="7" max="7"/>
    <col width="17" customWidth="1" min="8" max="8"/>
    <col width="13" customWidth="1" min="9" max="9"/>
    <col width="13" customWidth="1" min="10" max="10"/>
    <col width="13" customWidth="1" min="11" max="11"/>
    <col width="8" customWidth="1" min="12" max="12"/>
    <col width="12" customWidth="1" min="13" max="13"/>
    <col width="9" customWidth="1" min="14" max="14"/>
    <col width="13" customWidth="1" min="15" max="15"/>
    <col width="12" customWidth="1" min="16" max="16"/>
    <col width="12" customWidth="1" min="17" max="17"/>
    <col width="10" customWidth="1" min="18" max="18"/>
    <col width="10" customWidth="1" min="19" max="19"/>
    <col width="10" customWidth="1" min="20" max="20"/>
    <col width="10" customWidth="1" min="21" max="21"/>
    <col width="9" customWidth="1" min="22" max="22"/>
    <col width="14" customWidth="1" min="23" max="23"/>
    <col width="20" customWidth="1" min="24" max="24"/>
    <col width="52" customWidth="1" min="25" max="25"/>
    <col width="13" customWidth="1" min="26" max="26"/>
  </cols>
  <sheetData>
    <row r="1">
      <c r="A1" s="1" t="inlineStr">
        <is>
          <t>参与者信息与 24 平衡单元（合成数据；方法映射两列仅实验员可见）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9" t="inlineStr">
        <is>
          <t>Participant_ID</t>
        </is>
      </c>
      <c r="B2" s="9" t="inlineStr">
        <is>
          <t>平衡单元</t>
        </is>
      </c>
      <c r="C2" s="9" t="inlineStr">
        <is>
          <t>物体排列ID</t>
        </is>
      </c>
      <c r="D2" s="9" t="inlineStr">
        <is>
          <t>标签序列</t>
        </is>
      </c>
      <c r="E2" s="9" t="inlineStr">
        <is>
          <t>物体1</t>
        </is>
      </c>
      <c r="F2" s="9" t="inlineStr">
        <is>
          <t>物体2</t>
        </is>
      </c>
      <c r="G2" s="9" t="inlineStr">
        <is>
          <t>物体3</t>
        </is>
      </c>
      <c r="H2" s="9" t="inlineStr">
        <is>
          <t>区块内标签顺序</t>
        </is>
      </c>
      <c r="I2" s="9" t="inlineStr">
        <is>
          <t>方法A=（保密）</t>
        </is>
      </c>
      <c r="J2" s="9" t="inlineStr">
        <is>
          <t>方法B=（保密）</t>
        </is>
      </c>
      <c r="K2" s="9" t="inlineStr">
        <is>
          <t>先行实际方法</t>
        </is>
      </c>
      <c r="L2" s="9" t="inlineStr">
        <is>
          <t>B1_年龄</t>
        </is>
      </c>
      <c r="M2" s="9" t="inlineStr">
        <is>
          <t>B2_性别</t>
        </is>
      </c>
      <c r="N2" s="9" t="inlineStr">
        <is>
          <t>B3_主手</t>
        </is>
      </c>
      <c r="O2" s="9" t="inlineStr">
        <is>
          <t>B4_视力</t>
        </is>
      </c>
      <c r="P2" s="9" t="inlineStr">
        <is>
          <t>B5_VR/MR经验</t>
        </is>
      </c>
      <c r="Q2" s="9" t="inlineStr">
        <is>
          <t>B6_实物MR经验</t>
        </is>
      </c>
      <c r="R2" s="9" t="inlineStr">
        <is>
          <t>签署同意</t>
        </is>
      </c>
      <c r="S2" s="9" t="inlineStr">
        <is>
          <t>基线不适</t>
        </is>
      </c>
      <c r="T2" s="9" t="inlineStr">
        <is>
          <t>开始时间</t>
        </is>
      </c>
      <c r="U2" s="9" t="inlineStr">
        <is>
          <t>结束时间</t>
        </is>
      </c>
      <c r="V2" s="9" t="inlineStr">
        <is>
          <t>纳入分析</t>
        </is>
      </c>
      <c r="W2" s="9" t="inlineStr">
        <is>
          <t>退出/技术问题</t>
        </is>
      </c>
      <c r="X2" s="9" t="inlineStr">
        <is>
          <t>备注</t>
        </is>
      </c>
      <c r="Y2" s="9" t="inlineStr">
        <is>
          <t>人物速写（手写）</t>
        </is>
      </c>
      <c r="Z2" s="9" t="inlineStr">
        <is>
          <t>感知灵敏度设定</t>
        </is>
      </c>
    </row>
    <row r="3" ht="30" customHeight="1">
      <c r="A3" s="6" t="inlineStr">
        <is>
          <t>P001</t>
        </is>
      </c>
      <c r="B3" s="6" t="inlineStr">
        <is>
          <t>O6-S1-EA</t>
        </is>
      </c>
      <c r="C3" s="6" t="n">
        <v>6</v>
      </c>
      <c r="D3" s="6" t="inlineStr">
        <is>
          <t>S1</t>
        </is>
      </c>
      <c r="E3" s="6" t="inlineStr">
        <is>
          <t>游戏手柄</t>
        </is>
      </c>
      <c r="F3" s="6" t="inlineStr">
        <is>
          <t>固定订书机</t>
        </is>
      </c>
      <c r="G3" s="6" t="inlineStr">
        <is>
          <t>鼠标</t>
        </is>
      </c>
      <c r="H3" s="6" t="inlineStr">
        <is>
          <t>A-B / B-A / A-B</t>
        </is>
      </c>
      <c r="I3" s="6" t="inlineStr">
        <is>
          <t>EgoAnchor</t>
        </is>
      </c>
      <c r="J3" s="6" t="inlineStr">
        <is>
          <t>One-Euro</t>
        </is>
      </c>
      <c r="K3" s="6" t="inlineStr">
        <is>
          <t>EgoAnchor</t>
        </is>
      </c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inlineStr">
        <is>
          <t>是</t>
        </is>
      </c>
      <c r="W3" s="6" t="inlineStr">
        <is>
          <t>无</t>
        </is>
      </c>
      <c r="X3" s="6" t="n"/>
      <c r="Y3" s="10" t="inlineStr">
        <is>
          <t>工科研究生，玩过几款 VR 射击游戏。习惯先盯着物体边缘看有没有“毛边”，静止阶段几乎不动头就先下判断。</t>
        </is>
      </c>
      <c r="Z3" s="11" t="n">
        <v>1.25</v>
      </c>
    </row>
    <row r="4" ht="30" customHeight="1">
      <c r="A4" s="6" t="inlineStr">
        <is>
          <t>P002</t>
        </is>
      </c>
      <c r="B4" s="6" t="inlineStr">
        <is>
          <t>O4-S2-EA</t>
        </is>
      </c>
      <c r="C4" s="6" t="n">
        <v>4</v>
      </c>
      <c r="D4" s="6" t="inlineStr">
        <is>
          <t>S2</t>
        </is>
      </c>
      <c r="E4" s="6" t="inlineStr">
        <is>
          <t>固定订书机</t>
        </is>
      </c>
      <c r="F4" s="6" t="inlineStr">
        <is>
          <t>游戏手柄</t>
        </is>
      </c>
      <c r="G4" s="6" t="inlineStr">
        <is>
          <t>鼠标</t>
        </is>
      </c>
      <c r="H4" s="6" t="inlineStr">
        <is>
          <t>B-A / A-B / B-A</t>
        </is>
      </c>
      <c r="I4" s="6" t="inlineStr">
        <is>
          <t>EgoAnchor</t>
        </is>
      </c>
      <c r="J4" s="6" t="inlineStr">
        <is>
          <t>One-Euro</t>
        </is>
      </c>
      <c r="K4" s="6" t="inlineStr">
        <is>
          <t>One-Euro</t>
        </is>
      </c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inlineStr">
        <is>
          <t>是</t>
        </is>
      </c>
      <c r="W4" s="6" t="inlineStr">
        <is>
          <t>无</t>
        </is>
      </c>
      <c r="X4" s="6" t="n"/>
      <c r="Y4" s="10" t="inlineStr">
        <is>
          <t>人文社科背景，第二次戴头显，全程比较客气，评分集中在 5–6 分，很少用 1 和 7。</t>
        </is>
      </c>
      <c r="Z4" s="11" t="n">
        <v>0.7</v>
      </c>
    </row>
    <row r="5" ht="30" customHeight="1">
      <c r="A5" s="6" t="inlineStr">
        <is>
          <t>P003</t>
        </is>
      </c>
      <c r="B5" s="6" t="inlineStr">
        <is>
          <t>O4-S2-OE</t>
        </is>
      </c>
      <c r="C5" s="6" t="n">
        <v>4</v>
      </c>
      <c r="D5" s="6" t="inlineStr">
        <is>
          <t>S2</t>
        </is>
      </c>
      <c r="E5" s="6" t="inlineStr">
        <is>
          <t>固定订书机</t>
        </is>
      </c>
      <c r="F5" s="6" t="inlineStr">
        <is>
          <t>游戏手柄</t>
        </is>
      </c>
      <c r="G5" s="6" t="inlineStr">
        <is>
          <t>鼠标</t>
        </is>
      </c>
      <c r="H5" s="6" t="inlineStr">
        <is>
          <t>B-A / A-B / B-A</t>
        </is>
      </c>
      <c r="I5" s="6" t="inlineStr">
        <is>
          <t>One-Euro</t>
        </is>
      </c>
      <c r="J5" s="6" t="inlineStr">
        <is>
          <t>EgoAnchor</t>
        </is>
      </c>
      <c r="K5" s="6" t="inlineStr">
        <is>
          <t>EgoAnchor</t>
        </is>
      </c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inlineStr">
        <is>
          <t>是</t>
        </is>
      </c>
      <c r="W5" s="6" t="inlineStr">
        <is>
          <t>无</t>
        </is>
      </c>
      <c r="X5" s="6" t="n"/>
      <c r="Y5" s="10" t="inlineStr">
        <is>
          <t>做过 AR 相关外包，见过不少“对不齐”的 demo，标准很高，愿意给 2 分也愿意给 7 分。全程话不多但每题停顿明显。</t>
        </is>
      </c>
      <c r="Z5" s="11" t="n">
        <v>1.45</v>
      </c>
    </row>
    <row r="6" ht="30" customHeight="1">
      <c r="A6" s="6" t="inlineStr">
        <is>
          <t>P004</t>
        </is>
      </c>
      <c r="B6" s="6" t="inlineStr">
        <is>
          <t>O4-S1-OE</t>
        </is>
      </c>
      <c r="C6" s="6" t="n">
        <v>4</v>
      </c>
      <c r="D6" s="6" t="inlineStr">
        <is>
          <t>S1</t>
        </is>
      </c>
      <c r="E6" s="6" t="inlineStr">
        <is>
          <t>固定订书机</t>
        </is>
      </c>
      <c r="F6" s="6" t="inlineStr">
        <is>
          <t>游戏手柄</t>
        </is>
      </c>
      <c r="G6" s="6" t="inlineStr">
        <is>
          <t>鼠标</t>
        </is>
      </c>
      <c r="H6" s="6" t="inlineStr">
        <is>
          <t>A-B / B-A / A-B</t>
        </is>
      </c>
      <c r="I6" s="6" t="inlineStr">
        <is>
          <t>One-Euro</t>
        </is>
      </c>
      <c r="J6" s="6" t="inlineStr">
        <is>
          <t>EgoAnchor</t>
        </is>
      </c>
      <c r="K6" s="6" t="inlineStr">
        <is>
          <t>One-Euro</t>
        </is>
      </c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inlineStr">
        <is>
          <t>是</t>
        </is>
      </c>
      <c r="W6" s="6" t="inlineStr">
        <is>
          <t>无</t>
        </is>
      </c>
      <c r="X6" s="6" t="n"/>
      <c r="Y6" s="10" t="inlineStr">
        <is>
          <t>设计专业，左手主操作。特别在意“跟不跟手”，对静止时的细微抖动几乎无感，但一说到延迟立刻皱眉。</t>
        </is>
      </c>
      <c r="Z6" s="11" t="n">
        <v>0.55</v>
      </c>
    </row>
    <row r="7" ht="30" customHeight="1">
      <c r="A7" s="6" t="inlineStr">
        <is>
          <t>P005</t>
        </is>
      </c>
      <c r="B7" s="6" t="inlineStr">
        <is>
          <t>O3-S2-EA</t>
        </is>
      </c>
      <c r="C7" s="6" t="n">
        <v>3</v>
      </c>
      <c r="D7" s="6" t="inlineStr">
        <is>
          <t>S2</t>
        </is>
      </c>
      <c r="E7" s="6" t="inlineStr">
        <is>
          <t>固定订书机</t>
        </is>
      </c>
      <c r="F7" s="6" t="inlineStr">
        <is>
          <t>鼠标</t>
        </is>
      </c>
      <c r="G7" s="6" t="inlineStr">
        <is>
          <t>游戏手柄</t>
        </is>
      </c>
      <c r="H7" s="6" t="inlineStr">
        <is>
          <t>B-A / A-B / B-A</t>
        </is>
      </c>
      <c r="I7" s="6" t="inlineStr">
        <is>
          <t>EgoAnchor</t>
        </is>
      </c>
      <c r="J7" s="6" t="inlineStr">
        <is>
          <t>One-Euro</t>
        </is>
      </c>
      <c r="K7" s="6" t="inlineStr">
        <is>
          <t>One-Euro</t>
        </is>
      </c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inlineStr">
        <is>
          <t>是</t>
        </is>
      </c>
      <c r="W7" s="6" t="inlineStr">
        <is>
          <t>无</t>
        </is>
      </c>
      <c r="X7" s="6" t="n"/>
      <c r="Y7" s="10" t="inlineStr">
        <is>
          <t>计算机视觉方向博士生，日常用头显做开发。会自发对照物体轮廓和虚拟轮廓的边界。</t>
        </is>
      </c>
      <c r="Z7" s="11" t="n">
        <v>1.3</v>
      </c>
    </row>
    <row r="8" ht="30" customHeight="1">
      <c r="A8" s="6" t="inlineStr">
        <is>
          <t>P006</t>
        </is>
      </c>
      <c r="B8" s="6" t="inlineStr">
        <is>
          <t>O1-S2-OE</t>
        </is>
      </c>
      <c r="C8" s="6" t="n">
        <v>1</v>
      </c>
      <c r="D8" s="6" t="inlineStr">
        <is>
          <t>S2</t>
        </is>
      </c>
      <c r="E8" s="6" t="inlineStr">
        <is>
          <t>鼠标</t>
        </is>
      </c>
      <c r="F8" s="6" t="inlineStr">
        <is>
          <t>固定订书机</t>
        </is>
      </c>
      <c r="G8" s="6" t="inlineStr">
        <is>
          <t>游戏手柄</t>
        </is>
      </c>
      <c r="H8" s="6" t="inlineStr">
        <is>
          <t>B-A / A-B / B-A</t>
        </is>
      </c>
      <c r="I8" s="6" t="inlineStr">
        <is>
          <t>One-Euro</t>
        </is>
      </c>
      <c r="J8" s="6" t="inlineStr">
        <is>
          <t>EgoAnchor</t>
        </is>
      </c>
      <c r="K8" s="6" t="inlineStr">
        <is>
          <t>EgoAnchor</t>
        </is>
      </c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inlineStr">
        <is>
          <t>是</t>
        </is>
      </c>
      <c r="W8" s="6" t="inlineStr">
        <is>
          <t>无</t>
        </is>
      </c>
      <c r="X8" s="6" t="n"/>
      <c r="Y8" s="10" t="inlineStr">
        <is>
          <t>本科一年级，头显新手，全程觉得“很酷”，注意力更多在体验本身而不是对齐质量。评分普遍偏高且集中。</t>
        </is>
      </c>
      <c r="Z8" s="11" t="n">
        <v>0.3</v>
      </c>
    </row>
    <row r="9" ht="30" customHeight="1">
      <c r="A9" s="6" t="inlineStr">
        <is>
          <t>P007</t>
        </is>
      </c>
      <c r="B9" s="6" t="inlineStr">
        <is>
          <t>O3-S2-OE</t>
        </is>
      </c>
      <c r="C9" s="6" t="n">
        <v>3</v>
      </c>
      <c r="D9" s="6" t="inlineStr">
        <is>
          <t>S2</t>
        </is>
      </c>
      <c r="E9" s="6" t="inlineStr">
        <is>
          <t>固定订书机</t>
        </is>
      </c>
      <c r="F9" s="6" t="inlineStr">
        <is>
          <t>鼠标</t>
        </is>
      </c>
      <c r="G9" s="6" t="inlineStr">
        <is>
          <t>游戏手柄</t>
        </is>
      </c>
      <c r="H9" s="6" t="inlineStr">
        <is>
          <t>B-A / A-B / B-A</t>
        </is>
      </c>
      <c r="I9" s="6" t="inlineStr">
        <is>
          <t>One-Euro</t>
        </is>
      </c>
      <c r="J9" s="6" t="inlineStr">
        <is>
          <t>EgoAnchor</t>
        </is>
      </c>
      <c r="K9" s="6" t="inlineStr">
        <is>
          <t>EgoAnchor</t>
        </is>
      </c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inlineStr">
        <is>
          <t>是</t>
        </is>
      </c>
      <c r="W9" s="6" t="inlineStr">
        <is>
          <t>无</t>
        </is>
      </c>
      <c r="X9" s="6" t="n"/>
      <c r="Y9" s="10" t="inlineStr">
        <is>
          <t>机械工程背景，习惯用公差的语言描述问题，对“大概齐”容忍度低。整体评分基线明显偏低，最高只给到 6。</t>
        </is>
      </c>
      <c r="Z9" s="11" t="n">
        <v>1.1</v>
      </c>
    </row>
    <row r="10" ht="30" customHeight="1">
      <c r="A10" s="6" t="inlineStr">
        <is>
          <t>P008</t>
        </is>
      </c>
      <c r="B10" s="6" t="inlineStr">
        <is>
          <t>O3-S1-EA</t>
        </is>
      </c>
      <c r="C10" s="6" t="n">
        <v>3</v>
      </c>
      <c r="D10" s="6" t="inlineStr">
        <is>
          <t>S1</t>
        </is>
      </c>
      <c r="E10" s="6" t="inlineStr">
        <is>
          <t>固定订书机</t>
        </is>
      </c>
      <c r="F10" s="6" t="inlineStr">
        <is>
          <t>鼠标</t>
        </is>
      </c>
      <c r="G10" s="6" t="inlineStr">
        <is>
          <t>游戏手柄</t>
        </is>
      </c>
      <c r="H10" s="6" t="inlineStr">
        <is>
          <t>A-B / B-A / A-B</t>
        </is>
      </c>
      <c r="I10" s="6" t="inlineStr">
        <is>
          <t>EgoAnchor</t>
        </is>
      </c>
      <c r="J10" s="6" t="inlineStr">
        <is>
          <t>One-Euro</t>
        </is>
      </c>
      <c r="K10" s="6" t="inlineStr">
        <is>
          <t>EgoAnchor</t>
        </is>
      </c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inlineStr">
        <is>
          <t>是</t>
        </is>
      </c>
      <c r="W10" s="6" t="inlineStr">
        <is>
          <t>无</t>
        </is>
      </c>
      <c r="X10" s="6" t="n"/>
      <c r="Y10" s="10" t="inlineStr">
        <is>
          <t>游戏方向研究生，对旋转特别敏感（常年做第三人称相机）。会主动把物体转到侧面看朝向。</t>
        </is>
      </c>
      <c r="Z10" s="11" t="n">
        <v>1.15</v>
      </c>
    </row>
    <row r="11" ht="30" customHeight="1">
      <c r="A11" s="6" t="inlineStr">
        <is>
          <t>P009</t>
        </is>
      </c>
      <c r="B11" s="6" t="inlineStr">
        <is>
          <t>O2-S2-OE</t>
        </is>
      </c>
      <c r="C11" s="6" t="n">
        <v>2</v>
      </c>
      <c r="D11" s="6" t="inlineStr">
        <is>
          <t>S2</t>
        </is>
      </c>
      <c r="E11" s="6" t="inlineStr">
        <is>
          <t>鼠标</t>
        </is>
      </c>
      <c r="F11" s="6" t="inlineStr">
        <is>
          <t>游戏手柄</t>
        </is>
      </c>
      <c r="G11" s="6" t="inlineStr">
        <is>
          <t>固定订书机</t>
        </is>
      </c>
      <c r="H11" s="6" t="inlineStr">
        <is>
          <t>B-A / A-B / B-A</t>
        </is>
      </c>
      <c r="I11" s="6" t="inlineStr">
        <is>
          <t>One-Euro</t>
        </is>
      </c>
      <c r="J11" s="6" t="inlineStr">
        <is>
          <t>EgoAnchor</t>
        </is>
      </c>
      <c r="K11" s="6" t="inlineStr">
        <is>
          <t>EgoAnchor</t>
        </is>
      </c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inlineStr">
        <is>
          <t>是</t>
        </is>
      </c>
      <c r="W11" s="6" t="inlineStr">
        <is>
          <t>无</t>
        </is>
      </c>
      <c r="X11" s="6" t="n"/>
      <c r="Y11" s="10" t="inlineStr">
        <is>
          <t>心理学背景，作答认真但不擅长空间判断；对“融合得自然不自然”这类问题反应最强。</t>
        </is>
      </c>
      <c r="Z11" s="11" t="n">
        <v>0.75</v>
      </c>
    </row>
    <row r="12" ht="30" customHeight="1">
      <c r="A12" s="6" t="inlineStr">
        <is>
          <t>P010</t>
        </is>
      </c>
      <c r="B12" s="6" t="inlineStr">
        <is>
          <t>O5-S2-EA</t>
        </is>
      </c>
      <c r="C12" s="6" t="n">
        <v>5</v>
      </c>
      <c r="D12" s="6" t="inlineStr">
        <is>
          <t>S2</t>
        </is>
      </c>
      <c r="E12" s="6" t="inlineStr">
        <is>
          <t>游戏手柄</t>
        </is>
      </c>
      <c r="F12" s="6" t="inlineStr">
        <is>
          <t>鼠标</t>
        </is>
      </c>
      <c r="G12" s="6" t="inlineStr">
        <is>
          <t>固定订书机</t>
        </is>
      </c>
      <c r="H12" s="6" t="inlineStr">
        <is>
          <t>B-A / A-B / B-A</t>
        </is>
      </c>
      <c r="I12" s="6" t="inlineStr">
        <is>
          <t>EgoAnchor</t>
        </is>
      </c>
      <c r="J12" s="6" t="inlineStr">
        <is>
          <t>One-Euro</t>
        </is>
      </c>
      <c r="K12" s="6" t="inlineStr">
        <is>
          <t>One-Euro</t>
        </is>
      </c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inlineStr">
        <is>
          <t>是</t>
        </is>
      </c>
      <c r="W12" s="6" t="inlineStr">
        <is>
          <t>无</t>
        </is>
      </c>
      <c r="X12" s="6" t="n"/>
      <c r="Y12" s="10" t="inlineStr">
        <is>
          <t>行政岗，首次使用头显，前两个区块主要在适应设备，第三个物体才进入状态。评分整体中间偏上、跨度小。</t>
        </is>
      </c>
      <c r="Z12" s="11" t="n">
        <v>0.45</v>
      </c>
    </row>
    <row r="13" ht="30" customHeight="1">
      <c r="A13" s="6" t="inlineStr">
        <is>
          <t>P011</t>
        </is>
      </c>
      <c r="B13" s="6" t="inlineStr">
        <is>
          <t>O1-S1-OE</t>
        </is>
      </c>
      <c r="C13" s="6" t="n">
        <v>1</v>
      </c>
      <c r="D13" s="6" t="inlineStr">
        <is>
          <t>S1</t>
        </is>
      </c>
      <c r="E13" s="6" t="inlineStr">
        <is>
          <t>鼠标</t>
        </is>
      </c>
      <c r="F13" s="6" t="inlineStr">
        <is>
          <t>固定订书机</t>
        </is>
      </c>
      <c r="G13" s="6" t="inlineStr">
        <is>
          <t>游戏手柄</t>
        </is>
      </c>
      <c r="H13" s="6" t="inlineStr">
        <is>
          <t>A-B / B-A / A-B</t>
        </is>
      </c>
      <c r="I13" s="6" t="inlineStr">
        <is>
          <t>One-Euro</t>
        </is>
      </c>
      <c r="J13" s="6" t="inlineStr">
        <is>
          <t>EgoAnchor</t>
        </is>
      </c>
      <c r="K13" s="6" t="inlineStr">
        <is>
          <t>One-Euro</t>
        </is>
      </c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inlineStr">
        <is>
          <t>是</t>
        </is>
      </c>
      <c r="W13" s="6" t="inlineStr">
        <is>
          <t>无</t>
        </is>
      </c>
      <c r="X13" s="6" t="n"/>
      <c r="Y13" s="10" t="inlineStr">
        <is>
          <t>做 VR 内容开发，会主动猜测背后的实现（提到“是不是加了个滤波”），需要在记录中如实标注该推测。</t>
        </is>
      </c>
      <c r="Z13" s="11" t="n">
        <v>1.35</v>
      </c>
    </row>
    <row r="14" ht="30" customHeight="1">
      <c r="A14" s="6" t="inlineStr">
        <is>
          <t>P012</t>
        </is>
      </c>
      <c r="B14" s="6" t="inlineStr">
        <is>
          <t>O3-S1-OE</t>
        </is>
      </c>
      <c r="C14" s="6" t="n">
        <v>3</v>
      </c>
      <c r="D14" s="6" t="inlineStr">
        <is>
          <t>S1</t>
        </is>
      </c>
      <c r="E14" s="6" t="inlineStr">
        <is>
          <t>固定订书机</t>
        </is>
      </c>
      <c r="F14" s="6" t="inlineStr">
        <is>
          <t>鼠标</t>
        </is>
      </c>
      <c r="G14" s="6" t="inlineStr">
        <is>
          <t>游戏手柄</t>
        </is>
      </c>
      <c r="H14" s="6" t="inlineStr">
        <is>
          <t>A-B / B-A / A-B</t>
        </is>
      </c>
      <c r="I14" s="6" t="inlineStr">
        <is>
          <t>One-Euro</t>
        </is>
      </c>
      <c r="J14" s="6" t="inlineStr">
        <is>
          <t>EgoAnchor</t>
        </is>
      </c>
      <c r="K14" s="6" t="inlineStr">
        <is>
          <t>One-Euro</t>
        </is>
      </c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inlineStr">
        <is>
          <t>是</t>
        </is>
      </c>
      <c r="W14" s="6" t="inlineStr">
        <is>
          <t>无</t>
        </is>
      </c>
      <c r="X14" s="6" t="n"/>
      <c r="Y14" s="10" t="inlineStr">
        <is>
          <t>工业设计，评分风格最“中庸”，几乎是全样本的平均画像；作答稳定、时长接近中位数。</t>
        </is>
      </c>
      <c r="Z14" s="11" t="n">
        <v>0.95</v>
      </c>
    </row>
    <row r="15" ht="30" customHeight="1">
      <c r="A15" s="6" t="inlineStr">
        <is>
          <t>P013</t>
        </is>
      </c>
      <c r="B15" s="6" t="inlineStr">
        <is>
          <t>O5-S1-OE</t>
        </is>
      </c>
      <c r="C15" s="6" t="n">
        <v>5</v>
      </c>
      <c r="D15" s="6" t="inlineStr">
        <is>
          <t>S1</t>
        </is>
      </c>
      <c r="E15" s="6" t="inlineStr">
        <is>
          <t>游戏手柄</t>
        </is>
      </c>
      <c r="F15" s="6" t="inlineStr">
        <is>
          <t>鼠标</t>
        </is>
      </c>
      <c r="G15" s="6" t="inlineStr">
        <is>
          <t>固定订书机</t>
        </is>
      </c>
      <c r="H15" s="6" t="inlineStr">
        <is>
          <t>A-B / B-A / A-B</t>
        </is>
      </c>
      <c r="I15" s="6" t="inlineStr">
        <is>
          <t>One-Euro</t>
        </is>
      </c>
      <c r="J15" s="6" t="inlineStr">
        <is>
          <t>EgoAnchor</t>
        </is>
      </c>
      <c r="K15" s="6" t="inlineStr">
        <is>
          <t>One-Euro</t>
        </is>
      </c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inlineStr">
        <is>
          <t>是</t>
        </is>
      </c>
      <c r="W15" s="6" t="inlineStr">
        <is>
          <t>无</t>
        </is>
      </c>
      <c r="X15" s="6" t="n"/>
      <c r="Y15" s="10" t="inlineStr">
        <is>
          <t>性格随和、明显的默许倾向（acquiescence），大量给 6；被提醒“也可以给低分”后仍维持高分基线。</t>
        </is>
      </c>
      <c r="Z15" s="11" t="n">
        <v>0.7</v>
      </c>
    </row>
    <row r="16" ht="30" customHeight="1">
      <c r="A16" s="6" t="inlineStr">
        <is>
          <t>P014</t>
        </is>
      </c>
      <c r="B16" s="6" t="inlineStr">
        <is>
          <t>O2-S1-OE</t>
        </is>
      </c>
      <c r="C16" s="6" t="n">
        <v>2</v>
      </c>
      <c r="D16" s="6" t="inlineStr">
        <is>
          <t>S1</t>
        </is>
      </c>
      <c r="E16" s="6" t="inlineStr">
        <is>
          <t>鼠标</t>
        </is>
      </c>
      <c r="F16" s="6" t="inlineStr">
        <is>
          <t>游戏手柄</t>
        </is>
      </c>
      <c r="G16" s="6" t="inlineStr">
        <is>
          <t>固定订书机</t>
        </is>
      </c>
      <c r="H16" s="6" t="inlineStr">
        <is>
          <t>A-B / B-A / A-B</t>
        </is>
      </c>
      <c r="I16" s="6" t="inlineStr">
        <is>
          <t>One-Euro</t>
        </is>
      </c>
      <c r="J16" s="6" t="inlineStr">
        <is>
          <t>EgoAnchor</t>
        </is>
      </c>
      <c r="K16" s="6" t="inlineStr">
        <is>
          <t>One-Euro</t>
        </is>
      </c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inlineStr">
        <is>
          <t>是</t>
        </is>
      </c>
      <c r="W16" s="6" t="inlineStr">
        <is>
          <t>无</t>
        </is>
      </c>
      <c r="X16" s="6" t="n"/>
      <c r="Y16" s="10" t="inlineStr">
        <is>
          <t>医学影像技师，职业习惯是“对位”，对绝对位置是否落在物体上极敏感，对延迟不太在意。</t>
        </is>
      </c>
      <c r="Z16" s="11" t="n">
        <v>1</v>
      </c>
    </row>
    <row r="17" ht="30" customHeight="1">
      <c r="A17" s="6" t="inlineStr">
        <is>
          <t>P015</t>
        </is>
      </c>
      <c r="B17" s="6" t="inlineStr">
        <is>
          <t>O6-S2-EA</t>
        </is>
      </c>
      <c r="C17" s="6" t="n">
        <v>6</v>
      </c>
      <c r="D17" s="6" t="inlineStr">
        <is>
          <t>S2</t>
        </is>
      </c>
      <c r="E17" s="6" t="inlineStr">
        <is>
          <t>游戏手柄</t>
        </is>
      </c>
      <c r="F17" s="6" t="inlineStr">
        <is>
          <t>固定订书机</t>
        </is>
      </c>
      <c r="G17" s="6" t="inlineStr">
        <is>
          <t>鼠标</t>
        </is>
      </c>
      <c r="H17" s="6" t="inlineStr">
        <is>
          <t>B-A / A-B / B-A</t>
        </is>
      </c>
      <c r="I17" s="6" t="inlineStr">
        <is>
          <t>EgoAnchor</t>
        </is>
      </c>
      <c r="J17" s="6" t="inlineStr">
        <is>
          <t>One-Euro</t>
        </is>
      </c>
      <c r="K17" s="6" t="inlineStr">
        <is>
          <t>One-Euro</t>
        </is>
      </c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inlineStr">
        <is>
          <t>是</t>
        </is>
      </c>
      <c r="W17" s="6" t="inlineStr">
        <is>
          <t>无</t>
        </is>
      </c>
      <c r="X17" s="6" t="n"/>
      <c r="Y17" s="10" t="inlineStr">
        <is>
          <t>左手主导但按协议单手搬移手柄时改用右手，自述“不太顺手”；作答快、跨度大。</t>
        </is>
      </c>
      <c r="Z17" s="11" t="n">
        <v>1.2</v>
      </c>
    </row>
    <row r="18" ht="30" customHeight="1">
      <c r="A18" s="6" t="inlineStr">
        <is>
          <t>P016</t>
        </is>
      </c>
      <c r="B18" s="6" t="inlineStr">
        <is>
          <t>O2-S1-EA</t>
        </is>
      </c>
      <c r="C18" s="6" t="n">
        <v>2</v>
      </c>
      <c r="D18" s="6" t="inlineStr">
        <is>
          <t>S1</t>
        </is>
      </c>
      <c r="E18" s="6" t="inlineStr">
        <is>
          <t>鼠标</t>
        </is>
      </c>
      <c r="F18" s="6" t="inlineStr">
        <is>
          <t>游戏手柄</t>
        </is>
      </c>
      <c r="G18" s="6" t="inlineStr">
        <is>
          <t>固定订书机</t>
        </is>
      </c>
      <c r="H18" s="6" t="inlineStr">
        <is>
          <t>A-B / B-A / A-B</t>
        </is>
      </c>
      <c r="I18" s="6" t="inlineStr">
        <is>
          <t>EgoAnchor</t>
        </is>
      </c>
      <c r="J18" s="6" t="inlineStr">
        <is>
          <t>One-Euro</t>
        </is>
      </c>
      <c r="K18" s="6" t="inlineStr">
        <is>
          <t>EgoAnchor</t>
        </is>
      </c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inlineStr">
        <is>
          <t>是</t>
        </is>
      </c>
      <c r="W18" s="6" t="inlineStr">
        <is>
          <t>无</t>
        </is>
      </c>
      <c r="X18" s="6" t="n"/>
      <c r="Y18" s="10" t="inlineStr">
        <is>
          <t>制造业 AR 巡检使用者，**明确偏好响应快**：认为“慢”比“抖”更影响作业。是本轮少数最终选择 One-Euro 的人之一。</t>
        </is>
      </c>
      <c r="Z18" s="11" t="n">
        <v>1.05</v>
      </c>
    </row>
    <row r="19" ht="30" customHeight="1">
      <c r="A19" s="6" t="inlineStr">
        <is>
          <t>P017</t>
        </is>
      </c>
      <c r="B19" s="6" t="inlineStr">
        <is>
          <t>O6-S2-OE</t>
        </is>
      </c>
      <c r="C19" s="6" t="n">
        <v>6</v>
      </c>
      <c r="D19" s="6" t="inlineStr">
        <is>
          <t>S2</t>
        </is>
      </c>
      <c r="E19" s="6" t="inlineStr">
        <is>
          <t>游戏手柄</t>
        </is>
      </c>
      <c r="F19" s="6" t="inlineStr">
        <is>
          <t>固定订书机</t>
        </is>
      </c>
      <c r="G19" s="6" t="inlineStr">
        <is>
          <t>鼠标</t>
        </is>
      </c>
      <c r="H19" s="6" t="inlineStr">
        <is>
          <t>B-A / A-B / B-A</t>
        </is>
      </c>
      <c r="I19" s="6" t="inlineStr">
        <is>
          <t>One-Euro</t>
        </is>
      </c>
      <c r="J19" s="6" t="inlineStr">
        <is>
          <t>EgoAnchor</t>
        </is>
      </c>
      <c r="K19" s="6" t="inlineStr">
        <is>
          <t>EgoAnchor</t>
        </is>
      </c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inlineStr">
        <is>
          <t>是</t>
        </is>
      </c>
      <c r="W19" s="6" t="inlineStr">
        <is>
          <t>无</t>
        </is>
      </c>
      <c r="X19" s="6" t="n"/>
      <c r="Y19" s="10" t="inlineStr">
        <is>
          <t>教育技术方向，关注“看起来是否可信”，对嵌入/融合类条目给分最高；空间判断中等。</t>
        </is>
      </c>
      <c r="Z19" s="11" t="n">
        <v>0.85</v>
      </c>
    </row>
    <row r="20" ht="30" customHeight="1">
      <c r="A20" s="6" t="inlineStr">
        <is>
          <t>P018</t>
        </is>
      </c>
      <c r="B20" s="6" t="inlineStr">
        <is>
          <t>O5-S2-OE</t>
        </is>
      </c>
      <c r="C20" s="6" t="n">
        <v>5</v>
      </c>
      <c r="D20" s="6" t="inlineStr">
        <is>
          <t>S2</t>
        </is>
      </c>
      <c r="E20" s="6" t="inlineStr">
        <is>
          <t>游戏手柄</t>
        </is>
      </c>
      <c r="F20" s="6" t="inlineStr">
        <is>
          <t>鼠标</t>
        </is>
      </c>
      <c r="G20" s="6" t="inlineStr">
        <is>
          <t>固定订书机</t>
        </is>
      </c>
      <c r="H20" s="6" t="inlineStr">
        <is>
          <t>B-A / A-B / B-A</t>
        </is>
      </c>
      <c r="I20" s="6" t="inlineStr">
        <is>
          <t>One-Euro</t>
        </is>
      </c>
      <c r="J20" s="6" t="inlineStr">
        <is>
          <t>EgoAnchor</t>
        </is>
      </c>
      <c r="K20" s="6" t="inlineStr">
        <is>
          <t>EgoAnchor</t>
        </is>
      </c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inlineStr">
        <is>
          <t>是</t>
        </is>
      </c>
      <c r="W20" s="6" t="inlineStr">
        <is>
          <t>无</t>
        </is>
      </c>
      <c r="X20" s="6" t="n"/>
      <c r="Y20" s="10" t="inlineStr">
        <is>
          <t>计算机视觉方向博士生，虽然懂原理但被要求只按感受作答；是全样本区分度最高的几人之一。</t>
        </is>
      </c>
      <c r="Z20" s="11" t="n">
        <v>1.25</v>
      </c>
    </row>
    <row r="21" ht="30" customHeight="1">
      <c r="A21" s="6" t="inlineStr">
        <is>
          <t>P019</t>
        </is>
      </c>
      <c r="B21" s="6" t="inlineStr">
        <is>
          <t>O4-S1-EA</t>
        </is>
      </c>
      <c r="C21" s="6" t="n">
        <v>4</v>
      </c>
      <c r="D21" s="6" t="inlineStr">
        <is>
          <t>S1</t>
        </is>
      </c>
      <c r="E21" s="6" t="inlineStr">
        <is>
          <t>固定订书机</t>
        </is>
      </c>
      <c r="F21" s="6" t="inlineStr">
        <is>
          <t>游戏手柄</t>
        </is>
      </c>
      <c r="G21" s="6" t="inlineStr">
        <is>
          <t>鼠标</t>
        </is>
      </c>
      <c r="H21" s="6" t="inlineStr">
        <is>
          <t>A-B / B-A / A-B</t>
        </is>
      </c>
      <c r="I21" s="6" t="inlineStr">
        <is>
          <t>EgoAnchor</t>
        </is>
      </c>
      <c r="J21" s="6" t="inlineStr">
        <is>
          <t>One-Euro</t>
        </is>
      </c>
      <c r="K21" s="6" t="inlineStr">
        <is>
          <t>EgoAnchor</t>
        </is>
      </c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inlineStr">
        <is>
          <t>是</t>
        </is>
      </c>
      <c r="W21" s="6" t="inlineStr">
        <is>
          <t>无</t>
        </is>
      </c>
      <c r="X21" s="6" t="n"/>
      <c r="Y21" s="10" t="inlineStr">
        <is>
          <t>行政岗、首次使用头显，全程谨慎；作答最慢（区块问卷普遍 &gt;150 s），量表跨度最窄（几乎只用 4–6）。</t>
        </is>
      </c>
      <c r="Z21" s="11" t="n">
        <v>0.5</v>
      </c>
    </row>
    <row r="22" ht="30" customHeight="1">
      <c r="A22" s="6" t="inlineStr">
        <is>
          <t>P020</t>
        </is>
      </c>
      <c r="B22" s="6" t="inlineStr">
        <is>
          <t>O1-S2-EA</t>
        </is>
      </c>
      <c r="C22" s="6" t="n">
        <v>1</v>
      </c>
      <c r="D22" s="6" t="inlineStr">
        <is>
          <t>S2</t>
        </is>
      </c>
      <c r="E22" s="6" t="inlineStr">
        <is>
          <t>鼠标</t>
        </is>
      </c>
      <c r="F22" s="6" t="inlineStr">
        <is>
          <t>固定订书机</t>
        </is>
      </c>
      <c r="G22" s="6" t="inlineStr">
        <is>
          <t>游戏手柄</t>
        </is>
      </c>
      <c r="H22" s="6" t="inlineStr">
        <is>
          <t>B-A / A-B / B-A</t>
        </is>
      </c>
      <c r="I22" s="6" t="inlineStr">
        <is>
          <t>EgoAnchor</t>
        </is>
      </c>
      <c r="J22" s="6" t="inlineStr">
        <is>
          <t>One-Euro</t>
        </is>
      </c>
      <c r="K22" s="6" t="inlineStr">
        <is>
          <t>One-Euro</t>
        </is>
      </c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inlineStr">
        <is>
          <t>是</t>
        </is>
      </c>
      <c r="W22" s="6" t="inlineStr">
        <is>
          <t>无</t>
        </is>
      </c>
      <c r="X22" s="6" t="n"/>
      <c r="Y22" s="10" t="inlineStr">
        <is>
          <t>机械设计工程师，**对朝向最敏感**：反复提到“转过去之后角度对不对”，是 Q9 少数给出大配对差的人。</t>
        </is>
      </c>
      <c r="Z22" s="11" t="n">
        <v>1</v>
      </c>
    </row>
    <row r="23" ht="30" customHeight="1">
      <c r="A23" s="6" t="inlineStr">
        <is>
          <t>P021</t>
        </is>
      </c>
      <c r="B23" s="6" t="inlineStr">
        <is>
          <t>O1-S1-EA</t>
        </is>
      </c>
      <c r="C23" s="6" t="n">
        <v>1</v>
      </c>
      <c r="D23" s="6" t="inlineStr">
        <is>
          <t>S1</t>
        </is>
      </c>
      <c r="E23" s="6" t="inlineStr">
        <is>
          <t>鼠标</t>
        </is>
      </c>
      <c r="F23" s="6" t="inlineStr">
        <is>
          <t>固定订书机</t>
        </is>
      </c>
      <c r="G23" s="6" t="inlineStr">
        <is>
          <t>游戏手柄</t>
        </is>
      </c>
      <c r="H23" s="6" t="inlineStr">
        <is>
          <t>A-B / B-A / A-B</t>
        </is>
      </c>
      <c r="I23" s="6" t="inlineStr">
        <is>
          <t>EgoAnchor</t>
        </is>
      </c>
      <c r="J23" s="6" t="inlineStr">
        <is>
          <t>One-Euro</t>
        </is>
      </c>
      <c r="K23" s="6" t="inlineStr">
        <is>
          <t>EgoAnchor</t>
        </is>
      </c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inlineStr">
        <is>
          <t>是</t>
        </is>
      </c>
      <c r="W23" s="6" t="inlineStr">
        <is>
          <t>无</t>
        </is>
      </c>
      <c r="X23" s="6" t="n"/>
      <c r="Y23" s="10" t="inlineStr">
        <is>
          <t>独立游戏开发者，量表跨度最大（用满 1–7），对“嵌入可信”类条目最吝啬给分（认为渲染本身就不真）。</t>
        </is>
      </c>
      <c r="Z23" s="11" t="n">
        <v>1.15</v>
      </c>
    </row>
    <row r="24" ht="30" customHeight="1">
      <c r="A24" s="6" t="inlineStr">
        <is>
          <t>P022</t>
        </is>
      </c>
      <c r="B24" s="6" t="inlineStr">
        <is>
          <t>O5-S1-EA</t>
        </is>
      </c>
      <c r="C24" s="6" t="n">
        <v>5</v>
      </c>
      <c r="D24" s="6" t="inlineStr">
        <is>
          <t>S1</t>
        </is>
      </c>
      <c r="E24" s="6" t="inlineStr">
        <is>
          <t>游戏手柄</t>
        </is>
      </c>
      <c r="F24" s="6" t="inlineStr">
        <is>
          <t>鼠标</t>
        </is>
      </c>
      <c r="G24" s="6" t="inlineStr">
        <is>
          <t>固定订书机</t>
        </is>
      </c>
      <c r="H24" s="6" t="inlineStr">
        <is>
          <t>A-B / B-A / A-B</t>
        </is>
      </c>
      <c r="I24" s="6" t="inlineStr">
        <is>
          <t>EgoAnchor</t>
        </is>
      </c>
      <c r="J24" s="6" t="inlineStr">
        <is>
          <t>One-Euro</t>
        </is>
      </c>
      <c r="K24" s="6" t="inlineStr">
        <is>
          <t>EgoAnchor</t>
        </is>
      </c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inlineStr">
        <is>
          <t>是</t>
        </is>
      </c>
      <c r="W24" s="6" t="inlineStr">
        <is>
          <t>无</t>
        </is>
      </c>
      <c r="X24" s="6" t="n"/>
      <c r="Y24" s="10" t="inlineStr">
        <is>
          <t>小学教师，评价语言偏体验性；对订书机区块评价最高（“这个最像真的”），对鼠标最低。</t>
        </is>
      </c>
      <c r="Z24" s="11" t="n">
        <v>0.75</v>
      </c>
    </row>
    <row r="25" ht="30" customHeight="1">
      <c r="A25" s="6" t="inlineStr">
        <is>
          <t>P023</t>
        </is>
      </c>
      <c r="B25" s="6" t="inlineStr">
        <is>
          <t>O6-S1-OE</t>
        </is>
      </c>
      <c r="C25" s="6" t="n">
        <v>6</v>
      </c>
      <c r="D25" s="6" t="inlineStr">
        <is>
          <t>S1</t>
        </is>
      </c>
      <c r="E25" s="6" t="inlineStr">
        <is>
          <t>游戏手柄</t>
        </is>
      </c>
      <c r="F25" s="6" t="inlineStr">
        <is>
          <t>固定订书机</t>
        </is>
      </c>
      <c r="G25" s="6" t="inlineStr">
        <is>
          <t>鼠标</t>
        </is>
      </c>
      <c r="H25" s="6" t="inlineStr">
        <is>
          <t>A-B / B-A / A-B</t>
        </is>
      </c>
      <c r="I25" s="6" t="inlineStr">
        <is>
          <t>One-Euro</t>
        </is>
      </c>
      <c r="J25" s="6" t="inlineStr">
        <is>
          <t>EgoAnchor</t>
        </is>
      </c>
      <c r="K25" s="6" t="inlineStr">
        <is>
          <t>One-Euro</t>
        </is>
      </c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inlineStr">
        <is>
          <t>是</t>
        </is>
      </c>
      <c r="W25" s="6" t="inlineStr">
        <is>
          <t>无</t>
        </is>
      </c>
      <c r="X25" s="6" t="n"/>
      <c r="Y25" s="10" t="inlineStr">
        <is>
          <t>AR 内容开发者，**同时对稳定与延迟高度敏感**，因此内部权衡最激烈；最终“无明显偏好”但区分信心给 7。</t>
        </is>
      </c>
      <c r="Z25" s="11" t="n">
        <v>1.1</v>
      </c>
    </row>
    <row r="26" ht="30" customHeight="1">
      <c r="A26" s="6" t="inlineStr">
        <is>
          <t>P024</t>
        </is>
      </c>
      <c r="B26" s="6" t="inlineStr">
        <is>
          <t>O2-S2-EA</t>
        </is>
      </c>
      <c r="C26" s="6" t="n">
        <v>2</v>
      </c>
      <c r="D26" s="6" t="inlineStr">
        <is>
          <t>S2</t>
        </is>
      </c>
      <c r="E26" s="6" t="inlineStr">
        <is>
          <t>鼠标</t>
        </is>
      </c>
      <c r="F26" s="6" t="inlineStr">
        <is>
          <t>游戏手柄</t>
        </is>
      </c>
      <c r="G26" s="6" t="inlineStr">
        <is>
          <t>固定订书机</t>
        </is>
      </c>
      <c r="H26" s="6" t="inlineStr">
        <is>
          <t>B-A / A-B / B-A</t>
        </is>
      </c>
      <c r="I26" s="6" t="inlineStr">
        <is>
          <t>EgoAnchor</t>
        </is>
      </c>
      <c r="J26" s="6" t="inlineStr">
        <is>
          <t>One-Euro</t>
        </is>
      </c>
      <c r="K26" s="6" t="inlineStr">
        <is>
          <t>One-Euro</t>
        </is>
      </c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inlineStr">
        <is>
          <t>是</t>
        </is>
      </c>
      <c r="W26" s="6" t="inlineStr">
        <is>
          <t>无</t>
        </is>
      </c>
      <c r="X26" s="6" t="n"/>
      <c r="Y26" s="10" t="inlineStr">
        <is>
          <t>产品经理，评价角度偏“能不能上线”；末位参与者，第六区块自述有轻微疲劳。</t>
        </is>
      </c>
      <c r="Z26" s="11" t="n">
        <v>0.95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26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9" customWidth="1" min="4" max="4"/>
    <col width="13" customWidth="1" min="5" max="5"/>
    <col width="13" customWidth="1" min="6" max="6"/>
    <col width="11" customWidth="1" min="7" max="7"/>
    <col width="13" customWidth="1" min="8" max="8"/>
    <col width="11" customWidth="1" min="9" max="9"/>
    <col width="11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11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30" customWidth="1" min="31" max="31"/>
    <col width="12" customWidth="1" min="32" max="32"/>
    <col width="11" customWidth="1" min="33" max="33"/>
    <col width="12" customWidth="1" min="34" max="34"/>
    <col width="12" customWidth="1" min="35" max="35"/>
    <col width="11" customWidth="1" min="36" max="36"/>
    <col width="17" customWidth="1" min="37" max="37"/>
    <col width="10" customWidth="1" min="38" max="38"/>
    <col width="12" customWidth="1" min="39" max="39"/>
    <col width="13" customWidth="1" min="40" max="40"/>
    <col width="30" customWidth="1" min="41" max="41"/>
  </cols>
  <sheetData>
    <row r="1">
      <c r="A1" s="1" t="inlineStr">
        <is>
          <t>实验记录（合成数据）：A 区块 144 行 → B 方法级 48 行 → C 最终 24 行；本表只放原始评分，全部小分在 Derived 表由公式计算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</row>
    <row r="3">
      <c r="A3" s="7" t="inlineStr">
        <is>
          <t>A. 区块记录（每行 = 一个方法×物体区块：进度 + 13+1 项评分 + 问卷时长 + 运行时审计）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</row>
    <row r="4">
      <c r="A4" s="9" t="inlineStr">
        <is>
          <t>Participant_ID</t>
        </is>
      </c>
      <c r="B4" s="9" t="inlineStr">
        <is>
          <t>Block_Index</t>
        </is>
      </c>
      <c r="C4" s="9" t="inlineStr">
        <is>
          <t>平衡单元</t>
        </is>
      </c>
      <c r="D4" s="9" t="inlineStr">
        <is>
          <t>物体位置</t>
        </is>
      </c>
      <c r="E4" s="9" t="inlineStr">
        <is>
          <t>物体</t>
        </is>
      </c>
      <c r="F4" s="9" t="inlineStr">
        <is>
          <t>Object_Key</t>
        </is>
      </c>
      <c r="G4" s="9" t="inlineStr">
        <is>
          <t>Shown_Label</t>
        </is>
      </c>
      <c r="H4" s="9" t="inlineStr">
        <is>
          <t>Condition(保密)</t>
        </is>
      </c>
      <c r="I4" s="9" t="inlineStr">
        <is>
          <t>物体内先后</t>
        </is>
      </c>
      <c r="J4" s="9" t="inlineStr">
        <is>
          <t>该方法第几次</t>
        </is>
      </c>
      <c r="K4" s="9" t="inlineStr">
        <is>
          <t>Q1</t>
        </is>
      </c>
      <c r="L4" s="9" t="inlineStr">
        <is>
          <t>Q2</t>
        </is>
      </c>
      <c r="M4" s="9" t="inlineStr">
        <is>
          <t>Q9</t>
        </is>
      </c>
      <c r="N4" s="9" t="inlineStr">
        <is>
          <t>Q10_OPT</t>
        </is>
      </c>
      <c r="O4" s="9" t="inlineStr">
        <is>
          <t>AQ_IQ2</t>
        </is>
      </c>
      <c r="P4" s="9" t="inlineStr">
        <is>
          <t>AQ_IQ3</t>
        </is>
      </c>
      <c r="Q4" s="9" t="inlineStr">
        <is>
          <t>Q3</t>
        </is>
      </c>
      <c r="R4" s="9" t="inlineStr">
        <is>
          <t>Q8</t>
        </is>
      </c>
      <c r="S4" s="9" t="inlineStr">
        <is>
          <t>AQ_EQ1</t>
        </is>
      </c>
      <c r="T4" s="9" t="inlineStr">
        <is>
          <t>AQ_EQ2</t>
        </is>
      </c>
      <c r="U4" s="9" t="inlineStr">
        <is>
          <t>AQ_EQ3</t>
        </is>
      </c>
      <c r="V4" s="9" t="inlineStr">
        <is>
          <t>AQ_IQ1</t>
        </is>
      </c>
      <c r="W4" s="9" t="inlineStr">
        <is>
          <t>Q6</t>
        </is>
      </c>
      <c r="X4" s="9" t="inlineStr">
        <is>
          <t>Q7</t>
        </is>
      </c>
      <c r="Y4" s="9" t="inlineStr">
        <is>
          <t>问卷开始</t>
        </is>
      </c>
      <c r="Z4" s="9" t="inlineStr">
        <is>
          <t>问卷结束</t>
        </is>
      </c>
      <c r="AA4" s="9" t="inlineStr">
        <is>
          <t>问卷时长_s</t>
        </is>
      </c>
      <c r="AB4" s="9" t="inlineStr">
        <is>
          <t>任务完成</t>
        </is>
      </c>
      <c r="AC4" s="9" t="inlineStr">
        <is>
          <t>问卷完成</t>
        </is>
      </c>
      <c r="AD4" s="9" t="inlineStr">
        <is>
          <t>区块有效</t>
        </is>
      </c>
      <c r="AE4" s="9" t="inlineStr">
        <is>
          <t>技术问题</t>
        </is>
      </c>
      <c r="AF4" s="9" t="inlineStr">
        <is>
          <t>Candidate_Rate_Hz</t>
        </is>
      </c>
      <c r="AG4" s="9" t="inlineStr">
        <is>
          <t>VCD_Median</t>
        </is>
      </c>
      <c r="AH4" s="9" t="inlineStr">
        <is>
          <t>VCD_Admission_Rate</t>
        </is>
      </c>
      <c r="AI4" s="9" t="inlineStr">
        <is>
          <t>Output_Availability</t>
        </is>
      </c>
      <c r="AJ4" s="9" t="inlineStr">
        <is>
          <t>遮挡时长_s</t>
        </is>
      </c>
      <c r="AK4" s="9" t="inlineStr">
        <is>
          <t>遮挡生命周期状态</t>
        </is>
      </c>
      <c r="AL4" s="9" t="inlineStr">
        <is>
          <t>进入Lost</t>
        </is>
      </c>
      <c r="AM4" s="9" t="inlineStr">
        <is>
          <t>服务器重获取次数</t>
        </is>
      </c>
      <c r="AN4" s="9" t="inlineStr">
        <is>
          <t>StaticLock进入次数</t>
        </is>
      </c>
      <c r="AO4" s="9" t="inlineStr">
        <is>
          <t>备注</t>
        </is>
      </c>
    </row>
    <row r="5">
      <c r="A5" s="6" t="inlineStr">
        <is>
          <t>P001</t>
        </is>
      </c>
      <c r="B5" s="6" t="n">
        <v>1</v>
      </c>
      <c r="C5" s="6" t="inlineStr">
        <is>
          <t>O6-S1-EA</t>
        </is>
      </c>
      <c r="D5" s="6" t="n">
        <v>1</v>
      </c>
      <c r="E5" s="6" t="inlineStr">
        <is>
          <t>游戏手柄</t>
        </is>
      </c>
      <c r="F5" s="6" t="inlineStr">
        <is>
          <t>gamepad</t>
        </is>
      </c>
      <c r="G5" s="6" t="inlineStr">
        <is>
          <t>方法A</t>
        </is>
      </c>
      <c r="H5" s="6" t="inlineStr">
        <is>
          <t>EgoAnchor</t>
        </is>
      </c>
      <c r="I5" s="6" t="n">
        <v>1</v>
      </c>
      <c r="J5" s="6" t="n">
        <v>1</v>
      </c>
      <c r="K5" s="6" t="n">
        <v>4</v>
      </c>
      <c r="L5" s="6" t="n">
        <v>5</v>
      </c>
      <c r="M5" s="6" t="n">
        <v>5</v>
      </c>
      <c r="N5" s="6" t="n"/>
      <c r="O5" s="6" t="n">
        <v>5</v>
      </c>
      <c r="P5" s="6" t="n">
        <v>5</v>
      </c>
      <c r="Q5" s="6" t="n">
        <v>6</v>
      </c>
      <c r="R5" s="6" t="n">
        <v>6</v>
      </c>
      <c r="S5" s="6" t="n">
        <v>6</v>
      </c>
      <c r="T5" s="6" t="n">
        <v>5</v>
      </c>
      <c r="U5" s="6" t="n">
        <v>5</v>
      </c>
      <c r="V5" s="6" t="n">
        <v>5</v>
      </c>
      <c r="W5" s="6" t="n">
        <v>5</v>
      </c>
      <c r="X5" s="6" t="n">
        <v>5</v>
      </c>
      <c r="Y5" s="6" t="n"/>
      <c r="Z5" s="6" t="n"/>
      <c r="AA5" s="6" t="n">
        <v>129.9</v>
      </c>
      <c r="AB5" s="6" t="inlineStr">
        <is>
          <t>是</t>
        </is>
      </c>
      <c r="AC5" s="6" t="inlineStr">
        <is>
          <t>是</t>
        </is>
      </c>
      <c r="AD5" s="6" t="inlineStr">
        <is>
          <t>是</t>
        </is>
      </c>
      <c r="AE5" s="6" t="inlineStr">
        <is>
          <t>无</t>
        </is>
      </c>
      <c r="AF5" s="6" t="n">
        <v>9.619999999999999</v>
      </c>
      <c r="AG5" s="6" t="n">
        <v>0.874</v>
      </c>
      <c r="AH5" s="6" t="n">
        <v>0.919</v>
      </c>
      <c r="AI5" s="6" t="n">
        <v>0.9379999999999999</v>
      </c>
      <c r="AJ5" s="6" t="n">
        <v>0.759</v>
      </c>
      <c r="AK5" s="6" t="inlineStr">
        <is>
          <t>FrozenUncertain</t>
        </is>
      </c>
      <c r="AL5" s="6" t="inlineStr">
        <is>
          <t>否</t>
        </is>
      </c>
      <c r="AM5" s="6" t="n">
        <v>0</v>
      </c>
      <c r="AN5" s="6" t="n">
        <v>3</v>
      </c>
      <c r="AO5" s="6" t="n"/>
    </row>
    <row r="6">
      <c r="A6" s="6" t="inlineStr">
        <is>
          <t>P001</t>
        </is>
      </c>
      <c r="B6" s="6" t="n">
        <v>2</v>
      </c>
      <c r="C6" s="6" t="inlineStr">
        <is>
          <t>O6-S1-EA</t>
        </is>
      </c>
      <c r="D6" s="6" t="n">
        <v>1</v>
      </c>
      <c r="E6" s="6" t="inlineStr">
        <is>
          <t>游戏手柄</t>
        </is>
      </c>
      <c r="F6" s="6" t="inlineStr">
        <is>
          <t>gamepad</t>
        </is>
      </c>
      <c r="G6" s="6" t="inlineStr">
        <is>
          <t>方法B</t>
        </is>
      </c>
      <c r="H6" s="6" t="inlineStr">
        <is>
          <t>One-Euro</t>
        </is>
      </c>
      <c r="I6" s="6" t="n">
        <v>2</v>
      </c>
      <c r="J6" s="6" t="n">
        <v>1</v>
      </c>
      <c r="K6" s="6" t="n">
        <v>4</v>
      </c>
      <c r="L6" s="6" t="n">
        <v>5</v>
      </c>
      <c r="M6" s="6" t="n">
        <v>5</v>
      </c>
      <c r="N6" s="6" t="n"/>
      <c r="O6" s="6" t="n">
        <v>7</v>
      </c>
      <c r="P6" s="6" t="n">
        <v>5</v>
      </c>
      <c r="Q6" s="6" t="n">
        <v>5</v>
      </c>
      <c r="R6" s="6" t="n">
        <v>6</v>
      </c>
      <c r="S6" s="6" t="n">
        <v>5</v>
      </c>
      <c r="T6" s="6" t="n">
        <v>5</v>
      </c>
      <c r="U6" s="6" t="n">
        <v>7</v>
      </c>
      <c r="V6" s="6" t="n">
        <v>6</v>
      </c>
      <c r="W6" s="6" t="n">
        <v>6</v>
      </c>
      <c r="X6" s="6" t="n">
        <v>3</v>
      </c>
      <c r="Y6" s="6" t="n"/>
      <c r="Z6" s="6" t="n"/>
      <c r="AA6" s="6" t="n">
        <v>127.2</v>
      </c>
      <c r="AB6" s="6" t="inlineStr">
        <is>
          <t>是</t>
        </is>
      </c>
      <c r="AC6" s="6" t="inlineStr">
        <is>
          <t>是</t>
        </is>
      </c>
      <c r="AD6" s="6" t="inlineStr">
        <is>
          <t>是</t>
        </is>
      </c>
      <c r="AE6" s="6" t="inlineStr">
        <is>
          <t>无</t>
        </is>
      </c>
      <c r="AF6" s="6" t="n">
        <v>9.49</v>
      </c>
      <c r="AG6" s="6" t="n">
        <v>0.926</v>
      </c>
      <c r="AH6" s="6" t="n">
        <v>0.887</v>
      </c>
      <c r="AI6" s="6" t="n">
        <v>0.9330000000000001</v>
      </c>
      <c r="AJ6" s="6" t="n">
        <v>0.769</v>
      </c>
      <c r="AK6" s="6" t="inlineStr">
        <is>
          <t>FrozenUncertain</t>
        </is>
      </c>
      <c r="AL6" s="6" t="inlineStr">
        <is>
          <t>否</t>
        </is>
      </c>
      <c r="AM6" s="6" t="n">
        <v>0</v>
      </c>
      <c r="AN6" s="6" t="n">
        <v>0</v>
      </c>
      <c r="AO6" s="6" t="n"/>
    </row>
    <row r="7">
      <c r="A7" s="6" t="inlineStr">
        <is>
          <t>P001</t>
        </is>
      </c>
      <c r="B7" s="6" t="n">
        <v>3</v>
      </c>
      <c r="C7" s="6" t="inlineStr">
        <is>
          <t>O6-S1-EA</t>
        </is>
      </c>
      <c r="D7" s="6" t="n">
        <v>2</v>
      </c>
      <c r="E7" s="6" t="inlineStr">
        <is>
          <t>固定订书机</t>
        </is>
      </c>
      <c r="F7" s="6" t="inlineStr">
        <is>
          <t>stapler</t>
        </is>
      </c>
      <c r="G7" s="6" t="inlineStr">
        <is>
          <t>方法B</t>
        </is>
      </c>
      <c r="H7" s="6" t="inlineStr">
        <is>
          <t>One-Euro</t>
        </is>
      </c>
      <c r="I7" s="6" t="n">
        <v>1</v>
      </c>
      <c r="J7" s="6" t="n">
        <v>2</v>
      </c>
      <c r="K7" s="6" t="n">
        <v>5</v>
      </c>
      <c r="L7" s="6" t="n">
        <v>6</v>
      </c>
      <c r="M7" s="6" t="n">
        <v>5</v>
      </c>
      <c r="N7" s="6" t="n"/>
      <c r="O7" s="6" t="n">
        <v>7</v>
      </c>
      <c r="P7" s="6" t="n">
        <v>6</v>
      </c>
      <c r="Q7" s="6" t="n">
        <v>6</v>
      </c>
      <c r="R7" s="6" t="n">
        <v>7</v>
      </c>
      <c r="S7" s="6" t="n">
        <v>7</v>
      </c>
      <c r="T7" s="6" t="n">
        <v>6</v>
      </c>
      <c r="U7" s="6" t="n">
        <v>7</v>
      </c>
      <c r="V7" s="6" t="n">
        <v>6</v>
      </c>
      <c r="W7" s="6" t="n">
        <v>5</v>
      </c>
      <c r="X7" s="6" t="n">
        <v>5</v>
      </c>
      <c r="Y7" s="6" t="n"/>
      <c r="Z7" s="6" t="n"/>
      <c r="AA7" s="6" t="n">
        <v>119.4</v>
      </c>
      <c r="AB7" s="6" t="inlineStr">
        <is>
          <t>是</t>
        </is>
      </c>
      <c r="AC7" s="6" t="inlineStr">
        <is>
          <t>是</t>
        </is>
      </c>
      <c r="AD7" s="6" t="inlineStr">
        <is>
          <t>是</t>
        </is>
      </c>
      <c r="AE7" s="6" t="inlineStr">
        <is>
          <t>无</t>
        </is>
      </c>
      <c r="AF7" s="6" t="n">
        <v>10.08</v>
      </c>
      <c r="AG7" s="6" t="n">
        <v>0.896</v>
      </c>
      <c r="AH7" s="6" t="n">
        <v>0.915</v>
      </c>
      <c r="AI7" s="6" t="n">
        <v>0.968</v>
      </c>
      <c r="AJ7" s="6" t="n">
        <v>0.759</v>
      </c>
      <c r="AK7" s="6" t="inlineStr">
        <is>
          <t>FrozenUncertain</t>
        </is>
      </c>
      <c r="AL7" s="6" t="inlineStr">
        <is>
          <t>否</t>
        </is>
      </c>
      <c r="AM7" s="6" t="n">
        <v>0</v>
      </c>
      <c r="AN7" s="6" t="n">
        <v>0</v>
      </c>
      <c r="AO7" s="6" t="n"/>
    </row>
    <row r="8">
      <c r="A8" s="6" t="inlineStr">
        <is>
          <t>P001</t>
        </is>
      </c>
      <c r="B8" s="6" t="n">
        <v>4</v>
      </c>
      <c r="C8" s="6" t="inlineStr">
        <is>
          <t>O6-S1-EA</t>
        </is>
      </c>
      <c r="D8" s="6" t="n">
        <v>2</v>
      </c>
      <c r="E8" s="6" t="inlineStr">
        <is>
          <t>固定订书机</t>
        </is>
      </c>
      <c r="F8" s="6" t="inlineStr">
        <is>
          <t>stapler</t>
        </is>
      </c>
      <c r="G8" s="6" t="inlineStr">
        <is>
          <t>方法A</t>
        </is>
      </c>
      <c r="H8" s="6" t="inlineStr">
        <is>
          <t>EgoAnchor</t>
        </is>
      </c>
      <c r="I8" s="6" t="n">
        <v>2</v>
      </c>
      <c r="J8" s="6" t="n">
        <v>2</v>
      </c>
      <c r="K8" s="6" t="n">
        <v>7</v>
      </c>
      <c r="L8" s="6" t="n">
        <v>6</v>
      </c>
      <c r="M8" s="6" t="n">
        <v>6</v>
      </c>
      <c r="N8" s="6" t="n"/>
      <c r="O8" s="6" t="n">
        <v>6</v>
      </c>
      <c r="P8" s="6" t="n">
        <v>6</v>
      </c>
      <c r="Q8" s="6" t="n">
        <v>6</v>
      </c>
      <c r="R8" s="6" t="n">
        <v>7</v>
      </c>
      <c r="S8" s="6" t="n">
        <v>6</v>
      </c>
      <c r="T8" s="6" t="n">
        <v>7</v>
      </c>
      <c r="U8" s="6" t="n">
        <v>7</v>
      </c>
      <c r="V8" s="6" t="n">
        <v>7</v>
      </c>
      <c r="W8" s="6" t="n">
        <v>7</v>
      </c>
      <c r="X8" s="6" t="n">
        <v>5</v>
      </c>
      <c r="Y8" s="6" t="n"/>
      <c r="Z8" s="6" t="n"/>
      <c r="AA8" s="6" t="n">
        <v>144.4</v>
      </c>
      <c r="AB8" s="6" t="inlineStr">
        <is>
          <t>是</t>
        </is>
      </c>
      <c r="AC8" s="6" t="inlineStr">
        <is>
          <t>是</t>
        </is>
      </c>
      <c r="AD8" s="6" t="inlineStr">
        <is>
          <t>是</t>
        </is>
      </c>
      <c r="AE8" s="6" t="inlineStr">
        <is>
          <t>无</t>
        </is>
      </c>
      <c r="AF8" s="6" t="n">
        <v>9.93</v>
      </c>
      <c r="AG8" s="6" t="n">
        <v>0.931</v>
      </c>
      <c r="AH8" s="6" t="n">
        <v>0.891</v>
      </c>
      <c r="AI8" s="6" t="n">
        <v>0.9360000000000001</v>
      </c>
      <c r="AJ8" s="6" t="n">
        <v>0.735</v>
      </c>
      <c r="AK8" s="6" t="inlineStr">
        <is>
          <t>FrozenUncertain</t>
        </is>
      </c>
      <c r="AL8" s="6" t="inlineStr">
        <is>
          <t>否</t>
        </is>
      </c>
      <c r="AM8" s="6" t="n">
        <v>0</v>
      </c>
      <c r="AN8" s="6" t="n">
        <v>4</v>
      </c>
      <c r="AO8" s="6" t="n"/>
    </row>
    <row r="9">
      <c r="A9" s="6" t="inlineStr">
        <is>
          <t>P001</t>
        </is>
      </c>
      <c r="B9" s="6" t="n">
        <v>5</v>
      </c>
      <c r="C9" s="6" t="inlineStr">
        <is>
          <t>O6-S1-EA</t>
        </is>
      </c>
      <c r="D9" s="6" t="n">
        <v>3</v>
      </c>
      <c r="E9" s="6" t="inlineStr">
        <is>
          <t>鼠标</t>
        </is>
      </c>
      <c r="F9" s="6" t="inlineStr">
        <is>
          <t>blue_mouse</t>
        </is>
      </c>
      <c r="G9" s="6" t="inlineStr">
        <is>
          <t>方法A</t>
        </is>
      </c>
      <c r="H9" s="6" t="inlineStr">
        <is>
          <t>EgoAnchor</t>
        </is>
      </c>
      <c r="I9" s="6" t="n">
        <v>1</v>
      </c>
      <c r="J9" s="6" t="n">
        <v>3</v>
      </c>
      <c r="K9" s="6" t="n">
        <v>4</v>
      </c>
      <c r="L9" s="6" t="n">
        <v>4</v>
      </c>
      <c r="M9" s="6" t="n">
        <v>5</v>
      </c>
      <c r="N9" s="6" t="n"/>
      <c r="O9" s="6" t="n">
        <v>5</v>
      </c>
      <c r="P9" s="6" t="n">
        <v>5</v>
      </c>
      <c r="Q9" s="6" t="n">
        <v>4</v>
      </c>
      <c r="R9" s="6" t="n">
        <v>5</v>
      </c>
      <c r="S9" s="6" t="n">
        <v>5</v>
      </c>
      <c r="T9" s="6" t="n">
        <v>4</v>
      </c>
      <c r="U9" s="6" t="n">
        <v>6</v>
      </c>
      <c r="V9" s="6" t="n">
        <v>5</v>
      </c>
      <c r="W9" s="6" t="n">
        <v>5</v>
      </c>
      <c r="X9" s="6" t="n">
        <v>4</v>
      </c>
      <c r="Y9" s="6" t="n"/>
      <c r="Z9" s="6" t="n"/>
      <c r="AA9" s="6" t="n">
        <v>144.5</v>
      </c>
      <c r="AB9" s="6" t="inlineStr">
        <is>
          <t>是</t>
        </is>
      </c>
      <c r="AC9" s="6" t="inlineStr">
        <is>
          <t>是</t>
        </is>
      </c>
      <c r="AD9" s="6" t="inlineStr">
        <is>
          <t>是</t>
        </is>
      </c>
      <c r="AE9" s="6" t="inlineStr">
        <is>
          <t>无</t>
        </is>
      </c>
      <c r="AF9" s="6" t="n">
        <v>9.44</v>
      </c>
      <c r="AG9" s="6" t="n">
        <v>0.863</v>
      </c>
      <c r="AH9" s="6" t="n">
        <v>0.9</v>
      </c>
      <c r="AI9" s="6" t="n">
        <v>0.945</v>
      </c>
      <c r="AJ9" s="6" t="n">
        <v>0.72</v>
      </c>
      <c r="AK9" s="6" t="inlineStr">
        <is>
          <t>FrozenUncertain</t>
        </is>
      </c>
      <c r="AL9" s="6" t="inlineStr">
        <is>
          <t>否</t>
        </is>
      </c>
      <c r="AM9" s="6" t="n">
        <v>0</v>
      </c>
      <c r="AN9" s="6" t="n">
        <v>3</v>
      </c>
      <c r="AO9" s="6" t="n"/>
    </row>
    <row r="10">
      <c r="A10" s="6" t="inlineStr">
        <is>
          <t>P001</t>
        </is>
      </c>
      <c r="B10" s="6" t="n">
        <v>6</v>
      </c>
      <c r="C10" s="6" t="inlineStr">
        <is>
          <t>O6-S1-EA</t>
        </is>
      </c>
      <c r="D10" s="6" t="n">
        <v>3</v>
      </c>
      <c r="E10" s="6" t="inlineStr">
        <is>
          <t>鼠标</t>
        </is>
      </c>
      <c r="F10" s="6" t="inlineStr">
        <is>
          <t>blue_mouse</t>
        </is>
      </c>
      <c r="G10" s="6" t="inlineStr">
        <is>
          <t>方法B</t>
        </is>
      </c>
      <c r="H10" s="6" t="inlineStr">
        <is>
          <t>One-Euro</t>
        </is>
      </c>
      <c r="I10" s="6" t="n">
        <v>2</v>
      </c>
      <c r="J10" s="6" t="n">
        <v>3</v>
      </c>
      <c r="K10" s="6" t="n">
        <v>3</v>
      </c>
      <c r="L10" s="6" t="n">
        <v>5</v>
      </c>
      <c r="M10" s="6" t="n">
        <v>5</v>
      </c>
      <c r="N10" s="6" t="n"/>
      <c r="O10" s="6" t="n">
        <v>7</v>
      </c>
      <c r="P10" s="6" t="n">
        <v>3</v>
      </c>
      <c r="Q10" s="6" t="n">
        <v>4</v>
      </c>
      <c r="R10" s="6" t="n">
        <v>6</v>
      </c>
      <c r="S10" s="6" t="n">
        <v>5</v>
      </c>
      <c r="T10" s="6" t="n">
        <v>5</v>
      </c>
      <c r="U10" s="6" t="n">
        <v>6</v>
      </c>
      <c r="V10" s="6" t="n">
        <v>5</v>
      </c>
      <c r="W10" s="6" t="n">
        <v>4</v>
      </c>
      <c r="X10" s="6" t="n">
        <v>4</v>
      </c>
      <c r="Y10" s="6" t="n"/>
      <c r="Z10" s="6" t="n"/>
      <c r="AA10" s="6" t="n">
        <v>156.3</v>
      </c>
      <c r="AB10" s="6" t="inlineStr">
        <is>
          <t>是</t>
        </is>
      </c>
      <c r="AC10" s="6" t="inlineStr">
        <is>
          <t>是</t>
        </is>
      </c>
      <c r="AD10" s="6" t="inlineStr">
        <is>
          <t>是</t>
        </is>
      </c>
      <c r="AE10" s="6" t="inlineStr">
        <is>
          <t>无</t>
        </is>
      </c>
      <c r="AF10" s="6" t="n">
        <v>9.58</v>
      </c>
      <c r="AG10" s="6" t="n">
        <v>0.855</v>
      </c>
      <c r="AH10" s="6" t="n">
        <v>0.867</v>
      </c>
      <c r="AI10" s="6" t="n">
        <v>0.965</v>
      </c>
      <c r="AJ10" s="6" t="n">
        <v>0.736</v>
      </c>
      <c r="AK10" s="6" t="inlineStr">
        <is>
          <t>FrozenUncertain</t>
        </is>
      </c>
      <c r="AL10" s="6" t="inlineStr">
        <is>
          <t>否</t>
        </is>
      </c>
      <c r="AM10" s="6" t="n">
        <v>0</v>
      </c>
      <c r="AN10" s="6" t="n">
        <v>0</v>
      </c>
      <c r="AO10" s="6" t="n"/>
    </row>
    <row r="11">
      <c r="A11" s="6" t="inlineStr">
        <is>
          <t>P002</t>
        </is>
      </c>
      <c r="B11" s="6" t="n">
        <v>1</v>
      </c>
      <c r="C11" s="6" t="inlineStr">
        <is>
          <t>O4-S2-EA</t>
        </is>
      </c>
      <c r="D11" s="6" t="n">
        <v>1</v>
      </c>
      <c r="E11" s="6" t="inlineStr">
        <is>
          <t>固定订书机</t>
        </is>
      </c>
      <c r="F11" s="6" t="inlineStr">
        <is>
          <t>stapler</t>
        </is>
      </c>
      <c r="G11" s="6" t="inlineStr">
        <is>
          <t>方法B</t>
        </is>
      </c>
      <c r="H11" s="6" t="inlineStr">
        <is>
          <t>One-Euro</t>
        </is>
      </c>
      <c r="I11" s="6" t="n">
        <v>1</v>
      </c>
      <c r="J11" s="6" t="n">
        <v>1</v>
      </c>
      <c r="K11" s="6" t="n">
        <v>5</v>
      </c>
      <c r="L11" s="6" t="n">
        <v>5</v>
      </c>
      <c r="M11" s="6" t="n">
        <v>4</v>
      </c>
      <c r="N11" s="6" t="n"/>
      <c r="O11" s="6" t="n">
        <v>5</v>
      </c>
      <c r="P11" s="6" t="n">
        <v>4</v>
      </c>
      <c r="Q11" s="6" t="n">
        <v>4</v>
      </c>
      <c r="R11" s="6" t="n">
        <v>4</v>
      </c>
      <c r="S11" s="6" t="n">
        <v>4</v>
      </c>
      <c r="T11" s="6" t="n">
        <v>4</v>
      </c>
      <c r="U11" s="6" t="n">
        <v>6</v>
      </c>
      <c r="V11" s="6" t="n">
        <v>6</v>
      </c>
      <c r="W11" s="6" t="n">
        <v>5</v>
      </c>
      <c r="X11" s="6" t="n">
        <v>4</v>
      </c>
      <c r="Y11" s="6" t="n"/>
      <c r="Z11" s="6" t="n"/>
      <c r="AA11" s="6" t="n">
        <v>123.6</v>
      </c>
      <c r="AB11" s="6" t="inlineStr">
        <is>
          <t>是</t>
        </is>
      </c>
      <c r="AC11" s="6" t="inlineStr">
        <is>
          <t>是</t>
        </is>
      </c>
      <c r="AD11" s="6" t="inlineStr">
        <is>
          <t>是</t>
        </is>
      </c>
      <c r="AE11" s="6" t="inlineStr">
        <is>
          <t>无</t>
        </is>
      </c>
      <c r="AF11" s="6" t="n">
        <v>9.68</v>
      </c>
      <c r="AG11" s="6" t="n">
        <v>0.895</v>
      </c>
      <c r="AH11" s="6" t="n">
        <v>0.993</v>
      </c>
      <c r="AI11" s="6" t="n">
        <v>0.931</v>
      </c>
      <c r="AJ11" s="6" t="n">
        <v>0.717</v>
      </c>
      <c r="AK11" s="6" t="inlineStr">
        <is>
          <t>FrozenUncertain</t>
        </is>
      </c>
      <c r="AL11" s="6" t="inlineStr">
        <is>
          <t>否</t>
        </is>
      </c>
      <c r="AM11" s="6" t="n">
        <v>0</v>
      </c>
      <c r="AN11" s="6" t="n">
        <v>0</v>
      </c>
      <c r="AO11" s="6" t="n"/>
    </row>
    <row r="12">
      <c r="A12" s="6" t="inlineStr">
        <is>
          <t>P002</t>
        </is>
      </c>
      <c r="B12" s="6" t="n">
        <v>2</v>
      </c>
      <c r="C12" s="6" t="inlineStr">
        <is>
          <t>O4-S2-EA</t>
        </is>
      </c>
      <c r="D12" s="6" t="n">
        <v>1</v>
      </c>
      <c r="E12" s="6" t="inlineStr">
        <is>
          <t>固定订书机</t>
        </is>
      </c>
      <c r="F12" s="6" t="inlineStr">
        <is>
          <t>stapler</t>
        </is>
      </c>
      <c r="G12" s="6" t="inlineStr">
        <is>
          <t>方法A</t>
        </is>
      </c>
      <c r="H12" s="6" t="inlineStr">
        <is>
          <t>EgoAnchor</t>
        </is>
      </c>
      <c r="I12" s="6" t="n">
        <v>2</v>
      </c>
      <c r="J12" s="6" t="n">
        <v>1</v>
      </c>
      <c r="K12" s="6" t="n">
        <v>6</v>
      </c>
      <c r="L12" s="6" t="n">
        <v>5</v>
      </c>
      <c r="M12" s="6" t="n">
        <v>5</v>
      </c>
      <c r="N12" s="6" t="n"/>
      <c r="O12" s="6" t="n">
        <v>5</v>
      </c>
      <c r="P12" s="6" t="n">
        <v>5</v>
      </c>
      <c r="Q12" s="6" t="n">
        <v>4</v>
      </c>
      <c r="R12" s="6" t="n">
        <v>5</v>
      </c>
      <c r="S12" s="6" t="n">
        <v>4</v>
      </c>
      <c r="T12" s="6" t="n">
        <v>6</v>
      </c>
      <c r="U12" s="6" t="n">
        <v>6</v>
      </c>
      <c r="V12" s="6" t="n">
        <v>6</v>
      </c>
      <c r="W12" s="6" t="n">
        <v>4</v>
      </c>
      <c r="X12" s="6" t="n">
        <v>4</v>
      </c>
      <c r="Y12" s="6" t="n"/>
      <c r="Z12" s="6" t="n"/>
      <c r="AA12" s="6" t="n">
        <v>157.2</v>
      </c>
      <c r="AB12" s="6" t="inlineStr">
        <is>
          <t>是</t>
        </is>
      </c>
      <c r="AC12" s="6" t="inlineStr">
        <is>
          <t>是</t>
        </is>
      </c>
      <c r="AD12" s="6" t="inlineStr">
        <is>
          <t>是</t>
        </is>
      </c>
      <c r="AE12" s="6" t="inlineStr">
        <is>
          <t>无</t>
        </is>
      </c>
      <c r="AF12" s="6" t="n">
        <v>9.68</v>
      </c>
      <c r="AG12" s="6" t="n">
        <v>0.908</v>
      </c>
      <c r="AH12" s="6" t="n">
        <v>0.968</v>
      </c>
      <c r="AI12" s="6" t="n">
        <v>0.919</v>
      </c>
      <c r="AJ12" s="6" t="n">
        <v>0.73</v>
      </c>
      <c r="AK12" s="6" t="inlineStr">
        <is>
          <t>FrozenUncertain</t>
        </is>
      </c>
      <c r="AL12" s="6" t="inlineStr">
        <is>
          <t>否</t>
        </is>
      </c>
      <c r="AM12" s="6" t="n">
        <v>0</v>
      </c>
      <c r="AN12" s="6" t="n">
        <v>6</v>
      </c>
      <c r="AO12" s="6" t="n"/>
    </row>
    <row r="13">
      <c r="A13" s="6" t="inlineStr">
        <is>
          <t>P002</t>
        </is>
      </c>
      <c r="B13" s="6" t="n">
        <v>3</v>
      </c>
      <c r="C13" s="6" t="inlineStr">
        <is>
          <t>O4-S2-EA</t>
        </is>
      </c>
      <c r="D13" s="6" t="n">
        <v>2</v>
      </c>
      <c r="E13" s="6" t="inlineStr">
        <is>
          <t>游戏手柄</t>
        </is>
      </c>
      <c r="F13" s="6" t="inlineStr">
        <is>
          <t>gamepad</t>
        </is>
      </c>
      <c r="G13" s="6" t="inlineStr">
        <is>
          <t>方法A</t>
        </is>
      </c>
      <c r="H13" s="6" t="inlineStr">
        <is>
          <t>EgoAnchor</t>
        </is>
      </c>
      <c r="I13" s="6" t="n">
        <v>1</v>
      </c>
      <c r="J13" s="6" t="n">
        <v>2</v>
      </c>
      <c r="K13" s="6" t="n">
        <v>5</v>
      </c>
      <c r="L13" s="6" t="n">
        <v>4</v>
      </c>
      <c r="M13" s="6" t="n">
        <v>4</v>
      </c>
      <c r="N13" s="6" t="n"/>
      <c r="O13" s="6" t="n">
        <v>4</v>
      </c>
      <c r="P13" s="6" t="n">
        <v>5</v>
      </c>
      <c r="Q13" s="6" t="n">
        <v>4</v>
      </c>
      <c r="R13" s="6" t="n">
        <v>4</v>
      </c>
      <c r="S13" s="6" t="n">
        <v>2</v>
      </c>
      <c r="T13" s="6" t="n">
        <v>3</v>
      </c>
      <c r="U13" s="6" t="n">
        <v>5</v>
      </c>
      <c r="V13" s="6" t="n">
        <v>5</v>
      </c>
      <c r="W13" s="6" t="n">
        <v>3</v>
      </c>
      <c r="X13" s="6" t="n">
        <v>3</v>
      </c>
      <c r="Y13" s="6" t="n"/>
      <c r="Z13" s="6" t="n"/>
      <c r="AA13" s="6" t="n">
        <v>147.8</v>
      </c>
      <c r="AB13" s="6" t="inlineStr">
        <is>
          <t>是</t>
        </is>
      </c>
      <c r="AC13" s="6" t="inlineStr">
        <is>
          <t>是</t>
        </is>
      </c>
      <c r="AD13" s="6" t="inlineStr">
        <is>
          <t>是</t>
        </is>
      </c>
      <c r="AE13" s="6" t="inlineStr">
        <is>
          <t>无</t>
        </is>
      </c>
      <c r="AF13" s="6" t="n">
        <v>9.57</v>
      </c>
      <c r="AG13" s="6" t="n">
        <v>0.865</v>
      </c>
      <c r="AH13" s="6" t="n">
        <v>0.95</v>
      </c>
      <c r="AI13" s="6" t="n">
        <v>0.949</v>
      </c>
      <c r="AJ13" s="6" t="n">
        <v>0.764</v>
      </c>
      <c r="AK13" s="6" t="inlineStr">
        <is>
          <t>FrozenUncertain</t>
        </is>
      </c>
      <c r="AL13" s="6" t="inlineStr">
        <is>
          <t>否</t>
        </is>
      </c>
      <c r="AM13" s="6" t="n">
        <v>0</v>
      </c>
      <c r="AN13" s="6" t="n">
        <v>3</v>
      </c>
      <c r="AO13" s="6" t="n"/>
    </row>
    <row r="14">
      <c r="A14" s="6" t="inlineStr">
        <is>
          <t>P002</t>
        </is>
      </c>
      <c r="B14" s="6" t="n">
        <v>4</v>
      </c>
      <c r="C14" s="6" t="inlineStr">
        <is>
          <t>O4-S2-EA</t>
        </is>
      </c>
      <c r="D14" s="6" t="n">
        <v>2</v>
      </c>
      <c r="E14" s="6" t="inlineStr">
        <is>
          <t>游戏手柄</t>
        </is>
      </c>
      <c r="F14" s="6" t="inlineStr">
        <is>
          <t>gamepad</t>
        </is>
      </c>
      <c r="G14" s="6" t="inlineStr">
        <is>
          <t>方法B</t>
        </is>
      </c>
      <c r="H14" s="6" t="inlineStr">
        <is>
          <t>One-Euro</t>
        </is>
      </c>
      <c r="I14" s="6" t="n">
        <v>2</v>
      </c>
      <c r="J14" s="6" t="n">
        <v>2</v>
      </c>
      <c r="K14" s="6" t="n">
        <v>5</v>
      </c>
      <c r="L14" s="6" t="n">
        <v>5</v>
      </c>
      <c r="M14" s="6" t="n">
        <v>4</v>
      </c>
      <c r="N14" s="6" t="n"/>
      <c r="O14" s="6" t="n">
        <v>4</v>
      </c>
      <c r="P14" s="6" t="n">
        <v>4</v>
      </c>
      <c r="Q14" s="6" t="n">
        <v>4</v>
      </c>
      <c r="R14" s="6" t="n">
        <v>3</v>
      </c>
      <c r="S14" s="6" t="n">
        <v>3</v>
      </c>
      <c r="T14" s="6" t="n">
        <v>4</v>
      </c>
      <c r="U14" s="6" t="n">
        <v>6</v>
      </c>
      <c r="V14" s="6" t="n">
        <v>6</v>
      </c>
      <c r="W14" s="6" t="n">
        <v>4</v>
      </c>
      <c r="X14" s="6" t="n">
        <v>4</v>
      </c>
      <c r="Y14" s="6" t="n"/>
      <c r="Z14" s="6" t="n"/>
      <c r="AA14" s="6" t="n">
        <v>134.7</v>
      </c>
      <c r="AB14" s="6" t="inlineStr">
        <is>
          <t>是</t>
        </is>
      </c>
      <c r="AC14" s="6" t="inlineStr">
        <is>
          <t>是</t>
        </is>
      </c>
      <c r="AD14" s="6" t="inlineStr">
        <is>
          <t>是</t>
        </is>
      </c>
      <c r="AE14" s="6" t="inlineStr">
        <is>
          <t>无</t>
        </is>
      </c>
      <c r="AF14" s="6" t="n">
        <v>9.43</v>
      </c>
      <c r="AG14" s="6" t="n">
        <v>0.861</v>
      </c>
      <c r="AH14" s="6" t="n">
        <v>0.898</v>
      </c>
      <c r="AI14" s="6" t="n">
        <v>0.952</v>
      </c>
      <c r="AJ14" s="6" t="n">
        <v>0.803</v>
      </c>
      <c r="AK14" s="6" t="inlineStr">
        <is>
          <t>FrozenUncertain</t>
        </is>
      </c>
      <c r="AL14" s="6" t="inlineStr">
        <is>
          <t>否</t>
        </is>
      </c>
      <c r="AM14" s="6" t="n">
        <v>0</v>
      </c>
      <c r="AN14" s="6" t="n">
        <v>0</v>
      </c>
      <c r="AO14" s="6" t="n"/>
    </row>
    <row r="15">
      <c r="A15" s="6" t="inlineStr">
        <is>
          <t>P002</t>
        </is>
      </c>
      <c r="B15" s="6" t="n">
        <v>5</v>
      </c>
      <c r="C15" s="6" t="inlineStr">
        <is>
          <t>O4-S2-EA</t>
        </is>
      </c>
      <c r="D15" s="6" t="n">
        <v>3</v>
      </c>
      <c r="E15" s="6" t="inlineStr">
        <is>
          <t>鼠标</t>
        </is>
      </c>
      <c r="F15" s="6" t="inlineStr">
        <is>
          <t>blue_mouse</t>
        </is>
      </c>
      <c r="G15" s="6" t="inlineStr">
        <is>
          <t>方法B</t>
        </is>
      </c>
      <c r="H15" s="6" t="inlineStr">
        <is>
          <t>One-Euro</t>
        </is>
      </c>
      <c r="I15" s="6" t="n">
        <v>1</v>
      </c>
      <c r="J15" s="6" t="n">
        <v>3</v>
      </c>
      <c r="K15" s="6" t="n">
        <v>5</v>
      </c>
      <c r="L15" s="6" t="n">
        <v>4</v>
      </c>
      <c r="M15" s="6" t="n">
        <v>5</v>
      </c>
      <c r="N15" s="6" t="n"/>
      <c r="O15" s="6" t="n">
        <v>5</v>
      </c>
      <c r="P15" s="6" t="n">
        <v>5</v>
      </c>
      <c r="Q15" s="6" t="n">
        <v>4</v>
      </c>
      <c r="R15" s="6" t="n">
        <v>4</v>
      </c>
      <c r="S15" s="6" t="n">
        <v>5</v>
      </c>
      <c r="T15" s="6" t="n">
        <v>5</v>
      </c>
      <c r="U15" s="6" t="n">
        <v>6</v>
      </c>
      <c r="V15" s="6" t="n">
        <v>6</v>
      </c>
      <c r="W15" s="6" t="n">
        <v>3</v>
      </c>
      <c r="X15" s="6" t="n">
        <v>5</v>
      </c>
      <c r="Y15" s="6" t="n"/>
      <c r="Z15" s="6" t="n"/>
      <c r="AA15" s="6" t="n">
        <v>157.6</v>
      </c>
      <c r="AB15" s="6" t="inlineStr">
        <is>
          <t>是</t>
        </is>
      </c>
      <c r="AC15" s="6" t="inlineStr">
        <is>
          <t>是</t>
        </is>
      </c>
      <c r="AD15" s="6" t="inlineStr">
        <is>
          <t>是</t>
        </is>
      </c>
      <c r="AE15" s="6" t="inlineStr">
        <is>
          <t>无</t>
        </is>
      </c>
      <c r="AF15" s="6" t="n">
        <v>9.35</v>
      </c>
      <c r="AG15" s="6" t="n">
        <v>0.846</v>
      </c>
      <c r="AH15" s="6" t="n">
        <v>0.905</v>
      </c>
      <c r="AI15" s="6" t="n">
        <v>0.9389999999999999</v>
      </c>
      <c r="AJ15" s="6" t="n">
        <v>0.722</v>
      </c>
      <c r="AK15" s="6" t="inlineStr">
        <is>
          <t>FrozenUncertain</t>
        </is>
      </c>
      <c r="AL15" s="6" t="inlineStr">
        <is>
          <t>否</t>
        </is>
      </c>
      <c r="AM15" s="6" t="n">
        <v>0</v>
      </c>
      <c r="AN15" s="6" t="n">
        <v>0</v>
      </c>
      <c r="AO15" s="6" t="n"/>
    </row>
    <row r="16">
      <c r="A16" s="6" t="inlineStr">
        <is>
          <t>P002</t>
        </is>
      </c>
      <c r="B16" s="6" t="n">
        <v>6</v>
      </c>
      <c r="C16" s="6" t="inlineStr">
        <is>
          <t>O4-S2-EA</t>
        </is>
      </c>
      <c r="D16" s="6" t="n">
        <v>3</v>
      </c>
      <c r="E16" s="6" t="inlineStr">
        <is>
          <t>鼠标</t>
        </is>
      </c>
      <c r="F16" s="6" t="inlineStr">
        <is>
          <t>blue_mouse</t>
        </is>
      </c>
      <c r="G16" s="6" t="inlineStr">
        <is>
          <t>方法A</t>
        </is>
      </c>
      <c r="H16" s="6" t="inlineStr">
        <is>
          <t>EgoAnchor</t>
        </is>
      </c>
      <c r="I16" s="6" t="n">
        <v>2</v>
      </c>
      <c r="J16" s="6" t="n">
        <v>3</v>
      </c>
      <c r="K16" s="6" t="n">
        <v>5</v>
      </c>
      <c r="L16" s="6" t="n">
        <v>4</v>
      </c>
      <c r="M16" s="6" t="n">
        <v>3</v>
      </c>
      <c r="N16" s="6" t="n"/>
      <c r="O16" s="6" t="n">
        <v>4</v>
      </c>
      <c r="P16" s="6" t="n">
        <v>3</v>
      </c>
      <c r="Q16" s="6" t="n">
        <v>4</v>
      </c>
      <c r="R16" s="6" t="n">
        <v>3</v>
      </c>
      <c r="S16" s="6" t="n">
        <v>3</v>
      </c>
      <c r="T16" s="6" t="n">
        <v>3</v>
      </c>
      <c r="U16" s="6" t="n">
        <v>5</v>
      </c>
      <c r="V16" s="6" t="n">
        <v>4</v>
      </c>
      <c r="W16" s="6" t="n">
        <v>3</v>
      </c>
      <c r="X16" s="6" t="n">
        <v>4</v>
      </c>
      <c r="Y16" s="6" t="n"/>
      <c r="Z16" s="6" t="n"/>
      <c r="AA16" s="6" t="n">
        <v>134.7</v>
      </c>
      <c r="AB16" s="6" t="inlineStr">
        <is>
          <t>是</t>
        </is>
      </c>
      <c r="AC16" s="6" t="inlineStr">
        <is>
          <t>是</t>
        </is>
      </c>
      <c r="AD16" s="6" t="inlineStr">
        <is>
          <t>是</t>
        </is>
      </c>
      <c r="AE16" s="6" t="inlineStr">
        <is>
          <t>无</t>
        </is>
      </c>
      <c r="AF16" s="6" t="n">
        <v>9.640000000000001</v>
      </c>
      <c r="AG16" s="6" t="n">
        <v>0.858</v>
      </c>
      <c r="AH16" s="6" t="n">
        <v>0.886</v>
      </c>
      <c r="AI16" s="6" t="n">
        <v>0.948</v>
      </c>
      <c r="AJ16" s="6" t="n">
        <v>0.797</v>
      </c>
      <c r="AK16" s="6" t="inlineStr">
        <is>
          <t>FrozenUncertain</t>
        </is>
      </c>
      <c r="AL16" s="6" t="inlineStr">
        <is>
          <t>否</t>
        </is>
      </c>
      <c r="AM16" s="6" t="n">
        <v>0</v>
      </c>
      <c r="AN16" s="6" t="n">
        <v>3</v>
      </c>
      <c r="AO16" s="6" t="n"/>
    </row>
    <row r="17">
      <c r="A17" s="6" t="inlineStr">
        <is>
          <t>P003</t>
        </is>
      </c>
      <c r="B17" s="6" t="n">
        <v>1</v>
      </c>
      <c r="C17" s="6" t="inlineStr">
        <is>
          <t>O4-S2-OE</t>
        </is>
      </c>
      <c r="D17" s="6" t="n">
        <v>1</v>
      </c>
      <c r="E17" s="6" t="inlineStr">
        <is>
          <t>固定订书机</t>
        </is>
      </c>
      <c r="F17" s="6" t="inlineStr">
        <is>
          <t>stapler</t>
        </is>
      </c>
      <c r="G17" s="6" t="inlineStr">
        <is>
          <t>方法B</t>
        </is>
      </c>
      <c r="H17" s="6" t="inlineStr">
        <is>
          <t>EgoAnchor</t>
        </is>
      </c>
      <c r="I17" s="6" t="n">
        <v>1</v>
      </c>
      <c r="J17" s="6" t="n">
        <v>1</v>
      </c>
      <c r="K17" s="6" t="n">
        <v>7</v>
      </c>
      <c r="L17" s="6" t="n">
        <v>6</v>
      </c>
      <c r="M17" s="6" t="n">
        <v>6</v>
      </c>
      <c r="N17" s="6" t="n"/>
      <c r="O17" s="6" t="n">
        <v>5</v>
      </c>
      <c r="P17" s="6" t="n">
        <v>6</v>
      </c>
      <c r="Q17" s="6" t="n">
        <v>7</v>
      </c>
      <c r="R17" s="6" t="n">
        <v>6</v>
      </c>
      <c r="S17" s="6" t="n">
        <v>4</v>
      </c>
      <c r="T17" s="6" t="n">
        <v>6</v>
      </c>
      <c r="U17" s="6" t="n">
        <v>7</v>
      </c>
      <c r="V17" s="6" t="n">
        <v>4</v>
      </c>
      <c r="W17" s="6" t="n">
        <v>7</v>
      </c>
      <c r="X17" s="6" t="n">
        <v>6</v>
      </c>
      <c r="Y17" s="6" t="n"/>
      <c r="Z17" s="6" t="n"/>
      <c r="AA17" s="6" t="n">
        <v>107.8</v>
      </c>
      <c r="AB17" s="6" t="inlineStr">
        <is>
          <t>是</t>
        </is>
      </c>
      <c r="AC17" s="6" t="inlineStr">
        <is>
          <t>是</t>
        </is>
      </c>
      <c r="AD17" s="6" t="inlineStr">
        <is>
          <t>是</t>
        </is>
      </c>
      <c r="AE17" s="6" t="inlineStr">
        <is>
          <t>无</t>
        </is>
      </c>
      <c r="AF17" s="6" t="n">
        <v>9.06</v>
      </c>
      <c r="AG17" s="6" t="n">
        <v>0.9</v>
      </c>
      <c r="AH17" s="6" t="n">
        <v>0.908</v>
      </c>
      <c r="AI17" s="6" t="n">
        <v>0.955</v>
      </c>
      <c r="AJ17" s="6" t="n">
        <v>0.726</v>
      </c>
      <c r="AK17" s="6" t="inlineStr">
        <is>
          <t>FrozenUncertain</t>
        </is>
      </c>
      <c r="AL17" s="6" t="inlineStr">
        <is>
          <t>否</t>
        </is>
      </c>
      <c r="AM17" s="6" t="n">
        <v>0</v>
      </c>
      <c r="AN17" s="6" t="n">
        <v>5</v>
      </c>
      <c r="AO17" s="6" t="n"/>
    </row>
    <row r="18">
      <c r="A18" s="6" t="inlineStr">
        <is>
          <t>P003</t>
        </is>
      </c>
      <c r="B18" s="6" t="n">
        <v>2</v>
      </c>
      <c r="C18" s="6" t="inlineStr">
        <is>
          <t>O4-S2-OE</t>
        </is>
      </c>
      <c r="D18" s="6" t="n">
        <v>1</v>
      </c>
      <c r="E18" s="6" t="inlineStr">
        <is>
          <t>固定订书机</t>
        </is>
      </c>
      <c r="F18" s="6" t="inlineStr">
        <is>
          <t>stapler</t>
        </is>
      </c>
      <c r="G18" s="6" t="inlineStr">
        <is>
          <t>方法A</t>
        </is>
      </c>
      <c r="H18" s="6" t="inlineStr">
        <is>
          <t>One-Euro</t>
        </is>
      </c>
      <c r="I18" s="6" t="n">
        <v>2</v>
      </c>
      <c r="J18" s="6" t="n">
        <v>1</v>
      </c>
      <c r="K18" s="6" t="n">
        <v>5</v>
      </c>
      <c r="L18" s="6" t="n">
        <v>6</v>
      </c>
      <c r="M18" s="6" t="n">
        <v>5</v>
      </c>
      <c r="N18" s="6" t="n"/>
      <c r="O18" s="6" t="n">
        <v>7</v>
      </c>
      <c r="P18" s="6" t="n">
        <v>6</v>
      </c>
      <c r="Q18" s="6" t="n">
        <v>7</v>
      </c>
      <c r="R18" s="6" t="n">
        <v>4</v>
      </c>
      <c r="S18" s="6" t="n">
        <v>5</v>
      </c>
      <c r="T18" s="6" t="n">
        <v>5</v>
      </c>
      <c r="U18" s="6" t="n">
        <v>7</v>
      </c>
      <c r="V18" s="6" t="n">
        <v>6</v>
      </c>
      <c r="W18" s="6" t="n">
        <v>6</v>
      </c>
      <c r="X18" s="6" t="n">
        <v>5</v>
      </c>
      <c r="Y18" s="6" t="n"/>
      <c r="Z18" s="6" t="n"/>
      <c r="AA18" s="6" t="n">
        <v>107.3</v>
      </c>
      <c r="AB18" s="6" t="inlineStr">
        <is>
          <t>是</t>
        </is>
      </c>
      <c r="AC18" s="6" t="inlineStr">
        <is>
          <t>是</t>
        </is>
      </c>
      <c r="AD18" s="6" t="inlineStr">
        <is>
          <t>是</t>
        </is>
      </c>
      <c r="AE18" s="6" t="inlineStr">
        <is>
          <t>无</t>
        </is>
      </c>
      <c r="AF18" s="6" t="n">
        <v>9.369999999999999</v>
      </c>
      <c r="AG18" s="6" t="n">
        <v>0.9419999999999999</v>
      </c>
      <c r="AH18" s="6" t="n">
        <v>0.92</v>
      </c>
      <c r="AI18" s="6" t="n">
        <v>0.949</v>
      </c>
      <c r="AJ18" s="6" t="n">
        <v>0.727</v>
      </c>
      <c r="AK18" s="6" t="inlineStr">
        <is>
          <t>FrozenUncertain</t>
        </is>
      </c>
      <c r="AL18" s="6" t="inlineStr">
        <is>
          <t>否</t>
        </is>
      </c>
      <c r="AM18" s="6" t="n">
        <v>0</v>
      </c>
      <c r="AN18" s="6" t="n">
        <v>0</v>
      </c>
      <c r="AO18" s="6" t="n"/>
    </row>
    <row r="19">
      <c r="A19" s="6" t="inlineStr">
        <is>
          <t>P003</t>
        </is>
      </c>
      <c r="B19" s="6" t="n">
        <v>3</v>
      </c>
      <c r="C19" s="6" t="inlineStr">
        <is>
          <t>O4-S2-OE</t>
        </is>
      </c>
      <c r="D19" s="6" t="n">
        <v>2</v>
      </c>
      <c r="E19" s="6" t="inlineStr">
        <is>
          <t>游戏手柄</t>
        </is>
      </c>
      <c r="F19" s="6" t="inlineStr">
        <is>
          <t>gamepad</t>
        </is>
      </c>
      <c r="G19" s="6" t="inlineStr">
        <is>
          <t>方法A</t>
        </is>
      </c>
      <c r="H19" s="6" t="inlineStr">
        <is>
          <t>One-Euro</t>
        </is>
      </c>
      <c r="I19" s="6" t="n">
        <v>1</v>
      </c>
      <c r="J19" s="6" t="n">
        <v>2</v>
      </c>
      <c r="K19" s="6" t="n">
        <v>2</v>
      </c>
      <c r="L19" s="6" t="n">
        <v>5</v>
      </c>
      <c r="M19" s="6" t="n">
        <v>2</v>
      </c>
      <c r="N19" s="6" t="n"/>
      <c r="O19" s="6" t="n">
        <v>4</v>
      </c>
      <c r="P19" s="6" t="n">
        <v>4</v>
      </c>
      <c r="Q19" s="6" t="n">
        <v>4</v>
      </c>
      <c r="R19" s="6" t="n">
        <v>3</v>
      </c>
      <c r="S19" s="6" t="n">
        <v>4</v>
      </c>
      <c r="T19" s="6" t="n">
        <v>4</v>
      </c>
      <c r="U19" s="6" t="n">
        <v>6</v>
      </c>
      <c r="V19" s="6" t="n">
        <v>4</v>
      </c>
      <c r="W19" s="6" t="n">
        <v>4</v>
      </c>
      <c r="X19" s="6" t="n">
        <v>4</v>
      </c>
      <c r="Y19" s="6" t="n"/>
      <c r="Z19" s="6" t="n"/>
      <c r="AA19" s="6" t="n">
        <v>95.09999999999999</v>
      </c>
      <c r="AB19" s="6" t="inlineStr">
        <is>
          <t>是</t>
        </is>
      </c>
      <c r="AC19" s="6" t="inlineStr">
        <is>
          <t>是</t>
        </is>
      </c>
      <c r="AD19" s="6" t="inlineStr">
        <is>
          <t>是</t>
        </is>
      </c>
      <c r="AE19" s="6" t="inlineStr">
        <is>
          <t>无</t>
        </is>
      </c>
      <c r="AF19" s="6" t="n">
        <v>9.380000000000001</v>
      </c>
      <c r="AG19" s="6" t="n">
        <v>0.843</v>
      </c>
      <c r="AH19" s="6" t="n">
        <v>0.876</v>
      </c>
      <c r="AI19" s="6" t="n">
        <v>0.978</v>
      </c>
      <c r="AJ19" s="6" t="n">
        <v>0.751</v>
      </c>
      <c r="AK19" s="6" t="inlineStr">
        <is>
          <t>FrozenUncertain</t>
        </is>
      </c>
      <c r="AL19" s="6" t="inlineStr">
        <is>
          <t>否</t>
        </is>
      </c>
      <c r="AM19" s="6" t="n">
        <v>0</v>
      </c>
      <c r="AN19" s="6" t="n">
        <v>0</v>
      </c>
      <c r="AO19" s="6" t="n"/>
    </row>
    <row r="20">
      <c r="A20" s="6" t="inlineStr">
        <is>
          <t>P003</t>
        </is>
      </c>
      <c r="B20" s="6" t="n">
        <v>4</v>
      </c>
      <c r="C20" s="6" t="inlineStr">
        <is>
          <t>O4-S2-OE</t>
        </is>
      </c>
      <c r="D20" s="6" t="n">
        <v>2</v>
      </c>
      <c r="E20" s="6" t="inlineStr">
        <is>
          <t>游戏手柄</t>
        </is>
      </c>
      <c r="F20" s="6" t="inlineStr">
        <is>
          <t>gamepad</t>
        </is>
      </c>
      <c r="G20" s="6" t="inlineStr">
        <is>
          <t>方法B</t>
        </is>
      </c>
      <c r="H20" s="6" t="inlineStr">
        <is>
          <t>EgoAnchor</t>
        </is>
      </c>
      <c r="I20" s="6" t="n">
        <v>2</v>
      </c>
      <c r="J20" s="6" t="n">
        <v>2</v>
      </c>
      <c r="K20" s="6" t="n">
        <v>7</v>
      </c>
      <c r="L20" s="6" t="n">
        <v>6</v>
      </c>
      <c r="M20" s="6" t="n">
        <v>7</v>
      </c>
      <c r="N20" s="6" t="n"/>
      <c r="O20" s="6" t="n">
        <v>5</v>
      </c>
      <c r="P20" s="6" t="n">
        <v>6</v>
      </c>
      <c r="Q20" s="6" t="n">
        <v>7</v>
      </c>
      <c r="R20" s="6" t="n">
        <v>6</v>
      </c>
      <c r="S20" s="6" t="n">
        <v>5</v>
      </c>
      <c r="T20" s="6" t="n">
        <v>7</v>
      </c>
      <c r="U20" s="6" t="n">
        <v>6</v>
      </c>
      <c r="V20" s="6" t="n">
        <v>6</v>
      </c>
      <c r="W20" s="6" t="n">
        <v>7</v>
      </c>
      <c r="X20" s="6" t="n">
        <v>7</v>
      </c>
      <c r="Y20" s="6" t="n"/>
      <c r="Z20" s="6" t="n"/>
      <c r="AA20" s="6" t="n">
        <v>95.40000000000001</v>
      </c>
      <c r="AB20" s="6" t="inlineStr">
        <is>
          <t>是</t>
        </is>
      </c>
      <c r="AC20" s="6" t="inlineStr">
        <is>
          <t>是</t>
        </is>
      </c>
      <c r="AD20" s="6" t="inlineStr">
        <is>
          <t>是</t>
        </is>
      </c>
      <c r="AE20" s="6" t="inlineStr">
        <is>
          <t>遮挡移回后服务器重注册 1 次，锚点短暂 Lost，参与者已完成观察</t>
        </is>
      </c>
      <c r="AF20" s="6" t="n">
        <v>9.699999999999999</v>
      </c>
      <c r="AG20" s="6" t="n">
        <v>0.896</v>
      </c>
      <c r="AH20" s="6" t="n">
        <v>0.886</v>
      </c>
      <c r="AI20" s="6" t="n">
        <v>0.945</v>
      </c>
      <c r="AJ20" s="6" t="n">
        <v>0.795</v>
      </c>
      <c r="AK20" s="6" t="inlineStr">
        <is>
          <t>FrozenUncertain</t>
        </is>
      </c>
      <c r="AL20" s="6" t="inlineStr">
        <is>
          <t>否</t>
        </is>
      </c>
      <c r="AM20" s="6" t="n">
        <v>0</v>
      </c>
      <c r="AN20" s="6" t="n">
        <v>7</v>
      </c>
      <c r="AO20" s="6" t="n"/>
    </row>
    <row r="21">
      <c r="A21" s="6" t="inlineStr">
        <is>
          <t>P003</t>
        </is>
      </c>
      <c r="B21" s="6" t="n">
        <v>5</v>
      </c>
      <c r="C21" s="6" t="inlineStr">
        <is>
          <t>O4-S2-OE</t>
        </is>
      </c>
      <c r="D21" s="6" t="n">
        <v>3</v>
      </c>
      <c r="E21" s="6" t="inlineStr">
        <is>
          <t>鼠标</t>
        </is>
      </c>
      <c r="F21" s="6" t="inlineStr">
        <is>
          <t>blue_mouse</t>
        </is>
      </c>
      <c r="G21" s="6" t="inlineStr">
        <is>
          <t>方法B</t>
        </is>
      </c>
      <c r="H21" s="6" t="inlineStr">
        <is>
          <t>EgoAnchor</t>
        </is>
      </c>
      <c r="I21" s="6" t="n">
        <v>1</v>
      </c>
      <c r="J21" s="6" t="n">
        <v>3</v>
      </c>
      <c r="K21" s="6" t="n">
        <v>7</v>
      </c>
      <c r="L21" s="6" t="n">
        <v>5</v>
      </c>
      <c r="M21" s="6" t="n">
        <v>4</v>
      </c>
      <c r="N21" s="6" t="n"/>
      <c r="O21" s="6" t="n">
        <v>5</v>
      </c>
      <c r="P21" s="6" t="n">
        <v>6</v>
      </c>
      <c r="Q21" s="6" t="n">
        <v>7</v>
      </c>
      <c r="R21" s="6" t="n">
        <v>6</v>
      </c>
      <c r="S21" s="6" t="n">
        <v>5</v>
      </c>
      <c r="T21" s="6" t="n">
        <v>5</v>
      </c>
      <c r="U21" s="6" t="n">
        <v>7</v>
      </c>
      <c r="V21" s="6" t="n">
        <v>5</v>
      </c>
      <c r="W21" s="6" t="n">
        <v>6</v>
      </c>
      <c r="X21" s="6" t="n">
        <v>6</v>
      </c>
      <c r="Y21" s="6" t="n"/>
      <c r="Z21" s="6" t="n"/>
      <c r="AA21" s="6" t="n">
        <v>128.4</v>
      </c>
      <c r="AB21" s="6" t="inlineStr">
        <is>
          <t>是</t>
        </is>
      </c>
      <c r="AC21" s="6" t="inlineStr">
        <is>
          <t>是</t>
        </is>
      </c>
      <c r="AD21" s="6" t="inlineStr">
        <is>
          <t>是</t>
        </is>
      </c>
      <c r="AE21" s="6" t="inlineStr">
        <is>
          <t>无</t>
        </is>
      </c>
      <c r="AF21" s="6" t="n">
        <v>9.69</v>
      </c>
      <c r="AG21" s="6" t="n">
        <v>0.872</v>
      </c>
      <c r="AH21" s="6" t="n">
        <v>0.9320000000000001</v>
      </c>
      <c r="AI21" s="6" t="n">
        <v>0.9379999999999999</v>
      </c>
      <c r="AJ21" s="6" t="n">
        <v>0.761</v>
      </c>
      <c r="AK21" s="6" t="inlineStr">
        <is>
          <t>FrozenUncertain</t>
        </is>
      </c>
      <c r="AL21" s="6" t="inlineStr">
        <is>
          <t>否</t>
        </is>
      </c>
      <c r="AM21" s="6" t="n">
        <v>0</v>
      </c>
      <c r="AN21" s="6" t="n">
        <v>8</v>
      </c>
      <c r="AO21" s="6" t="n"/>
    </row>
    <row r="22">
      <c r="A22" s="6" t="inlineStr">
        <is>
          <t>P003</t>
        </is>
      </c>
      <c r="B22" s="6" t="n">
        <v>6</v>
      </c>
      <c r="C22" s="6" t="inlineStr">
        <is>
          <t>O4-S2-OE</t>
        </is>
      </c>
      <c r="D22" s="6" t="n">
        <v>3</v>
      </c>
      <c r="E22" s="6" t="inlineStr">
        <is>
          <t>鼠标</t>
        </is>
      </c>
      <c r="F22" s="6" t="inlineStr">
        <is>
          <t>blue_mouse</t>
        </is>
      </c>
      <c r="G22" s="6" t="inlineStr">
        <is>
          <t>方法A</t>
        </is>
      </c>
      <c r="H22" s="6" t="inlineStr">
        <is>
          <t>One-Euro</t>
        </is>
      </c>
      <c r="I22" s="6" t="n">
        <v>2</v>
      </c>
      <c r="J22" s="6" t="n">
        <v>3</v>
      </c>
      <c r="K22" s="6" t="n">
        <v>2</v>
      </c>
      <c r="L22" s="6" t="n">
        <v>5</v>
      </c>
      <c r="M22" s="6" t="n">
        <v>3</v>
      </c>
      <c r="N22" s="6" t="n"/>
      <c r="O22" s="6" t="n">
        <v>6</v>
      </c>
      <c r="P22" s="6" t="n">
        <v>3</v>
      </c>
      <c r="Q22" s="6" t="n">
        <v>3</v>
      </c>
      <c r="R22" s="6" t="n">
        <v>2</v>
      </c>
      <c r="S22" s="6" t="n">
        <v>3</v>
      </c>
      <c r="T22" s="6" t="n">
        <v>4</v>
      </c>
      <c r="U22" s="6" t="n">
        <v>5</v>
      </c>
      <c r="V22" s="6" t="n">
        <v>2</v>
      </c>
      <c r="W22" s="6" t="n">
        <v>3</v>
      </c>
      <c r="X22" s="6" t="n">
        <v>2</v>
      </c>
      <c r="Y22" s="6" t="n"/>
      <c r="Z22" s="6" t="n"/>
      <c r="AA22" s="6" t="n">
        <v>104.5</v>
      </c>
      <c r="AB22" s="6" t="inlineStr">
        <is>
          <t>是</t>
        </is>
      </c>
      <c r="AC22" s="6" t="inlineStr">
        <is>
          <t>是</t>
        </is>
      </c>
      <c r="AD22" s="6" t="inlineStr">
        <is>
          <t>是</t>
        </is>
      </c>
      <c r="AE22" s="6" t="inlineStr">
        <is>
          <t>无</t>
        </is>
      </c>
      <c r="AF22" s="6" t="n">
        <v>9.07</v>
      </c>
      <c r="AG22" s="6" t="n">
        <v>0.888</v>
      </c>
      <c r="AH22" s="6" t="n">
        <v>0.882</v>
      </c>
      <c r="AI22" s="6" t="n">
        <v>0.946</v>
      </c>
      <c r="AJ22" s="6" t="n">
        <v>0.736</v>
      </c>
      <c r="AK22" s="6" t="inlineStr">
        <is>
          <t>FrozenUncertain</t>
        </is>
      </c>
      <c r="AL22" s="6" t="inlineStr">
        <is>
          <t>否</t>
        </is>
      </c>
      <c r="AM22" s="6" t="n">
        <v>0</v>
      </c>
      <c r="AN22" s="6" t="n">
        <v>0</v>
      </c>
      <c r="AO22" s="6" t="n"/>
    </row>
    <row r="23">
      <c r="A23" s="6" t="inlineStr">
        <is>
          <t>P004</t>
        </is>
      </c>
      <c r="B23" s="6" t="n">
        <v>1</v>
      </c>
      <c r="C23" s="6" t="inlineStr">
        <is>
          <t>O4-S1-OE</t>
        </is>
      </c>
      <c r="D23" s="6" t="n">
        <v>1</v>
      </c>
      <c r="E23" s="6" t="inlineStr">
        <is>
          <t>固定订书机</t>
        </is>
      </c>
      <c r="F23" s="6" t="inlineStr">
        <is>
          <t>stapler</t>
        </is>
      </c>
      <c r="G23" s="6" t="inlineStr">
        <is>
          <t>方法A</t>
        </is>
      </c>
      <c r="H23" s="6" t="inlineStr">
        <is>
          <t>One-Euro</t>
        </is>
      </c>
      <c r="I23" s="6" t="n">
        <v>1</v>
      </c>
      <c r="J23" s="6" t="n">
        <v>1</v>
      </c>
      <c r="K23" s="6" t="n">
        <v>5</v>
      </c>
      <c r="L23" s="6" t="n">
        <v>4</v>
      </c>
      <c r="M23" s="6" t="n">
        <v>5</v>
      </c>
      <c r="N23" s="6" t="n"/>
      <c r="O23" s="6" t="n">
        <v>4</v>
      </c>
      <c r="P23" s="6" t="n">
        <v>5</v>
      </c>
      <c r="Q23" s="6" t="n">
        <v>5</v>
      </c>
      <c r="R23" s="6" t="n">
        <v>6</v>
      </c>
      <c r="S23" s="6" t="n">
        <v>7</v>
      </c>
      <c r="T23" s="6" t="n">
        <v>6</v>
      </c>
      <c r="U23" s="6" t="n">
        <v>5</v>
      </c>
      <c r="V23" s="6" t="n">
        <v>6</v>
      </c>
      <c r="W23" s="6" t="n">
        <v>5</v>
      </c>
      <c r="X23" s="6" t="n">
        <v>5</v>
      </c>
      <c r="Y23" s="6" t="n"/>
      <c r="Z23" s="6" t="n"/>
      <c r="AA23" s="6" t="n">
        <v>128.7</v>
      </c>
      <c r="AB23" s="6" t="inlineStr">
        <is>
          <t>是</t>
        </is>
      </c>
      <c r="AC23" s="6" t="inlineStr">
        <is>
          <t>是</t>
        </is>
      </c>
      <c r="AD23" s="6" t="inlineStr">
        <is>
          <t>是</t>
        </is>
      </c>
      <c r="AE23" s="6" t="inlineStr">
        <is>
          <t>无</t>
        </is>
      </c>
      <c r="AF23" s="6" t="n">
        <v>9.65</v>
      </c>
      <c r="AG23" s="6" t="n">
        <v>0.919</v>
      </c>
      <c r="AH23" s="6" t="n">
        <v>0.955</v>
      </c>
      <c r="AI23" s="6" t="n">
        <v>0.954</v>
      </c>
      <c r="AJ23" s="6" t="n">
        <v>0.778</v>
      </c>
      <c r="AK23" s="6" t="inlineStr">
        <is>
          <t>FrozenUncertain</t>
        </is>
      </c>
      <c r="AL23" s="6" t="inlineStr">
        <is>
          <t>否</t>
        </is>
      </c>
      <c r="AM23" s="6" t="n">
        <v>0</v>
      </c>
      <c r="AN23" s="6" t="n">
        <v>0</v>
      </c>
      <c r="AO23" s="6" t="n"/>
    </row>
    <row r="24">
      <c r="A24" s="6" t="inlineStr">
        <is>
          <t>P004</t>
        </is>
      </c>
      <c r="B24" s="6" t="n">
        <v>2</v>
      </c>
      <c r="C24" s="6" t="inlineStr">
        <is>
          <t>O4-S1-OE</t>
        </is>
      </c>
      <c r="D24" s="6" t="n">
        <v>1</v>
      </c>
      <c r="E24" s="6" t="inlineStr">
        <is>
          <t>固定订书机</t>
        </is>
      </c>
      <c r="F24" s="6" t="inlineStr">
        <is>
          <t>stapler</t>
        </is>
      </c>
      <c r="G24" s="6" t="inlineStr">
        <is>
          <t>方法B</t>
        </is>
      </c>
      <c r="H24" s="6" t="inlineStr">
        <is>
          <t>EgoAnchor</t>
        </is>
      </c>
      <c r="I24" s="6" t="n">
        <v>2</v>
      </c>
      <c r="J24" s="6" t="n">
        <v>1</v>
      </c>
      <c r="K24" s="6" t="n">
        <v>4</v>
      </c>
      <c r="L24" s="6" t="n">
        <v>4</v>
      </c>
      <c r="M24" s="6" t="n">
        <v>4</v>
      </c>
      <c r="N24" s="6" t="n"/>
      <c r="O24" s="6" t="n">
        <v>4</v>
      </c>
      <c r="P24" s="6" t="n">
        <v>4</v>
      </c>
      <c r="Q24" s="6" t="n">
        <v>4</v>
      </c>
      <c r="R24" s="6" t="n">
        <v>5</v>
      </c>
      <c r="S24" s="6" t="n">
        <v>5</v>
      </c>
      <c r="T24" s="6" t="n">
        <v>5</v>
      </c>
      <c r="U24" s="6" t="n">
        <v>6</v>
      </c>
      <c r="V24" s="6" t="n">
        <v>5</v>
      </c>
      <c r="W24" s="6" t="n">
        <v>5</v>
      </c>
      <c r="X24" s="6" t="n">
        <v>4</v>
      </c>
      <c r="Y24" s="6" t="n"/>
      <c r="Z24" s="6" t="n"/>
      <c r="AA24" s="6" t="n">
        <v>157.1</v>
      </c>
      <c r="AB24" s="6" t="inlineStr">
        <is>
          <t>是</t>
        </is>
      </c>
      <c r="AC24" s="6" t="inlineStr">
        <is>
          <t>是</t>
        </is>
      </c>
      <c r="AD24" s="6" t="inlineStr">
        <is>
          <t>是</t>
        </is>
      </c>
      <c r="AE24" s="6" t="inlineStr">
        <is>
          <t>无</t>
        </is>
      </c>
      <c r="AF24" s="6" t="n">
        <v>9.449999999999999</v>
      </c>
      <c r="AG24" s="6" t="n">
        <v>0.889</v>
      </c>
      <c r="AH24" s="6" t="n">
        <v>0.966</v>
      </c>
      <c r="AI24" s="6" t="n">
        <v>0.963</v>
      </c>
      <c r="AJ24" s="6" t="n">
        <v>0.752</v>
      </c>
      <c r="AK24" s="6" t="inlineStr">
        <is>
          <t>FrozenUncertain</t>
        </is>
      </c>
      <c r="AL24" s="6" t="inlineStr">
        <is>
          <t>否</t>
        </is>
      </c>
      <c r="AM24" s="6" t="n">
        <v>0</v>
      </c>
      <c r="AN24" s="6" t="n">
        <v>4</v>
      </c>
      <c r="AO24" s="6" t="n"/>
    </row>
    <row r="25">
      <c r="A25" s="6" t="inlineStr">
        <is>
          <t>P004</t>
        </is>
      </c>
      <c r="B25" s="6" t="n">
        <v>3</v>
      </c>
      <c r="C25" s="6" t="inlineStr">
        <is>
          <t>O4-S1-OE</t>
        </is>
      </c>
      <c r="D25" s="6" t="n">
        <v>2</v>
      </c>
      <c r="E25" s="6" t="inlineStr">
        <is>
          <t>游戏手柄</t>
        </is>
      </c>
      <c r="F25" s="6" t="inlineStr">
        <is>
          <t>gamepad</t>
        </is>
      </c>
      <c r="G25" s="6" t="inlineStr">
        <is>
          <t>方法B</t>
        </is>
      </c>
      <c r="H25" s="6" t="inlineStr">
        <is>
          <t>EgoAnchor</t>
        </is>
      </c>
      <c r="I25" s="6" t="n">
        <v>1</v>
      </c>
      <c r="J25" s="6" t="n">
        <v>2</v>
      </c>
      <c r="K25" s="6" t="n">
        <v>4</v>
      </c>
      <c r="L25" s="6" t="n">
        <v>4</v>
      </c>
      <c r="M25" s="6" t="n">
        <v>4</v>
      </c>
      <c r="N25" s="6" t="n"/>
      <c r="O25" s="6" t="n">
        <v>5</v>
      </c>
      <c r="P25" s="6" t="n">
        <v>5</v>
      </c>
      <c r="Q25" s="6" t="n">
        <v>4</v>
      </c>
      <c r="R25" s="6" t="n">
        <v>5</v>
      </c>
      <c r="S25" s="6" t="n">
        <v>6</v>
      </c>
      <c r="T25" s="6" t="n">
        <v>5</v>
      </c>
      <c r="U25" s="6" t="n">
        <v>5</v>
      </c>
      <c r="V25" s="6" t="n">
        <v>5</v>
      </c>
      <c r="W25" s="6" t="n">
        <v>5</v>
      </c>
      <c r="X25" s="6" t="n">
        <v>4</v>
      </c>
      <c r="Y25" s="6" t="n"/>
      <c r="Z25" s="6" t="n"/>
      <c r="AA25" s="6" t="n">
        <v>141.5</v>
      </c>
      <c r="AB25" s="6" t="inlineStr">
        <is>
          <t>是</t>
        </is>
      </c>
      <c r="AC25" s="6" t="inlineStr">
        <is>
          <t>是</t>
        </is>
      </c>
      <c r="AD25" s="6" t="inlineStr">
        <is>
          <t>是</t>
        </is>
      </c>
      <c r="AE25" s="6" t="inlineStr">
        <is>
          <t>无</t>
        </is>
      </c>
      <c r="AF25" s="6" t="n">
        <v>9.02</v>
      </c>
      <c r="AG25" s="6" t="n">
        <v>0.929</v>
      </c>
      <c r="AH25" s="6" t="n">
        <v>0.911</v>
      </c>
      <c r="AI25" s="6" t="n">
        <v>0.93</v>
      </c>
      <c r="AJ25" s="6" t="n">
        <v>0.754</v>
      </c>
      <c r="AK25" s="6" t="inlineStr">
        <is>
          <t>FrozenUncertain</t>
        </is>
      </c>
      <c r="AL25" s="6" t="inlineStr">
        <is>
          <t>否</t>
        </is>
      </c>
      <c r="AM25" s="6" t="n">
        <v>0</v>
      </c>
      <c r="AN25" s="6" t="n">
        <v>4</v>
      </c>
      <c r="AO25" s="6" t="n"/>
    </row>
    <row r="26">
      <c r="A26" s="6" t="inlineStr">
        <is>
          <t>P004</t>
        </is>
      </c>
      <c r="B26" s="6" t="n">
        <v>4</v>
      </c>
      <c r="C26" s="6" t="inlineStr">
        <is>
          <t>O4-S1-OE</t>
        </is>
      </c>
      <c r="D26" s="6" t="n">
        <v>2</v>
      </c>
      <c r="E26" s="6" t="inlineStr">
        <is>
          <t>游戏手柄</t>
        </is>
      </c>
      <c r="F26" s="6" t="inlineStr">
        <is>
          <t>gamepad</t>
        </is>
      </c>
      <c r="G26" s="6" t="inlineStr">
        <is>
          <t>方法A</t>
        </is>
      </c>
      <c r="H26" s="6" t="inlineStr">
        <is>
          <t>One-Euro</t>
        </is>
      </c>
      <c r="I26" s="6" t="n">
        <v>2</v>
      </c>
      <c r="J26" s="6" t="n">
        <v>2</v>
      </c>
      <c r="K26" s="6" t="n">
        <v>4</v>
      </c>
      <c r="L26" s="6" t="n">
        <v>4</v>
      </c>
      <c r="M26" s="6" t="n">
        <v>4</v>
      </c>
      <c r="N26" s="6" t="n"/>
      <c r="O26" s="6" t="n">
        <v>5</v>
      </c>
      <c r="P26" s="6" t="n">
        <v>4</v>
      </c>
      <c r="Q26" s="6" t="n">
        <v>4</v>
      </c>
      <c r="R26" s="6" t="n">
        <v>4</v>
      </c>
      <c r="S26" s="6" t="n">
        <v>5</v>
      </c>
      <c r="T26" s="6" t="n">
        <v>5</v>
      </c>
      <c r="U26" s="6" t="n">
        <v>4</v>
      </c>
      <c r="V26" s="6" t="n">
        <v>5</v>
      </c>
      <c r="W26" s="6" t="n">
        <v>5</v>
      </c>
      <c r="X26" s="6" t="n">
        <v>3</v>
      </c>
      <c r="Y26" s="6" t="n"/>
      <c r="Z26" s="6" t="n"/>
      <c r="AA26" s="6" t="n">
        <v>146.5</v>
      </c>
      <c r="AB26" s="6" t="inlineStr">
        <is>
          <t>是</t>
        </is>
      </c>
      <c r="AC26" s="6" t="inlineStr">
        <is>
          <t>是</t>
        </is>
      </c>
      <c r="AD26" s="6" t="inlineStr">
        <is>
          <t>是</t>
        </is>
      </c>
      <c r="AE26" s="6" t="inlineStr">
        <is>
          <t>无</t>
        </is>
      </c>
      <c r="AF26" s="6" t="n">
        <v>10.09</v>
      </c>
      <c r="AG26" s="6" t="n">
        <v>0.952</v>
      </c>
      <c r="AH26" s="6" t="n">
        <v>0.863</v>
      </c>
      <c r="AI26" s="6" t="n">
        <v>0.9419999999999999</v>
      </c>
      <c r="AJ26" s="6" t="n">
        <v>0.775</v>
      </c>
      <c r="AK26" s="6" t="inlineStr">
        <is>
          <t>FrozenUncertain</t>
        </is>
      </c>
      <c r="AL26" s="6" t="inlineStr">
        <is>
          <t>否</t>
        </is>
      </c>
      <c r="AM26" s="6" t="n">
        <v>0</v>
      </c>
      <c r="AN26" s="6" t="n">
        <v>0</v>
      </c>
      <c r="AO26" s="6" t="n"/>
    </row>
    <row r="27">
      <c r="A27" s="6" t="inlineStr">
        <is>
          <t>P004</t>
        </is>
      </c>
      <c r="B27" s="6" t="n">
        <v>5</v>
      </c>
      <c r="C27" s="6" t="inlineStr">
        <is>
          <t>O4-S1-OE</t>
        </is>
      </c>
      <c r="D27" s="6" t="n">
        <v>3</v>
      </c>
      <c r="E27" s="6" t="inlineStr">
        <is>
          <t>鼠标</t>
        </is>
      </c>
      <c r="F27" s="6" t="inlineStr">
        <is>
          <t>blue_mouse</t>
        </is>
      </c>
      <c r="G27" s="6" t="inlineStr">
        <is>
          <t>方法A</t>
        </is>
      </c>
      <c r="H27" s="6" t="inlineStr">
        <is>
          <t>One-Euro</t>
        </is>
      </c>
      <c r="I27" s="6" t="n">
        <v>1</v>
      </c>
      <c r="J27" s="6" t="n">
        <v>3</v>
      </c>
      <c r="K27" s="6" t="n">
        <v>4</v>
      </c>
      <c r="L27" s="6" t="n">
        <v>5</v>
      </c>
      <c r="M27" s="6" t="n">
        <v>3</v>
      </c>
      <c r="N27" s="6" t="n"/>
      <c r="O27" s="6" t="n">
        <v>4</v>
      </c>
      <c r="P27" s="6" t="n">
        <v>5</v>
      </c>
      <c r="Q27" s="6" t="n">
        <v>5</v>
      </c>
      <c r="R27" s="6" t="n">
        <v>5</v>
      </c>
      <c r="S27" s="6" t="n">
        <v>6</v>
      </c>
      <c r="T27" s="6" t="n">
        <v>5</v>
      </c>
      <c r="U27" s="6" t="n">
        <v>5</v>
      </c>
      <c r="V27" s="6" t="n">
        <v>6</v>
      </c>
      <c r="W27" s="6" t="n">
        <v>6</v>
      </c>
      <c r="X27" s="6" t="n">
        <v>5</v>
      </c>
      <c r="Y27" s="6" t="n"/>
      <c r="Z27" s="6" t="n"/>
      <c r="AA27" s="6" t="n">
        <v>148.2</v>
      </c>
      <c r="AB27" s="6" t="inlineStr">
        <is>
          <t>是</t>
        </is>
      </c>
      <c r="AC27" s="6" t="inlineStr">
        <is>
          <t>是</t>
        </is>
      </c>
      <c r="AD27" s="6" t="inlineStr">
        <is>
          <t>是</t>
        </is>
      </c>
      <c r="AE27" s="6" t="inlineStr">
        <is>
          <t>无</t>
        </is>
      </c>
      <c r="AF27" s="6" t="n">
        <v>9.539999999999999</v>
      </c>
      <c r="AG27" s="6" t="n">
        <v>0.827</v>
      </c>
      <c r="AH27" s="6" t="n">
        <v>0.917</v>
      </c>
      <c r="AI27" s="6" t="n">
        <v>0.955</v>
      </c>
      <c r="AJ27" s="6" t="n">
        <v>0.677</v>
      </c>
      <c r="AK27" s="6" t="inlineStr">
        <is>
          <t>FrozenUncertain</t>
        </is>
      </c>
      <c r="AL27" s="6" t="inlineStr">
        <is>
          <t>否</t>
        </is>
      </c>
      <c r="AM27" s="6" t="n">
        <v>0</v>
      </c>
      <c r="AN27" s="6" t="n">
        <v>0</v>
      </c>
      <c r="AO27" s="6" t="n"/>
    </row>
    <row r="28">
      <c r="A28" s="6" t="inlineStr">
        <is>
          <t>P004</t>
        </is>
      </c>
      <c r="B28" s="6" t="n">
        <v>6</v>
      </c>
      <c r="C28" s="6" t="inlineStr">
        <is>
          <t>O4-S1-OE</t>
        </is>
      </c>
      <c r="D28" s="6" t="n">
        <v>3</v>
      </c>
      <c r="E28" s="6" t="inlineStr">
        <is>
          <t>鼠标</t>
        </is>
      </c>
      <c r="F28" s="6" t="inlineStr">
        <is>
          <t>blue_mouse</t>
        </is>
      </c>
      <c r="G28" s="6" t="inlineStr">
        <is>
          <t>方法B</t>
        </is>
      </c>
      <c r="H28" s="6" t="inlineStr">
        <is>
          <t>EgoAnchor</t>
        </is>
      </c>
      <c r="I28" s="6" t="n">
        <v>2</v>
      </c>
      <c r="J28" s="6" t="n">
        <v>3</v>
      </c>
      <c r="K28" s="6" t="n">
        <v>4</v>
      </c>
      <c r="L28" s="6" t="n">
        <v>3</v>
      </c>
      <c r="M28" s="6" t="n">
        <v>2</v>
      </c>
      <c r="N28" s="6" t="n"/>
      <c r="O28" s="6" t="n">
        <v>3</v>
      </c>
      <c r="P28" s="6" t="n">
        <v>4</v>
      </c>
      <c r="Q28" s="6" t="n">
        <v>3</v>
      </c>
      <c r="R28" s="6" t="n">
        <v>4</v>
      </c>
      <c r="S28" s="6" t="n">
        <v>4</v>
      </c>
      <c r="T28" s="6" t="n">
        <v>4</v>
      </c>
      <c r="U28" s="6" t="n">
        <v>3</v>
      </c>
      <c r="V28" s="6" t="n">
        <v>4</v>
      </c>
      <c r="W28" s="6" t="n">
        <v>4</v>
      </c>
      <c r="X28" s="6" t="n">
        <v>2</v>
      </c>
      <c r="Y28" s="6" t="n"/>
      <c r="Z28" s="6" t="n"/>
      <c r="AA28" s="6" t="n">
        <v>156.4</v>
      </c>
      <c r="AB28" s="6" t="inlineStr">
        <is>
          <t>是</t>
        </is>
      </c>
      <c r="AC28" s="6" t="inlineStr">
        <is>
          <t>是</t>
        </is>
      </c>
      <c r="AD28" s="6" t="inlineStr">
        <is>
          <t>是</t>
        </is>
      </c>
      <c r="AE28" s="6" t="inlineStr">
        <is>
          <t>无</t>
        </is>
      </c>
      <c r="AF28" s="6" t="n">
        <v>9.380000000000001</v>
      </c>
      <c r="AG28" s="6" t="n">
        <v>0.841</v>
      </c>
      <c r="AH28" s="6" t="n">
        <v>0.875</v>
      </c>
      <c r="AI28" s="6" t="n">
        <v>0.9389999999999999</v>
      </c>
      <c r="AJ28" s="6" t="n">
        <v>0.742</v>
      </c>
      <c r="AK28" s="6" t="inlineStr">
        <is>
          <t>FrozenUncertain</t>
        </is>
      </c>
      <c r="AL28" s="6" t="inlineStr">
        <is>
          <t>否</t>
        </is>
      </c>
      <c r="AM28" s="6" t="n">
        <v>0</v>
      </c>
      <c r="AN28" s="6" t="n">
        <v>5</v>
      </c>
      <c r="AO28" s="6" t="n"/>
    </row>
    <row r="29">
      <c r="A29" s="6" t="inlineStr">
        <is>
          <t>P005</t>
        </is>
      </c>
      <c r="B29" s="6" t="n">
        <v>1</v>
      </c>
      <c r="C29" s="6" t="inlineStr">
        <is>
          <t>O3-S2-EA</t>
        </is>
      </c>
      <c r="D29" s="6" t="n">
        <v>1</v>
      </c>
      <c r="E29" s="6" t="inlineStr">
        <is>
          <t>固定订书机</t>
        </is>
      </c>
      <c r="F29" s="6" t="inlineStr">
        <is>
          <t>stapler</t>
        </is>
      </c>
      <c r="G29" s="6" t="inlineStr">
        <is>
          <t>方法B</t>
        </is>
      </c>
      <c r="H29" s="6" t="inlineStr">
        <is>
          <t>One-Euro</t>
        </is>
      </c>
      <c r="I29" s="6" t="n">
        <v>1</v>
      </c>
      <c r="J29" s="6" t="n">
        <v>1</v>
      </c>
      <c r="K29" s="6" t="n">
        <v>2</v>
      </c>
      <c r="L29" s="6" t="n">
        <v>3</v>
      </c>
      <c r="M29" s="6" t="n">
        <v>3</v>
      </c>
      <c r="N29" s="6" t="n"/>
      <c r="O29" s="6" t="n">
        <v>5</v>
      </c>
      <c r="P29" s="6" t="n">
        <v>6</v>
      </c>
      <c r="Q29" s="6" t="n">
        <v>3</v>
      </c>
      <c r="R29" s="6" t="n">
        <v>4</v>
      </c>
      <c r="S29" s="6" t="n">
        <v>4</v>
      </c>
      <c r="T29" s="6" t="n">
        <v>5</v>
      </c>
      <c r="U29" s="6" t="n">
        <v>6</v>
      </c>
      <c r="V29" s="6" t="n">
        <v>4</v>
      </c>
      <c r="W29" s="6" t="n">
        <v>3</v>
      </c>
      <c r="X29" s="6" t="n">
        <v>4</v>
      </c>
      <c r="Y29" s="6" t="n"/>
      <c r="Z29" s="6" t="n"/>
      <c r="AA29" s="6" t="n">
        <v>113.8</v>
      </c>
      <c r="AB29" s="6" t="inlineStr">
        <is>
          <t>是</t>
        </is>
      </c>
      <c r="AC29" s="6" t="inlineStr">
        <is>
          <t>是</t>
        </is>
      </c>
      <c r="AD29" s="6" t="inlineStr">
        <is>
          <t>是</t>
        </is>
      </c>
      <c r="AE29" s="6" t="inlineStr">
        <is>
          <t>无</t>
        </is>
      </c>
      <c r="AF29" s="6" t="n">
        <v>9.550000000000001</v>
      </c>
      <c r="AG29" s="6" t="n">
        <v>0.889</v>
      </c>
      <c r="AH29" s="6" t="n">
        <v>0.9360000000000001</v>
      </c>
      <c r="AI29" s="6" t="n">
        <v>0.9330000000000001</v>
      </c>
      <c r="AJ29" s="6" t="n">
        <v>0.744</v>
      </c>
      <c r="AK29" s="6" t="inlineStr">
        <is>
          <t>FrozenUncertain</t>
        </is>
      </c>
      <c r="AL29" s="6" t="inlineStr">
        <is>
          <t>否</t>
        </is>
      </c>
      <c r="AM29" s="6" t="n">
        <v>0</v>
      </c>
      <c r="AN29" s="6" t="n">
        <v>0</v>
      </c>
      <c r="AO29" s="6" t="n"/>
    </row>
    <row r="30">
      <c r="A30" s="6" t="inlineStr">
        <is>
          <t>P005</t>
        </is>
      </c>
      <c r="B30" s="6" t="n">
        <v>2</v>
      </c>
      <c r="C30" s="6" t="inlineStr">
        <is>
          <t>O3-S2-EA</t>
        </is>
      </c>
      <c r="D30" s="6" t="n">
        <v>1</v>
      </c>
      <c r="E30" s="6" t="inlineStr">
        <is>
          <t>固定订书机</t>
        </is>
      </c>
      <c r="F30" s="6" t="inlineStr">
        <is>
          <t>stapler</t>
        </is>
      </c>
      <c r="G30" s="6" t="inlineStr">
        <is>
          <t>方法A</t>
        </is>
      </c>
      <c r="H30" s="6" t="inlineStr">
        <is>
          <t>EgoAnchor</t>
        </is>
      </c>
      <c r="I30" s="6" t="n">
        <v>2</v>
      </c>
      <c r="J30" s="6" t="n">
        <v>1</v>
      </c>
      <c r="K30" s="6" t="n">
        <v>5</v>
      </c>
      <c r="L30" s="6" t="n">
        <v>3</v>
      </c>
      <c r="M30" s="6" t="n">
        <v>4</v>
      </c>
      <c r="N30" s="6" t="n"/>
      <c r="O30" s="6" t="n">
        <v>4</v>
      </c>
      <c r="P30" s="6" t="n">
        <v>5</v>
      </c>
      <c r="Q30" s="6" t="n">
        <v>5</v>
      </c>
      <c r="R30" s="6" t="n">
        <v>5</v>
      </c>
      <c r="S30" s="6" t="n">
        <v>4</v>
      </c>
      <c r="T30" s="6" t="n">
        <v>5</v>
      </c>
      <c r="U30" s="6" t="n">
        <v>5</v>
      </c>
      <c r="V30" s="6" t="n">
        <v>4</v>
      </c>
      <c r="W30" s="6" t="n">
        <v>5</v>
      </c>
      <c r="X30" s="6" t="n">
        <v>6</v>
      </c>
      <c r="Y30" s="6" t="n"/>
      <c r="Z30" s="6" t="n"/>
      <c r="AA30" s="6" t="n">
        <v>108.7</v>
      </c>
      <c r="AB30" s="6" t="inlineStr">
        <is>
          <t>是</t>
        </is>
      </c>
      <c r="AC30" s="6" t="inlineStr">
        <is>
          <t>是</t>
        </is>
      </c>
      <c r="AD30" s="6" t="inlineStr">
        <is>
          <t>是</t>
        </is>
      </c>
      <c r="AE30" s="6" t="inlineStr">
        <is>
          <t>无</t>
        </is>
      </c>
      <c r="AF30" s="6" t="n">
        <v>9.35</v>
      </c>
      <c r="AG30" s="6" t="n">
        <v>0.922</v>
      </c>
      <c r="AH30" s="6" t="n">
        <v>0.944</v>
      </c>
      <c r="AI30" s="6" t="n">
        <v>0.946</v>
      </c>
      <c r="AJ30" s="6" t="n">
        <v>0.775</v>
      </c>
      <c r="AK30" s="6" t="inlineStr">
        <is>
          <t>FrozenUncertain</t>
        </is>
      </c>
      <c r="AL30" s="6" t="inlineStr">
        <is>
          <t>否</t>
        </is>
      </c>
      <c r="AM30" s="6" t="n">
        <v>0</v>
      </c>
      <c r="AN30" s="6" t="n">
        <v>5</v>
      </c>
      <c r="AO30" s="6" t="n"/>
    </row>
    <row r="31">
      <c r="A31" s="6" t="inlineStr">
        <is>
          <t>P005</t>
        </is>
      </c>
      <c r="B31" s="6" t="n">
        <v>3</v>
      </c>
      <c r="C31" s="6" t="inlineStr">
        <is>
          <t>O3-S2-EA</t>
        </is>
      </c>
      <c r="D31" s="6" t="n">
        <v>2</v>
      </c>
      <c r="E31" s="6" t="inlineStr">
        <is>
          <t>鼠标</t>
        </is>
      </c>
      <c r="F31" s="6" t="inlineStr">
        <is>
          <t>blue_mouse</t>
        </is>
      </c>
      <c r="G31" s="6" t="inlineStr">
        <is>
          <t>方法A</t>
        </is>
      </c>
      <c r="H31" s="6" t="inlineStr">
        <is>
          <t>EgoAnchor</t>
        </is>
      </c>
      <c r="I31" s="6" t="n">
        <v>1</v>
      </c>
      <c r="J31" s="6" t="n">
        <v>2</v>
      </c>
      <c r="K31" s="6" t="n">
        <v>4</v>
      </c>
      <c r="L31" s="6" t="n">
        <v>2</v>
      </c>
      <c r="M31" s="6" t="n">
        <v>2</v>
      </c>
      <c r="N31" s="6" t="n"/>
      <c r="O31" s="6" t="n">
        <v>4</v>
      </c>
      <c r="P31" s="6" t="n">
        <v>4</v>
      </c>
      <c r="Q31" s="6" t="n">
        <v>4</v>
      </c>
      <c r="R31" s="6" t="n">
        <v>4</v>
      </c>
      <c r="S31" s="6" t="n">
        <v>4</v>
      </c>
      <c r="T31" s="6" t="n">
        <v>5</v>
      </c>
      <c r="U31" s="6" t="n">
        <v>3</v>
      </c>
      <c r="V31" s="6" t="n">
        <v>1</v>
      </c>
      <c r="W31" s="6" t="n">
        <v>4</v>
      </c>
      <c r="X31" s="6" t="n">
        <v>4</v>
      </c>
      <c r="Y31" s="6" t="n"/>
      <c r="Z31" s="6" t="n"/>
      <c r="AA31" s="6" t="n">
        <v>129.5</v>
      </c>
      <c r="AB31" s="6" t="inlineStr">
        <is>
          <t>是</t>
        </is>
      </c>
      <c r="AC31" s="6" t="inlineStr">
        <is>
          <t>是</t>
        </is>
      </c>
      <c r="AD31" s="6" t="inlineStr">
        <is>
          <t>是</t>
        </is>
      </c>
      <c r="AE31" s="6" t="inlineStr">
        <is>
          <t>无</t>
        </is>
      </c>
      <c r="AF31" s="6" t="n">
        <v>9.369999999999999</v>
      </c>
      <c r="AG31" s="6" t="n">
        <v>0.834</v>
      </c>
      <c r="AH31" s="6" t="n">
        <v>0.873</v>
      </c>
      <c r="AI31" s="6" t="n">
        <v>0.962</v>
      </c>
      <c r="AJ31" s="6" t="n">
        <v>0.717</v>
      </c>
      <c r="AK31" s="6" t="inlineStr">
        <is>
          <t>FrozenUncertain</t>
        </is>
      </c>
      <c r="AL31" s="6" t="inlineStr">
        <is>
          <t>否</t>
        </is>
      </c>
      <c r="AM31" s="6" t="n">
        <v>0</v>
      </c>
      <c r="AN31" s="6" t="n">
        <v>8</v>
      </c>
      <c r="AO31" s="6" t="n"/>
    </row>
    <row r="32">
      <c r="A32" s="6" t="inlineStr">
        <is>
          <t>P005</t>
        </is>
      </c>
      <c r="B32" s="6" t="n">
        <v>4</v>
      </c>
      <c r="C32" s="6" t="inlineStr">
        <is>
          <t>O3-S2-EA</t>
        </is>
      </c>
      <c r="D32" s="6" t="n">
        <v>2</v>
      </c>
      <c r="E32" s="6" t="inlineStr">
        <is>
          <t>鼠标</t>
        </is>
      </c>
      <c r="F32" s="6" t="inlineStr">
        <is>
          <t>blue_mouse</t>
        </is>
      </c>
      <c r="G32" s="6" t="inlineStr">
        <is>
          <t>方法B</t>
        </is>
      </c>
      <c r="H32" s="6" t="inlineStr">
        <is>
          <t>One-Euro</t>
        </is>
      </c>
      <c r="I32" s="6" t="n">
        <v>2</v>
      </c>
      <c r="J32" s="6" t="n">
        <v>2</v>
      </c>
      <c r="K32" s="6" t="n">
        <v>1</v>
      </c>
      <c r="L32" s="6" t="n">
        <v>4</v>
      </c>
      <c r="M32" s="6" t="n">
        <v>1</v>
      </c>
      <c r="N32" s="6" t="n"/>
      <c r="O32" s="6" t="n">
        <v>5</v>
      </c>
      <c r="P32" s="6" t="n">
        <v>5</v>
      </c>
      <c r="Q32" s="6" t="n">
        <v>3</v>
      </c>
      <c r="R32" s="6" t="n">
        <v>2</v>
      </c>
      <c r="S32" s="6" t="n">
        <v>3</v>
      </c>
      <c r="T32" s="6" t="n">
        <v>3</v>
      </c>
      <c r="U32" s="6" t="n">
        <v>4</v>
      </c>
      <c r="V32" s="6" t="n">
        <v>3</v>
      </c>
      <c r="W32" s="6" t="n">
        <v>2</v>
      </c>
      <c r="X32" s="6" t="n">
        <v>3</v>
      </c>
      <c r="Y32" s="6" t="n"/>
      <c r="Z32" s="6" t="n"/>
      <c r="AA32" s="6" t="n">
        <v>126.3</v>
      </c>
      <c r="AB32" s="6" t="inlineStr">
        <is>
          <t>是</t>
        </is>
      </c>
      <c r="AC32" s="6" t="inlineStr">
        <is>
          <t>是</t>
        </is>
      </c>
      <c r="AD32" s="6" t="inlineStr">
        <is>
          <t>是</t>
        </is>
      </c>
      <c r="AE32" s="6" t="inlineStr">
        <is>
          <t>无</t>
        </is>
      </c>
      <c r="AF32" s="6" t="n">
        <v>9.529999999999999</v>
      </c>
      <c r="AG32" s="6" t="n">
        <v>0.839</v>
      </c>
      <c r="AH32" s="6" t="n">
        <v>0.915</v>
      </c>
      <c r="AI32" s="6" t="n">
        <v>0.9370000000000001</v>
      </c>
      <c r="AJ32" s="6" t="n">
        <v>0.736</v>
      </c>
      <c r="AK32" s="6" t="inlineStr">
        <is>
          <t>FrozenUncertain</t>
        </is>
      </c>
      <c r="AL32" s="6" t="inlineStr">
        <is>
          <t>否</t>
        </is>
      </c>
      <c r="AM32" s="6" t="n">
        <v>0</v>
      </c>
      <c r="AN32" s="6" t="n">
        <v>0</v>
      </c>
      <c r="AO32" s="6" t="n"/>
    </row>
    <row r="33">
      <c r="A33" s="6" t="inlineStr">
        <is>
          <t>P005</t>
        </is>
      </c>
      <c r="B33" s="6" t="n">
        <v>5</v>
      </c>
      <c r="C33" s="6" t="inlineStr">
        <is>
          <t>O3-S2-EA</t>
        </is>
      </c>
      <c r="D33" s="6" t="n">
        <v>3</v>
      </c>
      <c r="E33" s="6" t="inlineStr">
        <is>
          <t>游戏手柄</t>
        </is>
      </c>
      <c r="F33" s="6" t="inlineStr">
        <is>
          <t>gamepad</t>
        </is>
      </c>
      <c r="G33" s="6" t="inlineStr">
        <is>
          <t>方法B</t>
        </is>
      </c>
      <c r="H33" s="6" t="inlineStr">
        <is>
          <t>One-Euro</t>
        </is>
      </c>
      <c r="I33" s="6" t="n">
        <v>1</v>
      </c>
      <c r="J33" s="6" t="n">
        <v>3</v>
      </c>
      <c r="K33" s="6" t="n">
        <v>3</v>
      </c>
      <c r="L33" s="6" t="n">
        <v>3</v>
      </c>
      <c r="M33" s="6" t="n">
        <v>2</v>
      </c>
      <c r="N33" s="6" t="n"/>
      <c r="O33" s="6" t="n">
        <v>5</v>
      </c>
      <c r="P33" s="6" t="n">
        <v>5</v>
      </c>
      <c r="Q33" s="6" t="n">
        <v>3</v>
      </c>
      <c r="R33" s="6" t="n">
        <v>3</v>
      </c>
      <c r="S33" s="6" t="n">
        <v>3</v>
      </c>
      <c r="T33" s="6" t="n">
        <v>4</v>
      </c>
      <c r="U33" s="6" t="n">
        <v>5</v>
      </c>
      <c r="V33" s="6" t="n">
        <v>3</v>
      </c>
      <c r="W33" s="6" t="n">
        <v>3</v>
      </c>
      <c r="X33" s="6" t="n">
        <v>4</v>
      </c>
      <c r="Y33" s="6" t="n"/>
      <c r="Z33" s="6" t="n"/>
      <c r="AA33" s="6" t="n">
        <v>112.6</v>
      </c>
      <c r="AB33" s="6" t="inlineStr">
        <is>
          <t>是</t>
        </is>
      </c>
      <c r="AC33" s="6" t="inlineStr">
        <is>
          <t>是</t>
        </is>
      </c>
      <c r="AD33" s="6" t="inlineStr">
        <is>
          <t>是</t>
        </is>
      </c>
      <c r="AE33" s="6" t="inlineStr">
        <is>
          <t>无</t>
        </is>
      </c>
      <c r="AF33" s="6" t="n">
        <v>9.369999999999999</v>
      </c>
      <c r="AG33" s="6" t="n">
        <v>0.884</v>
      </c>
      <c r="AH33" s="6" t="n">
        <v>0.912</v>
      </c>
      <c r="AI33" s="6" t="n">
        <v>0.931</v>
      </c>
      <c r="AJ33" s="6" t="n">
        <v>0.696</v>
      </c>
      <c r="AK33" s="6" t="inlineStr">
        <is>
          <t>FrozenUncertain</t>
        </is>
      </c>
      <c r="AL33" s="6" t="inlineStr">
        <is>
          <t>否</t>
        </is>
      </c>
      <c r="AM33" s="6" t="n">
        <v>0</v>
      </c>
      <c r="AN33" s="6" t="n">
        <v>0</v>
      </c>
      <c r="AO33" s="6" t="n"/>
    </row>
    <row r="34">
      <c r="A34" s="6" t="inlineStr">
        <is>
          <t>P005</t>
        </is>
      </c>
      <c r="B34" s="6" t="n">
        <v>6</v>
      </c>
      <c r="C34" s="6" t="inlineStr">
        <is>
          <t>O3-S2-EA</t>
        </is>
      </c>
      <c r="D34" s="6" t="n">
        <v>3</v>
      </c>
      <c r="E34" s="6" t="inlineStr">
        <is>
          <t>游戏手柄</t>
        </is>
      </c>
      <c r="F34" s="6" t="inlineStr">
        <is>
          <t>gamepad</t>
        </is>
      </c>
      <c r="G34" s="6" t="inlineStr">
        <is>
          <t>方法A</t>
        </is>
      </c>
      <c r="H34" s="6" t="inlineStr">
        <is>
          <t>EgoAnchor</t>
        </is>
      </c>
      <c r="I34" s="6" t="n">
        <v>2</v>
      </c>
      <c r="J34" s="6" t="n">
        <v>3</v>
      </c>
      <c r="K34" s="6" t="n">
        <v>4</v>
      </c>
      <c r="L34" s="6" t="n">
        <v>2</v>
      </c>
      <c r="M34" s="6" t="n">
        <v>2</v>
      </c>
      <c r="N34" s="6" t="n"/>
      <c r="O34" s="6" t="n">
        <v>2</v>
      </c>
      <c r="P34" s="6" t="n">
        <v>6</v>
      </c>
      <c r="Q34" s="6" t="n">
        <v>5</v>
      </c>
      <c r="R34" s="6" t="n">
        <v>4</v>
      </c>
      <c r="S34" s="6" t="n">
        <v>4</v>
      </c>
      <c r="T34" s="6" t="n">
        <v>4</v>
      </c>
      <c r="U34" s="6" t="n">
        <v>4</v>
      </c>
      <c r="V34" s="6" t="n">
        <v>2</v>
      </c>
      <c r="W34" s="6" t="n">
        <v>5</v>
      </c>
      <c r="X34" s="6" t="n">
        <v>4</v>
      </c>
      <c r="Y34" s="6" t="n"/>
      <c r="Z34" s="6" t="n"/>
      <c r="AA34" s="6" t="n">
        <v>146.1</v>
      </c>
      <c r="AB34" s="6" t="inlineStr">
        <is>
          <t>是</t>
        </is>
      </c>
      <c r="AC34" s="6" t="inlineStr">
        <is>
          <t>是</t>
        </is>
      </c>
      <c r="AD34" s="6" t="inlineStr">
        <is>
          <t>是</t>
        </is>
      </c>
      <c r="AE34" s="6" t="inlineStr">
        <is>
          <t>无</t>
        </is>
      </c>
      <c r="AF34" s="6" t="n">
        <v>9.210000000000001</v>
      </c>
      <c r="AG34" s="6" t="n">
        <v>0.884</v>
      </c>
      <c r="AH34" s="6" t="n">
        <v>0.901</v>
      </c>
      <c r="AI34" s="6" t="n">
        <v>0.9409999999999999</v>
      </c>
      <c r="AJ34" s="6" t="n">
        <v>0.731</v>
      </c>
      <c r="AK34" s="6" t="inlineStr">
        <is>
          <t>FrozenUncertain</t>
        </is>
      </c>
      <c r="AL34" s="6" t="inlineStr">
        <is>
          <t>否</t>
        </is>
      </c>
      <c r="AM34" s="6" t="n">
        <v>0</v>
      </c>
      <c r="AN34" s="6" t="n">
        <v>3</v>
      </c>
      <c r="AO34" s="6" t="n"/>
    </row>
    <row r="35">
      <c r="A35" s="6" t="inlineStr">
        <is>
          <t>P006</t>
        </is>
      </c>
      <c r="B35" s="6" t="n">
        <v>1</v>
      </c>
      <c r="C35" s="6" t="inlineStr">
        <is>
          <t>O1-S2-OE</t>
        </is>
      </c>
      <c r="D35" s="6" t="n">
        <v>1</v>
      </c>
      <c r="E35" s="6" t="inlineStr">
        <is>
          <t>鼠标</t>
        </is>
      </c>
      <c r="F35" s="6" t="inlineStr">
        <is>
          <t>blue_mouse</t>
        </is>
      </c>
      <c r="G35" s="6" t="inlineStr">
        <is>
          <t>方法B</t>
        </is>
      </c>
      <c r="H35" s="6" t="inlineStr">
        <is>
          <t>EgoAnchor</t>
        </is>
      </c>
      <c r="I35" s="6" t="n">
        <v>1</v>
      </c>
      <c r="J35" s="6" t="n">
        <v>1</v>
      </c>
      <c r="K35" s="6" t="n">
        <v>5</v>
      </c>
      <c r="L35" s="6" t="n">
        <v>5</v>
      </c>
      <c r="M35" s="6" t="n">
        <v>4</v>
      </c>
      <c r="N35" s="6" t="n"/>
      <c r="O35" s="6" t="n">
        <v>4</v>
      </c>
      <c r="P35" s="6" t="n">
        <v>4</v>
      </c>
      <c r="Q35" s="6" t="n">
        <v>4</v>
      </c>
      <c r="R35" s="6" t="n">
        <v>4</v>
      </c>
      <c r="S35" s="6" t="n">
        <v>4</v>
      </c>
      <c r="T35" s="6" t="n">
        <v>4</v>
      </c>
      <c r="U35" s="6" t="n">
        <v>5</v>
      </c>
      <c r="V35" s="6" t="n">
        <v>4</v>
      </c>
      <c r="W35" s="6" t="n">
        <v>3</v>
      </c>
      <c r="X35" s="6" t="n">
        <v>4</v>
      </c>
      <c r="Y35" s="6" t="n"/>
      <c r="Z35" s="6" t="n"/>
      <c r="AA35" s="6" t="n">
        <v>132.9</v>
      </c>
      <c r="AB35" s="6" t="inlineStr">
        <is>
          <t>是</t>
        </is>
      </c>
      <c r="AC35" s="6" t="inlineStr">
        <is>
          <t>是</t>
        </is>
      </c>
      <c r="AD35" s="6" t="inlineStr">
        <is>
          <t>是</t>
        </is>
      </c>
      <c r="AE35" s="6" t="inlineStr">
        <is>
          <t>无</t>
        </is>
      </c>
      <c r="AF35" s="6" t="n">
        <v>8.720000000000001</v>
      </c>
      <c r="AG35" s="6" t="n">
        <v>0.855</v>
      </c>
      <c r="AH35" s="6" t="n">
        <v>0.874</v>
      </c>
      <c r="AI35" s="6" t="n">
        <v>0.964</v>
      </c>
      <c r="AJ35" s="6" t="n">
        <v>0.793</v>
      </c>
      <c r="AK35" s="6" t="inlineStr">
        <is>
          <t>FrozenUncertain</t>
        </is>
      </c>
      <c r="AL35" s="6" t="inlineStr">
        <is>
          <t>否</t>
        </is>
      </c>
      <c r="AM35" s="6" t="n">
        <v>0</v>
      </c>
      <c r="AN35" s="6" t="n">
        <v>6</v>
      </c>
      <c r="AO35" s="6" t="n"/>
    </row>
    <row r="36">
      <c r="A36" s="6" t="inlineStr">
        <is>
          <t>P006</t>
        </is>
      </c>
      <c r="B36" s="6" t="n">
        <v>2</v>
      </c>
      <c r="C36" s="6" t="inlineStr">
        <is>
          <t>O1-S2-OE</t>
        </is>
      </c>
      <c r="D36" s="6" t="n">
        <v>1</v>
      </c>
      <c r="E36" s="6" t="inlineStr">
        <is>
          <t>鼠标</t>
        </is>
      </c>
      <c r="F36" s="6" t="inlineStr">
        <is>
          <t>blue_mouse</t>
        </is>
      </c>
      <c r="G36" s="6" t="inlineStr">
        <is>
          <t>方法A</t>
        </is>
      </c>
      <c r="H36" s="6" t="inlineStr">
        <is>
          <t>One-Euro</t>
        </is>
      </c>
      <c r="I36" s="6" t="n">
        <v>2</v>
      </c>
      <c r="J36" s="6" t="n">
        <v>1</v>
      </c>
      <c r="K36" s="6" t="n">
        <v>4</v>
      </c>
      <c r="L36" s="6" t="n">
        <v>3</v>
      </c>
      <c r="M36" s="6" t="n">
        <v>4</v>
      </c>
      <c r="N36" s="6" t="n"/>
      <c r="O36" s="6" t="n">
        <v>5</v>
      </c>
      <c r="P36" s="6" t="n">
        <v>2</v>
      </c>
      <c r="Q36" s="6" t="n">
        <v>3</v>
      </c>
      <c r="R36" s="6" t="n">
        <v>5</v>
      </c>
      <c r="S36" s="6" t="n">
        <v>4</v>
      </c>
      <c r="T36" s="6" t="n">
        <v>4</v>
      </c>
      <c r="U36" s="6" t="n">
        <v>5</v>
      </c>
      <c r="V36" s="6" t="n">
        <v>4</v>
      </c>
      <c r="W36" s="6" t="n">
        <v>3</v>
      </c>
      <c r="X36" s="6" t="n">
        <v>4</v>
      </c>
      <c r="Y36" s="6" t="n"/>
      <c r="Z36" s="6" t="n"/>
      <c r="AA36" s="6" t="n">
        <v>163.2</v>
      </c>
      <c r="AB36" s="6" t="inlineStr">
        <is>
          <t>是</t>
        </is>
      </c>
      <c r="AC36" s="6" t="inlineStr">
        <is>
          <t>是</t>
        </is>
      </c>
      <c r="AD36" s="6" t="inlineStr">
        <is>
          <t>是</t>
        </is>
      </c>
      <c r="AE36" s="6" t="inlineStr">
        <is>
          <t>无</t>
        </is>
      </c>
      <c r="AF36" s="6" t="n">
        <v>9.619999999999999</v>
      </c>
      <c r="AG36" s="6" t="n">
        <v>0.913</v>
      </c>
      <c r="AH36" s="6" t="n">
        <v>0.864</v>
      </c>
      <c r="AI36" s="6" t="n">
        <v>0.921</v>
      </c>
      <c r="AJ36" s="6" t="n">
        <v>0.728</v>
      </c>
      <c r="AK36" s="6" t="inlineStr">
        <is>
          <t>FrozenUncertain</t>
        </is>
      </c>
      <c r="AL36" s="6" t="inlineStr">
        <is>
          <t>否</t>
        </is>
      </c>
      <c r="AM36" s="6" t="n">
        <v>0</v>
      </c>
      <c r="AN36" s="6" t="n">
        <v>0</v>
      </c>
      <c r="AO36" s="6" t="n"/>
    </row>
    <row r="37">
      <c r="A37" s="6" t="inlineStr">
        <is>
          <t>P006</t>
        </is>
      </c>
      <c r="B37" s="6" t="n">
        <v>3</v>
      </c>
      <c r="C37" s="6" t="inlineStr">
        <is>
          <t>O1-S2-OE</t>
        </is>
      </c>
      <c r="D37" s="6" t="n">
        <v>2</v>
      </c>
      <c r="E37" s="6" t="inlineStr">
        <is>
          <t>固定订书机</t>
        </is>
      </c>
      <c r="F37" s="6" t="inlineStr">
        <is>
          <t>stapler</t>
        </is>
      </c>
      <c r="G37" s="6" t="inlineStr">
        <is>
          <t>方法A</t>
        </is>
      </c>
      <c r="H37" s="6" t="inlineStr">
        <is>
          <t>One-Euro</t>
        </is>
      </c>
      <c r="I37" s="6" t="n">
        <v>1</v>
      </c>
      <c r="J37" s="6" t="n">
        <v>2</v>
      </c>
      <c r="K37" s="6" t="n">
        <v>4</v>
      </c>
      <c r="L37" s="6" t="n">
        <v>4</v>
      </c>
      <c r="M37" s="6" t="n">
        <v>5</v>
      </c>
      <c r="N37" s="6" t="n"/>
      <c r="O37" s="6" t="n">
        <v>5</v>
      </c>
      <c r="P37" s="6" t="n">
        <v>3</v>
      </c>
      <c r="Q37" s="6" t="n">
        <v>5</v>
      </c>
      <c r="R37" s="6" t="n">
        <v>5</v>
      </c>
      <c r="S37" s="6" t="n">
        <v>5</v>
      </c>
      <c r="T37" s="6" t="n">
        <v>5</v>
      </c>
      <c r="U37" s="6" t="n">
        <v>5</v>
      </c>
      <c r="V37" s="6" t="n">
        <v>4</v>
      </c>
      <c r="W37" s="6" t="n">
        <v>4</v>
      </c>
      <c r="X37" s="6" t="n">
        <v>5</v>
      </c>
      <c r="Y37" s="6" t="n"/>
      <c r="Z37" s="6" t="n"/>
      <c r="AA37" s="6" t="n">
        <v>186.7</v>
      </c>
      <c r="AB37" s="6" t="inlineStr">
        <is>
          <t>是</t>
        </is>
      </c>
      <c r="AC37" s="6" t="inlineStr">
        <is>
          <t>是</t>
        </is>
      </c>
      <c r="AD37" s="6" t="inlineStr">
        <is>
          <t>是</t>
        </is>
      </c>
      <c r="AE37" s="6" t="inlineStr">
        <is>
          <t>无</t>
        </is>
      </c>
      <c r="AF37" s="6" t="n">
        <v>9.890000000000001</v>
      </c>
      <c r="AG37" s="6" t="n">
        <v>0.887</v>
      </c>
      <c r="AH37" s="6" t="n">
        <v>0.89</v>
      </c>
      <c r="AI37" s="6" t="n">
        <v>0.962</v>
      </c>
      <c r="AJ37" s="6" t="n">
        <v>0.733</v>
      </c>
      <c r="AK37" s="6" t="inlineStr">
        <is>
          <t>FrozenUncertain</t>
        </is>
      </c>
      <c r="AL37" s="6" t="inlineStr">
        <is>
          <t>否</t>
        </is>
      </c>
      <c r="AM37" s="6" t="n">
        <v>0</v>
      </c>
      <c r="AN37" s="6" t="n">
        <v>0</v>
      </c>
      <c r="AO37" s="6" t="n"/>
    </row>
    <row r="38">
      <c r="A38" s="6" t="inlineStr">
        <is>
          <t>P006</t>
        </is>
      </c>
      <c r="B38" s="6" t="n">
        <v>4</v>
      </c>
      <c r="C38" s="6" t="inlineStr">
        <is>
          <t>O1-S2-OE</t>
        </is>
      </c>
      <c r="D38" s="6" t="n">
        <v>2</v>
      </c>
      <c r="E38" s="6" t="inlineStr">
        <is>
          <t>固定订书机</t>
        </is>
      </c>
      <c r="F38" s="6" t="inlineStr">
        <is>
          <t>stapler</t>
        </is>
      </c>
      <c r="G38" s="6" t="inlineStr">
        <is>
          <t>方法B</t>
        </is>
      </c>
      <c r="H38" s="6" t="inlineStr">
        <is>
          <t>EgoAnchor</t>
        </is>
      </c>
      <c r="I38" s="6" t="n">
        <v>2</v>
      </c>
      <c r="J38" s="6" t="n">
        <v>2</v>
      </c>
      <c r="K38" s="6" t="n">
        <v>4</v>
      </c>
      <c r="L38" s="6" t="n">
        <v>4</v>
      </c>
      <c r="M38" s="6" t="n">
        <v>4</v>
      </c>
      <c r="N38" s="6" t="n"/>
      <c r="O38" s="6" t="n">
        <v>4</v>
      </c>
      <c r="P38" s="6" t="n">
        <v>3</v>
      </c>
      <c r="Q38" s="6" t="n">
        <v>4</v>
      </c>
      <c r="R38" s="6" t="n">
        <v>4</v>
      </c>
      <c r="S38" s="6" t="n">
        <v>4</v>
      </c>
      <c r="T38" s="6" t="n">
        <v>5</v>
      </c>
      <c r="U38" s="6" t="n">
        <v>5</v>
      </c>
      <c r="V38" s="6" t="n">
        <v>3</v>
      </c>
      <c r="W38" s="6" t="n">
        <v>3</v>
      </c>
      <c r="X38" s="6" t="n">
        <v>4</v>
      </c>
      <c r="Y38" s="6" t="n"/>
      <c r="Z38" s="6" t="n"/>
      <c r="AA38" s="6" t="n">
        <v>156.2</v>
      </c>
      <c r="AB38" s="6" t="inlineStr">
        <is>
          <t>是</t>
        </is>
      </c>
      <c r="AC38" s="6" t="inlineStr">
        <is>
          <t>是</t>
        </is>
      </c>
      <c r="AD38" s="6" t="inlineStr">
        <is>
          <t>是</t>
        </is>
      </c>
      <c r="AE38" s="6" t="inlineStr">
        <is>
          <t>无</t>
        </is>
      </c>
      <c r="AF38" s="6" t="n">
        <v>9.460000000000001</v>
      </c>
      <c r="AG38" s="6" t="n">
        <v>0.93</v>
      </c>
      <c r="AH38" s="6" t="n">
        <v>0.924</v>
      </c>
      <c r="AI38" s="6" t="n">
        <v>0.959</v>
      </c>
      <c r="AJ38" s="6" t="n">
        <v>0.74</v>
      </c>
      <c r="AK38" s="6" t="inlineStr">
        <is>
          <t>FrozenUncertain</t>
        </is>
      </c>
      <c r="AL38" s="6" t="inlineStr">
        <is>
          <t>否</t>
        </is>
      </c>
      <c r="AM38" s="6" t="n">
        <v>0</v>
      </c>
      <c r="AN38" s="6" t="n">
        <v>3</v>
      </c>
      <c r="AO38" s="6" t="n"/>
    </row>
    <row r="39">
      <c r="A39" s="6" t="inlineStr">
        <is>
          <t>P006</t>
        </is>
      </c>
      <c r="B39" s="6" t="n">
        <v>5</v>
      </c>
      <c r="C39" s="6" t="inlineStr">
        <is>
          <t>O1-S2-OE</t>
        </is>
      </c>
      <c r="D39" s="6" t="n">
        <v>3</v>
      </c>
      <c r="E39" s="6" t="inlineStr">
        <is>
          <t>游戏手柄</t>
        </is>
      </c>
      <c r="F39" s="6" t="inlineStr">
        <is>
          <t>gamepad</t>
        </is>
      </c>
      <c r="G39" s="6" t="inlineStr">
        <is>
          <t>方法B</t>
        </is>
      </c>
      <c r="H39" s="6" t="inlineStr">
        <is>
          <t>EgoAnchor</t>
        </is>
      </c>
      <c r="I39" s="6" t="n">
        <v>1</v>
      </c>
      <c r="J39" s="6" t="n">
        <v>3</v>
      </c>
      <c r="K39" s="6" t="n">
        <v>4</v>
      </c>
      <c r="L39" s="6" t="n">
        <v>3</v>
      </c>
      <c r="M39" s="6" t="n">
        <v>4</v>
      </c>
      <c r="N39" s="6" t="n"/>
      <c r="O39" s="6" t="n">
        <v>4</v>
      </c>
      <c r="P39" s="6" t="n">
        <v>3</v>
      </c>
      <c r="Q39" s="6" t="n">
        <v>4</v>
      </c>
      <c r="R39" s="6" t="n">
        <v>4</v>
      </c>
      <c r="S39" s="6" t="n">
        <v>4</v>
      </c>
      <c r="T39" s="6" t="n">
        <v>4</v>
      </c>
      <c r="U39" s="6" t="n">
        <v>4</v>
      </c>
      <c r="V39" s="6" t="n">
        <v>4</v>
      </c>
      <c r="W39" s="6" t="n">
        <v>3</v>
      </c>
      <c r="X39" s="6" t="n">
        <v>4</v>
      </c>
      <c r="Y39" s="6" t="n"/>
      <c r="Z39" s="6" t="n"/>
      <c r="AA39" s="6" t="n">
        <v>209.9</v>
      </c>
      <c r="AB39" s="6" t="inlineStr">
        <is>
          <t>是</t>
        </is>
      </c>
      <c r="AC39" s="6" t="inlineStr">
        <is>
          <t>是</t>
        </is>
      </c>
      <c r="AD39" s="6" t="inlineStr">
        <is>
          <t>是</t>
        </is>
      </c>
      <c r="AE39" s="6" t="inlineStr">
        <is>
          <t>无</t>
        </is>
      </c>
      <c r="AF39" s="6" t="n">
        <v>9.710000000000001</v>
      </c>
      <c r="AG39" s="6" t="n">
        <v>0.865</v>
      </c>
      <c r="AH39" s="6" t="n">
        <v>0.901</v>
      </c>
      <c r="AI39" s="6" t="n">
        <v>0.959</v>
      </c>
      <c r="AJ39" s="6" t="n">
        <v>0.751</v>
      </c>
      <c r="AK39" s="6" t="inlineStr">
        <is>
          <t>FrozenUncertain</t>
        </is>
      </c>
      <c r="AL39" s="6" t="inlineStr">
        <is>
          <t>否</t>
        </is>
      </c>
      <c r="AM39" s="6" t="n">
        <v>0</v>
      </c>
      <c r="AN39" s="6" t="n">
        <v>5</v>
      </c>
      <c r="AO39" s="6" t="n"/>
    </row>
    <row r="40">
      <c r="A40" s="6" t="inlineStr">
        <is>
          <t>P006</t>
        </is>
      </c>
      <c r="B40" s="6" t="n">
        <v>6</v>
      </c>
      <c r="C40" s="6" t="inlineStr">
        <is>
          <t>O1-S2-OE</t>
        </is>
      </c>
      <c r="D40" s="6" t="n">
        <v>3</v>
      </c>
      <c r="E40" s="6" t="inlineStr">
        <is>
          <t>游戏手柄</t>
        </is>
      </c>
      <c r="F40" s="6" t="inlineStr">
        <is>
          <t>gamepad</t>
        </is>
      </c>
      <c r="G40" s="6" t="inlineStr">
        <is>
          <t>方法A</t>
        </is>
      </c>
      <c r="H40" s="6" t="inlineStr">
        <is>
          <t>One-Euro</t>
        </is>
      </c>
      <c r="I40" s="6" t="n">
        <v>2</v>
      </c>
      <c r="J40" s="6" t="n">
        <v>3</v>
      </c>
      <c r="K40" s="6" t="n">
        <v>5</v>
      </c>
      <c r="L40" s="6" t="n">
        <v>4</v>
      </c>
      <c r="M40" s="6" t="n">
        <v>5</v>
      </c>
      <c r="N40" s="6" t="n"/>
      <c r="O40" s="6" t="n">
        <v>5</v>
      </c>
      <c r="P40" s="6" t="n">
        <v>3</v>
      </c>
      <c r="Q40" s="6" t="n">
        <v>4</v>
      </c>
      <c r="R40" s="6" t="n">
        <v>4</v>
      </c>
      <c r="S40" s="6" t="n">
        <v>5</v>
      </c>
      <c r="T40" s="6" t="n">
        <v>4</v>
      </c>
      <c r="U40" s="6" t="n">
        <v>5</v>
      </c>
      <c r="V40" s="6" t="n">
        <v>4</v>
      </c>
      <c r="W40" s="6" t="n">
        <v>4</v>
      </c>
      <c r="X40" s="6" t="n">
        <v>4</v>
      </c>
      <c r="Y40" s="6" t="n"/>
      <c r="Z40" s="6" t="n"/>
      <c r="AA40" s="6" t="n">
        <v>168.8</v>
      </c>
      <c r="AB40" s="6" t="inlineStr">
        <is>
          <t>是</t>
        </is>
      </c>
      <c r="AC40" s="6" t="inlineStr">
        <is>
          <t>是</t>
        </is>
      </c>
      <c r="AD40" s="6" t="inlineStr">
        <is>
          <t>是</t>
        </is>
      </c>
      <c r="AE40" s="6" t="inlineStr">
        <is>
          <t>无</t>
        </is>
      </c>
      <c r="AF40" s="6" t="n">
        <v>9.07</v>
      </c>
      <c r="AG40" s="6" t="n">
        <v>0.875</v>
      </c>
      <c r="AH40" s="6" t="n">
        <v>0.9409999999999999</v>
      </c>
      <c r="AI40" s="6" t="n">
        <v>0.95</v>
      </c>
      <c r="AJ40" s="6" t="n">
        <v>0.738</v>
      </c>
      <c r="AK40" s="6" t="inlineStr">
        <is>
          <t>FrozenUncertain</t>
        </is>
      </c>
      <c r="AL40" s="6" t="inlineStr">
        <is>
          <t>否</t>
        </is>
      </c>
      <c r="AM40" s="6" t="n">
        <v>0</v>
      </c>
      <c r="AN40" s="6" t="n">
        <v>0</v>
      </c>
      <c r="AO40" s="6" t="n"/>
    </row>
    <row r="41">
      <c r="A41" s="6" t="inlineStr">
        <is>
          <t>P007</t>
        </is>
      </c>
      <c r="B41" s="6" t="n">
        <v>1</v>
      </c>
      <c r="C41" s="6" t="inlineStr">
        <is>
          <t>O3-S2-OE</t>
        </is>
      </c>
      <c r="D41" s="6" t="n">
        <v>1</v>
      </c>
      <c r="E41" s="6" t="inlineStr">
        <is>
          <t>固定订书机</t>
        </is>
      </c>
      <c r="F41" s="6" t="inlineStr">
        <is>
          <t>stapler</t>
        </is>
      </c>
      <c r="G41" s="6" t="inlineStr">
        <is>
          <t>方法B</t>
        </is>
      </c>
      <c r="H41" s="6" t="inlineStr">
        <is>
          <t>EgoAnchor</t>
        </is>
      </c>
      <c r="I41" s="6" t="n">
        <v>1</v>
      </c>
      <c r="J41" s="6" t="n">
        <v>1</v>
      </c>
      <c r="K41" s="6" t="n">
        <v>7</v>
      </c>
      <c r="L41" s="6" t="n">
        <v>7</v>
      </c>
      <c r="M41" s="6" t="n">
        <v>7</v>
      </c>
      <c r="N41" s="6" t="n"/>
      <c r="O41" s="6" t="n">
        <v>7</v>
      </c>
      <c r="P41" s="6" t="n">
        <v>6</v>
      </c>
      <c r="Q41" s="6" t="n">
        <v>7</v>
      </c>
      <c r="R41" s="6" t="n">
        <v>7</v>
      </c>
      <c r="S41" s="6" t="n">
        <v>7</v>
      </c>
      <c r="T41" s="6" t="n">
        <v>5</v>
      </c>
      <c r="U41" s="6" t="n">
        <v>7</v>
      </c>
      <c r="V41" s="6" t="n">
        <v>6</v>
      </c>
      <c r="W41" s="6" t="n">
        <v>7</v>
      </c>
      <c r="X41" s="6" t="n">
        <v>7</v>
      </c>
      <c r="Y41" s="6" t="n"/>
      <c r="Z41" s="6" t="n"/>
      <c r="AA41" s="6" t="n">
        <v>116.3</v>
      </c>
      <c r="AB41" s="6" t="inlineStr">
        <is>
          <t>是</t>
        </is>
      </c>
      <c r="AC41" s="6" t="inlineStr">
        <is>
          <t>是</t>
        </is>
      </c>
      <c r="AD41" s="6" t="inlineStr">
        <is>
          <t>是</t>
        </is>
      </c>
      <c r="AE41" s="6" t="inlineStr">
        <is>
          <t>无</t>
        </is>
      </c>
      <c r="AF41" s="6" t="n">
        <v>9.33</v>
      </c>
      <c r="AG41" s="6" t="n">
        <v>0.918</v>
      </c>
      <c r="AH41" s="6" t="n">
        <v>0.885</v>
      </c>
      <c r="AI41" s="6" t="n">
        <v>0.977</v>
      </c>
      <c r="AJ41" s="6" t="n">
        <v>0.793</v>
      </c>
      <c r="AK41" s="6" t="inlineStr">
        <is>
          <t>FrozenUncertain</t>
        </is>
      </c>
      <c r="AL41" s="6" t="inlineStr">
        <is>
          <t>否</t>
        </is>
      </c>
      <c r="AM41" s="6" t="n">
        <v>0</v>
      </c>
      <c r="AN41" s="6" t="n">
        <v>7</v>
      </c>
      <c r="AO41" s="6" t="n"/>
    </row>
    <row r="42">
      <c r="A42" s="6" t="inlineStr">
        <is>
          <t>P007</t>
        </is>
      </c>
      <c r="B42" s="6" t="n">
        <v>2</v>
      </c>
      <c r="C42" s="6" t="inlineStr">
        <is>
          <t>O3-S2-OE</t>
        </is>
      </c>
      <c r="D42" s="6" t="n">
        <v>1</v>
      </c>
      <c r="E42" s="6" t="inlineStr">
        <is>
          <t>固定订书机</t>
        </is>
      </c>
      <c r="F42" s="6" t="inlineStr">
        <is>
          <t>stapler</t>
        </is>
      </c>
      <c r="G42" s="6" t="inlineStr">
        <is>
          <t>方法A</t>
        </is>
      </c>
      <c r="H42" s="6" t="inlineStr">
        <is>
          <t>One-Euro</t>
        </is>
      </c>
      <c r="I42" s="6" t="n">
        <v>2</v>
      </c>
      <c r="J42" s="6" t="n">
        <v>1</v>
      </c>
      <c r="K42" s="6" t="n">
        <v>7</v>
      </c>
      <c r="L42" s="6" t="n">
        <v>7</v>
      </c>
      <c r="M42" s="6" t="n">
        <v>7</v>
      </c>
      <c r="N42" s="6" t="n"/>
      <c r="O42" s="6" t="n">
        <v>7</v>
      </c>
      <c r="P42" s="6" t="n">
        <v>6</v>
      </c>
      <c r="Q42" s="6" t="n">
        <v>7</v>
      </c>
      <c r="R42" s="6" t="n">
        <v>6</v>
      </c>
      <c r="S42" s="6" t="n">
        <v>6</v>
      </c>
      <c r="T42" s="6" t="n">
        <v>5</v>
      </c>
      <c r="U42" s="6" t="n">
        <v>7</v>
      </c>
      <c r="V42" s="6" t="n">
        <v>6</v>
      </c>
      <c r="W42" s="6" t="n">
        <v>5</v>
      </c>
      <c r="X42" s="6" t="n">
        <v>6</v>
      </c>
      <c r="Y42" s="6" t="n"/>
      <c r="Z42" s="6" t="n"/>
      <c r="AA42" s="6" t="n">
        <v>107.2</v>
      </c>
      <c r="AB42" s="6" t="inlineStr">
        <is>
          <t>是</t>
        </is>
      </c>
      <c r="AC42" s="6" t="inlineStr">
        <is>
          <t>是</t>
        </is>
      </c>
      <c r="AD42" s="6" t="inlineStr">
        <is>
          <t>是</t>
        </is>
      </c>
      <c r="AE42" s="6" t="inlineStr">
        <is>
          <t>手柄区块 Cutie 掩膜短暂丢失，候选中断约 0.4 s 后自行恢复</t>
        </is>
      </c>
      <c r="AF42" s="6" t="n">
        <v>9.369999999999999</v>
      </c>
      <c r="AG42" s="6" t="n">
        <v>0.893</v>
      </c>
      <c r="AH42" s="6" t="n">
        <v>0.888</v>
      </c>
      <c r="AI42" s="6" t="n">
        <v>0.96</v>
      </c>
      <c r="AJ42" s="6" t="n">
        <v>0.6870000000000001</v>
      </c>
      <c r="AK42" s="6" t="inlineStr">
        <is>
          <t>FrozenUncertain</t>
        </is>
      </c>
      <c r="AL42" s="6" t="inlineStr">
        <is>
          <t>否</t>
        </is>
      </c>
      <c r="AM42" s="6" t="n">
        <v>0</v>
      </c>
      <c r="AN42" s="6" t="n">
        <v>0</v>
      </c>
      <c r="AO42" s="6" t="n"/>
    </row>
    <row r="43">
      <c r="A43" s="6" t="inlineStr">
        <is>
          <t>P007</t>
        </is>
      </c>
      <c r="B43" s="6" t="n">
        <v>3</v>
      </c>
      <c r="C43" s="6" t="inlineStr">
        <is>
          <t>O3-S2-OE</t>
        </is>
      </c>
      <c r="D43" s="6" t="n">
        <v>2</v>
      </c>
      <c r="E43" s="6" t="inlineStr">
        <is>
          <t>鼠标</t>
        </is>
      </c>
      <c r="F43" s="6" t="inlineStr">
        <is>
          <t>blue_mouse</t>
        </is>
      </c>
      <c r="G43" s="6" t="inlineStr">
        <is>
          <t>方法A</t>
        </is>
      </c>
      <c r="H43" s="6" t="inlineStr">
        <is>
          <t>One-Euro</t>
        </is>
      </c>
      <c r="I43" s="6" t="n">
        <v>1</v>
      </c>
      <c r="J43" s="6" t="n">
        <v>2</v>
      </c>
      <c r="K43" s="6" t="n">
        <v>6</v>
      </c>
      <c r="L43" s="6" t="n">
        <v>7</v>
      </c>
      <c r="M43" s="6" t="n">
        <v>5</v>
      </c>
      <c r="N43" s="6" t="n"/>
      <c r="O43" s="6" t="n">
        <v>7</v>
      </c>
      <c r="P43" s="6" t="n">
        <v>6</v>
      </c>
      <c r="Q43" s="6" t="n">
        <v>7</v>
      </c>
      <c r="R43" s="6" t="n">
        <v>7</v>
      </c>
      <c r="S43" s="6" t="n">
        <v>5</v>
      </c>
      <c r="T43" s="6" t="n">
        <v>5</v>
      </c>
      <c r="U43" s="6" t="n">
        <v>7</v>
      </c>
      <c r="V43" s="6" t="n">
        <v>6</v>
      </c>
      <c r="W43" s="6" t="n">
        <v>6</v>
      </c>
      <c r="X43" s="6" t="n">
        <v>6</v>
      </c>
      <c r="Y43" s="6" t="n"/>
      <c r="Z43" s="6" t="n"/>
      <c r="AA43" s="6" t="n">
        <v>115</v>
      </c>
      <c r="AB43" s="6" t="inlineStr">
        <is>
          <t>是</t>
        </is>
      </c>
      <c r="AC43" s="6" t="inlineStr">
        <is>
          <t>是</t>
        </is>
      </c>
      <c r="AD43" s="6" t="inlineStr">
        <is>
          <t>是</t>
        </is>
      </c>
      <c r="AE43" s="6" t="inlineStr">
        <is>
          <t>无</t>
        </is>
      </c>
      <c r="AF43" s="6" t="n">
        <v>9.32</v>
      </c>
      <c r="AG43" s="6" t="n">
        <v>0.8139999999999999</v>
      </c>
      <c r="AH43" s="6" t="n">
        <v>0.92</v>
      </c>
      <c r="AI43" s="6" t="n">
        <v>0.968</v>
      </c>
      <c r="AJ43" s="6" t="n">
        <v>0.788</v>
      </c>
      <c r="AK43" s="6" t="inlineStr">
        <is>
          <t>FrozenUncertain</t>
        </is>
      </c>
      <c r="AL43" s="6" t="inlineStr">
        <is>
          <t>否</t>
        </is>
      </c>
      <c r="AM43" s="6" t="n">
        <v>0</v>
      </c>
      <c r="AN43" s="6" t="n">
        <v>0</v>
      </c>
      <c r="AO43" s="6" t="n"/>
    </row>
    <row r="44">
      <c r="A44" s="6" t="inlineStr">
        <is>
          <t>P007</t>
        </is>
      </c>
      <c r="B44" s="6" t="n">
        <v>4</v>
      </c>
      <c r="C44" s="6" t="inlineStr">
        <is>
          <t>O3-S2-OE</t>
        </is>
      </c>
      <c r="D44" s="6" t="n">
        <v>2</v>
      </c>
      <c r="E44" s="6" t="inlineStr">
        <is>
          <t>鼠标</t>
        </is>
      </c>
      <c r="F44" s="6" t="inlineStr">
        <is>
          <t>blue_mouse</t>
        </is>
      </c>
      <c r="G44" s="6" t="inlineStr">
        <is>
          <t>方法B</t>
        </is>
      </c>
      <c r="H44" s="6" t="inlineStr">
        <is>
          <t>EgoAnchor</t>
        </is>
      </c>
      <c r="I44" s="6" t="n">
        <v>2</v>
      </c>
      <c r="J44" s="6" t="n">
        <v>2</v>
      </c>
      <c r="K44" s="6" t="n">
        <v>7</v>
      </c>
      <c r="L44" s="6" t="n">
        <v>5</v>
      </c>
      <c r="M44" s="6" t="n">
        <v>7</v>
      </c>
      <c r="N44" s="6" t="n"/>
      <c r="O44" s="6" t="n">
        <v>6</v>
      </c>
      <c r="P44" s="6" t="n">
        <v>7</v>
      </c>
      <c r="Q44" s="6" t="n">
        <v>7</v>
      </c>
      <c r="R44" s="6" t="n">
        <v>7</v>
      </c>
      <c r="S44" s="6" t="n">
        <v>7</v>
      </c>
      <c r="T44" s="6" t="n">
        <v>6</v>
      </c>
      <c r="U44" s="6" t="n">
        <v>7</v>
      </c>
      <c r="V44" s="6" t="n">
        <v>6</v>
      </c>
      <c r="W44" s="6" t="n">
        <v>7</v>
      </c>
      <c r="X44" s="6" t="n">
        <v>7</v>
      </c>
      <c r="Y44" s="6" t="n"/>
      <c r="Z44" s="6" t="n"/>
      <c r="AA44" s="6" t="n">
        <v>129.4</v>
      </c>
      <c r="AB44" s="6" t="inlineStr">
        <is>
          <t>是</t>
        </is>
      </c>
      <c r="AC44" s="6" t="inlineStr">
        <is>
          <t>是</t>
        </is>
      </c>
      <c r="AD44" s="6" t="inlineStr">
        <is>
          <t>是</t>
        </is>
      </c>
      <c r="AE44" s="6" t="inlineStr">
        <is>
          <t>无</t>
        </is>
      </c>
      <c r="AF44" s="6" t="n">
        <v>9.539999999999999</v>
      </c>
      <c r="AG44" s="6" t="n">
        <v>0.842</v>
      </c>
      <c r="AH44" s="6" t="n">
        <v>0.9370000000000001</v>
      </c>
      <c r="AI44" s="6" t="n">
        <v>0.9370000000000001</v>
      </c>
      <c r="AJ44" s="6" t="n">
        <v>0.723</v>
      </c>
      <c r="AK44" s="6" t="inlineStr">
        <is>
          <t>FrozenUncertain</t>
        </is>
      </c>
      <c r="AL44" s="6" t="inlineStr">
        <is>
          <t>否</t>
        </is>
      </c>
      <c r="AM44" s="6" t="n">
        <v>0</v>
      </c>
      <c r="AN44" s="6" t="n">
        <v>7</v>
      </c>
      <c r="AO44" s="6" t="n"/>
    </row>
    <row r="45">
      <c r="A45" s="6" t="inlineStr">
        <is>
          <t>P007</t>
        </is>
      </c>
      <c r="B45" s="6" t="n">
        <v>5</v>
      </c>
      <c r="C45" s="6" t="inlineStr">
        <is>
          <t>O3-S2-OE</t>
        </is>
      </c>
      <c r="D45" s="6" t="n">
        <v>3</v>
      </c>
      <c r="E45" s="6" t="inlineStr">
        <is>
          <t>游戏手柄</t>
        </is>
      </c>
      <c r="F45" s="6" t="inlineStr">
        <is>
          <t>gamepad</t>
        </is>
      </c>
      <c r="G45" s="6" t="inlineStr">
        <is>
          <t>方法B</t>
        </is>
      </c>
      <c r="H45" s="6" t="inlineStr">
        <is>
          <t>EgoAnchor</t>
        </is>
      </c>
      <c r="I45" s="6" t="n">
        <v>1</v>
      </c>
      <c r="J45" s="6" t="n">
        <v>3</v>
      </c>
      <c r="K45" s="6" t="n">
        <v>7</v>
      </c>
      <c r="L45" s="6" t="n">
        <v>7</v>
      </c>
      <c r="M45" s="6" t="n">
        <v>7</v>
      </c>
      <c r="N45" s="6" t="n"/>
      <c r="O45" s="6" t="n">
        <v>7</v>
      </c>
      <c r="P45" s="6" t="n">
        <v>7</v>
      </c>
      <c r="Q45" s="6" t="n">
        <v>7</v>
      </c>
      <c r="R45" s="6" t="n">
        <v>7</v>
      </c>
      <c r="S45" s="6" t="n">
        <v>6</v>
      </c>
      <c r="T45" s="6" t="n">
        <v>7</v>
      </c>
      <c r="U45" s="6" t="n">
        <v>7</v>
      </c>
      <c r="V45" s="6" t="n">
        <v>7</v>
      </c>
      <c r="W45" s="6" t="n">
        <v>7</v>
      </c>
      <c r="X45" s="6" t="n">
        <v>7</v>
      </c>
      <c r="Y45" s="6" t="n"/>
      <c r="Z45" s="6" t="n"/>
      <c r="AA45" s="6" t="n">
        <v>107.4</v>
      </c>
      <c r="AB45" s="6" t="inlineStr">
        <is>
          <t>是</t>
        </is>
      </c>
      <c r="AC45" s="6" t="inlineStr">
        <is>
          <t>是</t>
        </is>
      </c>
      <c r="AD45" s="6" t="inlineStr">
        <is>
          <t>是</t>
        </is>
      </c>
      <c r="AE45" s="6" t="inlineStr">
        <is>
          <t>无</t>
        </is>
      </c>
      <c r="AF45" s="6" t="n">
        <v>9.369999999999999</v>
      </c>
      <c r="AG45" s="6" t="n">
        <v>0.898</v>
      </c>
      <c r="AH45" s="6" t="n">
        <v>0.874</v>
      </c>
      <c r="AI45" s="6" t="n">
        <v>0.975</v>
      </c>
      <c r="AJ45" s="6" t="n">
        <v>0.783</v>
      </c>
      <c r="AK45" s="6" t="inlineStr">
        <is>
          <t>FrozenUncertain</t>
        </is>
      </c>
      <c r="AL45" s="6" t="inlineStr">
        <is>
          <t>否</t>
        </is>
      </c>
      <c r="AM45" s="6" t="n">
        <v>0</v>
      </c>
      <c r="AN45" s="6" t="n">
        <v>5</v>
      </c>
      <c r="AO45" s="6" t="n"/>
    </row>
    <row r="46">
      <c r="A46" s="6" t="inlineStr">
        <is>
          <t>P007</t>
        </is>
      </c>
      <c r="B46" s="6" t="n">
        <v>6</v>
      </c>
      <c r="C46" s="6" t="inlineStr">
        <is>
          <t>O3-S2-OE</t>
        </is>
      </c>
      <c r="D46" s="6" t="n">
        <v>3</v>
      </c>
      <c r="E46" s="6" t="inlineStr">
        <is>
          <t>游戏手柄</t>
        </is>
      </c>
      <c r="F46" s="6" t="inlineStr">
        <is>
          <t>gamepad</t>
        </is>
      </c>
      <c r="G46" s="6" t="inlineStr">
        <is>
          <t>方法A</t>
        </is>
      </c>
      <c r="H46" s="6" t="inlineStr">
        <is>
          <t>One-Euro</t>
        </is>
      </c>
      <c r="I46" s="6" t="n">
        <v>2</v>
      </c>
      <c r="J46" s="6" t="n">
        <v>3</v>
      </c>
      <c r="K46" s="6" t="n">
        <v>5</v>
      </c>
      <c r="L46" s="6" t="n">
        <v>7</v>
      </c>
      <c r="M46" s="6" t="n">
        <v>6</v>
      </c>
      <c r="N46" s="6" t="n"/>
      <c r="O46" s="6" t="n">
        <v>7</v>
      </c>
      <c r="P46" s="6" t="n">
        <v>6</v>
      </c>
      <c r="Q46" s="6" t="n">
        <v>6</v>
      </c>
      <c r="R46" s="6" t="n">
        <v>6</v>
      </c>
      <c r="S46" s="6" t="n">
        <v>5</v>
      </c>
      <c r="T46" s="6" t="n">
        <v>4</v>
      </c>
      <c r="U46" s="6" t="n">
        <v>7</v>
      </c>
      <c r="V46" s="6" t="n">
        <v>6</v>
      </c>
      <c r="W46" s="6" t="n">
        <v>6</v>
      </c>
      <c r="X46" s="6" t="n">
        <v>6</v>
      </c>
      <c r="Y46" s="6" t="n"/>
      <c r="Z46" s="6" t="n"/>
      <c r="AA46" s="6" t="n">
        <v>124.8</v>
      </c>
      <c r="AB46" s="6" t="inlineStr">
        <is>
          <t>是</t>
        </is>
      </c>
      <c r="AC46" s="6" t="inlineStr">
        <is>
          <t>是</t>
        </is>
      </c>
      <c r="AD46" s="6" t="inlineStr">
        <is>
          <t>是</t>
        </is>
      </c>
      <c r="AE46" s="6" t="inlineStr">
        <is>
          <t>无</t>
        </is>
      </c>
      <c r="AF46" s="6" t="n">
        <v>9.68</v>
      </c>
      <c r="AG46" s="6" t="n">
        <v>0.866</v>
      </c>
      <c r="AH46" s="6" t="n">
        <v>0.861</v>
      </c>
      <c r="AI46" s="6" t="n">
        <v>0.961</v>
      </c>
      <c r="AJ46" s="6" t="n">
        <v>0.779</v>
      </c>
      <c r="AK46" s="6" t="inlineStr">
        <is>
          <t>FrozenUncertain</t>
        </is>
      </c>
      <c r="AL46" s="6" t="inlineStr">
        <is>
          <t>否</t>
        </is>
      </c>
      <c r="AM46" s="6" t="n">
        <v>0</v>
      </c>
      <c r="AN46" s="6" t="n">
        <v>0</v>
      </c>
      <c r="AO46" s="6" t="n"/>
    </row>
    <row r="47">
      <c r="A47" s="6" t="inlineStr">
        <is>
          <t>P008</t>
        </is>
      </c>
      <c r="B47" s="6" t="n">
        <v>1</v>
      </c>
      <c r="C47" s="6" t="inlineStr">
        <is>
          <t>O3-S1-EA</t>
        </is>
      </c>
      <c r="D47" s="6" t="n">
        <v>1</v>
      </c>
      <c r="E47" s="6" t="inlineStr">
        <is>
          <t>固定订书机</t>
        </is>
      </c>
      <c r="F47" s="6" t="inlineStr">
        <is>
          <t>stapler</t>
        </is>
      </c>
      <c r="G47" s="6" t="inlineStr">
        <is>
          <t>方法A</t>
        </is>
      </c>
      <c r="H47" s="6" t="inlineStr">
        <is>
          <t>EgoAnchor</t>
        </is>
      </c>
      <c r="I47" s="6" t="n">
        <v>1</v>
      </c>
      <c r="J47" s="6" t="n">
        <v>1</v>
      </c>
      <c r="K47" s="6" t="n">
        <v>6</v>
      </c>
      <c r="L47" s="6" t="n">
        <v>6</v>
      </c>
      <c r="M47" s="6" t="n">
        <v>7</v>
      </c>
      <c r="N47" s="6" t="n"/>
      <c r="O47" s="6" t="n">
        <v>5</v>
      </c>
      <c r="P47" s="6" t="n">
        <v>5</v>
      </c>
      <c r="Q47" s="6" t="n">
        <v>5</v>
      </c>
      <c r="R47" s="6" t="n">
        <v>6</v>
      </c>
      <c r="S47" s="6" t="n">
        <v>7</v>
      </c>
      <c r="T47" s="6" t="n">
        <v>7</v>
      </c>
      <c r="U47" s="6" t="n">
        <v>6</v>
      </c>
      <c r="V47" s="6" t="n">
        <v>6</v>
      </c>
      <c r="W47" s="6" t="n">
        <v>5</v>
      </c>
      <c r="X47" s="6" t="n">
        <v>5</v>
      </c>
      <c r="Y47" s="6" t="n"/>
      <c r="Z47" s="6" t="n"/>
      <c r="AA47" s="6" t="n">
        <v>126.9</v>
      </c>
      <c r="AB47" s="6" t="inlineStr">
        <is>
          <t>是</t>
        </is>
      </c>
      <c r="AC47" s="6" t="inlineStr">
        <is>
          <t>是</t>
        </is>
      </c>
      <c r="AD47" s="6" t="inlineStr">
        <is>
          <t>是</t>
        </is>
      </c>
      <c r="AE47" s="6" t="inlineStr">
        <is>
          <t>无</t>
        </is>
      </c>
      <c r="AF47" s="6" t="n">
        <v>9.33</v>
      </c>
      <c r="AG47" s="6" t="n">
        <v>0.868</v>
      </c>
      <c r="AH47" s="6" t="n">
        <v>0.928</v>
      </c>
      <c r="AI47" s="6" t="n">
        <v>0.952</v>
      </c>
      <c r="AJ47" s="6" t="n">
        <v>0.713</v>
      </c>
      <c r="AK47" s="6" t="inlineStr">
        <is>
          <t>FrozenUncertain</t>
        </is>
      </c>
      <c r="AL47" s="6" t="inlineStr">
        <is>
          <t>否</t>
        </is>
      </c>
      <c r="AM47" s="6" t="n">
        <v>0</v>
      </c>
      <c r="AN47" s="6" t="n">
        <v>4</v>
      </c>
      <c r="AO47" s="6" t="n"/>
    </row>
    <row r="48">
      <c r="A48" s="6" t="inlineStr">
        <is>
          <t>P008</t>
        </is>
      </c>
      <c r="B48" s="6" t="n">
        <v>2</v>
      </c>
      <c r="C48" s="6" t="inlineStr">
        <is>
          <t>O3-S1-EA</t>
        </is>
      </c>
      <c r="D48" s="6" t="n">
        <v>1</v>
      </c>
      <c r="E48" s="6" t="inlineStr">
        <is>
          <t>固定订书机</t>
        </is>
      </c>
      <c r="F48" s="6" t="inlineStr">
        <is>
          <t>stapler</t>
        </is>
      </c>
      <c r="G48" s="6" t="inlineStr">
        <is>
          <t>方法B</t>
        </is>
      </c>
      <c r="H48" s="6" t="inlineStr">
        <is>
          <t>One-Euro</t>
        </is>
      </c>
      <c r="I48" s="6" t="n">
        <v>2</v>
      </c>
      <c r="J48" s="6" t="n">
        <v>1</v>
      </c>
      <c r="K48" s="6" t="n">
        <v>6</v>
      </c>
      <c r="L48" s="6" t="n">
        <v>6</v>
      </c>
      <c r="M48" s="6" t="n">
        <v>7</v>
      </c>
      <c r="N48" s="6" t="n"/>
      <c r="O48" s="6" t="n">
        <v>5</v>
      </c>
      <c r="P48" s="6" t="n">
        <v>5</v>
      </c>
      <c r="Q48" s="6" t="n">
        <v>5</v>
      </c>
      <c r="R48" s="6" t="n">
        <v>6</v>
      </c>
      <c r="S48" s="6" t="n">
        <v>6</v>
      </c>
      <c r="T48" s="6" t="n">
        <v>7</v>
      </c>
      <c r="U48" s="6" t="n">
        <v>7</v>
      </c>
      <c r="V48" s="6" t="n">
        <v>6</v>
      </c>
      <c r="W48" s="6" t="n">
        <v>5</v>
      </c>
      <c r="X48" s="6" t="n">
        <v>6</v>
      </c>
      <c r="Y48" s="6" t="n"/>
      <c r="Z48" s="6" t="n"/>
      <c r="AA48" s="6" t="n">
        <v>145.3</v>
      </c>
      <c r="AB48" s="6" t="inlineStr">
        <is>
          <t>是</t>
        </is>
      </c>
      <c r="AC48" s="6" t="inlineStr">
        <is>
          <t>是</t>
        </is>
      </c>
      <c r="AD48" s="6" t="inlineStr">
        <is>
          <t>是</t>
        </is>
      </c>
      <c r="AE48" s="6" t="inlineStr">
        <is>
          <t>无</t>
        </is>
      </c>
      <c r="AF48" s="6" t="n">
        <v>9.109999999999999</v>
      </c>
      <c r="AG48" s="6" t="n">
        <v>0.909</v>
      </c>
      <c r="AH48" s="6" t="n">
        <v>0.944</v>
      </c>
      <c r="AI48" s="6" t="n">
        <v>0.948</v>
      </c>
      <c r="AJ48" s="6" t="n">
        <v>0.752</v>
      </c>
      <c r="AK48" s="6" t="inlineStr">
        <is>
          <t>FrozenUncertain</t>
        </is>
      </c>
      <c r="AL48" s="6" t="inlineStr">
        <is>
          <t>否</t>
        </is>
      </c>
      <c r="AM48" s="6" t="n">
        <v>0</v>
      </c>
      <c r="AN48" s="6" t="n">
        <v>0</v>
      </c>
      <c r="AO48" s="6" t="n"/>
    </row>
    <row r="49">
      <c r="A49" s="6" t="inlineStr">
        <is>
          <t>P008</t>
        </is>
      </c>
      <c r="B49" s="6" t="n">
        <v>3</v>
      </c>
      <c r="C49" s="6" t="inlineStr">
        <is>
          <t>O3-S1-EA</t>
        </is>
      </c>
      <c r="D49" s="6" t="n">
        <v>2</v>
      </c>
      <c r="E49" s="6" t="inlineStr">
        <is>
          <t>鼠标</t>
        </is>
      </c>
      <c r="F49" s="6" t="inlineStr">
        <is>
          <t>blue_mouse</t>
        </is>
      </c>
      <c r="G49" s="6" t="inlineStr">
        <is>
          <t>方法B</t>
        </is>
      </c>
      <c r="H49" s="6" t="inlineStr">
        <is>
          <t>One-Euro</t>
        </is>
      </c>
      <c r="I49" s="6" t="n">
        <v>1</v>
      </c>
      <c r="J49" s="6" t="n">
        <v>2</v>
      </c>
      <c r="K49" s="6" t="n">
        <v>5</v>
      </c>
      <c r="L49" s="6" t="n">
        <v>5</v>
      </c>
      <c r="M49" s="6" t="n">
        <v>5</v>
      </c>
      <c r="N49" s="6" t="n"/>
      <c r="O49" s="6" t="n">
        <v>5</v>
      </c>
      <c r="P49" s="6" t="n">
        <v>3</v>
      </c>
      <c r="Q49" s="6" t="n">
        <v>4</v>
      </c>
      <c r="R49" s="6" t="n">
        <v>5</v>
      </c>
      <c r="S49" s="6" t="n">
        <v>4</v>
      </c>
      <c r="T49" s="6" t="n">
        <v>5</v>
      </c>
      <c r="U49" s="6" t="n">
        <v>6</v>
      </c>
      <c r="V49" s="6" t="n">
        <v>5</v>
      </c>
      <c r="W49" s="6" t="n">
        <v>4</v>
      </c>
      <c r="X49" s="6" t="n">
        <v>4</v>
      </c>
      <c r="Y49" s="6" t="n"/>
      <c r="Z49" s="6" t="n"/>
      <c r="AA49" s="6" t="n">
        <v>127.8</v>
      </c>
      <c r="AB49" s="6" t="inlineStr">
        <is>
          <t>是</t>
        </is>
      </c>
      <c r="AC49" s="6" t="inlineStr">
        <is>
          <t>是</t>
        </is>
      </c>
      <c r="AD49" s="6" t="inlineStr">
        <is>
          <t>是</t>
        </is>
      </c>
      <c r="AE49" s="6" t="inlineStr">
        <is>
          <t>无</t>
        </is>
      </c>
      <c r="AF49" s="6" t="n">
        <v>8.49</v>
      </c>
      <c r="AG49" s="6" t="n">
        <v>0.858</v>
      </c>
      <c r="AH49" s="6" t="n">
        <v>0.915</v>
      </c>
      <c r="AI49" s="6" t="n">
        <v>0.953</v>
      </c>
      <c r="AJ49" s="6" t="n">
        <v>0.722</v>
      </c>
      <c r="AK49" s="6" t="inlineStr">
        <is>
          <t>FrozenUncertain</t>
        </is>
      </c>
      <c r="AL49" s="6" t="inlineStr">
        <is>
          <t>否</t>
        </is>
      </c>
      <c r="AM49" s="6" t="n">
        <v>0</v>
      </c>
      <c r="AN49" s="6" t="n">
        <v>0</v>
      </c>
      <c r="AO49" s="6" t="n"/>
    </row>
    <row r="50">
      <c r="A50" s="6" t="inlineStr">
        <is>
          <t>P008</t>
        </is>
      </c>
      <c r="B50" s="6" t="n">
        <v>4</v>
      </c>
      <c r="C50" s="6" t="inlineStr">
        <is>
          <t>O3-S1-EA</t>
        </is>
      </c>
      <c r="D50" s="6" t="n">
        <v>2</v>
      </c>
      <c r="E50" s="6" t="inlineStr">
        <is>
          <t>鼠标</t>
        </is>
      </c>
      <c r="F50" s="6" t="inlineStr">
        <is>
          <t>blue_mouse</t>
        </is>
      </c>
      <c r="G50" s="6" t="inlineStr">
        <is>
          <t>方法A</t>
        </is>
      </c>
      <c r="H50" s="6" t="inlineStr">
        <is>
          <t>EgoAnchor</t>
        </is>
      </c>
      <c r="I50" s="6" t="n">
        <v>2</v>
      </c>
      <c r="J50" s="6" t="n">
        <v>2</v>
      </c>
      <c r="K50" s="6" t="n">
        <v>5</v>
      </c>
      <c r="L50" s="6" t="n">
        <v>6</v>
      </c>
      <c r="M50" s="6" t="n">
        <v>6</v>
      </c>
      <c r="N50" s="6" t="n"/>
      <c r="O50" s="6" t="n">
        <v>4</v>
      </c>
      <c r="P50" s="6" t="n">
        <v>5</v>
      </c>
      <c r="Q50" s="6" t="n">
        <v>6</v>
      </c>
      <c r="R50" s="6" t="n">
        <v>6</v>
      </c>
      <c r="S50" s="6" t="n">
        <v>7</v>
      </c>
      <c r="T50" s="6" t="n">
        <v>7</v>
      </c>
      <c r="U50" s="6" t="n">
        <v>6</v>
      </c>
      <c r="V50" s="6" t="n">
        <v>7</v>
      </c>
      <c r="W50" s="6" t="n">
        <v>5</v>
      </c>
      <c r="X50" s="6" t="n">
        <v>6</v>
      </c>
      <c r="Y50" s="6" t="n"/>
      <c r="Z50" s="6" t="n"/>
      <c r="AA50" s="6" t="n">
        <v>138.1</v>
      </c>
      <c r="AB50" s="6" t="inlineStr">
        <is>
          <t>是</t>
        </is>
      </c>
      <c r="AC50" s="6" t="inlineStr">
        <is>
          <t>是</t>
        </is>
      </c>
      <c r="AD50" s="6" t="inlineStr">
        <is>
          <t>是</t>
        </is>
      </c>
      <c r="AE50" s="6" t="inlineStr">
        <is>
          <t>无</t>
        </is>
      </c>
      <c r="AF50" s="6" t="n">
        <v>9.789999999999999</v>
      </c>
      <c r="AG50" s="6" t="n">
        <v>0.865</v>
      </c>
      <c r="AH50" s="6" t="n">
        <v>0.878</v>
      </c>
      <c r="AI50" s="6" t="n">
        <v>0.9409999999999999</v>
      </c>
      <c r="AJ50" s="6" t="n">
        <v>0.731</v>
      </c>
      <c r="AK50" s="6" t="inlineStr">
        <is>
          <t>FrozenUncertain</t>
        </is>
      </c>
      <c r="AL50" s="6" t="inlineStr">
        <is>
          <t>否</t>
        </is>
      </c>
      <c r="AM50" s="6" t="n">
        <v>0</v>
      </c>
      <c r="AN50" s="6" t="n">
        <v>4</v>
      </c>
      <c r="AO50" s="6" t="n"/>
    </row>
    <row r="51">
      <c r="A51" s="6" t="inlineStr">
        <is>
          <t>P008</t>
        </is>
      </c>
      <c r="B51" s="6" t="n">
        <v>5</v>
      </c>
      <c r="C51" s="6" t="inlineStr">
        <is>
          <t>O3-S1-EA</t>
        </is>
      </c>
      <c r="D51" s="6" t="n">
        <v>3</v>
      </c>
      <c r="E51" s="6" t="inlineStr">
        <is>
          <t>游戏手柄</t>
        </is>
      </c>
      <c r="F51" s="6" t="inlineStr">
        <is>
          <t>gamepad</t>
        </is>
      </c>
      <c r="G51" s="6" t="inlineStr">
        <is>
          <t>方法A</t>
        </is>
      </c>
      <c r="H51" s="6" t="inlineStr">
        <is>
          <t>EgoAnchor</t>
        </is>
      </c>
      <c r="I51" s="6" t="n">
        <v>1</v>
      </c>
      <c r="J51" s="6" t="n">
        <v>3</v>
      </c>
      <c r="K51" s="6" t="n">
        <v>6</v>
      </c>
      <c r="L51" s="6" t="n">
        <v>7</v>
      </c>
      <c r="M51" s="6" t="n">
        <v>7</v>
      </c>
      <c r="N51" s="6" t="n"/>
      <c r="O51" s="6" t="n">
        <v>4</v>
      </c>
      <c r="P51" s="6" t="n">
        <v>4</v>
      </c>
      <c r="Q51" s="6" t="n">
        <v>6</v>
      </c>
      <c r="R51" s="6" t="n">
        <v>6</v>
      </c>
      <c r="S51" s="6" t="n">
        <v>6</v>
      </c>
      <c r="T51" s="6" t="n">
        <v>7</v>
      </c>
      <c r="U51" s="6" t="n">
        <v>7</v>
      </c>
      <c r="V51" s="6" t="n">
        <v>6</v>
      </c>
      <c r="W51" s="6" t="n">
        <v>4</v>
      </c>
      <c r="X51" s="6" t="n">
        <v>5</v>
      </c>
      <c r="Y51" s="6" t="n"/>
      <c r="Z51" s="6" t="n"/>
      <c r="AA51" s="6" t="n">
        <v>128.4</v>
      </c>
      <c r="AB51" s="6" t="inlineStr">
        <is>
          <t>是</t>
        </is>
      </c>
      <c r="AC51" s="6" t="inlineStr">
        <is>
          <t>是</t>
        </is>
      </c>
      <c r="AD51" s="6" t="inlineStr">
        <is>
          <t>是</t>
        </is>
      </c>
      <c r="AE51" s="6" t="inlineStr">
        <is>
          <t>无</t>
        </is>
      </c>
      <c r="AF51" s="6" t="n">
        <v>9.039999999999999</v>
      </c>
      <c r="AG51" s="6" t="n">
        <v>0.9320000000000001</v>
      </c>
      <c r="AH51" s="6" t="n">
        <v>0.918</v>
      </c>
      <c r="AI51" s="6" t="n">
        <v>0.956</v>
      </c>
      <c r="AJ51" s="6" t="n">
        <v>0.757</v>
      </c>
      <c r="AK51" s="6" t="inlineStr">
        <is>
          <t>FrozenUncertain</t>
        </is>
      </c>
      <c r="AL51" s="6" t="inlineStr">
        <is>
          <t>否</t>
        </is>
      </c>
      <c r="AM51" s="6" t="n">
        <v>0</v>
      </c>
      <c r="AN51" s="6" t="n">
        <v>7</v>
      </c>
      <c r="AO51" s="6" t="n"/>
    </row>
    <row r="52">
      <c r="A52" s="6" t="inlineStr">
        <is>
          <t>P008</t>
        </is>
      </c>
      <c r="B52" s="6" t="n">
        <v>6</v>
      </c>
      <c r="C52" s="6" t="inlineStr">
        <is>
          <t>O3-S1-EA</t>
        </is>
      </c>
      <c r="D52" s="6" t="n">
        <v>3</v>
      </c>
      <c r="E52" s="6" t="inlineStr">
        <is>
          <t>游戏手柄</t>
        </is>
      </c>
      <c r="F52" s="6" t="inlineStr">
        <is>
          <t>gamepad</t>
        </is>
      </c>
      <c r="G52" s="6" t="inlineStr">
        <is>
          <t>方法B</t>
        </is>
      </c>
      <c r="H52" s="6" t="inlineStr">
        <is>
          <t>One-Euro</t>
        </is>
      </c>
      <c r="I52" s="6" t="n">
        <v>2</v>
      </c>
      <c r="J52" s="6" t="n">
        <v>3</v>
      </c>
      <c r="K52" s="6" t="n">
        <v>3</v>
      </c>
      <c r="L52" s="6" t="n">
        <v>6</v>
      </c>
      <c r="M52" s="6" t="n">
        <v>6</v>
      </c>
      <c r="N52" s="6" t="n"/>
      <c r="O52" s="6" t="n">
        <v>5</v>
      </c>
      <c r="P52" s="6" t="n">
        <v>3</v>
      </c>
      <c r="Q52" s="6" t="n">
        <v>4</v>
      </c>
      <c r="R52" s="6" t="n">
        <v>5</v>
      </c>
      <c r="S52" s="6" t="n">
        <v>6</v>
      </c>
      <c r="T52" s="6" t="n">
        <v>5</v>
      </c>
      <c r="U52" s="6" t="n">
        <v>7</v>
      </c>
      <c r="V52" s="6" t="n">
        <v>6</v>
      </c>
      <c r="W52" s="6" t="n">
        <v>3</v>
      </c>
      <c r="X52" s="6" t="n">
        <v>4</v>
      </c>
      <c r="Y52" s="6" t="n"/>
      <c r="Z52" s="6" t="n"/>
      <c r="AA52" s="6" t="n">
        <v>135.9</v>
      </c>
      <c r="AB52" s="6" t="inlineStr">
        <is>
          <t>是</t>
        </is>
      </c>
      <c r="AC52" s="6" t="inlineStr">
        <is>
          <t>是</t>
        </is>
      </c>
      <c r="AD52" s="6" t="inlineStr">
        <is>
          <t>是</t>
        </is>
      </c>
      <c r="AE52" s="6" t="inlineStr">
        <is>
          <t>无</t>
        </is>
      </c>
      <c r="AF52" s="6" t="n">
        <v>9.119999999999999</v>
      </c>
      <c r="AG52" s="6" t="n">
        <v>0.873</v>
      </c>
      <c r="AH52" s="6" t="n">
        <v>0.911</v>
      </c>
      <c r="AI52" s="6" t="n">
        <v>0.954</v>
      </c>
      <c r="AJ52" s="6" t="n">
        <v>0.798</v>
      </c>
      <c r="AK52" s="6" t="inlineStr">
        <is>
          <t>FrozenUncertain</t>
        </is>
      </c>
      <c r="AL52" s="6" t="inlineStr">
        <is>
          <t>否</t>
        </is>
      </c>
      <c r="AM52" s="6" t="n">
        <v>0</v>
      </c>
      <c r="AN52" s="6" t="n">
        <v>0</v>
      </c>
      <c r="AO52" s="6" t="n"/>
    </row>
    <row r="53">
      <c r="A53" s="6" t="inlineStr">
        <is>
          <t>P009</t>
        </is>
      </c>
      <c r="B53" s="6" t="n">
        <v>1</v>
      </c>
      <c r="C53" s="6" t="inlineStr">
        <is>
          <t>O2-S2-OE</t>
        </is>
      </c>
      <c r="D53" s="6" t="n">
        <v>1</v>
      </c>
      <c r="E53" s="6" t="inlineStr">
        <is>
          <t>鼠标</t>
        </is>
      </c>
      <c r="F53" s="6" t="inlineStr">
        <is>
          <t>blue_mouse</t>
        </is>
      </c>
      <c r="G53" s="6" t="inlineStr">
        <is>
          <t>方法B</t>
        </is>
      </c>
      <c r="H53" s="6" t="inlineStr">
        <is>
          <t>EgoAnchor</t>
        </is>
      </c>
      <c r="I53" s="6" t="n">
        <v>1</v>
      </c>
      <c r="J53" s="6" t="n">
        <v>1</v>
      </c>
      <c r="K53" s="6" t="n">
        <v>4</v>
      </c>
      <c r="L53" s="6" t="n">
        <v>5</v>
      </c>
      <c r="M53" s="6" t="n">
        <v>5</v>
      </c>
      <c r="N53" s="6" t="n"/>
      <c r="O53" s="6" t="n">
        <v>4</v>
      </c>
      <c r="P53" s="6" t="n">
        <v>6</v>
      </c>
      <c r="Q53" s="6" t="n">
        <v>4</v>
      </c>
      <c r="R53" s="6" t="n">
        <v>4</v>
      </c>
      <c r="S53" s="6" t="n">
        <v>4</v>
      </c>
      <c r="T53" s="6" t="n">
        <v>4</v>
      </c>
      <c r="U53" s="6" t="n">
        <v>5</v>
      </c>
      <c r="V53" s="6" t="n">
        <v>5</v>
      </c>
      <c r="W53" s="6" t="n">
        <v>4</v>
      </c>
      <c r="X53" s="6" t="n">
        <v>3</v>
      </c>
      <c r="Y53" s="6" t="n"/>
      <c r="Z53" s="6" t="n"/>
      <c r="AA53" s="6" t="n">
        <v>142.7</v>
      </c>
      <c r="AB53" s="6" t="inlineStr">
        <is>
          <t>是</t>
        </is>
      </c>
      <c r="AC53" s="6" t="inlineStr">
        <is>
          <t>是</t>
        </is>
      </c>
      <c r="AD53" s="6" t="inlineStr">
        <is>
          <t>是</t>
        </is>
      </c>
      <c r="AE53" s="6" t="inlineStr">
        <is>
          <t>无</t>
        </is>
      </c>
      <c r="AF53" s="6" t="n">
        <v>9.26</v>
      </c>
      <c r="AG53" s="6" t="n">
        <v>0.846</v>
      </c>
      <c r="AH53" s="6" t="n">
        <v>0.9399999999999999</v>
      </c>
      <c r="AI53" s="6" t="n">
        <v>0.972</v>
      </c>
      <c r="AJ53" s="6" t="n">
        <v>0.792</v>
      </c>
      <c r="AK53" s="6" t="inlineStr">
        <is>
          <t>FrozenUncertain</t>
        </is>
      </c>
      <c r="AL53" s="6" t="inlineStr">
        <is>
          <t>否</t>
        </is>
      </c>
      <c r="AM53" s="6" t="n">
        <v>0</v>
      </c>
      <c r="AN53" s="6" t="n">
        <v>3</v>
      </c>
      <c r="AO53" s="6" t="n"/>
    </row>
    <row r="54">
      <c r="A54" s="6" t="inlineStr">
        <is>
          <t>P009</t>
        </is>
      </c>
      <c r="B54" s="6" t="n">
        <v>2</v>
      </c>
      <c r="C54" s="6" t="inlineStr">
        <is>
          <t>O2-S2-OE</t>
        </is>
      </c>
      <c r="D54" s="6" t="n">
        <v>1</v>
      </c>
      <c r="E54" s="6" t="inlineStr">
        <is>
          <t>鼠标</t>
        </is>
      </c>
      <c r="F54" s="6" t="inlineStr">
        <is>
          <t>blue_mouse</t>
        </is>
      </c>
      <c r="G54" s="6" t="inlineStr">
        <is>
          <t>方法A</t>
        </is>
      </c>
      <c r="H54" s="6" t="inlineStr">
        <is>
          <t>One-Euro</t>
        </is>
      </c>
      <c r="I54" s="6" t="n">
        <v>2</v>
      </c>
      <c r="J54" s="6" t="n">
        <v>1</v>
      </c>
      <c r="K54" s="6" t="n">
        <v>4</v>
      </c>
      <c r="L54" s="6" t="n">
        <v>5</v>
      </c>
      <c r="M54" s="6" t="n">
        <v>5</v>
      </c>
      <c r="N54" s="6" t="n"/>
      <c r="O54" s="6" t="n">
        <v>5</v>
      </c>
      <c r="P54" s="6" t="n">
        <v>5</v>
      </c>
      <c r="Q54" s="6" t="n">
        <v>4</v>
      </c>
      <c r="R54" s="6" t="n">
        <v>3</v>
      </c>
      <c r="S54" s="6" t="n">
        <v>6</v>
      </c>
      <c r="T54" s="6" t="n">
        <v>5</v>
      </c>
      <c r="U54" s="6" t="n">
        <v>5</v>
      </c>
      <c r="V54" s="6" t="n">
        <v>5</v>
      </c>
      <c r="W54" s="6" t="n">
        <v>3</v>
      </c>
      <c r="X54" s="6" t="n">
        <v>2</v>
      </c>
      <c r="Y54" s="6" t="n"/>
      <c r="Z54" s="6" t="n"/>
      <c r="AA54" s="6" t="n">
        <v>125.3</v>
      </c>
      <c r="AB54" s="6" t="inlineStr">
        <is>
          <t>是</t>
        </is>
      </c>
      <c r="AC54" s="6" t="inlineStr">
        <is>
          <t>是</t>
        </is>
      </c>
      <c r="AD54" s="6" t="inlineStr">
        <is>
          <t>是</t>
        </is>
      </c>
      <c r="AE54" s="6" t="inlineStr">
        <is>
          <t>无</t>
        </is>
      </c>
      <c r="AF54" s="6" t="n">
        <v>9.6</v>
      </c>
      <c r="AG54" s="6" t="n">
        <v>0.881</v>
      </c>
      <c r="AH54" s="6" t="n">
        <v>0.958</v>
      </c>
      <c r="AI54" s="6" t="n">
        <v>0.9419999999999999</v>
      </c>
      <c r="AJ54" s="6" t="n">
        <v>0.766</v>
      </c>
      <c r="AK54" s="6" t="inlineStr">
        <is>
          <t>FrozenUncertain</t>
        </is>
      </c>
      <c r="AL54" s="6" t="inlineStr">
        <is>
          <t>否</t>
        </is>
      </c>
      <c r="AM54" s="6" t="n">
        <v>0</v>
      </c>
      <c r="AN54" s="6" t="n">
        <v>0</v>
      </c>
      <c r="AO54" s="6" t="n"/>
    </row>
    <row r="55">
      <c r="A55" s="6" t="inlineStr">
        <is>
          <t>P009</t>
        </is>
      </c>
      <c r="B55" s="6" t="n">
        <v>3</v>
      </c>
      <c r="C55" s="6" t="inlineStr">
        <is>
          <t>O2-S2-OE</t>
        </is>
      </c>
      <c r="D55" s="6" t="n">
        <v>2</v>
      </c>
      <c r="E55" s="6" t="inlineStr">
        <is>
          <t>游戏手柄</t>
        </is>
      </c>
      <c r="F55" s="6" t="inlineStr">
        <is>
          <t>gamepad</t>
        </is>
      </c>
      <c r="G55" s="6" t="inlineStr">
        <is>
          <t>方法A</t>
        </is>
      </c>
      <c r="H55" s="6" t="inlineStr">
        <is>
          <t>One-Euro</t>
        </is>
      </c>
      <c r="I55" s="6" t="n">
        <v>1</v>
      </c>
      <c r="J55" s="6" t="n">
        <v>2</v>
      </c>
      <c r="K55" s="6" t="n">
        <v>4</v>
      </c>
      <c r="L55" s="6" t="n">
        <v>5</v>
      </c>
      <c r="M55" s="6" t="n">
        <v>4</v>
      </c>
      <c r="N55" s="6" t="n"/>
      <c r="O55" s="6" t="n">
        <v>4</v>
      </c>
      <c r="P55" s="6" t="n">
        <v>5</v>
      </c>
      <c r="Q55" s="6" t="n">
        <v>4</v>
      </c>
      <c r="R55" s="6" t="n">
        <v>4</v>
      </c>
      <c r="S55" s="6" t="n">
        <v>4</v>
      </c>
      <c r="T55" s="6" t="n">
        <v>4</v>
      </c>
      <c r="U55" s="6" t="n">
        <v>6</v>
      </c>
      <c r="V55" s="6" t="n">
        <v>4</v>
      </c>
      <c r="W55" s="6" t="n">
        <v>4</v>
      </c>
      <c r="X55" s="6" t="n">
        <v>3</v>
      </c>
      <c r="Y55" s="6" t="n"/>
      <c r="Z55" s="6" t="n"/>
      <c r="AA55" s="6" t="n">
        <v>176.4</v>
      </c>
      <c r="AB55" s="6" t="inlineStr">
        <is>
          <t>是</t>
        </is>
      </c>
      <c r="AC55" s="6" t="inlineStr">
        <is>
          <t>是</t>
        </is>
      </c>
      <c r="AD55" s="6" t="inlineStr">
        <is>
          <t>是</t>
        </is>
      </c>
      <c r="AE55" s="6" t="inlineStr">
        <is>
          <t>无</t>
        </is>
      </c>
      <c r="AF55" s="6" t="n">
        <v>9.880000000000001</v>
      </c>
      <c r="AG55" s="6" t="n">
        <v>0.886</v>
      </c>
      <c r="AH55" s="6" t="n">
        <v>0.9330000000000001</v>
      </c>
      <c r="AI55" s="6" t="n">
        <v>0.928</v>
      </c>
      <c r="AJ55" s="6" t="n">
        <v>0.732</v>
      </c>
      <c r="AK55" s="6" t="inlineStr">
        <is>
          <t>FrozenUncertain</t>
        </is>
      </c>
      <c r="AL55" s="6" t="inlineStr">
        <is>
          <t>否</t>
        </is>
      </c>
      <c r="AM55" s="6" t="n">
        <v>0</v>
      </c>
      <c r="AN55" s="6" t="n">
        <v>0</v>
      </c>
      <c r="AO55" s="6" t="n"/>
    </row>
    <row r="56">
      <c r="A56" s="6" t="inlineStr">
        <is>
          <t>P009</t>
        </is>
      </c>
      <c r="B56" s="6" t="n">
        <v>4</v>
      </c>
      <c r="C56" s="6" t="inlineStr">
        <is>
          <t>O2-S2-OE</t>
        </is>
      </c>
      <c r="D56" s="6" t="n">
        <v>2</v>
      </c>
      <c r="E56" s="6" t="inlineStr">
        <is>
          <t>游戏手柄</t>
        </is>
      </c>
      <c r="F56" s="6" t="inlineStr">
        <is>
          <t>gamepad</t>
        </is>
      </c>
      <c r="G56" s="6" t="inlineStr">
        <is>
          <t>方法B</t>
        </is>
      </c>
      <c r="H56" s="6" t="inlineStr">
        <is>
          <t>EgoAnchor</t>
        </is>
      </c>
      <c r="I56" s="6" t="n">
        <v>2</v>
      </c>
      <c r="J56" s="6" t="n">
        <v>2</v>
      </c>
      <c r="K56" s="6" t="n">
        <v>5</v>
      </c>
      <c r="L56" s="6" t="n">
        <v>5</v>
      </c>
      <c r="M56" s="6" t="n">
        <v>5</v>
      </c>
      <c r="N56" s="6" t="n"/>
      <c r="O56" s="6" t="n">
        <v>4</v>
      </c>
      <c r="P56" s="6" t="n">
        <v>6</v>
      </c>
      <c r="Q56" s="6" t="n">
        <v>4</v>
      </c>
      <c r="R56" s="6" t="n">
        <v>5</v>
      </c>
      <c r="S56" s="6" t="n">
        <v>4</v>
      </c>
      <c r="T56" s="6" t="n">
        <v>5</v>
      </c>
      <c r="U56" s="6" t="n">
        <v>5</v>
      </c>
      <c r="V56" s="6" t="n">
        <v>5</v>
      </c>
      <c r="W56" s="6" t="n">
        <v>4</v>
      </c>
      <c r="X56" s="6" t="n">
        <v>4</v>
      </c>
      <c r="Y56" s="6" t="n"/>
      <c r="Z56" s="6" t="n"/>
      <c r="AA56" s="6" t="n">
        <v>154.1</v>
      </c>
      <c r="AB56" s="6" t="inlineStr">
        <is>
          <t>是</t>
        </is>
      </c>
      <c r="AC56" s="6" t="inlineStr">
        <is>
          <t>是</t>
        </is>
      </c>
      <c r="AD56" s="6" t="inlineStr">
        <is>
          <t>是</t>
        </is>
      </c>
      <c r="AE56" s="6" t="inlineStr">
        <is>
          <t>无</t>
        </is>
      </c>
      <c r="AF56" s="6" t="n">
        <v>9.76</v>
      </c>
      <c r="AG56" s="6" t="n">
        <v>0.899</v>
      </c>
      <c r="AH56" s="6" t="n">
        <v>0.894</v>
      </c>
      <c r="AI56" s="6" t="n">
        <v>0.953</v>
      </c>
      <c r="AJ56" s="6" t="n">
        <v>0.714</v>
      </c>
      <c r="AK56" s="6" t="inlineStr">
        <is>
          <t>FrozenUncertain</t>
        </is>
      </c>
      <c r="AL56" s="6" t="inlineStr">
        <is>
          <t>否</t>
        </is>
      </c>
      <c r="AM56" s="6" t="n">
        <v>0</v>
      </c>
      <c r="AN56" s="6" t="n">
        <v>7</v>
      </c>
      <c r="AO56" s="6" t="n"/>
    </row>
    <row r="57">
      <c r="A57" s="6" t="inlineStr">
        <is>
          <t>P009</t>
        </is>
      </c>
      <c r="B57" s="6" t="n">
        <v>5</v>
      </c>
      <c r="C57" s="6" t="inlineStr">
        <is>
          <t>O2-S2-OE</t>
        </is>
      </c>
      <c r="D57" s="6" t="n">
        <v>3</v>
      </c>
      <c r="E57" s="6" t="inlineStr">
        <is>
          <t>固定订书机</t>
        </is>
      </c>
      <c r="F57" s="6" t="inlineStr">
        <is>
          <t>stapler</t>
        </is>
      </c>
      <c r="G57" s="6" t="inlineStr">
        <is>
          <t>方法B</t>
        </is>
      </c>
      <c r="H57" s="6" t="inlineStr">
        <is>
          <t>EgoAnchor</t>
        </is>
      </c>
      <c r="I57" s="6" t="n">
        <v>1</v>
      </c>
      <c r="J57" s="6" t="n">
        <v>3</v>
      </c>
      <c r="K57" s="6" t="n">
        <v>5</v>
      </c>
      <c r="L57" s="6" t="n">
        <v>6</v>
      </c>
      <c r="M57" s="6" t="n">
        <v>6</v>
      </c>
      <c r="N57" s="6" t="n"/>
      <c r="O57" s="6" t="n">
        <v>5</v>
      </c>
      <c r="P57" s="6" t="n">
        <v>5</v>
      </c>
      <c r="Q57" s="6" t="n">
        <v>4</v>
      </c>
      <c r="R57" s="6" t="n">
        <v>4</v>
      </c>
      <c r="S57" s="6" t="n">
        <v>5</v>
      </c>
      <c r="T57" s="6" t="n">
        <v>5</v>
      </c>
      <c r="U57" s="6" t="n">
        <v>6</v>
      </c>
      <c r="V57" s="6" t="n">
        <v>6</v>
      </c>
      <c r="W57" s="6" t="n">
        <v>4</v>
      </c>
      <c r="X57" s="6" t="n">
        <v>3</v>
      </c>
      <c r="Y57" s="6" t="n"/>
      <c r="Z57" s="6" t="n"/>
      <c r="AA57" s="6" t="n">
        <v>164.4</v>
      </c>
      <c r="AB57" s="6" t="inlineStr">
        <is>
          <t>是</t>
        </is>
      </c>
      <c r="AC57" s="6" t="inlineStr">
        <is>
          <t>是</t>
        </is>
      </c>
      <c r="AD57" s="6" t="inlineStr">
        <is>
          <t>是</t>
        </is>
      </c>
      <c r="AE57" s="6" t="inlineStr">
        <is>
          <t>无</t>
        </is>
      </c>
      <c r="AF57" s="6" t="n">
        <v>9.77</v>
      </c>
      <c r="AG57" s="6" t="n">
        <v>0.913</v>
      </c>
      <c r="AH57" s="6" t="n">
        <v>0.898</v>
      </c>
      <c r="AI57" s="6" t="n">
        <v>0.954</v>
      </c>
      <c r="AJ57" s="6" t="n">
        <v>0.727</v>
      </c>
      <c r="AK57" s="6" t="inlineStr">
        <is>
          <t>FrozenUncertain</t>
        </is>
      </c>
      <c r="AL57" s="6" t="inlineStr">
        <is>
          <t>否</t>
        </is>
      </c>
      <c r="AM57" s="6" t="n">
        <v>0</v>
      </c>
      <c r="AN57" s="6" t="n">
        <v>3</v>
      </c>
      <c r="AO57" s="6" t="n"/>
    </row>
    <row r="58">
      <c r="A58" s="6" t="inlineStr">
        <is>
          <t>P009</t>
        </is>
      </c>
      <c r="B58" s="6" t="n">
        <v>6</v>
      </c>
      <c r="C58" s="6" t="inlineStr">
        <is>
          <t>O2-S2-OE</t>
        </is>
      </c>
      <c r="D58" s="6" t="n">
        <v>3</v>
      </c>
      <c r="E58" s="6" t="inlineStr">
        <is>
          <t>固定订书机</t>
        </is>
      </c>
      <c r="F58" s="6" t="inlineStr">
        <is>
          <t>stapler</t>
        </is>
      </c>
      <c r="G58" s="6" t="inlineStr">
        <is>
          <t>方法A</t>
        </is>
      </c>
      <c r="H58" s="6" t="inlineStr">
        <is>
          <t>One-Euro</t>
        </is>
      </c>
      <c r="I58" s="6" t="n">
        <v>2</v>
      </c>
      <c r="J58" s="6" t="n">
        <v>3</v>
      </c>
      <c r="K58" s="6" t="n">
        <v>4</v>
      </c>
      <c r="L58" s="6" t="n">
        <v>5</v>
      </c>
      <c r="M58" s="6" t="n">
        <v>5</v>
      </c>
      <c r="N58" s="6" t="n"/>
      <c r="O58" s="6" t="n">
        <v>4</v>
      </c>
      <c r="P58" s="6" t="n">
        <v>5</v>
      </c>
      <c r="Q58" s="6" t="n">
        <v>4</v>
      </c>
      <c r="R58" s="6" t="n">
        <v>3</v>
      </c>
      <c r="S58" s="6" t="n">
        <v>5</v>
      </c>
      <c r="T58" s="6" t="n">
        <v>5</v>
      </c>
      <c r="U58" s="6" t="n">
        <v>5</v>
      </c>
      <c r="V58" s="6" t="n">
        <v>6</v>
      </c>
      <c r="W58" s="6" t="n">
        <v>3</v>
      </c>
      <c r="X58" s="6" t="n">
        <v>2</v>
      </c>
      <c r="Y58" s="6" t="n"/>
      <c r="Z58" s="6" t="n"/>
      <c r="AA58" s="6" t="n">
        <v>172</v>
      </c>
      <c r="AB58" s="6" t="inlineStr">
        <is>
          <t>是</t>
        </is>
      </c>
      <c r="AC58" s="6" t="inlineStr">
        <is>
          <t>是</t>
        </is>
      </c>
      <c r="AD58" s="6" t="inlineStr">
        <is>
          <t>是</t>
        </is>
      </c>
      <c r="AE58" s="6" t="inlineStr">
        <is>
          <t>无</t>
        </is>
      </c>
      <c r="AF58" s="6" t="n">
        <v>10.18</v>
      </c>
      <c r="AG58" s="6" t="n">
        <v>0.895</v>
      </c>
      <c r="AH58" s="6" t="n">
        <v>0.962</v>
      </c>
      <c r="AI58" s="6" t="n">
        <v>0.98</v>
      </c>
      <c r="AJ58" s="6" t="n">
        <v>0.797</v>
      </c>
      <c r="AK58" s="6" t="inlineStr">
        <is>
          <t>FrozenUncertain</t>
        </is>
      </c>
      <c r="AL58" s="6" t="inlineStr">
        <is>
          <t>否</t>
        </is>
      </c>
      <c r="AM58" s="6" t="n">
        <v>0</v>
      </c>
      <c r="AN58" s="6" t="n">
        <v>0</v>
      </c>
      <c r="AO58" s="6" t="n"/>
    </row>
    <row r="59">
      <c r="A59" s="6" t="inlineStr">
        <is>
          <t>P010</t>
        </is>
      </c>
      <c r="B59" s="6" t="n">
        <v>1</v>
      </c>
      <c r="C59" s="6" t="inlineStr">
        <is>
          <t>O5-S2-EA</t>
        </is>
      </c>
      <c r="D59" s="6" t="n">
        <v>1</v>
      </c>
      <c r="E59" s="6" t="inlineStr">
        <is>
          <t>游戏手柄</t>
        </is>
      </c>
      <c r="F59" s="6" t="inlineStr">
        <is>
          <t>gamepad</t>
        </is>
      </c>
      <c r="G59" s="6" t="inlineStr">
        <is>
          <t>方法B</t>
        </is>
      </c>
      <c r="H59" s="6" t="inlineStr">
        <is>
          <t>One-Euro</t>
        </is>
      </c>
      <c r="I59" s="6" t="n">
        <v>1</v>
      </c>
      <c r="J59" s="6" t="n">
        <v>1</v>
      </c>
      <c r="K59" s="6" t="n">
        <v>5</v>
      </c>
      <c r="L59" s="6" t="n">
        <v>4</v>
      </c>
      <c r="M59" s="6" t="n">
        <v>6</v>
      </c>
      <c r="N59" s="6" t="n"/>
      <c r="O59" s="6" t="n">
        <v>6</v>
      </c>
      <c r="P59" s="6" t="n">
        <v>5</v>
      </c>
      <c r="Q59" s="6" t="n">
        <v>4</v>
      </c>
      <c r="R59" s="6" t="n">
        <v>4</v>
      </c>
      <c r="S59" s="6" t="n">
        <v>6</v>
      </c>
      <c r="T59" s="6" t="n">
        <v>5</v>
      </c>
      <c r="U59" s="6" t="n">
        <v>6</v>
      </c>
      <c r="V59" s="6" t="n">
        <v>5</v>
      </c>
      <c r="W59" s="6" t="n">
        <v>4</v>
      </c>
      <c r="X59" s="6" t="n">
        <v>4</v>
      </c>
      <c r="Y59" s="6" t="n"/>
      <c r="Z59" s="6" t="n"/>
      <c r="AA59" s="6" t="n">
        <v>140</v>
      </c>
      <c r="AB59" s="6" t="inlineStr">
        <is>
          <t>是</t>
        </is>
      </c>
      <c r="AC59" s="6" t="inlineStr">
        <is>
          <t>是</t>
        </is>
      </c>
      <c r="AD59" s="6" t="inlineStr">
        <is>
          <t>是</t>
        </is>
      </c>
      <c r="AE59" s="6" t="inlineStr">
        <is>
          <t>无</t>
        </is>
      </c>
      <c r="AF59" s="6" t="n">
        <v>9.859999999999999</v>
      </c>
      <c r="AG59" s="6" t="n">
        <v>0.895</v>
      </c>
      <c r="AH59" s="6" t="n">
        <v>0.9</v>
      </c>
      <c r="AI59" s="6" t="n">
        <v>0.961</v>
      </c>
      <c r="AJ59" s="6" t="n">
        <v>0.766</v>
      </c>
      <c r="AK59" s="6" t="inlineStr">
        <is>
          <t>FrozenUncertain</t>
        </is>
      </c>
      <c r="AL59" s="6" t="inlineStr">
        <is>
          <t>否</t>
        </is>
      </c>
      <c r="AM59" s="6" t="n">
        <v>0</v>
      </c>
      <c r="AN59" s="6" t="n">
        <v>0</v>
      </c>
      <c r="AO59" s="6" t="n"/>
    </row>
    <row r="60">
      <c r="A60" s="6" t="inlineStr">
        <is>
          <t>P010</t>
        </is>
      </c>
      <c r="B60" s="6" t="n">
        <v>2</v>
      </c>
      <c r="C60" s="6" t="inlineStr">
        <is>
          <t>O5-S2-EA</t>
        </is>
      </c>
      <c r="D60" s="6" t="n">
        <v>1</v>
      </c>
      <c r="E60" s="6" t="inlineStr">
        <is>
          <t>游戏手柄</t>
        </is>
      </c>
      <c r="F60" s="6" t="inlineStr">
        <is>
          <t>gamepad</t>
        </is>
      </c>
      <c r="G60" s="6" t="inlineStr">
        <is>
          <t>方法A</t>
        </is>
      </c>
      <c r="H60" s="6" t="inlineStr">
        <is>
          <t>EgoAnchor</t>
        </is>
      </c>
      <c r="I60" s="6" t="n">
        <v>2</v>
      </c>
      <c r="J60" s="6" t="n">
        <v>1</v>
      </c>
      <c r="K60" s="6" t="n">
        <v>3</v>
      </c>
      <c r="L60" s="6" t="n">
        <v>3</v>
      </c>
      <c r="M60" s="6" t="n">
        <v>4</v>
      </c>
      <c r="N60" s="6" t="n"/>
      <c r="O60" s="6" t="n">
        <v>5</v>
      </c>
      <c r="P60" s="6" t="n">
        <v>4</v>
      </c>
      <c r="Q60" s="6" t="n">
        <v>4</v>
      </c>
      <c r="R60" s="6" t="n">
        <v>3</v>
      </c>
      <c r="S60" s="6" t="n">
        <v>5</v>
      </c>
      <c r="T60" s="6" t="n">
        <v>4</v>
      </c>
      <c r="U60" s="6" t="n">
        <v>6</v>
      </c>
      <c r="V60" s="6" t="n">
        <v>6</v>
      </c>
      <c r="W60" s="6" t="n">
        <v>3</v>
      </c>
      <c r="X60" s="6" t="n">
        <v>4</v>
      </c>
      <c r="Y60" s="6" t="n"/>
      <c r="Z60" s="6" t="n"/>
      <c r="AA60" s="6" t="n">
        <v>168.8</v>
      </c>
      <c r="AB60" s="6" t="inlineStr">
        <is>
          <t>是</t>
        </is>
      </c>
      <c r="AC60" s="6" t="inlineStr">
        <is>
          <t>是</t>
        </is>
      </c>
      <c r="AD60" s="6" t="inlineStr">
        <is>
          <t>是</t>
        </is>
      </c>
      <c r="AE60" s="6" t="inlineStr">
        <is>
          <t>无</t>
        </is>
      </c>
      <c r="AF60" s="6" t="n">
        <v>9.460000000000001</v>
      </c>
      <c r="AG60" s="6" t="n">
        <v>0.888</v>
      </c>
      <c r="AH60" s="6" t="n">
        <v>0.93</v>
      </c>
      <c r="AI60" s="6" t="n">
        <v>0.949</v>
      </c>
      <c r="AJ60" s="6" t="n">
        <v>0.745</v>
      </c>
      <c r="AK60" s="6" t="inlineStr">
        <is>
          <t>FrozenUncertain</t>
        </is>
      </c>
      <c r="AL60" s="6" t="inlineStr">
        <is>
          <t>否</t>
        </is>
      </c>
      <c r="AM60" s="6" t="n">
        <v>0</v>
      </c>
      <c r="AN60" s="6" t="n">
        <v>8</v>
      </c>
      <c r="AO60" s="6" t="n"/>
    </row>
    <row r="61">
      <c r="A61" s="6" t="inlineStr">
        <is>
          <t>P010</t>
        </is>
      </c>
      <c r="B61" s="6" t="n">
        <v>3</v>
      </c>
      <c r="C61" s="6" t="inlineStr">
        <is>
          <t>O5-S2-EA</t>
        </is>
      </c>
      <c r="D61" s="6" t="n">
        <v>2</v>
      </c>
      <c r="E61" s="6" t="inlineStr">
        <is>
          <t>鼠标</t>
        </is>
      </c>
      <c r="F61" s="6" t="inlineStr">
        <is>
          <t>blue_mouse</t>
        </is>
      </c>
      <c r="G61" s="6" t="inlineStr">
        <is>
          <t>方法A</t>
        </is>
      </c>
      <c r="H61" s="6" t="inlineStr">
        <is>
          <t>EgoAnchor</t>
        </is>
      </c>
      <c r="I61" s="6" t="n">
        <v>1</v>
      </c>
      <c r="J61" s="6" t="n">
        <v>2</v>
      </c>
      <c r="K61" s="6" t="n">
        <v>4</v>
      </c>
      <c r="L61" s="6" t="n">
        <v>4</v>
      </c>
      <c r="M61" s="6" t="n">
        <v>5</v>
      </c>
      <c r="N61" s="6" t="n"/>
      <c r="O61" s="6" t="n">
        <v>6</v>
      </c>
      <c r="P61" s="6" t="n">
        <v>4</v>
      </c>
      <c r="Q61" s="6" t="n">
        <v>5</v>
      </c>
      <c r="R61" s="6" t="n">
        <v>4</v>
      </c>
      <c r="S61" s="6" t="n">
        <v>5</v>
      </c>
      <c r="T61" s="6" t="n">
        <v>4</v>
      </c>
      <c r="U61" s="6" t="n">
        <v>6</v>
      </c>
      <c r="V61" s="6" t="n">
        <v>5</v>
      </c>
      <c r="W61" s="6" t="n">
        <v>4</v>
      </c>
      <c r="X61" s="6" t="n">
        <v>4</v>
      </c>
      <c r="Y61" s="6" t="n"/>
      <c r="Z61" s="6" t="n"/>
      <c r="AA61" s="6" t="n">
        <v>139.7</v>
      </c>
      <c r="AB61" s="6" t="inlineStr">
        <is>
          <t>是</t>
        </is>
      </c>
      <c r="AC61" s="6" t="inlineStr">
        <is>
          <t>是</t>
        </is>
      </c>
      <c r="AD61" s="6" t="inlineStr">
        <is>
          <t>是</t>
        </is>
      </c>
      <c r="AE61" s="6" t="inlineStr">
        <is>
          <t>无</t>
        </is>
      </c>
      <c r="AF61" s="6" t="n">
        <v>9.24</v>
      </c>
      <c r="AG61" s="6" t="n">
        <v>0.889</v>
      </c>
      <c r="AH61" s="6" t="n">
        <v>0.914</v>
      </c>
      <c r="AI61" s="6" t="n">
        <v>0.969</v>
      </c>
      <c r="AJ61" s="6" t="n">
        <v>0.754</v>
      </c>
      <c r="AK61" s="6" t="inlineStr">
        <is>
          <t>FrozenUncertain</t>
        </is>
      </c>
      <c r="AL61" s="6" t="inlineStr">
        <is>
          <t>否</t>
        </is>
      </c>
      <c r="AM61" s="6" t="n">
        <v>0</v>
      </c>
      <c r="AN61" s="6" t="n">
        <v>5</v>
      </c>
      <c r="AO61" s="6" t="n"/>
    </row>
    <row r="62">
      <c r="A62" s="6" t="inlineStr">
        <is>
          <t>P010</t>
        </is>
      </c>
      <c r="B62" s="6" t="n">
        <v>4</v>
      </c>
      <c r="C62" s="6" t="inlineStr">
        <is>
          <t>O5-S2-EA</t>
        </is>
      </c>
      <c r="D62" s="6" t="n">
        <v>2</v>
      </c>
      <c r="E62" s="6" t="inlineStr">
        <is>
          <t>鼠标</t>
        </is>
      </c>
      <c r="F62" s="6" t="inlineStr">
        <is>
          <t>blue_mouse</t>
        </is>
      </c>
      <c r="G62" s="6" t="inlineStr">
        <is>
          <t>方法B</t>
        </is>
      </c>
      <c r="H62" s="6" t="inlineStr">
        <is>
          <t>One-Euro</t>
        </is>
      </c>
      <c r="I62" s="6" t="n">
        <v>2</v>
      </c>
      <c r="J62" s="6" t="n">
        <v>2</v>
      </c>
      <c r="K62" s="6" t="n">
        <v>4</v>
      </c>
      <c r="L62" s="6" t="n">
        <v>3</v>
      </c>
      <c r="M62" s="6" t="n">
        <v>4</v>
      </c>
      <c r="N62" s="6" t="n"/>
      <c r="O62" s="6" t="n">
        <v>5</v>
      </c>
      <c r="P62" s="6" t="n">
        <v>4</v>
      </c>
      <c r="Q62" s="6" t="n">
        <v>4</v>
      </c>
      <c r="R62" s="6" t="n">
        <v>4</v>
      </c>
      <c r="S62" s="6" t="n">
        <v>4</v>
      </c>
      <c r="T62" s="6" t="n">
        <v>3</v>
      </c>
      <c r="U62" s="6" t="n">
        <v>7</v>
      </c>
      <c r="V62" s="6" t="n">
        <v>4</v>
      </c>
      <c r="W62" s="6" t="n">
        <v>3</v>
      </c>
      <c r="X62" s="6" t="n">
        <v>4</v>
      </c>
      <c r="Y62" s="6" t="n"/>
      <c r="Z62" s="6" t="n"/>
      <c r="AA62" s="6" t="n">
        <v>159.4</v>
      </c>
      <c r="AB62" s="6" t="inlineStr">
        <is>
          <t>是</t>
        </is>
      </c>
      <c r="AC62" s="6" t="inlineStr">
        <is>
          <t>是</t>
        </is>
      </c>
      <c r="AD62" s="6" t="inlineStr">
        <is>
          <t>是</t>
        </is>
      </c>
      <c r="AE62" s="6" t="inlineStr">
        <is>
          <t>无</t>
        </is>
      </c>
      <c r="AF62" s="6" t="n">
        <v>9.49</v>
      </c>
      <c r="AG62" s="6" t="n">
        <v>0.881</v>
      </c>
      <c r="AH62" s="6" t="n">
        <v>0.898</v>
      </c>
      <c r="AI62" s="6" t="n">
        <v>0.975</v>
      </c>
      <c r="AJ62" s="6" t="n">
        <v>0.714</v>
      </c>
      <c r="AK62" s="6" t="inlineStr">
        <is>
          <t>FrozenUncertain</t>
        </is>
      </c>
      <c r="AL62" s="6" t="inlineStr">
        <is>
          <t>否</t>
        </is>
      </c>
      <c r="AM62" s="6" t="n">
        <v>0</v>
      </c>
      <c r="AN62" s="6" t="n">
        <v>0</v>
      </c>
      <c r="AO62" s="6" t="n"/>
    </row>
    <row r="63">
      <c r="A63" s="6" t="inlineStr">
        <is>
          <t>P010</t>
        </is>
      </c>
      <c r="B63" s="6" t="n">
        <v>5</v>
      </c>
      <c r="C63" s="6" t="inlineStr">
        <is>
          <t>O5-S2-EA</t>
        </is>
      </c>
      <c r="D63" s="6" t="n">
        <v>3</v>
      </c>
      <c r="E63" s="6" t="inlineStr">
        <is>
          <t>固定订书机</t>
        </is>
      </c>
      <c r="F63" s="6" t="inlineStr">
        <is>
          <t>stapler</t>
        </is>
      </c>
      <c r="G63" s="6" t="inlineStr">
        <is>
          <t>方法B</t>
        </is>
      </c>
      <c r="H63" s="6" t="inlineStr">
        <is>
          <t>One-Euro</t>
        </is>
      </c>
      <c r="I63" s="6" t="n">
        <v>1</v>
      </c>
      <c r="J63" s="6" t="n">
        <v>3</v>
      </c>
      <c r="K63" s="6" t="n">
        <v>4</v>
      </c>
      <c r="L63" s="6" t="n">
        <v>4</v>
      </c>
      <c r="M63" s="6" t="n">
        <v>5</v>
      </c>
      <c r="N63" s="6" t="n"/>
      <c r="O63" s="6" t="n">
        <v>5</v>
      </c>
      <c r="P63" s="6" t="n">
        <v>4</v>
      </c>
      <c r="Q63" s="6" t="n">
        <v>4</v>
      </c>
      <c r="R63" s="6" t="n">
        <v>3</v>
      </c>
      <c r="S63" s="6" t="n">
        <v>5</v>
      </c>
      <c r="T63" s="6" t="n">
        <v>4</v>
      </c>
      <c r="U63" s="6" t="n">
        <v>5</v>
      </c>
      <c r="V63" s="6" t="n">
        <v>5</v>
      </c>
      <c r="W63" s="6" t="n">
        <v>3</v>
      </c>
      <c r="X63" s="6" t="n">
        <v>4</v>
      </c>
      <c r="Y63" s="6" t="n"/>
      <c r="Z63" s="6" t="n"/>
      <c r="AA63" s="6" t="n">
        <v>169.9</v>
      </c>
      <c r="AB63" s="6" t="inlineStr">
        <is>
          <t>是</t>
        </is>
      </c>
      <c r="AC63" s="6" t="inlineStr">
        <is>
          <t>是</t>
        </is>
      </c>
      <c r="AD63" s="6" t="inlineStr">
        <is>
          <t>是</t>
        </is>
      </c>
      <c r="AE63" s="6" t="inlineStr">
        <is>
          <t>无</t>
        </is>
      </c>
      <c r="AF63" s="6" t="n">
        <v>9.34</v>
      </c>
      <c r="AG63" s="6" t="n">
        <v>0.901</v>
      </c>
      <c r="AH63" s="6" t="n">
        <v>0.9320000000000001</v>
      </c>
      <c r="AI63" s="6" t="n">
        <v>0.9419999999999999</v>
      </c>
      <c r="AJ63" s="6" t="n">
        <v>0.744</v>
      </c>
      <c r="AK63" s="6" t="inlineStr">
        <is>
          <t>FrozenUncertain</t>
        </is>
      </c>
      <c r="AL63" s="6" t="inlineStr">
        <is>
          <t>否</t>
        </is>
      </c>
      <c r="AM63" s="6" t="n">
        <v>0</v>
      </c>
      <c r="AN63" s="6" t="n">
        <v>0</v>
      </c>
      <c r="AO63" s="6" t="n"/>
    </row>
    <row r="64">
      <c r="A64" s="6" t="inlineStr">
        <is>
          <t>P010</t>
        </is>
      </c>
      <c r="B64" s="6" t="n">
        <v>6</v>
      </c>
      <c r="C64" s="6" t="inlineStr">
        <is>
          <t>O5-S2-EA</t>
        </is>
      </c>
      <c r="D64" s="6" t="n">
        <v>3</v>
      </c>
      <c r="E64" s="6" t="inlineStr">
        <is>
          <t>固定订书机</t>
        </is>
      </c>
      <c r="F64" s="6" t="inlineStr">
        <is>
          <t>stapler</t>
        </is>
      </c>
      <c r="G64" s="6" t="inlineStr">
        <is>
          <t>方法A</t>
        </is>
      </c>
      <c r="H64" s="6" t="inlineStr">
        <is>
          <t>EgoAnchor</t>
        </is>
      </c>
      <c r="I64" s="6" t="n">
        <v>2</v>
      </c>
      <c r="J64" s="6" t="n">
        <v>3</v>
      </c>
      <c r="K64" s="6" t="n">
        <v>3</v>
      </c>
      <c r="L64" s="6" t="n">
        <v>4</v>
      </c>
      <c r="M64" s="6" t="n">
        <v>5</v>
      </c>
      <c r="N64" s="6" t="n"/>
      <c r="O64" s="6" t="n">
        <v>5</v>
      </c>
      <c r="P64" s="6" t="n">
        <v>4</v>
      </c>
      <c r="Q64" s="6" t="n">
        <v>4</v>
      </c>
      <c r="R64" s="6" t="n">
        <v>4</v>
      </c>
      <c r="S64" s="6" t="n">
        <v>4</v>
      </c>
      <c r="T64" s="6" t="n">
        <v>4</v>
      </c>
      <c r="U64" s="6" t="n">
        <v>6</v>
      </c>
      <c r="V64" s="6" t="n">
        <v>4</v>
      </c>
      <c r="W64" s="6" t="n">
        <v>3</v>
      </c>
      <c r="X64" s="6" t="n">
        <v>4</v>
      </c>
      <c r="Y64" s="6" t="n"/>
      <c r="Z64" s="6" t="n"/>
      <c r="AA64" s="6" t="n">
        <v>209</v>
      </c>
      <c r="AB64" s="6" t="inlineStr">
        <is>
          <t>是</t>
        </is>
      </c>
      <c r="AC64" s="6" t="inlineStr">
        <is>
          <t>是</t>
        </is>
      </c>
      <c r="AD64" s="6" t="inlineStr">
        <is>
          <t>是</t>
        </is>
      </c>
      <c r="AE64" s="6" t="inlineStr">
        <is>
          <t>无</t>
        </is>
      </c>
      <c r="AF64" s="6" t="n">
        <v>9.35</v>
      </c>
      <c r="AG64" s="6" t="n">
        <v>0.967</v>
      </c>
      <c r="AH64" s="6" t="n">
        <v>0.924</v>
      </c>
      <c r="AI64" s="6" t="n">
        <v>0.956</v>
      </c>
      <c r="AJ64" s="6" t="n">
        <v>0.737</v>
      </c>
      <c r="AK64" s="6" t="inlineStr">
        <is>
          <t>FrozenUncertain</t>
        </is>
      </c>
      <c r="AL64" s="6" t="inlineStr">
        <is>
          <t>否</t>
        </is>
      </c>
      <c r="AM64" s="6" t="n">
        <v>0</v>
      </c>
      <c r="AN64" s="6" t="n">
        <v>3</v>
      </c>
      <c r="AO64" s="6" t="n"/>
    </row>
    <row r="65">
      <c r="A65" s="6" t="inlineStr">
        <is>
          <t>P011</t>
        </is>
      </c>
      <c r="B65" s="6" t="n">
        <v>1</v>
      </c>
      <c r="C65" s="6" t="inlineStr">
        <is>
          <t>O1-S1-OE</t>
        </is>
      </c>
      <c r="D65" s="6" t="n">
        <v>1</v>
      </c>
      <c r="E65" s="6" t="inlineStr">
        <is>
          <t>鼠标</t>
        </is>
      </c>
      <c r="F65" s="6" t="inlineStr">
        <is>
          <t>blue_mouse</t>
        </is>
      </c>
      <c r="G65" s="6" t="inlineStr">
        <is>
          <t>方法A</t>
        </is>
      </c>
      <c r="H65" s="6" t="inlineStr">
        <is>
          <t>One-Euro</t>
        </is>
      </c>
      <c r="I65" s="6" t="n">
        <v>1</v>
      </c>
      <c r="J65" s="6" t="n">
        <v>1</v>
      </c>
      <c r="K65" s="6" t="n">
        <v>3</v>
      </c>
      <c r="L65" s="6" t="n">
        <v>5</v>
      </c>
      <c r="M65" s="6" t="n">
        <v>4</v>
      </c>
      <c r="N65" s="6" t="n"/>
      <c r="O65" s="6" t="n">
        <v>3</v>
      </c>
      <c r="P65" s="6" t="n">
        <v>3</v>
      </c>
      <c r="Q65" s="6" t="n">
        <v>4</v>
      </c>
      <c r="R65" s="6" t="n">
        <v>2</v>
      </c>
      <c r="S65" s="6" t="n">
        <v>3</v>
      </c>
      <c r="T65" s="6" t="n">
        <v>4</v>
      </c>
      <c r="U65" s="6" t="n">
        <v>6</v>
      </c>
      <c r="V65" s="6" t="n">
        <v>5</v>
      </c>
      <c r="W65" s="6" t="n">
        <v>3</v>
      </c>
      <c r="X65" s="6" t="n">
        <v>4</v>
      </c>
      <c r="Y65" s="6" t="n"/>
      <c r="Z65" s="6" t="n"/>
      <c r="AA65" s="6" t="n">
        <v>101.7</v>
      </c>
      <c r="AB65" s="6" t="inlineStr">
        <is>
          <t>是</t>
        </is>
      </c>
      <c r="AC65" s="6" t="inlineStr">
        <is>
          <t>是</t>
        </is>
      </c>
      <c r="AD65" s="6" t="inlineStr">
        <is>
          <t>是</t>
        </is>
      </c>
      <c r="AE65" s="6" t="inlineStr">
        <is>
          <t>无</t>
        </is>
      </c>
      <c r="AF65" s="6" t="n">
        <v>9.19</v>
      </c>
      <c r="AG65" s="6" t="n">
        <v>0.911</v>
      </c>
      <c r="AH65" s="6" t="n">
        <v>0.884</v>
      </c>
      <c r="AI65" s="6" t="n">
        <v>0.962</v>
      </c>
      <c r="AJ65" s="6" t="n">
        <v>0.721</v>
      </c>
      <c r="AK65" s="6" t="inlineStr">
        <is>
          <t>FrozenUncertain</t>
        </is>
      </c>
      <c r="AL65" s="6" t="inlineStr">
        <is>
          <t>否</t>
        </is>
      </c>
      <c r="AM65" s="6" t="n">
        <v>0</v>
      </c>
      <c r="AN65" s="6" t="n">
        <v>0</v>
      </c>
      <c r="AO65" s="6" t="n"/>
    </row>
    <row r="66">
      <c r="A66" s="6" t="inlineStr">
        <is>
          <t>P011</t>
        </is>
      </c>
      <c r="B66" s="6" t="n">
        <v>2</v>
      </c>
      <c r="C66" s="6" t="inlineStr">
        <is>
          <t>O1-S1-OE</t>
        </is>
      </c>
      <c r="D66" s="6" t="n">
        <v>1</v>
      </c>
      <c r="E66" s="6" t="inlineStr">
        <is>
          <t>鼠标</t>
        </is>
      </c>
      <c r="F66" s="6" t="inlineStr">
        <is>
          <t>blue_mouse</t>
        </is>
      </c>
      <c r="G66" s="6" t="inlineStr">
        <is>
          <t>方法B</t>
        </is>
      </c>
      <c r="H66" s="6" t="inlineStr">
        <is>
          <t>EgoAnchor</t>
        </is>
      </c>
      <c r="I66" s="6" t="n">
        <v>2</v>
      </c>
      <c r="J66" s="6" t="n">
        <v>1</v>
      </c>
      <c r="K66" s="6" t="n">
        <v>7</v>
      </c>
      <c r="L66" s="6" t="n">
        <v>5</v>
      </c>
      <c r="M66" s="6" t="n">
        <v>6</v>
      </c>
      <c r="N66" s="6" t="n"/>
      <c r="O66" s="6" t="n">
        <v>4</v>
      </c>
      <c r="P66" s="6" t="n">
        <v>5</v>
      </c>
      <c r="Q66" s="6" t="n">
        <v>4</v>
      </c>
      <c r="R66" s="6" t="n">
        <v>5</v>
      </c>
      <c r="S66" s="6" t="n">
        <v>5</v>
      </c>
      <c r="T66" s="6" t="n">
        <v>5</v>
      </c>
      <c r="U66" s="6" t="n">
        <v>7</v>
      </c>
      <c r="V66" s="6" t="n">
        <v>5</v>
      </c>
      <c r="W66" s="6" t="n">
        <v>5</v>
      </c>
      <c r="X66" s="6" t="n">
        <v>6</v>
      </c>
      <c r="Y66" s="6" t="n"/>
      <c r="Z66" s="6" t="n"/>
      <c r="AA66" s="6" t="n">
        <v>121.1</v>
      </c>
      <c r="AB66" s="6" t="inlineStr">
        <is>
          <t>是</t>
        </is>
      </c>
      <c r="AC66" s="6" t="inlineStr">
        <is>
          <t>是</t>
        </is>
      </c>
      <c r="AD66" s="6" t="inlineStr">
        <is>
          <t>是</t>
        </is>
      </c>
      <c r="AE66" s="6" t="inlineStr">
        <is>
          <t>无</t>
        </is>
      </c>
      <c r="AF66" s="6" t="n">
        <v>9.380000000000001</v>
      </c>
      <c r="AG66" s="6" t="n">
        <v>0.899</v>
      </c>
      <c r="AH66" s="6" t="n">
        <v>0.931</v>
      </c>
      <c r="AI66" s="6" t="n">
        <v>0.959</v>
      </c>
      <c r="AJ66" s="6" t="n">
        <v>0.73</v>
      </c>
      <c r="AK66" s="6" t="inlineStr">
        <is>
          <t>FrozenUncertain</t>
        </is>
      </c>
      <c r="AL66" s="6" t="inlineStr">
        <is>
          <t>否</t>
        </is>
      </c>
      <c r="AM66" s="6" t="n">
        <v>0</v>
      </c>
      <c r="AN66" s="6" t="n">
        <v>7</v>
      </c>
      <c r="AO66" s="6" t="n"/>
    </row>
    <row r="67">
      <c r="A67" s="6" t="inlineStr">
        <is>
          <t>P011</t>
        </is>
      </c>
      <c r="B67" s="6" t="n">
        <v>3</v>
      </c>
      <c r="C67" s="6" t="inlineStr">
        <is>
          <t>O1-S1-OE</t>
        </is>
      </c>
      <c r="D67" s="6" t="n">
        <v>2</v>
      </c>
      <c r="E67" s="6" t="inlineStr">
        <is>
          <t>固定订书机</t>
        </is>
      </c>
      <c r="F67" s="6" t="inlineStr">
        <is>
          <t>stapler</t>
        </is>
      </c>
      <c r="G67" s="6" t="inlineStr">
        <is>
          <t>方法B</t>
        </is>
      </c>
      <c r="H67" s="6" t="inlineStr">
        <is>
          <t>EgoAnchor</t>
        </is>
      </c>
      <c r="I67" s="6" t="n">
        <v>1</v>
      </c>
      <c r="J67" s="6" t="n">
        <v>2</v>
      </c>
      <c r="K67" s="6" t="n">
        <v>7</v>
      </c>
      <c r="L67" s="6" t="n">
        <v>7</v>
      </c>
      <c r="M67" s="6" t="n">
        <v>6</v>
      </c>
      <c r="N67" s="6" t="n"/>
      <c r="O67" s="6" t="n">
        <v>4</v>
      </c>
      <c r="P67" s="6" t="n">
        <v>5</v>
      </c>
      <c r="Q67" s="6" t="n">
        <v>6</v>
      </c>
      <c r="R67" s="6" t="n">
        <v>5</v>
      </c>
      <c r="S67" s="6" t="n">
        <v>5</v>
      </c>
      <c r="T67" s="6" t="n">
        <v>3</v>
      </c>
      <c r="U67" s="6" t="n">
        <v>6</v>
      </c>
      <c r="V67" s="6" t="n">
        <v>5</v>
      </c>
      <c r="W67" s="6" t="n">
        <v>5</v>
      </c>
      <c r="X67" s="6" t="n">
        <v>7</v>
      </c>
      <c r="Y67" s="6" t="n"/>
      <c r="Z67" s="6" t="n"/>
      <c r="AA67" s="6" t="n">
        <v>112.1</v>
      </c>
      <c r="AB67" s="6" t="inlineStr">
        <is>
          <t>是</t>
        </is>
      </c>
      <c r="AC67" s="6" t="inlineStr">
        <is>
          <t>是</t>
        </is>
      </c>
      <c r="AD67" s="6" t="inlineStr">
        <is>
          <t>是</t>
        </is>
      </c>
      <c r="AE67" s="6" t="inlineStr">
        <is>
          <t>无</t>
        </is>
      </c>
      <c r="AF67" s="6" t="n">
        <v>9.59</v>
      </c>
      <c r="AG67" s="6" t="n">
        <v>0.897</v>
      </c>
      <c r="AH67" s="6" t="n">
        <v>0.964</v>
      </c>
      <c r="AI67" s="6" t="n">
        <v>0.947</v>
      </c>
      <c r="AJ67" s="6" t="n">
        <v>0.789</v>
      </c>
      <c r="AK67" s="6" t="inlineStr">
        <is>
          <t>FrozenUncertain</t>
        </is>
      </c>
      <c r="AL67" s="6" t="inlineStr">
        <is>
          <t>否</t>
        </is>
      </c>
      <c r="AM67" s="6" t="n">
        <v>0</v>
      </c>
      <c r="AN67" s="6" t="n">
        <v>4</v>
      </c>
      <c r="AO67" s="6" t="n"/>
    </row>
    <row r="68">
      <c r="A68" s="6" t="inlineStr">
        <is>
          <t>P011</t>
        </is>
      </c>
      <c r="B68" s="6" t="n">
        <v>4</v>
      </c>
      <c r="C68" s="6" t="inlineStr">
        <is>
          <t>O1-S1-OE</t>
        </is>
      </c>
      <c r="D68" s="6" t="n">
        <v>2</v>
      </c>
      <c r="E68" s="6" t="inlineStr">
        <is>
          <t>固定订书机</t>
        </is>
      </c>
      <c r="F68" s="6" t="inlineStr">
        <is>
          <t>stapler</t>
        </is>
      </c>
      <c r="G68" s="6" t="inlineStr">
        <is>
          <t>方法A</t>
        </is>
      </c>
      <c r="H68" s="6" t="inlineStr">
        <is>
          <t>One-Euro</t>
        </is>
      </c>
      <c r="I68" s="6" t="n">
        <v>2</v>
      </c>
      <c r="J68" s="6" t="n">
        <v>2</v>
      </c>
      <c r="K68" s="6" t="n">
        <v>4</v>
      </c>
      <c r="L68" s="6" t="n">
        <v>6</v>
      </c>
      <c r="M68" s="6" t="n">
        <v>4</v>
      </c>
      <c r="N68" s="6" t="n"/>
      <c r="O68" s="6" t="n">
        <v>4</v>
      </c>
      <c r="P68" s="6" t="n">
        <v>3</v>
      </c>
      <c r="Q68" s="6" t="n">
        <v>3</v>
      </c>
      <c r="R68" s="6" t="n">
        <v>3</v>
      </c>
      <c r="S68" s="6" t="n">
        <v>3</v>
      </c>
      <c r="T68" s="6" t="n">
        <v>3</v>
      </c>
      <c r="U68" s="6" t="n">
        <v>6</v>
      </c>
      <c r="V68" s="6" t="n">
        <v>5</v>
      </c>
      <c r="W68" s="6" t="n">
        <v>3</v>
      </c>
      <c r="X68" s="6" t="n">
        <v>3</v>
      </c>
      <c r="Y68" s="6" t="n"/>
      <c r="Z68" s="6" t="n"/>
      <c r="AA68" s="6" t="n">
        <v>126.8</v>
      </c>
      <c r="AB68" s="6" t="inlineStr">
        <is>
          <t>是</t>
        </is>
      </c>
      <c r="AC68" s="6" t="inlineStr">
        <is>
          <t>是</t>
        </is>
      </c>
      <c r="AD68" s="6" t="inlineStr">
        <is>
          <t>是</t>
        </is>
      </c>
      <c r="AE68" s="6" t="inlineStr">
        <is>
          <t>无</t>
        </is>
      </c>
      <c r="AF68" s="6" t="n">
        <v>9.470000000000001</v>
      </c>
      <c r="AG68" s="6" t="n">
        <v>0.913</v>
      </c>
      <c r="AH68" s="6" t="n">
        <v>0.928</v>
      </c>
      <c r="AI68" s="6" t="n">
        <v>0.9409999999999999</v>
      </c>
      <c r="AJ68" s="6" t="n">
        <v>0.775</v>
      </c>
      <c r="AK68" s="6" t="inlineStr">
        <is>
          <t>FrozenUncertain</t>
        </is>
      </c>
      <c r="AL68" s="6" t="inlineStr">
        <is>
          <t>否</t>
        </is>
      </c>
      <c r="AM68" s="6" t="n">
        <v>0</v>
      </c>
      <c r="AN68" s="6" t="n">
        <v>0</v>
      </c>
      <c r="AO68" s="6" t="n"/>
    </row>
    <row r="69">
      <c r="A69" s="6" t="inlineStr">
        <is>
          <t>P011</t>
        </is>
      </c>
      <c r="B69" s="6" t="n">
        <v>5</v>
      </c>
      <c r="C69" s="6" t="inlineStr">
        <is>
          <t>O1-S1-OE</t>
        </is>
      </c>
      <c r="D69" s="6" t="n">
        <v>3</v>
      </c>
      <c r="E69" s="6" t="inlineStr">
        <is>
          <t>游戏手柄</t>
        </is>
      </c>
      <c r="F69" s="6" t="inlineStr">
        <is>
          <t>gamepad</t>
        </is>
      </c>
      <c r="G69" s="6" t="inlineStr">
        <is>
          <t>方法A</t>
        </is>
      </c>
      <c r="H69" s="6" t="inlineStr">
        <is>
          <t>One-Euro</t>
        </is>
      </c>
      <c r="I69" s="6" t="n">
        <v>1</v>
      </c>
      <c r="J69" s="6" t="n">
        <v>3</v>
      </c>
      <c r="K69" s="6" t="n">
        <v>4</v>
      </c>
      <c r="L69" s="6" t="n">
        <v>5</v>
      </c>
      <c r="M69" s="6" t="n">
        <v>4</v>
      </c>
      <c r="N69" s="6" t="n"/>
      <c r="O69" s="6" t="n">
        <v>5</v>
      </c>
      <c r="P69" s="6" t="n">
        <v>4</v>
      </c>
      <c r="Q69" s="6" t="n">
        <v>3</v>
      </c>
      <c r="R69" s="6" t="n">
        <v>3</v>
      </c>
      <c r="S69" s="6" t="n">
        <v>3</v>
      </c>
      <c r="T69" s="6" t="n">
        <v>3</v>
      </c>
      <c r="U69" s="6" t="n">
        <v>4</v>
      </c>
      <c r="V69" s="6" t="n">
        <v>5</v>
      </c>
      <c r="W69" s="6" t="n">
        <v>4</v>
      </c>
      <c r="X69" s="6" t="n">
        <v>4</v>
      </c>
      <c r="Y69" s="6" t="n"/>
      <c r="Z69" s="6" t="n"/>
      <c r="AA69" s="6" t="n">
        <v>122.4</v>
      </c>
      <c r="AB69" s="6" t="inlineStr">
        <is>
          <t>是</t>
        </is>
      </c>
      <c r="AC69" s="6" t="inlineStr">
        <is>
          <t>是</t>
        </is>
      </c>
      <c r="AD69" s="6" t="inlineStr">
        <is>
          <t>是</t>
        </is>
      </c>
      <c r="AE69" s="6" t="inlineStr">
        <is>
          <t>参与者放置物体时超出预定区域，实验员口头提示后重放，任务完成</t>
        </is>
      </c>
      <c r="AF69" s="6" t="n">
        <v>9.609999999999999</v>
      </c>
      <c r="AG69" s="6" t="n">
        <v>0.892</v>
      </c>
      <c r="AH69" s="6" t="n">
        <v>0.92</v>
      </c>
      <c r="AI69" s="6" t="n">
        <v>0.951</v>
      </c>
      <c r="AJ69" s="6" t="n">
        <v>0.715</v>
      </c>
      <c r="AK69" s="6" t="inlineStr">
        <is>
          <t>FrozenUncertain</t>
        </is>
      </c>
      <c r="AL69" s="6" t="inlineStr">
        <is>
          <t>否</t>
        </is>
      </c>
      <c r="AM69" s="6" t="n">
        <v>0</v>
      </c>
      <c r="AN69" s="6" t="n">
        <v>0</v>
      </c>
      <c r="AO69" s="6" t="n"/>
    </row>
    <row r="70">
      <c r="A70" s="6" t="inlineStr">
        <is>
          <t>P011</t>
        </is>
      </c>
      <c r="B70" s="6" t="n">
        <v>6</v>
      </c>
      <c r="C70" s="6" t="inlineStr">
        <is>
          <t>O1-S1-OE</t>
        </is>
      </c>
      <c r="D70" s="6" t="n">
        <v>3</v>
      </c>
      <c r="E70" s="6" t="inlineStr">
        <is>
          <t>游戏手柄</t>
        </is>
      </c>
      <c r="F70" s="6" t="inlineStr">
        <is>
          <t>gamepad</t>
        </is>
      </c>
      <c r="G70" s="6" t="inlineStr">
        <is>
          <t>方法B</t>
        </is>
      </c>
      <c r="H70" s="6" t="inlineStr">
        <is>
          <t>EgoAnchor</t>
        </is>
      </c>
      <c r="I70" s="6" t="n">
        <v>2</v>
      </c>
      <c r="J70" s="6" t="n">
        <v>3</v>
      </c>
      <c r="K70" s="6" t="n">
        <v>5</v>
      </c>
      <c r="L70" s="6" t="n">
        <v>5</v>
      </c>
      <c r="M70" s="6" t="n">
        <v>5</v>
      </c>
      <c r="N70" s="6" t="n"/>
      <c r="O70" s="6" t="n">
        <v>4</v>
      </c>
      <c r="P70" s="6" t="n">
        <v>6</v>
      </c>
      <c r="Q70" s="6" t="n">
        <v>5</v>
      </c>
      <c r="R70" s="6" t="n">
        <v>4</v>
      </c>
      <c r="S70" s="6" t="n">
        <v>6</v>
      </c>
      <c r="T70" s="6" t="n">
        <v>4</v>
      </c>
      <c r="U70" s="6" t="n">
        <v>6</v>
      </c>
      <c r="V70" s="6" t="n">
        <v>6</v>
      </c>
      <c r="W70" s="6" t="n">
        <v>4</v>
      </c>
      <c r="X70" s="6" t="n">
        <v>4</v>
      </c>
      <c r="Y70" s="6" t="n"/>
      <c r="Z70" s="6" t="n"/>
      <c r="AA70" s="6" t="n">
        <v>107.3</v>
      </c>
      <c r="AB70" s="6" t="inlineStr">
        <is>
          <t>是</t>
        </is>
      </c>
      <c r="AC70" s="6" t="inlineStr">
        <is>
          <t>是</t>
        </is>
      </c>
      <c r="AD70" s="6" t="inlineStr">
        <is>
          <t>是</t>
        </is>
      </c>
      <c r="AE70" s="6" t="inlineStr">
        <is>
          <t>无</t>
        </is>
      </c>
      <c r="AF70" s="6" t="n">
        <v>9.52</v>
      </c>
      <c r="AG70" s="6" t="n">
        <v>0.873</v>
      </c>
      <c r="AH70" s="6" t="n">
        <v>0.895</v>
      </c>
      <c r="AI70" s="6" t="n">
        <v>0.949</v>
      </c>
      <c r="AJ70" s="6" t="n">
        <v>0.733</v>
      </c>
      <c r="AK70" s="6" t="inlineStr">
        <is>
          <t>FrozenUncertain</t>
        </is>
      </c>
      <c r="AL70" s="6" t="inlineStr">
        <is>
          <t>否</t>
        </is>
      </c>
      <c r="AM70" s="6" t="n">
        <v>0</v>
      </c>
      <c r="AN70" s="6" t="n">
        <v>6</v>
      </c>
      <c r="AO70" s="6" t="n"/>
    </row>
    <row r="71">
      <c r="A71" s="6" t="inlineStr">
        <is>
          <t>P012</t>
        </is>
      </c>
      <c r="B71" s="6" t="n">
        <v>1</v>
      </c>
      <c r="C71" s="6" t="inlineStr">
        <is>
          <t>O3-S1-OE</t>
        </is>
      </c>
      <c r="D71" s="6" t="n">
        <v>1</v>
      </c>
      <c r="E71" s="6" t="inlineStr">
        <is>
          <t>固定订书机</t>
        </is>
      </c>
      <c r="F71" s="6" t="inlineStr">
        <is>
          <t>stapler</t>
        </is>
      </c>
      <c r="G71" s="6" t="inlineStr">
        <is>
          <t>方法A</t>
        </is>
      </c>
      <c r="H71" s="6" t="inlineStr">
        <is>
          <t>One-Euro</t>
        </is>
      </c>
      <c r="I71" s="6" t="n">
        <v>1</v>
      </c>
      <c r="J71" s="6" t="n">
        <v>1</v>
      </c>
      <c r="K71" s="6" t="n">
        <v>5</v>
      </c>
      <c r="L71" s="6" t="n">
        <v>5</v>
      </c>
      <c r="M71" s="6" t="n">
        <v>6</v>
      </c>
      <c r="N71" s="6" t="n"/>
      <c r="O71" s="6" t="n">
        <v>7</v>
      </c>
      <c r="P71" s="6" t="n">
        <v>6</v>
      </c>
      <c r="Q71" s="6" t="n">
        <v>6</v>
      </c>
      <c r="R71" s="6" t="n">
        <v>5</v>
      </c>
      <c r="S71" s="6" t="n">
        <v>6</v>
      </c>
      <c r="T71" s="6" t="n">
        <v>7</v>
      </c>
      <c r="U71" s="6" t="n">
        <v>7</v>
      </c>
      <c r="V71" s="6" t="n">
        <v>7</v>
      </c>
      <c r="W71" s="6" t="n">
        <v>5</v>
      </c>
      <c r="X71" s="6" t="n">
        <v>6</v>
      </c>
      <c r="Y71" s="6" t="n"/>
      <c r="Z71" s="6" t="n"/>
      <c r="AA71" s="6" t="n">
        <v>104.1</v>
      </c>
      <c r="AB71" s="6" t="inlineStr">
        <is>
          <t>是</t>
        </is>
      </c>
      <c r="AC71" s="6" t="inlineStr">
        <is>
          <t>是</t>
        </is>
      </c>
      <c r="AD71" s="6" t="inlineStr">
        <is>
          <t>是</t>
        </is>
      </c>
      <c r="AE71" s="6" t="inlineStr">
        <is>
          <t>无</t>
        </is>
      </c>
      <c r="AF71" s="6" t="n">
        <v>9.77</v>
      </c>
      <c r="AG71" s="6" t="n">
        <v>0.95</v>
      </c>
      <c r="AH71" s="6" t="n">
        <v>0.962</v>
      </c>
      <c r="AI71" s="6" t="n">
        <v>0.946</v>
      </c>
      <c r="AJ71" s="6" t="n">
        <v>0.733</v>
      </c>
      <c r="AK71" s="6" t="inlineStr">
        <is>
          <t>FrozenUncertain</t>
        </is>
      </c>
      <c r="AL71" s="6" t="inlineStr">
        <is>
          <t>否</t>
        </is>
      </c>
      <c r="AM71" s="6" t="n">
        <v>0</v>
      </c>
      <c r="AN71" s="6" t="n">
        <v>0</v>
      </c>
      <c r="AO71" s="6" t="n"/>
    </row>
    <row r="72">
      <c r="A72" s="6" t="inlineStr">
        <is>
          <t>P012</t>
        </is>
      </c>
      <c r="B72" s="6" t="n">
        <v>2</v>
      </c>
      <c r="C72" s="6" t="inlineStr">
        <is>
          <t>O3-S1-OE</t>
        </is>
      </c>
      <c r="D72" s="6" t="n">
        <v>1</v>
      </c>
      <c r="E72" s="6" t="inlineStr">
        <is>
          <t>固定订书机</t>
        </is>
      </c>
      <c r="F72" s="6" t="inlineStr">
        <is>
          <t>stapler</t>
        </is>
      </c>
      <c r="G72" s="6" t="inlineStr">
        <is>
          <t>方法B</t>
        </is>
      </c>
      <c r="H72" s="6" t="inlineStr">
        <is>
          <t>EgoAnchor</t>
        </is>
      </c>
      <c r="I72" s="6" t="n">
        <v>2</v>
      </c>
      <c r="J72" s="6" t="n">
        <v>1</v>
      </c>
      <c r="K72" s="6" t="n">
        <v>5</v>
      </c>
      <c r="L72" s="6" t="n">
        <v>5</v>
      </c>
      <c r="M72" s="6" t="n">
        <v>6</v>
      </c>
      <c r="N72" s="6" t="n"/>
      <c r="O72" s="6" t="n">
        <v>7</v>
      </c>
      <c r="P72" s="6" t="n">
        <v>6</v>
      </c>
      <c r="Q72" s="6" t="n">
        <v>7</v>
      </c>
      <c r="R72" s="6" t="n">
        <v>6</v>
      </c>
      <c r="S72" s="6" t="n">
        <v>7</v>
      </c>
      <c r="T72" s="6" t="n">
        <v>6</v>
      </c>
      <c r="U72" s="6" t="n">
        <v>7</v>
      </c>
      <c r="V72" s="6" t="n">
        <v>7</v>
      </c>
      <c r="W72" s="6" t="n">
        <v>6</v>
      </c>
      <c r="X72" s="6" t="n">
        <v>6</v>
      </c>
      <c r="Y72" s="6" t="n"/>
      <c r="Z72" s="6" t="n"/>
      <c r="AA72" s="6" t="n">
        <v>122.8</v>
      </c>
      <c r="AB72" s="6" t="inlineStr">
        <is>
          <t>是</t>
        </is>
      </c>
      <c r="AC72" s="6" t="inlineStr">
        <is>
          <t>是</t>
        </is>
      </c>
      <c r="AD72" s="6" t="inlineStr">
        <is>
          <t>是</t>
        </is>
      </c>
      <c r="AE72" s="6" t="inlineStr">
        <is>
          <t>无</t>
        </is>
      </c>
      <c r="AF72" s="6" t="n">
        <v>9.52</v>
      </c>
      <c r="AG72" s="6" t="n">
        <v>0.9399999999999999</v>
      </c>
      <c r="AH72" s="6" t="n">
        <v>0.9360000000000001</v>
      </c>
      <c r="AI72" s="6" t="n">
        <v>0.9379999999999999</v>
      </c>
      <c r="AJ72" s="6" t="n">
        <v>0.8070000000000001</v>
      </c>
      <c r="AK72" s="6" t="inlineStr">
        <is>
          <t>FrozenUncertain</t>
        </is>
      </c>
      <c r="AL72" s="6" t="inlineStr">
        <is>
          <t>否</t>
        </is>
      </c>
      <c r="AM72" s="6" t="n">
        <v>0</v>
      </c>
      <c r="AN72" s="6" t="n">
        <v>5</v>
      </c>
      <c r="AO72" s="6" t="n"/>
    </row>
    <row r="73">
      <c r="A73" s="6" t="inlineStr">
        <is>
          <t>P012</t>
        </is>
      </c>
      <c r="B73" s="6" t="n">
        <v>3</v>
      </c>
      <c r="C73" s="6" t="inlineStr">
        <is>
          <t>O3-S1-OE</t>
        </is>
      </c>
      <c r="D73" s="6" t="n">
        <v>2</v>
      </c>
      <c r="E73" s="6" t="inlineStr">
        <is>
          <t>鼠标</t>
        </is>
      </c>
      <c r="F73" s="6" t="inlineStr">
        <is>
          <t>blue_mouse</t>
        </is>
      </c>
      <c r="G73" s="6" t="inlineStr">
        <is>
          <t>方法B</t>
        </is>
      </c>
      <c r="H73" s="6" t="inlineStr">
        <is>
          <t>EgoAnchor</t>
        </is>
      </c>
      <c r="I73" s="6" t="n">
        <v>1</v>
      </c>
      <c r="J73" s="6" t="n">
        <v>2</v>
      </c>
      <c r="K73" s="6" t="n">
        <v>4</v>
      </c>
      <c r="L73" s="6" t="n">
        <v>4</v>
      </c>
      <c r="M73" s="6" t="n">
        <v>4</v>
      </c>
      <c r="N73" s="6" t="n"/>
      <c r="O73" s="6" t="n">
        <v>4</v>
      </c>
      <c r="P73" s="6" t="n">
        <v>5</v>
      </c>
      <c r="Q73" s="6" t="n">
        <v>5</v>
      </c>
      <c r="R73" s="6" t="n">
        <v>5</v>
      </c>
      <c r="S73" s="6" t="n">
        <v>5</v>
      </c>
      <c r="T73" s="6" t="n">
        <v>4</v>
      </c>
      <c r="U73" s="6" t="n">
        <v>5</v>
      </c>
      <c r="V73" s="6" t="n">
        <v>5</v>
      </c>
      <c r="W73" s="6" t="n">
        <v>5</v>
      </c>
      <c r="X73" s="6" t="n">
        <v>6</v>
      </c>
      <c r="Y73" s="6" t="n"/>
      <c r="Z73" s="6" t="n"/>
      <c r="AA73" s="6" t="n">
        <v>131.8</v>
      </c>
      <c r="AB73" s="6" t="inlineStr">
        <is>
          <t>是</t>
        </is>
      </c>
      <c r="AC73" s="6" t="inlineStr">
        <is>
          <t>是</t>
        </is>
      </c>
      <c r="AD73" s="6" t="inlineStr">
        <is>
          <t>是</t>
        </is>
      </c>
      <c r="AE73" s="6" t="inlineStr">
        <is>
          <t>无</t>
        </is>
      </c>
      <c r="AF73" s="6" t="n">
        <v>9.33</v>
      </c>
      <c r="AG73" s="6" t="n">
        <v>0.888</v>
      </c>
      <c r="AH73" s="6" t="n">
        <v>0.889</v>
      </c>
      <c r="AI73" s="6" t="n">
        <v>0.958</v>
      </c>
      <c r="AJ73" s="6" t="n">
        <v>0.713</v>
      </c>
      <c r="AK73" s="6" t="inlineStr">
        <is>
          <t>FrozenUncertain</t>
        </is>
      </c>
      <c r="AL73" s="6" t="inlineStr">
        <is>
          <t>否</t>
        </is>
      </c>
      <c r="AM73" s="6" t="n">
        <v>0</v>
      </c>
      <c r="AN73" s="6" t="n">
        <v>4</v>
      </c>
      <c r="AO73" s="6" t="n"/>
    </row>
    <row r="74">
      <c r="A74" s="6" t="inlineStr">
        <is>
          <t>P012</t>
        </is>
      </c>
      <c r="B74" s="6" t="n">
        <v>4</v>
      </c>
      <c r="C74" s="6" t="inlineStr">
        <is>
          <t>O3-S1-OE</t>
        </is>
      </c>
      <c r="D74" s="6" t="n">
        <v>2</v>
      </c>
      <c r="E74" s="6" t="inlineStr">
        <is>
          <t>鼠标</t>
        </is>
      </c>
      <c r="F74" s="6" t="inlineStr">
        <is>
          <t>blue_mouse</t>
        </is>
      </c>
      <c r="G74" s="6" t="inlineStr">
        <is>
          <t>方法A</t>
        </is>
      </c>
      <c r="H74" s="6" t="inlineStr">
        <is>
          <t>One-Euro</t>
        </is>
      </c>
      <c r="I74" s="6" t="n">
        <v>2</v>
      </c>
      <c r="J74" s="6" t="n">
        <v>2</v>
      </c>
      <c r="K74" s="6" t="n">
        <v>4</v>
      </c>
      <c r="L74" s="6" t="n">
        <v>4</v>
      </c>
      <c r="M74" s="6" t="n">
        <v>5</v>
      </c>
      <c r="N74" s="6" t="n"/>
      <c r="O74" s="6" t="n">
        <v>5</v>
      </c>
      <c r="P74" s="6" t="n">
        <v>4</v>
      </c>
      <c r="Q74" s="6" t="n">
        <v>6</v>
      </c>
      <c r="R74" s="6" t="n">
        <v>5</v>
      </c>
      <c r="S74" s="6" t="n">
        <v>5</v>
      </c>
      <c r="T74" s="6" t="n">
        <v>5</v>
      </c>
      <c r="U74" s="6" t="n">
        <v>6</v>
      </c>
      <c r="V74" s="6" t="n">
        <v>4</v>
      </c>
      <c r="W74" s="6" t="n">
        <v>4</v>
      </c>
      <c r="X74" s="6" t="n">
        <v>5</v>
      </c>
      <c r="Y74" s="6" t="n"/>
      <c r="Z74" s="6" t="n"/>
      <c r="AA74" s="6" t="n">
        <v>116.3</v>
      </c>
      <c r="AB74" s="6" t="inlineStr">
        <is>
          <t>是</t>
        </is>
      </c>
      <c r="AC74" s="6" t="inlineStr">
        <is>
          <t>是</t>
        </is>
      </c>
      <c r="AD74" s="6" t="inlineStr">
        <is>
          <t>是</t>
        </is>
      </c>
      <c r="AE74" s="6" t="inlineStr">
        <is>
          <t>无</t>
        </is>
      </c>
      <c r="AF74" s="6" t="n">
        <v>9.92</v>
      </c>
      <c r="AG74" s="6" t="n">
        <v>0.869</v>
      </c>
      <c r="AH74" s="6" t="n">
        <v>0.92</v>
      </c>
      <c r="AI74" s="6" t="n">
        <v>0.963</v>
      </c>
      <c r="AJ74" s="6" t="n">
        <v>0.752</v>
      </c>
      <c r="AK74" s="6" t="inlineStr">
        <is>
          <t>FrozenUncertain</t>
        </is>
      </c>
      <c r="AL74" s="6" t="inlineStr">
        <is>
          <t>否</t>
        </is>
      </c>
      <c r="AM74" s="6" t="n">
        <v>0</v>
      </c>
      <c r="AN74" s="6" t="n">
        <v>0</v>
      </c>
      <c r="AO74" s="6" t="n"/>
    </row>
    <row r="75">
      <c r="A75" s="6" t="inlineStr">
        <is>
          <t>P012</t>
        </is>
      </c>
      <c r="B75" s="6" t="n">
        <v>5</v>
      </c>
      <c r="C75" s="6" t="inlineStr">
        <is>
          <t>O3-S1-OE</t>
        </is>
      </c>
      <c r="D75" s="6" t="n">
        <v>3</v>
      </c>
      <c r="E75" s="6" t="inlineStr">
        <is>
          <t>游戏手柄</t>
        </is>
      </c>
      <c r="F75" s="6" t="inlineStr">
        <is>
          <t>gamepad</t>
        </is>
      </c>
      <c r="G75" s="6" t="inlineStr">
        <is>
          <t>方法A</t>
        </is>
      </c>
      <c r="H75" s="6" t="inlineStr">
        <is>
          <t>One-Euro</t>
        </is>
      </c>
      <c r="I75" s="6" t="n">
        <v>1</v>
      </c>
      <c r="J75" s="6" t="n">
        <v>3</v>
      </c>
      <c r="K75" s="6" t="n">
        <v>4</v>
      </c>
      <c r="L75" s="6" t="n">
        <v>4</v>
      </c>
      <c r="M75" s="6" t="n">
        <v>5</v>
      </c>
      <c r="N75" s="6" t="n"/>
      <c r="O75" s="6" t="n">
        <v>5</v>
      </c>
      <c r="P75" s="6" t="n">
        <v>4</v>
      </c>
      <c r="Q75" s="6" t="n">
        <v>5</v>
      </c>
      <c r="R75" s="6" t="n">
        <v>4</v>
      </c>
      <c r="S75" s="6" t="n">
        <v>6</v>
      </c>
      <c r="T75" s="6" t="n">
        <v>5</v>
      </c>
      <c r="U75" s="6" t="n">
        <v>6</v>
      </c>
      <c r="V75" s="6" t="n">
        <v>5</v>
      </c>
      <c r="W75" s="6" t="n">
        <v>4</v>
      </c>
      <c r="X75" s="6" t="n">
        <v>5</v>
      </c>
      <c r="Y75" s="6" t="n"/>
      <c r="Z75" s="6" t="n"/>
      <c r="AA75" s="6" t="n">
        <v>153.6</v>
      </c>
      <c r="AB75" s="6" t="inlineStr">
        <is>
          <t>是</t>
        </is>
      </c>
      <c r="AC75" s="6" t="inlineStr">
        <is>
          <t>是</t>
        </is>
      </c>
      <c r="AD75" s="6" t="inlineStr">
        <is>
          <t>是</t>
        </is>
      </c>
      <c r="AE75" s="6" t="inlineStr">
        <is>
          <t>无</t>
        </is>
      </c>
      <c r="AF75" s="6" t="n">
        <v>9.06</v>
      </c>
      <c r="AG75" s="6" t="n">
        <v>0.9409999999999999</v>
      </c>
      <c r="AH75" s="6" t="n">
        <v>0.893</v>
      </c>
      <c r="AI75" s="6" t="n">
        <v>0.949</v>
      </c>
      <c r="AJ75" s="6" t="n">
        <v>0.755</v>
      </c>
      <c r="AK75" s="6" t="inlineStr">
        <is>
          <t>FrozenUncertain</t>
        </is>
      </c>
      <c r="AL75" s="6" t="inlineStr">
        <is>
          <t>否</t>
        </is>
      </c>
      <c r="AM75" s="6" t="n">
        <v>0</v>
      </c>
      <c r="AN75" s="6" t="n">
        <v>0</v>
      </c>
      <c r="AO75" s="6" t="n"/>
    </row>
    <row r="76">
      <c r="A76" s="6" t="inlineStr">
        <is>
          <t>P012</t>
        </is>
      </c>
      <c r="B76" s="6" t="n">
        <v>6</v>
      </c>
      <c r="C76" s="6" t="inlineStr">
        <is>
          <t>O3-S1-OE</t>
        </is>
      </c>
      <c r="D76" s="6" t="n">
        <v>3</v>
      </c>
      <c r="E76" s="6" t="inlineStr">
        <is>
          <t>游戏手柄</t>
        </is>
      </c>
      <c r="F76" s="6" t="inlineStr">
        <is>
          <t>gamepad</t>
        </is>
      </c>
      <c r="G76" s="6" t="inlineStr">
        <is>
          <t>方法B</t>
        </is>
      </c>
      <c r="H76" s="6" t="inlineStr">
        <is>
          <t>EgoAnchor</t>
        </is>
      </c>
      <c r="I76" s="6" t="n">
        <v>2</v>
      </c>
      <c r="J76" s="6" t="n">
        <v>3</v>
      </c>
      <c r="K76" s="6" t="n">
        <v>5</v>
      </c>
      <c r="L76" s="6" t="n">
        <v>6</v>
      </c>
      <c r="M76" s="6" t="n">
        <v>5</v>
      </c>
      <c r="N76" s="6" t="n"/>
      <c r="O76" s="6" t="n">
        <v>5</v>
      </c>
      <c r="P76" s="6" t="n">
        <v>7</v>
      </c>
      <c r="Q76" s="6" t="n">
        <v>7</v>
      </c>
      <c r="R76" s="6" t="n">
        <v>5</v>
      </c>
      <c r="S76" s="6" t="n">
        <v>6</v>
      </c>
      <c r="T76" s="6" t="n">
        <v>5</v>
      </c>
      <c r="U76" s="6" t="n">
        <v>5</v>
      </c>
      <c r="V76" s="6" t="n">
        <v>7</v>
      </c>
      <c r="W76" s="6" t="n">
        <v>5</v>
      </c>
      <c r="X76" s="6" t="n">
        <v>6</v>
      </c>
      <c r="Y76" s="6" t="n"/>
      <c r="Z76" s="6" t="n"/>
      <c r="AA76" s="6" t="n">
        <v>149</v>
      </c>
      <c r="AB76" s="6" t="inlineStr">
        <is>
          <t>是</t>
        </is>
      </c>
      <c r="AC76" s="6" t="inlineStr">
        <is>
          <t>是</t>
        </is>
      </c>
      <c r="AD76" s="6" t="inlineStr">
        <is>
          <t>是</t>
        </is>
      </c>
      <c r="AE76" s="6" t="inlineStr">
        <is>
          <t>无</t>
        </is>
      </c>
      <c r="AF76" s="6" t="n">
        <v>9.800000000000001</v>
      </c>
      <c r="AG76" s="6" t="n">
        <v>0.88</v>
      </c>
      <c r="AH76" s="6" t="n">
        <v>0.898</v>
      </c>
      <c r="AI76" s="6" t="n">
        <v>0.961</v>
      </c>
      <c r="AJ76" s="6" t="n">
        <v>0.743</v>
      </c>
      <c r="AK76" s="6" t="inlineStr">
        <is>
          <t>FrozenUncertain</t>
        </is>
      </c>
      <c r="AL76" s="6" t="inlineStr">
        <is>
          <t>否</t>
        </is>
      </c>
      <c r="AM76" s="6" t="n">
        <v>0</v>
      </c>
      <c r="AN76" s="6" t="n">
        <v>6</v>
      </c>
      <c r="AO76" s="6" t="n"/>
    </row>
    <row r="77">
      <c r="A77" s="6" t="inlineStr">
        <is>
          <t>P013</t>
        </is>
      </c>
      <c r="B77" s="6" t="n">
        <v>1</v>
      </c>
      <c r="C77" s="6" t="inlineStr">
        <is>
          <t>O5-S1-OE</t>
        </is>
      </c>
      <c r="D77" s="6" t="n">
        <v>1</v>
      </c>
      <c r="E77" s="6" t="inlineStr">
        <is>
          <t>游戏手柄</t>
        </is>
      </c>
      <c r="F77" s="6" t="inlineStr">
        <is>
          <t>gamepad</t>
        </is>
      </c>
      <c r="G77" s="6" t="inlineStr">
        <is>
          <t>方法A</t>
        </is>
      </c>
      <c r="H77" s="6" t="inlineStr">
        <is>
          <t>One-Euro</t>
        </is>
      </c>
      <c r="I77" s="6" t="n">
        <v>1</v>
      </c>
      <c r="J77" s="6" t="n">
        <v>1</v>
      </c>
      <c r="K77" s="6" t="n">
        <v>5</v>
      </c>
      <c r="L77" s="6" t="n">
        <v>6</v>
      </c>
      <c r="M77" s="6" t="n">
        <v>4</v>
      </c>
      <c r="N77" s="6" t="n"/>
      <c r="O77" s="6" t="n">
        <v>6</v>
      </c>
      <c r="P77" s="6" t="n">
        <v>4</v>
      </c>
      <c r="Q77" s="6" t="n">
        <v>5</v>
      </c>
      <c r="R77" s="6" t="n">
        <v>6</v>
      </c>
      <c r="S77" s="6" t="n">
        <v>7</v>
      </c>
      <c r="T77" s="6" t="n">
        <v>5</v>
      </c>
      <c r="U77" s="6" t="n">
        <v>6</v>
      </c>
      <c r="V77" s="6" t="n">
        <v>6</v>
      </c>
      <c r="W77" s="6" t="n">
        <v>4</v>
      </c>
      <c r="X77" s="6" t="n">
        <v>3</v>
      </c>
      <c r="Y77" s="6" t="n"/>
      <c r="Z77" s="6" t="n"/>
      <c r="AA77" s="6" t="n">
        <v>130.3</v>
      </c>
      <c r="AB77" s="6" t="inlineStr">
        <is>
          <t>是</t>
        </is>
      </c>
      <c r="AC77" s="6" t="inlineStr">
        <is>
          <t>是</t>
        </is>
      </c>
      <c r="AD77" s="6" t="inlineStr">
        <is>
          <t>是</t>
        </is>
      </c>
      <c r="AE77" s="6" t="inlineStr">
        <is>
          <t>无</t>
        </is>
      </c>
      <c r="AF77" s="6" t="n">
        <v>9.390000000000001</v>
      </c>
      <c r="AG77" s="6" t="n">
        <v>0.851</v>
      </c>
      <c r="AH77" s="6" t="n">
        <v>0.9340000000000001</v>
      </c>
      <c r="AI77" s="6" t="n">
        <v>0.949</v>
      </c>
      <c r="AJ77" s="6" t="n">
        <v>0.771</v>
      </c>
      <c r="AK77" s="6" t="inlineStr">
        <is>
          <t>FrozenUncertain</t>
        </is>
      </c>
      <c r="AL77" s="6" t="inlineStr">
        <is>
          <t>否</t>
        </is>
      </c>
      <c r="AM77" s="6" t="n">
        <v>0</v>
      </c>
      <c r="AN77" s="6" t="n">
        <v>0</v>
      </c>
      <c r="AO77" s="6" t="n"/>
    </row>
    <row r="78">
      <c r="A78" s="6" t="inlineStr">
        <is>
          <t>P013</t>
        </is>
      </c>
      <c r="B78" s="6" t="n">
        <v>2</v>
      </c>
      <c r="C78" s="6" t="inlineStr">
        <is>
          <t>O5-S1-OE</t>
        </is>
      </c>
      <c r="D78" s="6" t="n">
        <v>1</v>
      </c>
      <c r="E78" s="6" t="inlineStr">
        <is>
          <t>游戏手柄</t>
        </is>
      </c>
      <c r="F78" s="6" t="inlineStr">
        <is>
          <t>gamepad</t>
        </is>
      </c>
      <c r="G78" s="6" t="inlineStr">
        <is>
          <t>方法B</t>
        </is>
      </c>
      <c r="H78" s="6" t="inlineStr">
        <is>
          <t>EgoAnchor</t>
        </is>
      </c>
      <c r="I78" s="6" t="n">
        <v>2</v>
      </c>
      <c r="J78" s="6" t="n">
        <v>1</v>
      </c>
      <c r="K78" s="6" t="n">
        <v>5</v>
      </c>
      <c r="L78" s="6" t="n">
        <v>5</v>
      </c>
      <c r="M78" s="6" t="n">
        <v>4</v>
      </c>
      <c r="N78" s="6" t="n"/>
      <c r="O78" s="6" t="n">
        <v>6</v>
      </c>
      <c r="P78" s="6" t="n">
        <v>5</v>
      </c>
      <c r="Q78" s="6" t="n">
        <v>5</v>
      </c>
      <c r="R78" s="6" t="n">
        <v>5</v>
      </c>
      <c r="S78" s="6" t="n">
        <v>6</v>
      </c>
      <c r="T78" s="6" t="n">
        <v>5</v>
      </c>
      <c r="U78" s="6" t="n">
        <v>5</v>
      </c>
      <c r="V78" s="6" t="n">
        <v>7</v>
      </c>
      <c r="W78" s="6" t="n">
        <v>4</v>
      </c>
      <c r="X78" s="6" t="n">
        <v>4</v>
      </c>
      <c r="Y78" s="6" t="n"/>
      <c r="Z78" s="6" t="n"/>
      <c r="AA78" s="6" t="n">
        <v>164.5</v>
      </c>
      <c r="AB78" s="6" t="inlineStr">
        <is>
          <t>是</t>
        </is>
      </c>
      <c r="AC78" s="6" t="inlineStr">
        <is>
          <t>是</t>
        </is>
      </c>
      <c r="AD78" s="6" t="inlineStr">
        <is>
          <t>是</t>
        </is>
      </c>
      <c r="AE78" s="6" t="inlineStr">
        <is>
          <t>无</t>
        </is>
      </c>
      <c r="AF78" s="6" t="n">
        <v>9.68</v>
      </c>
      <c r="AG78" s="6" t="n">
        <v>0.892</v>
      </c>
      <c r="AH78" s="6" t="n">
        <v>0.9330000000000001</v>
      </c>
      <c r="AI78" s="6" t="n">
        <v>0.956</v>
      </c>
      <c r="AJ78" s="6" t="n">
        <v>0.756</v>
      </c>
      <c r="AK78" s="6" t="inlineStr">
        <is>
          <t>FrozenUncertain</t>
        </is>
      </c>
      <c r="AL78" s="6" t="inlineStr">
        <is>
          <t>否</t>
        </is>
      </c>
      <c r="AM78" s="6" t="n">
        <v>0</v>
      </c>
      <c r="AN78" s="6" t="n">
        <v>6</v>
      </c>
      <c r="AO78" s="6" t="n"/>
    </row>
    <row r="79">
      <c r="A79" s="6" t="inlineStr">
        <is>
          <t>P013</t>
        </is>
      </c>
      <c r="B79" s="6" t="n">
        <v>3</v>
      </c>
      <c r="C79" s="6" t="inlineStr">
        <is>
          <t>O5-S1-OE</t>
        </is>
      </c>
      <c r="D79" s="6" t="n">
        <v>2</v>
      </c>
      <c r="E79" s="6" t="inlineStr">
        <is>
          <t>鼠标</t>
        </is>
      </c>
      <c r="F79" s="6" t="inlineStr">
        <is>
          <t>blue_mouse</t>
        </is>
      </c>
      <c r="G79" s="6" t="inlineStr">
        <is>
          <t>方法B</t>
        </is>
      </c>
      <c r="H79" s="6" t="inlineStr">
        <is>
          <t>EgoAnchor</t>
        </is>
      </c>
      <c r="I79" s="6" t="n">
        <v>1</v>
      </c>
      <c r="J79" s="6" t="n">
        <v>2</v>
      </c>
      <c r="K79" s="6" t="n">
        <v>6</v>
      </c>
      <c r="L79" s="6" t="n">
        <v>5</v>
      </c>
      <c r="M79" s="6" t="n">
        <v>5</v>
      </c>
      <c r="N79" s="6" t="n"/>
      <c r="O79" s="6" t="n">
        <v>5</v>
      </c>
      <c r="P79" s="6" t="n">
        <v>5</v>
      </c>
      <c r="Q79" s="6" t="n">
        <v>5</v>
      </c>
      <c r="R79" s="6" t="n">
        <v>5</v>
      </c>
      <c r="S79" s="6" t="n">
        <v>6</v>
      </c>
      <c r="T79" s="6" t="n">
        <v>5</v>
      </c>
      <c r="U79" s="6" t="n">
        <v>6</v>
      </c>
      <c r="V79" s="6" t="n">
        <v>6</v>
      </c>
      <c r="W79" s="6" t="n">
        <v>4</v>
      </c>
      <c r="X79" s="6" t="n">
        <v>3</v>
      </c>
      <c r="Y79" s="6" t="n"/>
      <c r="Z79" s="6" t="n"/>
      <c r="AA79" s="6" t="n">
        <v>150.4</v>
      </c>
      <c r="AB79" s="6" t="inlineStr">
        <is>
          <t>是</t>
        </is>
      </c>
      <c r="AC79" s="6" t="inlineStr">
        <is>
          <t>是</t>
        </is>
      </c>
      <c r="AD79" s="6" t="inlineStr">
        <is>
          <t>是</t>
        </is>
      </c>
      <c r="AE79" s="6" t="inlineStr">
        <is>
          <t>无</t>
        </is>
      </c>
      <c r="AF79" s="6" t="n">
        <v>9.58</v>
      </c>
      <c r="AG79" s="6" t="n">
        <v>0.89</v>
      </c>
      <c r="AH79" s="6" t="n">
        <v>0.88</v>
      </c>
      <c r="AI79" s="6" t="n">
        <v>0.96</v>
      </c>
      <c r="AJ79" s="6" t="n">
        <v>0.828</v>
      </c>
      <c r="AK79" s="6" t="inlineStr">
        <is>
          <t>FrozenUncertain</t>
        </is>
      </c>
      <c r="AL79" s="6" t="inlineStr">
        <is>
          <t>否</t>
        </is>
      </c>
      <c r="AM79" s="6" t="n">
        <v>0</v>
      </c>
      <c r="AN79" s="6" t="n">
        <v>3</v>
      </c>
      <c r="AO79" s="6" t="n"/>
    </row>
    <row r="80">
      <c r="A80" s="6" t="inlineStr">
        <is>
          <t>P013</t>
        </is>
      </c>
      <c r="B80" s="6" t="n">
        <v>4</v>
      </c>
      <c r="C80" s="6" t="inlineStr">
        <is>
          <t>O5-S1-OE</t>
        </is>
      </c>
      <c r="D80" s="6" t="n">
        <v>2</v>
      </c>
      <c r="E80" s="6" t="inlineStr">
        <is>
          <t>鼠标</t>
        </is>
      </c>
      <c r="F80" s="6" t="inlineStr">
        <is>
          <t>blue_mouse</t>
        </is>
      </c>
      <c r="G80" s="6" t="inlineStr">
        <is>
          <t>方法A</t>
        </is>
      </c>
      <c r="H80" s="6" t="inlineStr">
        <is>
          <t>One-Euro</t>
        </is>
      </c>
      <c r="I80" s="6" t="n">
        <v>2</v>
      </c>
      <c r="J80" s="6" t="n">
        <v>2</v>
      </c>
      <c r="K80" s="6" t="n">
        <v>5</v>
      </c>
      <c r="L80" s="6" t="n">
        <v>5</v>
      </c>
      <c r="M80" s="6" t="n">
        <v>5</v>
      </c>
      <c r="N80" s="6" t="n"/>
      <c r="O80" s="6" t="n">
        <v>7</v>
      </c>
      <c r="P80" s="6" t="n">
        <v>4</v>
      </c>
      <c r="Q80" s="6" t="n">
        <v>5</v>
      </c>
      <c r="R80" s="6" t="n">
        <v>6</v>
      </c>
      <c r="S80" s="6" t="n">
        <v>6</v>
      </c>
      <c r="T80" s="6" t="n">
        <v>6</v>
      </c>
      <c r="U80" s="6" t="n">
        <v>6</v>
      </c>
      <c r="V80" s="6" t="n">
        <v>7</v>
      </c>
      <c r="W80" s="6" t="n">
        <v>3</v>
      </c>
      <c r="X80" s="6" t="n">
        <v>4</v>
      </c>
      <c r="Y80" s="6" t="n"/>
      <c r="Z80" s="6" t="n"/>
      <c r="AA80" s="6" t="n">
        <v>155.8</v>
      </c>
      <c r="AB80" s="6" t="inlineStr">
        <is>
          <t>是</t>
        </is>
      </c>
      <c r="AC80" s="6" t="inlineStr">
        <is>
          <t>是</t>
        </is>
      </c>
      <c r="AD80" s="6" t="inlineStr">
        <is>
          <t>是</t>
        </is>
      </c>
      <c r="AE80" s="6" t="inlineStr">
        <is>
          <t>无</t>
        </is>
      </c>
      <c r="AF80" s="6" t="n">
        <v>8.529999999999999</v>
      </c>
      <c r="AG80" s="6" t="n">
        <v>0.856</v>
      </c>
      <c r="AH80" s="6" t="n">
        <v>0.8179999999999999</v>
      </c>
      <c r="AI80" s="6" t="n">
        <v>0.9379999999999999</v>
      </c>
      <c r="AJ80" s="6" t="n">
        <v>0.733</v>
      </c>
      <c r="AK80" s="6" t="inlineStr">
        <is>
          <t>FrozenUncertain</t>
        </is>
      </c>
      <c r="AL80" s="6" t="inlineStr">
        <is>
          <t>否</t>
        </is>
      </c>
      <c r="AM80" s="6" t="n">
        <v>0</v>
      </c>
      <c r="AN80" s="6" t="n">
        <v>0</v>
      </c>
      <c r="AO80" s="6" t="n"/>
    </row>
    <row r="81">
      <c r="A81" s="6" t="inlineStr">
        <is>
          <t>P013</t>
        </is>
      </c>
      <c r="B81" s="6" t="n">
        <v>5</v>
      </c>
      <c r="C81" s="6" t="inlineStr">
        <is>
          <t>O5-S1-OE</t>
        </is>
      </c>
      <c r="D81" s="6" t="n">
        <v>3</v>
      </c>
      <c r="E81" s="6" t="inlineStr">
        <is>
          <t>固定订书机</t>
        </is>
      </c>
      <c r="F81" s="6" t="inlineStr">
        <is>
          <t>stapler</t>
        </is>
      </c>
      <c r="G81" s="6" t="inlineStr">
        <is>
          <t>方法A</t>
        </is>
      </c>
      <c r="H81" s="6" t="inlineStr">
        <is>
          <t>One-Euro</t>
        </is>
      </c>
      <c r="I81" s="6" t="n">
        <v>1</v>
      </c>
      <c r="J81" s="6" t="n">
        <v>3</v>
      </c>
      <c r="K81" s="6" t="n">
        <v>5</v>
      </c>
      <c r="L81" s="6" t="n">
        <v>6</v>
      </c>
      <c r="M81" s="6" t="n">
        <v>5</v>
      </c>
      <c r="N81" s="6" t="n"/>
      <c r="O81" s="6" t="n">
        <v>6</v>
      </c>
      <c r="P81" s="6" t="n">
        <v>5</v>
      </c>
      <c r="Q81" s="6" t="n">
        <v>5</v>
      </c>
      <c r="R81" s="6" t="n">
        <v>5</v>
      </c>
      <c r="S81" s="6" t="n">
        <v>6</v>
      </c>
      <c r="T81" s="6" t="n">
        <v>6</v>
      </c>
      <c r="U81" s="6" t="n">
        <v>7</v>
      </c>
      <c r="V81" s="6" t="n">
        <v>6</v>
      </c>
      <c r="W81" s="6" t="n">
        <v>4</v>
      </c>
      <c r="X81" s="6" t="n">
        <v>4</v>
      </c>
      <c r="Y81" s="6" t="n"/>
      <c r="Z81" s="6" t="n"/>
      <c r="AA81" s="6" t="n">
        <v>149.7</v>
      </c>
      <c r="AB81" s="6" t="inlineStr">
        <is>
          <t>是</t>
        </is>
      </c>
      <c r="AC81" s="6" t="inlineStr">
        <is>
          <t>是</t>
        </is>
      </c>
      <c r="AD81" s="6" t="inlineStr">
        <is>
          <t>是</t>
        </is>
      </c>
      <c r="AE81" s="6" t="inlineStr">
        <is>
          <t>无</t>
        </is>
      </c>
      <c r="AF81" s="6" t="n">
        <v>9.539999999999999</v>
      </c>
      <c r="AG81" s="6" t="n">
        <v>0.924</v>
      </c>
      <c r="AH81" s="6" t="n">
        <v>0.9429999999999999</v>
      </c>
      <c r="AI81" s="6" t="n">
        <v>0.9350000000000001</v>
      </c>
      <c r="AJ81" s="6" t="n">
        <v>0.747</v>
      </c>
      <c r="AK81" s="6" t="inlineStr">
        <is>
          <t>FrozenUncertain</t>
        </is>
      </c>
      <c r="AL81" s="6" t="inlineStr">
        <is>
          <t>否</t>
        </is>
      </c>
      <c r="AM81" s="6" t="n">
        <v>0</v>
      </c>
      <c r="AN81" s="6" t="n">
        <v>0</v>
      </c>
      <c r="AO81" s="6" t="n"/>
    </row>
    <row r="82">
      <c r="A82" s="6" t="inlineStr">
        <is>
          <t>P013</t>
        </is>
      </c>
      <c r="B82" s="6" t="n">
        <v>6</v>
      </c>
      <c r="C82" s="6" t="inlineStr">
        <is>
          <t>O5-S1-OE</t>
        </is>
      </c>
      <c r="D82" s="6" t="n">
        <v>3</v>
      </c>
      <c r="E82" s="6" t="inlineStr">
        <is>
          <t>固定订书机</t>
        </is>
      </c>
      <c r="F82" s="6" t="inlineStr">
        <is>
          <t>stapler</t>
        </is>
      </c>
      <c r="G82" s="6" t="inlineStr">
        <is>
          <t>方法B</t>
        </is>
      </c>
      <c r="H82" s="6" t="inlineStr">
        <is>
          <t>EgoAnchor</t>
        </is>
      </c>
      <c r="I82" s="6" t="n">
        <v>2</v>
      </c>
      <c r="J82" s="6" t="n">
        <v>3</v>
      </c>
      <c r="K82" s="6" t="n">
        <v>6</v>
      </c>
      <c r="L82" s="6" t="n">
        <v>5</v>
      </c>
      <c r="M82" s="6" t="n">
        <v>5</v>
      </c>
      <c r="N82" s="6" t="n"/>
      <c r="O82" s="6" t="n">
        <v>5</v>
      </c>
      <c r="P82" s="6" t="n">
        <v>6</v>
      </c>
      <c r="Q82" s="6" t="n">
        <v>6</v>
      </c>
      <c r="R82" s="6" t="n">
        <v>5</v>
      </c>
      <c r="S82" s="6" t="n">
        <v>7</v>
      </c>
      <c r="T82" s="6" t="n">
        <v>5</v>
      </c>
      <c r="U82" s="6" t="n">
        <v>7</v>
      </c>
      <c r="V82" s="6" t="n">
        <v>7</v>
      </c>
      <c r="W82" s="6" t="n">
        <v>5</v>
      </c>
      <c r="X82" s="6" t="n">
        <v>4</v>
      </c>
      <c r="Y82" s="6" t="n"/>
      <c r="Z82" s="6" t="n"/>
      <c r="AA82" s="6" t="n">
        <v>166</v>
      </c>
      <c r="AB82" s="6" t="inlineStr">
        <is>
          <t>是</t>
        </is>
      </c>
      <c r="AC82" s="6" t="inlineStr">
        <is>
          <t>是</t>
        </is>
      </c>
      <c r="AD82" s="6" t="inlineStr">
        <is>
          <t>是</t>
        </is>
      </c>
      <c r="AE82" s="6" t="inlineStr">
        <is>
          <t>无</t>
        </is>
      </c>
      <c r="AF82" s="6" t="n">
        <v>9.33</v>
      </c>
      <c r="AG82" s="6" t="n">
        <v>0.882</v>
      </c>
      <c r="AH82" s="6" t="n">
        <v>0.953</v>
      </c>
      <c r="AI82" s="6" t="n">
        <v>0.944</v>
      </c>
      <c r="AJ82" s="6" t="n">
        <v>0.742</v>
      </c>
      <c r="AK82" s="6" t="inlineStr">
        <is>
          <t>FrozenUncertain</t>
        </is>
      </c>
      <c r="AL82" s="6" t="inlineStr">
        <is>
          <t>否</t>
        </is>
      </c>
      <c r="AM82" s="6" t="n">
        <v>0</v>
      </c>
      <c r="AN82" s="6" t="n">
        <v>4</v>
      </c>
      <c r="AO82" s="6" t="n"/>
    </row>
    <row r="83">
      <c r="A83" s="6" t="inlineStr">
        <is>
          <t>P014</t>
        </is>
      </c>
      <c r="B83" s="6" t="n">
        <v>1</v>
      </c>
      <c r="C83" s="6" t="inlineStr">
        <is>
          <t>O2-S1-OE</t>
        </is>
      </c>
      <c r="D83" s="6" t="n">
        <v>1</v>
      </c>
      <c r="E83" s="6" t="inlineStr">
        <is>
          <t>鼠标</t>
        </is>
      </c>
      <c r="F83" s="6" t="inlineStr">
        <is>
          <t>blue_mouse</t>
        </is>
      </c>
      <c r="G83" s="6" t="inlineStr">
        <is>
          <t>方法A</t>
        </is>
      </c>
      <c r="H83" s="6" t="inlineStr">
        <is>
          <t>One-Euro</t>
        </is>
      </c>
      <c r="I83" s="6" t="n">
        <v>1</v>
      </c>
      <c r="J83" s="6" t="n">
        <v>1</v>
      </c>
      <c r="K83" s="6" t="n">
        <v>5</v>
      </c>
      <c r="L83" s="6" t="n">
        <v>4</v>
      </c>
      <c r="M83" s="6" t="n">
        <v>5</v>
      </c>
      <c r="N83" s="6" t="n"/>
      <c r="O83" s="6" t="n">
        <v>6</v>
      </c>
      <c r="P83" s="6" t="n">
        <v>6</v>
      </c>
      <c r="Q83" s="6" t="n">
        <v>4</v>
      </c>
      <c r="R83" s="6" t="n">
        <v>4</v>
      </c>
      <c r="S83" s="6" t="n">
        <v>6</v>
      </c>
      <c r="T83" s="6" t="n">
        <v>6</v>
      </c>
      <c r="U83" s="6" t="n">
        <v>6</v>
      </c>
      <c r="V83" s="6" t="n">
        <v>7</v>
      </c>
      <c r="W83" s="6" t="n">
        <v>5</v>
      </c>
      <c r="X83" s="6" t="n">
        <v>5</v>
      </c>
      <c r="Y83" s="6" t="n"/>
      <c r="Z83" s="6" t="n"/>
      <c r="AA83" s="6" t="n">
        <v>134.3</v>
      </c>
      <c r="AB83" s="6" t="inlineStr">
        <is>
          <t>是</t>
        </is>
      </c>
      <c r="AC83" s="6" t="inlineStr">
        <is>
          <t>是</t>
        </is>
      </c>
      <c r="AD83" s="6" t="inlineStr">
        <is>
          <t>是</t>
        </is>
      </c>
      <c r="AE83" s="6" t="inlineStr">
        <is>
          <t>无</t>
        </is>
      </c>
      <c r="AF83" s="6" t="n">
        <v>9.41</v>
      </c>
      <c r="AG83" s="6" t="n">
        <v>0.86</v>
      </c>
      <c r="AH83" s="6" t="n">
        <v>0.923</v>
      </c>
      <c r="AI83" s="6" t="n">
        <v>0.944</v>
      </c>
      <c r="AJ83" s="6" t="n">
        <v>0.743</v>
      </c>
      <c r="AK83" s="6" t="inlineStr">
        <is>
          <t>FrozenUncertain</t>
        </is>
      </c>
      <c r="AL83" s="6" t="inlineStr">
        <is>
          <t>否</t>
        </is>
      </c>
      <c r="AM83" s="6" t="n">
        <v>0</v>
      </c>
      <c r="AN83" s="6" t="n">
        <v>0</v>
      </c>
      <c r="AO83" s="6" t="n"/>
    </row>
    <row r="84">
      <c r="A84" s="6" t="inlineStr">
        <is>
          <t>P014</t>
        </is>
      </c>
      <c r="B84" s="6" t="n">
        <v>2</v>
      </c>
      <c r="C84" s="6" t="inlineStr">
        <is>
          <t>O2-S1-OE</t>
        </is>
      </c>
      <c r="D84" s="6" t="n">
        <v>1</v>
      </c>
      <c r="E84" s="6" t="inlineStr">
        <is>
          <t>鼠标</t>
        </is>
      </c>
      <c r="F84" s="6" t="inlineStr">
        <is>
          <t>blue_mouse</t>
        </is>
      </c>
      <c r="G84" s="6" t="inlineStr">
        <is>
          <t>方法B</t>
        </is>
      </c>
      <c r="H84" s="6" t="inlineStr">
        <is>
          <t>EgoAnchor</t>
        </is>
      </c>
      <c r="I84" s="6" t="n">
        <v>2</v>
      </c>
      <c r="J84" s="6" t="n">
        <v>1</v>
      </c>
      <c r="K84" s="6" t="n">
        <v>6</v>
      </c>
      <c r="L84" s="6" t="n">
        <v>3</v>
      </c>
      <c r="M84" s="6" t="n">
        <v>3</v>
      </c>
      <c r="N84" s="6" t="n"/>
      <c r="O84" s="6" t="n">
        <v>3</v>
      </c>
      <c r="P84" s="6" t="n">
        <v>5</v>
      </c>
      <c r="Q84" s="6" t="n">
        <v>4</v>
      </c>
      <c r="R84" s="6" t="n">
        <v>6</v>
      </c>
      <c r="S84" s="6" t="n">
        <v>5</v>
      </c>
      <c r="T84" s="6" t="n">
        <v>4</v>
      </c>
      <c r="U84" s="6" t="n">
        <v>5</v>
      </c>
      <c r="V84" s="6" t="n">
        <v>4</v>
      </c>
      <c r="W84" s="6" t="n">
        <v>4</v>
      </c>
      <c r="X84" s="6" t="n">
        <v>5</v>
      </c>
      <c r="Y84" s="6" t="n"/>
      <c r="Z84" s="6" t="n"/>
      <c r="AA84" s="6" t="n">
        <v>123.2</v>
      </c>
      <c r="AB84" s="6" t="inlineStr">
        <is>
          <t>是</t>
        </is>
      </c>
      <c r="AC84" s="6" t="inlineStr">
        <is>
          <t>是</t>
        </is>
      </c>
      <c r="AD84" s="6" t="inlineStr">
        <is>
          <t>是</t>
        </is>
      </c>
      <c r="AE84" s="6" t="inlineStr">
        <is>
          <t>无</t>
        </is>
      </c>
      <c r="AF84" s="6" t="n">
        <v>9.42</v>
      </c>
      <c r="AG84" s="6" t="n">
        <v>0.873</v>
      </c>
      <c r="AH84" s="6" t="n">
        <v>0.928</v>
      </c>
      <c r="AI84" s="6" t="n">
        <v>0.9409999999999999</v>
      </c>
      <c r="AJ84" s="6" t="n">
        <v>0.751</v>
      </c>
      <c r="AK84" s="6" t="inlineStr">
        <is>
          <t>FrozenUncertain</t>
        </is>
      </c>
      <c r="AL84" s="6" t="inlineStr">
        <is>
          <t>否</t>
        </is>
      </c>
      <c r="AM84" s="6" t="n">
        <v>0</v>
      </c>
      <c r="AN84" s="6" t="n">
        <v>3</v>
      </c>
      <c r="AO84" s="6" t="n"/>
    </row>
    <row r="85">
      <c r="A85" s="6" t="inlineStr">
        <is>
          <t>P014</t>
        </is>
      </c>
      <c r="B85" s="6" t="n">
        <v>3</v>
      </c>
      <c r="C85" s="6" t="inlineStr">
        <is>
          <t>O2-S1-OE</t>
        </is>
      </c>
      <c r="D85" s="6" t="n">
        <v>2</v>
      </c>
      <c r="E85" s="6" t="inlineStr">
        <is>
          <t>游戏手柄</t>
        </is>
      </c>
      <c r="F85" s="6" t="inlineStr">
        <is>
          <t>gamepad</t>
        </is>
      </c>
      <c r="G85" s="6" t="inlineStr">
        <is>
          <t>方法B</t>
        </is>
      </c>
      <c r="H85" s="6" t="inlineStr">
        <is>
          <t>EgoAnchor</t>
        </is>
      </c>
      <c r="I85" s="6" t="n">
        <v>1</v>
      </c>
      <c r="J85" s="6" t="n">
        <v>2</v>
      </c>
      <c r="K85" s="6" t="n">
        <v>6</v>
      </c>
      <c r="L85" s="6" t="n">
        <v>5</v>
      </c>
      <c r="M85" s="6" t="n">
        <v>5</v>
      </c>
      <c r="N85" s="6" t="n"/>
      <c r="O85" s="6" t="n">
        <v>6</v>
      </c>
      <c r="P85" s="6" t="n">
        <v>6</v>
      </c>
      <c r="Q85" s="6" t="n">
        <v>5</v>
      </c>
      <c r="R85" s="6" t="n">
        <v>6</v>
      </c>
      <c r="S85" s="6" t="n">
        <v>6</v>
      </c>
      <c r="T85" s="6" t="n">
        <v>6</v>
      </c>
      <c r="U85" s="6" t="n">
        <v>7</v>
      </c>
      <c r="V85" s="6" t="n">
        <v>6</v>
      </c>
      <c r="W85" s="6" t="n">
        <v>5</v>
      </c>
      <c r="X85" s="6" t="n">
        <v>5</v>
      </c>
      <c r="Y85" s="6" t="n"/>
      <c r="Z85" s="6" t="n"/>
      <c r="AA85" s="6" t="n">
        <v>141.2</v>
      </c>
      <c r="AB85" s="6" t="inlineStr">
        <is>
          <t>是</t>
        </is>
      </c>
      <c r="AC85" s="6" t="inlineStr">
        <is>
          <t>是</t>
        </is>
      </c>
      <c r="AD85" s="6" t="inlineStr">
        <is>
          <t>是</t>
        </is>
      </c>
      <c r="AE85" s="6" t="inlineStr">
        <is>
          <t>无</t>
        </is>
      </c>
      <c r="AF85" s="6" t="n">
        <v>9.800000000000001</v>
      </c>
      <c r="AG85" s="6" t="n">
        <v>0.874</v>
      </c>
      <c r="AH85" s="6" t="n">
        <v>0.905</v>
      </c>
      <c r="AI85" s="6" t="n">
        <v>0.926</v>
      </c>
      <c r="AJ85" s="6" t="n">
        <v>0.77</v>
      </c>
      <c r="AK85" s="6" t="inlineStr">
        <is>
          <t>FrozenUncertain</t>
        </is>
      </c>
      <c r="AL85" s="6" t="inlineStr">
        <is>
          <t>否</t>
        </is>
      </c>
      <c r="AM85" s="6" t="n">
        <v>0</v>
      </c>
      <c r="AN85" s="6" t="n">
        <v>6</v>
      </c>
      <c r="AO85" s="6" t="n"/>
    </row>
    <row r="86">
      <c r="A86" s="6" t="inlineStr">
        <is>
          <t>P014</t>
        </is>
      </c>
      <c r="B86" s="6" t="n">
        <v>4</v>
      </c>
      <c r="C86" s="6" t="inlineStr">
        <is>
          <t>O2-S1-OE</t>
        </is>
      </c>
      <c r="D86" s="6" t="n">
        <v>2</v>
      </c>
      <c r="E86" s="6" t="inlineStr">
        <is>
          <t>游戏手柄</t>
        </is>
      </c>
      <c r="F86" s="6" t="inlineStr">
        <is>
          <t>gamepad</t>
        </is>
      </c>
      <c r="G86" s="6" t="inlineStr">
        <is>
          <t>方法A</t>
        </is>
      </c>
      <c r="H86" s="6" t="inlineStr">
        <is>
          <t>One-Euro</t>
        </is>
      </c>
      <c r="I86" s="6" t="n">
        <v>2</v>
      </c>
      <c r="J86" s="6" t="n">
        <v>2</v>
      </c>
      <c r="K86" s="6" t="n">
        <v>5</v>
      </c>
      <c r="L86" s="6" t="n">
        <v>5</v>
      </c>
      <c r="M86" s="6" t="n">
        <v>5</v>
      </c>
      <c r="N86" s="6" t="n"/>
      <c r="O86" s="6" t="n">
        <v>6</v>
      </c>
      <c r="P86" s="6" t="n">
        <v>6</v>
      </c>
      <c r="Q86" s="6" t="n">
        <v>4</v>
      </c>
      <c r="R86" s="6" t="n">
        <v>6</v>
      </c>
      <c r="S86" s="6" t="n">
        <v>6</v>
      </c>
      <c r="T86" s="6" t="n">
        <v>6</v>
      </c>
      <c r="U86" s="6" t="n">
        <v>5</v>
      </c>
      <c r="V86" s="6" t="n">
        <v>7</v>
      </c>
      <c r="W86" s="6" t="n">
        <v>4</v>
      </c>
      <c r="X86" s="6" t="n">
        <v>5</v>
      </c>
      <c r="Y86" s="6" t="n"/>
      <c r="Z86" s="6" t="n"/>
      <c r="AA86" s="6" t="n">
        <v>116.1</v>
      </c>
      <c r="AB86" s="6" t="inlineStr">
        <is>
          <t>是</t>
        </is>
      </c>
      <c r="AC86" s="6" t="inlineStr">
        <is>
          <t>是</t>
        </is>
      </c>
      <c r="AD86" s="6" t="inlineStr">
        <is>
          <t>是</t>
        </is>
      </c>
      <c r="AE86" s="6" t="inlineStr">
        <is>
          <t>无</t>
        </is>
      </c>
      <c r="AF86" s="6" t="n">
        <v>9.300000000000001</v>
      </c>
      <c r="AG86" s="6" t="n">
        <v>0.884</v>
      </c>
      <c r="AH86" s="6" t="n">
        <v>0.882</v>
      </c>
      <c r="AI86" s="6" t="n">
        <v>0.944</v>
      </c>
      <c r="AJ86" s="6" t="n">
        <v>0.745</v>
      </c>
      <c r="AK86" s="6" t="inlineStr">
        <is>
          <t>FrozenUncertain</t>
        </is>
      </c>
      <c r="AL86" s="6" t="inlineStr">
        <is>
          <t>否</t>
        </is>
      </c>
      <c r="AM86" s="6" t="n">
        <v>0</v>
      </c>
      <c r="AN86" s="6" t="n">
        <v>0</v>
      </c>
      <c r="AO86" s="6" t="n"/>
    </row>
    <row r="87">
      <c r="A87" s="6" t="inlineStr">
        <is>
          <t>P014</t>
        </is>
      </c>
      <c r="B87" s="6" t="n">
        <v>5</v>
      </c>
      <c r="C87" s="6" t="inlineStr">
        <is>
          <t>O2-S1-OE</t>
        </is>
      </c>
      <c r="D87" s="6" t="n">
        <v>3</v>
      </c>
      <c r="E87" s="6" t="inlineStr">
        <is>
          <t>固定订书机</t>
        </is>
      </c>
      <c r="F87" s="6" t="inlineStr">
        <is>
          <t>stapler</t>
        </is>
      </c>
      <c r="G87" s="6" t="inlineStr">
        <is>
          <t>方法A</t>
        </is>
      </c>
      <c r="H87" s="6" t="inlineStr">
        <is>
          <t>One-Euro</t>
        </is>
      </c>
      <c r="I87" s="6" t="n">
        <v>1</v>
      </c>
      <c r="J87" s="6" t="n">
        <v>3</v>
      </c>
      <c r="K87" s="6" t="n">
        <v>7</v>
      </c>
      <c r="L87" s="6" t="n">
        <v>6</v>
      </c>
      <c r="M87" s="6" t="n">
        <v>6</v>
      </c>
      <c r="N87" s="6" t="n"/>
      <c r="O87" s="6" t="n">
        <v>7</v>
      </c>
      <c r="P87" s="6" t="n">
        <v>6</v>
      </c>
      <c r="Q87" s="6" t="n">
        <v>5</v>
      </c>
      <c r="R87" s="6" t="n">
        <v>7</v>
      </c>
      <c r="S87" s="6" t="n">
        <v>7</v>
      </c>
      <c r="T87" s="6" t="n">
        <v>6</v>
      </c>
      <c r="U87" s="6" t="n">
        <v>6</v>
      </c>
      <c r="V87" s="6" t="n">
        <v>7</v>
      </c>
      <c r="W87" s="6" t="n">
        <v>4</v>
      </c>
      <c r="X87" s="6" t="n">
        <v>5</v>
      </c>
      <c r="Y87" s="6" t="n"/>
      <c r="Z87" s="6" t="n"/>
      <c r="AA87" s="6" t="n">
        <v>136.5</v>
      </c>
      <c r="AB87" s="6" t="inlineStr">
        <is>
          <t>是</t>
        </is>
      </c>
      <c r="AC87" s="6" t="inlineStr">
        <is>
          <t>是</t>
        </is>
      </c>
      <c r="AD87" s="6" t="inlineStr">
        <is>
          <t>是</t>
        </is>
      </c>
      <c r="AE87" s="6" t="inlineStr">
        <is>
          <t>无</t>
        </is>
      </c>
      <c r="AF87" s="6" t="n">
        <v>9.35</v>
      </c>
      <c r="AG87" s="6" t="n">
        <v>0.928</v>
      </c>
      <c r="AH87" s="6" t="n">
        <v>0.914</v>
      </c>
      <c r="AI87" s="6" t="n">
        <v>0.954</v>
      </c>
      <c r="AJ87" s="6" t="n">
        <v>0.775</v>
      </c>
      <c r="AK87" s="6" t="inlineStr">
        <is>
          <t>FrozenUncertain</t>
        </is>
      </c>
      <c r="AL87" s="6" t="inlineStr">
        <is>
          <t>否</t>
        </is>
      </c>
      <c r="AM87" s="6" t="n">
        <v>0</v>
      </c>
      <c r="AN87" s="6" t="n">
        <v>0</v>
      </c>
      <c r="AO87" s="6" t="n"/>
    </row>
    <row r="88">
      <c r="A88" s="6" t="inlineStr">
        <is>
          <t>P014</t>
        </is>
      </c>
      <c r="B88" s="6" t="n">
        <v>6</v>
      </c>
      <c r="C88" s="6" t="inlineStr">
        <is>
          <t>O2-S1-OE</t>
        </is>
      </c>
      <c r="D88" s="6" t="n">
        <v>3</v>
      </c>
      <c r="E88" s="6" t="inlineStr">
        <is>
          <t>固定订书机</t>
        </is>
      </c>
      <c r="F88" s="6" t="inlineStr">
        <is>
          <t>stapler</t>
        </is>
      </c>
      <c r="G88" s="6" t="inlineStr">
        <is>
          <t>方法B</t>
        </is>
      </c>
      <c r="H88" s="6" t="inlineStr">
        <is>
          <t>EgoAnchor</t>
        </is>
      </c>
      <c r="I88" s="6" t="n">
        <v>2</v>
      </c>
      <c r="J88" s="6" t="n">
        <v>3</v>
      </c>
      <c r="K88" s="6" t="n">
        <v>7</v>
      </c>
      <c r="L88" s="6" t="n">
        <v>4</v>
      </c>
      <c r="M88" s="6" t="n">
        <v>4</v>
      </c>
      <c r="N88" s="6" t="n"/>
      <c r="O88" s="6" t="n">
        <v>4</v>
      </c>
      <c r="P88" s="6" t="n">
        <v>6</v>
      </c>
      <c r="Q88" s="6" t="n">
        <v>5</v>
      </c>
      <c r="R88" s="6" t="n">
        <v>6</v>
      </c>
      <c r="S88" s="6" t="n">
        <v>6</v>
      </c>
      <c r="T88" s="6" t="n">
        <v>6</v>
      </c>
      <c r="U88" s="6" t="n">
        <v>7</v>
      </c>
      <c r="V88" s="6" t="n">
        <v>6</v>
      </c>
      <c r="W88" s="6" t="n">
        <v>5</v>
      </c>
      <c r="X88" s="6" t="n">
        <v>6</v>
      </c>
      <c r="Y88" s="6" t="n"/>
      <c r="Z88" s="6" t="n"/>
      <c r="AA88" s="6" t="n">
        <v>152</v>
      </c>
      <c r="AB88" s="6" t="inlineStr">
        <is>
          <t>是</t>
        </is>
      </c>
      <c r="AC88" s="6" t="inlineStr">
        <is>
          <t>是</t>
        </is>
      </c>
      <c r="AD88" s="6" t="inlineStr">
        <is>
          <t>是</t>
        </is>
      </c>
      <c r="AE88" s="6" t="inlineStr">
        <is>
          <t>无</t>
        </is>
      </c>
      <c r="AF88" s="6" t="n">
        <v>9.779999999999999</v>
      </c>
      <c r="AG88" s="6" t="n">
        <v>0.914</v>
      </c>
      <c r="AH88" s="6" t="n">
        <v>0.9409999999999999</v>
      </c>
      <c r="AI88" s="6" t="n">
        <v>0.956</v>
      </c>
      <c r="AJ88" s="6" t="n">
        <v>0.698</v>
      </c>
      <c r="AK88" s="6" t="inlineStr">
        <is>
          <t>FrozenUncertain</t>
        </is>
      </c>
      <c r="AL88" s="6" t="inlineStr">
        <is>
          <t>否</t>
        </is>
      </c>
      <c r="AM88" s="6" t="n">
        <v>0</v>
      </c>
      <c r="AN88" s="6" t="n">
        <v>5</v>
      </c>
      <c r="AO88" s="6" t="n"/>
    </row>
    <row r="89">
      <c r="A89" s="6" t="inlineStr">
        <is>
          <t>P015</t>
        </is>
      </c>
      <c r="B89" s="6" t="n">
        <v>1</v>
      </c>
      <c r="C89" s="6" t="inlineStr">
        <is>
          <t>O6-S2-EA</t>
        </is>
      </c>
      <c r="D89" s="6" t="n">
        <v>1</v>
      </c>
      <c r="E89" s="6" t="inlineStr">
        <is>
          <t>游戏手柄</t>
        </is>
      </c>
      <c r="F89" s="6" t="inlineStr">
        <is>
          <t>gamepad</t>
        </is>
      </c>
      <c r="G89" s="6" t="inlineStr">
        <is>
          <t>方法B</t>
        </is>
      </c>
      <c r="H89" s="6" t="inlineStr">
        <is>
          <t>One-Euro</t>
        </is>
      </c>
      <c r="I89" s="6" t="n">
        <v>1</v>
      </c>
      <c r="J89" s="6" t="n">
        <v>1</v>
      </c>
      <c r="K89" s="6" t="n">
        <v>4</v>
      </c>
      <c r="L89" s="6" t="n">
        <v>6</v>
      </c>
      <c r="M89" s="6" t="n">
        <v>5</v>
      </c>
      <c r="N89" s="6" t="n"/>
      <c r="O89" s="6" t="n">
        <v>6</v>
      </c>
      <c r="P89" s="6" t="n">
        <v>4</v>
      </c>
      <c r="Q89" s="6" t="n">
        <v>5</v>
      </c>
      <c r="R89" s="6" t="n">
        <v>6</v>
      </c>
      <c r="S89" s="6" t="n">
        <v>3</v>
      </c>
      <c r="T89" s="6" t="n">
        <v>5</v>
      </c>
      <c r="U89" s="6" t="n">
        <v>7</v>
      </c>
      <c r="V89" s="6" t="n">
        <v>7</v>
      </c>
      <c r="W89" s="6" t="n">
        <v>6</v>
      </c>
      <c r="X89" s="6" t="n">
        <v>6</v>
      </c>
      <c r="Y89" s="6" t="n"/>
      <c r="Z89" s="6" t="n"/>
      <c r="AA89" s="6" t="n">
        <v>90.59999999999999</v>
      </c>
      <c r="AB89" s="6" t="inlineStr">
        <is>
          <t>是</t>
        </is>
      </c>
      <c r="AC89" s="6" t="inlineStr">
        <is>
          <t>是</t>
        </is>
      </c>
      <c r="AD89" s="6" t="inlineStr">
        <is>
          <t>是</t>
        </is>
      </c>
      <c r="AE89" s="6" t="inlineStr">
        <is>
          <t>无</t>
        </is>
      </c>
      <c r="AF89" s="6" t="n">
        <v>9.369999999999999</v>
      </c>
      <c r="AG89" s="6" t="n">
        <v>0.87</v>
      </c>
      <c r="AH89" s="6" t="n">
        <v>0.905</v>
      </c>
      <c r="AI89" s="6" t="n">
        <v>0.97</v>
      </c>
      <c r="AJ89" s="6" t="n">
        <v>0.765</v>
      </c>
      <c r="AK89" s="6" t="inlineStr">
        <is>
          <t>FrozenUncertain</t>
        </is>
      </c>
      <c r="AL89" s="6" t="inlineStr">
        <is>
          <t>否</t>
        </is>
      </c>
      <c r="AM89" s="6" t="n">
        <v>0</v>
      </c>
      <c r="AN89" s="6" t="n">
        <v>0</v>
      </c>
      <c r="AO89" s="6" t="n"/>
    </row>
    <row r="90">
      <c r="A90" s="6" t="inlineStr">
        <is>
          <t>P015</t>
        </is>
      </c>
      <c r="B90" s="6" t="n">
        <v>2</v>
      </c>
      <c r="C90" s="6" t="inlineStr">
        <is>
          <t>O6-S2-EA</t>
        </is>
      </c>
      <c r="D90" s="6" t="n">
        <v>1</v>
      </c>
      <c r="E90" s="6" t="inlineStr">
        <is>
          <t>游戏手柄</t>
        </is>
      </c>
      <c r="F90" s="6" t="inlineStr">
        <is>
          <t>gamepad</t>
        </is>
      </c>
      <c r="G90" s="6" t="inlineStr">
        <is>
          <t>方法A</t>
        </is>
      </c>
      <c r="H90" s="6" t="inlineStr">
        <is>
          <t>EgoAnchor</t>
        </is>
      </c>
      <c r="I90" s="6" t="n">
        <v>2</v>
      </c>
      <c r="J90" s="6" t="n">
        <v>1</v>
      </c>
      <c r="K90" s="6" t="n">
        <v>5</v>
      </c>
      <c r="L90" s="6" t="n">
        <v>3</v>
      </c>
      <c r="M90" s="6" t="n">
        <v>4</v>
      </c>
      <c r="N90" s="6" t="n"/>
      <c r="O90" s="6" t="n">
        <v>3</v>
      </c>
      <c r="P90" s="6" t="n">
        <v>4</v>
      </c>
      <c r="Q90" s="6" t="n">
        <v>3</v>
      </c>
      <c r="R90" s="6" t="n">
        <v>5</v>
      </c>
      <c r="S90" s="6" t="n">
        <v>3</v>
      </c>
      <c r="T90" s="6" t="n">
        <v>4</v>
      </c>
      <c r="U90" s="6" t="n">
        <v>5</v>
      </c>
      <c r="V90" s="6" t="n">
        <v>5</v>
      </c>
      <c r="W90" s="6" t="n">
        <v>6</v>
      </c>
      <c r="X90" s="6" t="n">
        <v>5</v>
      </c>
      <c r="Y90" s="6" t="n"/>
      <c r="Z90" s="6" t="n"/>
      <c r="AA90" s="6" t="n">
        <v>89.90000000000001</v>
      </c>
      <c r="AB90" s="6" t="inlineStr">
        <is>
          <t>是</t>
        </is>
      </c>
      <c r="AC90" s="6" t="inlineStr">
        <is>
          <t>是</t>
        </is>
      </c>
      <c r="AD90" s="6" t="inlineStr">
        <is>
          <t>是</t>
        </is>
      </c>
      <c r="AE90" s="6" t="inlineStr">
        <is>
          <t>无</t>
        </is>
      </c>
      <c r="AF90" s="6" t="n">
        <v>8.92</v>
      </c>
      <c r="AG90" s="6" t="n">
        <v>0.848</v>
      </c>
      <c r="AH90" s="6" t="n">
        <v>0.953</v>
      </c>
      <c r="AI90" s="6" t="n">
        <v>0.929</v>
      </c>
      <c r="AJ90" s="6" t="n">
        <v>0.738</v>
      </c>
      <c r="AK90" s="6" t="inlineStr">
        <is>
          <t>FrozenUncertain</t>
        </is>
      </c>
      <c r="AL90" s="6" t="inlineStr">
        <is>
          <t>否</t>
        </is>
      </c>
      <c r="AM90" s="6" t="n">
        <v>0</v>
      </c>
      <c r="AN90" s="6" t="n">
        <v>6</v>
      </c>
      <c r="AO90" s="6" t="n"/>
    </row>
    <row r="91">
      <c r="A91" s="6" t="inlineStr">
        <is>
          <t>P015</t>
        </is>
      </c>
      <c r="B91" s="6" t="n">
        <v>3</v>
      </c>
      <c r="C91" s="6" t="inlineStr">
        <is>
          <t>O6-S2-EA</t>
        </is>
      </c>
      <c r="D91" s="6" t="n">
        <v>2</v>
      </c>
      <c r="E91" s="6" t="inlineStr">
        <is>
          <t>固定订书机</t>
        </is>
      </c>
      <c r="F91" s="6" t="inlineStr">
        <is>
          <t>stapler</t>
        </is>
      </c>
      <c r="G91" s="6" t="inlineStr">
        <is>
          <t>方法A</t>
        </is>
      </c>
      <c r="H91" s="6" t="inlineStr">
        <is>
          <t>EgoAnchor</t>
        </is>
      </c>
      <c r="I91" s="6" t="n">
        <v>1</v>
      </c>
      <c r="J91" s="6" t="n">
        <v>2</v>
      </c>
      <c r="K91" s="6" t="n">
        <v>5</v>
      </c>
      <c r="L91" s="6" t="n">
        <v>5</v>
      </c>
      <c r="M91" s="6" t="n">
        <v>3</v>
      </c>
      <c r="N91" s="6" t="n"/>
      <c r="O91" s="6" t="n">
        <v>3</v>
      </c>
      <c r="P91" s="6" t="n">
        <v>4</v>
      </c>
      <c r="Q91" s="6" t="n">
        <v>4</v>
      </c>
      <c r="R91" s="6" t="n">
        <v>5</v>
      </c>
      <c r="S91" s="6" t="n">
        <v>4</v>
      </c>
      <c r="T91" s="6" t="n">
        <v>5</v>
      </c>
      <c r="U91" s="6" t="n">
        <v>7</v>
      </c>
      <c r="V91" s="6" t="n">
        <v>6</v>
      </c>
      <c r="W91" s="6" t="n">
        <v>5</v>
      </c>
      <c r="X91" s="6" t="n">
        <v>6</v>
      </c>
      <c r="Y91" s="6" t="n"/>
      <c r="Z91" s="6" t="n"/>
      <c r="AA91" s="6" t="n">
        <v>82</v>
      </c>
      <c r="AB91" s="6" t="inlineStr">
        <is>
          <t>是</t>
        </is>
      </c>
      <c r="AC91" s="6" t="inlineStr">
        <is>
          <t>是</t>
        </is>
      </c>
      <c r="AD91" s="6" t="inlineStr">
        <is>
          <t>是</t>
        </is>
      </c>
      <c r="AE91" s="6" t="inlineStr">
        <is>
          <t>无</t>
        </is>
      </c>
      <c r="AF91" s="6" t="n">
        <v>9.289999999999999</v>
      </c>
      <c r="AG91" s="6" t="n">
        <v>0.911</v>
      </c>
      <c r="AH91" s="6" t="n">
        <v>0.9399999999999999</v>
      </c>
      <c r="AI91" s="6" t="n">
        <v>0.931</v>
      </c>
      <c r="AJ91" s="6" t="n">
        <v>0.738</v>
      </c>
      <c r="AK91" s="6" t="inlineStr">
        <is>
          <t>FrozenUncertain</t>
        </is>
      </c>
      <c r="AL91" s="6" t="inlineStr">
        <is>
          <t>否</t>
        </is>
      </c>
      <c r="AM91" s="6" t="n">
        <v>0</v>
      </c>
      <c r="AN91" s="6" t="n">
        <v>6</v>
      </c>
      <c r="AO91" s="6" t="n"/>
    </row>
    <row r="92">
      <c r="A92" s="6" t="inlineStr">
        <is>
          <t>P015</t>
        </is>
      </c>
      <c r="B92" s="6" t="n">
        <v>4</v>
      </c>
      <c r="C92" s="6" t="inlineStr">
        <is>
          <t>O6-S2-EA</t>
        </is>
      </c>
      <c r="D92" s="6" t="n">
        <v>2</v>
      </c>
      <c r="E92" s="6" t="inlineStr">
        <is>
          <t>固定订书机</t>
        </is>
      </c>
      <c r="F92" s="6" t="inlineStr">
        <is>
          <t>stapler</t>
        </is>
      </c>
      <c r="G92" s="6" t="inlineStr">
        <is>
          <t>方法B</t>
        </is>
      </c>
      <c r="H92" s="6" t="inlineStr">
        <is>
          <t>One-Euro</t>
        </is>
      </c>
      <c r="I92" s="6" t="n">
        <v>2</v>
      </c>
      <c r="J92" s="6" t="n">
        <v>2</v>
      </c>
      <c r="K92" s="6" t="n">
        <v>4</v>
      </c>
      <c r="L92" s="6" t="n">
        <v>4</v>
      </c>
      <c r="M92" s="6" t="n">
        <v>3</v>
      </c>
      <c r="N92" s="6" t="n"/>
      <c r="O92" s="6" t="n">
        <v>3</v>
      </c>
      <c r="P92" s="6" t="n">
        <v>4</v>
      </c>
      <c r="Q92" s="6" t="n">
        <v>4</v>
      </c>
      <c r="R92" s="6" t="n">
        <v>4</v>
      </c>
      <c r="S92" s="6" t="n">
        <v>3</v>
      </c>
      <c r="T92" s="6" t="n">
        <v>4</v>
      </c>
      <c r="U92" s="6" t="n">
        <v>5</v>
      </c>
      <c r="V92" s="6" t="n">
        <v>5</v>
      </c>
      <c r="W92" s="6" t="n">
        <v>4</v>
      </c>
      <c r="X92" s="6" t="n">
        <v>3</v>
      </c>
      <c r="Y92" s="6" t="n"/>
      <c r="Z92" s="6" t="n"/>
      <c r="AA92" s="6" t="n">
        <v>104.7</v>
      </c>
      <c r="AB92" s="6" t="inlineStr">
        <is>
          <t>是</t>
        </is>
      </c>
      <c r="AC92" s="6" t="inlineStr">
        <is>
          <t>是</t>
        </is>
      </c>
      <c r="AD92" s="6" t="inlineStr">
        <is>
          <t>是</t>
        </is>
      </c>
      <c r="AE92" s="6" t="inlineStr">
        <is>
          <t>无</t>
        </is>
      </c>
      <c r="AF92" s="6" t="n">
        <v>9.390000000000001</v>
      </c>
      <c r="AG92" s="6" t="n">
        <v>0.909</v>
      </c>
      <c r="AH92" s="6" t="n">
        <v>0.965</v>
      </c>
      <c r="AI92" s="6" t="n">
        <v>0.972</v>
      </c>
      <c r="AJ92" s="6" t="n">
        <v>0.719</v>
      </c>
      <c r="AK92" s="6" t="inlineStr">
        <is>
          <t>FrozenUncertain</t>
        </is>
      </c>
      <c r="AL92" s="6" t="inlineStr">
        <is>
          <t>否</t>
        </is>
      </c>
      <c r="AM92" s="6" t="n">
        <v>0</v>
      </c>
      <c r="AN92" s="6" t="n">
        <v>0</v>
      </c>
      <c r="AO92" s="6" t="n"/>
    </row>
    <row r="93">
      <c r="A93" s="6" t="inlineStr">
        <is>
          <t>P015</t>
        </is>
      </c>
      <c r="B93" s="6" t="n">
        <v>5</v>
      </c>
      <c r="C93" s="6" t="inlineStr">
        <is>
          <t>O6-S2-EA</t>
        </is>
      </c>
      <c r="D93" s="6" t="n">
        <v>3</v>
      </c>
      <c r="E93" s="6" t="inlineStr">
        <is>
          <t>鼠标</t>
        </is>
      </c>
      <c r="F93" s="6" t="inlineStr">
        <is>
          <t>blue_mouse</t>
        </is>
      </c>
      <c r="G93" s="6" t="inlineStr">
        <is>
          <t>方法B</t>
        </is>
      </c>
      <c r="H93" s="6" t="inlineStr">
        <is>
          <t>One-Euro</t>
        </is>
      </c>
      <c r="I93" s="6" t="n">
        <v>1</v>
      </c>
      <c r="J93" s="6" t="n">
        <v>3</v>
      </c>
      <c r="K93" s="6" t="n">
        <v>4</v>
      </c>
      <c r="L93" s="6" t="n">
        <v>5</v>
      </c>
      <c r="M93" s="6" t="n">
        <v>1</v>
      </c>
      <c r="N93" s="6" t="n"/>
      <c r="O93" s="6" t="n">
        <v>4</v>
      </c>
      <c r="P93" s="6" t="n">
        <v>2</v>
      </c>
      <c r="Q93" s="6" t="n">
        <v>2</v>
      </c>
      <c r="R93" s="6" t="n">
        <v>3</v>
      </c>
      <c r="S93" s="6" t="n">
        <v>1</v>
      </c>
      <c r="T93" s="6" t="n">
        <v>3</v>
      </c>
      <c r="U93" s="6" t="n">
        <v>5</v>
      </c>
      <c r="V93" s="6" t="n">
        <v>4</v>
      </c>
      <c r="W93" s="6" t="n">
        <v>3</v>
      </c>
      <c r="X93" s="6" t="n">
        <v>3</v>
      </c>
      <c r="Y93" s="6" t="n"/>
      <c r="Z93" s="6" t="n"/>
      <c r="AA93" s="6" t="n">
        <v>98.5</v>
      </c>
      <c r="AB93" s="6" t="inlineStr">
        <is>
          <t>是</t>
        </is>
      </c>
      <c r="AC93" s="6" t="inlineStr">
        <is>
          <t>是</t>
        </is>
      </c>
      <c r="AD93" s="6" t="inlineStr">
        <is>
          <t>是</t>
        </is>
      </c>
      <c r="AE93" s="6" t="inlineStr">
        <is>
          <t>无</t>
        </is>
      </c>
      <c r="AF93" s="6" t="n">
        <v>9.550000000000001</v>
      </c>
      <c r="AG93" s="6" t="n">
        <v>0.902</v>
      </c>
      <c r="AH93" s="6" t="n">
        <v>0.88</v>
      </c>
      <c r="AI93" s="6" t="n">
        <v>0.948</v>
      </c>
      <c r="AJ93" s="6" t="n">
        <v>0.797</v>
      </c>
      <c r="AK93" s="6" t="inlineStr">
        <is>
          <t>FrozenUncertain</t>
        </is>
      </c>
      <c r="AL93" s="6" t="inlineStr">
        <is>
          <t>否</t>
        </is>
      </c>
      <c r="AM93" s="6" t="n">
        <v>0</v>
      </c>
      <c r="AN93" s="6" t="n">
        <v>0</v>
      </c>
      <c r="AO93" s="6" t="n"/>
    </row>
    <row r="94">
      <c r="A94" s="6" t="inlineStr">
        <is>
          <t>P015</t>
        </is>
      </c>
      <c r="B94" s="6" t="n">
        <v>6</v>
      </c>
      <c r="C94" s="6" t="inlineStr">
        <is>
          <t>O6-S2-EA</t>
        </is>
      </c>
      <c r="D94" s="6" t="n">
        <v>3</v>
      </c>
      <c r="E94" s="6" t="inlineStr">
        <is>
          <t>鼠标</t>
        </is>
      </c>
      <c r="F94" s="6" t="inlineStr">
        <is>
          <t>blue_mouse</t>
        </is>
      </c>
      <c r="G94" s="6" t="inlineStr">
        <is>
          <t>方法A</t>
        </is>
      </c>
      <c r="H94" s="6" t="inlineStr">
        <is>
          <t>EgoAnchor</t>
        </is>
      </c>
      <c r="I94" s="6" t="n">
        <v>2</v>
      </c>
      <c r="J94" s="6" t="n">
        <v>3</v>
      </c>
      <c r="K94" s="6" t="n">
        <v>5</v>
      </c>
      <c r="L94" s="6" t="n">
        <v>4</v>
      </c>
      <c r="M94" s="6" t="n">
        <v>4</v>
      </c>
      <c r="N94" s="6" t="n"/>
      <c r="O94" s="6" t="n">
        <v>4</v>
      </c>
      <c r="P94" s="6" t="n">
        <v>5</v>
      </c>
      <c r="Q94" s="6" t="n">
        <v>5</v>
      </c>
      <c r="R94" s="6" t="n">
        <v>6</v>
      </c>
      <c r="S94" s="6" t="n">
        <v>3</v>
      </c>
      <c r="T94" s="6" t="n">
        <v>3</v>
      </c>
      <c r="U94" s="6" t="n">
        <v>6</v>
      </c>
      <c r="V94" s="6" t="n">
        <v>5</v>
      </c>
      <c r="W94" s="6" t="n">
        <v>6</v>
      </c>
      <c r="X94" s="6" t="n">
        <v>6</v>
      </c>
      <c r="Y94" s="6" t="n"/>
      <c r="Z94" s="6" t="n"/>
      <c r="AA94" s="6" t="n">
        <v>127.7</v>
      </c>
      <c r="AB94" s="6" t="inlineStr">
        <is>
          <t>是</t>
        </is>
      </c>
      <c r="AC94" s="6" t="inlineStr">
        <is>
          <t>是</t>
        </is>
      </c>
      <c r="AD94" s="6" t="inlineStr">
        <is>
          <t>是</t>
        </is>
      </c>
      <c r="AE94" s="6" t="inlineStr">
        <is>
          <t>无</t>
        </is>
      </c>
      <c r="AF94" s="6" t="n">
        <v>9.99</v>
      </c>
      <c r="AG94" s="6" t="n">
        <v>0.905</v>
      </c>
      <c r="AH94" s="6" t="n">
        <v>0.912</v>
      </c>
      <c r="AI94" s="6" t="n">
        <v>0.947</v>
      </c>
      <c r="AJ94" s="6" t="n">
        <v>0.773</v>
      </c>
      <c r="AK94" s="6" t="inlineStr">
        <is>
          <t>FrozenUncertain</t>
        </is>
      </c>
      <c r="AL94" s="6" t="inlineStr">
        <is>
          <t>否</t>
        </is>
      </c>
      <c r="AM94" s="6" t="n">
        <v>0</v>
      </c>
      <c r="AN94" s="6" t="n">
        <v>3</v>
      </c>
      <c r="AO94" s="6" t="n"/>
    </row>
    <row r="95">
      <c r="A95" s="6" t="inlineStr">
        <is>
          <t>P016</t>
        </is>
      </c>
      <c r="B95" s="6" t="n">
        <v>1</v>
      </c>
      <c r="C95" s="6" t="inlineStr">
        <is>
          <t>O2-S1-EA</t>
        </is>
      </c>
      <c r="D95" s="6" t="n">
        <v>1</v>
      </c>
      <c r="E95" s="6" t="inlineStr">
        <is>
          <t>鼠标</t>
        </is>
      </c>
      <c r="F95" s="6" t="inlineStr">
        <is>
          <t>blue_mouse</t>
        </is>
      </c>
      <c r="G95" s="6" t="inlineStr">
        <is>
          <t>方法A</t>
        </is>
      </c>
      <c r="H95" s="6" t="inlineStr">
        <is>
          <t>EgoAnchor</t>
        </is>
      </c>
      <c r="I95" s="6" t="n">
        <v>1</v>
      </c>
      <c r="J95" s="6" t="n">
        <v>1</v>
      </c>
      <c r="K95" s="6" t="n">
        <v>7</v>
      </c>
      <c r="L95" s="6" t="n">
        <v>5</v>
      </c>
      <c r="M95" s="6" t="n">
        <v>7</v>
      </c>
      <c r="N95" s="6" t="n"/>
      <c r="O95" s="6" t="n">
        <v>5</v>
      </c>
      <c r="P95" s="6" t="n">
        <v>7</v>
      </c>
      <c r="Q95" s="6" t="n">
        <v>6</v>
      </c>
      <c r="R95" s="6" t="n">
        <v>7</v>
      </c>
      <c r="S95" s="6" t="n">
        <v>3</v>
      </c>
      <c r="T95" s="6" t="n">
        <v>4</v>
      </c>
      <c r="U95" s="6" t="n">
        <v>6</v>
      </c>
      <c r="V95" s="6" t="n">
        <v>7</v>
      </c>
      <c r="W95" s="6" t="n">
        <v>4</v>
      </c>
      <c r="X95" s="6" t="n">
        <v>6</v>
      </c>
      <c r="Y95" s="6" t="n"/>
      <c r="Z95" s="6" t="n"/>
      <c r="AA95" s="6" t="n">
        <v>124.4</v>
      </c>
      <c r="AB95" s="6" t="inlineStr">
        <is>
          <t>是</t>
        </is>
      </c>
      <c r="AC95" s="6" t="inlineStr">
        <is>
          <t>是</t>
        </is>
      </c>
      <c r="AD95" s="6" t="inlineStr">
        <is>
          <t>是</t>
        </is>
      </c>
      <c r="AE95" s="6" t="inlineStr">
        <is>
          <t>无</t>
        </is>
      </c>
      <c r="AF95" s="6" t="n">
        <v>9.25</v>
      </c>
      <c r="AG95" s="6" t="n">
        <v>0.848</v>
      </c>
      <c r="AH95" s="6" t="n">
        <v>0.869</v>
      </c>
      <c r="AI95" s="6" t="n">
        <v>0.9419999999999999</v>
      </c>
      <c r="AJ95" s="6" t="n">
        <v>0.783</v>
      </c>
      <c r="AK95" s="6" t="inlineStr">
        <is>
          <t>FrozenUncertain</t>
        </is>
      </c>
      <c r="AL95" s="6" t="inlineStr">
        <is>
          <t>否</t>
        </is>
      </c>
      <c r="AM95" s="6" t="n">
        <v>0</v>
      </c>
      <c r="AN95" s="6" t="n">
        <v>3</v>
      </c>
      <c r="AO95" s="6" t="n"/>
    </row>
    <row r="96">
      <c r="A96" s="6" t="inlineStr">
        <is>
          <t>P016</t>
        </is>
      </c>
      <c r="B96" s="6" t="n">
        <v>2</v>
      </c>
      <c r="C96" s="6" t="inlineStr">
        <is>
          <t>O2-S1-EA</t>
        </is>
      </c>
      <c r="D96" s="6" t="n">
        <v>1</v>
      </c>
      <c r="E96" s="6" t="inlineStr">
        <is>
          <t>鼠标</t>
        </is>
      </c>
      <c r="F96" s="6" t="inlineStr">
        <is>
          <t>blue_mouse</t>
        </is>
      </c>
      <c r="G96" s="6" t="inlineStr">
        <is>
          <t>方法B</t>
        </is>
      </c>
      <c r="H96" s="6" t="inlineStr">
        <is>
          <t>One-Euro</t>
        </is>
      </c>
      <c r="I96" s="6" t="n">
        <v>2</v>
      </c>
      <c r="J96" s="6" t="n">
        <v>1</v>
      </c>
      <c r="K96" s="6" t="n">
        <v>3</v>
      </c>
      <c r="L96" s="6" t="n">
        <v>4</v>
      </c>
      <c r="M96" s="6" t="n">
        <v>5</v>
      </c>
      <c r="N96" s="6" t="n"/>
      <c r="O96" s="6" t="n">
        <v>3</v>
      </c>
      <c r="P96" s="6" t="n">
        <v>4</v>
      </c>
      <c r="Q96" s="6" t="n">
        <v>2</v>
      </c>
      <c r="R96" s="6" t="n">
        <v>2</v>
      </c>
      <c r="S96" s="6" t="n">
        <v>1</v>
      </c>
      <c r="T96" s="6" t="n">
        <v>3</v>
      </c>
      <c r="U96" s="6" t="n">
        <v>4</v>
      </c>
      <c r="V96" s="6" t="n">
        <v>5</v>
      </c>
      <c r="W96" s="6" t="n">
        <v>2</v>
      </c>
      <c r="X96" s="6" t="n">
        <v>3</v>
      </c>
      <c r="Y96" s="6" t="n"/>
      <c r="Z96" s="6" t="n"/>
      <c r="AA96" s="6" t="n">
        <v>123.5</v>
      </c>
      <c r="AB96" s="6" t="inlineStr">
        <is>
          <t>是</t>
        </is>
      </c>
      <c r="AC96" s="6" t="inlineStr">
        <is>
          <t>是</t>
        </is>
      </c>
      <c r="AD96" s="6" t="inlineStr">
        <is>
          <t>是</t>
        </is>
      </c>
      <c r="AE96" s="6" t="inlineStr">
        <is>
          <t>无</t>
        </is>
      </c>
      <c r="AF96" s="6" t="n">
        <v>9.69</v>
      </c>
      <c r="AG96" s="6" t="n">
        <v>0.838</v>
      </c>
      <c r="AH96" s="6" t="n">
        <v>0.893</v>
      </c>
      <c r="AI96" s="6" t="n">
        <v>0.968</v>
      </c>
      <c r="AJ96" s="6" t="n">
        <v>0.804</v>
      </c>
      <c r="AK96" s="6" t="inlineStr">
        <is>
          <t>FrozenUncertain</t>
        </is>
      </c>
      <c r="AL96" s="6" t="inlineStr">
        <is>
          <t>否</t>
        </is>
      </c>
      <c r="AM96" s="6" t="n">
        <v>0</v>
      </c>
      <c r="AN96" s="6" t="n">
        <v>0</v>
      </c>
      <c r="AO96" s="6" t="n"/>
    </row>
    <row r="97">
      <c r="A97" s="6" t="inlineStr">
        <is>
          <t>P016</t>
        </is>
      </c>
      <c r="B97" s="6" t="n">
        <v>3</v>
      </c>
      <c r="C97" s="6" t="inlineStr">
        <is>
          <t>O2-S1-EA</t>
        </is>
      </c>
      <c r="D97" s="6" t="n">
        <v>2</v>
      </c>
      <c r="E97" s="6" t="inlineStr">
        <is>
          <t>游戏手柄</t>
        </is>
      </c>
      <c r="F97" s="6" t="inlineStr">
        <is>
          <t>gamepad</t>
        </is>
      </c>
      <c r="G97" s="6" t="inlineStr">
        <is>
          <t>方法B</t>
        </is>
      </c>
      <c r="H97" s="6" t="inlineStr">
        <is>
          <t>One-Euro</t>
        </is>
      </c>
      <c r="I97" s="6" t="n">
        <v>1</v>
      </c>
      <c r="J97" s="6" t="n">
        <v>2</v>
      </c>
      <c r="K97" s="6" t="n">
        <v>5</v>
      </c>
      <c r="L97" s="6" t="n">
        <v>4</v>
      </c>
      <c r="M97" s="6" t="n">
        <v>5</v>
      </c>
      <c r="N97" s="6" t="n"/>
      <c r="O97" s="6" t="n">
        <v>4</v>
      </c>
      <c r="P97" s="6" t="n">
        <v>4</v>
      </c>
      <c r="Q97" s="6" t="n">
        <v>4</v>
      </c>
      <c r="R97" s="6" t="n">
        <v>3</v>
      </c>
      <c r="S97" s="6" t="n">
        <v>3</v>
      </c>
      <c r="T97" s="6" t="n">
        <v>4</v>
      </c>
      <c r="U97" s="6" t="n">
        <v>5</v>
      </c>
      <c r="V97" s="6" t="n">
        <v>5</v>
      </c>
      <c r="W97" s="6" t="n">
        <v>2</v>
      </c>
      <c r="X97" s="6" t="n">
        <v>3</v>
      </c>
      <c r="Y97" s="6" t="n"/>
      <c r="Z97" s="6" t="n"/>
      <c r="AA97" s="6" t="n">
        <v>117</v>
      </c>
      <c r="AB97" s="6" t="inlineStr">
        <is>
          <t>是</t>
        </is>
      </c>
      <c r="AC97" s="6" t="inlineStr">
        <is>
          <t>是</t>
        </is>
      </c>
      <c r="AD97" s="6" t="inlineStr">
        <is>
          <t>是</t>
        </is>
      </c>
      <c r="AE97" s="6" t="inlineStr">
        <is>
          <t>头显轻微下滑，参与者自行调整后继续；问卷前确认视野清晰</t>
        </is>
      </c>
      <c r="AF97" s="6" t="n">
        <v>9.539999999999999</v>
      </c>
      <c r="AG97" s="6" t="n">
        <v>0.897</v>
      </c>
      <c r="AH97" s="6" t="n">
        <v>0.9330000000000001</v>
      </c>
      <c r="AI97" s="6" t="n">
        <v>0.9419999999999999</v>
      </c>
      <c r="AJ97" s="6" t="n">
        <v>0.719</v>
      </c>
      <c r="AK97" s="6" t="inlineStr">
        <is>
          <t>FrozenUncertain</t>
        </is>
      </c>
      <c r="AL97" s="6" t="inlineStr">
        <is>
          <t>否</t>
        </is>
      </c>
      <c r="AM97" s="6" t="n">
        <v>0</v>
      </c>
      <c r="AN97" s="6" t="n">
        <v>0</v>
      </c>
      <c r="AO97" s="6" t="n"/>
    </row>
    <row r="98">
      <c r="A98" s="6" t="inlineStr">
        <is>
          <t>P016</t>
        </is>
      </c>
      <c r="B98" s="6" t="n">
        <v>4</v>
      </c>
      <c r="C98" s="6" t="inlineStr">
        <is>
          <t>O2-S1-EA</t>
        </is>
      </c>
      <c r="D98" s="6" t="n">
        <v>2</v>
      </c>
      <c r="E98" s="6" t="inlineStr">
        <is>
          <t>游戏手柄</t>
        </is>
      </c>
      <c r="F98" s="6" t="inlineStr">
        <is>
          <t>gamepad</t>
        </is>
      </c>
      <c r="G98" s="6" t="inlineStr">
        <is>
          <t>方法A</t>
        </is>
      </c>
      <c r="H98" s="6" t="inlineStr">
        <is>
          <t>EgoAnchor</t>
        </is>
      </c>
      <c r="I98" s="6" t="n">
        <v>2</v>
      </c>
      <c r="J98" s="6" t="n">
        <v>2</v>
      </c>
      <c r="K98" s="6" t="n">
        <v>6</v>
      </c>
      <c r="L98" s="6" t="n">
        <v>6</v>
      </c>
      <c r="M98" s="6" t="n">
        <v>6</v>
      </c>
      <c r="N98" s="6" t="n"/>
      <c r="O98" s="6" t="n">
        <v>4</v>
      </c>
      <c r="P98" s="6" t="n">
        <v>5</v>
      </c>
      <c r="Q98" s="6" t="n">
        <v>6</v>
      </c>
      <c r="R98" s="6" t="n">
        <v>5</v>
      </c>
      <c r="S98" s="6" t="n">
        <v>3</v>
      </c>
      <c r="T98" s="6" t="n">
        <v>6</v>
      </c>
      <c r="U98" s="6" t="n">
        <v>7</v>
      </c>
      <c r="V98" s="6" t="n">
        <v>6</v>
      </c>
      <c r="W98" s="6" t="n">
        <v>4</v>
      </c>
      <c r="X98" s="6" t="n">
        <v>5</v>
      </c>
      <c r="Y98" s="6" t="n"/>
      <c r="Z98" s="6" t="n"/>
      <c r="AA98" s="6" t="n">
        <v>122.8</v>
      </c>
      <c r="AB98" s="6" t="inlineStr">
        <is>
          <t>是</t>
        </is>
      </c>
      <c r="AC98" s="6" t="inlineStr">
        <is>
          <t>是</t>
        </is>
      </c>
      <c r="AD98" s="6" t="inlineStr">
        <is>
          <t>是</t>
        </is>
      </c>
      <c r="AE98" s="6" t="inlineStr">
        <is>
          <t>无</t>
        </is>
      </c>
      <c r="AF98" s="6" t="n">
        <v>9.51</v>
      </c>
      <c r="AG98" s="6" t="n">
        <v>0.898</v>
      </c>
      <c r="AH98" s="6" t="n">
        <v>0.928</v>
      </c>
      <c r="AI98" s="6" t="n">
        <v>0.952</v>
      </c>
      <c r="AJ98" s="6" t="n">
        <v>0.725</v>
      </c>
      <c r="AK98" s="6" t="inlineStr">
        <is>
          <t>FrozenUncertain</t>
        </is>
      </c>
      <c r="AL98" s="6" t="inlineStr">
        <is>
          <t>否</t>
        </is>
      </c>
      <c r="AM98" s="6" t="n">
        <v>0</v>
      </c>
      <c r="AN98" s="6" t="n">
        <v>4</v>
      </c>
      <c r="AO98" s="6" t="n"/>
    </row>
    <row r="99">
      <c r="A99" s="6" t="inlineStr">
        <is>
          <t>P016</t>
        </is>
      </c>
      <c r="B99" s="6" t="n">
        <v>5</v>
      </c>
      <c r="C99" s="6" t="inlineStr">
        <is>
          <t>O2-S1-EA</t>
        </is>
      </c>
      <c r="D99" s="6" t="n">
        <v>3</v>
      </c>
      <c r="E99" s="6" t="inlineStr">
        <is>
          <t>固定订书机</t>
        </is>
      </c>
      <c r="F99" s="6" t="inlineStr">
        <is>
          <t>stapler</t>
        </is>
      </c>
      <c r="G99" s="6" t="inlineStr">
        <is>
          <t>方法A</t>
        </is>
      </c>
      <c r="H99" s="6" t="inlineStr">
        <is>
          <t>EgoAnchor</t>
        </is>
      </c>
      <c r="I99" s="6" t="n">
        <v>1</v>
      </c>
      <c r="J99" s="6" t="n">
        <v>3</v>
      </c>
      <c r="K99" s="6" t="n">
        <v>7</v>
      </c>
      <c r="L99" s="6" t="n">
        <v>6</v>
      </c>
      <c r="M99" s="6" t="n">
        <v>6</v>
      </c>
      <c r="N99" s="6" t="n"/>
      <c r="O99" s="6" t="n">
        <v>4</v>
      </c>
      <c r="P99" s="6" t="n">
        <v>6</v>
      </c>
      <c r="Q99" s="6" t="n">
        <v>5</v>
      </c>
      <c r="R99" s="6" t="n">
        <v>6</v>
      </c>
      <c r="S99" s="6" t="n">
        <v>3</v>
      </c>
      <c r="T99" s="6" t="n">
        <v>4</v>
      </c>
      <c r="U99" s="6" t="n">
        <v>6</v>
      </c>
      <c r="V99" s="6" t="n">
        <v>6</v>
      </c>
      <c r="W99" s="6" t="n">
        <v>4</v>
      </c>
      <c r="X99" s="6" t="n">
        <v>5</v>
      </c>
      <c r="Y99" s="6" t="n"/>
      <c r="Z99" s="6" t="n"/>
      <c r="AA99" s="6" t="n">
        <v>108.3</v>
      </c>
      <c r="AB99" s="6" t="inlineStr">
        <is>
          <t>是</t>
        </is>
      </c>
      <c r="AC99" s="6" t="inlineStr">
        <is>
          <t>是</t>
        </is>
      </c>
      <c r="AD99" s="6" t="inlineStr">
        <is>
          <t>是</t>
        </is>
      </c>
      <c r="AE99" s="6" t="inlineStr">
        <is>
          <t>无</t>
        </is>
      </c>
      <c r="AF99" s="6" t="n">
        <v>9.44</v>
      </c>
      <c r="AG99" s="6" t="n">
        <v>0.9429999999999999</v>
      </c>
      <c r="AH99" s="6" t="n">
        <v>0.981</v>
      </c>
      <c r="AI99" s="6" t="n">
        <v>0.9429999999999999</v>
      </c>
      <c r="AJ99" s="6" t="n">
        <v>0.696</v>
      </c>
      <c r="AK99" s="6" t="inlineStr">
        <is>
          <t>FrozenUncertain</t>
        </is>
      </c>
      <c r="AL99" s="6" t="inlineStr">
        <is>
          <t>否</t>
        </is>
      </c>
      <c r="AM99" s="6" t="n">
        <v>0</v>
      </c>
      <c r="AN99" s="6" t="n">
        <v>7</v>
      </c>
      <c r="AO99" s="6" t="n"/>
    </row>
    <row r="100">
      <c r="A100" s="6" t="inlineStr">
        <is>
          <t>P016</t>
        </is>
      </c>
      <c r="B100" s="6" t="n">
        <v>6</v>
      </c>
      <c r="C100" s="6" t="inlineStr">
        <is>
          <t>O2-S1-EA</t>
        </is>
      </c>
      <c r="D100" s="6" t="n">
        <v>3</v>
      </c>
      <c r="E100" s="6" t="inlineStr">
        <is>
          <t>固定订书机</t>
        </is>
      </c>
      <c r="F100" s="6" t="inlineStr">
        <is>
          <t>stapler</t>
        </is>
      </c>
      <c r="G100" s="6" t="inlineStr">
        <is>
          <t>方法B</t>
        </is>
      </c>
      <c r="H100" s="6" t="inlineStr">
        <is>
          <t>One-Euro</t>
        </is>
      </c>
      <c r="I100" s="6" t="n">
        <v>2</v>
      </c>
      <c r="J100" s="6" t="n">
        <v>3</v>
      </c>
      <c r="K100" s="6" t="n">
        <v>4</v>
      </c>
      <c r="L100" s="6" t="n">
        <v>4</v>
      </c>
      <c r="M100" s="6" t="n">
        <v>5</v>
      </c>
      <c r="N100" s="6" t="n"/>
      <c r="O100" s="6" t="n">
        <v>4</v>
      </c>
      <c r="P100" s="6" t="n">
        <v>4</v>
      </c>
      <c r="Q100" s="6" t="n">
        <v>4</v>
      </c>
      <c r="R100" s="6" t="n">
        <v>3</v>
      </c>
      <c r="S100" s="6" t="n">
        <v>3</v>
      </c>
      <c r="T100" s="6" t="n">
        <v>4</v>
      </c>
      <c r="U100" s="6" t="n">
        <v>6</v>
      </c>
      <c r="V100" s="6" t="n">
        <v>4</v>
      </c>
      <c r="W100" s="6" t="n">
        <v>2</v>
      </c>
      <c r="X100" s="6" t="n">
        <v>3</v>
      </c>
      <c r="Y100" s="6" t="n"/>
      <c r="Z100" s="6" t="n"/>
      <c r="AA100" s="6" t="n">
        <v>114</v>
      </c>
      <c r="AB100" s="6" t="inlineStr">
        <is>
          <t>是</t>
        </is>
      </c>
      <c r="AC100" s="6" t="inlineStr">
        <is>
          <t>是</t>
        </is>
      </c>
      <c r="AD100" s="6" t="inlineStr">
        <is>
          <t>是</t>
        </is>
      </c>
      <c r="AE100" s="6" t="inlineStr">
        <is>
          <t>无</t>
        </is>
      </c>
      <c r="AF100" s="6" t="n">
        <v>9.35</v>
      </c>
      <c r="AG100" s="6" t="n">
        <v>0.895</v>
      </c>
      <c r="AH100" s="6" t="n">
        <v>0.929</v>
      </c>
      <c r="AI100" s="6" t="n">
        <v>0.9379999999999999</v>
      </c>
      <c r="AJ100" s="6" t="n">
        <v>0.798</v>
      </c>
      <c r="AK100" s="6" t="inlineStr">
        <is>
          <t>FrozenUncertain</t>
        </is>
      </c>
      <c r="AL100" s="6" t="inlineStr">
        <is>
          <t>否</t>
        </is>
      </c>
      <c r="AM100" s="6" t="n">
        <v>0</v>
      </c>
      <c r="AN100" s="6" t="n">
        <v>0</v>
      </c>
      <c r="AO100" s="6" t="n"/>
    </row>
    <row r="101">
      <c r="A101" s="6" t="inlineStr">
        <is>
          <t>P017</t>
        </is>
      </c>
      <c r="B101" s="6" t="n">
        <v>1</v>
      </c>
      <c r="C101" s="6" t="inlineStr">
        <is>
          <t>O6-S2-OE</t>
        </is>
      </c>
      <c r="D101" s="6" t="n">
        <v>1</v>
      </c>
      <c r="E101" s="6" t="inlineStr">
        <is>
          <t>游戏手柄</t>
        </is>
      </c>
      <c r="F101" s="6" t="inlineStr">
        <is>
          <t>gamepad</t>
        </is>
      </c>
      <c r="G101" s="6" t="inlineStr">
        <is>
          <t>方法B</t>
        </is>
      </c>
      <c r="H101" s="6" t="inlineStr">
        <is>
          <t>EgoAnchor</t>
        </is>
      </c>
      <c r="I101" s="6" t="n">
        <v>1</v>
      </c>
      <c r="J101" s="6" t="n">
        <v>1</v>
      </c>
      <c r="K101" s="6" t="n">
        <v>7</v>
      </c>
      <c r="L101" s="6" t="n">
        <v>7</v>
      </c>
      <c r="M101" s="6" t="n">
        <v>7</v>
      </c>
      <c r="N101" s="6" t="n"/>
      <c r="O101" s="6" t="n">
        <v>7</v>
      </c>
      <c r="P101" s="6" t="n">
        <v>7</v>
      </c>
      <c r="Q101" s="6" t="n">
        <v>7</v>
      </c>
      <c r="R101" s="6" t="n">
        <v>7</v>
      </c>
      <c r="S101" s="6" t="n">
        <v>7</v>
      </c>
      <c r="T101" s="6" t="n">
        <v>7</v>
      </c>
      <c r="U101" s="6" t="n">
        <v>7</v>
      </c>
      <c r="V101" s="6" t="n">
        <v>7</v>
      </c>
      <c r="W101" s="6" t="n">
        <v>7</v>
      </c>
      <c r="X101" s="6" t="n">
        <v>7</v>
      </c>
      <c r="Y101" s="6" t="n"/>
      <c r="Z101" s="6" t="n"/>
      <c r="AA101" s="6" t="n">
        <v>152.5</v>
      </c>
      <c r="AB101" s="6" t="inlineStr">
        <is>
          <t>是</t>
        </is>
      </c>
      <c r="AC101" s="6" t="inlineStr">
        <is>
          <t>是</t>
        </is>
      </c>
      <c r="AD101" s="6" t="inlineStr">
        <is>
          <t>是</t>
        </is>
      </c>
      <c r="AE101" s="6" t="inlineStr">
        <is>
          <t>无</t>
        </is>
      </c>
      <c r="AF101" s="6" t="n">
        <v>9.5</v>
      </c>
      <c r="AG101" s="6" t="n">
        <v>0.867</v>
      </c>
      <c r="AH101" s="6" t="n">
        <v>0.914</v>
      </c>
      <c r="AI101" s="6" t="n">
        <v>0.954</v>
      </c>
      <c r="AJ101" s="6" t="n">
        <v>0.743</v>
      </c>
      <c r="AK101" s="6" t="inlineStr">
        <is>
          <t>FrozenUncertain</t>
        </is>
      </c>
      <c r="AL101" s="6" t="inlineStr">
        <is>
          <t>否</t>
        </is>
      </c>
      <c r="AM101" s="6" t="n">
        <v>0</v>
      </c>
      <c r="AN101" s="6" t="n">
        <v>8</v>
      </c>
      <c r="AO101" s="6" t="n"/>
    </row>
    <row r="102">
      <c r="A102" s="6" t="inlineStr">
        <is>
          <t>P017</t>
        </is>
      </c>
      <c r="B102" s="6" t="n">
        <v>2</v>
      </c>
      <c r="C102" s="6" t="inlineStr">
        <is>
          <t>O6-S2-OE</t>
        </is>
      </c>
      <c r="D102" s="6" t="n">
        <v>1</v>
      </c>
      <c r="E102" s="6" t="inlineStr">
        <is>
          <t>游戏手柄</t>
        </is>
      </c>
      <c r="F102" s="6" t="inlineStr">
        <is>
          <t>gamepad</t>
        </is>
      </c>
      <c r="G102" s="6" t="inlineStr">
        <is>
          <t>方法A</t>
        </is>
      </c>
      <c r="H102" s="6" t="inlineStr">
        <is>
          <t>One-Euro</t>
        </is>
      </c>
      <c r="I102" s="6" t="n">
        <v>2</v>
      </c>
      <c r="J102" s="6" t="n">
        <v>1</v>
      </c>
      <c r="K102" s="6" t="n">
        <v>5</v>
      </c>
      <c r="L102" s="6" t="n">
        <v>7</v>
      </c>
      <c r="M102" s="6" t="n">
        <v>5</v>
      </c>
      <c r="N102" s="6" t="n"/>
      <c r="O102" s="6" t="n">
        <v>5</v>
      </c>
      <c r="P102" s="6" t="n">
        <v>6</v>
      </c>
      <c r="Q102" s="6" t="n">
        <v>5</v>
      </c>
      <c r="R102" s="6" t="n">
        <v>5</v>
      </c>
      <c r="S102" s="6" t="n">
        <v>6</v>
      </c>
      <c r="T102" s="6" t="n">
        <v>5</v>
      </c>
      <c r="U102" s="6" t="n">
        <v>7</v>
      </c>
      <c r="V102" s="6" t="n">
        <v>6</v>
      </c>
      <c r="W102" s="6" t="n">
        <v>6</v>
      </c>
      <c r="X102" s="6" t="n">
        <v>7</v>
      </c>
      <c r="Y102" s="6" t="n"/>
      <c r="Z102" s="6" t="n"/>
      <c r="AA102" s="6" t="n">
        <v>169.2</v>
      </c>
      <c r="AB102" s="6" t="inlineStr">
        <is>
          <t>是</t>
        </is>
      </c>
      <c r="AC102" s="6" t="inlineStr">
        <is>
          <t>是</t>
        </is>
      </c>
      <c r="AD102" s="6" t="inlineStr">
        <is>
          <t>是</t>
        </is>
      </c>
      <c r="AE102" s="6" t="inlineStr">
        <is>
          <t>无</t>
        </is>
      </c>
      <c r="AF102" s="6" t="n">
        <v>9.49</v>
      </c>
      <c r="AG102" s="6" t="n">
        <v>0.898</v>
      </c>
      <c r="AH102" s="6" t="n">
        <v>0.9389999999999999</v>
      </c>
      <c r="AI102" s="6" t="n">
        <v>0.9370000000000001</v>
      </c>
      <c r="AJ102" s="6" t="n">
        <v>0.798</v>
      </c>
      <c r="AK102" s="6" t="inlineStr">
        <is>
          <t>FrozenUncertain</t>
        </is>
      </c>
      <c r="AL102" s="6" t="inlineStr">
        <is>
          <t>否</t>
        </is>
      </c>
      <c r="AM102" s="6" t="n">
        <v>0</v>
      </c>
      <c r="AN102" s="6" t="n">
        <v>0</v>
      </c>
      <c r="AO102" s="6" t="n"/>
    </row>
    <row r="103">
      <c r="A103" s="6" t="inlineStr">
        <is>
          <t>P017</t>
        </is>
      </c>
      <c r="B103" s="6" t="n">
        <v>3</v>
      </c>
      <c r="C103" s="6" t="inlineStr">
        <is>
          <t>O6-S2-OE</t>
        </is>
      </c>
      <c r="D103" s="6" t="n">
        <v>2</v>
      </c>
      <c r="E103" s="6" t="inlineStr">
        <is>
          <t>固定订书机</t>
        </is>
      </c>
      <c r="F103" s="6" t="inlineStr">
        <is>
          <t>stapler</t>
        </is>
      </c>
      <c r="G103" s="6" t="inlineStr">
        <is>
          <t>方法A</t>
        </is>
      </c>
      <c r="H103" s="6" t="inlineStr">
        <is>
          <t>One-Euro</t>
        </is>
      </c>
      <c r="I103" s="6" t="n">
        <v>1</v>
      </c>
      <c r="J103" s="6" t="n">
        <v>2</v>
      </c>
      <c r="K103" s="6" t="n">
        <v>5</v>
      </c>
      <c r="L103" s="6" t="n">
        <v>7</v>
      </c>
      <c r="M103" s="6" t="n">
        <v>6</v>
      </c>
      <c r="N103" s="6" t="n"/>
      <c r="O103" s="6" t="n">
        <v>6</v>
      </c>
      <c r="P103" s="6" t="n">
        <v>6</v>
      </c>
      <c r="Q103" s="6" t="n">
        <v>5</v>
      </c>
      <c r="R103" s="6" t="n">
        <v>5</v>
      </c>
      <c r="S103" s="6" t="n">
        <v>6</v>
      </c>
      <c r="T103" s="6" t="n">
        <v>5</v>
      </c>
      <c r="U103" s="6" t="n">
        <v>7</v>
      </c>
      <c r="V103" s="6" t="n">
        <v>7</v>
      </c>
      <c r="W103" s="6" t="n">
        <v>6</v>
      </c>
      <c r="X103" s="6" t="n">
        <v>6</v>
      </c>
      <c r="Y103" s="6" t="n"/>
      <c r="Z103" s="6" t="n"/>
      <c r="AA103" s="6" t="n">
        <v>154</v>
      </c>
      <c r="AB103" s="6" t="inlineStr">
        <is>
          <t>是</t>
        </is>
      </c>
      <c r="AC103" s="6" t="inlineStr">
        <is>
          <t>是</t>
        </is>
      </c>
      <c r="AD103" s="6" t="inlineStr">
        <is>
          <t>是</t>
        </is>
      </c>
      <c r="AE103" s="6" t="inlineStr">
        <is>
          <t>无</t>
        </is>
      </c>
      <c r="AF103" s="6" t="n">
        <v>9.4</v>
      </c>
      <c r="AG103" s="6" t="n">
        <v>0.922</v>
      </c>
      <c r="AH103" s="6" t="n">
        <v>0.956</v>
      </c>
      <c r="AI103" s="6" t="n">
        <v>0.965</v>
      </c>
      <c r="AJ103" s="6" t="n">
        <v>0.737</v>
      </c>
      <c r="AK103" s="6" t="inlineStr">
        <is>
          <t>FrozenUncertain</t>
        </is>
      </c>
      <c r="AL103" s="6" t="inlineStr">
        <is>
          <t>否</t>
        </is>
      </c>
      <c r="AM103" s="6" t="n">
        <v>0</v>
      </c>
      <c r="AN103" s="6" t="n">
        <v>0</v>
      </c>
      <c r="AO103" s="6" t="n"/>
    </row>
    <row r="104">
      <c r="A104" s="6" t="inlineStr">
        <is>
          <t>P017</t>
        </is>
      </c>
      <c r="B104" s="6" t="n">
        <v>4</v>
      </c>
      <c r="C104" s="6" t="inlineStr">
        <is>
          <t>O6-S2-OE</t>
        </is>
      </c>
      <c r="D104" s="6" t="n">
        <v>2</v>
      </c>
      <c r="E104" s="6" t="inlineStr">
        <is>
          <t>固定订书机</t>
        </is>
      </c>
      <c r="F104" s="6" t="inlineStr">
        <is>
          <t>stapler</t>
        </is>
      </c>
      <c r="G104" s="6" t="inlineStr">
        <is>
          <t>方法B</t>
        </is>
      </c>
      <c r="H104" s="6" t="inlineStr">
        <is>
          <t>EgoAnchor</t>
        </is>
      </c>
      <c r="I104" s="6" t="n">
        <v>2</v>
      </c>
      <c r="J104" s="6" t="n">
        <v>2</v>
      </c>
      <c r="K104" s="6" t="n">
        <v>7</v>
      </c>
      <c r="L104" s="6" t="n">
        <v>7</v>
      </c>
      <c r="M104" s="6" t="n">
        <v>6</v>
      </c>
      <c r="N104" s="6" t="n"/>
      <c r="O104" s="6" t="n">
        <v>7</v>
      </c>
      <c r="P104" s="6" t="n">
        <v>7</v>
      </c>
      <c r="Q104" s="6" t="n">
        <v>6</v>
      </c>
      <c r="R104" s="6" t="n">
        <v>7</v>
      </c>
      <c r="S104" s="6" t="n">
        <v>7</v>
      </c>
      <c r="T104" s="6" t="n">
        <v>6</v>
      </c>
      <c r="U104" s="6" t="n">
        <v>6</v>
      </c>
      <c r="V104" s="6" t="n">
        <v>7</v>
      </c>
      <c r="W104" s="6" t="n">
        <v>6</v>
      </c>
      <c r="X104" s="6" t="n">
        <v>7</v>
      </c>
      <c r="Y104" s="6" t="n"/>
      <c r="Z104" s="6" t="n"/>
      <c r="AA104" s="6" t="n">
        <v>173.5</v>
      </c>
      <c r="AB104" s="6" t="inlineStr">
        <is>
          <t>是</t>
        </is>
      </c>
      <c r="AC104" s="6" t="inlineStr">
        <is>
          <t>是</t>
        </is>
      </c>
      <c r="AD104" s="6" t="inlineStr">
        <is>
          <t>是</t>
        </is>
      </c>
      <c r="AE104" s="6" t="inlineStr">
        <is>
          <t>无</t>
        </is>
      </c>
      <c r="AF104" s="6" t="n">
        <v>9.85</v>
      </c>
      <c r="AG104" s="6" t="n">
        <v>0.898</v>
      </c>
      <c r="AH104" s="6" t="n">
        <v>0.916</v>
      </c>
      <c r="AI104" s="6" t="n">
        <v>0.953</v>
      </c>
      <c r="AJ104" s="6" t="n">
        <v>0.804</v>
      </c>
      <c r="AK104" s="6" t="inlineStr">
        <is>
          <t>FrozenUncertain</t>
        </is>
      </c>
      <c r="AL104" s="6" t="inlineStr">
        <is>
          <t>否</t>
        </is>
      </c>
      <c r="AM104" s="6" t="n">
        <v>0</v>
      </c>
      <c r="AN104" s="6" t="n">
        <v>8</v>
      </c>
      <c r="AO104" s="6" t="n"/>
    </row>
    <row r="105">
      <c r="A105" s="6" t="inlineStr">
        <is>
          <t>P017</t>
        </is>
      </c>
      <c r="B105" s="6" t="n">
        <v>5</v>
      </c>
      <c r="C105" s="6" t="inlineStr">
        <is>
          <t>O6-S2-OE</t>
        </is>
      </c>
      <c r="D105" s="6" t="n">
        <v>3</v>
      </c>
      <c r="E105" s="6" t="inlineStr">
        <is>
          <t>鼠标</t>
        </is>
      </c>
      <c r="F105" s="6" t="inlineStr">
        <is>
          <t>blue_mouse</t>
        </is>
      </c>
      <c r="G105" s="6" t="inlineStr">
        <is>
          <t>方法B</t>
        </is>
      </c>
      <c r="H105" s="6" t="inlineStr">
        <is>
          <t>EgoAnchor</t>
        </is>
      </c>
      <c r="I105" s="6" t="n">
        <v>1</v>
      </c>
      <c r="J105" s="6" t="n">
        <v>3</v>
      </c>
      <c r="K105" s="6" t="n">
        <v>6</v>
      </c>
      <c r="L105" s="6" t="n">
        <v>6</v>
      </c>
      <c r="M105" s="6" t="n">
        <v>6</v>
      </c>
      <c r="N105" s="6" t="n"/>
      <c r="O105" s="6" t="n">
        <v>5</v>
      </c>
      <c r="P105" s="6" t="n">
        <v>6</v>
      </c>
      <c r="Q105" s="6" t="n">
        <v>5</v>
      </c>
      <c r="R105" s="6" t="n">
        <v>6</v>
      </c>
      <c r="S105" s="6" t="n">
        <v>7</v>
      </c>
      <c r="T105" s="6" t="n">
        <v>4</v>
      </c>
      <c r="U105" s="6" t="n">
        <v>5</v>
      </c>
      <c r="V105" s="6" t="n">
        <v>5</v>
      </c>
      <c r="W105" s="6" t="n">
        <v>6</v>
      </c>
      <c r="X105" s="6" t="n">
        <v>7</v>
      </c>
      <c r="Y105" s="6" t="n"/>
      <c r="Z105" s="6" t="n"/>
      <c r="AA105" s="6" t="n">
        <v>160.1</v>
      </c>
      <c r="AB105" s="6" t="inlineStr">
        <is>
          <t>是</t>
        </is>
      </c>
      <c r="AC105" s="6" t="inlineStr">
        <is>
          <t>是</t>
        </is>
      </c>
      <c r="AD105" s="6" t="inlineStr">
        <is>
          <t>是</t>
        </is>
      </c>
      <c r="AE105" s="6" t="inlineStr">
        <is>
          <t>无</t>
        </is>
      </c>
      <c r="AF105" s="6" t="n">
        <v>9.699999999999999</v>
      </c>
      <c r="AG105" s="6" t="n">
        <v>0.891</v>
      </c>
      <c r="AH105" s="6" t="n">
        <v>0.875</v>
      </c>
      <c r="AI105" s="6" t="n">
        <v>0.97</v>
      </c>
      <c r="AJ105" s="6" t="n">
        <v>0.778</v>
      </c>
      <c r="AK105" s="6" t="inlineStr">
        <is>
          <t>FrozenUncertain</t>
        </is>
      </c>
      <c r="AL105" s="6" t="inlineStr">
        <is>
          <t>否</t>
        </is>
      </c>
      <c r="AM105" s="6" t="n">
        <v>0</v>
      </c>
      <c r="AN105" s="6" t="n">
        <v>6</v>
      </c>
      <c r="AO105" s="6" t="n"/>
    </row>
    <row r="106">
      <c r="A106" s="6" t="inlineStr">
        <is>
          <t>P017</t>
        </is>
      </c>
      <c r="B106" s="6" t="n">
        <v>6</v>
      </c>
      <c r="C106" s="6" t="inlineStr">
        <is>
          <t>O6-S2-OE</t>
        </is>
      </c>
      <c r="D106" s="6" t="n">
        <v>3</v>
      </c>
      <c r="E106" s="6" t="inlineStr">
        <is>
          <t>鼠标</t>
        </is>
      </c>
      <c r="F106" s="6" t="inlineStr">
        <is>
          <t>blue_mouse</t>
        </is>
      </c>
      <c r="G106" s="6" t="inlineStr">
        <is>
          <t>方法A</t>
        </is>
      </c>
      <c r="H106" s="6" t="inlineStr">
        <is>
          <t>One-Euro</t>
        </is>
      </c>
      <c r="I106" s="6" t="n">
        <v>2</v>
      </c>
      <c r="J106" s="6" t="n">
        <v>3</v>
      </c>
      <c r="K106" s="6" t="n">
        <v>4</v>
      </c>
      <c r="L106" s="6" t="n">
        <v>7</v>
      </c>
      <c r="M106" s="6" t="n">
        <v>5</v>
      </c>
      <c r="N106" s="6" t="n"/>
      <c r="O106" s="6" t="n">
        <v>4</v>
      </c>
      <c r="P106" s="6" t="n">
        <v>5</v>
      </c>
      <c r="Q106" s="6" t="n">
        <v>3</v>
      </c>
      <c r="R106" s="6" t="n">
        <v>5</v>
      </c>
      <c r="S106" s="6" t="n">
        <v>6</v>
      </c>
      <c r="T106" s="6" t="n">
        <v>5</v>
      </c>
      <c r="U106" s="6" t="n">
        <v>6</v>
      </c>
      <c r="V106" s="6" t="n">
        <v>6</v>
      </c>
      <c r="W106" s="6" t="n">
        <v>5</v>
      </c>
      <c r="X106" s="6" t="n">
        <v>6</v>
      </c>
      <c r="Y106" s="6" t="n"/>
      <c r="Z106" s="6" t="n"/>
      <c r="AA106" s="6" t="n">
        <v>161.7</v>
      </c>
      <c r="AB106" s="6" t="inlineStr">
        <is>
          <t>是</t>
        </is>
      </c>
      <c r="AC106" s="6" t="inlineStr">
        <is>
          <t>是</t>
        </is>
      </c>
      <c r="AD106" s="6" t="inlineStr">
        <is>
          <t>是</t>
        </is>
      </c>
      <c r="AE106" s="6" t="inlineStr">
        <is>
          <t>无</t>
        </is>
      </c>
      <c r="AF106" s="6" t="n">
        <v>9.57</v>
      </c>
      <c r="AG106" s="6" t="n">
        <v>0.876</v>
      </c>
      <c r="AH106" s="6" t="n">
        <v>0.9360000000000001</v>
      </c>
      <c r="AI106" s="6" t="n">
        <v>0.952</v>
      </c>
      <c r="AJ106" s="6" t="n">
        <v>0.798</v>
      </c>
      <c r="AK106" s="6" t="inlineStr">
        <is>
          <t>FrozenUncertain</t>
        </is>
      </c>
      <c r="AL106" s="6" t="inlineStr">
        <is>
          <t>否</t>
        </is>
      </c>
      <c r="AM106" s="6" t="n">
        <v>0</v>
      </c>
      <c r="AN106" s="6" t="n">
        <v>0</v>
      </c>
      <c r="AO106" s="6" t="n"/>
    </row>
    <row r="107">
      <c r="A107" s="6" t="inlineStr">
        <is>
          <t>P018</t>
        </is>
      </c>
      <c r="B107" s="6" t="n">
        <v>1</v>
      </c>
      <c r="C107" s="6" t="inlineStr">
        <is>
          <t>O5-S2-OE</t>
        </is>
      </c>
      <c r="D107" s="6" t="n">
        <v>1</v>
      </c>
      <c r="E107" s="6" t="inlineStr">
        <is>
          <t>游戏手柄</t>
        </is>
      </c>
      <c r="F107" s="6" t="inlineStr">
        <is>
          <t>gamepad</t>
        </is>
      </c>
      <c r="G107" s="6" t="inlineStr">
        <is>
          <t>方法B</t>
        </is>
      </c>
      <c r="H107" s="6" t="inlineStr">
        <is>
          <t>EgoAnchor</t>
        </is>
      </c>
      <c r="I107" s="6" t="n">
        <v>1</v>
      </c>
      <c r="J107" s="6" t="n">
        <v>1</v>
      </c>
      <c r="K107" s="6" t="n">
        <v>5</v>
      </c>
      <c r="L107" s="6" t="n">
        <v>4</v>
      </c>
      <c r="M107" s="6" t="n">
        <v>5</v>
      </c>
      <c r="N107" s="6" t="n"/>
      <c r="O107" s="6" t="n">
        <v>3</v>
      </c>
      <c r="P107" s="6" t="n">
        <v>5</v>
      </c>
      <c r="Q107" s="6" t="n">
        <v>5</v>
      </c>
      <c r="R107" s="6" t="n">
        <v>6</v>
      </c>
      <c r="S107" s="6" t="n">
        <v>4</v>
      </c>
      <c r="T107" s="6" t="n">
        <v>6</v>
      </c>
      <c r="U107" s="6" t="n">
        <v>6</v>
      </c>
      <c r="V107" s="6" t="n">
        <v>4</v>
      </c>
      <c r="W107" s="6" t="n">
        <v>4</v>
      </c>
      <c r="X107" s="6" t="n">
        <v>5</v>
      </c>
      <c r="Y107" s="6" t="n"/>
      <c r="Z107" s="6" t="n"/>
      <c r="AA107" s="6" t="n">
        <v>112.8</v>
      </c>
      <c r="AB107" s="6" t="inlineStr">
        <is>
          <t>是</t>
        </is>
      </c>
      <c r="AC107" s="6" t="inlineStr">
        <is>
          <t>是</t>
        </is>
      </c>
      <c r="AD107" s="6" t="inlineStr">
        <is>
          <t>是</t>
        </is>
      </c>
      <c r="AE107" s="6" t="inlineStr">
        <is>
          <t>无</t>
        </is>
      </c>
      <c r="AF107" s="6" t="n">
        <v>8.92</v>
      </c>
      <c r="AG107" s="6" t="n">
        <v>0.91</v>
      </c>
      <c r="AH107" s="6" t="n">
        <v>0.879</v>
      </c>
      <c r="AI107" s="6" t="n">
        <v>0.954</v>
      </c>
      <c r="AJ107" s="6" t="n">
        <v>0.734</v>
      </c>
      <c r="AK107" s="6" t="inlineStr">
        <is>
          <t>FrozenUncertain</t>
        </is>
      </c>
      <c r="AL107" s="6" t="inlineStr">
        <is>
          <t>否</t>
        </is>
      </c>
      <c r="AM107" s="6" t="n">
        <v>0</v>
      </c>
      <c r="AN107" s="6" t="n">
        <v>7</v>
      </c>
      <c r="AO107" s="6" t="n"/>
    </row>
    <row r="108">
      <c r="A108" s="6" t="inlineStr">
        <is>
          <t>P018</t>
        </is>
      </c>
      <c r="B108" s="6" t="n">
        <v>2</v>
      </c>
      <c r="C108" s="6" t="inlineStr">
        <is>
          <t>O5-S2-OE</t>
        </is>
      </c>
      <c r="D108" s="6" t="n">
        <v>1</v>
      </c>
      <c r="E108" s="6" t="inlineStr">
        <is>
          <t>游戏手柄</t>
        </is>
      </c>
      <c r="F108" s="6" t="inlineStr">
        <is>
          <t>gamepad</t>
        </is>
      </c>
      <c r="G108" s="6" t="inlineStr">
        <is>
          <t>方法A</t>
        </is>
      </c>
      <c r="H108" s="6" t="inlineStr">
        <is>
          <t>One-Euro</t>
        </is>
      </c>
      <c r="I108" s="6" t="n">
        <v>2</v>
      </c>
      <c r="J108" s="6" t="n">
        <v>1</v>
      </c>
      <c r="K108" s="6" t="n">
        <v>2</v>
      </c>
      <c r="L108" s="6" t="n">
        <v>3</v>
      </c>
      <c r="M108" s="6" t="n">
        <v>3</v>
      </c>
      <c r="N108" s="6" t="n"/>
      <c r="O108" s="6" t="n">
        <v>4</v>
      </c>
      <c r="P108" s="6" t="n">
        <v>2</v>
      </c>
      <c r="Q108" s="6" t="n">
        <v>1</v>
      </c>
      <c r="R108" s="6" t="n">
        <v>3</v>
      </c>
      <c r="S108" s="6" t="n">
        <v>3</v>
      </c>
      <c r="T108" s="6" t="n">
        <v>4</v>
      </c>
      <c r="U108" s="6" t="n">
        <v>4</v>
      </c>
      <c r="V108" s="6" t="n">
        <v>4</v>
      </c>
      <c r="W108" s="6" t="n">
        <v>2</v>
      </c>
      <c r="X108" s="6" t="n">
        <v>3</v>
      </c>
      <c r="Y108" s="6" t="n"/>
      <c r="Z108" s="6" t="n"/>
      <c r="AA108" s="6" t="n">
        <v>127.3</v>
      </c>
      <c r="AB108" s="6" t="inlineStr">
        <is>
          <t>是</t>
        </is>
      </c>
      <c r="AC108" s="6" t="inlineStr">
        <is>
          <t>是</t>
        </is>
      </c>
      <c r="AD108" s="6" t="inlineStr">
        <is>
          <t>是</t>
        </is>
      </c>
      <c r="AE108" s="6" t="inlineStr">
        <is>
          <t>无</t>
        </is>
      </c>
      <c r="AF108" s="6" t="n">
        <v>9.75</v>
      </c>
      <c r="AG108" s="6" t="n">
        <v>0.91</v>
      </c>
      <c r="AH108" s="6" t="n">
        <v>0.929</v>
      </c>
      <c r="AI108" s="6" t="n">
        <v>0.948</v>
      </c>
      <c r="AJ108" s="6" t="n">
        <v>0.749</v>
      </c>
      <c r="AK108" s="6" t="inlineStr">
        <is>
          <t>FrozenUncertain</t>
        </is>
      </c>
      <c r="AL108" s="6" t="inlineStr">
        <is>
          <t>否</t>
        </is>
      </c>
      <c r="AM108" s="6" t="n">
        <v>0</v>
      </c>
      <c r="AN108" s="6" t="n">
        <v>0</v>
      </c>
      <c r="AO108" s="6" t="n"/>
    </row>
    <row r="109">
      <c r="A109" s="6" t="inlineStr">
        <is>
          <t>P018</t>
        </is>
      </c>
      <c r="B109" s="6" t="n">
        <v>3</v>
      </c>
      <c r="C109" s="6" t="inlineStr">
        <is>
          <t>O5-S2-OE</t>
        </is>
      </c>
      <c r="D109" s="6" t="n">
        <v>2</v>
      </c>
      <c r="E109" s="6" t="inlineStr">
        <is>
          <t>鼠标</t>
        </is>
      </c>
      <c r="F109" s="6" t="inlineStr">
        <is>
          <t>blue_mouse</t>
        </is>
      </c>
      <c r="G109" s="6" t="inlineStr">
        <is>
          <t>方法A</t>
        </is>
      </c>
      <c r="H109" s="6" t="inlineStr">
        <is>
          <t>One-Euro</t>
        </is>
      </c>
      <c r="I109" s="6" t="n">
        <v>1</v>
      </c>
      <c r="J109" s="6" t="n">
        <v>2</v>
      </c>
      <c r="K109" s="6" t="n">
        <v>4</v>
      </c>
      <c r="L109" s="6" t="n">
        <v>6</v>
      </c>
      <c r="M109" s="6" t="n">
        <v>4</v>
      </c>
      <c r="N109" s="6" t="n"/>
      <c r="O109" s="6" t="n">
        <v>3</v>
      </c>
      <c r="P109" s="6" t="n">
        <v>4</v>
      </c>
      <c r="Q109" s="6" t="n">
        <v>3</v>
      </c>
      <c r="R109" s="6" t="n">
        <v>4</v>
      </c>
      <c r="S109" s="6" t="n">
        <v>5</v>
      </c>
      <c r="T109" s="6" t="n">
        <v>6</v>
      </c>
      <c r="U109" s="6" t="n">
        <v>5</v>
      </c>
      <c r="V109" s="6" t="n">
        <v>4</v>
      </c>
      <c r="W109" s="6" t="n">
        <v>2</v>
      </c>
      <c r="X109" s="6" t="n">
        <v>5</v>
      </c>
      <c r="Y109" s="6" t="n"/>
      <c r="Z109" s="6" t="n"/>
      <c r="AA109" s="6" t="n">
        <v>106.7</v>
      </c>
      <c r="AB109" s="6" t="inlineStr">
        <is>
          <t>是</t>
        </is>
      </c>
      <c r="AC109" s="6" t="inlineStr">
        <is>
          <t>是</t>
        </is>
      </c>
      <c r="AD109" s="6" t="inlineStr">
        <is>
          <t>是</t>
        </is>
      </c>
      <c r="AE109" s="6" t="inlineStr">
        <is>
          <t>无</t>
        </is>
      </c>
      <c r="AF109" s="6" t="n">
        <v>9.609999999999999</v>
      </c>
      <c r="AG109" s="6" t="n">
        <v>0.86</v>
      </c>
      <c r="AH109" s="6" t="n">
        <v>0.875</v>
      </c>
      <c r="AI109" s="6" t="n">
        <v>0.9360000000000001</v>
      </c>
      <c r="AJ109" s="6" t="n">
        <v>0.769</v>
      </c>
      <c r="AK109" s="6" t="inlineStr">
        <is>
          <t>FrozenUncertain</t>
        </is>
      </c>
      <c r="AL109" s="6" t="inlineStr">
        <is>
          <t>否</t>
        </is>
      </c>
      <c r="AM109" s="6" t="n">
        <v>0</v>
      </c>
      <c r="AN109" s="6" t="n">
        <v>0</v>
      </c>
      <c r="AO109" s="6" t="n"/>
    </row>
    <row r="110">
      <c r="A110" s="6" t="inlineStr">
        <is>
          <t>P018</t>
        </is>
      </c>
      <c r="B110" s="6" t="n">
        <v>4</v>
      </c>
      <c r="C110" s="6" t="inlineStr">
        <is>
          <t>O5-S2-OE</t>
        </is>
      </c>
      <c r="D110" s="6" t="n">
        <v>2</v>
      </c>
      <c r="E110" s="6" t="inlineStr">
        <is>
          <t>鼠标</t>
        </is>
      </c>
      <c r="F110" s="6" t="inlineStr">
        <is>
          <t>blue_mouse</t>
        </is>
      </c>
      <c r="G110" s="6" t="inlineStr">
        <is>
          <t>方法B</t>
        </is>
      </c>
      <c r="H110" s="6" t="inlineStr">
        <is>
          <t>EgoAnchor</t>
        </is>
      </c>
      <c r="I110" s="6" t="n">
        <v>2</v>
      </c>
      <c r="J110" s="6" t="n">
        <v>2</v>
      </c>
      <c r="K110" s="6" t="n">
        <v>6</v>
      </c>
      <c r="L110" s="6" t="n">
        <v>5</v>
      </c>
      <c r="M110" s="6" t="n">
        <v>5</v>
      </c>
      <c r="N110" s="6" t="n"/>
      <c r="O110" s="6" t="n">
        <v>4</v>
      </c>
      <c r="P110" s="6" t="n">
        <v>5</v>
      </c>
      <c r="Q110" s="6" t="n">
        <v>5</v>
      </c>
      <c r="R110" s="6" t="n">
        <v>6</v>
      </c>
      <c r="S110" s="6" t="n">
        <v>5</v>
      </c>
      <c r="T110" s="6" t="n">
        <v>5</v>
      </c>
      <c r="U110" s="6" t="n">
        <v>5</v>
      </c>
      <c r="V110" s="6" t="n">
        <v>6</v>
      </c>
      <c r="W110" s="6" t="n">
        <v>3</v>
      </c>
      <c r="X110" s="6" t="n">
        <v>6</v>
      </c>
      <c r="Y110" s="6" t="n"/>
      <c r="Z110" s="6" t="n"/>
      <c r="AA110" s="6" t="n">
        <v>102.8</v>
      </c>
      <c r="AB110" s="6" t="inlineStr">
        <is>
          <t>是</t>
        </is>
      </c>
      <c r="AC110" s="6" t="inlineStr">
        <is>
          <t>是</t>
        </is>
      </c>
      <c r="AD110" s="6" t="inlineStr">
        <is>
          <t>是</t>
        </is>
      </c>
      <c r="AE110" s="6" t="inlineStr">
        <is>
          <t>无</t>
        </is>
      </c>
      <c r="AF110" s="6" t="n">
        <v>9.1</v>
      </c>
      <c r="AG110" s="6" t="n">
        <v>0.833</v>
      </c>
      <c r="AH110" s="6" t="n">
        <v>0.865</v>
      </c>
      <c r="AI110" s="6" t="n">
        <v>0.9389999999999999</v>
      </c>
      <c r="AJ110" s="6" t="n">
        <v>0.746</v>
      </c>
      <c r="AK110" s="6" t="inlineStr">
        <is>
          <t>FrozenUncertain</t>
        </is>
      </c>
      <c r="AL110" s="6" t="inlineStr">
        <is>
          <t>否</t>
        </is>
      </c>
      <c r="AM110" s="6" t="n">
        <v>0</v>
      </c>
      <c r="AN110" s="6" t="n">
        <v>4</v>
      </c>
      <c r="AO110" s="6" t="n"/>
    </row>
    <row r="111">
      <c r="A111" s="6" t="inlineStr">
        <is>
          <t>P018</t>
        </is>
      </c>
      <c r="B111" s="6" t="n">
        <v>5</v>
      </c>
      <c r="C111" s="6" t="inlineStr">
        <is>
          <t>O5-S2-OE</t>
        </is>
      </c>
      <c r="D111" s="6" t="n">
        <v>3</v>
      </c>
      <c r="E111" s="6" t="inlineStr">
        <is>
          <t>固定订书机</t>
        </is>
      </c>
      <c r="F111" s="6" t="inlineStr">
        <is>
          <t>stapler</t>
        </is>
      </c>
      <c r="G111" s="6" t="inlineStr">
        <is>
          <t>方法B</t>
        </is>
      </c>
      <c r="H111" s="6" t="inlineStr">
        <is>
          <t>EgoAnchor</t>
        </is>
      </c>
      <c r="I111" s="6" t="n">
        <v>1</v>
      </c>
      <c r="J111" s="6" t="n">
        <v>3</v>
      </c>
      <c r="K111" s="6" t="n">
        <v>6</v>
      </c>
      <c r="L111" s="6" t="n">
        <v>5</v>
      </c>
      <c r="M111" s="6" t="n">
        <v>4</v>
      </c>
      <c r="N111" s="6" t="n"/>
      <c r="O111" s="6" t="n">
        <v>4</v>
      </c>
      <c r="P111" s="6" t="n">
        <v>4</v>
      </c>
      <c r="Q111" s="6" t="n">
        <v>4</v>
      </c>
      <c r="R111" s="6" t="n">
        <v>4</v>
      </c>
      <c r="S111" s="6" t="n">
        <v>3</v>
      </c>
      <c r="T111" s="6" t="n">
        <v>5</v>
      </c>
      <c r="U111" s="6" t="n">
        <v>5</v>
      </c>
      <c r="V111" s="6" t="n">
        <v>4</v>
      </c>
      <c r="W111" s="6" t="n">
        <v>3</v>
      </c>
      <c r="X111" s="6" t="n">
        <v>4</v>
      </c>
      <c r="Y111" s="6" t="n"/>
      <c r="Z111" s="6" t="n"/>
      <c r="AA111" s="6" t="n">
        <v>130.5</v>
      </c>
      <c r="AB111" s="6" t="inlineStr">
        <is>
          <t>是</t>
        </is>
      </c>
      <c r="AC111" s="6" t="inlineStr">
        <is>
          <t>是</t>
        </is>
      </c>
      <c r="AD111" s="6" t="inlineStr">
        <is>
          <t>是</t>
        </is>
      </c>
      <c r="AE111" s="6" t="inlineStr">
        <is>
          <t>无</t>
        </is>
      </c>
      <c r="AF111" s="6" t="n">
        <v>9.33</v>
      </c>
      <c r="AG111" s="6" t="n">
        <v>0.913</v>
      </c>
      <c r="AH111" s="6" t="n">
        <v>0.9360000000000001</v>
      </c>
      <c r="AI111" s="6" t="n">
        <v>0.95</v>
      </c>
      <c r="AJ111" s="6" t="n">
        <v>0.781</v>
      </c>
      <c r="AK111" s="6" t="inlineStr">
        <is>
          <t>FrozenUncertain</t>
        </is>
      </c>
      <c r="AL111" s="6" t="inlineStr">
        <is>
          <t>否</t>
        </is>
      </c>
      <c r="AM111" s="6" t="n">
        <v>0</v>
      </c>
      <c r="AN111" s="6" t="n">
        <v>3</v>
      </c>
      <c r="AO111" s="6" t="n"/>
    </row>
    <row r="112">
      <c r="A112" s="6" t="inlineStr">
        <is>
          <t>P018</t>
        </is>
      </c>
      <c r="B112" s="6" t="n">
        <v>6</v>
      </c>
      <c r="C112" s="6" t="inlineStr">
        <is>
          <t>O5-S2-OE</t>
        </is>
      </c>
      <c r="D112" s="6" t="n">
        <v>3</v>
      </c>
      <c r="E112" s="6" t="inlineStr">
        <is>
          <t>固定订书机</t>
        </is>
      </c>
      <c r="F112" s="6" t="inlineStr">
        <is>
          <t>stapler</t>
        </is>
      </c>
      <c r="G112" s="6" t="inlineStr">
        <is>
          <t>方法A</t>
        </is>
      </c>
      <c r="H112" s="6" t="inlineStr">
        <is>
          <t>One-Euro</t>
        </is>
      </c>
      <c r="I112" s="6" t="n">
        <v>2</v>
      </c>
      <c r="J112" s="6" t="n">
        <v>3</v>
      </c>
      <c r="K112" s="6" t="n">
        <v>4</v>
      </c>
      <c r="L112" s="6" t="n">
        <v>5</v>
      </c>
      <c r="M112" s="6" t="n">
        <v>3</v>
      </c>
      <c r="N112" s="6" t="n"/>
      <c r="O112" s="6" t="n">
        <v>5</v>
      </c>
      <c r="P112" s="6" t="n">
        <v>4</v>
      </c>
      <c r="Q112" s="6" t="n">
        <v>3</v>
      </c>
      <c r="R112" s="6" t="n">
        <v>4</v>
      </c>
      <c r="S112" s="6" t="n">
        <v>5</v>
      </c>
      <c r="T112" s="6" t="n">
        <v>5</v>
      </c>
      <c r="U112" s="6" t="n">
        <v>6</v>
      </c>
      <c r="V112" s="6" t="n">
        <v>6</v>
      </c>
      <c r="W112" s="6" t="n">
        <v>2</v>
      </c>
      <c r="X112" s="6" t="n">
        <v>4</v>
      </c>
      <c r="Y112" s="6" t="n"/>
      <c r="Z112" s="6" t="n"/>
      <c r="AA112" s="6" t="n">
        <v>133.2</v>
      </c>
      <c r="AB112" s="6" t="inlineStr">
        <is>
          <t>是</t>
        </is>
      </c>
      <c r="AC112" s="6" t="inlineStr">
        <is>
          <t>是</t>
        </is>
      </c>
      <c r="AD112" s="6" t="inlineStr">
        <is>
          <t>是</t>
        </is>
      </c>
      <c r="AE112" s="6" t="inlineStr">
        <is>
          <t>无</t>
        </is>
      </c>
      <c r="AF112" s="6" t="n">
        <v>9.24</v>
      </c>
      <c r="AG112" s="6" t="n">
        <v>0.906</v>
      </c>
      <c r="AH112" s="6" t="n">
        <v>0.906</v>
      </c>
      <c r="AI112" s="6" t="n">
        <v>0.958</v>
      </c>
      <c r="AJ112" s="6" t="n">
        <v>0.765</v>
      </c>
      <c r="AK112" s="6" t="inlineStr">
        <is>
          <t>FrozenUncertain</t>
        </is>
      </c>
      <c r="AL112" s="6" t="inlineStr">
        <is>
          <t>否</t>
        </is>
      </c>
      <c r="AM112" s="6" t="n">
        <v>0</v>
      </c>
      <c r="AN112" s="6" t="n">
        <v>0</v>
      </c>
      <c r="AO112" s="6" t="n"/>
    </row>
    <row r="113">
      <c r="A113" s="6" t="inlineStr">
        <is>
          <t>P019</t>
        </is>
      </c>
      <c r="B113" s="6" t="n">
        <v>1</v>
      </c>
      <c r="C113" s="6" t="inlineStr">
        <is>
          <t>O4-S1-EA</t>
        </is>
      </c>
      <c r="D113" s="6" t="n">
        <v>1</v>
      </c>
      <c r="E113" s="6" t="inlineStr">
        <is>
          <t>固定订书机</t>
        </is>
      </c>
      <c r="F113" s="6" t="inlineStr">
        <is>
          <t>stapler</t>
        </is>
      </c>
      <c r="G113" s="6" t="inlineStr">
        <is>
          <t>方法A</t>
        </is>
      </c>
      <c r="H113" s="6" t="inlineStr">
        <is>
          <t>EgoAnchor</t>
        </is>
      </c>
      <c r="I113" s="6" t="n">
        <v>1</v>
      </c>
      <c r="J113" s="6" t="n">
        <v>1</v>
      </c>
      <c r="K113" s="6" t="n">
        <v>5</v>
      </c>
      <c r="L113" s="6" t="n">
        <v>6</v>
      </c>
      <c r="M113" s="6" t="n">
        <v>5</v>
      </c>
      <c r="N113" s="6" t="n"/>
      <c r="O113" s="6" t="n">
        <v>5</v>
      </c>
      <c r="P113" s="6" t="n">
        <v>5</v>
      </c>
      <c r="Q113" s="6" t="n">
        <v>6</v>
      </c>
      <c r="R113" s="6" t="n">
        <v>6</v>
      </c>
      <c r="S113" s="6" t="n">
        <v>6</v>
      </c>
      <c r="T113" s="6" t="n">
        <v>5</v>
      </c>
      <c r="U113" s="6" t="n">
        <v>5</v>
      </c>
      <c r="V113" s="6" t="n">
        <v>5</v>
      </c>
      <c r="W113" s="6" t="n">
        <v>6</v>
      </c>
      <c r="X113" s="6" t="n">
        <v>6</v>
      </c>
      <c r="Y113" s="6" t="n"/>
      <c r="Z113" s="6" t="n"/>
      <c r="AA113" s="6" t="n">
        <v>161.9</v>
      </c>
      <c r="AB113" s="6" t="inlineStr">
        <is>
          <t>是</t>
        </is>
      </c>
      <c r="AC113" s="6" t="inlineStr">
        <is>
          <t>是</t>
        </is>
      </c>
      <c r="AD113" s="6" t="inlineStr">
        <is>
          <t>是</t>
        </is>
      </c>
      <c r="AE113" s="6" t="inlineStr">
        <is>
          <t>无</t>
        </is>
      </c>
      <c r="AF113" s="6" t="n">
        <v>9.67</v>
      </c>
      <c r="AG113" s="6" t="n">
        <v>0.9419999999999999</v>
      </c>
      <c r="AH113" s="6" t="n">
        <v>0.916</v>
      </c>
      <c r="AI113" s="6" t="n">
        <v>0.952</v>
      </c>
      <c r="AJ113" s="6" t="n">
        <v>0.8100000000000001</v>
      </c>
      <c r="AK113" s="6" t="inlineStr">
        <is>
          <t>FrozenUncertain</t>
        </is>
      </c>
      <c r="AL113" s="6" t="inlineStr">
        <is>
          <t>否</t>
        </is>
      </c>
      <c r="AM113" s="6" t="n">
        <v>0</v>
      </c>
      <c r="AN113" s="6" t="n">
        <v>8</v>
      </c>
      <c r="AO113" s="6" t="n"/>
    </row>
    <row r="114">
      <c r="A114" s="6" t="inlineStr">
        <is>
          <t>P019</t>
        </is>
      </c>
      <c r="B114" s="6" t="n">
        <v>2</v>
      </c>
      <c r="C114" s="6" t="inlineStr">
        <is>
          <t>O4-S1-EA</t>
        </is>
      </c>
      <c r="D114" s="6" t="n">
        <v>1</v>
      </c>
      <c r="E114" s="6" t="inlineStr">
        <is>
          <t>固定订书机</t>
        </is>
      </c>
      <c r="F114" s="6" t="inlineStr">
        <is>
          <t>stapler</t>
        </is>
      </c>
      <c r="G114" s="6" t="inlineStr">
        <is>
          <t>方法B</t>
        </is>
      </c>
      <c r="H114" s="6" t="inlineStr">
        <is>
          <t>One-Euro</t>
        </is>
      </c>
      <c r="I114" s="6" t="n">
        <v>2</v>
      </c>
      <c r="J114" s="6" t="n">
        <v>1</v>
      </c>
      <c r="K114" s="6" t="n">
        <v>5</v>
      </c>
      <c r="L114" s="6" t="n">
        <v>5</v>
      </c>
      <c r="M114" s="6" t="n">
        <v>4</v>
      </c>
      <c r="N114" s="6" t="n"/>
      <c r="O114" s="6" t="n">
        <v>5</v>
      </c>
      <c r="P114" s="6" t="n">
        <v>4</v>
      </c>
      <c r="Q114" s="6" t="n">
        <v>5</v>
      </c>
      <c r="R114" s="6" t="n">
        <v>5</v>
      </c>
      <c r="S114" s="6" t="n">
        <v>5</v>
      </c>
      <c r="T114" s="6" t="n">
        <v>4</v>
      </c>
      <c r="U114" s="6" t="n">
        <v>5</v>
      </c>
      <c r="V114" s="6" t="n">
        <v>5</v>
      </c>
      <c r="W114" s="6" t="n">
        <v>5</v>
      </c>
      <c r="X114" s="6" t="n">
        <v>5</v>
      </c>
      <c r="Y114" s="6" t="n"/>
      <c r="Z114" s="6" t="n"/>
      <c r="AA114" s="6" t="n">
        <v>215.8</v>
      </c>
      <c r="AB114" s="6" t="inlineStr">
        <is>
          <t>是</t>
        </is>
      </c>
      <c r="AC114" s="6" t="inlineStr">
        <is>
          <t>是</t>
        </is>
      </c>
      <c r="AD114" s="6" t="inlineStr">
        <is>
          <t>是</t>
        </is>
      </c>
      <c r="AE114" s="6" t="inlineStr">
        <is>
          <t>无</t>
        </is>
      </c>
      <c r="AF114" s="6" t="n">
        <v>9.32</v>
      </c>
      <c r="AG114" s="6" t="n">
        <v>0.93</v>
      </c>
      <c r="AH114" s="6" t="n">
        <v>0.902</v>
      </c>
      <c r="AI114" s="6" t="n">
        <v>0.945</v>
      </c>
      <c r="AJ114" s="6" t="n">
        <v>0.765</v>
      </c>
      <c r="AK114" s="6" t="inlineStr">
        <is>
          <t>FrozenUncertain</t>
        </is>
      </c>
      <c r="AL114" s="6" t="inlineStr">
        <is>
          <t>否</t>
        </is>
      </c>
      <c r="AM114" s="6" t="n">
        <v>0</v>
      </c>
      <c r="AN114" s="6" t="n">
        <v>0</v>
      </c>
      <c r="AO114" s="6" t="n"/>
    </row>
    <row r="115">
      <c r="A115" s="6" t="inlineStr">
        <is>
          <t>P019</t>
        </is>
      </c>
      <c r="B115" s="6" t="n">
        <v>3</v>
      </c>
      <c r="C115" s="6" t="inlineStr">
        <is>
          <t>O4-S1-EA</t>
        </is>
      </c>
      <c r="D115" s="6" t="n">
        <v>2</v>
      </c>
      <c r="E115" s="6" t="inlineStr">
        <is>
          <t>游戏手柄</t>
        </is>
      </c>
      <c r="F115" s="6" t="inlineStr">
        <is>
          <t>gamepad</t>
        </is>
      </c>
      <c r="G115" s="6" t="inlineStr">
        <is>
          <t>方法B</t>
        </is>
      </c>
      <c r="H115" s="6" t="inlineStr">
        <is>
          <t>One-Euro</t>
        </is>
      </c>
      <c r="I115" s="6" t="n">
        <v>1</v>
      </c>
      <c r="J115" s="6" t="n">
        <v>2</v>
      </c>
      <c r="K115" s="6" t="n">
        <v>4</v>
      </c>
      <c r="L115" s="6" t="n">
        <v>4</v>
      </c>
      <c r="M115" s="6" t="n">
        <v>4</v>
      </c>
      <c r="N115" s="6" t="n"/>
      <c r="O115" s="6" t="n">
        <v>5</v>
      </c>
      <c r="P115" s="6" t="n">
        <v>4</v>
      </c>
      <c r="Q115" s="6" t="n">
        <v>3</v>
      </c>
      <c r="R115" s="6" t="n">
        <v>4</v>
      </c>
      <c r="S115" s="6" t="n">
        <v>4</v>
      </c>
      <c r="T115" s="6" t="n">
        <v>3</v>
      </c>
      <c r="U115" s="6" t="n">
        <v>4</v>
      </c>
      <c r="V115" s="6" t="n">
        <v>4</v>
      </c>
      <c r="W115" s="6" t="n">
        <v>4</v>
      </c>
      <c r="X115" s="6" t="n">
        <v>3</v>
      </c>
      <c r="Y115" s="6" t="n"/>
      <c r="Z115" s="6" t="n"/>
      <c r="AA115" s="6" t="n">
        <v>163.7</v>
      </c>
      <c r="AB115" s="6" t="inlineStr">
        <is>
          <t>是</t>
        </is>
      </c>
      <c r="AC115" s="6" t="inlineStr">
        <is>
          <t>是</t>
        </is>
      </c>
      <c r="AD115" s="6" t="inlineStr">
        <is>
          <t>是</t>
        </is>
      </c>
      <c r="AE115" s="6" t="inlineStr">
        <is>
          <t>无</t>
        </is>
      </c>
      <c r="AF115" s="6" t="n">
        <v>9.869999999999999</v>
      </c>
      <c r="AG115" s="6" t="n">
        <v>0.915</v>
      </c>
      <c r="AH115" s="6" t="n">
        <v>0.927</v>
      </c>
      <c r="AI115" s="6" t="n">
        <v>0.948</v>
      </c>
      <c r="AJ115" s="6" t="n">
        <v>0.74</v>
      </c>
      <c r="AK115" s="6" t="inlineStr">
        <is>
          <t>FrozenUncertain</t>
        </is>
      </c>
      <c r="AL115" s="6" t="inlineStr">
        <is>
          <t>否</t>
        </is>
      </c>
      <c r="AM115" s="6" t="n">
        <v>0</v>
      </c>
      <c r="AN115" s="6" t="n">
        <v>0</v>
      </c>
      <c r="AO115" s="6" t="n"/>
    </row>
    <row r="116">
      <c r="A116" s="6" t="inlineStr">
        <is>
          <t>P019</t>
        </is>
      </c>
      <c r="B116" s="6" t="n">
        <v>4</v>
      </c>
      <c r="C116" s="6" t="inlineStr">
        <is>
          <t>O4-S1-EA</t>
        </is>
      </c>
      <c r="D116" s="6" t="n">
        <v>2</v>
      </c>
      <c r="E116" s="6" t="inlineStr">
        <is>
          <t>游戏手柄</t>
        </is>
      </c>
      <c r="F116" s="6" t="inlineStr">
        <is>
          <t>gamepad</t>
        </is>
      </c>
      <c r="G116" s="6" t="inlineStr">
        <is>
          <t>方法A</t>
        </is>
      </c>
      <c r="H116" s="6" t="inlineStr">
        <is>
          <t>EgoAnchor</t>
        </is>
      </c>
      <c r="I116" s="6" t="n">
        <v>2</v>
      </c>
      <c r="J116" s="6" t="n">
        <v>2</v>
      </c>
      <c r="K116" s="6" t="n">
        <v>5</v>
      </c>
      <c r="L116" s="6" t="n">
        <v>5</v>
      </c>
      <c r="M116" s="6" t="n">
        <v>4</v>
      </c>
      <c r="N116" s="6" t="n"/>
      <c r="O116" s="6" t="n">
        <v>5</v>
      </c>
      <c r="P116" s="6" t="n">
        <v>5</v>
      </c>
      <c r="Q116" s="6" t="n">
        <v>5</v>
      </c>
      <c r="R116" s="6" t="n">
        <v>4</v>
      </c>
      <c r="S116" s="6" t="n">
        <v>5</v>
      </c>
      <c r="T116" s="6" t="n">
        <v>4</v>
      </c>
      <c r="U116" s="6" t="n">
        <v>5</v>
      </c>
      <c r="V116" s="6" t="n">
        <v>4</v>
      </c>
      <c r="W116" s="6" t="n">
        <v>4</v>
      </c>
      <c r="X116" s="6" t="n">
        <v>5</v>
      </c>
      <c r="Y116" s="6" t="n"/>
      <c r="Z116" s="6" t="n"/>
      <c r="AA116" s="6" t="n">
        <v>166</v>
      </c>
      <c r="AB116" s="6" t="inlineStr">
        <is>
          <t>是</t>
        </is>
      </c>
      <c r="AC116" s="6" t="inlineStr">
        <is>
          <t>是</t>
        </is>
      </c>
      <c r="AD116" s="6" t="inlineStr">
        <is>
          <t>是</t>
        </is>
      </c>
      <c r="AE116" s="6" t="inlineStr">
        <is>
          <t>无</t>
        </is>
      </c>
      <c r="AF116" s="6" t="n">
        <v>10.6</v>
      </c>
      <c r="AG116" s="6" t="n">
        <v>0.873</v>
      </c>
      <c r="AH116" s="6" t="n">
        <v>0.954</v>
      </c>
      <c r="AI116" s="6" t="n">
        <v>0.93</v>
      </c>
      <c r="AJ116" s="6" t="n">
        <v>0.744</v>
      </c>
      <c r="AK116" s="6" t="inlineStr">
        <is>
          <t>FrozenUncertain</t>
        </is>
      </c>
      <c r="AL116" s="6" t="inlineStr">
        <is>
          <t>否</t>
        </is>
      </c>
      <c r="AM116" s="6" t="n">
        <v>0</v>
      </c>
      <c r="AN116" s="6" t="n">
        <v>4</v>
      </c>
      <c r="AO116" s="6" t="n"/>
    </row>
    <row r="117">
      <c r="A117" s="6" t="inlineStr">
        <is>
          <t>P019</t>
        </is>
      </c>
      <c r="B117" s="6" t="n">
        <v>5</v>
      </c>
      <c r="C117" s="6" t="inlineStr">
        <is>
          <t>O4-S1-EA</t>
        </is>
      </c>
      <c r="D117" s="6" t="n">
        <v>3</v>
      </c>
      <c r="E117" s="6" t="inlineStr">
        <is>
          <t>鼠标</t>
        </is>
      </c>
      <c r="F117" s="6" t="inlineStr">
        <is>
          <t>blue_mouse</t>
        </is>
      </c>
      <c r="G117" s="6" t="inlineStr">
        <is>
          <t>方法A</t>
        </is>
      </c>
      <c r="H117" s="6" t="inlineStr">
        <is>
          <t>EgoAnchor</t>
        </is>
      </c>
      <c r="I117" s="6" t="n">
        <v>1</v>
      </c>
      <c r="J117" s="6" t="n">
        <v>3</v>
      </c>
      <c r="K117" s="6" t="n">
        <v>5</v>
      </c>
      <c r="L117" s="6" t="n">
        <v>4</v>
      </c>
      <c r="M117" s="6" t="n">
        <v>3</v>
      </c>
      <c r="N117" s="6" t="n"/>
      <c r="O117" s="6" t="n">
        <v>3</v>
      </c>
      <c r="P117" s="6" t="n">
        <v>3</v>
      </c>
      <c r="Q117" s="6" t="n">
        <v>4</v>
      </c>
      <c r="R117" s="6" t="n">
        <v>5</v>
      </c>
      <c r="S117" s="6" t="n">
        <v>4</v>
      </c>
      <c r="T117" s="6" t="n">
        <v>4</v>
      </c>
      <c r="U117" s="6" t="n">
        <v>4</v>
      </c>
      <c r="V117" s="6" t="n">
        <v>5</v>
      </c>
      <c r="W117" s="6" t="n">
        <v>4</v>
      </c>
      <c r="X117" s="6" t="n">
        <v>5</v>
      </c>
      <c r="Y117" s="6" t="n"/>
      <c r="Z117" s="6" t="n"/>
      <c r="AA117" s="6" t="n">
        <v>214.3</v>
      </c>
      <c r="AB117" s="6" t="inlineStr">
        <is>
          <t>是</t>
        </is>
      </c>
      <c r="AC117" s="6" t="inlineStr">
        <is>
          <t>是</t>
        </is>
      </c>
      <c r="AD117" s="6" t="inlineStr">
        <is>
          <t>是</t>
        </is>
      </c>
      <c r="AE117" s="6" t="inlineStr">
        <is>
          <t>无</t>
        </is>
      </c>
      <c r="AF117" s="6" t="n">
        <v>9.220000000000001</v>
      </c>
      <c r="AG117" s="6" t="n">
        <v>0.846</v>
      </c>
      <c r="AH117" s="6" t="n">
        <v>0.953</v>
      </c>
      <c r="AI117" s="6" t="n">
        <v>0.981</v>
      </c>
      <c r="AJ117" s="6" t="n">
        <v>0.73</v>
      </c>
      <c r="AK117" s="6" t="inlineStr">
        <is>
          <t>FrozenUncertain</t>
        </is>
      </c>
      <c r="AL117" s="6" t="inlineStr">
        <is>
          <t>否</t>
        </is>
      </c>
      <c r="AM117" s="6" t="n">
        <v>0</v>
      </c>
      <c r="AN117" s="6" t="n">
        <v>7</v>
      </c>
      <c r="AO117" s="6" t="n"/>
    </row>
    <row r="118">
      <c r="A118" s="6" t="inlineStr">
        <is>
          <t>P019</t>
        </is>
      </c>
      <c r="B118" s="6" t="n">
        <v>6</v>
      </c>
      <c r="C118" s="6" t="inlineStr">
        <is>
          <t>O4-S1-EA</t>
        </is>
      </c>
      <c r="D118" s="6" t="n">
        <v>3</v>
      </c>
      <c r="E118" s="6" t="inlineStr">
        <is>
          <t>鼠标</t>
        </is>
      </c>
      <c r="F118" s="6" t="inlineStr">
        <is>
          <t>blue_mouse</t>
        </is>
      </c>
      <c r="G118" s="6" t="inlineStr">
        <is>
          <t>方法B</t>
        </is>
      </c>
      <c r="H118" s="6" t="inlineStr">
        <is>
          <t>One-Euro</t>
        </is>
      </c>
      <c r="I118" s="6" t="n">
        <v>2</v>
      </c>
      <c r="J118" s="6" t="n">
        <v>3</v>
      </c>
      <c r="K118" s="6" t="n">
        <v>4</v>
      </c>
      <c r="L118" s="6" t="n">
        <v>5</v>
      </c>
      <c r="M118" s="6" t="n">
        <v>4</v>
      </c>
      <c r="N118" s="6" t="n"/>
      <c r="O118" s="6" t="n">
        <v>3</v>
      </c>
      <c r="P118" s="6" t="n">
        <v>4</v>
      </c>
      <c r="Q118" s="6" t="n">
        <v>4</v>
      </c>
      <c r="R118" s="6" t="n">
        <v>4</v>
      </c>
      <c r="S118" s="6" t="n">
        <v>4</v>
      </c>
      <c r="T118" s="6" t="n">
        <v>4</v>
      </c>
      <c r="U118" s="6" t="n">
        <v>4</v>
      </c>
      <c r="V118" s="6" t="n">
        <v>5</v>
      </c>
      <c r="W118" s="6" t="n">
        <v>3</v>
      </c>
      <c r="X118" s="6" t="n">
        <v>4</v>
      </c>
      <c r="Y118" s="6" t="n"/>
      <c r="Z118" s="6" t="n"/>
      <c r="AA118" s="6" t="n">
        <v>213.2</v>
      </c>
      <c r="AB118" s="6" t="inlineStr">
        <is>
          <t>是</t>
        </is>
      </c>
      <c r="AC118" s="6" t="inlineStr">
        <is>
          <t>是</t>
        </is>
      </c>
      <c r="AD118" s="6" t="inlineStr">
        <is>
          <t>是</t>
        </is>
      </c>
      <c r="AE118" s="6" t="inlineStr">
        <is>
          <t>无</t>
        </is>
      </c>
      <c r="AF118" s="6" t="n">
        <v>9.279999999999999</v>
      </c>
      <c r="AG118" s="6" t="n">
        <v>0.876</v>
      </c>
      <c r="AH118" s="6" t="n">
        <v>0.902</v>
      </c>
      <c r="AI118" s="6" t="n">
        <v>0.949</v>
      </c>
      <c r="AJ118" s="6" t="n">
        <v>0.737</v>
      </c>
      <c r="AK118" s="6" t="inlineStr">
        <is>
          <t>FrozenUncertain</t>
        </is>
      </c>
      <c r="AL118" s="6" t="inlineStr">
        <is>
          <t>否</t>
        </is>
      </c>
      <c r="AM118" s="6" t="n">
        <v>0</v>
      </c>
      <c r="AN118" s="6" t="n">
        <v>0</v>
      </c>
      <c r="AO118" s="6" t="n"/>
    </row>
    <row r="119">
      <c r="A119" s="6" t="inlineStr">
        <is>
          <t>P020</t>
        </is>
      </c>
      <c r="B119" s="6" t="n">
        <v>1</v>
      </c>
      <c r="C119" s="6" t="inlineStr">
        <is>
          <t>O1-S2-EA</t>
        </is>
      </c>
      <c r="D119" s="6" t="n">
        <v>1</v>
      </c>
      <c r="E119" s="6" t="inlineStr">
        <is>
          <t>鼠标</t>
        </is>
      </c>
      <c r="F119" s="6" t="inlineStr">
        <is>
          <t>blue_mouse</t>
        </is>
      </c>
      <c r="G119" s="6" t="inlineStr">
        <is>
          <t>方法B</t>
        </is>
      </c>
      <c r="H119" s="6" t="inlineStr">
        <is>
          <t>One-Euro</t>
        </is>
      </c>
      <c r="I119" s="6" t="n">
        <v>1</v>
      </c>
      <c r="J119" s="6" t="n">
        <v>1</v>
      </c>
      <c r="K119" s="6" t="n">
        <v>3</v>
      </c>
      <c r="L119" s="6" t="n">
        <v>5</v>
      </c>
      <c r="M119" s="6" t="n">
        <v>4</v>
      </c>
      <c r="N119" s="6" t="n"/>
      <c r="O119" s="6" t="n">
        <v>6</v>
      </c>
      <c r="P119" s="6" t="n">
        <v>4</v>
      </c>
      <c r="Q119" s="6" t="n">
        <v>3</v>
      </c>
      <c r="R119" s="6" t="n">
        <v>2</v>
      </c>
      <c r="S119" s="6" t="n">
        <v>4</v>
      </c>
      <c r="T119" s="6" t="n">
        <v>5</v>
      </c>
      <c r="U119" s="6" t="n">
        <v>4</v>
      </c>
      <c r="V119" s="6" t="n">
        <v>6</v>
      </c>
      <c r="W119" s="6" t="n">
        <v>3</v>
      </c>
      <c r="X119" s="6" t="n">
        <v>2</v>
      </c>
      <c r="Y119" s="6" t="n"/>
      <c r="Z119" s="6" t="n"/>
      <c r="AA119" s="6" t="n">
        <v>117.8</v>
      </c>
      <c r="AB119" s="6" t="inlineStr">
        <is>
          <t>是</t>
        </is>
      </c>
      <c r="AC119" s="6" t="inlineStr">
        <is>
          <t>是</t>
        </is>
      </c>
      <c r="AD119" s="6" t="inlineStr">
        <is>
          <t>是</t>
        </is>
      </c>
      <c r="AE119" s="6" t="inlineStr">
        <is>
          <t>无</t>
        </is>
      </c>
      <c r="AF119" s="6" t="n">
        <v>9.56</v>
      </c>
      <c r="AG119" s="6" t="n">
        <v>0.876</v>
      </c>
      <c r="AH119" s="6" t="n">
        <v>0.861</v>
      </c>
      <c r="AI119" s="6" t="n">
        <v>0.953</v>
      </c>
      <c r="AJ119" s="6" t="n">
        <v>0.759</v>
      </c>
      <c r="AK119" s="6" t="inlineStr">
        <is>
          <t>FrozenUncertain</t>
        </is>
      </c>
      <c r="AL119" s="6" t="inlineStr">
        <is>
          <t>否</t>
        </is>
      </c>
      <c r="AM119" s="6" t="n">
        <v>0</v>
      </c>
      <c r="AN119" s="6" t="n">
        <v>0</v>
      </c>
      <c r="AO119" s="6" t="n"/>
    </row>
    <row r="120">
      <c r="A120" s="6" t="inlineStr">
        <is>
          <t>P020</t>
        </is>
      </c>
      <c r="B120" s="6" t="n">
        <v>2</v>
      </c>
      <c r="C120" s="6" t="inlineStr">
        <is>
          <t>O1-S2-EA</t>
        </is>
      </c>
      <c r="D120" s="6" t="n">
        <v>1</v>
      </c>
      <c r="E120" s="6" t="inlineStr">
        <is>
          <t>鼠标</t>
        </is>
      </c>
      <c r="F120" s="6" t="inlineStr">
        <is>
          <t>blue_mouse</t>
        </is>
      </c>
      <c r="G120" s="6" t="inlineStr">
        <is>
          <t>方法A</t>
        </is>
      </c>
      <c r="H120" s="6" t="inlineStr">
        <is>
          <t>EgoAnchor</t>
        </is>
      </c>
      <c r="I120" s="6" t="n">
        <v>2</v>
      </c>
      <c r="J120" s="6" t="n">
        <v>1</v>
      </c>
      <c r="K120" s="6" t="n">
        <v>5</v>
      </c>
      <c r="L120" s="6" t="n">
        <v>4</v>
      </c>
      <c r="M120" s="6" t="n">
        <v>3</v>
      </c>
      <c r="N120" s="6" t="n"/>
      <c r="O120" s="6" t="n">
        <v>3</v>
      </c>
      <c r="P120" s="6" t="n">
        <v>5</v>
      </c>
      <c r="Q120" s="6" t="n">
        <v>4</v>
      </c>
      <c r="R120" s="6" t="n">
        <v>4</v>
      </c>
      <c r="S120" s="6" t="n">
        <v>4</v>
      </c>
      <c r="T120" s="6" t="n">
        <v>5</v>
      </c>
      <c r="U120" s="6" t="n">
        <v>4</v>
      </c>
      <c r="V120" s="6" t="n">
        <v>3</v>
      </c>
      <c r="W120" s="6" t="n">
        <v>4</v>
      </c>
      <c r="X120" s="6" t="n">
        <v>4</v>
      </c>
      <c r="Y120" s="6" t="n"/>
      <c r="Z120" s="6" t="n"/>
      <c r="AA120" s="6" t="n">
        <v>112.2</v>
      </c>
      <c r="AB120" s="6" t="inlineStr">
        <is>
          <t>是</t>
        </is>
      </c>
      <c r="AC120" s="6" t="inlineStr">
        <is>
          <t>是</t>
        </is>
      </c>
      <c r="AD120" s="6" t="inlineStr">
        <is>
          <t>是</t>
        </is>
      </c>
      <c r="AE120" s="6" t="inlineStr">
        <is>
          <t>无</t>
        </is>
      </c>
      <c r="AF120" s="6" t="n">
        <v>9.869999999999999</v>
      </c>
      <c r="AG120" s="6" t="n">
        <v>0.875</v>
      </c>
      <c r="AH120" s="6" t="n">
        <v>0.915</v>
      </c>
      <c r="AI120" s="6" t="n">
        <v>0.964</v>
      </c>
      <c r="AJ120" s="6" t="n">
        <v>0.793</v>
      </c>
      <c r="AK120" s="6" t="inlineStr">
        <is>
          <t>FrozenUncertain</t>
        </is>
      </c>
      <c r="AL120" s="6" t="inlineStr">
        <is>
          <t>否</t>
        </is>
      </c>
      <c r="AM120" s="6" t="n">
        <v>0</v>
      </c>
      <c r="AN120" s="6" t="n">
        <v>5</v>
      </c>
      <c r="AO120" s="6" t="n"/>
    </row>
    <row r="121">
      <c r="A121" s="6" t="inlineStr">
        <is>
          <t>P020</t>
        </is>
      </c>
      <c r="B121" s="6" t="n">
        <v>3</v>
      </c>
      <c r="C121" s="6" t="inlineStr">
        <is>
          <t>O1-S2-EA</t>
        </is>
      </c>
      <c r="D121" s="6" t="n">
        <v>2</v>
      </c>
      <c r="E121" s="6" t="inlineStr">
        <is>
          <t>固定订书机</t>
        </is>
      </c>
      <c r="F121" s="6" t="inlineStr">
        <is>
          <t>stapler</t>
        </is>
      </c>
      <c r="G121" s="6" t="inlineStr">
        <is>
          <t>方法A</t>
        </is>
      </c>
      <c r="H121" s="6" t="inlineStr">
        <is>
          <t>EgoAnchor</t>
        </is>
      </c>
      <c r="I121" s="6" t="n">
        <v>1</v>
      </c>
      <c r="J121" s="6" t="n">
        <v>2</v>
      </c>
      <c r="K121" s="6" t="n">
        <v>3</v>
      </c>
      <c r="L121" s="6" t="n">
        <v>3</v>
      </c>
      <c r="M121" s="6" t="n">
        <v>3</v>
      </c>
      <c r="N121" s="6" t="n"/>
      <c r="O121" s="6" t="n">
        <v>3</v>
      </c>
      <c r="P121" s="6" t="n">
        <v>3</v>
      </c>
      <c r="Q121" s="6" t="n">
        <v>2</v>
      </c>
      <c r="R121" s="6" t="n">
        <v>4</v>
      </c>
      <c r="S121" s="6" t="n">
        <v>3</v>
      </c>
      <c r="T121" s="6" t="n">
        <v>5</v>
      </c>
      <c r="U121" s="6" t="n">
        <v>4</v>
      </c>
      <c r="V121" s="6" t="n">
        <v>3</v>
      </c>
      <c r="W121" s="6" t="n">
        <v>4</v>
      </c>
      <c r="X121" s="6" t="n">
        <v>2</v>
      </c>
      <c r="Y121" s="6" t="n"/>
      <c r="Z121" s="6" t="n"/>
      <c r="AA121" s="6" t="n">
        <v>120.9</v>
      </c>
      <c r="AB121" s="6" t="inlineStr">
        <is>
          <t>是</t>
        </is>
      </c>
      <c r="AC121" s="6" t="inlineStr">
        <is>
          <t>是</t>
        </is>
      </c>
      <c r="AD121" s="6" t="inlineStr">
        <is>
          <t>是</t>
        </is>
      </c>
      <c r="AE121" s="6" t="inlineStr">
        <is>
          <t>无</t>
        </is>
      </c>
      <c r="AF121" s="6" t="n">
        <v>9.279999999999999</v>
      </c>
      <c r="AG121" s="6" t="n">
        <v>0.893</v>
      </c>
      <c r="AH121" s="6" t="n">
        <v>0.98</v>
      </c>
      <c r="AI121" s="6" t="n">
        <v>0.964</v>
      </c>
      <c r="AJ121" s="6" t="n">
        <v>0.762</v>
      </c>
      <c r="AK121" s="6" t="inlineStr">
        <is>
          <t>FrozenUncertain</t>
        </is>
      </c>
      <c r="AL121" s="6" t="inlineStr">
        <is>
          <t>否</t>
        </is>
      </c>
      <c r="AM121" s="6" t="n">
        <v>0</v>
      </c>
      <c r="AN121" s="6" t="n">
        <v>5</v>
      </c>
      <c r="AO121" s="6" t="n"/>
    </row>
    <row r="122">
      <c r="A122" s="6" t="inlineStr">
        <is>
          <t>P020</t>
        </is>
      </c>
      <c r="B122" s="6" t="n">
        <v>4</v>
      </c>
      <c r="C122" s="6" t="inlineStr">
        <is>
          <t>O1-S2-EA</t>
        </is>
      </c>
      <c r="D122" s="6" t="n">
        <v>2</v>
      </c>
      <c r="E122" s="6" t="inlineStr">
        <is>
          <t>固定订书机</t>
        </is>
      </c>
      <c r="F122" s="6" t="inlineStr">
        <is>
          <t>stapler</t>
        </is>
      </c>
      <c r="G122" s="6" t="inlineStr">
        <is>
          <t>方法B</t>
        </is>
      </c>
      <c r="H122" s="6" t="inlineStr">
        <is>
          <t>One-Euro</t>
        </is>
      </c>
      <c r="I122" s="6" t="n">
        <v>2</v>
      </c>
      <c r="J122" s="6" t="n">
        <v>2</v>
      </c>
      <c r="K122" s="6" t="n">
        <v>3</v>
      </c>
      <c r="L122" s="6" t="n">
        <v>4</v>
      </c>
      <c r="M122" s="6" t="n">
        <v>4</v>
      </c>
      <c r="N122" s="6" t="n"/>
      <c r="O122" s="6" t="n">
        <v>5</v>
      </c>
      <c r="P122" s="6" t="n">
        <v>5</v>
      </c>
      <c r="Q122" s="6" t="n">
        <v>4</v>
      </c>
      <c r="R122" s="6" t="n">
        <v>4</v>
      </c>
      <c r="S122" s="6" t="n">
        <v>5</v>
      </c>
      <c r="T122" s="6" t="n">
        <v>5</v>
      </c>
      <c r="U122" s="6" t="n">
        <v>5</v>
      </c>
      <c r="V122" s="6" t="n">
        <v>6</v>
      </c>
      <c r="W122" s="6" t="n">
        <v>4</v>
      </c>
      <c r="X122" s="6" t="n">
        <v>4</v>
      </c>
      <c r="Y122" s="6" t="n"/>
      <c r="Z122" s="6" t="n"/>
      <c r="AA122" s="6" t="n">
        <v>135.7</v>
      </c>
      <c r="AB122" s="6" t="inlineStr">
        <is>
          <t>是</t>
        </is>
      </c>
      <c r="AC122" s="6" t="inlineStr">
        <is>
          <t>是</t>
        </is>
      </c>
      <c r="AD122" s="6" t="inlineStr">
        <is>
          <t>是</t>
        </is>
      </c>
      <c r="AE122" s="6" t="inlineStr">
        <is>
          <t>无</t>
        </is>
      </c>
      <c r="AF122" s="6" t="n">
        <v>9.69</v>
      </c>
      <c r="AG122" s="6" t="n">
        <v>0.912</v>
      </c>
      <c r="AH122" s="6" t="n">
        <v>0.9370000000000001</v>
      </c>
      <c r="AI122" s="6" t="n">
        <v>0.958</v>
      </c>
      <c r="AJ122" s="6" t="n">
        <v>0.799</v>
      </c>
      <c r="AK122" s="6" t="inlineStr">
        <is>
          <t>FrozenUncertain</t>
        </is>
      </c>
      <c r="AL122" s="6" t="inlineStr">
        <is>
          <t>否</t>
        </is>
      </c>
      <c r="AM122" s="6" t="n">
        <v>0</v>
      </c>
      <c r="AN122" s="6" t="n">
        <v>0</v>
      </c>
      <c r="AO122" s="6" t="n"/>
    </row>
    <row r="123">
      <c r="A123" s="6" t="inlineStr">
        <is>
          <t>P020</t>
        </is>
      </c>
      <c r="B123" s="6" t="n">
        <v>5</v>
      </c>
      <c r="C123" s="6" t="inlineStr">
        <is>
          <t>O1-S2-EA</t>
        </is>
      </c>
      <c r="D123" s="6" t="n">
        <v>3</v>
      </c>
      <c r="E123" s="6" t="inlineStr">
        <is>
          <t>游戏手柄</t>
        </is>
      </c>
      <c r="F123" s="6" t="inlineStr">
        <is>
          <t>gamepad</t>
        </is>
      </c>
      <c r="G123" s="6" t="inlineStr">
        <is>
          <t>方法B</t>
        </is>
      </c>
      <c r="H123" s="6" t="inlineStr">
        <is>
          <t>One-Euro</t>
        </is>
      </c>
      <c r="I123" s="6" t="n">
        <v>1</v>
      </c>
      <c r="J123" s="6" t="n">
        <v>3</v>
      </c>
      <c r="K123" s="6" t="n">
        <v>3</v>
      </c>
      <c r="L123" s="6" t="n">
        <v>2</v>
      </c>
      <c r="M123" s="6" t="n">
        <v>3</v>
      </c>
      <c r="N123" s="6" t="n"/>
      <c r="O123" s="6" t="n">
        <v>4</v>
      </c>
      <c r="P123" s="6" t="n">
        <v>4</v>
      </c>
      <c r="Q123" s="6" t="n">
        <v>1</v>
      </c>
      <c r="R123" s="6" t="n">
        <v>2</v>
      </c>
      <c r="S123" s="6" t="n">
        <v>3</v>
      </c>
      <c r="T123" s="6" t="n">
        <v>3</v>
      </c>
      <c r="U123" s="6" t="n">
        <v>4</v>
      </c>
      <c r="V123" s="6" t="n">
        <v>4</v>
      </c>
      <c r="W123" s="6" t="n">
        <v>2</v>
      </c>
      <c r="X123" s="6" t="n">
        <v>3</v>
      </c>
      <c r="Y123" s="6" t="n"/>
      <c r="Z123" s="6" t="n"/>
      <c r="AA123" s="6" t="n">
        <v>133.5</v>
      </c>
      <c r="AB123" s="6" t="inlineStr">
        <is>
          <t>是</t>
        </is>
      </c>
      <c r="AC123" s="6" t="inlineStr">
        <is>
          <t>是</t>
        </is>
      </c>
      <c r="AD123" s="6" t="inlineStr">
        <is>
          <t>是</t>
        </is>
      </c>
      <c r="AE123" s="6" t="inlineStr">
        <is>
          <t>无</t>
        </is>
      </c>
      <c r="AF123" s="6" t="n">
        <v>9.529999999999999</v>
      </c>
      <c r="AG123" s="6" t="n">
        <v>0.869</v>
      </c>
      <c r="AH123" s="6" t="n">
        <v>0.884</v>
      </c>
      <c r="AI123" s="6" t="n">
        <v>0.966</v>
      </c>
      <c r="AJ123" s="6" t="n">
        <v>0.747</v>
      </c>
      <c r="AK123" s="6" t="inlineStr">
        <is>
          <t>FrozenUncertain</t>
        </is>
      </c>
      <c r="AL123" s="6" t="inlineStr">
        <is>
          <t>否</t>
        </is>
      </c>
      <c r="AM123" s="6" t="n">
        <v>0</v>
      </c>
      <c r="AN123" s="6" t="n">
        <v>0</v>
      </c>
      <c r="AO123" s="6" t="n"/>
    </row>
    <row r="124">
      <c r="A124" s="6" t="inlineStr">
        <is>
          <t>P020</t>
        </is>
      </c>
      <c r="B124" s="6" t="n">
        <v>6</v>
      </c>
      <c r="C124" s="6" t="inlineStr">
        <is>
          <t>O1-S2-EA</t>
        </is>
      </c>
      <c r="D124" s="6" t="n">
        <v>3</v>
      </c>
      <c r="E124" s="6" t="inlineStr">
        <is>
          <t>游戏手柄</t>
        </is>
      </c>
      <c r="F124" s="6" t="inlineStr">
        <is>
          <t>gamepad</t>
        </is>
      </c>
      <c r="G124" s="6" t="inlineStr">
        <is>
          <t>方法A</t>
        </is>
      </c>
      <c r="H124" s="6" t="inlineStr">
        <is>
          <t>EgoAnchor</t>
        </is>
      </c>
      <c r="I124" s="6" t="n">
        <v>2</v>
      </c>
      <c r="J124" s="6" t="n">
        <v>3</v>
      </c>
      <c r="K124" s="6" t="n">
        <v>3</v>
      </c>
      <c r="L124" s="6" t="n">
        <v>4</v>
      </c>
      <c r="M124" s="6" t="n">
        <v>3</v>
      </c>
      <c r="N124" s="6" t="n"/>
      <c r="O124" s="6" t="n">
        <v>4</v>
      </c>
      <c r="P124" s="6" t="n">
        <v>4</v>
      </c>
      <c r="Q124" s="6" t="n">
        <v>5</v>
      </c>
      <c r="R124" s="6" t="n">
        <v>3</v>
      </c>
      <c r="S124" s="6" t="n">
        <v>3</v>
      </c>
      <c r="T124" s="6" t="n">
        <v>5</v>
      </c>
      <c r="U124" s="6" t="n">
        <v>4</v>
      </c>
      <c r="V124" s="6" t="n">
        <v>5</v>
      </c>
      <c r="W124" s="6" t="n">
        <v>4</v>
      </c>
      <c r="X124" s="6" t="n">
        <v>4</v>
      </c>
      <c r="Y124" s="6" t="n"/>
      <c r="Z124" s="6" t="n"/>
      <c r="AA124" s="6" t="n">
        <v>127.8</v>
      </c>
      <c r="AB124" s="6" t="inlineStr">
        <is>
          <t>是</t>
        </is>
      </c>
      <c r="AC124" s="6" t="inlineStr">
        <is>
          <t>是</t>
        </is>
      </c>
      <c r="AD124" s="6" t="inlineStr">
        <is>
          <t>是</t>
        </is>
      </c>
      <c r="AE124" s="6" t="inlineStr">
        <is>
          <t>遮挡挡板移回略慢（实测 0.86 s），仍落在 FrozenUncertain 区间</t>
        </is>
      </c>
      <c r="AF124" s="6" t="n">
        <v>9.449999999999999</v>
      </c>
      <c r="AG124" s="6" t="n">
        <v>0.907</v>
      </c>
      <c r="AH124" s="6" t="n">
        <v>0.907</v>
      </c>
      <c r="AI124" s="6" t="n">
        <v>0.925</v>
      </c>
      <c r="AJ124" s="6" t="n">
        <v>0.726</v>
      </c>
      <c r="AK124" s="6" t="inlineStr">
        <is>
          <t>FrozenUncertain</t>
        </is>
      </c>
      <c r="AL124" s="6" t="inlineStr">
        <is>
          <t>否</t>
        </is>
      </c>
      <c r="AM124" s="6" t="n">
        <v>0</v>
      </c>
      <c r="AN124" s="6" t="n">
        <v>6</v>
      </c>
      <c r="AO124" s="6" t="n"/>
    </row>
    <row r="125">
      <c r="A125" s="6" t="inlineStr">
        <is>
          <t>P021</t>
        </is>
      </c>
      <c r="B125" s="6" t="n">
        <v>1</v>
      </c>
      <c r="C125" s="6" t="inlineStr">
        <is>
          <t>O1-S1-EA</t>
        </is>
      </c>
      <c r="D125" s="6" t="n">
        <v>1</v>
      </c>
      <c r="E125" s="6" t="inlineStr">
        <is>
          <t>鼠标</t>
        </is>
      </c>
      <c r="F125" s="6" t="inlineStr">
        <is>
          <t>blue_mouse</t>
        </is>
      </c>
      <c r="G125" s="6" t="inlineStr">
        <is>
          <t>方法A</t>
        </is>
      </c>
      <c r="H125" s="6" t="inlineStr">
        <is>
          <t>EgoAnchor</t>
        </is>
      </c>
      <c r="I125" s="6" t="n">
        <v>1</v>
      </c>
      <c r="J125" s="6" t="n">
        <v>1</v>
      </c>
      <c r="K125" s="6" t="n">
        <v>7</v>
      </c>
      <c r="L125" s="6" t="n">
        <v>5</v>
      </c>
      <c r="M125" s="6" t="n">
        <v>6</v>
      </c>
      <c r="N125" s="6" t="n"/>
      <c r="O125" s="6" t="n">
        <v>6</v>
      </c>
      <c r="P125" s="6" t="n">
        <v>6</v>
      </c>
      <c r="Q125" s="6" t="n">
        <v>7</v>
      </c>
      <c r="R125" s="6" t="n">
        <v>7</v>
      </c>
      <c r="S125" s="6" t="n">
        <v>5</v>
      </c>
      <c r="T125" s="6" t="n">
        <v>7</v>
      </c>
      <c r="U125" s="6" t="n">
        <v>6</v>
      </c>
      <c r="V125" s="6" t="n">
        <v>7</v>
      </c>
      <c r="W125" s="6" t="n">
        <v>5</v>
      </c>
      <c r="X125" s="6" t="n">
        <v>6</v>
      </c>
      <c r="Y125" s="6" t="n"/>
      <c r="Z125" s="6" t="n"/>
      <c r="AA125" s="6" t="n">
        <v>91.40000000000001</v>
      </c>
      <c r="AB125" s="6" t="inlineStr">
        <is>
          <t>是</t>
        </is>
      </c>
      <c r="AC125" s="6" t="inlineStr">
        <is>
          <t>是</t>
        </is>
      </c>
      <c r="AD125" s="6" t="inlineStr">
        <is>
          <t>是</t>
        </is>
      </c>
      <c r="AE125" s="6" t="inlineStr">
        <is>
          <t>无</t>
        </is>
      </c>
      <c r="AF125" s="6" t="n">
        <v>9.529999999999999</v>
      </c>
      <c r="AG125" s="6" t="n">
        <v>0.825</v>
      </c>
      <c r="AH125" s="6" t="n">
        <v>0.873</v>
      </c>
      <c r="AI125" s="6" t="n">
        <v>0.959</v>
      </c>
      <c r="AJ125" s="6" t="n">
        <v>0.836</v>
      </c>
      <c r="AK125" s="6" t="inlineStr">
        <is>
          <t>FrozenUncertain</t>
        </is>
      </c>
      <c r="AL125" s="6" t="inlineStr">
        <is>
          <t>否</t>
        </is>
      </c>
      <c r="AM125" s="6" t="n">
        <v>0</v>
      </c>
      <c r="AN125" s="6" t="n">
        <v>3</v>
      </c>
      <c r="AO125" s="6" t="n"/>
    </row>
    <row r="126">
      <c r="A126" s="6" t="inlineStr">
        <is>
          <t>P021</t>
        </is>
      </c>
      <c r="B126" s="6" t="n">
        <v>2</v>
      </c>
      <c r="C126" s="6" t="inlineStr">
        <is>
          <t>O1-S1-EA</t>
        </is>
      </c>
      <c r="D126" s="6" t="n">
        <v>1</v>
      </c>
      <c r="E126" s="6" t="inlineStr">
        <is>
          <t>鼠标</t>
        </is>
      </c>
      <c r="F126" s="6" t="inlineStr">
        <is>
          <t>blue_mouse</t>
        </is>
      </c>
      <c r="G126" s="6" t="inlineStr">
        <is>
          <t>方法B</t>
        </is>
      </c>
      <c r="H126" s="6" t="inlineStr">
        <is>
          <t>One-Euro</t>
        </is>
      </c>
      <c r="I126" s="6" t="n">
        <v>2</v>
      </c>
      <c r="J126" s="6" t="n">
        <v>1</v>
      </c>
      <c r="K126" s="6" t="n">
        <v>3</v>
      </c>
      <c r="L126" s="6" t="n">
        <v>4</v>
      </c>
      <c r="M126" s="6" t="n">
        <v>4</v>
      </c>
      <c r="N126" s="6" t="n"/>
      <c r="O126" s="6" t="n">
        <v>4</v>
      </c>
      <c r="P126" s="6" t="n">
        <v>3</v>
      </c>
      <c r="Q126" s="6" t="n">
        <v>4</v>
      </c>
      <c r="R126" s="6" t="n">
        <v>5</v>
      </c>
      <c r="S126" s="6" t="n">
        <v>2</v>
      </c>
      <c r="T126" s="6" t="n">
        <v>5</v>
      </c>
      <c r="U126" s="6" t="n">
        <v>4</v>
      </c>
      <c r="V126" s="6" t="n">
        <v>5</v>
      </c>
      <c r="W126" s="6" t="n">
        <v>1</v>
      </c>
      <c r="X126" s="6" t="n">
        <v>3</v>
      </c>
      <c r="Y126" s="6" t="n"/>
      <c r="Z126" s="6" t="n"/>
      <c r="AA126" s="6" t="n">
        <v>110.7</v>
      </c>
      <c r="AB126" s="6" t="inlineStr">
        <is>
          <t>是</t>
        </is>
      </c>
      <c r="AC126" s="6" t="inlineStr">
        <is>
          <t>是</t>
        </is>
      </c>
      <c r="AD126" s="6" t="inlineStr">
        <is>
          <t>是</t>
        </is>
      </c>
      <c r="AE126" s="6" t="inlineStr">
        <is>
          <t>无</t>
        </is>
      </c>
      <c r="AF126" s="6" t="n">
        <v>9.67</v>
      </c>
      <c r="AG126" s="6" t="n">
        <v>0.877</v>
      </c>
      <c r="AH126" s="6" t="n">
        <v>0.906</v>
      </c>
      <c r="AI126" s="6" t="n">
        <v>0.9330000000000001</v>
      </c>
      <c r="AJ126" s="6" t="n">
        <v>0.759</v>
      </c>
      <c r="AK126" s="6" t="inlineStr">
        <is>
          <t>FrozenUncertain</t>
        </is>
      </c>
      <c r="AL126" s="6" t="inlineStr">
        <is>
          <t>否</t>
        </is>
      </c>
      <c r="AM126" s="6" t="n">
        <v>0</v>
      </c>
      <c r="AN126" s="6" t="n">
        <v>0</v>
      </c>
      <c r="AO126" s="6" t="n"/>
    </row>
    <row r="127">
      <c r="A127" s="6" t="inlineStr">
        <is>
          <t>P021</t>
        </is>
      </c>
      <c r="B127" s="6" t="n">
        <v>3</v>
      </c>
      <c r="C127" s="6" t="inlineStr">
        <is>
          <t>O1-S1-EA</t>
        </is>
      </c>
      <c r="D127" s="6" t="n">
        <v>2</v>
      </c>
      <c r="E127" s="6" t="inlineStr">
        <is>
          <t>固定订书机</t>
        </is>
      </c>
      <c r="F127" s="6" t="inlineStr">
        <is>
          <t>stapler</t>
        </is>
      </c>
      <c r="G127" s="6" t="inlineStr">
        <is>
          <t>方法B</t>
        </is>
      </c>
      <c r="H127" s="6" t="inlineStr">
        <is>
          <t>One-Euro</t>
        </is>
      </c>
      <c r="I127" s="6" t="n">
        <v>1</v>
      </c>
      <c r="J127" s="6" t="n">
        <v>2</v>
      </c>
      <c r="K127" s="6" t="n">
        <v>4</v>
      </c>
      <c r="L127" s="6" t="n">
        <v>6</v>
      </c>
      <c r="M127" s="6" t="n">
        <v>5</v>
      </c>
      <c r="N127" s="6" t="n"/>
      <c r="O127" s="6" t="n">
        <v>5</v>
      </c>
      <c r="P127" s="6" t="n">
        <v>4</v>
      </c>
      <c r="Q127" s="6" t="n">
        <v>5</v>
      </c>
      <c r="R127" s="6" t="n">
        <v>6</v>
      </c>
      <c r="S127" s="6" t="n">
        <v>5</v>
      </c>
      <c r="T127" s="6" t="n">
        <v>7</v>
      </c>
      <c r="U127" s="6" t="n">
        <v>5</v>
      </c>
      <c r="V127" s="6" t="n">
        <v>6</v>
      </c>
      <c r="W127" s="6" t="n">
        <v>3</v>
      </c>
      <c r="X127" s="6" t="n">
        <v>4</v>
      </c>
      <c r="Y127" s="6" t="n"/>
      <c r="Z127" s="6" t="n"/>
      <c r="AA127" s="6" t="n">
        <v>106.8</v>
      </c>
      <c r="AB127" s="6" t="inlineStr">
        <is>
          <t>是</t>
        </is>
      </c>
      <c r="AC127" s="6" t="inlineStr">
        <is>
          <t>是</t>
        </is>
      </c>
      <c r="AD127" s="6" t="inlineStr">
        <is>
          <t>是</t>
        </is>
      </c>
      <c r="AE127" s="6" t="inlineStr">
        <is>
          <t>无</t>
        </is>
      </c>
      <c r="AF127" s="6" t="n">
        <v>9.949999999999999</v>
      </c>
      <c r="AG127" s="6" t="n">
        <v>0.9429999999999999</v>
      </c>
      <c r="AH127" s="6" t="n">
        <v>0.857</v>
      </c>
      <c r="AI127" s="6" t="n">
        <v>0.945</v>
      </c>
      <c r="AJ127" s="6" t="n">
        <v>0.743</v>
      </c>
      <c r="AK127" s="6" t="inlineStr">
        <is>
          <t>FrozenUncertain</t>
        </is>
      </c>
      <c r="AL127" s="6" t="inlineStr">
        <is>
          <t>否</t>
        </is>
      </c>
      <c r="AM127" s="6" t="n">
        <v>0</v>
      </c>
      <c r="AN127" s="6" t="n">
        <v>0</v>
      </c>
      <c r="AO127" s="6" t="n"/>
    </row>
    <row r="128">
      <c r="A128" s="6" t="inlineStr">
        <is>
          <t>P021</t>
        </is>
      </c>
      <c r="B128" s="6" t="n">
        <v>4</v>
      </c>
      <c r="C128" s="6" t="inlineStr">
        <is>
          <t>O1-S1-EA</t>
        </is>
      </c>
      <c r="D128" s="6" t="n">
        <v>2</v>
      </c>
      <c r="E128" s="6" t="inlineStr">
        <is>
          <t>固定订书机</t>
        </is>
      </c>
      <c r="F128" s="6" t="inlineStr">
        <is>
          <t>stapler</t>
        </is>
      </c>
      <c r="G128" s="6" t="inlineStr">
        <is>
          <t>方法A</t>
        </is>
      </c>
      <c r="H128" s="6" t="inlineStr">
        <is>
          <t>EgoAnchor</t>
        </is>
      </c>
      <c r="I128" s="6" t="n">
        <v>2</v>
      </c>
      <c r="J128" s="6" t="n">
        <v>2</v>
      </c>
      <c r="K128" s="6" t="n">
        <v>7</v>
      </c>
      <c r="L128" s="6" t="n">
        <v>5</v>
      </c>
      <c r="M128" s="6" t="n">
        <v>6</v>
      </c>
      <c r="N128" s="6" t="n"/>
      <c r="O128" s="6" t="n">
        <v>7</v>
      </c>
      <c r="P128" s="6" t="n">
        <v>5</v>
      </c>
      <c r="Q128" s="6" t="n">
        <v>7</v>
      </c>
      <c r="R128" s="6" t="n">
        <v>6</v>
      </c>
      <c r="S128" s="6" t="n">
        <v>5</v>
      </c>
      <c r="T128" s="6" t="n">
        <v>7</v>
      </c>
      <c r="U128" s="6" t="n">
        <v>6</v>
      </c>
      <c r="V128" s="6" t="n">
        <v>7</v>
      </c>
      <c r="W128" s="6" t="n">
        <v>4</v>
      </c>
      <c r="X128" s="6" t="n">
        <v>5</v>
      </c>
      <c r="Y128" s="6" t="n"/>
      <c r="Z128" s="6" t="n"/>
      <c r="AA128" s="6" t="n">
        <v>98.40000000000001</v>
      </c>
      <c r="AB128" s="6" t="inlineStr">
        <is>
          <t>是</t>
        </is>
      </c>
      <c r="AC128" s="6" t="inlineStr">
        <is>
          <t>是</t>
        </is>
      </c>
      <c r="AD128" s="6" t="inlineStr">
        <is>
          <t>是</t>
        </is>
      </c>
      <c r="AE128" s="6" t="inlineStr">
        <is>
          <t>无</t>
        </is>
      </c>
      <c r="AF128" s="6" t="n">
        <v>9.970000000000001</v>
      </c>
      <c r="AG128" s="6" t="n">
        <v>0.916</v>
      </c>
      <c r="AH128" s="6" t="n">
        <v>0.955</v>
      </c>
      <c r="AI128" s="6" t="n">
        <v>0.966</v>
      </c>
      <c r="AJ128" s="6" t="n">
        <v>0.701</v>
      </c>
      <c r="AK128" s="6" t="inlineStr">
        <is>
          <t>FrozenUncertain</t>
        </is>
      </c>
      <c r="AL128" s="6" t="inlineStr">
        <is>
          <t>否</t>
        </is>
      </c>
      <c r="AM128" s="6" t="n">
        <v>0</v>
      </c>
      <c r="AN128" s="6" t="n">
        <v>7</v>
      </c>
      <c r="AO128" s="6" t="n"/>
    </row>
    <row r="129">
      <c r="A129" s="6" t="inlineStr">
        <is>
          <t>P021</t>
        </is>
      </c>
      <c r="B129" s="6" t="n">
        <v>5</v>
      </c>
      <c r="C129" s="6" t="inlineStr">
        <is>
          <t>O1-S1-EA</t>
        </is>
      </c>
      <c r="D129" s="6" t="n">
        <v>3</v>
      </c>
      <c r="E129" s="6" t="inlineStr">
        <is>
          <t>游戏手柄</t>
        </is>
      </c>
      <c r="F129" s="6" t="inlineStr">
        <is>
          <t>gamepad</t>
        </is>
      </c>
      <c r="G129" s="6" t="inlineStr">
        <is>
          <t>方法A</t>
        </is>
      </c>
      <c r="H129" s="6" t="inlineStr">
        <is>
          <t>EgoAnchor</t>
        </is>
      </c>
      <c r="I129" s="6" t="n">
        <v>1</v>
      </c>
      <c r="J129" s="6" t="n">
        <v>3</v>
      </c>
      <c r="K129" s="6" t="n">
        <v>7</v>
      </c>
      <c r="L129" s="6" t="n">
        <v>6</v>
      </c>
      <c r="M129" s="6" t="n">
        <v>5</v>
      </c>
      <c r="N129" s="6" t="n"/>
      <c r="O129" s="6" t="n">
        <v>5</v>
      </c>
      <c r="P129" s="6" t="n">
        <v>7</v>
      </c>
      <c r="Q129" s="6" t="n">
        <v>7</v>
      </c>
      <c r="R129" s="6" t="n">
        <v>7</v>
      </c>
      <c r="S129" s="6" t="n">
        <v>6</v>
      </c>
      <c r="T129" s="6" t="n">
        <v>7</v>
      </c>
      <c r="U129" s="6" t="n">
        <v>6</v>
      </c>
      <c r="V129" s="6" t="n">
        <v>7</v>
      </c>
      <c r="W129" s="6" t="n">
        <v>4</v>
      </c>
      <c r="X129" s="6" t="n">
        <v>6</v>
      </c>
      <c r="Y129" s="6" t="n"/>
      <c r="Z129" s="6" t="n"/>
      <c r="AA129" s="6" t="n">
        <v>101.5</v>
      </c>
      <c r="AB129" s="6" t="inlineStr">
        <is>
          <t>是</t>
        </is>
      </c>
      <c r="AC129" s="6" t="inlineStr">
        <is>
          <t>是</t>
        </is>
      </c>
      <c r="AD129" s="6" t="inlineStr">
        <is>
          <t>是</t>
        </is>
      </c>
      <c r="AE129" s="6" t="inlineStr">
        <is>
          <t>无</t>
        </is>
      </c>
      <c r="AF129" s="6" t="n">
        <v>9.289999999999999</v>
      </c>
      <c r="AG129" s="6" t="n">
        <v>0.907</v>
      </c>
      <c r="AH129" s="6" t="n">
        <v>0.917</v>
      </c>
      <c r="AI129" s="6" t="n">
        <v>0.9389999999999999</v>
      </c>
      <c r="AJ129" s="6" t="n">
        <v>0.723</v>
      </c>
      <c r="AK129" s="6" t="inlineStr">
        <is>
          <t>FrozenUncertain</t>
        </is>
      </c>
      <c r="AL129" s="6" t="inlineStr">
        <is>
          <t>否</t>
        </is>
      </c>
      <c r="AM129" s="6" t="n">
        <v>0</v>
      </c>
      <c r="AN129" s="6" t="n">
        <v>7</v>
      </c>
      <c r="AO129" s="6" t="n"/>
    </row>
    <row r="130">
      <c r="A130" s="6" t="inlineStr">
        <is>
          <t>P021</t>
        </is>
      </c>
      <c r="B130" s="6" t="n">
        <v>6</v>
      </c>
      <c r="C130" s="6" t="inlineStr">
        <is>
          <t>O1-S1-EA</t>
        </is>
      </c>
      <c r="D130" s="6" t="n">
        <v>3</v>
      </c>
      <c r="E130" s="6" t="inlineStr">
        <is>
          <t>游戏手柄</t>
        </is>
      </c>
      <c r="F130" s="6" t="inlineStr">
        <is>
          <t>gamepad</t>
        </is>
      </c>
      <c r="G130" s="6" t="inlineStr">
        <is>
          <t>方法B</t>
        </is>
      </c>
      <c r="H130" s="6" t="inlineStr">
        <is>
          <t>One-Euro</t>
        </is>
      </c>
      <c r="I130" s="6" t="n">
        <v>2</v>
      </c>
      <c r="J130" s="6" t="n">
        <v>3</v>
      </c>
      <c r="K130" s="6" t="n">
        <v>4</v>
      </c>
      <c r="L130" s="6" t="n">
        <v>3</v>
      </c>
      <c r="M130" s="6" t="n">
        <v>3</v>
      </c>
      <c r="N130" s="6" t="n"/>
      <c r="O130" s="6" t="n">
        <v>5</v>
      </c>
      <c r="P130" s="6" t="n">
        <v>4</v>
      </c>
      <c r="Q130" s="6" t="n">
        <v>4</v>
      </c>
      <c r="R130" s="6" t="n">
        <v>4</v>
      </c>
      <c r="S130" s="6" t="n">
        <v>5</v>
      </c>
      <c r="T130" s="6" t="n">
        <v>4</v>
      </c>
      <c r="U130" s="6" t="n">
        <v>5</v>
      </c>
      <c r="V130" s="6" t="n">
        <v>6</v>
      </c>
      <c r="W130" s="6" t="n">
        <v>1</v>
      </c>
      <c r="X130" s="6" t="n">
        <v>4</v>
      </c>
      <c r="Y130" s="6" t="n"/>
      <c r="Z130" s="6" t="n"/>
      <c r="AA130" s="6" t="n">
        <v>117.9</v>
      </c>
      <c r="AB130" s="6" t="inlineStr">
        <is>
          <t>是</t>
        </is>
      </c>
      <c r="AC130" s="6" t="inlineStr">
        <is>
          <t>是</t>
        </is>
      </c>
      <c r="AD130" s="6" t="inlineStr">
        <is>
          <t>是</t>
        </is>
      </c>
      <c r="AE130" s="6" t="inlineStr">
        <is>
          <t>无</t>
        </is>
      </c>
      <c r="AF130" s="6" t="n">
        <v>9.06</v>
      </c>
      <c r="AG130" s="6" t="n">
        <v>0.89</v>
      </c>
      <c r="AH130" s="6" t="n">
        <v>0.926</v>
      </c>
      <c r="AI130" s="6" t="n">
        <v>0.955</v>
      </c>
      <c r="AJ130" s="6" t="n">
        <v>0.73</v>
      </c>
      <c r="AK130" s="6" t="inlineStr">
        <is>
          <t>FrozenUncertain</t>
        </is>
      </c>
      <c r="AL130" s="6" t="inlineStr">
        <is>
          <t>否</t>
        </is>
      </c>
      <c r="AM130" s="6" t="n">
        <v>0</v>
      </c>
      <c r="AN130" s="6" t="n">
        <v>0</v>
      </c>
      <c r="AO130" s="6" t="n"/>
    </row>
    <row r="131">
      <c r="A131" s="6" t="inlineStr">
        <is>
          <t>P022</t>
        </is>
      </c>
      <c r="B131" s="6" t="n">
        <v>1</v>
      </c>
      <c r="C131" s="6" t="inlineStr">
        <is>
          <t>O5-S1-EA</t>
        </is>
      </c>
      <c r="D131" s="6" t="n">
        <v>1</v>
      </c>
      <c r="E131" s="6" t="inlineStr">
        <is>
          <t>游戏手柄</t>
        </is>
      </c>
      <c r="F131" s="6" t="inlineStr">
        <is>
          <t>gamepad</t>
        </is>
      </c>
      <c r="G131" s="6" t="inlineStr">
        <is>
          <t>方法A</t>
        </is>
      </c>
      <c r="H131" s="6" t="inlineStr">
        <is>
          <t>EgoAnchor</t>
        </is>
      </c>
      <c r="I131" s="6" t="n">
        <v>1</v>
      </c>
      <c r="J131" s="6" t="n">
        <v>1</v>
      </c>
      <c r="K131" s="6" t="n">
        <v>4</v>
      </c>
      <c r="L131" s="6" t="n">
        <v>5</v>
      </c>
      <c r="M131" s="6" t="n">
        <v>4</v>
      </c>
      <c r="N131" s="6" t="n"/>
      <c r="O131" s="6" t="n">
        <v>5</v>
      </c>
      <c r="P131" s="6" t="n">
        <v>4</v>
      </c>
      <c r="Q131" s="6" t="n">
        <v>5</v>
      </c>
      <c r="R131" s="6" t="n">
        <v>4</v>
      </c>
      <c r="S131" s="6" t="n">
        <v>4</v>
      </c>
      <c r="T131" s="6" t="n">
        <v>3</v>
      </c>
      <c r="U131" s="6" t="n">
        <v>5</v>
      </c>
      <c r="V131" s="6" t="n">
        <v>4</v>
      </c>
      <c r="W131" s="6" t="n">
        <v>4</v>
      </c>
      <c r="X131" s="6" t="n">
        <v>4</v>
      </c>
      <c r="Y131" s="6" t="n"/>
      <c r="Z131" s="6" t="n"/>
      <c r="AA131" s="6" t="n">
        <v>120.5</v>
      </c>
      <c r="AB131" s="6" t="inlineStr">
        <is>
          <t>是</t>
        </is>
      </c>
      <c r="AC131" s="6" t="inlineStr">
        <is>
          <t>是</t>
        </is>
      </c>
      <c r="AD131" s="6" t="inlineStr">
        <is>
          <t>是</t>
        </is>
      </c>
      <c r="AE131" s="6" t="inlineStr">
        <is>
          <t>无</t>
        </is>
      </c>
      <c r="AF131" s="6" t="n">
        <v>9.380000000000001</v>
      </c>
      <c r="AG131" s="6" t="n">
        <v>0.909</v>
      </c>
      <c r="AH131" s="6" t="n">
        <v>0.916</v>
      </c>
      <c r="AI131" s="6" t="n">
        <v>0.96</v>
      </c>
      <c r="AJ131" s="6" t="n">
        <v>0.79</v>
      </c>
      <c r="AK131" s="6" t="inlineStr">
        <is>
          <t>FrozenUncertain</t>
        </is>
      </c>
      <c r="AL131" s="6" t="inlineStr">
        <is>
          <t>否</t>
        </is>
      </c>
      <c r="AM131" s="6" t="n">
        <v>0</v>
      </c>
      <c r="AN131" s="6" t="n">
        <v>5</v>
      </c>
      <c r="AO131" s="6" t="n"/>
    </row>
    <row r="132">
      <c r="A132" s="6" t="inlineStr">
        <is>
          <t>P022</t>
        </is>
      </c>
      <c r="B132" s="6" t="n">
        <v>2</v>
      </c>
      <c r="C132" s="6" t="inlineStr">
        <is>
          <t>O5-S1-EA</t>
        </is>
      </c>
      <c r="D132" s="6" t="n">
        <v>1</v>
      </c>
      <c r="E132" s="6" t="inlineStr">
        <is>
          <t>游戏手柄</t>
        </is>
      </c>
      <c r="F132" s="6" t="inlineStr">
        <is>
          <t>gamepad</t>
        </is>
      </c>
      <c r="G132" s="6" t="inlineStr">
        <is>
          <t>方法B</t>
        </is>
      </c>
      <c r="H132" s="6" t="inlineStr">
        <is>
          <t>One-Euro</t>
        </is>
      </c>
      <c r="I132" s="6" t="n">
        <v>2</v>
      </c>
      <c r="J132" s="6" t="n">
        <v>1</v>
      </c>
      <c r="K132" s="6" t="n">
        <v>3</v>
      </c>
      <c r="L132" s="6" t="n">
        <v>4</v>
      </c>
      <c r="M132" s="6" t="n">
        <v>3</v>
      </c>
      <c r="N132" s="6" t="n"/>
      <c r="O132" s="6" t="n">
        <v>4</v>
      </c>
      <c r="P132" s="6" t="n">
        <v>4</v>
      </c>
      <c r="Q132" s="6" t="n">
        <v>4</v>
      </c>
      <c r="R132" s="6" t="n">
        <v>4</v>
      </c>
      <c r="S132" s="6" t="n">
        <v>3</v>
      </c>
      <c r="T132" s="6" t="n">
        <v>4</v>
      </c>
      <c r="U132" s="6" t="n">
        <v>6</v>
      </c>
      <c r="V132" s="6" t="n">
        <v>5</v>
      </c>
      <c r="W132" s="6" t="n">
        <v>3</v>
      </c>
      <c r="X132" s="6" t="n">
        <v>3</v>
      </c>
      <c r="Y132" s="6" t="n"/>
      <c r="Z132" s="6" t="n"/>
      <c r="AA132" s="6" t="n">
        <v>145.2</v>
      </c>
      <c r="AB132" s="6" t="inlineStr">
        <is>
          <t>是</t>
        </is>
      </c>
      <c r="AC132" s="6" t="inlineStr">
        <is>
          <t>是</t>
        </is>
      </c>
      <c r="AD132" s="6" t="inlineStr">
        <is>
          <t>是</t>
        </is>
      </c>
      <c r="AE132" s="6" t="inlineStr">
        <is>
          <t>无</t>
        </is>
      </c>
      <c r="AF132" s="6" t="n">
        <v>9.83</v>
      </c>
      <c r="AG132" s="6" t="n">
        <v>0.894</v>
      </c>
      <c r="AH132" s="6" t="n">
        <v>0.919</v>
      </c>
      <c r="AI132" s="6" t="n">
        <v>0.944</v>
      </c>
      <c r="AJ132" s="6" t="n">
        <v>0.771</v>
      </c>
      <c r="AK132" s="6" t="inlineStr">
        <is>
          <t>FrozenUncertain</t>
        </is>
      </c>
      <c r="AL132" s="6" t="inlineStr">
        <is>
          <t>否</t>
        </is>
      </c>
      <c r="AM132" s="6" t="n">
        <v>0</v>
      </c>
      <c r="AN132" s="6" t="n">
        <v>0</v>
      </c>
      <c r="AO132" s="6" t="n"/>
    </row>
    <row r="133">
      <c r="A133" s="6" t="inlineStr">
        <is>
          <t>P022</t>
        </is>
      </c>
      <c r="B133" s="6" t="n">
        <v>3</v>
      </c>
      <c r="C133" s="6" t="inlineStr">
        <is>
          <t>O5-S1-EA</t>
        </is>
      </c>
      <c r="D133" s="6" t="n">
        <v>2</v>
      </c>
      <c r="E133" s="6" t="inlineStr">
        <is>
          <t>鼠标</t>
        </is>
      </c>
      <c r="F133" s="6" t="inlineStr">
        <is>
          <t>blue_mouse</t>
        </is>
      </c>
      <c r="G133" s="6" t="inlineStr">
        <is>
          <t>方法B</t>
        </is>
      </c>
      <c r="H133" s="6" t="inlineStr">
        <is>
          <t>One-Euro</t>
        </is>
      </c>
      <c r="I133" s="6" t="n">
        <v>1</v>
      </c>
      <c r="J133" s="6" t="n">
        <v>2</v>
      </c>
      <c r="K133" s="6" t="n">
        <v>3</v>
      </c>
      <c r="L133" s="6" t="n">
        <v>4</v>
      </c>
      <c r="M133" s="6" t="n">
        <v>4</v>
      </c>
      <c r="N133" s="6" t="n"/>
      <c r="O133" s="6" t="n">
        <v>4</v>
      </c>
      <c r="P133" s="6" t="n">
        <v>4</v>
      </c>
      <c r="Q133" s="6" t="n">
        <v>4</v>
      </c>
      <c r="R133" s="6" t="n">
        <v>4</v>
      </c>
      <c r="S133" s="6" t="n">
        <v>3</v>
      </c>
      <c r="T133" s="6" t="n">
        <v>3</v>
      </c>
      <c r="U133" s="6" t="n">
        <v>4</v>
      </c>
      <c r="V133" s="6" t="n">
        <v>4</v>
      </c>
      <c r="W133" s="6" t="n">
        <v>4</v>
      </c>
      <c r="X133" s="6" t="n">
        <v>3</v>
      </c>
      <c r="Y133" s="6" t="n"/>
      <c r="Z133" s="6" t="n"/>
      <c r="AA133" s="6" t="n">
        <v>134.3</v>
      </c>
      <c r="AB133" s="6" t="inlineStr">
        <is>
          <t>是</t>
        </is>
      </c>
      <c r="AC133" s="6" t="inlineStr">
        <is>
          <t>是</t>
        </is>
      </c>
      <c r="AD133" s="6" t="inlineStr">
        <is>
          <t>是</t>
        </is>
      </c>
      <c r="AE133" s="6" t="inlineStr">
        <is>
          <t>无</t>
        </is>
      </c>
      <c r="AF133" s="6" t="n">
        <v>9.710000000000001</v>
      </c>
      <c r="AG133" s="6" t="n">
        <v>0.844</v>
      </c>
      <c r="AH133" s="6" t="n">
        <v>0.89</v>
      </c>
      <c r="AI133" s="6" t="n">
        <v>0.957</v>
      </c>
      <c r="AJ133" s="6" t="n">
        <v>0.725</v>
      </c>
      <c r="AK133" s="6" t="inlineStr">
        <is>
          <t>Lost</t>
        </is>
      </c>
      <c r="AL133" s="6" t="inlineStr">
        <is>
          <t>是</t>
        </is>
      </c>
      <c r="AM133" s="6" t="n">
        <v>1</v>
      </c>
      <c r="AN133" s="6" t="n">
        <v>0</v>
      </c>
      <c r="AO133" s="6" t="n"/>
    </row>
    <row r="134">
      <c r="A134" s="6" t="inlineStr">
        <is>
          <t>P022</t>
        </is>
      </c>
      <c r="B134" s="6" t="n">
        <v>4</v>
      </c>
      <c r="C134" s="6" t="inlineStr">
        <is>
          <t>O5-S1-EA</t>
        </is>
      </c>
      <c r="D134" s="6" t="n">
        <v>2</v>
      </c>
      <c r="E134" s="6" t="inlineStr">
        <is>
          <t>鼠标</t>
        </is>
      </c>
      <c r="F134" s="6" t="inlineStr">
        <is>
          <t>blue_mouse</t>
        </is>
      </c>
      <c r="G134" s="6" t="inlineStr">
        <is>
          <t>方法A</t>
        </is>
      </c>
      <c r="H134" s="6" t="inlineStr">
        <is>
          <t>EgoAnchor</t>
        </is>
      </c>
      <c r="I134" s="6" t="n">
        <v>2</v>
      </c>
      <c r="J134" s="6" t="n">
        <v>2</v>
      </c>
      <c r="K134" s="6" t="n">
        <v>4</v>
      </c>
      <c r="L134" s="6" t="n">
        <v>3</v>
      </c>
      <c r="M134" s="6" t="n">
        <v>4</v>
      </c>
      <c r="N134" s="6" t="n"/>
      <c r="O134" s="6" t="n">
        <v>4</v>
      </c>
      <c r="P134" s="6" t="n">
        <v>5</v>
      </c>
      <c r="Q134" s="6" t="n">
        <v>4</v>
      </c>
      <c r="R134" s="6" t="n">
        <v>4</v>
      </c>
      <c r="S134" s="6" t="n">
        <v>4</v>
      </c>
      <c r="T134" s="6" t="n">
        <v>3</v>
      </c>
      <c r="U134" s="6" t="n">
        <v>5</v>
      </c>
      <c r="V134" s="6" t="n">
        <v>3</v>
      </c>
      <c r="W134" s="6" t="n">
        <v>4</v>
      </c>
      <c r="X134" s="6" t="n">
        <v>4</v>
      </c>
      <c r="Y134" s="6" t="n"/>
      <c r="Z134" s="6" t="n"/>
      <c r="AA134" s="6" t="n">
        <v>164.8</v>
      </c>
      <c r="AB134" s="6" t="inlineStr">
        <is>
          <t>是</t>
        </is>
      </c>
      <c r="AC134" s="6" t="inlineStr">
        <is>
          <t>是</t>
        </is>
      </c>
      <c r="AD134" s="6" t="inlineStr">
        <is>
          <t>是</t>
        </is>
      </c>
      <c r="AE134" s="6" t="inlineStr">
        <is>
          <t>无</t>
        </is>
      </c>
      <c r="AF134" s="6" t="n">
        <v>9.76</v>
      </c>
      <c r="AG134" s="6" t="n">
        <v>0.894</v>
      </c>
      <c r="AH134" s="6" t="n">
        <v>0.886</v>
      </c>
      <c r="AI134" s="6" t="n">
        <v>0.997</v>
      </c>
      <c r="AJ134" s="6" t="n">
        <v>0.75</v>
      </c>
      <c r="AK134" s="6" t="inlineStr">
        <is>
          <t>Lost</t>
        </is>
      </c>
      <c r="AL134" s="6" t="inlineStr">
        <is>
          <t>是</t>
        </is>
      </c>
      <c r="AM134" s="6" t="n">
        <v>1</v>
      </c>
      <c r="AN134" s="6" t="n">
        <v>5</v>
      </c>
      <c r="AO134" s="6" t="n"/>
    </row>
    <row r="135">
      <c r="A135" s="6" t="inlineStr">
        <is>
          <t>P022</t>
        </is>
      </c>
      <c r="B135" s="6" t="n">
        <v>5</v>
      </c>
      <c r="C135" s="6" t="inlineStr">
        <is>
          <t>O5-S1-EA</t>
        </is>
      </c>
      <c r="D135" s="6" t="n">
        <v>3</v>
      </c>
      <c r="E135" s="6" t="inlineStr">
        <is>
          <t>固定订书机</t>
        </is>
      </c>
      <c r="F135" s="6" t="inlineStr">
        <is>
          <t>stapler</t>
        </is>
      </c>
      <c r="G135" s="6" t="inlineStr">
        <is>
          <t>方法A</t>
        </is>
      </c>
      <c r="H135" s="6" t="inlineStr">
        <is>
          <t>EgoAnchor</t>
        </is>
      </c>
      <c r="I135" s="6" t="n">
        <v>1</v>
      </c>
      <c r="J135" s="6" t="n">
        <v>3</v>
      </c>
      <c r="K135" s="6" t="n">
        <v>4</v>
      </c>
      <c r="L135" s="6" t="n">
        <v>4</v>
      </c>
      <c r="M135" s="6" t="n">
        <v>4</v>
      </c>
      <c r="N135" s="6" t="n"/>
      <c r="O135" s="6" t="n">
        <v>4</v>
      </c>
      <c r="P135" s="6" t="n">
        <v>5</v>
      </c>
      <c r="Q135" s="6" t="n">
        <v>4</v>
      </c>
      <c r="R135" s="6" t="n">
        <v>5</v>
      </c>
      <c r="S135" s="6" t="n">
        <v>3</v>
      </c>
      <c r="T135" s="6" t="n">
        <v>4</v>
      </c>
      <c r="U135" s="6" t="n">
        <v>4</v>
      </c>
      <c r="V135" s="6" t="n">
        <v>4</v>
      </c>
      <c r="W135" s="6" t="n">
        <v>3</v>
      </c>
      <c r="X135" s="6" t="n">
        <v>4</v>
      </c>
      <c r="Y135" s="6" t="n"/>
      <c r="Z135" s="6" t="n"/>
      <c r="AA135" s="6" t="n">
        <v>155.5</v>
      </c>
      <c r="AB135" s="6" t="inlineStr">
        <is>
          <t>是</t>
        </is>
      </c>
      <c r="AC135" s="6" t="inlineStr">
        <is>
          <t>是</t>
        </is>
      </c>
      <c r="AD135" s="6" t="inlineStr">
        <is>
          <t>是</t>
        </is>
      </c>
      <c r="AE135" s="6" t="inlineStr">
        <is>
          <t>无</t>
        </is>
      </c>
      <c r="AF135" s="6" t="n">
        <v>9.76</v>
      </c>
      <c r="AG135" s="6" t="n">
        <v>0.9320000000000001</v>
      </c>
      <c r="AH135" s="6" t="n">
        <v>0.868</v>
      </c>
      <c r="AI135" s="6" t="n">
        <v>0.93</v>
      </c>
      <c r="AJ135" s="6" t="n">
        <v>0.744</v>
      </c>
      <c r="AK135" s="6" t="inlineStr">
        <is>
          <t>FrozenUncertain</t>
        </is>
      </c>
      <c r="AL135" s="6" t="inlineStr">
        <is>
          <t>否</t>
        </is>
      </c>
      <c r="AM135" s="6" t="n">
        <v>0</v>
      </c>
      <c r="AN135" s="6" t="n">
        <v>4</v>
      </c>
      <c r="AO135" s="6" t="n"/>
    </row>
    <row r="136">
      <c r="A136" s="6" t="inlineStr">
        <is>
          <t>P022</t>
        </is>
      </c>
      <c r="B136" s="6" t="n">
        <v>6</v>
      </c>
      <c r="C136" s="6" t="inlineStr">
        <is>
          <t>O5-S1-EA</t>
        </is>
      </c>
      <c r="D136" s="6" t="n">
        <v>3</v>
      </c>
      <c r="E136" s="6" t="inlineStr">
        <is>
          <t>固定订书机</t>
        </is>
      </c>
      <c r="F136" s="6" t="inlineStr">
        <is>
          <t>stapler</t>
        </is>
      </c>
      <c r="G136" s="6" t="inlineStr">
        <is>
          <t>方法B</t>
        </is>
      </c>
      <c r="H136" s="6" t="inlineStr">
        <is>
          <t>One-Euro</t>
        </is>
      </c>
      <c r="I136" s="6" t="n">
        <v>2</v>
      </c>
      <c r="J136" s="6" t="n">
        <v>3</v>
      </c>
      <c r="K136" s="6" t="n">
        <v>4</v>
      </c>
      <c r="L136" s="6" t="n">
        <v>4</v>
      </c>
      <c r="M136" s="6" t="n">
        <v>5</v>
      </c>
      <c r="N136" s="6" t="n"/>
      <c r="O136" s="6" t="n">
        <v>5</v>
      </c>
      <c r="P136" s="6" t="n">
        <v>5</v>
      </c>
      <c r="Q136" s="6" t="n">
        <v>5</v>
      </c>
      <c r="R136" s="6" t="n">
        <v>5</v>
      </c>
      <c r="S136" s="6" t="n">
        <v>4</v>
      </c>
      <c r="T136" s="6" t="n">
        <v>4</v>
      </c>
      <c r="U136" s="6" t="n">
        <v>6</v>
      </c>
      <c r="V136" s="6" t="n">
        <v>5</v>
      </c>
      <c r="W136" s="6" t="n">
        <v>3</v>
      </c>
      <c r="X136" s="6" t="n">
        <v>3</v>
      </c>
      <c r="Y136" s="6" t="n"/>
      <c r="Z136" s="6" t="n"/>
      <c r="AA136" s="6" t="n">
        <v>151.3</v>
      </c>
      <c r="AB136" s="6" t="inlineStr">
        <is>
          <t>是</t>
        </is>
      </c>
      <c r="AC136" s="6" t="inlineStr">
        <is>
          <t>是</t>
        </is>
      </c>
      <c r="AD136" s="6" t="inlineStr">
        <is>
          <t>是</t>
        </is>
      </c>
      <c r="AE136" s="6" t="inlineStr">
        <is>
          <t>无</t>
        </is>
      </c>
      <c r="AF136" s="6" t="n">
        <v>9.76</v>
      </c>
      <c r="AG136" s="6" t="n">
        <v>0.9</v>
      </c>
      <c r="AH136" s="6" t="n">
        <v>0.952</v>
      </c>
      <c r="AI136" s="6" t="n">
        <v>0.96</v>
      </c>
      <c r="AJ136" s="6" t="n">
        <v>0.705</v>
      </c>
      <c r="AK136" s="6" t="inlineStr">
        <is>
          <t>FrozenUncertain</t>
        </is>
      </c>
      <c r="AL136" s="6" t="inlineStr">
        <is>
          <t>否</t>
        </is>
      </c>
      <c r="AM136" s="6" t="n">
        <v>0</v>
      </c>
      <c r="AN136" s="6" t="n">
        <v>0</v>
      </c>
      <c r="AO136" s="6" t="n"/>
    </row>
    <row r="137">
      <c r="A137" s="6" t="inlineStr">
        <is>
          <t>P023</t>
        </is>
      </c>
      <c r="B137" s="6" t="n">
        <v>1</v>
      </c>
      <c r="C137" s="6" t="inlineStr">
        <is>
          <t>O6-S1-OE</t>
        </is>
      </c>
      <c r="D137" s="6" t="n">
        <v>1</v>
      </c>
      <c r="E137" s="6" t="inlineStr">
        <is>
          <t>游戏手柄</t>
        </is>
      </c>
      <c r="F137" s="6" t="inlineStr">
        <is>
          <t>gamepad</t>
        </is>
      </c>
      <c r="G137" s="6" t="inlineStr">
        <is>
          <t>方法A</t>
        </is>
      </c>
      <c r="H137" s="6" t="inlineStr">
        <is>
          <t>One-Euro</t>
        </is>
      </c>
      <c r="I137" s="6" t="n">
        <v>1</v>
      </c>
      <c r="J137" s="6" t="n">
        <v>1</v>
      </c>
      <c r="K137" s="6" t="n">
        <v>7</v>
      </c>
      <c r="L137" s="6" t="n">
        <v>7</v>
      </c>
      <c r="M137" s="6" t="n">
        <v>7</v>
      </c>
      <c r="N137" s="6" t="n"/>
      <c r="O137" s="6" t="n">
        <v>7</v>
      </c>
      <c r="P137" s="6" t="n">
        <v>6</v>
      </c>
      <c r="Q137" s="6" t="n">
        <v>6</v>
      </c>
      <c r="R137" s="6" t="n">
        <v>4</v>
      </c>
      <c r="S137" s="6" t="n">
        <v>6</v>
      </c>
      <c r="T137" s="6" t="n">
        <v>5</v>
      </c>
      <c r="U137" s="6" t="n">
        <v>7</v>
      </c>
      <c r="V137" s="6" t="n">
        <v>7</v>
      </c>
      <c r="W137" s="6" t="n">
        <v>4</v>
      </c>
      <c r="X137" s="6" t="n">
        <v>6</v>
      </c>
      <c r="Y137" s="6" t="n"/>
      <c r="Z137" s="6" t="n"/>
      <c r="AA137" s="6" t="n">
        <v>134.7</v>
      </c>
      <c r="AB137" s="6" t="inlineStr">
        <is>
          <t>是</t>
        </is>
      </c>
      <c r="AC137" s="6" t="inlineStr">
        <is>
          <t>是</t>
        </is>
      </c>
      <c r="AD137" s="6" t="inlineStr">
        <is>
          <t>是</t>
        </is>
      </c>
      <c r="AE137" s="6" t="inlineStr">
        <is>
          <t>无</t>
        </is>
      </c>
      <c r="AF137" s="6" t="n">
        <v>9.300000000000001</v>
      </c>
      <c r="AG137" s="6" t="n">
        <v>0.921</v>
      </c>
      <c r="AH137" s="6" t="n">
        <v>0.925</v>
      </c>
      <c r="AI137" s="6" t="n">
        <v>0.949</v>
      </c>
      <c r="AJ137" s="6" t="n">
        <v>0.736</v>
      </c>
      <c r="AK137" s="6" t="inlineStr">
        <is>
          <t>FrozenUncertain</t>
        </is>
      </c>
      <c r="AL137" s="6" t="inlineStr">
        <is>
          <t>否</t>
        </is>
      </c>
      <c r="AM137" s="6" t="n">
        <v>0</v>
      </c>
      <c r="AN137" s="6" t="n">
        <v>0</v>
      </c>
      <c r="AO137" s="6" t="n"/>
    </row>
    <row r="138">
      <c r="A138" s="6" t="inlineStr">
        <is>
          <t>P023</t>
        </is>
      </c>
      <c r="B138" s="6" t="n">
        <v>2</v>
      </c>
      <c r="C138" s="6" t="inlineStr">
        <is>
          <t>O6-S1-OE</t>
        </is>
      </c>
      <c r="D138" s="6" t="n">
        <v>1</v>
      </c>
      <c r="E138" s="6" t="inlineStr">
        <is>
          <t>游戏手柄</t>
        </is>
      </c>
      <c r="F138" s="6" t="inlineStr">
        <is>
          <t>gamepad</t>
        </is>
      </c>
      <c r="G138" s="6" t="inlineStr">
        <is>
          <t>方法B</t>
        </is>
      </c>
      <c r="H138" s="6" t="inlineStr">
        <is>
          <t>EgoAnchor</t>
        </is>
      </c>
      <c r="I138" s="6" t="n">
        <v>2</v>
      </c>
      <c r="J138" s="6" t="n">
        <v>1</v>
      </c>
      <c r="K138" s="6" t="n">
        <v>7</v>
      </c>
      <c r="L138" s="6" t="n">
        <v>7</v>
      </c>
      <c r="M138" s="6" t="n">
        <v>7</v>
      </c>
      <c r="N138" s="6" t="n"/>
      <c r="O138" s="6" t="n">
        <v>5</v>
      </c>
      <c r="P138" s="6" t="n">
        <v>6</v>
      </c>
      <c r="Q138" s="6" t="n">
        <v>7</v>
      </c>
      <c r="R138" s="6" t="n">
        <v>6</v>
      </c>
      <c r="S138" s="6" t="n">
        <v>6</v>
      </c>
      <c r="T138" s="6" t="n">
        <v>5</v>
      </c>
      <c r="U138" s="6" t="n">
        <v>7</v>
      </c>
      <c r="V138" s="6" t="n">
        <v>7</v>
      </c>
      <c r="W138" s="6" t="n">
        <v>7</v>
      </c>
      <c r="X138" s="6" t="n">
        <v>7</v>
      </c>
      <c r="Y138" s="6" t="n"/>
      <c r="Z138" s="6" t="n"/>
      <c r="AA138" s="6" t="n">
        <v>112.8</v>
      </c>
      <c r="AB138" s="6" t="inlineStr">
        <is>
          <t>是</t>
        </is>
      </c>
      <c r="AC138" s="6" t="inlineStr">
        <is>
          <t>是</t>
        </is>
      </c>
      <c r="AD138" s="6" t="inlineStr">
        <is>
          <t>是</t>
        </is>
      </c>
      <c r="AE138" s="6" t="inlineStr">
        <is>
          <t>无</t>
        </is>
      </c>
      <c r="AF138" s="6" t="n">
        <v>9.720000000000001</v>
      </c>
      <c r="AG138" s="6" t="n">
        <v>0.917</v>
      </c>
      <c r="AH138" s="6" t="n">
        <v>0.947</v>
      </c>
      <c r="AI138" s="6" t="n">
        <v>0.96</v>
      </c>
      <c r="AJ138" s="6" t="n">
        <v>0.73</v>
      </c>
      <c r="AK138" s="6" t="inlineStr">
        <is>
          <t>FrozenUncertain</t>
        </is>
      </c>
      <c r="AL138" s="6" t="inlineStr">
        <is>
          <t>否</t>
        </is>
      </c>
      <c r="AM138" s="6" t="n">
        <v>0</v>
      </c>
      <c r="AN138" s="6" t="n">
        <v>6</v>
      </c>
      <c r="AO138" s="6" t="n"/>
    </row>
    <row r="139">
      <c r="A139" s="6" t="inlineStr">
        <is>
          <t>P023</t>
        </is>
      </c>
      <c r="B139" s="6" t="n">
        <v>3</v>
      </c>
      <c r="C139" s="6" t="inlineStr">
        <is>
          <t>O6-S1-OE</t>
        </is>
      </c>
      <c r="D139" s="6" t="n">
        <v>2</v>
      </c>
      <c r="E139" s="6" t="inlineStr">
        <is>
          <t>固定订书机</t>
        </is>
      </c>
      <c r="F139" s="6" t="inlineStr">
        <is>
          <t>stapler</t>
        </is>
      </c>
      <c r="G139" s="6" t="inlineStr">
        <is>
          <t>方法B</t>
        </is>
      </c>
      <c r="H139" s="6" t="inlineStr">
        <is>
          <t>EgoAnchor</t>
        </is>
      </c>
      <c r="I139" s="6" t="n">
        <v>1</v>
      </c>
      <c r="J139" s="6" t="n">
        <v>2</v>
      </c>
      <c r="K139" s="6" t="n">
        <v>7</v>
      </c>
      <c r="L139" s="6" t="n">
        <v>7</v>
      </c>
      <c r="M139" s="6" t="n">
        <v>7</v>
      </c>
      <c r="N139" s="6" t="n"/>
      <c r="O139" s="6" t="n">
        <v>6</v>
      </c>
      <c r="P139" s="6" t="n">
        <v>7</v>
      </c>
      <c r="Q139" s="6" t="n">
        <v>7</v>
      </c>
      <c r="R139" s="6" t="n">
        <v>7</v>
      </c>
      <c r="S139" s="6" t="n">
        <v>7</v>
      </c>
      <c r="T139" s="6" t="n">
        <v>4</v>
      </c>
      <c r="U139" s="6" t="n">
        <v>7</v>
      </c>
      <c r="V139" s="6" t="n">
        <v>7</v>
      </c>
      <c r="W139" s="6" t="n">
        <v>6</v>
      </c>
      <c r="X139" s="6" t="n">
        <v>6</v>
      </c>
      <c r="Y139" s="6" t="n"/>
      <c r="Z139" s="6" t="n"/>
      <c r="AA139" s="6" t="n">
        <v>106</v>
      </c>
      <c r="AB139" s="6" t="inlineStr">
        <is>
          <t>是</t>
        </is>
      </c>
      <c r="AC139" s="6" t="inlineStr">
        <is>
          <t>是</t>
        </is>
      </c>
      <c r="AD139" s="6" t="inlineStr">
        <is>
          <t>是</t>
        </is>
      </c>
      <c r="AE139" s="6" t="inlineStr">
        <is>
          <t>无</t>
        </is>
      </c>
      <c r="AF139" s="6" t="n">
        <v>9.69</v>
      </c>
      <c r="AG139" s="6" t="n">
        <v>0.925</v>
      </c>
      <c r="AH139" s="6" t="n">
        <v>0.946</v>
      </c>
      <c r="AI139" s="6" t="n">
        <v>0.961</v>
      </c>
      <c r="AJ139" s="6" t="n">
        <v>0.767</v>
      </c>
      <c r="AK139" s="6" t="inlineStr">
        <is>
          <t>FrozenUncertain</t>
        </is>
      </c>
      <c r="AL139" s="6" t="inlineStr">
        <is>
          <t>否</t>
        </is>
      </c>
      <c r="AM139" s="6" t="n">
        <v>0</v>
      </c>
      <c r="AN139" s="6" t="n">
        <v>8</v>
      </c>
      <c r="AO139" s="6" t="n"/>
    </row>
    <row r="140">
      <c r="A140" s="6" t="inlineStr">
        <is>
          <t>P023</t>
        </is>
      </c>
      <c r="B140" s="6" t="n">
        <v>4</v>
      </c>
      <c r="C140" s="6" t="inlineStr">
        <is>
          <t>O6-S1-OE</t>
        </is>
      </c>
      <c r="D140" s="6" t="n">
        <v>2</v>
      </c>
      <c r="E140" s="6" t="inlineStr">
        <is>
          <t>固定订书机</t>
        </is>
      </c>
      <c r="F140" s="6" t="inlineStr">
        <is>
          <t>stapler</t>
        </is>
      </c>
      <c r="G140" s="6" t="inlineStr">
        <is>
          <t>方法A</t>
        </is>
      </c>
      <c r="H140" s="6" t="inlineStr">
        <is>
          <t>One-Euro</t>
        </is>
      </c>
      <c r="I140" s="6" t="n">
        <v>2</v>
      </c>
      <c r="J140" s="6" t="n">
        <v>2</v>
      </c>
      <c r="K140" s="6" t="n">
        <v>6</v>
      </c>
      <c r="L140" s="6" t="n">
        <v>7</v>
      </c>
      <c r="M140" s="6" t="n">
        <v>7</v>
      </c>
      <c r="N140" s="6" t="n"/>
      <c r="O140" s="6" t="n">
        <v>7</v>
      </c>
      <c r="P140" s="6" t="n">
        <v>5</v>
      </c>
      <c r="Q140" s="6" t="n">
        <v>7</v>
      </c>
      <c r="R140" s="6" t="n">
        <v>5</v>
      </c>
      <c r="S140" s="6" t="n">
        <v>6</v>
      </c>
      <c r="T140" s="6" t="n">
        <v>6</v>
      </c>
      <c r="U140" s="6" t="n">
        <v>7</v>
      </c>
      <c r="V140" s="6" t="n">
        <v>7</v>
      </c>
      <c r="W140" s="6" t="n">
        <v>5</v>
      </c>
      <c r="X140" s="6" t="n">
        <v>4</v>
      </c>
      <c r="Y140" s="6" t="n"/>
      <c r="Z140" s="6" t="n"/>
      <c r="AA140" s="6" t="n">
        <v>117.9</v>
      </c>
      <c r="AB140" s="6" t="inlineStr">
        <is>
          <t>是</t>
        </is>
      </c>
      <c r="AC140" s="6" t="inlineStr">
        <is>
          <t>是</t>
        </is>
      </c>
      <c r="AD140" s="6" t="inlineStr">
        <is>
          <t>是</t>
        </is>
      </c>
      <c r="AE140" s="6" t="inlineStr">
        <is>
          <t>无</t>
        </is>
      </c>
      <c r="AF140" s="6" t="n">
        <v>9.59</v>
      </c>
      <c r="AG140" s="6" t="n">
        <v>0.905</v>
      </c>
      <c r="AH140" s="6" t="n">
        <v>0.945</v>
      </c>
      <c r="AI140" s="6" t="n">
        <v>0.957</v>
      </c>
      <c r="AJ140" s="6" t="n">
        <v>0.763</v>
      </c>
      <c r="AK140" s="6" t="inlineStr">
        <is>
          <t>FrozenUncertain</t>
        </is>
      </c>
      <c r="AL140" s="6" t="inlineStr">
        <is>
          <t>否</t>
        </is>
      </c>
      <c r="AM140" s="6" t="n">
        <v>0</v>
      </c>
      <c r="AN140" s="6" t="n">
        <v>0</v>
      </c>
      <c r="AO140" s="6" t="n"/>
    </row>
    <row r="141">
      <c r="A141" s="6" t="inlineStr">
        <is>
          <t>P023</t>
        </is>
      </c>
      <c r="B141" s="6" t="n">
        <v>5</v>
      </c>
      <c r="C141" s="6" t="inlineStr">
        <is>
          <t>O6-S1-OE</t>
        </is>
      </c>
      <c r="D141" s="6" t="n">
        <v>3</v>
      </c>
      <c r="E141" s="6" t="inlineStr">
        <is>
          <t>鼠标</t>
        </is>
      </c>
      <c r="F141" s="6" t="inlineStr">
        <is>
          <t>blue_mouse</t>
        </is>
      </c>
      <c r="G141" s="6" t="inlineStr">
        <is>
          <t>方法A</t>
        </is>
      </c>
      <c r="H141" s="6" t="inlineStr">
        <is>
          <t>One-Euro</t>
        </is>
      </c>
      <c r="I141" s="6" t="n">
        <v>1</v>
      </c>
      <c r="J141" s="6" t="n">
        <v>3</v>
      </c>
      <c r="K141" s="6" t="n">
        <v>6</v>
      </c>
      <c r="L141" s="6" t="n">
        <v>4</v>
      </c>
      <c r="M141" s="6" t="n">
        <v>5</v>
      </c>
      <c r="N141" s="6" t="n"/>
      <c r="O141" s="6" t="n">
        <v>5</v>
      </c>
      <c r="P141" s="6" t="n">
        <v>5</v>
      </c>
      <c r="Q141" s="6" t="n">
        <v>5</v>
      </c>
      <c r="R141" s="6" t="n">
        <v>3</v>
      </c>
      <c r="S141" s="6" t="n">
        <v>4</v>
      </c>
      <c r="T141" s="6" t="n">
        <v>2</v>
      </c>
      <c r="U141" s="6" t="n">
        <v>5</v>
      </c>
      <c r="V141" s="6" t="n">
        <v>6</v>
      </c>
      <c r="W141" s="6" t="n">
        <v>4</v>
      </c>
      <c r="X141" s="6" t="n">
        <v>3</v>
      </c>
      <c r="Y141" s="6" t="n"/>
      <c r="Z141" s="6" t="n"/>
      <c r="AA141" s="6" t="n">
        <v>121.7</v>
      </c>
      <c r="AB141" s="6" t="inlineStr">
        <is>
          <t>是</t>
        </is>
      </c>
      <c r="AC141" s="6" t="inlineStr">
        <is>
          <t>是</t>
        </is>
      </c>
      <c r="AD141" s="6" t="inlineStr">
        <is>
          <t>是</t>
        </is>
      </c>
      <c r="AE141" s="6" t="inlineStr">
        <is>
          <t>无</t>
        </is>
      </c>
      <c r="AF141" s="6" t="n">
        <v>10.14</v>
      </c>
      <c r="AG141" s="6" t="n">
        <v>0.88</v>
      </c>
      <c r="AH141" s="6" t="n">
        <v>0.887</v>
      </c>
      <c r="AI141" s="6" t="n">
        <v>0.948</v>
      </c>
      <c r="AJ141" s="6" t="n">
        <v>0.791</v>
      </c>
      <c r="AK141" s="6" t="inlineStr">
        <is>
          <t>FrozenUncertain</t>
        </is>
      </c>
      <c r="AL141" s="6" t="inlineStr">
        <is>
          <t>否</t>
        </is>
      </c>
      <c r="AM141" s="6" t="n">
        <v>0</v>
      </c>
      <c r="AN141" s="6" t="n">
        <v>0</v>
      </c>
      <c r="AO141" s="6" t="n"/>
    </row>
    <row r="142">
      <c r="A142" s="6" t="inlineStr">
        <is>
          <t>P023</t>
        </is>
      </c>
      <c r="B142" s="6" t="n">
        <v>6</v>
      </c>
      <c r="C142" s="6" t="inlineStr">
        <is>
          <t>O6-S1-OE</t>
        </is>
      </c>
      <c r="D142" s="6" t="n">
        <v>3</v>
      </c>
      <c r="E142" s="6" t="inlineStr">
        <is>
          <t>鼠标</t>
        </is>
      </c>
      <c r="F142" s="6" t="inlineStr">
        <is>
          <t>blue_mouse</t>
        </is>
      </c>
      <c r="G142" s="6" t="inlineStr">
        <is>
          <t>方法B</t>
        </is>
      </c>
      <c r="H142" s="6" t="inlineStr">
        <is>
          <t>EgoAnchor</t>
        </is>
      </c>
      <c r="I142" s="6" t="n">
        <v>2</v>
      </c>
      <c r="J142" s="6" t="n">
        <v>3</v>
      </c>
      <c r="K142" s="6" t="n">
        <v>7</v>
      </c>
      <c r="L142" s="6" t="n">
        <v>6</v>
      </c>
      <c r="M142" s="6" t="n">
        <v>7</v>
      </c>
      <c r="N142" s="6" t="n"/>
      <c r="O142" s="6" t="n">
        <v>5</v>
      </c>
      <c r="P142" s="6" t="n">
        <v>6</v>
      </c>
      <c r="Q142" s="6" t="n">
        <v>7</v>
      </c>
      <c r="R142" s="6" t="n">
        <v>6</v>
      </c>
      <c r="S142" s="6" t="n">
        <v>6</v>
      </c>
      <c r="T142" s="6" t="n">
        <v>4</v>
      </c>
      <c r="U142" s="6" t="n">
        <v>6</v>
      </c>
      <c r="V142" s="6" t="n">
        <v>7</v>
      </c>
      <c r="W142" s="6" t="n">
        <v>6</v>
      </c>
      <c r="X142" s="6" t="n">
        <v>7</v>
      </c>
      <c r="Y142" s="6" t="n"/>
      <c r="Z142" s="6" t="n"/>
      <c r="AA142" s="6" t="n">
        <v>133.2</v>
      </c>
      <c r="AB142" s="6" t="inlineStr">
        <is>
          <t>是</t>
        </is>
      </c>
      <c r="AC142" s="6" t="inlineStr">
        <is>
          <t>是</t>
        </is>
      </c>
      <c r="AD142" s="6" t="inlineStr">
        <is>
          <t>是</t>
        </is>
      </c>
      <c r="AE142" s="6" t="inlineStr">
        <is>
          <t>无</t>
        </is>
      </c>
      <c r="AF142" s="6" t="n">
        <v>9.68</v>
      </c>
      <c r="AG142" s="6" t="n">
        <v>0.85</v>
      </c>
      <c r="AH142" s="6" t="n">
        <v>0.925</v>
      </c>
      <c r="AI142" s="6" t="n">
        <v>0.948</v>
      </c>
      <c r="AJ142" s="6" t="n">
        <v>0.729</v>
      </c>
      <c r="AK142" s="6" t="inlineStr">
        <is>
          <t>FrozenUncertain</t>
        </is>
      </c>
      <c r="AL142" s="6" t="inlineStr">
        <is>
          <t>否</t>
        </is>
      </c>
      <c r="AM142" s="6" t="n">
        <v>0</v>
      </c>
      <c r="AN142" s="6" t="n">
        <v>3</v>
      </c>
      <c r="AO142" s="6" t="n"/>
    </row>
    <row r="143">
      <c r="A143" s="6" t="inlineStr">
        <is>
          <t>P024</t>
        </is>
      </c>
      <c r="B143" s="6" t="n">
        <v>1</v>
      </c>
      <c r="C143" s="6" t="inlineStr">
        <is>
          <t>O2-S2-EA</t>
        </is>
      </c>
      <c r="D143" s="6" t="n">
        <v>1</v>
      </c>
      <c r="E143" s="6" t="inlineStr">
        <is>
          <t>鼠标</t>
        </is>
      </c>
      <c r="F143" s="6" t="inlineStr">
        <is>
          <t>blue_mouse</t>
        </is>
      </c>
      <c r="G143" s="6" t="inlineStr">
        <is>
          <t>方法B</t>
        </is>
      </c>
      <c r="H143" s="6" t="inlineStr">
        <is>
          <t>One-Euro</t>
        </is>
      </c>
      <c r="I143" s="6" t="n">
        <v>1</v>
      </c>
      <c r="J143" s="6" t="n">
        <v>1</v>
      </c>
      <c r="K143" s="6" t="n">
        <v>6</v>
      </c>
      <c r="L143" s="6" t="n">
        <v>7</v>
      </c>
      <c r="M143" s="6" t="n">
        <v>7</v>
      </c>
      <c r="N143" s="6" t="n"/>
      <c r="O143" s="6" t="n">
        <v>7</v>
      </c>
      <c r="P143" s="6" t="n">
        <v>6</v>
      </c>
      <c r="Q143" s="6" t="n">
        <v>6</v>
      </c>
      <c r="R143" s="6" t="n">
        <v>7</v>
      </c>
      <c r="S143" s="6" t="n">
        <v>7</v>
      </c>
      <c r="T143" s="6" t="n">
        <v>6</v>
      </c>
      <c r="U143" s="6" t="n">
        <v>7</v>
      </c>
      <c r="V143" s="6" t="n">
        <v>5</v>
      </c>
      <c r="W143" s="6" t="n">
        <v>7</v>
      </c>
      <c r="X143" s="6" t="n">
        <v>6</v>
      </c>
      <c r="Y143" s="6" t="n"/>
      <c r="Z143" s="6" t="n"/>
      <c r="AA143" s="6" t="n">
        <v>120.7</v>
      </c>
      <c r="AB143" s="6" t="inlineStr">
        <is>
          <t>是</t>
        </is>
      </c>
      <c r="AC143" s="6" t="inlineStr">
        <is>
          <t>是</t>
        </is>
      </c>
      <c r="AD143" s="6" t="inlineStr">
        <is>
          <t>是</t>
        </is>
      </c>
      <c r="AE143" s="6" t="inlineStr">
        <is>
          <t>无</t>
        </is>
      </c>
      <c r="AF143" s="6" t="n">
        <v>10.18</v>
      </c>
      <c r="AG143" s="6" t="n">
        <v>0.849</v>
      </c>
      <c r="AH143" s="6" t="n">
        <v>0.903</v>
      </c>
      <c r="AI143" s="6" t="n">
        <v>0.956</v>
      </c>
      <c r="AJ143" s="6" t="n">
        <v>0.775</v>
      </c>
      <c r="AK143" s="6" t="inlineStr">
        <is>
          <t>FrozenUncertain</t>
        </is>
      </c>
      <c r="AL143" s="6" t="inlineStr">
        <is>
          <t>否</t>
        </is>
      </c>
      <c r="AM143" s="6" t="n">
        <v>0</v>
      </c>
      <c r="AN143" s="6" t="n">
        <v>0</v>
      </c>
      <c r="AO143" s="6" t="n"/>
    </row>
    <row r="144">
      <c r="A144" s="6" t="inlineStr">
        <is>
          <t>P024</t>
        </is>
      </c>
      <c r="B144" s="6" t="n">
        <v>2</v>
      </c>
      <c r="C144" s="6" t="inlineStr">
        <is>
          <t>O2-S2-EA</t>
        </is>
      </c>
      <c r="D144" s="6" t="n">
        <v>1</v>
      </c>
      <c r="E144" s="6" t="inlineStr">
        <is>
          <t>鼠标</t>
        </is>
      </c>
      <c r="F144" s="6" t="inlineStr">
        <is>
          <t>blue_mouse</t>
        </is>
      </c>
      <c r="G144" s="6" t="inlineStr">
        <is>
          <t>方法A</t>
        </is>
      </c>
      <c r="H144" s="6" t="inlineStr">
        <is>
          <t>EgoAnchor</t>
        </is>
      </c>
      <c r="I144" s="6" t="n">
        <v>2</v>
      </c>
      <c r="J144" s="6" t="n">
        <v>1</v>
      </c>
      <c r="K144" s="6" t="n">
        <v>6</v>
      </c>
      <c r="L144" s="6" t="n">
        <v>6</v>
      </c>
      <c r="M144" s="6" t="n">
        <v>7</v>
      </c>
      <c r="N144" s="6" t="n"/>
      <c r="O144" s="6" t="n">
        <v>5</v>
      </c>
      <c r="P144" s="6" t="n">
        <v>5</v>
      </c>
      <c r="Q144" s="6" t="n">
        <v>6</v>
      </c>
      <c r="R144" s="6" t="n">
        <v>7</v>
      </c>
      <c r="S144" s="6" t="n">
        <v>6</v>
      </c>
      <c r="T144" s="6" t="n">
        <v>5</v>
      </c>
      <c r="U144" s="6" t="n">
        <v>6</v>
      </c>
      <c r="V144" s="6" t="n">
        <v>4</v>
      </c>
      <c r="W144" s="6" t="n">
        <v>7</v>
      </c>
      <c r="X144" s="6" t="n">
        <v>6</v>
      </c>
      <c r="Y144" s="6" t="n"/>
      <c r="Z144" s="6" t="n"/>
      <c r="AA144" s="6" t="n">
        <v>152.2</v>
      </c>
      <c r="AB144" s="6" t="inlineStr">
        <is>
          <t>是</t>
        </is>
      </c>
      <c r="AC144" s="6" t="inlineStr">
        <is>
          <t>是</t>
        </is>
      </c>
      <c r="AD144" s="6" t="inlineStr">
        <is>
          <t>是</t>
        </is>
      </c>
      <c r="AE144" s="6" t="inlineStr">
        <is>
          <t>无</t>
        </is>
      </c>
      <c r="AF144" s="6" t="n">
        <v>9.289999999999999</v>
      </c>
      <c r="AG144" s="6" t="n">
        <v>0.876</v>
      </c>
      <c r="AH144" s="6" t="n">
        <v>0.868</v>
      </c>
      <c r="AI144" s="6" t="n">
        <v>0.951</v>
      </c>
      <c r="AJ144" s="6" t="n">
        <v>0.742</v>
      </c>
      <c r="AK144" s="6" t="inlineStr">
        <is>
          <t>FrozenUncertain</t>
        </is>
      </c>
      <c r="AL144" s="6" t="inlineStr">
        <is>
          <t>否</t>
        </is>
      </c>
      <c r="AM144" s="6" t="n">
        <v>0</v>
      </c>
      <c r="AN144" s="6" t="n">
        <v>7</v>
      </c>
      <c r="AO144" s="6" t="n"/>
    </row>
    <row r="145">
      <c r="A145" s="6" t="inlineStr">
        <is>
          <t>P024</t>
        </is>
      </c>
      <c r="B145" s="6" t="n">
        <v>3</v>
      </c>
      <c r="C145" s="6" t="inlineStr">
        <is>
          <t>O2-S2-EA</t>
        </is>
      </c>
      <c r="D145" s="6" t="n">
        <v>2</v>
      </c>
      <c r="E145" s="6" t="inlineStr">
        <is>
          <t>游戏手柄</t>
        </is>
      </c>
      <c r="F145" s="6" t="inlineStr">
        <is>
          <t>gamepad</t>
        </is>
      </c>
      <c r="G145" s="6" t="inlineStr">
        <is>
          <t>方法A</t>
        </is>
      </c>
      <c r="H145" s="6" t="inlineStr">
        <is>
          <t>EgoAnchor</t>
        </is>
      </c>
      <c r="I145" s="6" t="n">
        <v>1</v>
      </c>
      <c r="J145" s="6" t="n">
        <v>2</v>
      </c>
      <c r="K145" s="6" t="n">
        <v>6</v>
      </c>
      <c r="L145" s="6" t="n">
        <v>7</v>
      </c>
      <c r="M145" s="6" t="n">
        <v>7</v>
      </c>
      <c r="N145" s="6" t="n"/>
      <c r="O145" s="6" t="n">
        <v>6</v>
      </c>
      <c r="P145" s="6" t="n">
        <v>6</v>
      </c>
      <c r="Q145" s="6" t="n">
        <v>7</v>
      </c>
      <c r="R145" s="6" t="n">
        <v>7</v>
      </c>
      <c r="S145" s="6" t="n">
        <v>7</v>
      </c>
      <c r="T145" s="6" t="n">
        <v>5</v>
      </c>
      <c r="U145" s="6" t="n">
        <v>6</v>
      </c>
      <c r="V145" s="6" t="n">
        <v>5</v>
      </c>
      <c r="W145" s="6" t="n">
        <v>7</v>
      </c>
      <c r="X145" s="6" t="n">
        <v>6</v>
      </c>
      <c r="Y145" s="6" t="n"/>
      <c r="Z145" s="6" t="n"/>
      <c r="AA145" s="6" t="n">
        <v>109.8</v>
      </c>
      <c r="AB145" s="6" t="inlineStr">
        <is>
          <t>是</t>
        </is>
      </c>
      <c r="AC145" s="6" t="inlineStr">
        <is>
          <t>是</t>
        </is>
      </c>
      <c r="AD145" s="6" t="inlineStr">
        <is>
          <t>是</t>
        </is>
      </c>
      <c r="AE145" s="6" t="inlineStr">
        <is>
          <t>无</t>
        </is>
      </c>
      <c r="AF145" s="6" t="n">
        <v>9.17</v>
      </c>
      <c r="AG145" s="6" t="n">
        <v>0.876</v>
      </c>
      <c r="AH145" s="6" t="n">
        <v>0.9409999999999999</v>
      </c>
      <c r="AI145" s="6" t="n">
        <v>0.963</v>
      </c>
      <c r="AJ145" s="6" t="n">
        <v>0.716</v>
      </c>
      <c r="AK145" s="6" t="inlineStr">
        <is>
          <t>FrozenUncertain</t>
        </is>
      </c>
      <c r="AL145" s="6" t="inlineStr">
        <is>
          <t>否</t>
        </is>
      </c>
      <c r="AM145" s="6" t="n">
        <v>0</v>
      </c>
      <c r="AN145" s="6" t="n">
        <v>8</v>
      </c>
      <c r="AO145" s="6" t="n"/>
    </row>
    <row r="146">
      <c r="A146" s="6" t="inlineStr">
        <is>
          <t>P024</t>
        </is>
      </c>
      <c r="B146" s="6" t="n">
        <v>4</v>
      </c>
      <c r="C146" s="6" t="inlineStr">
        <is>
          <t>O2-S2-EA</t>
        </is>
      </c>
      <c r="D146" s="6" t="n">
        <v>2</v>
      </c>
      <c r="E146" s="6" t="inlineStr">
        <is>
          <t>游戏手柄</t>
        </is>
      </c>
      <c r="F146" s="6" t="inlineStr">
        <is>
          <t>gamepad</t>
        </is>
      </c>
      <c r="G146" s="6" t="inlineStr">
        <is>
          <t>方法B</t>
        </is>
      </c>
      <c r="H146" s="6" t="inlineStr">
        <is>
          <t>One-Euro</t>
        </is>
      </c>
      <c r="I146" s="6" t="n">
        <v>2</v>
      </c>
      <c r="J146" s="6" t="n">
        <v>2</v>
      </c>
      <c r="K146" s="6" t="n">
        <v>7</v>
      </c>
      <c r="L146" s="6" t="n">
        <v>7</v>
      </c>
      <c r="M146" s="6" t="n">
        <v>7</v>
      </c>
      <c r="N146" s="6" t="n"/>
      <c r="O146" s="6" t="n">
        <v>7</v>
      </c>
      <c r="P146" s="6" t="n">
        <v>6</v>
      </c>
      <c r="Q146" s="6" t="n">
        <v>5</v>
      </c>
      <c r="R146" s="6" t="n">
        <v>7</v>
      </c>
      <c r="S146" s="6" t="n">
        <v>7</v>
      </c>
      <c r="T146" s="6" t="n">
        <v>6</v>
      </c>
      <c r="U146" s="6" t="n">
        <v>7</v>
      </c>
      <c r="V146" s="6" t="n">
        <v>7</v>
      </c>
      <c r="W146" s="6" t="n">
        <v>7</v>
      </c>
      <c r="X146" s="6" t="n">
        <v>7</v>
      </c>
      <c r="Y146" s="6" t="n"/>
      <c r="Z146" s="6" t="n"/>
      <c r="AA146" s="6" t="n">
        <v>124.4</v>
      </c>
      <c r="AB146" s="6" t="inlineStr">
        <is>
          <t>是</t>
        </is>
      </c>
      <c r="AC146" s="6" t="inlineStr">
        <is>
          <t>是</t>
        </is>
      </c>
      <c r="AD146" s="6" t="inlineStr">
        <is>
          <t>是</t>
        </is>
      </c>
      <c r="AE146" s="6" t="inlineStr">
        <is>
          <t>无</t>
        </is>
      </c>
      <c r="AF146" s="6" t="n">
        <v>9.640000000000001</v>
      </c>
      <c r="AG146" s="6" t="n">
        <v>0.893</v>
      </c>
      <c r="AH146" s="6" t="n">
        <v>0.904</v>
      </c>
      <c r="AI146" s="6" t="n">
        <v>0.961</v>
      </c>
      <c r="AJ146" s="6" t="n">
        <v>0.733</v>
      </c>
      <c r="AK146" s="6" t="inlineStr">
        <is>
          <t>FrozenUncertain</t>
        </is>
      </c>
      <c r="AL146" s="6" t="inlineStr">
        <is>
          <t>否</t>
        </is>
      </c>
      <c r="AM146" s="6" t="n">
        <v>0</v>
      </c>
      <c r="AN146" s="6" t="n">
        <v>0</v>
      </c>
      <c r="AO146" s="6" t="n"/>
    </row>
    <row r="147">
      <c r="A147" s="6" t="inlineStr">
        <is>
          <t>P024</t>
        </is>
      </c>
      <c r="B147" s="6" t="n">
        <v>5</v>
      </c>
      <c r="C147" s="6" t="inlineStr">
        <is>
          <t>O2-S2-EA</t>
        </is>
      </c>
      <c r="D147" s="6" t="n">
        <v>3</v>
      </c>
      <c r="E147" s="6" t="inlineStr">
        <is>
          <t>固定订书机</t>
        </is>
      </c>
      <c r="F147" s="6" t="inlineStr">
        <is>
          <t>stapler</t>
        </is>
      </c>
      <c r="G147" s="6" t="inlineStr">
        <is>
          <t>方法B</t>
        </is>
      </c>
      <c r="H147" s="6" t="inlineStr">
        <is>
          <t>One-Euro</t>
        </is>
      </c>
      <c r="I147" s="6" t="n">
        <v>1</v>
      </c>
      <c r="J147" s="6" t="n">
        <v>3</v>
      </c>
      <c r="K147" s="6" t="n">
        <v>6</v>
      </c>
      <c r="L147" s="6" t="n">
        <v>7</v>
      </c>
      <c r="M147" s="6" t="n">
        <v>7</v>
      </c>
      <c r="N147" s="6" t="n"/>
      <c r="O147" s="6" t="n">
        <v>7</v>
      </c>
      <c r="P147" s="6" t="n">
        <v>6</v>
      </c>
      <c r="Q147" s="6" t="n">
        <v>7</v>
      </c>
      <c r="R147" s="6" t="n">
        <v>7</v>
      </c>
      <c r="S147" s="6" t="n">
        <v>7</v>
      </c>
      <c r="T147" s="6" t="n">
        <v>7</v>
      </c>
      <c r="U147" s="6" t="n">
        <v>7</v>
      </c>
      <c r="V147" s="6" t="n">
        <v>6</v>
      </c>
      <c r="W147" s="6" t="n">
        <v>7</v>
      </c>
      <c r="X147" s="6" t="n">
        <v>7</v>
      </c>
      <c r="Y147" s="6" t="n"/>
      <c r="Z147" s="6" t="n"/>
      <c r="AA147" s="6" t="n">
        <v>143.1</v>
      </c>
      <c r="AB147" s="6" t="inlineStr">
        <is>
          <t>是</t>
        </is>
      </c>
      <c r="AC147" s="6" t="inlineStr">
        <is>
          <t>是</t>
        </is>
      </c>
      <c r="AD147" s="6" t="inlineStr">
        <is>
          <t>是</t>
        </is>
      </c>
      <c r="AE147" s="6" t="inlineStr">
        <is>
          <t>无</t>
        </is>
      </c>
      <c r="AF147" s="6" t="n">
        <v>9.24</v>
      </c>
      <c r="AG147" s="6" t="n">
        <v>0.894</v>
      </c>
      <c r="AH147" s="6" t="n">
        <v>0.9360000000000001</v>
      </c>
      <c r="AI147" s="6" t="n">
        <v>0.9389999999999999</v>
      </c>
      <c r="AJ147" s="6" t="n">
        <v>0.776</v>
      </c>
      <c r="AK147" s="6" t="inlineStr">
        <is>
          <t>FrozenUncertain</t>
        </is>
      </c>
      <c r="AL147" s="6" t="inlineStr">
        <is>
          <t>否</t>
        </is>
      </c>
      <c r="AM147" s="6" t="n">
        <v>0</v>
      </c>
      <c r="AN147" s="6" t="n">
        <v>0</v>
      </c>
      <c r="AO147" s="6" t="n"/>
    </row>
    <row r="148">
      <c r="A148" s="6" t="inlineStr">
        <is>
          <t>P024</t>
        </is>
      </c>
      <c r="B148" s="6" t="n">
        <v>6</v>
      </c>
      <c r="C148" s="6" t="inlineStr">
        <is>
          <t>O2-S2-EA</t>
        </is>
      </c>
      <c r="D148" s="6" t="n">
        <v>3</v>
      </c>
      <c r="E148" s="6" t="inlineStr">
        <is>
          <t>固定订书机</t>
        </is>
      </c>
      <c r="F148" s="6" t="inlineStr">
        <is>
          <t>stapler</t>
        </is>
      </c>
      <c r="G148" s="6" t="inlineStr">
        <is>
          <t>方法A</t>
        </is>
      </c>
      <c r="H148" s="6" t="inlineStr">
        <is>
          <t>EgoAnchor</t>
        </is>
      </c>
      <c r="I148" s="6" t="n">
        <v>2</v>
      </c>
      <c r="J148" s="6" t="n">
        <v>3</v>
      </c>
      <c r="K148" s="6" t="n">
        <v>6</v>
      </c>
      <c r="L148" s="6" t="n">
        <v>6</v>
      </c>
      <c r="M148" s="6" t="n">
        <v>6</v>
      </c>
      <c r="N148" s="6" t="n"/>
      <c r="O148" s="6" t="n">
        <v>7</v>
      </c>
      <c r="P148" s="6" t="n">
        <v>5</v>
      </c>
      <c r="Q148" s="6" t="n">
        <v>6</v>
      </c>
      <c r="R148" s="6" t="n">
        <v>7</v>
      </c>
      <c r="S148" s="6" t="n">
        <v>6</v>
      </c>
      <c r="T148" s="6" t="n">
        <v>4</v>
      </c>
      <c r="U148" s="6" t="n">
        <v>6</v>
      </c>
      <c r="V148" s="6" t="n">
        <v>4</v>
      </c>
      <c r="W148" s="6" t="n">
        <v>7</v>
      </c>
      <c r="X148" s="6" t="n">
        <v>6</v>
      </c>
      <c r="Y148" s="6" t="n"/>
      <c r="Z148" s="6" t="n"/>
      <c r="AA148" s="6" t="n">
        <v>136.1</v>
      </c>
      <c r="AB148" s="6" t="inlineStr">
        <is>
          <t>是</t>
        </is>
      </c>
      <c r="AC148" s="6" t="inlineStr">
        <is>
          <t>是</t>
        </is>
      </c>
      <c r="AD148" s="6" t="inlineStr">
        <is>
          <t>是</t>
        </is>
      </c>
      <c r="AE148" s="6" t="inlineStr">
        <is>
          <t>无</t>
        </is>
      </c>
      <c r="AF148" s="6" t="n">
        <v>9.84</v>
      </c>
      <c r="AG148" s="6" t="n">
        <v>0.906</v>
      </c>
      <c r="AH148" s="6" t="n">
        <v>0.925</v>
      </c>
      <c r="AI148" s="6" t="n">
        <v>0.931</v>
      </c>
      <c r="AJ148" s="6" t="n">
        <v>0.752</v>
      </c>
      <c r="AK148" s="6" t="inlineStr">
        <is>
          <t>FrozenUncertain</t>
        </is>
      </c>
      <c r="AL148" s="6" t="inlineStr">
        <is>
          <t>否</t>
        </is>
      </c>
      <c r="AM148" s="6" t="n">
        <v>0</v>
      </c>
      <c r="AN148" s="6" t="n">
        <v>3</v>
      </c>
      <c r="AO148" s="6" t="n"/>
    </row>
    <row r="150">
      <c r="A150" s="7" t="inlineStr">
        <is>
          <t>B. 方法级记录（全部六区块完成后；S1 先评方法 A、S2 先评方法 B；TiA→提示页→S-TIAS）</t>
        </is>
      </c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</row>
    <row r="151">
      <c r="A151" s="9" t="inlineStr">
        <is>
          <t>Participant_ID</t>
        </is>
      </c>
      <c r="B151" s="9" t="inlineStr">
        <is>
          <t>Rating_Order</t>
        </is>
      </c>
      <c r="C151" s="9" t="inlineStr">
        <is>
          <t>Shown_Label</t>
        </is>
      </c>
      <c r="D151" s="9" t="inlineStr">
        <is>
          <t>Condition(保密)</t>
        </is>
      </c>
      <c r="E151" s="9" t="inlineStr">
        <is>
          <t>TIA_RC1</t>
        </is>
      </c>
      <c r="F151" s="9" t="inlineStr">
        <is>
          <t>TIA_RC2</t>
        </is>
      </c>
      <c r="G151" s="9" t="inlineStr">
        <is>
          <t>TIA_RC3_REV</t>
        </is>
      </c>
      <c r="H151" s="9" t="inlineStr">
        <is>
          <t>TIA_RC4</t>
        </is>
      </c>
      <c r="I151" s="9" t="inlineStr">
        <is>
          <t>TIA_RC5_REV</t>
        </is>
      </c>
      <c r="J151" s="9" t="inlineStr">
        <is>
          <t>TIA_RC6</t>
        </is>
      </c>
      <c r="K151" s="9" t="inlineStr">
        <is>
          <t>TIA_UP1</t>
        </is>
      </c>
      <c r="L151" s="9" t="inlineStr">
        <is>
          <t>TIA_UP2_REV</t>
        </is>
      </c>
      <c r="M151" s="9" t="inlineStr">
        <is>
          <t>TIA_UP3</t>
        </is>
      </c>
      <c r="N151" s="9" t="inlineStr">
        <is>
          <t>TIA_UP4_REV</t>
        </is>
      </c>
      <c r="O151" s="9" t="inlineStr">
        <is>
          <t>STIAS1</t>
        </is>
      </c>
      <c r="P151" s="9" t="inlineStr">
        <is>
          <t>STIAS2</t>
        </is>
      </c>
      <c r="Q151" s="9" t="inlineStr">
        <is>
          <t>STIAS3</t>
        </is>
      </c>
      <c r="R151" s="9" t="inlineStr">
        <is>
          <t>尺度切换确认</t>
        </is>
      </c>
      <c r="S151" s="9" t="inlineStr">
        <is>
          <t>问卷开始</t>
        </is>
      </c>
      <c r="T151" s="9" t="inlineStr">
        <is>
          <t>问卷结束</t>
        </is>
      </c>
      <c r="U151" s="9" t="inlineStr">
        <is>
          <t>时长_s</t>
        </is>
      </c>
      <c r="V151" s="9" t="inlineStr">
        <is>
          <t>技术问题</t>
        </is>
      </c>
      <c r="W151" s="9" t="inlineStr">
        <is>
          <t>备注</t>
        </is>
      </c>
    </row>
    <row r="152">
      <c r="A152" s="6" t="inlineStr">
        <is>
          <t>P001</t>
        </is>
      </c>
      <c r="B152" s="6" t="n">
        <v>1</v>
      </c>
      <c r="C152" s="6" t="inlineStr">
        <is>
          <t>方法A</t>
        </is>
      </c>
      <c r="D152" s="6" t="inlineStr">
        <is>
          <t>EgoAnchor</t>
        </is>
      </c>
      <c r="E152" s="6" t="n">
        <v>4</v>
      </c>
      <c r="F152" s="6" t="n">
        <v>4</v>
      </c>
      <c r="G152" s="6" t="n">
        <v>1</v>
      </c>
      <c r="H152" s="6" t="n">
        <v>4</v>
      </c>
      <c r="I152" s="6" t="n">
        <v>3</v>
      </c>
      <c r="J152" s="6" t="n">
        <v>4</v>
      </c>
      <c r="K152" s="6" t="n">
        <v>3</v>
      </c>
      <c r="L152" s="6" t="n">
        <v>2</v>
      </c>
      <c r="M152" s="6" t="n">
        <v>3</v>
      </c>
      <c r="N152" s="6" t="n">
        <v>2</v>
      </c>
      <c r="O152" s="6" t="n">
        <v>5</v>
      </c>
      <c r="P152" s="6" t="n">
        <v>6</v>
      </c>
      <c r="Q152" s="6" t="n">
        <v>6</v>
      </c>
      <c r="R152" s="6" t="inlineStr">
        <is>
          <t>是</t>
        </is>
      </c>
      <c r="S152" s="6" t="n"/>
      <c r="T152" s="6" t="n"/>
      <c r="U152" s="6" t="n">
        <v>150.5</v>
      </c>
      <c r="V152" s="6" t="inlineStr">
        <is>
          <t>无</t>
        </is>
      </c>
      <c r="W152" s="6" t="n"/>
    </row>
    <row r="153">
      <c r="A153" s="6" t="inlineStr">
        <is>
          <t>P001</t>
        </is>
      </c>
      <c r="B153" s="6" t="n">
        <v>2</v>
      </c>
      <c r="C153" s="6" t="inlineStr">
        <is>
          <t>方法B</t>
        </is>
      </c>
      <c r="D153" s="6" t="inlineStr">
        <is>
          <t>One-Euro</t>
        </is>
      </c>
      <c r="E153" s="6" t="n">
        <v>5</v>
      </c>
      <c r="F153" s="6" t="n">
        <v>4</v>
      </c>
      <c r="G153" s="6" t="n">
        <v>2</v>
      </c>
      <c r="H153" s="6" t="n">
        <v>5</v>
      </c>
      <c r="I153" s="6" t="n">
        <v>2</v>
      </c>
      <c r="J153" s="6" t="n">
        <v>4</v>
      </c>
      <c r="K153" s="6" t="n">
        <v>3</v>
      </c>
      <c r="L153" s="6" t="n">
        <v>3</v>
      </c>
      <c r="M153" s="6" t="n">
        <v>5</v>
      </c>
      <c r="N153" s="6" t="n">
        <v>2</v>
      </c>
      <c r="O153" s="6" t="n">
        <v>6</v>
      </c>
      <c r="P153" s="6" t="n">
        <v>6</v>
      </c>
      <c r="Q153" s="6" t="n">
        <v>5</v>
      </c>
      <c r="R153" s="6" t="inlineStr">
        <is>
          <t>是</t>
        </is>
      </c>
      <c r="S153" s="6" t="n"/>
      <c r="T153" s="6" t="n"/>
      <c r="U153" s="6" t="n">
        <v>120.2</v>
      </c>
      <c r="V153" s="6" t="inlineStr">
        <is>
          <t>无</t>
        </is>
      </c>
      <c r="W153" s="6" t="n"/>
    </row>
    <row r="154">
      <c r="A154" s="6" t="inlineStr">
        <is>
          <t>P002</t>
        </is>
      </c>
      <c r="B154" s="6" t="n">
        <v>1</v>
      </c>
      <c r="C154" s="6" t="inlineStr">
        <is>
          <t>方法B</t>
        </is>
      </c>
      <c r="D154" s="6" t="inlineStr">
        <is>
          <t>One-Euro</t>
        </is>
      </c>
      <c r="E154" s="6" t="n">
        <v>3</v>
      </c>
      <c r="F154" s="6" t="n">
        <v>2</v>
      </c>
      <c r="G154" s="6" t="n">
        <v>3</v>
      </c>
      <c r="H154" s="6" t="n">
        <v>2</v>
      </c>
      <c r="I154" s="6" t="n">
        <v>4</v>
      </c>
      <c r="J154" s="6" t="n">
        <v>2</v>
      </c>
      <c r="K154" s="6" t="n">
        <v>3</v>
      </c>
      <c r="L154" s="6" t="n">
        <v>4</v>
      </c>
      <c r="M154" s="6" t="n">
        <v>4</v>
      </c>
      <c r="N154" s="6" t="n">
        <v>3</v>
      </c>
      <c r="O154" s="6" t="n">
        <v>3</v>
      </c>
      <c r="P154" s="6" t="n">
        <v>3</v>
      </c>
      <c r="Q154" s="6" t="n">
        <v>4</v>
      </c>
      <c r="R154" s="6" t="inlineStr">
        <is>
          <t>是</t>
        </is>
      </c>
      <c r="S154" s="6" t="n"/>
      <c r="T154" s="6" t="n"/>
      <c r="U154" s="6" t="n">
        <v>170.5</v>
      </c>
      <c r="V154" s="6" t="inlineStr">
        <is>
          <t>无</t>
        </is>
      </c>
      <c r="W154" s="6" t="n"/>
    </row>
    <row r="155">
      <c r="A155" s="6" t="inlineStr">
        <is>
          <t>P002</t>
        </is>
      </c>
      <c r="B155" s="6" t="n">
        <v>2</v>
      </c>
      <c r="C155" s="6" t="inlineStr">
        <is>
          <t>方法A</t>
        </is>
      </c>
      <c r="D155" s="6" t="inlineStr">
        <is>
          <t>EgoAnchor</t>
        </is>
      </c>
      <c r="E155" s="6" t="n">
        <v>3</v>
      </c>
      <c r="F155" s="6" t="n">
        <v>3</v>
      </c>
      <c r="G155" s="6" t="n">
        <v>3</v>
      </c>
      <c r="H155" s="6" t="n"/>
      <c r="I155" s="6" t="n">
        <v>3</v>
      </c>
      <c r="J155" s="6" t="n">
        <v>3</v>
      </c>
      <c r="K155" s="6" t="n">
        <v>4</v>
      </c>
      <c r="L155" s="6" t="n">
        <v>3</v>
      </c>
      <c r="M155" s="6" t="n">
        <v>3</v>
      </c>
      <c r="N155" s="6" t="n">
        <v>4</v>
      </c>
      <c r="O155" s="6" t="n">
        <v>4</v>
      </c>
      <c r="P155" s="6" t="n">
        <v>4</v>
      </c>
      <c r="Q155" s="6" t="n">
        <v>4</v>
      </c>
      <c r="R155" s="6" t="inlineStr">
        <is>
          <t>是</t>
        </is>
      </c>
      <c r="S155" s="6" t="n"/>
      <c r="T155" s="6" t="n"/>
      <c r="U155" s="6" t="n">
        <v>145.9</v>
      </c>
      <c r="V155" s="6" t="inlineStr">
        <is>
          <t>无</t>
        </is>
      </c>
      <c r="W155" s="6" t="n"/>
    </row>
    <row r="156">
      <c r="A156" s="6" t="inlineStr">
        <is>
          <t>P003</t>
        </is>
      </c>
      <c r="B156" s="6" t="n">
        <v>1</v>
      </c>
      <c r="C156" s="6" t="inlineStr">
        <is>
          <t>方法B</t>
        </is>
      </c>
      <c r="D156" s="6" t="inlineStr">
        <is>
          <t>EgoAnchor</t>
        </is>
      </c>
      <c r="E156" s="6" t="n">
        <v>5</v>
      </c>
      <c r="F156" s="6" t="n">
        <v>5</v>
      </c>
      <c r="G156" s="6" t="n">
        <v>3</v>
      </c>
      <c r="H156" s="6" t="n">
        <v>5</v>
      </c>
      <c r="I156" s="6" t="n">
        <v>1</v>
      </c>
      <c r="J156" s="6" t="n">
        <v>5</v>
      </c>
      <c r="K156" s="6" t="n">
        <v>5</v>
      </c>
      <c r="L156" s="6" t="n">
        <v>1</v>
      </c>
      <c r="M156" s="6" t="n">
        <v>4</v>
      </c>
      <c r="N156" s="6" t="n">
        <v>1</v>
      </c>
      <c r="O156" s="6" t="n">
        <v>7</v>
      </c>
      <c r="P156" s="6" t="n">
        <v>5</v>
      </c>
      <c r="Q156" s="6" t="n">
        <v>7</v>
      </c>
      <c r="R156" s="6" t="inlineStr">
        <is>
          <t>是</t>
        </is>
      </c>
      <c r="S156" s="6" t="n"/>
      <c r="T156" s="6" t="n"/>
      <c r="U156" s="6" t="n">
        <v>142.5</v>
      </c>
      <c r="V156" s="6" t="inlineStr">
        <is>
          <t>无</t>
        </is>
      </c>
      <c r="W156" s="6" t="n"/>
    </row>
    <row r="157">
      <c r="A157" s="6" t="inlineStr">
        <is>
          <t>P003</t>
        </is>
      </c>
      <c r="B157" s="6" t="n">
        <v>2</v>
      </c>
      <c r="C157" s="6" t="inlineStr">
        <is>
          <t>方法A</t>
        </is>
      </c>
      <c r="D157" s="6" t="inlineStr">
        <is>
          <t>One-Euro</t>
        </is>
      </c>
      <c r="E157" s="6" t="n">
        <v>4</v>
      </c>
      <c r="F157" s="6" t="n">
        <v>3</v>
      </c>
      <c r="G157" s="6" t="n">
        <v>4</v>
      </c>
      <c r="H157" s="6" t="n">
        <v>2</v>
      </c>
      <c r="I157" s="6" t="n">
        <v>3</v>
      </c>
      <c r="J157" s="6" t="n">
        <v>3</v>
      </c>
      <c r="K157" s="6" t="n">
        <v>4</v>
      </c>
      <c r="L157" s="6" t="n">
        <v>2</v>
      </c>
      <c r="M157" s="6" t="n">
        <v>3</v>
      </c>
      <c r="N157" s="6" t="n">
        <v>3</v>
      </c>
      <c r="O157" s="6" t="n">
        <v>5</v>
      </c>
      <c r="P157" s="6" t="n">
        <v>3</v>
      </c>
      <c r="Q157" s="6" t="n">
        <v>4</v>
      </c>
      <c r="R157" s="6" t="inlineStr">
        <is>
          <t>是</t>
        </is>
      </c>
      <c r="S157" s="6" t="n"/>
      <c r="T157" s="6" t="n"/>
      <c r="U157" s="6" t="n">
        <v>122.7</v>
      </c>
      <c r="V157" s="6" t="inlineStr">
        <is>
          <t>无</t>
        </is>
      </c>
      <c r="W157" s="6" t="n"/>
    </row>
    <row r="158">
      <c r="A158" s="6" t="inlineStr">
        <is>
          <t>P004</t>
        </is>
      </c>
      <c r="B158" s="6" t="n">
        <v>1</v>
      </c>
      <c r="C158" s="6" t="inlineStr">
        <is>
          <t>方法A</t>
        </is>
      </c>
      <c r="D158" s="6" t="inlineStr">
        <is>
          <t>One-Euro</t>
        </is>
      </c>
      <c r="E158" s="6" t="n">
        <v>4</v>
      </c>
      <c r="F158" s="6" t="n">
        <v>3</v>
      </c>
      <c r="G158" s="6" t="n">
        <v>2</v>
      </c>
      <c r="H158" s="6" t="n">
        <v>4</v>
      </c>
      <c r="I158" s="6" t="n">
        <v>3</v>
      </c>
      <c r="J158" s="6" t="n">
        <v>3</v>
      </c>
      <c r="K158" s="6" t="n">
        <v>4</v>
      </c>
      <c r="L158" s="6" t="n">
        <v>3</v>
      </c>
      <c r="M158" s="6" t="n">
        <v>3</v>
      </c>
      <c r="N158" s="6" t="n">
        <v>2</v>
      </c>
      <c r="O158" s="6" t="n">
        <v>5</v>
      </c>
      <c r="P158" s="6" t="n">
        <v>6</v>
      </c>
      <c r="Q158" s="6" t="n">
        <v>5</v>
      </c>
      <c r="R158" s="6" t="inlineStr">
        <is>
          <t>是</t>
        </is>
      </c>
      <c r="S158" s="6" t="n"/>
      <c r="T158" s="6" t="n"/>
      <c r="U158" s="6" t="n">
        <v>145</v>
      </c>
      <c r="V158" s="6" t="inlineStr">
        <is>
          <t>无</t>
        </is>
      </c>
      <c r="W158" s="6" t="n"/>
    </row>
    <row r="159">
      <c r="A159" s="6" t="inlineStr">
        <is>
          <t>P004</t>
        </is>
      </c>
      <c r="B159" s="6" t="n">
        <v>2</v>
      </c>
      <c r="C159" s="6" t="inlineStr">
        <is>
          <t>方法B</t>
        </is>
      </c>
      <c r="D159" s="6" t="inlineStr">
        <is>
          <t>EgoAnchor</t>
        </is>
      </c>
      <c r="E159" s="6" t="n">
        <v>3</v>
      </c>
      <c r="F159" s="6" t="n">
        <v>3</v>
      </c>
      <c r="G159" s="6" t="n">
        <v>3</v>
      </c>
      <c r="H159" s="6" t="n">
        <v>2</v>
      </c>
      <c r="I159" s="6" t="n">
        <v>5</v>
      </c>
      <c r="J159" s="6" t="n">
        <v>3</v>
      </c>
      <c r="K159" s="6" t="n">
        <v>3</v>
      </c>
      <c r="L159" s="6" t="n">
        <v>3</v>
      </c>
      <c r="M159" s="6" t="n">
        <v>1</v>
      </c>
      <c r="N159" s="6" t="n">
        <v>3</v>
      </c>
      <c r="O159" s="6" t="n">
        <v>5</v>
      </c>
      <c r="P159" s="6" t="n">
        <v>4</v>
      </c>
      <c r="Q159" s="6" t="n">
        <v>4</v>
      </c>
      <c r="R159" s="6" t="inlineStr">
        <is>
          <t>是</t>
        </is>
      </c>
      <c r="S159" s="6" t="n"/>
      <c r="T159" s="6" t="n"/>
      <c r="U159" s="6" t="n">
        <v>146.7</v>
      </c>
      <c r="V159" s="6" t="inlineStr">
        <is>
          <t>无</t>
        </is>
      </c>
      <c r="W159" s="6" t="n"/>
    </row>
    <row r="160">
      <c r="A160" s="6" t="inlineStr">
        <is>
          <t>P005</t>
        </is>
      </c>
      <c r="B160" s="6" t="n">
        <v>1</v>
      </c>
      <c r="C160" s="6" t="inlineStr">
        <is>
          <t>方法B</t>
        </is>
      </c>
      <c r="D160" s="6" t="inlineStr">
        <is>
          <t>One-Euro</t>
        </is>
      </c>
      <c r="E160" s="6" t="n">
        <v>2</v>
      </c>
      <c r="F160" s="6" t="n">
        <v>1</v>
      </c>
      <c r="G160" s="6" t="n">
        <v>4</v>
      </c>
      <c r="H160" s="6" t="n">
        <v>1</v>
      </c>
      <c r="I160" s="6" t="n">
        <v>3</v>
      </c>
      <c r="J160" s="6" t="n">
        <v>3</v>
      </c>
      <c r="K160" s="6" t="n">
        <v>1</v>
      </c>
      <c r="L160" s="6" t="n">
        <v>5</v>
      </c>
      <c r="M160" s="6" t="n">
        <v>1</v>
      </c>
      <c r="N160" s="6" t="n">
        <v>4</v>
      </c>
      <c r="O160" s="6" t="n">
        <v>1</v>
      </c>
      <c r="P160" s="6" t="n">
        <v>1</v>
      </c>
      <c r="Q160" s="6" t="n">
        <v>3</v>
      </c>
      <c r="R160" s="6" t="inlineStr">
        <is>
          <t>是</t>
        </is>
      </c>
      <c r="S160" s="6" t="n"/>
      <c r="T160" s="6" t="n"/>
      <c r="U160" s="6" t="n">
        <v>145.4</v>
      </c>
      <c r="V160" s="6" t="inlineStr">
        <is>
          <t>无</t>
        </is>
      </c>
      <c r="W160" s="6" t="n"/>
    </row>
    <row r="161">
      <c r="A161" s="6" t="inlineStr">
        <is>
          <t>P005</t>
        </is>
      </c>
      <c r="B161" s="6" t="n">
        <v>2</v>
      </c>
      <c r="C161" s="6" t="inlineStr">
        <is>
          <t>方法A</t>
        </is>
      </c>
      <c r="D161" s="6" t="inlineStr">
        <is>
          <t>EgoAnchor</t>
        </is>
      </c>
      <c r="E161" s="6" t="n">
        <v>3</v>
      </c>
      <c r="F161" s="6" t="n">
        <v>2</v>
      </c>
      <c r="G161" s="6" t="n">
        <v>2</v>
      </c>
      <c r="H161" s="6" t="n">
        <v>2</v>
      </c>
      <c r="I161" s="6" t="n">
        <v>3</v>
      </c>
      <c r="J161" s="6" t="n">
        <v>3</v>
      </c>
      <c r="K161" s="6" t="n">
        <v>1</v>
      </c>
      <c r="L161" s="6" t="n">
        <v>3</v>
      </c>
      <c r="M161" s="6" t="n">
        <v>2</v>
      </c>
      <c r="N161" s="6" t="n">
        <v>3</v>
      </c>
      <c r="O161" s="6" t="n">
        <v>4</v>
      </c>
      <c r="P161" s="6" t="n">
        <v>3</v>
      </c>
      <c r="Q161" s="6" t="n">
        <v>3</v>
      </c>
      <c r="R161" s="6" t="inlineStr">
        <is>
          <t>是</t>
        </is>
      </c>
      <c r="S161" s="6" t="n"/>
      <c r="T161" s="6" t="n"/>
      <c r="U161" s="6" t="n">
        <v>130.6</v>
      </c>
      <c r="V161" s="6" t="inlineStr">
        <is>
          <t>无</t>
        </is>
      </c>
      <c r="W161" s="6" t="n"/>
    </row>
    <row r="162">
      <c r="A162" s="6" t="inlineStr">
        <is>
          <t>P006</t>
        </is>
      </c>
      <c r="B162" s="6" t="n">
        <v>1</v>
      </c>
      <c r="C162" s="6" t="inlineStr">
        <is>
          <t>方法B</t>
        </is>
      </c>
      <c r="D162" s="6" t="inlineStr">
        <is>
          <t>EgoAnchor</t>
        </is>
      </c>
      <c r="E162" s="6" t="n">
        <v>3</v>
      </c>
      <c r="F162" s="6" t="n">
        <v>3</v>
      </c>
      <c r="G162" s="6" t="n">
        <v>3</v>
      </c>
      <c r="H162" s="6" t="n">
        <v>3</v>
      </c>
      <c r="I162" s="6" t="n">
        <v>2</v>
      </c>
      <c r="J162" s="6" t="n">
        <v>3</v>
      </c>
      <c r="K162" s="6" t="n">
        <v>2</v>
      </c>
      <c r="L162" s="6" t="n">
        <v>4</v>
      </c>
      <c r="M162" s="6" t="n">
        <v>2</v>
      </c>
      <c r="N162" s="6" t="n">
        <v>2</v>
      </c>
      <c r="O162" s="6" t="n">
        <v>4</v>
      </c>
      <c r="P162" s="6" t="n">
        <v>4</v>
      </c>
      <c r="Q162" s="6" t="n">
        <v>4</v>
      </c>
      <c r="R162" s="6" t="inlineStr">
        <is>
          <t>是</t>
        </is>
      </c>
      <c r="S162" s="6" t="n"/>
      <c r="T162" s="6" t="n"/>
      <c r="U162" s="6" t="n">
        <v>191</v>
      </c>
      <c r="V162" s="6" t="inlineStr">
        <is>
          <t>无</t>
        </is>
      </c>
      <c r="W162" s="6" t="n"/>
    </row>
    <row r="163">
      <c r="A163" s="6" t="inlineStr">
        <is>
          <t>P006</t>
        </is>
      </c>
      <c r="B163" s="6" t="n">
        <v>2</v>
      </c>
      <c r="C163" s="6" t="inlineStr">
        <is>
          <t>方法A</t>
        </is>
      </c>
      <c r="D163" s="6" t="inlineStr">
        <is>
          <t>One-Euro</t>
        </is>
      </c>
      <c r="E163" s="6" t="n">
        <v>3</v>
      </c>
      <c r="F163" s="6" t="n">
        <v>3</v>
      </c>
      <c r="G163" s="6" t="n">
        <v>2</v>
      </c>
      <c r="H163" s="6" t="n">
        <v>3</v>
      </c>
      <c r="I163" s="6" t="n">
        <v>3</v>
      </c>
      <c r="J163" s="6" t="n">
        <v>3</v>
      </c>
      <c r="K163" s="6" t="n">
        <v>3</v>
      </c>
      <c r="L163" s="6" t="n">
        <v>3</v>
      </c>
      <c r="M163" s="6" t="n">
        <v>4</v>
      </c>
      <c r="N163" s="6" t="n">
        <v>3</v>
      </c>
      <c r="O163" s="6" t="n">
        <v>4</v>
      </c>
      <c r="P163" s="6" t="n">
        <v>4</v>
      </c>
      <c r="Q163" s="6" t="n">
        <v>3</v>
      </c>
      <c r="R163" s="6" t="inlineStr">
        <is>
          <t>是</t>
        </is>
      </c>
      <c r="S163" s="6" t="n"/>
      <c r="T163" s="6" t="n"/>
      <c r="U163" s="6" t="n">
        <v>176.6</v>
      </c>
      <c r="V163" s="6" t="inlineStr">
        <is>
          <t>无</t>
        </is>
      </c>
      <c r="W163" s="6" t="n"/>
    </row>
    <row r="164">
      <c r="A164" s="6" t="inlineStr">
        <is>
          <t>P007</t>
        </is>
      </c>
      <c r="B164" s="6" t="n">
        <v>1</v>
      </c>
      <c r="C164" s="6" t="inlineStr">
        <is>
          <t>方法B</t>
        </is>
      </c>
      <c r="D164" s="6" t="inlineStr">
        <is>
          <t>EgoAnchor</t>
        </is>
      </c>
      <c r="E164" s="6" t="n">
        <v>5</v>
      </c>
      <c r="F164" s="6" t="n">
        <v>5</v>
      </c>
      <c r="G164" s="6" t="n">
        <v>1</v>
      </c>
      <c r="H164" s="6" t="n">
        <v>5</v>
      </c>
      <c r="I164" s="6" t="n">
        <v>1</v>
      </c>
      <c r="J164" s="6" t="n">
        <v>5</v>
      </c>
      <c r="K164" s="6" t="n">
        <v>5</v>
      </c>
      <c r="L164" s="6" t="n">
        <v>2</v>
      </c>
      <c r="M164" s="6" t="n">
        <v>5</v>
      </c>
      <c r="N164" s="6" t="n">
        <v>1</v>
      </c>
      <c r="O164" s="6" t="n">
        <v>7</v>
      </c>
      <c r="P164" s="6" t="n">
        <v>7</v>
      </c>
      <c r="Q164" s="6" t="n">
        <v>7</v>
      </c>
      <c r="R164" s="6" t="inlineStr">
        <is>
          <t>是</t>
        </is>
      </c>
      <c r="S164" s="6" t="n"/>
      <c r="T164" s="6" t="n"/>
      <c r="U164" s="6" t="n">
        <v>128</v>
      </c>
      <c r="V164" s="6" t="inlineStr">
        <is>
          <t>无</t>
        </is>
      </c>
      <c r="W164" s="6" t="n"/>
    </row>
    <row r="165">
      <c r="A165" s="6" t="inlineStr">
        <is>
          <t>P007</t>
        </is>
      </c>
      <c r="B165" s="6" t="n">
        <v>2</v>
      </c>
      <c r="C165" s="6" t="inlineStr">
        <is>
          <t>方法A</t>
        </is>
      </c>
      <c r="D165" s="6" t="inlineStr">
        <is>
          <t>One-Euro</t>
        </is>
      </c>
      <c r="E165" s="6" t="n">
        <v>5</v>
      </c>
      <c r="F165" s="6" t="n">
        <v>5</v>
      </c>
      <c r="G165" s="6" t="n">
        <v>2</v>
      </c>
      <c r="H165" s="6" t="n">
        <v>5</v>
      </c>
      <c r="I165" s="6" t="n">
        <v>2</v>
      </c>
      <c r="J165" s="6" t="n">
        <v>5</v>
      </c>
      <c r="K165" s="6" t="n">
        <v>5</v>
      </c>
      <c r="L165" s="6" t="n">
        <v>1</v>
      </c>
      <c r="M165" s="6" t="n">
        <v>5</v>
      </c>
      <c r="N165" s="6" t="n">
        <v>2</v>
      </c>
      <c r="O165" s="6" t="n">
        <v>6</v>
      </c>
      <c r="P165" s="6" t="n">
        <v>7</v>
      </c>
      <c r="Q165" s="6" t="n">
        <v>7</v>
      </c>
      <c r="R165" s="6" t="inlineStr">
        <is>
          <t>是</t>
        </is>
      </c>
      <c r="S165" s="6" t="n"/>
      <c r="T165" s="6" t="n"/>
      <c r="U165" s="6" t="n">
        <v>119.3</v>
      </c>
      <c r="V165" s="6" t="inlineStr">
        <is>
          <t>无</t>
        </is>
      </c>
      <c r="W165" s="6" t="n"/>
    </row>
    <row r="166">
      <c r="A166" s="6" t="inlineStr">
        <is>
          <t>P008</t>
        </is>
      </c>
      <c r="B166" s="6" t="n">
        <v>1</v>
      </c>
      <c r="C166" s="6" t="inlineStr">
        <is>
          <t>方法A</t>
        </is>
      </c>
      <c r="D166" s="6" t="inlineStr">
        <is>
          <t>EgoAnchor</t>
        </is>
      </c>
      <c r="E166" s="6" t="n">
        <v>3</v>
      </c>
      <c r="F166" s="6" t="n">
        <v>4</v>
      </c>
      <c r="G166" s="6" t="n">
        <v>3</v>
      </c>
      <c r="H166" s="6" t="n">
        <v>4</v>
      </c>
      <c r="I166" s="6" t="n">
        <v>3</v>
      </c>
      <c r="J166" s="6" t="n">
        <v>5</v>
      </c>
      <c r="K166" s="6" t="n">
        <v>5</v>
      </c>
      <c r="L166" s="6" t="n">
        <v>1</v>
      </c>
      <c r="M166" s="6" t="n">
        <v>5</v>
      </c>
      <c r="N166" s="6" t="n">
        <v>2</v>
      </c>
      <c r="O166" s="6" t="n">
        <v>5</v>
      </c>
      <c r="P166" s="6" t="n">
        <v>6</v>
      </c>
      <c r="Q166" s="6" t="n">
        <v>6</v>
      </c>
      <c r="R166" s="6" t="inlineStr">
        <is>
          <t>是</t>
        </is>
      </c>
      <c r="S166" s="6" t="n"/>
      <c r="T166" s="6" t="n"/>
      <c r="U166" s="6" t="n">
        <v>139.3</v>
      </c>
      <c r="V166" s="6" t="inlineStr">
        <is>
          <t>无</t>
        </is>
      </c>
      <c r="W166" s="6" t="n"/>
    </row>
    <row r="167">
      <c r="A167" s="6" t="inlineStr">
        <is>
          <t>P008</t>
        </is>
      </c>
      <c r="B167" s="6" t="n">
        <v>2</v>
      </c>
      <c r="C167" s="6" t="inlineStr">
        <is>
          <t>方法B</t>
        </is>
      </c>
      <c r="D167" s="6" t="inlineStr">
        <is>
          <t>One-Euro</t>
        </is>
      </c>
      <c r="E167" s="6" t="n">
        <v>4</v>
      </c>
      <c r="F167" s="6" t="n">
        <v>3</v>
      </c>
      <c r="G167" s="6" t="n">
        <v>3</v>
      </c>
      <c r="H167" s="6" t="n">
        <v>3</v>
      </c>
      <c r="I167" s="6" t="n">
        <v>2</v>
      </c>
      <c r="J167" s="6" t="n">
        <v>4</v>
      </c>
      <c r="K167" s="6" t="n">
        <v>4</v>
      </c>
      <c r="L167" s="6" t="n">
        <v>2</v>
      </c>
      <c r="M167" s="6" t="n">
        <v>4</v>
      </c>
      <c r="N167" s="6" t="n">
        <v>3</v>
      </c>
      <c r="O167" s="6" t="n">
        <v>5</v>
      </c>
      <c r="P167" s="6" t="n">
        <v>6</v>
      </c>
      <c r="Q167" s="6" t="n">
        <v>6</v>
      </c>
      <c r="R167" s="6" t="inlineStr">
        <is>
          <t>是</t>
        </is>
      </c>
      <c r="S167" s="6" t="n"/>
      <c r="T167" s="6" t="n"/>
      <c r="U167" s="6" t="n">
        <v>160</v>
      </c>
      <c r="V167" s="6" t="inlineStr">
        <is>
          <t>无</t>
        </is>
      </c>
      <c r="W167" s="6" t="n"/>
    </row>
    <row r="168">
      <c r="A168" s="6" t="inlineStr">
        <is>
          <t>P009</t>
        </is>
      </c>
      <c r="B168" s="6" t="n">
        <v>1</v>
      </c>
      <c r="C168" s="6" t="inlineStr">
        <is>
          <t>方法B</t>
        </is>
      </c>
      <c r="D168" s="6" t="inlineStr">
        <is>
          <t>EgoAnchor</t>
        </is>
      </c>
      <c r="E168" s="6" t="n"/>
      <c r="F168" s="6" t="n">
        <v>4</v>
      </c>
      <c r="G168" s="6" t="n">
        <v>2</v>
      </c>
      <c r="H168" s="6" t="n">
        <v>3</v>
      </c>
      <c r="I168" s="6" t="n">
        <v>3</v>
      </c>
      <c r="J168" s="6" t="n">
        <v>3</v>
      </c>
      <c r="K168" s="6" t="n">
        <v>3</v>
      </c>
      <c r="L168" s="6" t="n">
        <v>2</v>
      </c>
      <c r="M168" s="6" t="n">
        <v>4</v>
      </c>
      <c r="N168" s="6" t="n">
        <v>3</v>
      </c>
      <c r="O168" s="6" t="n">
        <v>5</v>
      </c>
      <c r="P168" s="6" t="n">
        <v>4</v>
      </c>
      <c r="Q168" s="6" t="n">
        <v>4</v>
      </c>
      <c r="R168" s="6" t="inlineStr">
        <is>
          <t>是</t>
        </is>
      </c>
      <c r="S168" s="6" t="n"/>
      <c r="T168" s="6" t="n"/>
      <c r="U168" s="6" t="n">
        <v>176.6</v>
      </c>
      <c r="V168" s="6" t="inlineStr">
        <is>
          <t>无</t>
        </is>
      </c>
      <c r="W168" s="6" t="n"/>
    </row>
    <row r="169">
      <c r="A169" s="6" t="inlineStr">
        <is>
          <t>P009</t>
        </is>
      </c>
      <c r="B169" s="6" t="n">
        <v>2</v>
      </c>
      <c r="C169" s="6" t="inlineStr">
        <is>
          <t>方法A</t>
        </is>
      </c>
      <c r="D169" s="6" t="inlineStr">
        <is>
          <t>One-Euro</t>
        </is>
      </c>
      <c r="E169" s="6" t="n">
        <v>3</v>
      </c>
      <c r="F169" s="6" t="n">
        <v>3</v>
      </c>
      <c r="G169" s="6" t="n">
        <v>2</v>
      </c>
      <c r="H169" s="6" t="n">
        <v>3</v>
      </c>
      <c r="I169" s="6" t="n">
        <v>4</v>
      </c>
      <c r="J169" s="6" t="n">
        <v>3</v>
      </c>
      <c r="K169" s="6" t="n">
        <v>2</v>
      </c>
      <c r="L169" s="6" t="n">
        <v>3</v>
      </c>
      <c r="M169" s="6" t="n">
        <v>3</v>
      </c>
      <c r="N169" s="6" t="n">
        <v>3</v>
      </c>
      <c r="O169" s="6" t="n">
        <v>4</v>
      </c>
      <c r="P169" s="6" t="n">
        <v>4</v>
      </c>
      <c r="Q169" s="6" t="n">
        <v>4</v>
      </c>
      <c r="R169" s="6" t="inlineStr">
        <is>
          <t>是</t>
        </is>
      </c>
      <c r="S169" s="6" t="n"/>
      <c r="T169" s="6" t="n"/>
      <c r="U169" s="6" t="n">
        <v>143.7</v>
      </c>
      <c r="V169" s="6" t="inlineStr">
        <is>
          <t>无</t>
        </is>
      </c>
      <c r="W169" s="6" t="n"/>
    </row>
    <row r="170">
      <c r="A170" s="6" t="inlineStr">
        <is>
          <t>P010</t>
        </is>
      </c>
      <c r="B170" s="6" t="n">
        <v>1</v>
      </c>
      <c r="C170" s="6" t="inlineStr">
        <is>
          <t>方法B</t>
        </is>
      </c>
      <c r="D170" s="6" t="inlineStr">
        <is>
          <t>One-Euro</t>
        </is>
      </c>
      <c r="E170" s="6" t="n">
        <v>3</v>
      </c>
      <c r="F170" s="6" t="n">
        <v>4</v>
      </c>
      <c r="G170" s="6" t="n">
        <v>3</v>
      </c>
      <c r="H170" s="6" t="n">
        <v>4</v>
      </c>
      <c r="I170" s="6" t="n">
        <v>3</v>
      </c>
      <c r="J170" s="6" t="n">
        <v>3</v>
      </c>
      <c r="K170" s="6" t="n">
        <v>3</v>
      </c>
      <c r="L170" s="6" t="n">
        <v>4</v>
      </c>
      <c r="M170" s="6" t="n">
        <v>3</v>
      </c>
      <c r="N170" s="6" t="n">
        <v>2</v>
      </c>
      <c r="O170" s="6" t="n">
        <v>4</v>
      </c>
      <c r="P170" s="6" t="n">
        <v>5</v>
      </c>
      <c r="Q170" s="6" t="n">
        <v>4</v>
      </c>
      <c r="R170" s="6" t="inlineStr">
        <is>
          <t>是</t>
        </is>
      </c>
      <c r="S170" s="6" t="n"/>
      <c r="T170" s="6" t="n"/>
      <c r="U170" s="6" t="n">
        <v>210.2</v>
      </c>
      <c r="V170" s="6" t="inlineStr">
        <is>
          <t>无</t>
        </is>
      </c>
      <c r="W170" s="6" t="n"/>
    </row>
    <row r="171">
      <c r="A171" s="6" t="inlineStr">
        <is>
          <t>P010</t>
        </is>
      </c>
      <c r="B171" s="6" t="n">
        <v>2</v>
      </c>
      <c r="C171" s="6" t="inlineStr">
        <is>
          <t>方法A</t>
        </is>
      </c>
      <c r="D171" s="6" t="inlineStr">
        <is>
          <t>EgoAnchor</t>
        </is>
      </c>
      <c r="E171" s="6" t="n">
        <v>3</v>
      </c>
      <c r="F171" s="6" t="n">
        <v>3</v>
      </c>
      <c r="G171" s="6" t="n">
        <v>3</v>
      </c>
      <c r="H171" s="6" t="n">
        <v>3</v>
      </c>
      <c r="I171" s="6" t="n">
        <v>3</v>
      </c>
      <c r="J171" s="6" t="n">
        <v>4</v>
      </c>
      <c r="K171" s="6" t="n">
        <v>2</v>
      </c>
      <c r="L171" s="6" t="n">
        <v>4</v>
      </c>
      <c r="M171" s="6" t="n">
        <v>3</v>
      </c>
      <c r="N171" s="6" t="n">
        <v>2</v>
      </c>
      <c r="O171" s="6" t="n">
        <v>4</v>
      </c>
      <c r="P171" s="6" t="n">
        <v>3</v>
      </c>
      <c r="Q171" s="6" t="n">
        <v>4</v>
      </c>
      <c r="R171" s="6" t="inlineStr">
        <is>
          <t>是</t>
        </is>
      </c>
      <c r="S171" s="6" t="n"/>
      <c r="T171" s="6" t="n"/>
      <c r="U171" s="6" t="n">
        <v>170.4</v>
      </c>
      <c r="V171" s="6" t="inlineStr">
        <is>
          <t>无</t>
        </is>
      </c>
      <c r="W171" s="6" t="n"/>
    </row>
    <row r="172">
      <c r="A172" s="6" t="inlineStr">
        <is>
          <t>P011</t>
        </is>
      </c>
      <c r="B172" s="6" t="n">
        <v>1</v>
      </c>
      <c r="C172" s="6" t="inlineStr">
        <is>
          <t>方法A</t>
        </is>
      </c>
      <c r="D172" s="6" t="inlineStr">
        <is>
          <t>One-Euro</t>
        </is>
      </c>
      <c r="E172" s="6" t="n">
        <v>2</v>
      </c>
      <c r="F172" s="6" t="n">
        <v>2</v>
      </c>
      <c r="G172" s="6" t="n">
        <v>3</v>
      </c>
      <c r="H172" s="6" t="n">
        <v>3</v>
      </c>
      <c r="I172" s="6" t="n">
        <v>5</v>
      </c>
      <c r="J172" s="6" t="n">
        <v>1</v>
      </c>
      <c r="K172" s="6" t="n">
        <v>2</v>
      </c>
      <c r="L172" s="6" t="n">
        <v>3</v>
      </c>
      <c r="M172" s="6" t="n">
        <v>2</v>
      </c>
      <c r="N172" s="6" t="n">
        <v>3</v>
      </c>
      <c r="O172" s="6" t="n">
        <v>3</v>
      </c>
      <c r="P172" s="6" t="n">
        <v>3</v>
      </c>
      <c r="Q172" s="6" t="n">
        <v>1</v>
      </c>
      <c r="R172" s="6" t="inlineStr">
        <is>
          <t>是</t>
        </is>
      </c>
      <c r="S172" s="6" t="n"/>
      <c r="T172" s="6" t="n"/>
      <c r="U172" s="6" t="n">
        <v>117.2</v>
      </c>
      <c r="V172" s="6" t="inlineStr">
        <is>
          <t>无</t>
        </is>
      </c>
      <c r="W172" s="6" t="n"/>
    </row>
    <row r="173">
      <c r="A173" s="6" t="inlineStr">
        <is>
          <t>P011</t>
        </is>
      </c>
      <c r="B173" s="6" t="n">
        <v>2</v>
      </c>
      <c r="C173" s="6" t="inlineStr">
        <is>
          <t>方法B</t>
        </is>
      </c>
      <c r="D173" s="6" t="inlineStr">
        <is>
          <t>EgoAnchor</t>
        </is>
      </c>
      <c r="E173" s="6" t="n">
        <v>4</v>
      </c>
      <c r="F173" s="6" t="n">
        <v>3</v>
      </c>
      <c r="G173" s="6" t="n">
        <v>3</v>
      </c>
      <c r="H173" s="6" t="n">
        <v>4</v>
      </c>
      <c r="I173" s="6" t="n">
        <v>3</v>
      </c>
      <c r="J173" s="6" t="n">
        <v>4</v>
      </c>
      <c r="K173" s="6" t="n">
        <v>4</v>
      </c>
      <c r="L173" s="6" t="n">
        <v>3</v>
      </c>
      <c r="M173" s="6" t="n">
        <v>4</v>
      </c>
      <c r="N173" s="6" t="n">
        <v>2</v>
      </c>
      <c r="O173" s="6" t="n">
        <v>5</v>
      </c>
      <c r="P173" s="6" t="n">
        <v>5</v>
      </c>
      <c r="Q173" s="6" t="n">
        <v>6</v>
      </c>
      <c r="R173" s="6" t="inlineStr">
        <is>
          <t>是</t>
        </is>
      </c>
      <c r="S173" s="6" t="n"/>
      <c r="T173" s="6" t="n"/>
      <c r="U173" s="6" t="n">
        <v>153.9</v>
      </c>
      <c r="V173" s="6" t="inlineStr">
        <is>
          <t>无</t>
        </is>
      </c>
      <c r="W173" s="6" t="n"/>
    </row>
    <row r="174">
      <c r="A174" s="6" t="inlineStr">
        <is>
          <t>P012</t>
        </is>
      </c>
      <c r="B174" s="6" t="n">
        <v>1</v>
      </c>
      <c r="C174" s="6" t="inlineStr">
        <is>
          <t>方法A</t>
        </is>
      </c>
      <c r="D174" s="6" t="inlineStr">
        <is>
          <t>One-Euro</t>
        </is>
      </c>
      <c r="E174" s="6" t="n">
        <v>4</v>
      </c>
      <c r="F174" s="6" t="n">
        <v>3</v>
      </c>
      <c r="G174" s="6" t="n">
        <v>3</v>
      </c>
      <c r="H174" s="6" t="n">
        <v>3</v>
      </c>
      <c r="I174" s="6" t="n">
        <v>2</v>
      </c>
      <c r="J174" s="6" t="n">
        <v>4</v>
      </c>
      <c r="K174" s="6" t="n">
        <v>3</v>
      </c>
      <c r="L174" s="6" t="n">
        <v>2</v>
      </c>
      <c r="M174" s="6" t="n">
        <v>4</v>
      </c>
      <c r="N174" s="6" t="n">
        <v>2</v>
      </c>
      <c r="O174" s="6" t="n">
        <v>5</v>
      </c>
      <c r="P174" s="6" t="n">
        <v>4</v>
      </c>
      <c r="Q174" s="6" t="n">
        <v>5</v>
      </c>
      <c r="R174" s="6" t="inlineStr">
        <is>
          <t>是</t>
        </is>
      </c>
      <c r="S174" s="6" t="n"/>
      <c r="T174" s="6" t="n"/>
      <c r="U174" s="6" t="n">
        <v>190.1</v>
      </c>
      <c r="V174" s="6" t="inlineStr">
        <is>
          <t>无</t>
        </is>
      </c>
      <c r="W174" s="6" t="n"/>
    </row>
    <row r="175">
      <c r="A175" s="6" t="inlineStr">
        <is>
          <t>P012</t>
        </is>
      </c>
      <c r="B175" s="6" t="n">
        <v>2</v>
      </c>
      <c r="C175" s="6" t="inlineStr">
        <is>
          <t>方法B</t>
        </is>
      </c>
      <c r="D175" s="6" t="inlineStr">
        <is>
          <t>EgoAnchor</t>
        </is>
      </c>
      <c r="E175" s="6" t="n">
        <v>5</v>
      </c>
      <c r="F175" s="6" t="n">
        <v>4</v>
      </c>
      <c r="G175" s="6" t="n">
        <v>2</v>
      </c>
      <c r="H175" s="6" t="n">
        <v>4</v>
      </c>
      <c r="I175" s="6" t="n">
        <v>2</v>
      </c>
      <c r="J175" s="6" t="n">
        <v>4</v>
      </c>
      <c r="K175" s="6" t="n">
        <v>3</v>
      </c>
      <c r="L175" s="6" t="n">
        <v>1</v>
      </c>
      <c r="M175" s="6" t="n">
        <v>4</v>
      </c>
      <c r="N175" s="6" t="n">
        <v>3</v>
      </c>
      <c r="O175" s="6" t="n">
        <v>6</v>
      </c>
      <c r="P175" s="6" t="n">
        <v>7</v>
      </c>
      <c r="Q175" s="6" t="n">
        <v>5</v>
      </c>
      <c r="R175" s="6" t="inlineStr">
        <is>
          <t>是</t>
        </is>
      </c>
      <c r="S175" s="6" t="n"/>
      <c r="T175" s="6" t="n"/>
      <c r="U175" s="6" t="n">
        <v>157.3</v>
      </c>
      <c r="V175" s="6" t="inlineStr">
        <is>
          <t>无</t>
        </is>
      </c>
      <c r="W175" s="6" t="n"/>
    </row>
    <row r="176">
      <c r="A176" s="6" t="inlineStr">
        <is>
          <t>P013</t>
        </is>
      </c>
      <c r="B176" s="6" t="n">
        <v>1</v>
      </c>
      <c r="C176" s="6" t="inlineStr">
        <is>
          <t>方法A</t>
        </is>
      </c>
      <c r="D176" s="6" t="inlineStr">
        <is>
          <t>One-Euro</t>
        </is>
      </c>
      <c r="E176" s="6" t="n">
        <v>4</v>
      </c>
      <c r="F176" s="6" t="n">
        <v>4</v>
      </c>
      <c r="G176" s="6" t="n">
        <v>2</v>
      </c>
      <c r="H176" s="6" t="n">
        <v>4</v>
      </c>
      <c r="I176" s="6" t="n">
        <v>2</v>
      </c>
      <c r="J176" s="6" t="n">
        <v>4</v>
      </c>
      <c r="K176" s="6" t="n">
        <v>3</v>
      </c>
      <c r="L176" s="6" t="n">
        <v>3</v>
      </c>
      <c r="M176" s="6" t="n">
        <v>4</v>
      </c>
      <c r="N176" s="6" t="n">
        <v>3</v>
      </c>
      <c r="O176" s="6" t="n">
        <v>6</v>
      </c>
      <c r="P176" s="6" t="n">
        <v>5</v>
      </c>
      <c r="Q176" s="6" t="n">
        <v>6</v>
      </c>
      <c r="R176" s="6" t="inlineStr">
        <is>
          <t>是</t>
        </is>
      </c>
      <c r="S176" s="6" t="n"/>
      <c r="T176" s="6" t="n"/>
      <c r="U176" s="6" t="n">
        <v>167.5</v>
      </c>
      <c r="V176" s="6" t="inlineStr">
        <is>
          <t>无</t>
        </is>
      </c>
      <c r="W176" s="6" t="n"/>
    </row>
    <row r="177">
      <c r="A177" s="6" t="inlineStr">
        <is>
          <t>P013</t>
        </is>
      </c>
      <c r="B177" s="6" t="n">
        <v>2</v>
      </c>
      <c r="C177" s="6" t="inlineStr">
        <is>
          <t>方法B</t>
        </is>
      </c>
      <c r="D177" s="6" t="inlineStr">
        <is>
          <t>EgoAnchor</t>
        </is>
      </c>
      <c r="E177" s="6" t="n">
        <v>3</v>
      </c>
      <c r="F177" s="6" t="n">
        <v>3</v>
      </c>
      <c r="G177" s="6" t="n">
        <v>2</v>
      </c>
      <c r="H177" s="6" t="n">
        <v>3</v>
      </c>
      <c r="I177" s="6" t="n">
        <v>2</v>
      </c>
      <c r="J177" s="6" t="n">
        <v>4</v>
      </c>
      <c r="K177" s="6" t="n">
        <v>4</v>
      </c>
      <c r="L177" s="6" t="n">
        <v>2</v>
      </c>
      <c r="M177" s="6" t="n">
        <v>4</v>
      </c>
      <c r="N177" s="6" t="n">
        <v>2</v>
      </c>
      <c r="O177" s="6" t="n">
        <v>7</v>
      </c>
      <c r="P177" s="6" t="n">
        <v>5</v>
      </c>
      <c r="Q177" s="6" t="n">
        <v>5</v>
      </c>
      <c r="R177" s="6" t="inlineStr">
        <is>
          <t>是</t>
        </is>
      </c>
      <c r="S177" s="6" t="n"/>
      <c r="T177" s="6" t="n"/>
      <c r="U177" s="6" t="n">
        <v>171</v>
      </c>
      <c r="V177" s="6" t="inlineStr">
        <is>
          <t>无</t>
        </is>
      </c>
      <c r="W177" s="6" t="n"/>
    </row>
    <row r="178">
      <c r="A178" s="6" t="inlineStr">
        <is>
          <t>P014</t>
        </is>
      </c>
      <c r="B178" s="6" t="n">
        <v>1</v>
      </c>
      <c r="C178" s="6" t="inlineStr">
        <is>
          <t>方法A</t>
        </is>
      </c>
      <c r="D178" s="6" t="inlineStr">
        <is>
          <t>One-Euro</t>
        </is>
      </c>
      <c r="E178" s="6" t="n">
        <v>3</v>
      </c>
      <c r="F178" s="6" t="n">
        <v>3</v>
      </c>
      <c r="G178" s="6" t="n">
        <v>2</v>
      </c>
      <c r="H178" s="6" t="n">
        <v>4</v>
      </c>
      <c r="I178" s="6" t="n">
        <v>2</v>
      </c>
      <c r="J178" s="6" t="n">
        <v>3</v>
      </c>
      <c r="K178" s="6" t="n">
        <v>4</v>
      </c>
      <c r="L178" s="6" t="n">
        <v>3</v>
      </c>
      <c r="M178" s="6" t="n">
        <v>5</v>
      </c>
      <c r="N178" s="6" t="n">
        <v>2</v>
      </c>
      <c r="O178" s="6" t="n">
        <v>6</v>
      </c>
      <c r="P178" s="6" t="n">
        <v>5</v>
      </c>
      <c r="Q178" s="6" t="n">
        <v>5</v>
      </c>
      <c r="R178" s="6" t="inlineStr">
        <is>
          <t>是</t>
        </is>
      </c>
      <c r="S178" s="6" t="n"/>
      <c r="T178" s="6" t="n"/>
      <c r="U178" s="6" t="n">
        <v>139.1</v>
      </c>
      <c r="V178" s="6" t="inlineStr">
        <is>
          <t>无</t>
        </is>
      </c>
      <c r="W178" s="6" t="n"/>
    </row>
    <row r="179">
      <c r="A179" s="6" t="inlineStr">
        <is>
          <t>P014</t>
        </is>
      </c>
      <c r="B179" s="6" t="n">
        <v>2</v>
      </c>
      <c r="C179" s="6" t="inlineStr">
        <is>
          <t>方法B</t>
        </is>
      </c>
      <c r="D179" s="6" t="inlineStr">
        <is>
          <t>EgoAnchor</t>
        </is>
      </c>
      <c r="E179" s="6" t="n">
        <v>2</v>
      </c>
      <c r="F179" s="6" t="n">
        <v>4</v>
      </c>
      <c r="G179" s="6" t="n">
        <v>3</v>
      </c>
      <c r="H179" s="6" t="n">
        <v>4</v>
      </c>
      <c r="I179" s="6" t="n">
        <v>1</v>
      </c>
      <c r="J179" s="6" t="n">
        <v>4</v>
      </c>
      <c r="K179" s="6" t="n">
        <v>3</v>
      </c>
      <c r="L179" s="6" t="n">
        <v>2</v>
      </c>
      <c r="M179" s="6" t="n">
        <v>3</v>
      </c>
      <c r="N179" s="6" t="n">
        <v>2</v>
      </c>
      <c r="O179" s="6" t="n">
        <v>6</v>
      </c>
      <c r="P179" s="6" t="n">
        <v>4</v>
      </c>
      <c r="Q179" s="6" t="n">
        <v>6</v>
      </c>
      <c r="R179" s="6" t="inlineStr">
        <is>
          <t>是</t>
        </is>
      </c>
      <c r="S179" s="6" t="n"/>
      <c r="T179" s="6" t="n"/>
      <c r="U179" s="6" t="n">
        <v>167.9</v>
      </c>
      <c r="V179" s="6" t="inlineStr">
        <is>
          <t>无</t>
        </is>
      </c>
      <c r="W179" s="6" t="n"/>
    </row>
    <row r="180">
      <c r="A180" s="6" t="inlineStr">
        <is>
          <t>P015</t>
        </is>
      </c>
      <c r="B180" s="6" t="n">
        <v>1</v>
      </c>
      <c r="C180" s="6" t="inlineStr">
        <is>
          <t>方法B</t>
        </is>
      </c>
      <c r="D180" s="6" t="inlineStr">
        <is>
          <t>One-Euro</t>
        </is>
      </c>
      <c r="E180" s="6" t="n">
        <v>2</v>
      </c>
      <c r="F180" s="6" t="n">
        <v>3</v>
      </c>
      <c r="G180" s="6" t="n">
        <v>3</v>
      </c>
      <c r="H180" s="6" t="n">
        <v>3</v>
      </c>
      <c r="I180" s="6" t="n">
        <v>2</v>
      </c>
      <c r="J180" s="6" t="n">
        <v>2</v>
      </c>
      <c r="K180" s="6" t="n">
        <v>2</v>
      </c>
      <c r="L180" s="6" t="n">
        <v>4</v>
      </c>
      <c r="M180" s="6" t="n">
        <v>3</v>
      </c>
      <c r="N180" s="6" t="n">
        <v>4</v>
      </c>
      <c r="O180" s="6" t="n">
        <v>3</v>
      </c>
      <c r="P180" s="6" t="n">
        <v>4</v>
      </c>
      <c r="Q180" s="6" t="n">
        <v>3</v>
      </c>
      <c r="R180" s="6" t="inlineStr">
        <is>
          <t>是</t>
        </is>
      </c>
      <c r="S180" s="6" t="n"/>
      <c r="T180" s="6" t="n"/>
      <c r="U180" s="6" t="n">
        <v>120.2</v>
      </c>
      <c r="V180" s="6" t="inlineStr">
        <is>
          <t>无</t>
        </is>
      </c>
      <c r="W180" s="6" t="n"/>
    </row>
    <row r="181">
      <c r="A181" s="6" t="inlineStr">
        <is>
          <t>P015</t>
        </is>
      </c>
      <c r="B181" s="6" t="n">
        <v>2</v>
      </c>
      <c r="C181" s="6" t="inlineStr">
        <is>
          <t>方法A</t>
        </is>
      </c>
      <c r="D181" s="6" t="inlineStr">
        <is>
          <t>EgoAnchor</t>
        </is>
      </c>
      <c r="E181" s="6" t="n">
        <v>3</v>
      </c>
      <c r="F181" s="6" t="n">
        <v>4</v>
      </c>
      <c r="G181" s="6" t="n">
        <v>4</v>
      </c>
      <c r="H181" s="6" t="n">
        <v>3</v>
      </c>
      <c r="I181" s="6" t="n">
        <v>3</v>
      </c>
      <c r="J181" s="6" t="n">
        <v>3</v>
      </c>
      <c r="K181" s="6" t="n">
        <v>1</v>
      </c>
      <c r="L181" s="6" t="n">
        <v>3</v>
      </c>
      <c r="M181" s="6" t="n">
        <v>3</v>
      </c>
      <c r="N181" s="6" t="n">
        <v>4</v>
      </c>
      <c r="O181" s="6" t="n">
        <v>4</v>
      </c>
      <c r="P181" s="6" t="n">
        <v>6</v>
      </c>
      <c r="Q181" s="6" t="n">
        <v>5</v>
      </c>
      <c r="R181" s="6" t="inlineStr">
        <is>
          <t>是</t>
        </is>
      </c>
      <c r="S181" s="6" t="n"/>
      <c r="T181" s="6" t="n"/>
      <c r="U181" s="6" t="n">
        <v>94.90000000000001</v>
      </c>
      <c r="V181" s="6" t="inlineStr">
        <is>
          <t>无</t>
        </is>
      </c>
      <c r="W181" s="6" t="n"/>
    </row>
    <row r="182">
      <c r="A182" s="6" t="inlineStr">
        <is>
          <t>P016</t>
        </is>
      </c>
      <c r="B182" s="6" t="n">
        <v>1</v>
      </c>
      <c r="C182" s="6" t="inlineStr">
        <is>
          <t>方法A</t>
        </is>
      </c>
      <c r="D182" s="6" t="inlineStr">
        <is>
          <t>EgoAnchor</t>
        </is>
      </c>
      <c r="E182" s="6" t="n">
        <v>4</v>
      </c>
      <c r="F182" s="6" t="n">
        <v>5</v>
      </c>
      <c r="G182" s="6" t="n">
        <v>2</v>
      </c>
      <c r="H182" s="6" t="n">
        <v>5</v>
      </c>
      <c r="I182" s="6" t="n">
        <v>2</v>
      </c>
      <c r="J182" s="6" t="n">
        <v>5</v>
      </c>
      <c r="K182" s="6" t="n">
        <v>4</v>
      </c>
      <c r="L182" s="6" t="n">
        <v>2</v>
      </c>
      <c r="M182" s="6" t="n">
        <v>3</v>
      </c>
      <c r="N182" s="6" t="n">
        <v>1</v>
      </c>
      <c r="O182" s="6" t="n">
        <v>7</v>
      </c>
      <c r="P182" s="6" t="n">
        <v>7</v>
      </c>
      <c r="Q182" s="6" t="n">
        <v>7</v>
      </c>
      <c r="R182" s="6" t="inlineStr">
        <is>
          <t>是</t>
        </is>
      </c>
      <c r="S182" s="6" t="n"/>
      <c r="T182" s="6" t="n"/>
      <c r="U182" s="6" t="n">
        <v>150.7</v>
      </c>
      <c r="V182" s="6" t="inlineStr">
        <is>
          <t>无</t>
        </is>
      </c>
      <c r="W182" s="6" t="n"/>
    </row>
    <row r="183">
      <c r="A183" s="6" t="inlineStr">
        <is>
          <t>P016</t>
        </is>
      </c>
      <c r="B183" s="6" t="n">
        <v>2</v>
      </c>
      <c r="C183" s="6" t="inlineStr">
        <is>
          <t>方法B</t>
        </is>
      </c>
      <c r="D183" s="6" t="inlineStr">
        <is>
          <t>One-Euro</t>
        </is>
      </c>
      <c r="E183" s="6" t="n">
        <v>3</v>
      </c>
      <c r="F183" s="6" t="n">
        <v>2</v>
      </c>
      <c r="G183" s="6" t="n">
        <v>4</v>
      </c>
      <c r="H183" s="6" t="n">
        <v>2</v>
      </c>
      <c r="I183" s="6" t="n">
        <v>4</v>
      </c>
      <c r="J183" s="6" t="n">
        <v>2</v>
      </c>
      <c r="K183" s="6" t="n">
        <v>3</v>
      </c>
      <c r="L183" s="6" t="n">
        <v>4</v>
      </c>
      <c r="M183" s="6" t="n">
        <v>2</v>
      </c>
      <c r="N183" s="6" t="n">
        <v>4</v>
      </c>
      <c r="O183" s="6" t="n">
        <v>5</v>
      </c>
      <c r="P183" s="6" t="n">
        <v>3</v>
      </c>
      <c r="Q183" s="6" t="n">
        <v>2</v>
      </c>
      <c r="R183" s="6" t="inlineStr">
        <is>
          <t>是</t>
        </is>
      </c>
      <c r="S183" s="6" t="n"/>
      <c r="T183" s="6" t="n"/>
      <c r="U183" s="6" t="n">
        <v>122.6</v>
      </c>
      <c r="V183" s="6" t="inlineStr">
        <is>
          <t>无</t>
        </is>
      </c>
      <c r="W183" s="6" t="n"/>
    </row>
    <row r="184">
      <c r="A184" s="6" t="inlineStr">
        <is>
          <t>P017</t>
        </is>
      </c>
      <c r="B184" s="6" t="n">
        <v>1</v>
      </c>
      <c r="C184" s="6" t="inlineStr">
        <is>
          <t>方法B</t>
        </is>
      </c>
      <c r="D184" s="6" t="inlineStr">
        <is>
          <t>EgoAnchor</t>
        </is>
      </c>
      <c r="E184" s="6" t="n">
        <v>5</v>
      </c>
      <c r="F184" s="6" t="n">
        <v>5</v>
      </c>
      <c r="G184" s="6" t="n">
        <v>1</v>
      </c>
      <c r="H184" s="6" t="n">
        <v>5</v>
      </c>
      <c r="I184" s="6" t="n">
        <v>1</v>
      </c>
      <c r="J184" s="6" t="n">
        <v>5</v>
      </c>
      <c r="K184" s="6" t="n">
        <v>5</v>
      </c>
      <c r="L184" s="6" t="n">
        <v>1</v>
      </c>
      <c r="M184" s="6" t="n">
        <v>5</v>
      </c>
      <c r="N184" s="6" t="n">
        <v>1</v>
      </c>
      <c r="O184" s="6" t="n">
        <v>7</v>
      </c>
      <c r="P184" s="6" t="n">
        <v>7</v>
      </c>
      <c r="Q184" s="6" t="n">
        <v>7</v>
      </c>
      <c r="R184" s="6" t="inlineStr">
        <is>
          <t>是</t>
        </is>
      </c>
      <c r="S184" s="6" t="n"/>
      <c r="T184" s="6" t="n"/>
      <c r="U184" s="6" t="n">
        <v>157.3</v>
      </c>
      <c r="V184" s="6" t="inlineStr">
        <is>
          <t>无</t>
        </is>
      </c>
      <c r="W184" s="6" t="n"/>
    </row>
    <row r="185">
      <c r="A185" s="6" t="inlineStr">
        <is>
          <t>P017</t>
        </is>
      </c>
      <c r="B185" s="6" t="n">
        <v>2</v>
      </c>
      <c r="C185" s="6" t="inlineStr">
        <is>
          <t>方法A</t>
        </is>
      </c>
      <c r="D185" s="6" t="inlineStr">
        <is>
          <t>One-Euro</t>
        </is>
      </c>
      <c r="E185" s="6" t="n">
        <v>5</v>
      </c>
      <c r="F185" s="6" t="n">
        <v>4</v>
      </c>
      <c r="G185" s="6" t="n">
        <v>1</v>
      </c>
      <c r="H185" s="6" t="n">
        <v>5</v>
      </c>
      <c r="I185" s="6" t="n">
        <v>1</v>
      </c>
      <c r="J185" s="6" t="n">
        <v>5</v>
      </c>
      <c r="K185" s="6" t="n">
        <v>5</v>
      </c>
      <c r="L185" s="6" t="n">
        <v>2</v>
      </c>
      <c r="M185" s="6" t="n">
        <v>5</v>
      </c>
      <c r="N185" s="6" t="n">
        <v>2</v>
      </c>
      <c r="O185" s="6" t="n">
        <v>6</v>
      </c>
      <c r="P185" s="6" t="n">
        <v>6</v>
      </c>
      <c r="Q185" s="6" t="n">
        <v>5</v>
      </c>
      <c r="R185" s="6" t="inlineStr">
        <is>
          <t>是</t>
        </is>
      </c>
      <c r="S185" s="6" t="n"/>
      <c r="T185" s="6" t="n"/>
      <c r="U185" s="6" t="n">
        <v>166.8</v>
      </c>
      <c r="V185" s="6" t="inlineStr">
        <is>
          <t>无</t>
        </is>
      </c>
      <c r="W185" s="6" t="n"/>
    </row>
    <row r="186">
      <c r="A186" s="6" t="inlineStr">
        <is>
          <t>P018</t>
        </is>
      </c>
      <c r="B186" s="6" t="n">
        <v>1</v>
      </c>
      <c r="C186" s="6" t="inlineStr">
        <is>
          <t>方法B</t>
        </is>
      </c>
      <c r="D186" s="6" t="inlineStr">
        <is>
          <t>EgoAnchor</t>
        </is>
      </c>
      <c r="E186" s="6" t="n">
        <v>1</v>
      </c>
      <c r="F186" s="6" t="n">
        <v>3</v>
      </c>
      <c r="G186" s="6" t="n">
        <v>3</v>
      </c>
      <c r="H186" s="6" t="n">
        <v>3</v>
      </c>
      <c r="I186" s="6" t="n">
        <v>4</v>
      </c>
      <c r="J186" s="6" t="n">
        <v>4</v>
      </c>
      <c r="K186" s="6" t="n">
        <v>3</v>
      </c>
      <c r="L186" s="6" t="n">
        <v>3</v>
      </c>
      <c r="M186" s="6" t="n">
        <v>3</v>
      </c>
      <c r="N186" s="6" t="n">
        <v>3</v>
      </c>
      <c r="O186" s="6" t="n">
        <v>3</v>
      </c>
      <c r="P186" s="6" t="n">
        <v>5</v>
      </c>
      <c r="Q186" s="6" t="n">
        <v>5</v>
      </c>
      <c r="R186" s="6" t="inlineStr">
        <is>
          <t>是</t>
        </is>
      </c>
      <c r="S186" s="6" t="n"/>
      <c r="T186" s="6" t="n"/>
      <c r="U186" s="6" t="n">
        <v>131.1</v>
      </c>
      <c r="V186" s="6" t="inlineStr">
        <is>
          <t>无</t>
        </is>
      </c>
      <c r="W186" s="6" t="n"/>
    </row>
    <row r="187">
      <c r="A187" s="6" t="inlineStr">
        <is>
          <t>P018</t>
        </is>
      </c>
      <c r="B187" s="6" t="n">
        <v>2</v>
      </c>
      <c r="C187" s="6" t="inlineStr">
        <is>
          <t>方法A</t>
        </is>
      </c>
      <c r="D187" s="6" t="inlineStr">
        <is>
          <t>One-Euro</t>
        </is>
      </c>
      <c r="E187" s="6" t="n"/>
      <c r="F187" s="6" t="n">
        <v>1</v>
      </c>
      <c r="G187" s="6" t="n">
        <v>3</v>
      </c>
      <c r="H187" s="6" t="n">
        <v>2</v>
      </c>
      <c r="I187" s="6" t="n">
        <v>5</v>
      </c>
      <c r="J187" s="6" t="n">
        <v>2</v>
      </c>
      <c r="K187" s="6" t="n">
        <v>2</v>
      </c>
      <c r="L187" s="6" t="n">
        <v>4</v>
      </c>
      <c r="M187" s="6" t="n">
        <v>2</v>
      </c>
      <c r="N187" s="6" t="n">
        <v>4</v>
      </c>
      <c r="O187" s="6" t="n">
        <v>3</v>
      </c>
      <c r="P187" s="6" t="n">
        <v>3</v>
      </c>
      <c r="Q187" s="6" t="n">
        <v>4</v>
      </c>
      <c r="R187" s="6" t="inlineStr">
        <is>
          <t>是</t>
        </is>
      </c>
      <c r="S187" s="6" t="n"/>
      <c r="T187" s="6" t="n"/>
      <c r="U187" s="6" t="n">
        <v>136.4</v>
      </c>
      <c r="V187" s="6" t="inlineStr">
        <is>
          <t>无</t>
        </is>
      </c>
      <c r="W187" s="6" t="n"/>
    </row>
    <row r="188">
      <c r="A188" s="6" t="inlineStr">
        <is>
          <t>P019</t>
        </is>
      </c>
      <c r="B188" s="6" t="n">
        <v>1</v>
      </c>
      <c r="C188" s="6" t="inlineStr">
        <is>
          <t>方法A</t>
        </is>
      </c>
      <c r="D188" s="6" t="inlineStr">
        <is>
          <t>EgoAnchor</t>
        </is>
      </c>
      <c r="E188" s="6" t="n">
        <v>3</v>
      </c>
      <c r="F188" s="6" t="n">
        <v>4</v>
      </c>
      <c r="G188" s="6" t="n">
        <v>2</v>
      </c>
      <c r="H188" s="6" t="n">
        <v>3</v>
      </c>
      <c r="I188" s="6" t="n">
        <v>3</v>
      </c>
      <c r="J188" s="6" t="n">
        <v>4</v>
      </c>
      <c r="K188" s="6" t="n">
        <v>4</v>
      </c>
      <c r="L188" s="6" t="n">
        <v>3</v>
      </c>
      <c r="M188" s="6" t="n">
        <v>4</v>
      </c>
      <c r="N188" s="6" t="n">
        <v>2</v>
      </c>
      <c r="O188" s="6" t="n">
        <v>6</v>
      </c>
      <c r="P188" s="6" t="n">
        <v>5</v>
      </c>
      <c r="Q188" s="6" t="n">
        <v>4</v>
      </c>
      <c r="R188" s="6" t="inlineStr">
        <is>
          <t>是</t>
        </is>
      </c>
      <c r="S188" s="6" t="n"/>
      <c r="T188" s="6" t="n"/>
      <c r="U188" s="6" t="n">
        <v>245.3</v>
      </c>
      <c r="V188" s="6" t="inlineStr">
        <is>
          <t>无</t>
        </is>
      </c>
      <c r="W188" s="6" t="n"/>
    </row>
    <row r="189">
      <c r="A189" s="6" t="inlineStr">
        <is>
          <t>P019</t>
        </is>
      </c>
      <c r="B189" s="6" t="n">
        <v>2</v>
      </c>
      <c r="C189" s="6" t="inlineStr">
        <is>
          <t>方法B</t>
        </is>
      </c>
      <c r="D189" s="6" t="inlineStr">
        <is>
          <t>One-Euro</t>
        </is>
      </c>
      <c r="E189" s="6" t="n">
        <v>2</v>
      </c>
      <c r="F189" s="6" t="n">
        <v>3</v>
      </c>
      <c r="G189" s="6" t="n">
        <v>2</v>
      </c>
      <c r="H189" s="6" t="n">
        <v>2</v>
      </c>
      <c r="I189" s="6" t="n">
        <v>3</v>
      </c>
      <c r="J189" s="6" t="n">
        <v>3</v>
      </c>
      <c r="K189" s="6" t="n">
        <v>3</v>
      </c>
      <c r="L189" s="6" t="n">
        <v>3</v>
      </c>
      <c r="M189" s="6" t="n">
        <v>3</v>
      </c>
      <c r="N189" s="6" t="n">
        <v>4</v>
      </c>
      <c r="O189" s="6" t="n">
        <v>5</v>
      </c>
      <c r="P189" s="6" t="n">
        <v>5</v>
      </c>
      <c r="Q189" s="6" t="n">
        <v>3</v>
      </c>
      <c r="R189" s="6" t="inlineStr">
        <is>
          <t>是</t>
        </is>
      </c>
      <c r="S189" s="6" t="n"/>
      <c r="T189" s="6" t="n"/>
      <c r="U189" s="6" t="n">
        <v>241.9</v>
      </c>
      <c r="V189" s="6" t="inlineStr">
        <is>
          <t>无</t>
        </is>
      </c>
      <c r="W189" s="6" t="n"/>
    </row>
    <row r="190">
      <c r="A190" s="6" t="inlineStr">
        <is>
          <t>P020</t>
        </is>
      </c>
      <c r="B190" s="6" t="n">
        <v>1</v>
      </c>
      <c r="C190" s="6" t="inlineStr">
        <is>
          <t>方法B</t>
        </is>
      </c>
      <c r="D190" s="6" t="inlineStr">
        <is>
          <t>One-Euro</t>
        </is>
      </c>
      <c r="E190" s="6" t="n">
        <v>2</v>
      </c>
      <c r="F190" s="6" t="n">
        <v>2</v>
      </c>
      <c r="G190" s="6" t="n">
        <v>4</v>
      </c>
      <c r="H190" s="6" t="n">
        <v>2</v>
      </c>
      <c r="I190" s="6" t="n">
        <v>4</v>
      </c>
      <c r="J190" s="6" t="n">
        <v>2</v>
      </c>
      <c r="K190" s="6" t="n">
        <v>1</v>
      </c>
      <c r="L190" s="6" t="n">
        <v>4</v>
      </c>
      <c r="M190" s="6" t="n">
        <v>1</v>
      </c>
      <c r="N190" s="6" t="n">
        <v>4</v>
      </c>
      <c r="O190" s="6" t="n">
        <v>2</v>
      </c>
      <c r="P190" s="6" t="n">
        <v>4</v>
      </c>
      <c r="Q190" s="6" t="n">
        <v>3</v>
      </c>
      <c r="R190" s="6" t="inlineStr">
        <is>
          <t>是</t>
        </is>
      </c>
      <c r="S190" s="6" t="n"/>
      <c r="T190" s="6" t="n"/>
      <c r="U190" s="6" t="n">
        <v>187.6</v>
      </c>
      <c r="V190" s="6" t="inlineStr">
        <is>
          <t>无</t>
        </is>
      </c>
      <c r="W190" s="6" t="n"/>
    </row>
    <row r="191">
      <c r="A191" s="6" t="inlineStr">
        <is>
          <t>P020</t>
        </is>
      </c>
      <c r="B191" s="6" t="n">
        <v>2</v>
      </c>
      <c r="C191" s="6" t="inlineStr">
        <is>
          <t>方法A</t>
        </is>
      </c>
      <c r="D191" s="6" t="inlineStr">
        <is>
          <t>EgoAnchor</t>
        </is>
      </c>
      <c r="E191" s="6" t="n">
        <v>3</v>
      </c>
      <c r="F191" s="6" t="n">
        <v>3</v>
      </c>
      <c r="G191" s="6" t="n">
        <v>3</v>
      </c>
      <c r="H191" s="6" t="n">
        <v>3</v>
      </c>
      <c r="I191" s="6" t="n">
        <v>4</v>
      </c>
      <c r="J191" s="6" t="n">
        <v>3</v>
      </c>
      <c r="K191" s="6" t="n">
        <v>3</v>
      </c>
      <c r="L191" s="6" t="n">
        <v>5</v>
      </c>
      <c r="M191" s="6" t="n">
        <v>1</v>
      </c>
      <c r="N191" s="6" t="n">
        <v>4</v>
      </c>
      <c r="O191" s="6" t="n">
        <v>3</v>
      </c>
      <c r="P191" s="6" t="n">
        <v>3</v>
      </c>
      <c r="Q191" s="6" t="n">
        <v>4</v>
      </c>
      <c r="R191" s="6" t="inlineStr">
        <is>
          <t>是</t>
        </is>
      </c>
      <c r="S191" s="6" t="n"/>
      <c r="T191" s="6" t="n"/>
      <c r="U191" s="6" t="n">
        <v>140.2</v>
      </c>
      <c r="V191" s="6" t="inlineStr">
        <is>
          <t>无</t>
        </is>
      </c>
      <c r="W191" s="6" t="n"/>
    </row>
    <row r="192">
      <c r="A192" s="6" t="inlineStr">
        <is>
          <t>P021</t>
        </is>
      </c>
      <c r="B192" s="6" t="n">
        <v>1</v>
      </c>
      <c r="C192" s="6" t="inlineStr">
        <is>
          <t>方法A</t>
        </is>
      </c>
      <c r="D192" s="6" t="inlineStr">
        <is>
          <t>EgoAnchor</t>
        </is>
      </c>
      <c r="E192" s="6" t="n">
        <v>5</v>
      </c>
      <c r="F192" s="6" t="n">
        <v>5</v>
      </c>
      <c r="G192" s="6" t="n">
        <v>2</v>
      </c>
      <c r="H192" s="6" t="n">
        <v>5</v>
      </c>
      <c r="I192" s="6" t="n">
        <v>1</v>
      </c>
      <c r="J192" s="6" t="n">
        <v>3</v>
      </c>
      <c r="K192" s="6" t="n">
        <v>5</v>
      </c>
      <c r="L192" s="6" t="n">
        <v>1</v>
      </c>
      <c r="M192" s="6" t="n">
        <v>4</v>
      </c>
      <c r="N192" s="6" t="n">
        <v>1</v>
      </c>
      <c r="O192" s="6" t="n">
        <v>5</v>
      </c>
      <c r="P192" s="6" t="n">
        <v>7</v>
      </c>
      <c r="Q192" s="6" t="n">
        <v>6</v>
      </c>
      <c r="R192" s="6" t="inlineStr">
        <is>
          <t>是</t>
        </is>
      </c>
      <c r="S192" s="6" t="n"/>
      <c r="T192" s="6" t="n"/>
      <c r="U192" s="6" t="n">
        <v>142.9</v>
      </c>
      <c r="V192" s="6" t="inlineStr">
        <is>
          <t>无</t>
        </is>
      </c>
      <c r="W192" s="6" t="n"/>
    </row>
    <row r="193">
      <c r="A193" s="6" t="inlineStr">
        <is>
          <t>P021</t>
        </is>
      </c>
      <c r="B193" s="6" t="n">
        <v>2</v>
      </c>
      <c r="C193" s="6" t="inlineStr">
        <is>
          <t>方法B</t>
        </is>
      </c>
      <c r="D193" s="6" t="inlineStr">
        <is>
          <t>One-Euro</t>
        </is>
      </c>
      <c r="E193" s="6" t="n">
        <v>2</v>
      </c>
      <c r="F193" s="6" t="n">
        <v>4</v>
      </c>
      <c r="G193" s="6" t="n">
        <v>3</v>
      </c>
      <c r="H193" s="6" t="n">
        <v>3</v>
      </c>
      <c r="I193" s="6" t="n">
        <v>3</v>
      </c>
      <c r="J193" s="6" t="n">
        <v>2</v>
      </c>
      <c r="K193" s="6" t="n">
        <v>3</v>
      </c>
      <c r="L193" s="6" t="n">
        <v>3</v>
      </c>
      <c r="M193" s="6" t="n">
        <v>2</v>
      </c>
      <c r="N193" s="6" t="n">
        <v>4</v>
      </c>
      <c r="O193" s="6" t="n">
        <v>4</v>
      </c>
      <c r="P193" s="6" t="n">
        <v>4</v>
      </c>
      <c r="Q193" s="6" t="n">
        <v>2</v>
      </c>
      <c r="R193" s="6" t="inlineStr">
        <is>
          <t>是</t>
        </is>
      </c>
      <c r="S193" s="6" t="n"/>
      <c r="T193" s="6" t="n"/>
      <c r="U193" s="6" t="n">
        <v>121.3</v>
      </c>
      <c r="V193" s="6" t="inlineStr">
        <is>
          <t>无</t>
        </is>
      </c>
      <c r="W193" s="6" t="n"/>
    </row>
    <row r="194">
      <c r="A194" s="6" t="inlineStr">
        <is>
          <t>P022</t>
        </is>
      </c>
      <c r="B194" s="6" t="n">
        <v>1</v>
      </c>
      <c r="C194" s="6" t="inlineStr">
        <is>
          <t>方法A</t>
        </is>
      </c>
      <c r="D194" s="6" t="inlineStr">
        <is>
          <t>EgoAnchor</t>
        </is>
      </c>
      <c r="E194" s="6" t="n">
        <v>3</v>
      </c>
      <c r="F194" s="6" t="n">
        <v>4</v>
      </c>
      <c r="G194" s="6" t="n">
        <v>2</v>
      </c>
      <c r="H194" s="6" t="n">
        <v>2</v>
      </c>
      <c r="I194" s="6" t="n">
        <v>3</v>
      </c>
      <c r="J194" s="6" t="n">
        <v>3</v>
      </c>
      <c r="K194" s="6" t="n">
        <v>2</v>
      </c>
      <c r="L194" s="6" t="n">
        <v>3</v>
      </c>
      <c r="M194" s="6" t="n">
        <v>3</v>
      </c>
      <c r="N194" s="6" t="n">
        <v>4</v>
      </c>
      <c r="O194" s="6" t="n">
        <v>4</v>
      </c>
      <c r="P194" s="6" t="n">
        <v>4</v>
      </c>
      <c r="Q194" s="6" t="n">
        <v>4</v>
      </c>
      <c r="R194" s="6" t="inlineStr">
        <is>
          <t>是</t>
        </is>
      </c>
      <c r="S194" s="6" t="n"/>
      <c r="T194" s="6" t="n"/>
      <c r="U194" s="6" t="n">
        <v>209.8</v>
      </c>
      <c r="V194" s="6" t="inlineStr">
        <is>
          <t>无</t>
        </is>
      </c>
      <c r="W194" s="6" t="n"/>
    </row>
    <row r="195">
      <c r="A195" s="6" t="inlineStr">
        <is>
          <t>P022</t>
        </is>
      </c>
      <c r="B195" s="6" t="n">
        <v>2</v>
      </c>
      <c r="C195" s="6" t="inlineStr">
        <is>
          <t>方法B</t>
        </is>
      </c>
      <c r="D195" s="6" t="inlineStr">
        <is>
          <t>One-Euro</t>
        </is>
      </c>
      <c r="E195" s="6" t="n">
        <v>3</v>
      </c>
      <c r="F195" s="6" t="n">
        <v>3</v>
      </c>
      <c r="G195" s="6" t="n">
        <v>3</v>
      </c>
      <c r="H195" s="6" t="n">
        <v>2</v>
      </c>
      <c r="I195" s="6" t="n">
        <v>3</v>
      </c>
      <c r="J195" s="6" t="n">
        <v>3</v>
      </c>
      <c r="K195" s="6" t="n">
        <v>2</v>
      </c>
      <c r="L195" s="6" t="n">
        <v>3</v>
      </c>
      <c r="M195" s="6" t="n">
        <v>3</v>
      </c>
      <c r="N195" s="6" t="n">
        <v>4</v>
      </c>
      <c r="O195" s="6" t="n">
        <v>4</v>
      </c>
      <c r="P195" s="6" t="n">
        <v>3</v>
      </c>
      <c r="Q195" s="6" t="n">
        <v>3</v>
      </c>
      <c r="R195" s="6" t="inlineStr">
        <is>
          <t>是</t>
        </is>
      </c>
      <c r="S195" s="6" t="n"/>
      <c r="T195" s="6" t="n"/>
      <c r="U195" s="6" t="n">
        <v>194.3</v>
      </c>
      <c r="V195" s="6" t="inlineStr">
        <is>
          <t>无</t>
        </is>
      </c>
      <c r="W195" s="6" t="n"/>
    </row>
    <row r="196">
      <c r="A196" s="6" t="inlineStr">
        <is>
          <t>P023</t>
        </is>
      </c>
      <c r="B196" s="6" t="n">
        <v>1</v>
      </c>
      <c r="C196" s="6" t="inlineStr">
        <is>
          <t>方法A</t>
        </is>
      </c>
      <c r="D196" s="6" t="inlineStr">
        <is>
          <t>One-Euro</t>
        </is>
      </c>
      <c r="E196" s="6" t="n">
        <v>4</v>
      </c>
      <c r="F196" s="6" t="n">
        <v>5</v>
      </c>
      <c r="G196" s="6" t="n">
        <v>2</v>
      </c>
      <c r="H196" s="6" t="n">
        <v>4</v>
      </c>
      <c r="I196" s="6" t="n">
        <v>2</v>
      </c>
      <c r="J196" s="6" t="n">
        <v>4</v>
      </c>
      <c r="K196" s="6" t="n">
        <v>4</v>
      </c>
      <c r="L196" s="6" t="n">
        <v>1</v>
      </c>
      <c r="M196" s="6" t="n">
        <v>4</v>
      </c>
      <c r="N196" s="6" t="n">
        <v>2</v>
      </c>
      <c r="O196" s="6" t="n">
        <v>7</v>
      </c>
      <c r="P196" s="6" t="n">
        <v>7</v>
      </c>
      <c r="Q196" s="6" t="n">
        <v>5</v>
      </c>
      <c r="R196" s="6" t="inlineStr">
        <is>
          <t>是</t>
        </is>
      </c>
      <c r="S196" s="6" t="n"/>
      <c r="T196" s="6" t="n"/>
      <c r="U196" s="6" t="n">
        <v>114.5</v>
      </c>
      <c r="V196" s="6" t="inlineStr">
        <is>
          <t>无</t>
        </is>
      </c>
      <c r="W196" s="6" t="n"/>
    </row>
    <row r="197">
      <c r="A197" s="6" t="inlineStr">
        <is>
          <t>P023</t>
        </is>
      </c>
      <c r="B197" s="6" t="n">
        <v>2</v>
      </c>
      <c r="C197" s="6" t="inlineStr">
        <is>
          <t>方法B</t>
        </is>
      </c>
      <c r="D197" s="6" t="inlineStr">
        <is>
          <t>EgoAnchor</t>
        </is>
      </c>
      <c r="E197" s="6" t="n">
        <v>5</v>
      </c>
      <c r="F197" s="6" t="n">
        <v>5</v>
      </c>
      <c r="G197" s="6" t="n">
        <v>1</v>
      </c>
      <c r="H197" s="6" t="n">
        <v>5</v>
      </c>
      <c r="I197" s="6" t="n">
        <v>1</v>
      </c>
      <c r="J197" s="6" t="n">
        <v>4</v>
      </c>
      <c r="K197" s="6" t="n">
        <v>5</v>
      </c>
      <c r="L197" s="6" t="n">
        <v>1</v>
      </c>
      <c r="M197" s="6" t="n">
        <v>5</v>
      </c>
      <c r="N197" s="6" t="n">
        <v>1</v>
      </c>
      <c r="O197" s="6" t="n">
        <v>7</v>
      </c>
      <c r="P197" s="6" t="n">
        <v>7</v>
      </c>
      <c r="Q197" s="6" t="n">
        <v>6</v>
      </c>
      <c r="R197" s="6" t="inlineStr">
        <is>
          <t>是</t>
        </is>
      </c>
      <c r="S197" s="6" t="n"/>
      <c r="T197" s="6" t="n"/>
      <c r="U197" s="6" t="n">
        <v>131</v>
      </c>
      <c r="V197" s="6" t="inlineStr">
        <is>
          <t>无</t>
        </is>
      </c>
      <c r="W197" s="6" t="n"/>
    </row>
    <row r="198">
      <c r="A198" s="6" t="inlineStr">
        <is>
          <t>P024</t>
        </is>
      </c>
      <c r="B198" s="6" t="n">
        <v>1</v>
      </c>
      <c r="C198" s="6" t="inlineStr">
        <is>
          <t>方法B</t>
        </is>
      </c>
      <c r="D198" s="6" t="inlineStr">
        <is>
          <t>One-Euro</t>
        </is>
      </c>
      <c r="E198" s="6" t="n">
        <v>5</v>
      </c>
      <c r="F198" s="6" t="n">
        <v>5</v>
      </c>
      <c r="G198" s="6" t="n">
        <v>1</v>
      </c>
      <c r="H198" s="6" t="n">
        <v>5</v>
      </c>
      <c r="I198" s="6" t="n">
        <v>1</v>
      </c>
      <c r="J198" s="6" t="n">
        <v>5</v>
      </c>
      <c r="K198" s="6" t="n">
        <v>5</v>
      </c>
      <c r="L198" s="6" t="n">
        <v>1</v>
      </c>
      <c r="M198" s="6" t="n">
        <v>4</v>
      </c>
      <c r="N198" s="6" t="n">
        <v>2</v>
      </c>
      <c r="O198" s="6" t="n">
        <v>7</v>
      </c>
      <c r="P198" s="6" t="n">
        <v>7</v>
      </c>
      <c r="Q198" s="6" t="n">
        <v>7</v>
      </c>
      <c r="R198" s="6" t="inlineStr">
        <is>
          <t>是</t>
        </is>
      </c>
      <c r="S198" s="6" t="n"/>
      <c r="T198" s="6" t="n"/>
      <c r="U198" s="6" t="n">
        <v>141.8</v>
      </c>
      <c r="V198" s="6" t="inlineStr">
        <is>
          <t>无</t>
        </is>
      </c>
      <c r="W198" s="6" t="n"/>
    </row>
    <row r="199">
      <c r="A199" s="6" t="inlineStr">
        <is>
          <t>P024</t>
        </is>
      </c>
      <c r="B199" s="6" t="n">
        <v>2</v>
      </c>
      <c r="C199" s="6" t="inlineStr">
        <is>
          <t>方法A</t>
        </is>
      </c>
      <c r="D199" s="6" t="inlineStr">
        <is>
          <t>EgoAnchor</t>
        </is>
      </c>
      <c r="E199" s="6" t="n">
        <v>5</v>
      </c>
      <c r="F199" s="6" t="n">
        <v>5</v>
      </c>
      <c r="G199" s="6" t="n">
        <v>2</v>
      </c>
      <c r="H199" s="6" t="n">
        <v>5</v>
      </c>
      <c r="I199" s="6" t="n">
        <v>2</v>
      </c>
      <c r="J199" s="6" t="n">
        <v>5</v>
      </c>
      <c r="K199" s="6" t="n">
        <v>5</v>
      </c>
      <c r="L199" s="6" t="n">
        <v>1</v>
      </c>
      <c r="M199" s="6" t="n">
        <v>5</v>
      </c>
      <c r="N199" s="6" t="n">
        <v>1</v>
      </c>
      <c r="O199" s="6" t="n">
        <v>6</v>
      </c>
      <c r="P199" s="6" t="n">
        <v>7</v>
      </c>
      <c r="Q199" s="6" t="n">
        <v>7</v>
      </c>
      <c r="R199" s="6" t="inlineStr">
        <is>
          <t>是</t>
        </is>
      </c>
      <c r="S199" s="6" t="n"/>
      <c r="T199" s="6" t="n"/>
      <c r="U199" s="6" t="n">
        <v>148.2</v>
      </c>
      <c r="V199" s="6" t="inlineStr">
        <is>
          <t>无</t>
        </is>
      </c>
      <c r="W199" s="6" t="n"/>
    </row>
    <row r="201">
      <c r="A201" s="7" t="inlineStr">
        <is>
          <t>C. 最终问卷记录（摘下头显后；解码列离场后由分析代码按 Participants 映射填写）</t>
        </is>
      </c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</row>
    <row r="202">
      <c r="A202" s="9" t="inlineStr">
        <is>
          <t>Participant_ID</t>
        </is>
      </c>
      <c r="B202" s="9" t="inlineStr">
        <is>
          <t>方法选择(标签)</t>
        </is>
      </c>
      <c r="C202" s="9" t="inlineStr">
        <is>
          <t>偏好强度(1-7/NA)</t>
        </is>
      </c>
      <c r="D202" s="9" t="inlineStr">
        <is>
          <t>信任选择(标签)</t>
        </is>
      </c>
      <c r="E202" s="9" t="inlineStr">
        <is>
          <t>区分信心(1-7)</t>
        </is>
      </c>
      <c r="F202" s="9" t="inlineStr">
        <is>
          <t>开放:最明显区别</t>
        </is>
      </c>
      <c r="G202" s="9" t="inlineStr">
        <is>
          <t>开放:最破坏信任的现象</t>
        </is>
      </c>
      <c r="H202" s="9" t="inlineStr">
        <is>
          <t>结束不适</t>
        </is>
      </c>
      <c r="I202" s="9" t="inlineStr">
        <is>
          <t>方法选择(解码)</t>
        </is>
      </c>
      <c r="J202" s="9" t="inlineStr">
        <is>
          <t>信任选择(解码)</t>
        </is>
      </c>
      <c r="K202" s="9" t="inlineStr">
        <is>
          <t>访谈备注</t>
        </is>
      </c>
    </row>
    <row r="203" ht="58" customHeight="1">
      <c r="A203" s="6" t="inlineStr">
        <is>
          <t>P001</t>
        </is>
      </c>
      <c r="B203" s="6" t="inlineStr">
        <is>
          <t>方法A</t>
        </is>
      </c>
      <c r="C203" s="6" t="n">
        <v>4</v>
      </c>
      <c r="D203" s="6" t="inlineStr">
        <is>
          <t>方法A</t>
        </is>
      </c>
      <c r="E203" s="6" t="n">
        <v>4</v>
      </c>
      <c r="F203" s="10" t="inlineStr">
        <is>
          <t>一种在我头动的时候模型会跟着飘一点，尤其是我往左右挪的时候能看出来它和鼠标错开了一点；另一种就死死钉在上面。拿起来移动的时候两个都有点跟不上，感觉差不多。</t>
        </is>
      </c>
      <c r="G203" s="10" t="inlineStr">
        <is>
          <t>它明明放着没动，虚拟的东西却在那儿晃。哪怕晃得很小，我也会开始怀疑它到底知不知道东西在哪儿。</t>
        </is>
      </c>
      <c r="H203" s="6" t="inlineStr">
        <is>
          <t>无</t>
        </is>
      </c>
      <c r="I203" s="6" t="inlineStr">
        <is>
          <t>EgoAnchor</t>
        </is>
      </c>
      <c r="J203" s="6" t="inlineStr">
        <is>
          <t>EgoAnchor</t>
        </is>
      </c>
      <c r="K203" s="10" t="inlineStr">
        <is>
          <t>静止阶段主动做了额外的左右移动确认；主动询问“是不是有一个开了防抖”，未作回应。</t>
        </is>
      </c>
    </row>
    <row r="204" ht="58" customHeight="1">
      <c r="A204" s="6" t="inlineStr">
        <is>
          <t>P002</t>
        </is>
      </c>
      <c r="B204" s="6" t="inlineStr">
        <is>
          <t>无明显偏好</t>
        </is>
      </c>
      <c r="C204" s="6" t="inlineStr">
        <is>
          <t>N/A</t>
        </is>
      </c>
      <c r="D204" s="6" t="inlineStr">
        <is>
          <t>方法A</t>
        </is>
      </c>
      <c r="E204" s="6" t="n">
        <v>5</v>
      </c>
      <c r="F204" s="10" t="inlineStr">
        <is>
          <t>说实话差别不太大。可能挡住再拿开的时候，有一次那个虚拟的东西回来得有点歪，然后又自己修回去了；另一次就直接对上了。</t>
        </is>
      </c>
      <c r="G204" s="10" t="inlineStr">
        <is>
          <t>遮住再拿开以后它跳到别的地方去，哪怕马上又回来了，我也会觉得这个东西不太靠得住。</t>
        </is>
      </c>
      <c r="H204" s="6" t="inlineStr">
        <is>
          <t>轻微眼疲劳</t>
        </is>
      </c>
      <c r="I204" s="6" t="inlineStr">
        <is>
          <t>无明显偏好</t>
        </is>
      </c>
      <c r="J204" s="6" t="inlineStr">
        <is>
          <t>EgoAnchor</t>
        </is>
      </c>
      <c r="K204" s="10" t="inlineStr">
        <is>
          <t>反复表示“怕答错”，强调这是自己的主观感受；提醒无对错后作答变快。</t>
        </is>
      </c>
    </row>
    <row r="205" ht="58" customHeight="1">
      <c r="A205" s="6" t="inlineStr">
        <is>
          <t>P003</t>
        </is>
      </c>
      <c r="B205" s="6" t="inlineStr">
        <is>
          <t>方法B</t>
        </is>
      </c>
      <c r="C205" s="6" t="n">
        <v>6</v>
      </c>
      <c r="D205" s="6" t="inlineStr">
        <is>
          <t>方法B</t>
        </is>
      </c>
      <c r="E205" s="6" t="n">
        <v>7</v>
      </c>
      <c r="F205" s="10" t="inlineStr">
        <is>
          <t>第一个方法静止的时候有一层很细的抖，像呼吸一样；而且我头一动，它相对鼠标的位置会有零点几毫米级的偏移，视角回来又对上。第二个方法静止是真的静止，但我拿起来的一瞬间它起步比第一个慢，大概晚了小半拍。</t>
        </is>
      </c>
      <c r="G205" s="10" t="inlineStr">
        <is>
          <t>最怕的是误差忽大忽小。固定偏个五毫米我能自己在脑子里补偿，忽大忽小就没法补偿了，我就只能不看它。</t>
        </is>
      </c>
      <c r="H205" s="6" t="inlineStr">
        <is>
          <t>无</t>
        </is>
      </c>
      <c r="I205" s="6" t="inlineStr">
        <is>
          <t>EgoAnchor</t>
        </is>
      </c>
      <c r="J205" s="6" t="inlineStr">
        <is>
          <t>EgoAnchor</t>
        </is>
      </c>
      <c r="K205" s="10" t="inlineStr">
        <is>
          <t>明确指出“有一个起步慢”，并说这个代价可以接受；提到自己在意“可预测”而不是“绝对准”。</t>
        </is>
      </c>
    </row>
    <row r="206" ht="58" customHeight="1">
      <c r="A206" s="6" t="inlineStr">
        <is>
          <t>P004</t>
        </is>
      </c>
      <c r="B206" s="6" t="inlineStr">
        <is>
          <t>方法A</t>
        </is>
      </c>
      <c r="C206" s="6" t="n">
        <v>5</v>
      </c>
      <c r="D206" s="6" t="inlineStr">
        <is>
          <t>方法A</t>
        </is>
      </c>
      <c r="E206" s="6" t="n">
        <v>6</v>
      </c>
      <c r="F206" s="10" t="inlineStr">
        <is>
          <t>有一个我拿起来的时候它反应更快一点，我一动它就跟着动；另一个好像要等一下才追上来，虽然追上以后更稳。我个人更喜欢跟得紧的那个。</t>
        </is>
      </c>
      <c r="G206" s="10" t="inlineStr">
        <is>
          <t>我一动它半天不动，那种“慢半拍”的感觉最让我出戏，会觉得它其实不知道我在干什么。</t>
        </is>
      </c>
      <c r="H206" s="6" t="inlineStr">
        <is>
          <t>无</t>
        </is>
      </c>
      <c r="I206" s="6" t="inlineStr">
        <is>
          <t>One-Euro</t>
        </is>
      </c>
      <c r="J206" s="6" t="inlineStr">
        <is>
          <t>One-Euro</t>
        </is>
      </c>
      <c r="K206" s="10" t="inlineStr">
        <is>
          <t>手柄区块用左手握持、右手持控制器，操作顺畅；明确表示更看重响应而非稳定。</t>
        </is>
      </c>
    </row>
    <row r="207" ht="58" customHeight="1">
      <c r="A207" s="6" t="inlineStr">
        <is>
          <t>P005</t>
        </is>
      </c>
      <c r="B207" s="6" t="inlineStr">
        <is>
          <t>方法A</t>
        </is>
      </c>
      <c r="C207" s="6" t="n">
        <v>5</v>
      </c>
      <c r="D207" s="6" t="inlineStr">
        <is>
          <t>方法A</t>
        </is>
      </c>
      <c r="E207" s="6" t="n">
        <v>7</v>
      </c>
      <c r="F207" s="10" t="inlineStr">
        <is>
          <t>区别主要在两处：一是静止时的稳定性，二是遮挡拿开以后回来的位置准不准。有一次其中一个方法回来以后明显偏了一截，停了一下才慢慢挪回去；另一个基本是直接就在正确位置上了。</t>
        </is>
      </c>
      <c r="G207" s="10" t="inlineStr">
        <is>
          <t>遮挡以后恢复到一个错的位置，而且它自己还挺“自信”地停在那儿。这种情况下我就完全不敢按它指的地方去拿东西了。</t>
        </is>
      </c>
      <c r="H207" s="6" t="inlineStr">
        <is>
          <t>无</t>
        </is>
      </c>
      <c r="I207" s="6" t="inlineStr">
        <is>
          <t>EgoAnchor</t>
        </is>
      </c>
      <c r="J207" s="6" t="inlineStr">
        <is>
          <t>EgoAnchor</t>
        </is>
      </c>
      <c r="K207" s="10" t="inlineStr">
        <is>
          <t>能准确复述两方法在三个物体上的差异；对手柄的按键区域观察最细。</t>
        </is>
      </c>
    </row>
    <row r="208" ht="58" customHeight="1">
      <c r="A208" s="6" t="inlineStr">
        <is>
          <t>P006</t>
        </is>
      </c>
      <c r="B208" s="6" t="inlineStr">
        <is>
          <t>无明显偏好</t>
        </is>
      </c>
      <c r="C208" s="6" t="inlineStr">
        <is>
          <t>N/A</t>
        </is>
      </c>
      <c r="D208" s="6" t="inlineStr">
        <is>
          <t>无明显偏好</t>
        </is>
      </c>
      <c r="E208" s="6" t="n">
        <v>5</v>
      </c>
      <c r="F208" s="10" t="inlineStr">
        <is>
          <t>我感觉两个差不多？可能有一个稍微稳一点点，但我不太确定，也可能是我第二次看已经习惯了。</t>
        </is>
      </c>
      <c r="G208" s="10" t="inlineStr">
        <is>
          <t>如果它整个跑到桌子外面去了那肯定不信了，但刚才没有出现这种情况。</t>
        </is>
      </c>
      <c r="H208" s="6" t="inlineStr">
        <is>
          <t>轻微眼疲劳</t>
        </is>
      </c>
      <c r="I208" s="6" t="inlineStr">
        <is>
          <t>无明显偏好</t>
        </is>
      </c>
      <c r="J208" s="6" t="inlineStr">
        <is>
          <t>无明显偏好</t>
        </is>
      </c>
      <c r="K208" s="10" t="inlineStr">
        <is>
          <t>多次表示“两个都挺好”；作答速度最慢，属于典型天花板+低区分度个体。</t>
        </is>
      </c>
    </row>
    <row r="209" ht="58" customHeight="1">
      <c r="A209" s="6" t="inlineStr">
        <is>
          <t>P007</t>
        </is>
      </c>
      <c r="B209" s="6" t="inlineStr">
        <is>
          <t>方法B</t>
        </is>
      </c>
      <c r="C209" s="6" t="n">
        <v>5</v>
      </c>
      <c r="D209" s="6" t="inlineStr">
        <is>
          <t>方法B</t>
        </is>
      </c>
      <c r="E209" s="6" t="n">
        <v>5</v>
      </c>
      <c r="F209" s="10" t="inlineStr">
        <is>
          <t>两个都还不到我认为“贴合”的程度，但其中一个明显更收敛。差别最大的是订书机，边缘是直线，一偏就看得出来；鼠标是弧面，反而不容易看出来。</t>
        </is>
      </c>
      <c r="G209" s="10" t="inlineStr">
        <is>
          <t>边缘对不上。直边最诚实，它偏两毫米我就知道它偏了。</t>
        </is>
      </c>
      <c r="H209" s="6" t="inlineStr">
        <is>
          <t>无</t>
        </is>
      </c>
      <c r="I209" s="6" t="inlineStr">
        <is>
          <t>EgoAnchor</t>
        </is>
      </c>
      <c r="J209" s="6" t="inlineStr">
        <is>
          <t>EgoAnchor</t>
        </is>
      </c>
      <c r="K209" s="10" t="inlineStr">
        <is>
          <t>全程用“公差”“收敛”描述；提醒他按主观感受作答后仍保持保守评分。</t>
        </is>
      </c>
    </row>
    <row r="210" ht="58" customHeight="1">
      <c r="A210" s="6" t="inlineStr">
        <is>
          <t>P008</t>
        </is>
      </c>
      <c r="B210" s="6" t="inlineStr">
        <is>
          <t>方法A</t>
        </is>
      </c>
      <c r="C210" s="6" t="n">
        <v>4</v>
      </c>
      <c r="D210" s="6" t="inlineStr">
        <is>
          <t>方法A</t>
        </is>
      </c>
      <c r="E210" s="6" t="n">
        <v>4</v>
      </c>
      <c r="F210" s="10" t="inlineStr">
        <is>
          <t>转的时候差别最大。有一个方法我把手柄侧过来，虚拟的那层会稍微“滞后一点角度”，像是拧慢了一点；另一个基本咬得住。静止的时候也是后者更干净。</t>
        </is>
      </c>
      <c r="G210" s="10" t="inlineStr">
        <is>
          <t>朝向错了比位置错了更难受。位置偏一点我还当它是标注，朝向错了就完全是另一个东西了。</t>
        </is>
      </c>
      <c r="H210" s="6" t="inlineStr">
        <is>
          <t>无</t>
        </is>
      </c>
      <c r="I210" s="6" t="inlineStr">
        <is>
          <t>EgoAnchor</t>
        </is>
      </c>
      <c r="J210" s="6" t="inlineStr">
        <is>
          <t>EgoAnchor</t>
        </is>
      </c>
      <c r="K210" s="10" t="inlineStr">
        <is>
          <t>主动要求多转两次手柄确认；旋转通道评分区分度最高。</t>
        </is>
      </c>
    </row>
    <row r="211" ht="58" customHeight="1">
      <c r="A211" s="6" t="inlineStr">
        <is>
          <t>P009</t>
        </is>
      </c>
      <c r="B211" s="6" t="inlineStr">
        <is>
          <t>方法B</t>
        </is>
      </c>
      <c r="C211" s="6" t="n">
        <v>4</v>
      </c>
      <c r="D211" s="6" t="inlineStr">
        <is>
          <t>方法B</t>
        </is>
      </c>
      <c r="E211" s="6" t="n">
        <v>4</v>
      </c>
      <c r="F211" s="10" t="inlineStr">
        <is>
          <t>遮挡那一下能看出区别。挡板拿开的时候，有一次它先跳了一下再回位，另一个就直接在那儿了。其他阶段我不太说得清。</t>
        </is>
      </c>
      <c r="G211" s="10" t="inlineStr">
        <is>
          <t>它跳。哪怕只跳一次，我后面就一直等着它再跳。</t>
        </is>
      </c>
      <c r="H211" s="6" t="inlineStr">
        <is>
          <t>无</t>
        </is>
      </c>
      <c r="I211" s="6" t="inlineStr">
        <is>
          <t>EgoAnchor</t>
        </is>
      </c>
      <c r="J211" s="6" t="inlineStr">
        <is>
          <t>EgoAnchor</t>
        </is>
      </c>
      <c r="K211" s="10" t="inlineStr">
        <is>
          <t>提到“一次失误就会一直提防”，是信任侵蚀叙事的典型表述。</t>
        </is>
      </c>
    </row>
    <row r="212" ht="58" customHeight="1">
      <c r="A212" s="6" t="inlineStr">
        <is>
          <t>P010</t>
        </is>
      </c>
      <c r="B212" s="6" t="inlineStr">
        <is>
          <t>无明显偏好</t>
        </is>
      </c>
      <c r="C212" s="6" t="inlineStr">
        <is>
          <t>N/A</t>
        </is>
      </c>
      <c r="D212" s="6" t="inlineStr">
        <is>
          <t>无明显偏好</t>
        </is>
      </c>
      <c r="E212" s="6" t="n">
        <v>3</v>
      </c>
      <c r="F212" s="10" t="inlineStr">
        <is>
          <t>说实话我前面两个物体没太看出来，到手柄的时候好像后面那个更稳一些。可能也是我看熟了。</t>
        </is>
      </c>
      <c r="G212" s="10" t="inlineStr">
        <is>
          <t>要是它明显不在东西上面了，我就不看它了。</t>
        </is>
      </c>
      <c r="H212" s="6" t="inlineStr">
        <is>
          <t>无</t>
        </is>
      </c>
      <c r="I212" s="6" t="inlineStr">
        <is>
          <t>无明显偏好</t>
        </is>
      </c>
      <c r="J212" s="6" t="inlineStr">
        <is>
          <t>无明显偏好</t>
        </is>
      </c>
      <c r="K212" s="10" t="inlineStr">
        <is>
          <t>训练阶段耗时最长；自述“前面在适应设备”，后期区块的区分度高于前期。</t>
        </is>
      </c>
    </row>
    <row r="213" ht="58" customHeight="1">
      <c r="A213" s="6" t="inlineStr">
        <is>
          <t>P011</t>
        </is>
      </c>
      <c r="B213" s="6" t="inlineStr">
        <is>
          <t>方法B</t>
        </is>
      </c>
      <c r="C213" s="6" t="n">
        <v>6</v>
      </c>
      <c r="D213" s="6" t="inlineStr">
        <is>
          <t>方法B</t>
        </is>
      </c>
      <c r="E213" s="6" t="n">
        <v>5</v>
      </c>
      <c r="F213" s="10" t="inlineStr">
        <is>
          <t>一个像是把观测直接用了，另一个像是做了平滑和某种“静止就钉住”的处理。所以静止时后者纹丝不动，但起步时它要先“解锁”，会晚一点。</t>
        </is>
      </c>
      <c r="G213" s="10" t="inlineStr">
        <is>
          <t>解锁太慢。如果我已经开始搬了它还钉在原地，哪怕只有零点几秒，也会让我怀疑它到底知不知道我在动。</t>
        </is>
      </c>
      <c r="H213" s="6" t="inlineStr">
        <is>
          <t>无</t>
        </is>
      </c>
      <c r="I213" s="6" t="inlineStr">
        <is>
          <t>EgoAnchor</t>
        </is>
      </c>
      <c r="J213" s="6" t="inlineStr">
        <is>
          <t>EgoAnchor</t>
        </is>
      </c>
      <c r="K213" s="10" t="inlineStr">
        <is>
          <t>**被试主动推测机制**（提到平滑与“钉住”），按协议如实记录，未向其确认。</t>
        </is>
      </c>
    </row>
    <row r="214" ht="58" customHeight="1">
      <c r="A214" s="6" t="inlineStr">
        <is>
          <t>P012</t>
        </is>
      </c>
      <c r="B214" s="6" t="inlineStr">
        <is>
          <t>方法B</t>
        </is>
      </c>
      <c r="C214" s="6" t="n">
        <v>4</v>
      </c>
      <c r="D214" s="6" t="inlineStr">
        <is>
          <t>方法B</t>
        </is>
      </c>
      <c r="E214" s="6" t="n">
        <v>4</v>
      </c>
      <c r="F214" s="10" t="inlineStr">
        <is>
          <t>主要是静止和遮挡恢复这两块。动起来的时候两个我觉得差不多，各有各的问题。</t>
        </is>
      </c>
      <c r="G214" s="10" t="inlineStr">
        <is>
          <t>虚拟的那层跟实物错开一个可见的距离，尤其是错开还不动的时候。</t>
        </is>
      </c>
      <c r="H214" s="6" t="inlineStr">
        <is>
          <t>轻微头晕（休息 5 min 后缓解）</t>
        </is>
      </c>
      <c r="I214" s="6" t="inlineStr">
        <is>
          <t>EgoAnchor</t>
        </is>
      </c>
      <c r="J214" s="6" t="inlineStr">
        <is>
          <t>EgoAnchor</t>
        </is>
      </c>
      <c r="K214" s="10" t="inlineStr">
        <is>
          <t>无异常；可作为“平均参与者”参照。</t>
        </is>
      </c>
    </row>
    <row r="215" ht="58" customHeight="1">
      <c r="A215" s="6" t="inlineStr">
        <is>
          <t>P013</t>
        </is>
      </c>
      <c r="B215" s="6" t="inlineStr">
        <is>
          <t>无明显偏好</t>
        </is>
      </c>
      <c r="C215" s="6" t="inlineStr">
        <is>
          <t>N/A</t>
        </is>
      </c>
      <c r="D215" s="6" t="inlineStr">
        <is>
          <t>无明显偏好</t>
        </is>
      </c>
      <c r="E215" s="6" t="n">
        <v>4</v>
      </c>
      <c r="F215" s="10" t="inlineStr">
        <is>
          <t>都挺不错的。后面那个可能更稳当一点点吧，但我不太确定是不是我看错。</t>
        </is>
      </c>
      <c r="G215" s="10" t="inlineStr">
        <is>
          <t>整块飘走的话就不行了，其他小问题我觉得可以接受。</t>
        </is>
      </c>
      <c r="H215" s="6" t="inlineStr">
        <is>
          <t>无</t>
        </is>
      </c>
      <c r="I215" s="6" t="inlineStr">
        <is>
          <t>无明显偏好</t>
        </is>
      </c>
      <c r="J215" s="6" t="inlineStr">
        <is>
          <t>无明显偏好</t>
        </is>
      </c>
      <c r="K215" s="10" t="inlineStr">
        <is>
          <t>**默许倾向最强**；其配对差主要来自区块内相对高低，绝对水平贴天花板。</t>
        </is>
      </c>
    </row>
    <row r="216" ht="58" customHeight="1">
      <c r="A216" s="6" t="inlineStr">
        <is>
          <t>P014</t>
        </is>
      </c>
      <c r="B216" s="6" t="inlineStr">
        <is>
          <t>无明显偏好</t>
        </is>
      </c>
      <c r="C216" s="6" t="inlineStr">
        <is>
          <t>N/A</t>
        </is>
      </c>
      <c r="D216" s="6" t="inlineStr">
        <is>
          <t>方法B</t>
        </is>
      </c>
      <c r="E216" s="6" t="n">
        <v>4</v>
      </c>
      <c r="F216" s="10" t="inlineStr">
        <is>
          <t>有一个方法虚拟的轮廓明显是套在鼠标上的，另一个像是套在鼠标旁边半厘米的地方。位置这件事我看得很清楚。</t>
        </is>
      </c>
      <c r="G216" s="10" t="inlineStr">
        <is>
          <t>它看着很稳，但稳在错的地方——这个最糟。稳定的错误比抖动更容易骗人。</t>
        </is>
      </c>
      <c r="H216" s="6" t="inlineStr">
        <is>
          <t>无</t>
        </is>
      </c>
      <c r="I216" s="6" t="inlineStr">
        <is>
          <t>无明显偏好</t>
        </is>
      </c>
      <c r="J216" s="6" t="inlineStr">
        <is>
          <t>EgoAnchor</t>
        </is>
      </c>
      <c r="K216" s="10" t="inlineStr">
        <is>
          <t>自发说出 Q1/Q8 的正交性（“稳在错的地方”），支持问卷分列设计。</t>
        </is>
      </c>
    </row>
    <row r="217" ht="58" customHeight="1">
      <c r="A217" s="6" t="inlineStr">
        <is>
          <t>P015</t>
        </is>
      </c>
      <c r="B217" s="6" t="inlineStr">
        <is>
          <t>方法A</t>
        </is>
      </c>
      <c r="C217" s="6" t="n">
        <v>4</v>
      </c>
      <c r="D217" s="6" t="inlineStr">
        <is>
          <t>方法A</t>
        </is>
      </c>
      <c r="E217" s="6" t="n">
        <v>5</v>
      </c>
      <c r="F217" s="10" t="inlineStr">
        <is>
          <t>静止的时候差得最多，一个几乎是死的，另一个一直在微微游。搬起来之后两个都会慢半拍，但慢的方式不一样。</t>
        </is>
      </c>
      <c r="G217" s="10" t="inlineStr">
        <is>
          <t>它一直在微微地动。哪怕幅度很小，只要不停我就没法当它是“钉在上面”。</t>
        </is>
      </c>
      <c r="H217" s="6" t="inlineStr">
        <is>
          <t>轻微眼疲劳</t>
        </is>
      </c>
      <c r="I217" s="6" t="inlineStr">
        <is>
          <t>EgoAnchor</t>
        </is>
      </c>
      <c r="J217" s="6" t="inlineStr">
        <is>
          <t>EgoAnchor</t>
        </is>
      </c>
      <c r="K217" s="10" t="inlineStr">
        <is>
          <t>手柄区块自述握持不顺手，已记录为审计信息；未作废。</t>
        </is>
      </c>
    </row>
    <row r="218" ht="58" customHeight="1">
      <c r="A218" s="6" t="inlineStr">
        <is>
          <t>P016</t>
        </is>
      </c>
      <c r="B218" s="6" t="inlineStr">
        <is>
          <t>方法A</t>
        </is>
      </c>
      <c r="C218" s="6" t="n">
        <v>6</v>
      </c>
      <c r="D218" s="6" t="inlineStr">
        <is>
          <t>方法A</t>
        </is>
      </c>
      <c r="E218" s="6" t="n">
        <v>6</v>
      </c>
      <c r="F218" s="10" t="inlineStr">
        <is>
          <t>一个跟手，一个更稳。我拿起来的时候前者立刻跟上，后者要愣一下。稳我可以忍，愣一下会让我以为它掉了。</t>
        </is>
      </c>
      <c r="G218" s="10" t="inlineStr">
        <is>
          <t>我动了它没动。那一瞬间我会以为跟丢了，等它追上来我已经不信它了。</t>
        </is>
      </c>
      <c r="H218" s="6" t="inlineStr">
        <is>
          <t>无</t>
        </is>
      </c>
      <c r="I218" s="6" t="inlineStr">
        <is>
          <t>EgoAnchor</t>
        </is>
      </c>
      <c r="J218" s="6" t="inlineStr">
        <is>
          <t>EgoAnchor</t>
        </is>
      </c>
      <c r="K218" s="10" t="inlineStr">
        <is>
          <t>**偏好 One-Euro 的典型个体**：区块级稳定项给分低于均值，但响应/平衡项反向；支持 Q7 权衡叙事。</t>
        </is>
      </c>
    </row>
    <row r="219" ht="58" customHeight="1">
      <c r="A219" s="6" t="inlineStr">
        <is>
          <t>P017</t>
        </is>
      </c>
      <c r="B219" s="6" t="inlineStr">
        <is>
          <t>方法B</t>
        </is>
      </c>
      <c r="C219" s="6" t="n">
        <v>4</v>
      </c>
      <c r="D219" s="6" t="inlineStr">
        <is>
          <t>方法B</t>
        </is>
      </c>
      <c r="E219" s="6" t="n">
        <v>6</v>
      </c>
      <c r="F219" s="10" t="inlineStr">
        <is>
          <t>遮挡之后回来的样子不一样。一个是“回到原位”，一个是“找回原位”，后者中间有一小段在找。</t>
        </is>
      </c>
      <c r="G219" s="10" t="inlineStr">
        <is>
          <t>它要找一会儿才回来。那一小段时间我不知道它在干什么。</t>
        </is>
      </c>
      <c r="H219" s="6" t="inlineStr">
        <is>
          <t>无</t>
        </is>
      </c>
      <c r="I219" s="6" t="inlineStr">
        <is>
          <t>EgoAnchor</t>
        </is>
      </c>
      <c r="J219" s="6" t="inlineStr">
        <is>
          <t>EgoAnchor</t>
        </is>
      </c>
      <c r="K219" s="10" t="inlineStr">
        <is>
          <t>用“回到/找回”区分两方法恢复行为，措辞被记入开放题主题 recovery_jump。</t>
        </is>
      </c>
    </row>
    <row r="220" ht="58" customHeight="1">
      <c r="A220" s="6" t="inlineStr">
        <is>
          <t>P018</t>
        </is>
      </c>
      <c r="B220" s="6" t="inlineStr">
        <is>
          <t>方法B</t>
        </is>
      </c>
      <c r="C220" s="6" t="n">
        <v>5</v>
      </c>
      <c r="D220" s="6" t="inlineStr">
        <is>
          <t>方法B</t>
        </is>
      </c>
      <c r="E220" s="6" t="n">
        <v>6</v>
      </c>
      <c r="F220" s="10" t="inlineStr">
        <is>
          <t>静止和遮挡这两段区别很清楚。运动中段两者都可以接受，但起步那一下反过来——更稳的那个起步更迟。</t>
        </is>
      </c>
      <c r="G220" s="10" t="inlineStr">
        <is>
          <t>不可预测。它有时候很准有时候偏，我猜不到下一秒是哪种，这比一直偏一点更让我不敢用。</t>
        </is>
      </c>
      <c r="H220" s="6" t="inlineStr">
        <is>
          <t>无</t>
        </is>
      </c>
      <c r="I220" s="6" t="inlineStr">
        <is>
          <t>EgoAnchor</t>
        </is>
      </c>
      <c r="J220" s="6" t="inlineStr">
        <is>
          <t>EgoAnchor</t>
        </is>
      </c>
      <c r="K220" s="10" t="inlineStr">
        <is>
          <t>自发表述 TiA-U/P 的可预测性构念（“猜不到下一秒”），支持方法级量表选择。</t>
        </is>
      </c>
    </row>
    <row r="221" ht="58" customHeight="1">
      <c r="A221" s="6" t="inlineStr">
        <is>
          <t>P019</t>
        </is>
      </c>
      <c r="B221" s="6" t="inlineStr">
        <is>
          <t>方法A</t>
        </is>
      </c>
      <c r="C221" s="6" t="n">
        <v>4</v>
      </c>
      <c r="D221" s="6" t="inlineStr">
        <is>
          <t>方法A</t>
        </is>
      </c>
      <c r="E221" s="6" t="n">
        <v>5</v>
      </c>
      <c r="F221" s="10" t="inlineStr">
        <is>
          <t>说实话我看不出太大区别。可能有一个稍微稳一些，但我没有把握。</t>
        </is>
      </c>
      <c r="G221" s="10" t="inlineStr">
        <is>
          <t>如果它一直乱动我就不信了。刚才没到那个程度。</t>
        </is>
      </c>
      <c r="H221" s="6" t="inlineStr">
        <is>
          <t>颈部轻微酸胀</t>
        </is>
      </c>
      <c r="I221" s="6" t="inlineStr">
        <is>
          <t>EgoAnchor</t>
        </is>
      </c>
      <c r="J221" s="6" t="inlineStr">
        <is>
          <t>EgoAnchor</t>
        </is>
      </c>
      <c r="K221" s="10" t="inlineStr">
        <is>
          <t>**低敏感度 + 慢速作答的代表**：其区块问卷时长触发 §8 的 AQ 缩减判据讨论；配对差接近 0。</t>
        </is>
      </c>
    </row>
    <row r="222" ht="58" customHeight="1">
      <c r="A222" s="6" t="inlineStr">
        <is>
          <t>P020</t>
        </is>
      </c>
      <c r="B222" s="6" t="inlineStr">
        <is>
          <t>方法A</t>
        </is>
      </c>
      <c r="C222" s="6" t="n">
        <v>4</v>
      </c>
      <c r="D222" s="6" t="inlineStr">
        <is>
          <t>方法A</t>
        </is>
      </c>
      <c r="E222" s="6" t="n">
        <v>6</v>
      </c>
      <c r="F222" s="10" t="inlineStr">
        <is>
          <t>转动的时候朝向差别看得出来。一个跟着转得比较正，另一个转完之后角度会歪一点，要等一下才正回来。</t>
        </is>
      </c>
      <c r="G222" s="10" t="inlineStr">
        <is>
          <t>角度不对。位置差一点我能接受，方向歪了就完全不像贴在上面。</t>
        </is>
      </c>
      <c r="H222" s="6" t="inlineStr">
        <is>
          <t>无</t>
        </is>
      </c>
      <c r="I222" s="6" t="inlineStr">
        <is>
          <t>EgoAnchor</t>
        </is>
      </c>
      <c r="J222" s="6" t="inlineStr">
        <is>
          <t>EgoAnchor</t>
        </is>
      </c>
      <c r="K222" s="10" t="inlineStr">
        <is>
          <t>支持 Q9 独立测量的必要性（旋转通道不能由平移收益代表）。</t>
        </is>
      </c>
    </row>
    <row r="223" ht="58" customHeight="1">
      <c r="A223" s="6" t="inlineStr">
        <is>
          <t>P021</t>
        </is>
      </c>
      <c r="B223" s="6" t="inlineStr">
        <is>
          <t>方法A</t>
        </is>
      </c>
      <c r="C223" s="6" t="n">
        <v>6</v>
      </c>
      <c r="D223" s="6" t="inlineStr">
        <is>
          <t>方法A</t>
        </is>
      </c>
      <c r="E223" s="6" t="n">
        <v>6</v>
      </c>
      <c r="F223" s="10" t="inlineStr">
        <is>
          <t>遮挡回来那一下差别最大。一个是直接在原位出现，另一个先出现在偏一点的地方再滑回去，那个滑回去很出戏。</t>
        </is>
      </c>
      <c r="G223" s="10" t="inlineStr">
        <is>
          <t>它出现在错的地方然后自己滑回来。我看到它自己纠正，就知道它刚才是错的。</t>
        </is>
      </c>
      <c r="H223" s="6" t="inlineStr">
        <is>
          <t>无</t>
        </is>
      </c>
      <c r="I223" s="6" t="inlineStr">
        <is>
          <t>EgoAnchor</t>
        </is>
      </c>
      <c r="J223" s="6" t="inlineStr">
        <is>
          <t>EgoAnchor</t>
        </is>
      </c>
      <c r="K223" s="10" t="inlineStr">
        <is>
          <t>“看到它自己纠正”是本轮最有价值的开放反馈之一：恢复收敛过程本身可被察觉并侵蚀信任。</t>
        </is>
      </c>
    </row>
    <row r="224" ht="58" customHeight="1">
      <c r="A224" s="6" t="inlineStr">
        <is>
          <t>P022</t>
        </is>
      </c>
      <c r="B224" s="6" t="inlineStr">
        <is>
          <t>无明显偏好</t>
        </is>
      </c>
      <c r="C224" s="6" t="inlineStr">
        <is>
          <t>N/A</t>
        </is>
      </c>
      <c r="D224" s="6" t="inlineStr">
        <is>
          <t>方法A</t>
        </is>
      </c>
      <c r="E224" s="6" t="n">
        <v>5</v>
      </c>
      <c r="F224" s="10" t="inlineStr">
        <is>
          <t>订书机上两个都很好，鼠标上就分得出来了——鼠标上有一个总在动。</t>
        </is>
      </c>
      <c r="G224" s="10" t="inlineStr">
        <is>
          <t>它动的时候我会分心去看它有没有对准，就没法专心做手上的事。</t>
        </is>
      </c>
      <c r="H224" s="6" t="inlineStr">
        <is>
          <t>无</t>
        </is>
      </c>
      <c r="I224" s="6" t="inlineStr">
        <is>
          <t>无明显偏好</t>
        </is>
      </c>
      <c r="J224" s="6" t="inlineStr">
        <is>
          <t>EgoAnchor</t>
        </is>
      </c>
      <c r="K224" s="10" t="inlineStr">
        <is>
          <t>自发给出物体主效应的用户侧解释（几何约束弱 → 差异更可见）。</t>
        </is>
      </c>
    </row>
    <row r="225" ht="58" customHeight="1">
      <c r="A225" s="6" t="inlineStr">
        <is>
          <t>P023</t>
        </is>
      </c>
      <c r="B225" s="6" t="inlineStr">
        <is>
          <t>方法B</t>
        </is>
      </c>
      <c r="C225" s="6" t="n">
        <v>7</v>
      </c>
      <c r="D225" s="6" t="inlineStr">
        <is>
          <t>方法B</t>
        </is>
      </c>
      <c r="E225" s="6" t="n">
        <v>6</v>
      </c>
      <c r="F225" s="10" t="inlineStr">
        <is>
          <t>区别很清楚，但方向相反：一个静止时几乎不动、起步慢；另一个静止时游、起步快。我说不出哪个整体更好。</t>
        </is>
      </c>
      <c r="G225" s="10" t="inlineStr">
        <is>
          <t>两种都会让我不信，只是原因不同：一个是它在动，一个是它跟不上。</t>
        </is>
      </c>
      <c r="H225" s="6" t="inlineStr">
        <is>
          <t>轻微眼疲劳</t>
        </is>
      </c>
      <c r="I225" s="6" t="inlineStr">
        <is>
          <t>EgoAnchor</t>
        </is>
      </c>
      <c r="J225" s="6" t="inlineStr">
        <is>
          <t>EgoAnchor</t>
        </is>
      </c>
      <c r="K225" s="10" t="inlineStr">
        <is>
          <t>**“高区分信心 + 无明显偏好”的关键个体**：正是 v5.1 引入区分信心项要区分的第二种成因（权衡型无偏好）。</t>
        </is>
      </c>
    </row>
    <row r="226" ht="58" customHeight="1">
      <c r="A226" s="6" t="inlineStr">
        <is>
          <t>P024</t>
        </is>
      </c>
      <c r="B226" s="6" t="inlineStr">
        <is>
          <t>无明显偏好</t>
        </is>
      </c>
      <c r="C226" s="6" t="inlineStr">
        <is>
          <t>N/A</t>
        </is>
      </c>
      <c r="D226" s="6" t="inlineStr">
        <is>
          <t>方法B</t>
        </is>
      </c>
      <c r="E226" s="6" t="n">
        <v>4</v>
      </c>
      <c r="F226" s="10" t="inlineStr">
        <is>
          <t>稳定性上有一个明显更好。如果要做产品我会选更稳的那个，起步慢半拍用户能适应，虚拟内容乱飘用户会直接不用。</t>
        </is>
      </c>
      <c r="G226" s="10" t="inlineStr">
        <is>
          <t>乱飘。用户不会去分析原因，只会觉得这个功能不准。</t>
        </is>
      </c>
      <c r="H226" s="6" t="inlineStr">
        <is>
          <t>无</t>
        </is>
      </c>
      <c r="I226" s="6" t="inlineStr">
        <is>
          <t>无明显偏好</t>
        </is>
      </c>
      <c r="J226" s="6" t="inlineStr">
        <is>
          <t>One-Euro</t>
        </is>
      </c>
      <c r="K226" s="10" t="inlineStr">
        <is>
          <t>从产品视角复述 Q6/Q7 的权衡结论；第六区块问卷时长偏长（疲劳）。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7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>派生量（全部为公式；绿底单元格 = 实时计算）：区块 AQ 子量表 → 方法级反向计分与分量表 → 每人每方法三物体均值 → 每人配对差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3">
      <c r="A3" s="7" t="inlineStr">
        <is>
          <t>D1. 区块级派生（144 行，与 Records A 段逐行对应）：AQ 两子量表按原计分取 3 项均值；另实时判定 §8 的两条门禁</t>
        </is>
      </c>
      <c r="B3" s="8" t="n"/>
      <c r="C3" s="8" t="n"/>
      <c r="D3" s="8" t="n"/>
      <c r="E3" s="8" t="n"/>
      <c r="F3" s="8" t="n"/>
      <c r="G3" s="8" t="n"/>
      <c r="H3" s="8" t="n"/>
      <c r="I3" s="8" t="n"/>
    </row>
    <row r="4">
      <c r="A4" s="9" t="inlineStr">
        <is>
          <t>Participant_ID</t>
        </is>
      </c>
      <c r="B4" s="9" t="inlineStr">
        <is>
          <t>Block_Index</t>
        </is>
      </c>
      <c r="C4" s="9" t="inlineStr">
        <is>
          <t>Condition</t>
        </is>
      </c>
      <c r="D4" s="9" t="inlineStr">
        <is>
          <t>Object_Key</t>
        </is>
      </c>
      <c r="E4" s="9" t="inlineStr">
        <is>
          <t>AQ_EQ(3 项均值)</t>
        </is>
      </c>
      <c r="F4" s="9" t="inlineStr">
        <is>
          <t>AQ_IQ(3 项均值)</t>
        </is>
      </c>
      <c r="G4" s="9" t="inlineStr">
        <is>
          <t>问卷时长_s</t>
        </is>
      </c>
      <c r="H4" s="9" t="inlineStr">
        <is>
          <t>时长&gt;150s</t>
        </is>
      </c>
      <c r="I4" s="9" t="inlineStr">
        <is>
          <t>&gt;=5 连续同分</t>
        </is>
      </c>
    </row>
    <row r="5">
      <c r="A5" s="6" t="str">
        <f>Records!A5</f>
        <v>P001</v>
      </c>
      <c r="B5" s="6">
        <f>Records!B5</f>
        <v>1</v>
      </c>
      <c r="C5" s="6" t="str">
        <f>Records!H5</f>
        <v>EgoAnchor</v>
      </c>
      <c r="D5" s="6" t="str">
        <f>Records!F5</f>
        <v>gamepad</v>
      </c>
      <c r="E5" s="12">
        <f>AVERAGE(Records!S5:U5)</f>
        <v>5.333333333333333</v>
      </c>
      <c r="F5" s="12">
        <f>AVERAGE(Records!O5:P5,Records!V5)</f>
        <v>5</v>
      </c>
      <c r="G5" s="13">
        <f>Records!AA5</f>
        <v>129.9</v>
      </c>
      <c r="H5" s="14" t="str">
        <f>IF(Records!AA5&gt;150,"是","否")</f>
        <v>否</v>
      </c>
      <c r="I5" s="14" t="str">
        <f>IF(OR(AND(Records!K5=Records!L5,Records!L5=Records!M5,Records!M5=Records!O5,Records!O5=Records!P5),AND(Records!L5=Records!M5,Records!M5=Records!O5,Records!O5=Records!P5,Records!P5=Records!Q5),AND(Records!M5=Records!O5,Records!O5=Records!P5,Records!P5=Records!Q5,Records!Q5=Records!R5),AND(Records!O5=Records!P5,Records!P5=Records!Q5,Records!Q5=Records!R5,Records!R5=Records!S5),AND(Records!P5=Records!Q5,Records!Q5=Records!R5,Records!R5=Records!S5,Records!S5=Records!T5),AND(Records!Q5=Records!R5,Records!R5=Records!S5,Records!S5=Records!T5,Records!T5=Records!U5),AND(Records!R5=Records!S5,Records!S5=Records!T5,Records!T5=Records!U5,Records!U5=Records!V5),AND(Records!S5=Records!T5,Records!T5=Records!U5,Records!U5=Records!V5,Records!V5=Records!W5),AND(Records!T5=Records!U5,Records!U5=Records!V5,Records!V5=Records!W5,Records!W5=Records!X5)),"是","否")</f>
        <v>是</v>
      </c>
    </row>
    <row r="6">
      <c r="A6" s="6" t="str">
        <f>Records!A6</f>
        <v>P001</v>
      </c>
      <c r="B6" s="6">
        <f>Records!B6</f>
        <v>2</v>
      </c>
      <c r="C6" s="6" t="str">
        <f>Records!H6</f>
        <v>One-Euro</v>
      </c>
      <c r="D6" s="6" t="str">
        <f>Records!F6</f>
        <v>gamepad</v>
      </c>
      <c r="E6" s="12">
        <f>AVERAGE(Records!S6:U6)</f>
        <v>5.666666666666667</v>
      </c>
      <c r="F6" s="12">
        <f>AVERAGE(Records!O6:P6,Records!V6)</f>
        <v>6</v>
      </c>
      <c r="G6" s="13">
        <f>Records!AA6</f>
        <v>127.2</v>
      </c>
      <c r="H6" s="14" t="str">
        <f>IF(Records!AA6&gt;150,"是","否")</f>
        <v>否</v>
      </c>
      <c r="I6" s="14" t="str">
        <f>IF(OR(AND(Records!K6=Records!L6,Records!L6=Records!M6,Records!M6=Records!O6,Records!O6=Records!P6),AND(Records!L6=Records!M6,Records!M6=Records!O6,Records!O6=Records!P6,Records!P6=Records!Q6),AND(Records!M6=Records!O6,Records!O6=Records!P6,Records!P6=Records!Q6,Records!Q6=Records!R6),AND(Records!O6=Records!P6,Records!P6=Records!Q6,Records!Q6=Records!R6,Records!R6=Records!S6),AND(Records!P6=Records!Q6,Records!Q6=Records!R6,Records!R6=Records!S6,Records!S6=Records!T6),AND(Records!Q6=Records!R6,Records!R6=Records!S6,Records!S6=Records!T6,Records!T6=Records!U6),AND(Records!R6=Records!S6,Records!S6=Records!T6,Records!T6=Records!U6,Records!U6=Records!V6),AND(Records!S6=Records!T6,Records!T6=Records!U6,Records!U6=Records!V6,Records!V6=Records!W6),AND(Records!T6=Records!U6,Records!U6=Records!V6,Records!V6=Records!W6,Records!W6=Records!X6)),"是","否")</f>
        <v>否</v>
      </c>
    </row>
    <row r="7">
      <c r="A7" s="6" t="str">
        <f>Records!A7</f>
        <v>P001</v>
      </c>
      <c r="B7" s="6">
        <f>Records!B7</f>
        <v>3</v>
      </c>
      <c r="C7" s="6" t="str">
        <f>Records!H7</f>
        <v>One-Euro</v>
      </c>
      <c r="D7" s="6" t="str">
        <f>Records!F7</f>
        <v>stapler</v>
      </c>
      <c r="E7" s="12">
        <f>AVERAGE(Records!S7:U7)</f>
        <v>6.666666666666667</v>
      </c>
      <c r="F7" s="12">
        <f>AVERAGE(Records!O7:P7,Records!V7)</f>
        <v>6.333333333333333</v>
      </c>
      <c r="G7" s="13">
        <f>Records!AA7</f>
        <v>119.4</v>
      </c>
      <c r="H7" s="14" t="str">
        <f>IF(Records!AA7&gt;150,"是","否")</f>
        <v>否</v>
      </c>
      <c r="I7" s="14" t="str">
        <f>IF(OR(AND(Records!K7=Records!L7,Records!L7=Records!M7,Records!M7=Records!O7,Records!O7=Records!P7),AND(Records!L7=Records!M7,Records!M7=Records!O7,Records!O7=Records!P7,Records!P7=Records!Q7),AND(Records!M7=Records!O7,Records!O7=Records!P7,Records!P7=Records!Q7,Records!Q7=Records!R7),AND(Records!O7=Records!P7,Records!P7=Records!Q7,Records!Q7=Records!R7,Records!R7=Records!S7),AND(Records!P7=Records!Q7,Records!Q7=Records!R7,Records!R7=Records!S7,Records!S7=Records!T7),AND(Records!Q7=Records!R7,Records!R7=Records!S7,Records!S7=Records!T7,Records!T7=Records!U7),AND(Records!R7=Records!S7,Records!S7=Records!T7,Records!T7=Records!U7,Records!U7=Records!V7),AND(Records!S7=Records!T7,Records!T7=Records!U7,Records!U7=Records!V7,Records!V7=Records!W7),AND(Records!T7=Records!U7,Records!U7=Records!V7,Records!V7=Records!W7,Records!W7=Records!X7)),"是","否")</f>
        <v>否</v>
      </c>
    </row>
    <row r="8">
      <c r="A8" s="6" t="str">
        <f>Records!A8</f>
        <v>P001</v>
      </c>
      <c r="B8" s="6">
        <f>Records!B8</f>
        <v>4</v>
      </c>
      <c r="C8" s="6" t="str">
        <f>Records!H8</f>
        <v>EgoAnchor</v>
      </c>
      <c r="D8" s="6" t="str">
        <f>Records!F8</f>
        <v>stapler</v>
      </c>
      <c r="E8" s="12">
        <f>AVERAGE(Records!S8:U8)</f>
        <v>6.666666666666667</v>
      </c>
      <c r="F8" s="12">
        <f>AVERAGE(Records!O8:P8,Records!V8)</f>
        <v>6.333333333333333</v>
      </c>
      <c r="G8" s="13">
        <f>Records!AA8</f>
        <v>144.4</v>
      </c>
      <c r="H8" s="14" t="str">
        <f>IF(Records!AA8&gt;150,"是","否")</f>
        <v>否</v>
      </c>
      <c r="I8" s="14" t="str">
        <f>IF(OR(AND(Records!K8=Records!L8,Records!L8=Records!M8,Records!M8=Records!O8,Records!O8=Records!P8),AND(Records!L8=Records!M8,Records!M8=Records!O8,Records!O8=Records!P8,Records!P8=Records!Q8),AND(Records!M8=Records!O8,Records!O8=Records!P8,Records!P8=Records!Q8,Records!Q8=Records!R8),AND(Records!O8=Records!P8,Records!P8=Records!Q8,Records!Q8=Records!R8,Records!R8=Records!S8),AND(Records!P8=Records!Q8,Records!Q8=Records!R8,Records!R8=Records!S8,Records!S8=Records!T8),AND(Records!Q8=Records!R8,Records!R8=Records!S8,Records!S8=Records!T8,Records!T8=Records!U8),AND(Records!R8=Records!S8,Records!S8=Records!T8,Records!T8=Records!U8,Records!U8=Records!V8),AND(Records!S8=Records!T8,Records!T8=Records!U8,Records!U8=Records!V8,Records!V8=Records!W8),AND(Records!T8=Records!U8,Records!U8=Records!V8,Records!V8=Records!W8,Records!W8=Records!X8)),"是","否")</f>
        <v>是</v>
      </c>
    </row>
    <row r="9">
      <c r="A9" s="6" t="str">
        <f>Records!A9</f>
        <v>P001</v>
      </c>
      <c r="B9" s="6">
        <f>Records!B9</f>
        <v>5</v>
      </c>
      <c r="C9" s="6" t="str">
        <f>Records!H9</f>
        <v>EgoAnchor</v>
      </c>
      <c r="D9" s="6" t="str">
        <f>Records!F9</f>
        <v>blue_mouse</v>
      </c>
      <c r="E9" s="12">
        <f>AVERAGE(Records!S9:U9)</f>
        <v>5</v>
      </c>
      <c r="F9" s="12">
        <f>AVERAGE(Records!O9:P9,Records!V9)</f>
        <v>5</v>
      </c>
      <c r="G9" s="13">
        <f>Records!AA9</f>
        <v>144.5</v>
      </c>
      <c r="H9" s="14" t="str">
        <f>IF(Records!AA9&gt;150,"是","否")</f>
        <v>否</v>
      </c>
      <c r="I9" s="14" t="str">
        <f>IF(OR(AND(Records!K9=Records!L9,Records!L9=Records!M9,Records!M9=Records!O9,Records!O9=Records!P9),AND(Records!L9=Records!M9,Records!M9=Records!O9,Records!O9=Records!P9,Records!P9=Records!Q9),AND(Records!M9=Records!O9,Records!O9=Records!P9,Records!P9=Records!Q9,Records!Q9=Records!R9),AND(Records!O9=Records!P9,Records!P9=Records!Q9,Records!Q9=Records!R9,Records!R9=Records!S9),AND(Records!P9=Records!Q9,Records!Q9=Records!R9,Records!R9=Records!S9,Records!S9=Records!T9),AND(Records!Q9=Records!R9,Records!R9=Records!S9,Records!S9=Records!T9,Records!T9=Records!U9),AND(Records!R9=Records!S9,Records!S9=Records!T9,Records!T9=Records!U9,Records!U9=Records!V9),AND(Records!S9=Records!T9,Records!T9=Records!U9,Records!U9=Records!V9,Records!V9=Records!W9),AND(Records!T9=Records!U9,Records!U9=Records!V9,Records!V9=Records!W9,Records!W9=Records!X9)),"是","否")</f>
        <v>否</v>
      </c>
    </row>
    <row r="10">
      <c r="A10" s="6" t="str">
        <f>Records!A10</f>
        <v>P001</v>
      </c>
      <c r="B10" s="6">
        <f>Records!B10</f>
        <v>6</v>
      </c>
      <c r="C10" s="6" t="str">
        <f>Records!H10</f>
        <v>One-Euro</v>
      </c>
      <c r="D10" s="6" t="str">
        <f>Records!F10</f>
        <v>blue_mouse</v>
      </c>
      <c r="E10" s="12">
        <f>AVERAGE(Records!S10:U10)</f>
        <v>5.333333333333333</v>
      </c>
      <c r="F10" s="12">
        <f>AVERAGE(Records!O10:P10,Records!V10)</f>
        <v>5</v>
      </c>
      <c r="G10" s="13">
        <f>Records!AA10</f>
        <v>156.3</v>
      </c>
      <c r="H10" s="14" t="str">
        <f>IF(Records!AA10&gt;150,"是","否")</f>
        <v>是</v>
      </c>
      <c r="I10" s="14" t="str">
        <f>IF(OR(AND(Records!K10=Records!L10,Records!L10=Records!M10,Records!M10=Records!O10,Records!O10=Records!P10),AND(Records!L10=Records!M10,Records!M10=Records!O10,Records!O10=Records!P10,Records!P10=Records!Q10),AND(Records!M10=Records!O10,Records!O10=Records!P10,Records!P10=Records!Q10,Records!Q10=Records!R10),AND(Records!O10=Records!P10,Records!P10=Records!Q10,Records!Q10=Records!R10,Records!R10=Records!S10),AND(Records!P10=Records!Q10,Records!Q10=Records!R10,Records!R10=Records!S10,Records!S10=Records!T10),AND(Records!Q10=Records!R10,Records!R10=Records!S10,Records!S10=Records!T10,Records!T10=Records!U10),AND(Records!R10=Records!S10,Records!S10=Records!T10,Records!T10=Records!U10,Records!U10=Records!V10),AND(Records!S10=Records!T10,Records!T10=Records!U10,Records!U10=Records!V10,Records!V10=Records!W10),AND(Records!T10=Records!U10,Records!U10=Records!V10,Records!V10=Records!W10,Records!W10=Records!X10)),"是","否")</f>
        <v>否</v>
      </c>
    </row>
    <row r="11">
      <c r="A11" s="6" t="str">
        <f>Records!A11</f>
        <v>P002</v>
      </c>
      <c r="B11" s="6">
        <f>Records!B11</f>
        <v>1</v>
      </c>
      <c r="C11" s="6" t="str">
        <f>Records!H11</f>
        <v>One-Euro</v>
      </c>
      <c r="D11" s="6" t="str">
        <f>Records!F11</f>
        <v>stapler</v>
      </c>
      <c r="E11" s="12">
        <f>AVERAGE(Records!S11:U11)</f>
        <v>4.666666666666667</v>
      </c>
      <c r="F11" s="12">
        <f>AVERAGE(Records!O11:P11,Records!V11)</f>
        <v>5</v>
      </c>
      <c r="G11" s="13">
        <f>Records!AA11</f>
        <v>123.6</v>
      </c>
      <c r="H11" s="14" t="str">
        <f>IF(Records!AA11&gt;150,"是","否")</f>
        <v>否</v>
      </c>
      <c r="I11" s="14" t="str">
        <f>IF(OR(AND(Records!K11=Records!L11,Records!L11=Records!M11,Records!M11=Records!O11,Records!O11=Records!P11),AND(Records!L11=Records!M11,Records!M11=Records!O11,Records!O11=Records!P11,Records!P11=Records!Q11),AND(Records!M11=Records!O11,Records!O11=Records!P11,Records!P11=Records!Q11,Records!Q11=Records!R11),AND(Records!O11=Records!P11,Records!P11=Records!Q11,Records!Q11=Records!R11,Records!R11=Records!S11),AND(Records!P11=Records!Q11,Records!Q11=Records!R11,Records!R11=Records!S11,Records!S11=Records!T11),AND(Records!Q11=Records!R11,Records!R11=Records!S11,Records!S11=Records!T11,Records!T11=Records!U11),AND(Records!R11=Records!S11,Records!S11=Records!T11,Records!T11=Records!U11,Records!U11=Records!V11),AND(Records!S11=Records!T11,Records!T11=Records!U11,Records!U11=Records!V11,Records!V11=Records!W11),AND(Records!T11=Records!U11,Records!U11=Records!V11,Records!V11=Records!W11,Records!W11=Records!X11)),"是","否")</f>
        <v>是</v>
      </c>
    </row>
    <row r="12">
      <c r="A12" s="6" t="str">
        <f>Records!A12</f>
        <v>P002</v>
      </c>
      <c r="B12" s="6">
        <f>Records!B12</f>
        <v>2</v>
      </c>
      <c r="C12" s="6" t="str">
        <f>Records!H12</f>
        <v>EgoAnchor</v>
      </c>
      <c r="D12" s="6" t="str">
        <f>Records!F12</f>
        <v>stapler</v>
      </c>
      <c r="E12" s="12">
        <f>AVERAGE(Records!S12:U12)</f>
        <v>5.333333333333333</v>
      </c>
      <c r="F12" s="12">
        <f>AVERAGE(Records!O12:P12,Records!V12)</f>
        <v>5.333333333333333</v>
      </c>
      <c r="G12" s="13">
        <f>Records!AA12</f>
        <v>157.2</v>
      </c>
      <c r="H12" s="14" t="str">
        <f>IF(Records!AA12&gt;150,"是","否")</f>
        <v>是</v>
      </c>
      <c r="I12" s="14" t="str">
        <f>IF(OR(AND(Records!K12=Records!L12,Records!L12=Records!M12,Records!M12=Records!O12,Records!O12=Records!P12),AND(Records!L12=Records!M12,Records!M12=Records!O12,Records!O12=Records!P12,Records!P12=Records!Q12),AND(Records!M12=Records!O12,Records!O12=Records!P12,Records!P12=Records!Q12,Records!Q12=Records!R12),AND(Records!O12=Records!P12,Records!P12=Records!Q12,Records!Q12=Records!R12,Records!R12=Records!S12),AND(Records!P12=Records!Q12,Records!Q12=Records!R12,Records!R12=Records!S12,Records!S12=Records!T12),AND(Records!Q12=Records!R12,Records!R12=Records!S12,Records!S12=Records!T12,Records!T12=Records!U12),AND(Records!R12=Records!S12,Records!S12=Records!T12,Records!T12=Records!U12,Records!U12=Records!V12),AND(Records!S12=Records!T12,Records!T12=Records!U12,Records!U12=Records!V12,Records!V12=Records!W12),AND(Records!T12=Records!U12,Records!U12=Records!V12,Records!V12=Records!W12,Records!W12=Records!X12)),"是","否")</f>
        <v>否</v>
      </c>
    </row>
    <row r="13">
      <c r="A13" s="6" t="str">
        <f>Records!A13</f>
        <v>P002</v>
      </c>
      <c r="B13" s="6">
        <f>Records!B13</f>
        <v>3</v>
      </c>
      <c r="C13" s="6" t="str">
        <f>Records!H13</f>
        <v>EgoAnchor</v>
      </c>
      <c r="D13" s="6" t="str">
        <f>Records!F13</f>
        <v>gamepad</v>
      </c>
      <c r="E13" s="12">
        <f>AVERAGE(Records!S13:U13)</f>
        <v>3.3333333333333335</v>
      </c>
      <c r="F13" s="12">
        <f>AVERAGE(Records!O13:P13,Records!V13)</f>
        <v>4.666666666666667</v>
      </c>
      <c r="G13" s="13">
        <f>Records!AA13</f>
        <v>147.8</v>
      </c>
      <c r="H13" s="14" t="str">
        <f>IF(Records!AA13&gt;150,"是","否")</f>
        <v>否</v>
      </c>
      <c r="I13" s="14" t="str">
        <f>IF(OR(AND(Records!K13=Records!L13,Records!L13=Records!M13,Records!M13=Records!O13,Records!O13=Records!P13),AND(Records!L13=Records!M13,Records!M13=Records!O13,Records!O13=Records!P13,Records!P13=Records!Q13),AND(Records!M13=Records!O13,Records!O13=Records!P13,Records!P13=Records!Q13,Records!Q13=Records!R13),AND(Records!O13=Records!P13,Records!P13=Records!Q13,Records!Q13=Records!R13,Records!R13=Records!S13),AND(Records!P13=Records!Q13,Records!Q13=Records!R13,Records!R13=Records!S13,Records!S13=Records!T13),AND(Records!Q13=Records!R13,Records!R13=Records!S13,Records!S13=Records!T13,Records!T13=Records!U13),AND(Records!R13=Records!S13,Records!S13=Records!T13,Records!T13=Records!U13,Records!U13=Records!V13),AND(Records!S13=Records!T13,Records!T13=Records!U13,Records!U13=Records!V13,Records!V13=Records!W13),AND(Records!T13=Records!U13,Records!U13=Records!V13,Records!V13=Records!W13,Records!W13=Records!X13)),"是","否")</f>
        <v>否</v>
      </c>
    </row>
    <row r="14">
      <c r="A14" s="6" t="str">
        <f>Records!A14</f>
        <v>P002</v>
      </c>
      <c r="B14" s="6">
        <f>Records!B14</f>
        <v>4</v>
      </c>
      <c r="C14" s="6" t="str">
        <f>Records!H14</f>
        <v>One-Euro</v>
      </c>
      <c r="D14" s="6" t="str">
        <f>Records!F14</f>
        <v>gamepad</v>
      </c>
      <c r="E14" s="12">
        <f>AVERAGE(Records!S14:U14)</f>
        <v>4.333333333333333</v>
      </c>
      <c r="F14" s="12">
        <f>AVERAGE(Records!O14:P14,Records!V14)</f>
        <v>4.666666666666667</v>
      </c>
      <c r="G14" s="13">
        <f>Records!AA14</f>
        <v>134.7</v>
      </c>
      <c r="H14" s="14" t="str">
        <f>IF(Records!AA14&gt;150,"是","否")</f>
        <v>否</v>
      </c>
      <c r="I14" s="14" t="str">
        <f>IF(OR(AND(Records!K14=Records!L14,Records!L14=Records!M14,Records!M14=Records!O14,Records!O14=Records!P14),AND(Records!L14=Records!M14,Records!M14=Records!O14,Records!O14=Records!P14,Records!P14=Records!Q14),AND(Records!M14=Records!O14,Records!O14=Records!P14,Records!P14=Records!Q14,Records!Q14=Records!R14),AND(Records!O14=Records!P14,Records!P14=Records!Q14,Records!Q14=Records!R14,Records!R14=Records!S14),AND(Records!P14=Records!Q14,Records!Q14=Records!R14,Records!R14=Records!S14,Records!S14=Records!T14),AND(Records!Q14=Records!R14,Records!R14=Records!S14,Records!S14=Records!T14,Records!T14=Records!U14),AND(Records!R14=Records!S14,Records!S14=Records!T14,Records!T14=Records!U14,Records!U14=Records!V14),AND(Records!S14=Records!T14,Records!T14=Records!U14,Records!U14=Records!V14,Records!V14=Records!W14),AND(Records!T14=Records!U14,Records!U14=Records!V14,Records!V14=Records!W14,Records!W14=Records!X14)),"是","否")</f>
        <v>否</v>
      </c>
    </row>
    <row r="15">
      <c r="A15" s="6" t="str">
        <f>Records!A15</f>
        <v>P002</v>
      </c>
      <c r="B15" s="6">
        <f>Records!B15</f>
        <v>5</v>
      </c>
      <c r="C15" s="6" t="str">
        <f>Records!H15</f>
        <v>One-Euro</v>
      </c>
      <c r="D15" s="6" t="str">
        <f>Records!F15</f>
        <v>blue_mouse</v>
      </c>
      <c r="E15" s="12">
        <f>AVERAGE(Records!S15:U15)</f>
        <v>5.333333333333333</v>
      </c>
      <c r="F15" s="12">
        <f>AVERAGE(Records!O15:P15,Records!V15)</f>
        <v>5.333333333333333</v>
      </c>
      <c r="G15" s="13">
        <f>Records!AA15</f>
        <v>157.6</v>
      </c>
      <c r="H15" s="14" t="str">
        <f>IF(Records!AA15&gt;150,"是","否")</f>
        <v>是</v>
      </c>
      <c r="I15" s="14" t="str">
        <f>IF(OR(AND(Records!K15=Records!L15,Records!L15=Records!M15,Records!M15=Records!O15,Records!O15=Records!P15),AND(Records!L15=Records!M15,Records!M15=Records!O15,Records!O15=Records!P15,Records!P15=Records!Q15),AND(Records!M15=Records!O15,Records!O15=Records!P15,Records!P15=Records!Q15,Records!Q15=Records!R15),AND(Records!O15=Records!P15,Records!P15=Records!Q15,Records!Q15=Records!R15,Records!R15=Records!S15),AND(Records!P15=Records!Q15,Records!Q15=Records!R15,Records!R15=Records!S15,Records!S15=Records!T15),AND(Records!Q15=Records!R15,Records!R15=Records!S15,Records!S15=Records!T15,Records!T15=Records!U15),AND(Records!R15=Records!S15,Records!S15=Records!T15,Records!T15=Records!U15,Records!U15=Records!V15),AND(Records!S15=Records!T15,Records!T15=Records!U15,Records!U15=Records!V15,Records!V15=Records!W15),AND(Records!T15=Records!U15,Records!U15=Records!V15,Records!V15=Records!W15,Records!W15=Records!X15)),"是","否")</f>
        <v>否</v>
      </c>
    </row>
    <row r="16">
      <c r="A16" s="6" t="str">
        <f>Records!A16</f>
        <v>P002</v>
      </c>
      <c r="B16" s="6">
        <f>Records!B16</f>
        <v>6</v>
      </c>
      <c r="C16" s="6" t="str">
        <f>Records!H16</f>
        <v>EgoAnchor</v>
      </c>
      <c r="D16" s="6" t="str">
        <f>Records!F16</f>
        <v>blue_mouse</v>
      </c>
      <c r="E16" s="12">
        <f>AVERAGE(Records!S16:U16)</f>
        <v>3.6666666666666665</v>
      </c>
      <c r="F16" s="12">
        <f>AVERAGE(Records!O16:P16,Records!V16)</f>
        <v>3.6666666666666665</v>
      </c>
      <c r="G16" s="13">
        <f>Records!AA16</f>
        <v>134.7</v>
      </c>
      <c r="H16" s="14" t="str">
        <f>IF(Records!AA16&gt;150,"是","否")</f>
        <v>否</v>
      </c>
      <c r="I16" s="14" t="str">
        <f>IF(OR(AND(Records!K16=Records!L16,Records!L16=Records!M16,Records!M16=Records!O16,Records!O16=Records!P16),AND(Records!L16=Records!M16,Records!M16=Records!O16,Records!O16=Records!P16,Records!P16=Records!Q16),AND(Records!M16=Records!O16,Records!O16=Records!P16,Records!P16=Records!Q16,Records!Q16=Records!R16),AND(Records!O16=Records!P16,Records!P16=Records!Q16,Records!Q16=Records!R16,Records!R16=Records!S16),AND(Records!P16=Records!Q16,Records!Q16=Records!R16,Records!R16=Records!S16,Records!S16=Records!T16),AND(Records!Q16=Records!R16,Records!R16=Records!S16,Records!S16=Records!T16,Records!T16=Records!U16),AND(Records!R16=Records!S16,Records!S16=Records!T16,Records!T16=Records!U16,Records!U16=Records!V16),AND(Records!S16=Records!T16,Records!T16=Records!U16,Records!U16=Records!V16,Records!V16=Records!W16),AND(Records!T16=Records!U16,Records!U16=Records!V16,Records!V16=Records!W16,Records!W16=Records!X16)),"是","否")</f>
        <v>否</v>
      </c>
    </row>
    <row r="17">
      <c r="A17" s="6" t="str">
        <f>Records!A17</f>
        <v>P003</v>
      </c>
      <c r="B17" s="6">
        <f>Records!B17</f>
        <v>1</v>
      </c>
      <c r="C17" s="6" t="str">
        <f>Records!H17</f>
        <v>EgoAnchor</v>
      </c>
      <c r="D17" s="6" t="str">
        <f>Records!F17</f>
        <v>stapler</v>
      </c>
      <c r="E17" s="12">
        <f>AVERAGE(Records!S17:U17)</f>
        <v>5.666666666666667</v>
      </c>
      <c r="F17" s="12">
        <f>AVERAGE(Records!O17:P17,Records!V17)</f>
        <v>5</v>
      </c>
      <c r="G17" s="13">
        <f>Records!AA17</f>
        <v>107.8</v>
      </c>
      <c r="H17" s="14" t="str">
        <f>IF(Records!AA17&gt;150,"是","否")</f>
        <v>否</v>
      </c>
      <c r="I17" s="14" t="str">
        <f>IF(OR(AND(Records!K17=Records!L17,Records!L17=Records!M17,Records!M17=Records!O17,Records!O17=Records!P17),AND(Records!L17=Records!M17,Records!M17=Records!O17,Records!O17=Records!P17,Records!P17=Records!Q17),AND(Records!M17=Records!O17,Records!O17=Records!P17,Records!P17=Records!Q17,Records!Q17=Records!R17),AND(Records!O17=Records!P17,Records!P17=Records!Q17,Records!Q17=Records!R17,Records!R17=Records!S17),AND(Records!P17=Records!Q17,Records!Q17=Records!R17,Records!R17=Records!S17,Records!S17=Records!T17),AND(Records!Q17=Records!R17,Records!R17=Records!S17,Records!S17=Records!T17,Records!T17=Records!U17),AND(Records!R17=Records!S17,Records!S17=Records!T17,Records!T17=Records!U17,Records!U17=Records!V17),AND(Records!S17=Records!T17,Records!T17=Records!U17,Records!U17=Records!V17,Records!V17=Records!W17),AND(Records!T17=Records!U17,Records!U17=Records!V17,Records!V17=Records!W17,Records!W17=Records!X17)),"是","否")</f>
        <v>否</v>
      </c>
    </row>
    <row r="18">
      <c r="A18" s="6" t="str">
        <f>Records!A18</f>
        <v>P003</v>
      </c>
      <c r="B18" s="6">
        <f>Records!B18</f>
        <v>2</v>
      </c>
      <c r="C18" s="6" t="str">
        <f>Records!H18</f>
        <v>One-Euro</v>
      </c>
      <c r="D18" s="6" t="str">
        <f>Records!F18</f>
        <v>stapler</v>
      </c>
      <c r="E18" s="12">
        <f>AVERAGE(Records!S18:U18)</f>
        <v>5.666666666666667</v>
      </c>
      <c r="F18" s="12">
        <f>AVERAGE(Records!O18:P18,Records!V18)</f>
        <v>6.333333333333333</v>
      </c>
      <c r="G18" s="13">
        <f>Records!AA18</f>
        <v>107.3</v>
      </c>
      <c r="H18" s="14" t="str">
        <f>IF(Records!AA18&gt;150,"是","否")</f>
        <v>否</v>
      </c>
      <c r="I18" s="14" t="str">
        <f>IF(OR(AND(Records!K18=Records!L18,Records!L18=Records!M18,Records!M18=Records!O18,Records!O18=Records!P18),AND(Records!L18=Records!M18,Records!M18=Records!O18,Records!O18=Records!P18,Records!P18=Records!Q18),AND(Records!M18=Records!O18,Records!O18=Records!P18,Records!P18=Records!Q18,Records!Q18=Records!R18),AND(Records!O18=Records!P18,Records!P18=Records!Q18,Records!Q18=Records!R18,Records!R18=Records!S18),AND(Records!P18=Records!Q18,Records!Q18=Records!R18,Records!R18=Records!S18,Records!S18=Records!T18),AND(Records!Q18=Records!R18,Records!R18=Records!S18,Records!S18=Records!T18,Records!T18=Records!U18),AND(Records!R18=Records!S18,Records!S18=Records!T18,Records!T18=Records!U18,Records!U18=Records!V18),AND(Records!S18=Records!T18,Records!T18=Records!U18,Records!U18=Records!V18,Records!V18=Records!W18),AND(Records!T18=Records!U18,Records!U18=Records!V18,Records!V18=Records!W18,Records!W18=Records!X18)),"是","否")</f>
        <v>否</v>
      </c>
    </row>
    <row r="19">
      <c r="A19" s="6" t="str">
        <f>Records!A19</f>
        <v>P003</v>
      </c>
      <c r="B19" s="6">
        <f>Records!B19</f>
        <v>3</v>
      </c>
      <c r="C19" s="6" t="str">
        <f>Records!H19</f>
        <v>One-Euro</v>
      </c>
      <c r="D19" s="6" t="str">
        <f>Records!F19</f>
        <v>gamepad</v>
      </c>
      <c r="E19" s="12">
        <f>AVERAGE(Records!S19:U19)</f>
        <v>4.666666666666667</v>
      </c>
      <c r="F19" s="12">
        <f>AVERAGE(Records!O19:P19,Records!V19)</f>
        <v>4</v>
      </c>
      <c r="G19" s="13">
        <f>Records!AA19</f>
        <v>95.1</v>
      </c>
      <c r="H19" s="14" t="str">
        <f>IF(Records!AA19&gt;150,"是","否")</f>
        <v>否</v>
      </c>
      <c r="I19" s="14" t="str">
        <f>IF(OR(AND(Records!K19=Records!L19,Records!L19=Records!M19,Records!M19=Records!O19,Records!O19=Records!P19),AND(Records!L19=Records!M19,Records!M19=Records!O19,Records!O19=Records!P19,Records!P19=Records!Q19),AND(Records!M19=Records!O19,Records!O19=Records!P19,Records!P19=Records!Q19,Records!Q19=Records!R19),AND(Records!O19=Records!P19,Records!P19=Records!Q19,Records!Q19=Records!R19,Records!R19=Records!S19),AND(Records!P19=Records!Q19,Records!Q19=Records!R19,Records!R19=Records!S19,Records!S19=Records!T19),AND(Records!Q19=Records!R19,Records!R19=Records!S19,Records!S19=Records!T19,Records!T19=Records!U19),AND(Records!R19=Records!S19,Records!S19=Records!T19,Records!T19=Records!U19,Records!U19=Records!V19),AND(Records!S19=Records!T19,Records!T19=Records!U19,Records!U19=Records!V19,Records!V19=Records!W19),AND(Records!T19=Records!U19,Records!U19=Records!V19,Records!V19=Records!W19,Records!W19=Records!X19)),"是","否")</f>
        <v>否</v>
      </c>
    </row>
    <row r="20">
      <c r="A20" s="6" t="str">
        <f>Records!A20</f>
        <v>P003</v>
      </c>
      <c r="B20" s="6">
        <f>Records!B20</f>
        <v>4</v>
      </c>
      <c r="C20" s="6" t="str">
        <f>Records!H20</f>
        <v>EgoAnchor</v>
      </c>
      <c r="D20" s="6" t="str">
        <f>Records!F20</f>
        <v>gamepad</v>
      </c>
      <c r="E20" s="12">
        <f>AVERAGE(Records!S20:U20)</f>
        <v>6</v>
      </c>
      <c r="F20" s="12">
        <f>AVERAGE(Records!O20:P20,Records!V20)</f>
        <v>5.666666666666667</v>
      </c>
      <c r="G20" s="13">
        <f>Records!AA20</f>
        <v>95.4</v>
      </c>
      <c r="H20" s="14" t="str">
        <f>IF(Records!AA20&gt;150,"是","否")</f>
        <v>否</v>
      </c>
      <c r="I20" s="14" t="str">
        <f>IF(OR(AND(Records!K20=Records!L20,Records!L20=Records!M20,Records!M20=Records!O20,Records!O20=Records!P20),AND(Records!L20=Records!M20,Records!M20=Records!O20,Records!O20=Records!P20,Records!P20=Records!Q20),AND(Records!M20=Records!O20,Records!O20=Records!P20,Records!P20=Records!Q20,Records!Q20=Records!R20),AND(Records!O20=Records!P20,Records!P20=Records!Q20,Records!Q20=Records!R20,Records!R20=Records!S20),AND(Records!P20=Records!Q20,Records!Q20=Records!R20,Records!R20=Records!S20,Records!S20=Records!T20),AND(Records!Q20=Records!R20,Records!R20=Records!S20,Records!S20=Records!T20,Records!T20=Records!U20),AND(Records!R20=Records!S20,Records!S20=Records!T20,Records!T20=Records!U20,Records!U20=Records!V20),AND(Records!S20=Records!T20,Records!T20=Records!U20,Records!U20=Records!V20,Records!V20=Records!W20),AND(Records!T20=Records!U20,Records!U20=Records!V20,Records!V20=Records!W20,Records!W20=Records!X20)),"是","否")</f>
        <v>否</v>
      </c>
    </row>
    <row r="21">
      <c r="A21" s="6" t="str">
        <f>Records!A21</f>
        <v>P003</v>
      </c>
      <c r="B21" s="6">
        <f>Records!B21</f>
        <v>5</v>
      </c>
      <c r="C21" s="6" t="str">
        <f>Records!H21</f>
        <v>EgoAnchor</v>
      </c>
      <c r="D21" s="6" t="str">
        <f>Records!F21</f>
        <v>blue_mouse</v>
      </c>
      <c r="E21" s="12">
        <f>AVERAGE(Records!S21:U21)</f>
        <v>5.666666666666667</v>
      </c>
      <c r="F21" s="12">
        <f>AVERAGE(Records!O21:P21,Records!V21)</f>
        <v>5.333333333333333</v>
      </c>
      <c r="G21" s="13">
        <f>Records!AA21</f>
        <v>128.4</v>
      </c>
      <c r="H21" s="14" t="str">
        <f>IF(Records!AA21&gt;150,"是","否")</f>
        <v>否</v>
      </c>
      <c r="I21" s="14" t="str">
        <f>IF(OR(AND(Records!K21=Records!L21,Records!L21=Records!M21,Records!M21=Records!O21,Records!O21=Records!P21),AND(Records!L21=Records!M21,Records!M21=Records!O21,Records!O21=Records!P21,Records!P21=Records!Q21),AND(Records!M21=Records!O21,Records!O21=Records!P21,Records!P21=Records!Q21,Records!Q21=Records!R21),AND(Records!O21=Records!P21,Records!P21=Records!Q21,Records!Q21=Records!R21,Records!R21=Records!S21),AND(Records!P21=Records!Q21,Records!Q21=Records!R21,Records!R21=Records!S21,Records!S21=Records!T21),AND(Records!Q21=Records!R21,Records!R21=Records!S21,Records!S21=Records!T21,Records!T21=Records!U21),AND(Records!R21=Records!S21,Records!S21=Records!T21,Records!T21=Records!U21,Records!U21=Records!V21),AND(Records!S21=Records!T21,Records!T21=Records!U21,Records!U21=Records!V21,Records!V21=Records!W21),AND(Records!T21=Records!U21,Records!U21=Records!V21,Records!V21=Records!W21,Records!W21=Records!X21)),"是","否")</f>
        <v>否</v>
      </c>
    </row>
    <row r="22">
      <c r="A22" s="6" t="str">
        <f>Records!A22</f>
        <v>P003</v>
      </c>
      <c r="B22" s="6">
        <f>Records!B22</f>
        <v>6</v>
      </c>
      <c r="C22" s="6" t="str">
        <f>Records!H22</f>
        <v>One-Euro</v>
      </c>
      <c r="D22" s="6" t="str">
        <f>Records!F22</f>
        <v>blue_mouse</v>
      </c>
      <c r="E22" s="12">
        <f>AVERAGE(Records!S22:U22)</f>
        <v>4</v>
      </c>
      <c r="F22" s="12">
        <f>AVERAGE(Records!O22:P22,Records!V22)</f>
        <v>3.6666666666666665</v>
      </c>
      <c r="G22" s="13">
        <f>Records!AA22</f>
        <v>104.5</v>
      </c>
      <c r="H22" s="14" t="str">
        <f>IF(Records!AA22&gt;150,"是","否")</f>
        <v>否</v>
      </c>
      <c r="I22" s="14" t="str">
        <f>IF(OR(AND(Records!K22=Records!L22,Records!L22=Records!M22,Records!M22=Records!O22,Records!O22=Records!P22),AND(Records!L22=Records!M22,Records!M22=Records!O22,Records!O22=Records!P22,Records!P22=Records!Q22),AND(Records!M22=Records!O22,Records!O22=Records!P22,Records!P22=Records!Q22,Records!Q22=Records!R22),AND(Records!O22=Records!P22,Records!P22=Records!Q22,Records!Q22=Records!R22,Records!R22=Records!S22),AND(Records!P22=Records!Q22,Records!Q22=Records!R22,Records!R22=Records!S22,Records!S22=Records!T22),AND(Records!Q22=Records!R22,Records!R22=Records!S22,Records!S22=Records!T22,Records!T22=Records!U22),AND(Records!R22=Records!S22,Records!S22=Records!T22,Records!T22=Records!U22,Records!U22=Records!V22),AND(Records!S22=Records!T22,Records!T22=Records!U22,Records!U22=Records!V22,Records!V22=Records!W22),AND(Records!T22=Records!U22,Records!U22=Records!V22,Records!V22=Records!W22,Records!W22=Records!X22)),"是","否")</f>
        <v>否</v>
      </c>
    </row>
    <row r="23">
      <c r="A23" s="6" t="str">
        <f>Records!A23</f>
        <v>P004</v>
      </c>
      <c r="B23" s="6">
        <f>Records!B23</f>
        <v>1</v>
      </c>
      <c r="C23" s="6" t="str">
        <f>Records!H23</f>
        <v>One-Euro</v>
      </c>
      <c r="D23" s="6" t="str">
        <f>Records!F23</f>
        <v>stapler</v>
      </c>
      <c r="E23" s="12">
        <f>AVERAGE(Records!S23:U23)</f>
        <v>6</v>
      </c>
      <c r="F23" s="12">
        <f>AVERAGE(Records!O23:P23,Records!V23)</f>
        <v>5</v>
      </c>
      <c r="G23" s="13">
        <f>Records!AA23</f>
        <v>128.7</v>
      </c>
      <c r="H23" s="14" t="str">
        <f>IF(Records!AA23&gt;150,"是","否")</f>
        <v>否</v>
      </c>
      <c r="I23" s="14" t="str">
        <f>IF(OR(AND(Records!K23=Records!L23,Records!L23=Records!M23,Records!M23=Records!O23,Records!O23=Records!P23),AND(Records!L23=Records!M23,Records!M23=Records!O23,Records!O23=Records!P23,Records!P23=Records!Q23),AND(Records!M23=Records!O23,Records!O23=Records!P23,Records!P23=Records!Q23,Records!Q23=Records!R23),AND(Records!O23=Records!P23,Records!P23=Records!Q23,Records!Q23=Records!R23,Records!R23=Records!S23),AND(Records!P23=Records!Q23,Records!Q23=Records!R23,Records!R23=Records!S23,Records!S23=Records!T23),AND(Records!Q23=Records!R23,Records!R23=Records!S23,Records!S23=Records!T23,Records!T23=Records!U23),AND(Records!R23=Records!S23,Records!S23=Records!T23,Records!T23=Records!U23,Records!U23=Records!V23),AND(Records!S23=Records!T23,Records!T23=Records!U23,Records!U23=Records!V23,Records!V23=Records!W23),AND(Records!T23=Records!U23,Records!U23=Records!V23,Records!V23=Records!W23,Records!W23=Records!X23)),"是","否")</f>
        <v>否</v>
      </c>
    </row>
    <row r="24">
      <c r="A24" s="6" t="str">
        <f>Records!A24</f>
        <v>P004</v>
      </c>
      <c r="B24" s="6">
        <f>Records!B24</f>
        <v>2</v>
      </c>
      <c r="C24" s="6" t="str">
        <f>Records!H24</f>
        <v>EgoAnchor</v>
      </c>
      <c r="D24" s="6" t="str">
        <f>Records!F24</f>
        <v>stapler</v>
      </c>
      <c r="E24" s="12">
        <f>AVERAGE(Records!S24:U24)</f>
        <v>5.333333333333333</v>
      </c>
      <c r="F24" s="12">
        <f>AVERAGE(Records!O24:P24,Records!V24)</f>
        <v>4.333333333333333</v>
      </c>
      <c r="G24" s="13">
        <f>Records!AA24</f>
        <v>157.1</v>
      </c>
      <c r="H24" s="14" t="str">
        <f>IF(Records!AA24&gt;150,"是","否")</f>
        <v>是</v>
      </c>
      <c r="I24" s="14" t="str">
        <f>IF(OR(AND(Records!K24=Records!L24,Records!L24=Records!M24,Records!M24=Records!O24,Records!O24=Records!P24),AND(Records!L24=Records!M24,Records!M24=Records!O24,Records!O24=Records!P24,Records!P24=Records!Q24),AND(Records!M24=Records!O24,Records!O24=Records!P24,Records!P24=Records!Q24,Records!Q24=Records!R24),AND(Records!O24=Records!P24,Records!P24=Records!Q24,Records!Q24=Records!R24,Records!R24=Records!S24),AND(Records!P24=Records!Q24,Records!Q24=Records!R24,Records!R24=Records!S24,Records!S24=Records!T24),AND(Records!Q24=Records!R24,Records!R24=Records!S24,Records!S24=Records!T24,Records!T24=Records!U24),AND(Records!R24=Records!S24,Records!S24=Records!T24,Records!T24=Records!U24,Records!U24=Records!V24),AND(Records!S24=Records!T24,Records!T24=Records!U24,Records!U24=Records!V24,Records!V24=Records!W24),AND(Records!T24=Records!U24,Records!U24=Records!V24,Records!V24=Records!W24,Records!W24=Records!X24)),"是","否")</f>
        <v>是</v>
      </c>
    </row>
    <row r="25">
      <c r="A25" s="6" t="str">
        <f>Records!A25</f>
        <v>P004</v>
      </c>
      <c r="B25" s="6">
        <f>Records!B25</f>
        <v>3</v>
      </c>
      <c r="C25" s="6" t="str">
        <f>Records!H25</f>
        <v>EgoAnchor</v>
      </c>
      <c r="D25" s="6" t="str">
        <f>Records!F25</f>
        <v>gamepad</v>
      </c>
      <c r="E25" s="12">
        <f>AVERAGE(Records!S25:U25)</f>
        <v>5.333333333333333</v>
      </c>
      <c r="F25" s="12">
        <f>AVERAGE(Records!O25:P25,Records!V25)</f>
        <v>5</v>
      </c>
      <c r="G25" s="13">
        <f>Records!AA25</f>
        <v>141.5</v>
      </c>
      <c r="H25" s="14" t="str">
        <f>IF(Records!AA25&gt;150,"是","否")</f>
        <v>否</v>
      </c>
      <c r="I25" s="14" t="str">
        <f>IF(OR(AND(Records!K25=Records!L25,Records!L25=Records!M25,Records!M25=Records!O25,Records!O25=Records!P25),AND(Records!L25=Records!M25,Records!M25=Records!O25,Records!O25=Records!P25,Records!P25=Records!Q25),AND(Records!M25=Records!O25,Records!O25=Records!P25,Records!P25=Records!Q25,Records!Q25=Records!R25),AND(Records!O25=Records!P25,Records!P25=Records!Q25,Records!Q25=Records!R25,Records!R25=Records!S25),AND(Records!P25=Records!Q25,Records!Q25=Records!R25,Records!R25=Records!S25,Records!S25=Records!T25),AND(Records!Q25=Records!R25,Records!R25=Records!S25,Records!S25=Records!T25,Records!T25=Records!U25),AND(Records!R25=Records!S25,Records!S25=Records!T25,Records!T25=Records!U25,Records!U25=Records!V25),AND(Records!S25=Records!T25,Records!T25=Records!U25,Records!U25=Records!V25,Records!V25=Records!W25),AND(Records!T25=Records!U25,Records!U25=Records!V25,Records!V25=Records!W25,Records!W25=Records!X25)),"是","否")</f>
        <v>否</v>
      </c>
    </row>
    <row r="26">
      <c r="A26" s="6" t="str">
        <f>Records!A26</f>
        <v>P004</v>
      </c>
      <c r="B26" s="6">
        <f>Records!B26</f>
        <v>4</v>
      </c>
      <c r="C26" s="6" t="str">
        <f>Records!H26</f>
        <v>One-Euro</v>
      </c>
      <c r="D26" s="6" t="str">
        <f>Records!F26</f>
        <v>gamepad</v>
      </c>
      <c r="E26" s="12">
        <f>AVERAGE(Records!S26:U26)</f>
        <v>4.666666666666667</v>
      </c>
      <c r="F26" s="12">
        <f>AVERAGE(Records!O26:P26,Records!V26)</f>
        <v>4.666666666666667</v>
      </c>
      <c r="G26" s="13">
        <f>Records!AA26</f>
        <v>146.5</v>
      </c>
      <c r="H26" s="14" t="str">
        <f>IF(Records!AA26&gt;150,"是","否")</f>
        <v>否</v>
      </c>
      <c r="I26" s="14" t="str">
        <f>IF(OR(AND(Records!K26=Records!L26,Records!L26=Records!M26,Records!M26=Records!O26,Records!O26=Records!P26),AND(Records!L26=Records!M26,Records!M26=Records!O26,Records!O26=Records!P26,Records!P26=Records!Q26),AND(Records!M26=Records!O26,Records!O26=Records!P26,Records!P26=Records!Q26,Records!Q26=Records!R26),AND(Records!O26=Records!P26,Records!P26=Records!Q26,Records!Q26=Records!R26,Records!R26=Records!S26),AND(Records!P26=Records!Q26,Records!Q26=Records!R26,Records!R26=Records!S26,Records!S26=Records!T26),AND(Records!Q26=Records!R26,Records!R26=Records!S26,Records!S26=Records!T26,Records!T26=Records!U26),AND(Records!R26=Records!S26,Records!S26=Records!T26,Records!T26=Records!U26,Records!U26=Records!V26),AND(Records!S26=Records!T26,Records!T26=Records!U26,Records!U26=Records!V26,Records!V26=Records!W26),AND(Records!T26=Records!U26,Records!U26=Records!V26,Records!V26=Records!W26,Records!W26=Records!X26)),"是","否")</f>
        <v>否</v>
      </c>
    </row>
    <row r="27">
      <c r="A27" s="6" t="str">
        <f>Records!A27</f>
        <v>P004</v>
      </c>
      <c r="B27" s="6">
        <f>Records!B27</f>
        <v>5</v>
      </c>
      <c r="C27" s="6" t="str">
        <f>Records!H27</f>
        <v>One-Euro</v>
      </c>
      <c r="D27" s="6" t="str">
        <f>Records!F27</f>
        <v>blue_mouse</v>
      </c>
      <c r="E27" s="12">
        <f>AVERAGE(Records!S27:U27)</f>
        <v>5.333333333333333</v>
      </c>
      <c r="F27" s="12">
        <f>AVERAGE(Records!O27:P27,Records!V27)</f>
        <v>5</v>
      </c>
      <c r="G27" s="13">
        <f>Records!AA27</f>
        <v>148.2</v>
      </c>
      <c r="H27" s="14" t="str">
        <f>IF(Records!AA27&gt;150,"是","否")</f>
        <v>否</v>
      </c>
      <c r="I27" s="14" t="str">
        <f>IF(OR(AND(Records!K27=Records!L27,Records!L27=Records!M27,Records!M27=Records!O27,Records!O27=Records!P27),AND(Records!L27=Records!M27,Records!M27=Records!O27,Records!O27=Records!P27,Records!P27=Records!Q27),AND(Records!M27=Records!O27,Records!O27=Records!P27,Records!P27=Records!Q27,Records!Q27=Records!R27),AND(Records!O27=Records!P27,Records!P27=Records!Q27,Records!Q27=Records!R27,Records!R27=Records!S27),AND(Records!P27=Records!Q27,Records!Q27=Records!R27,Records!R27=Records!S27,Records!S27=Records!T27),AND(Records!Q27=Records!R27,Records!R27=Records!S27,Records!S27=Records!T27,Records!T27=Records!U27),AND(Records!R27=Records!S27,Records!S27=Records!T27,Records!T27=Records!U27,Records!U27=Records!V27),AND(Records!S27=Records!T27,Records!T27=Records!U27,Records!U27=Records!V27,Records!V27=Records!W27),AND(Records!T27=Records!U27,Records!U27=Records!V27,Records!V27=Records!W27,Records!W27=Records!X27)),"是","否")</f>
        <v>否</v>
      </c>
    </row>
    <row r="28">
      <c r="A28" s="6" t="str">
        <f>Records!A28</f>
        <v>P004</v>
      </c>
      <c r="B28" s="6">
        <f>Records!B28</f>
        <v>6</v>
      </c>
      <c r="C28" s="6" t="str">
        <f>Records!H28</f>
        <v>EgoAnchor</v>
      </c>
      <c r="D28" s="6" t="str">
        <f>Records!F28</f>
        <v>blue_mouse</v>
      </c>
      <c r="E28" s="12">
        <f>AVERAGE(Records!S28:U28)</f>
        <v>3.6666666666666665</v>
      </c>
      <c r="F28" s="12">
        <f>AVERAGE(Records!O28:P28,Records!V28)</f>
        <v>3.6666666666666665</v>
      </c>
      <c r="G28" s="13">
        <f>Records!AA28</f>
        <v>156.4</v>
      </c>
      <c r="H28" s="14" t="str">
        <f>IF(Records!AA28&gt;150,"是","否")</f>
        <v>是</v>
      </c>
      <c r="I28" s="14" t="str">
        <f>IF(OR(AND(Records!K28=Records!L28,Records!L28=Records!M28,Records!M28=Records!O28,Records!O28=Records!P28),AND(Records!L28=Records!M28,Records!M28=Records!O28,Records!O28=Records!P28,Records!P28=Records!Q28),AND(Records!M28=Records!O28,Records!O28=Records!P28,Records!P28=Records!Q28,Records!Q28=Records!R28),AND(Records!O28=Records!P28,Records!P28=Records!Q28,Records!Q28=Records!R28,Records!R28=Records!S28),AND(Records!P28=Records!Q28,Records!Q28=Records!R28,Records!R28=Records!S28,Records!S28=Records!T28),AND(Records!Q28=Records!R28,Records!R28=Records!S28,Records!S28=Records!T28,Records!T28=Records!U28),AND(Records!R28=Records!S28,Records!S28=Records!T28,Records!T28=Records!U28,Records!U28=Records!V28),AND(Records!S28=Records!T28,Records!T28=Records!U28,Records!U28=Records!V28,Records!V28=Records!W28),AND(Records!T28=Records!U28,Records!U28=Records!V28,Records!V28=Records!W28,Records!W28=Records!X28)),"是","否")</f>
        <v>否</v>
      </c>
    </row>
    <row r="29">
      <c r="A29" s="6" t="str">
        <f>Records!A29</f>
        <v>P005</v>
      </c>
      <c r="B29" s="6">
        <f>Records!B29</f>
        <v>1</v>
      </c>
      <c r="C29" s="6" t="str">
        <f>Records!H29</f>
        <v>One-Euro</v>
      </c>
      <c r="D29" s="6" t="str">
        <f>Records!F29</f>
        <v>stapler</v>
      </c>
      <c r="E29" s="12">
        <f>AVERAGE(Records!S29:U29)</f>
        <v>5</v>
      </c>
      <c r="F29" s="12">
        <f>AVERAGE(Records!O29:P29,Records!V29)</f>
        <v>5</v>
      </c>
      <c r="G29" s="13">
        <f>Records!AA29</f>
        <v>113.8</v>
      </c>
      <c r="H29" s="14" t="str">
        <f>IF(Records!AA29&gt;150,"是","否")</f>
        <v>否</v>
      </c>
      <c r="I29" s="14" t="str">
        <f>IF(OR(AND(Records!K29=Records!L29,Records!L29=Records!M29,Records!M29=Records!O29,Records!O29=Records!P29),AND(Records!L29=Records!M29,Records!M29=Records!O29,Records!O29=Records!P29,Records!P29=Records!Q29),AND(Records!M29=Records!O29,Records!O29=Records!P29,Records!P29=Records!Q29,Records!Q29=Records!R29),AND(Records!O29=Records!P29,Records!P29=Records!Q29,Records!Q29=Records!R29,Records!R29=Records!S29),AND(Records!P29=Records!Q29,Records!Q29=Records!R29,Records!R29=Records!S29,Records!S29=Records!T29),AND(Records!Q29=Records!R29,Records!R29=Records!S29,Records!S29=Records!T29,Records!T29=Records!U29),AND(Records!R29=Records!S29,Records!S29=Records!T29,Records!T29=Records!U29,Records!U29=Records!V29),AND(Records!S29=Records!T29,Records!T29=Records!U29,Records!U29=Records!V29,Records!V29=Records!W29),AND(Records!T29=Records!U29,Records!U29=Records!V29,Records!V29=Records!W29,Records!W29=Records!X29)),"是","否")</f>
        <v>否</v>
      </c>
    </row>
    <row r="30">
      <c r="A30" s="6" t="str">
        <f>Records!A30</f>
        <v>P005</v>
      </c>
      <c r="B30" s="6">
        <f>Records!B30</f>
        <v>2</v>
      </c>
      <c r="C30" s="6" t="str">
        <f>Records!H30</f>
        <v>EgoAnchor</v>
      </c>
      <c r="D30" s="6" t="str">
        <f>Records!F30</f>
        <v>stapler</v>
      </c>
      <c r="E30" s="12">
        <f>AVERAGE(Records!S30:U30)</f>
        <v>4.666666666666667</v>
      </c>
      <c r="F30" s="12">
        <f>AVERAGE(Records!O30:P30,Records!V30)</f>
        <v>4.333333333333333</v>
      </c>
      <c r="G30" s="13">
        <f>Records!AA30</f>
        <v>108.7</v>
      </c>
      <c r="H30" s="14" t="str">
        <f>IF(Records!AA30&gt;150,"是","否")</f>
        <v>否</v>
      </c>
      <c r="I30" s="14" t="str">
        <f>IF(OR(AND(Records!K30=Records!L30,Records!L30=Records!M30,Records!M30=Records!O30,Records!O30=Records!P30),AND(Records!L30=Records!M30,Records!M30=Records!O30,Records!O30=Records!P30,Records!P30=Records!Q30),AND(Records!M30=Records!O30,Records!O30=Records!P30,Records!P30=Records!Q30,Records!Q30=Records!R30),AND(Records!O30=Records!P30,Records!P30=Records!Q30,Records!Q30=Records!R30,Records!R30=Records!S30),AND(Records!P30=Records!Q30,Records!Q30=Records!R30,Records!R30=Records!S30,Records!S30=Records!T30),AND(Records!Q30=Records!R30,Records!R30=Records!S30,Records!S30=Records!T30,Records!T30=Records!U30),AND(Records!R30=Records!S30,Records!S30=Records!T30,Records!T30=Records!U30,Records!U30=Records!V30),AND(Records!S30=Records!T30,Records!T30=Records!U30,Records!U30=Records!V30,Records!V30=Records!W30),AND(Records!T30=Records!U30,Records!U30=Records!V30,Records!V30=Records!W30,Records!W30=Records!X30)),"是","否")</f>
        <v>否</v>
      </c>
    </row>
    <row r="31">
      <c r="A31" s="6" t="str">
        <f>Records!A31</f>
        <v>P005</v>
      </c>
      <c r="B31" s="6">
        <f>Records!B31</f>
        <v>3</v>
      </c>
      <c r="C31" s="6" t="str">
        <f>Records!H31</f>
        <v>EgoAnchor</v>
      </c>
      <c r="D31" s="6" t="str">
        <f>Records!F31</f>
        <v>blue_mouse</v>
      </c>
      <c r="E31" s="12">
        <f>AVERAGE(Records!S31:U31)</f>
        <v>4</v>
      </c>
      <c r="F31" s="12">
        <f>AVERAGE(Records!O31:P31,Records!V31)</f>
        <v>3</v>
      </c>
      <c r="G31" s="13">
        <f>Records!AA31</f>
        <v>129.5</v>
      </c>
      <c r="H31" s="14" t="str">
        <f>IF(Records!AA31&gt;150,"是","否")</f>
        <v>否</v>
      </c>
      <c r="I31" s="14" t="str">
        <f>IF(OR(AND(Records!K31=Records!L31,Records!L31=Records!M31,Records!M31=Records!O31,Records!O31=Records!P31),AND(Records!L31=Records!M31,Records!M31=Records!O31,Records!O31=Records!P31,Records!P31=Records!Q31),AND(Records!M31=Records!O31,Records!O31=Records!P31,Records!P31=Records!Q31,Records!Q31=Records!R31),AND(Records!O31=Records!P31,Records!P31=Records!Q31,Records!Q31=Records!R31,Records!R31=Records!S31),AND(Records!P31=Records!Q31,Records!Q31=Records!R31,Records!R31=Records!S31,Records!S31=Records!T31),AND(Records!Q31=Records!R31,Records!R31=Records!S31,Records!S31=Records!T31,Records!T31=Records!U31),AND(Records!R31=Records!S31,Records!S31=Records!T31,Records!T31=Records!U31,Records!U31=Records!V31),AND(Records!S31=Records!T31,Records!T31=Records!U31,Records!U31=Records!V31,Records!V31=Records!W31),AND(Records!T31=Records!U31,Records!U31=Records!V31,Records!V31=Records!W31,Records!W31=Records!X31)),"是","否")</f>
        <v>是</v>
      </c>
    </row>
    <row r="32">
      <c r="A32" s="6" t="str">
        <f>Records!A32</f>
        <v>P005</v>
      </c>
      <c r="B32" s="6">
        <f>Records!B32</f>
        <v>4</v>
      </c>
      <c r="C32" s="6" t="str">
        <f>Records!H32</f>
        <v>One-Euro</v>
      </c>
      <c r="D32" s="6" t="str">
        <f>Records!F32</f>
        <v>blue_mouse</v>
      </c>
      <c r="E32" s="12">
        <f>AVERAGE(Records!S32:U32)</f>
        <v>3.3333333333333335</v>
      </c>
      <c r="F32" s="12">
        <f>AVERAGE(Records!O32:P32,Records!V32)</f>
        <v>4.333333333333333</v>
      </c>
      <c r="G32" s="13">
        <f>Records!AA32</f>
        <v>126.3</v>
      </c>
      <c r="H32" s="14" t="str">
        <f>IF(Records!AA32&gt;150,"是","否")</f>
        <v>否</v>
      </c>
      <c r="I32" s="14" t="str">
        <f>IF(OR(AND(Records!K32=Records!L32,Records!L32=Records!M32,Records!M32=Records!O32,Records!O32=Records!P32),AND(Records!L32=Records!M32,Records!M32=Records!O32,Records!O32=Records!P32,Records!P32=Records!Q32),AND(Records!M32=Records!O32,Records!O32=Records!P32,Records!P32=Records!Q32,Records!Q32=Records!R32),AND(Records!O32=Records!P32,Records!P32=Records!Q32,Records!Q32=Records!R32,Records!R32=Records!S32),AND(Records!P32=Records!Q32,Records!Q32=Records!R32,Records!R32=Records!S32,Records!S32=Records!T32),AND(Records!Q32=Records!R32,Records!R32=Records!S32,Records!S32=Records!T32,Records!T32=Records!U32),AND(Records!R32=Records!S32,Records!S32=Records!T32,Records!T32=Records!U32,Records!U32=Records!V32),AND(Records!S32=Records!T32,Records!T32=Records!U32,Records!U32=Records!V32,Records!V32=Records!W32),AND(Records!T32=Records!U32,Records!U32=Records!V32,Records!V32=Records!W32,Records!W32=Records!X32)),"是","否")</f>
        <v>否</v>
      </c>
    </row>
    <row r="33">
      <c r="A33" s="6" t="str">
        <f>Records!A33</f>
        <v>P005</v>
      </c>
      <c r="B33" s="6">
        <f>Records!B33</f>
        <v>5</v>
      </c>
      <c r="C33" s="6" t="str">
        <f>Records!H33</f>
        <v>One-Euro</v>
      </c>
      <c r="D33" s="6" t="str">
        <f>Records!F33</f>
        <v>gamepad</v>
      </c>
      <c r="E33" s="12">
        <f>AVERAGE(Records!S33:U33)</f>
        <v>4</v>
      </c>
      <c r="F33" s="12">
        <f>AVERAGE(Records!O33:P33,Records!V33)</f>
        <v>4.333333333333333</v>
      </c>
      <c r="G33" s="13">
        <f>Records!AA33</f>
        <v>112.6</v>
      </c>
      <c r="H33" s="14" t="str">
        <f>IF(Records!AA33&gt;150,"是","否")</f>
        <v>否</v>
      </c>
      <c r="I33" s="14" t="str">
        <f>IF(OR(AND(Records!K33=Records!L33,Records!L33=Records!M33,Records!M33=Records!O33,Records!O33=Records!P33),AND(Records!L33=Records!M33,Records!M33=Records!O33,Records!O33=Records!P33,Records!P33=Records!Q33),AND(Records!M33=Records!O33,Records!O33=Records!P33,Records!P33=Records!Q33,Records!Q33=Records!R33),AND(Records!O33=Records!P33,Records!P33=Records!Q33,Records!Q33=Records!R33,Records!R33=Records!S33),AND(Records!P33=Records!Q33,Records!Q33=Records!R33,Records!R33=Records!S33,Records!S33=Records!T33),AND(Records!Q33=Records!R33,Records!R33=Records!S33,Records!S33=Records!T33,Records!T33=Records!U33),AND(Records!R33=Records!S33,Records!S33=Records!T33,Records!T33=Records!U33,Records!U33=Records!V33),AND(Records!S33=Records!T33,Records!T33=Records!U33,Records!U33=Records!V33,Records!V33=Records!W33),AND(Records!T33=Records!U33,Records!U33=Records!V33,Records!V33=Records!W33,Records!W33=Records!X33)),"是","否")</f>
        <v>否</v>
      </c>
    </row>
    <row r="34">
      <c r="A34" s="6" t="str">
        <f>Records!A34</f>
        <v>P005</v>
      </c>
      <c r="B34" s="6">
        <f>Records!B34</f>
        <v>6</v>
      </c>
      <c r="C34" s="6" t="str">
        <f>Records!H34</f>
        <v>EgoAnchor</v>
      </c>
      <c r="D34" s="6" t="str">
        <f>Records!F34</f>
        <v>gamepad</v>
      </c>
      <c r="E34" s="12">
        <f>AVERAGE(Records!S34:U34)</f>
        <v>4</v>
      </c>
      <c r="F34" s="12">
        <f>AVERAGE(Records!O34:P34,Records!V34)</f>
        <v>3.3333333333333335</v>
      </c>
      <c r="G34" s="13">
        <f>Records!AA34</f>
        <v>146.1</v>
      </c>
      <c r="H34" s="14" t="str">
        <f>IF(Records!AA34&gt;150,"是","否")</f>
        <v>否</v>
      </c>
      <c r="I34" s="14" t="str">
        <f>IF(OR(AND(Records!K34=Records!L34,Records!L34=Records!M34,Records!M34=Records!O34,Records!O34=Records!P34),AND(Records!L34=Records!M34,Records!M34=Records!O34,Records!O34=Records!P34,Records!P34=Records!Q34),AND(Records!M34=Records!O34,Records!O34=Records!P34,Records!P34=Records!Q34,Records!Q34=Records!R34),AND(Records!O34=Records!P34,Records!P34=Records!Q34,Records!Q34=Records!R34,Records!R34=Records!S34),AND(Records!P34=Records!Q34,Records!Q34=Records!R34,Records!R34=Records!S34,Records!S34=Records!T34),AND(Records!Q34=Records!R34,Records!R34=Records!S34,Records!S34=Records!T34,Records!T34=Records!U34),AND(Records!R34=Records!S34,Records!S34=Records!T34,Records!T34=Records!U34,Records!U34=Records!V34),AND(Records!S34=Records!T34,Records!T34=Records!U34,Records!U34=Records!V34,Records!V34=Records!W34),AND(Records!T34=Records!U34,Records!U34=Records!V34,Records!V34=Records!W34,Records!W34=Records!X34)),"是","否")</f>
        <v>否</v>
      </c>
    </row>
    <row r="35">
      <c r="A35" s="6" t="str">
        <f>Records!A35</f>
        <v>P006</v>
      </c>
      <c r="B35" s="6">
        <f>Records!B35</f>
        <v>1</v>
      </c>
      <c r="C35" s="6" t="str">
        <f>Records!H35</f>
        <v>EgoAnchor</v>
      </c>
      <c r="D35" s="6" t="str">
        <f>Records!F35</f>
        <v>blue_mouse</v>
      </c>
      <c r="E35" s="12">
        <f>AVERAGE(Records!S35:U35)</f>
        <v>4.333333333333333</v>
      </c>
      <c r="F35" s="12">
        <f>AVERAGE(Records!O35:P35,Records!V35)</f>
        <v>4</v>
      </c>
      <c r="G35" s="13">
        <f>Records!AA35</f>
        <v>132.9</v>
      </c>
      <c r="H35" s="14" t="str">
        <f>IF(Records!AA35&gt;150,"是","否")</f>
        <v>否</v>
      </c>
      <c r="I35" s="14" t="str">
        <f>IF(OR(AND(Records!K35=Records!L35,Records!L35=Records!M35,Records!M35=Records!O35,Records!O35=Records!P35),AND(Records!L35=Records!M35,Records!M35=Records!O35,Records!O35=Records!P35,Records!P35=Records!Q35),AND(Records!M35=Records!O35,Records!O35=Records!P35,Records!P35=Records!Q35,Records!Q35=Records!R35),AND(Records!O35=Records!P35,Records!P35=Records!Q35,Records!Q35=Records!R35,Records!R35=Records!S35),AND(Records!P35=Records!Q35,Records!Q35=Records!R35,Records!R35=Records!S35,Records!S35=Records!T35),AND(Records!Q35=Records!R35,Records!R35=Records!S35,Records!S35=Records!T35,Records!T35=Records!U35),AND(Records!R35=Records!S35,Records!S35=Records!T35,Records!T35=Records!U35,Records!U35=Records!V35),AND(Records!S35=Records!T35,Records!T35=Records!U35,Records!U35=Records!V35,Records!V35=Records!W35),AND(Records!T35=Records!U35,Records!U35=Records!V35,Records!V35=Records!W35,Records!W35=Records!X35)),"是","否")</f>
        <v>是</v>
      </c>
    </row>
    <row r="36">
      <c r="A36" s="6" t="str">
        <f>Records!A36</f>
        <v>P006</v>
      </c>
      <c r="B36" s="6">
        <f>Records!B36</f>
        <v>2</v>
      </c>
      <c r="C36" s="6" t="str">
        <f>Records!H36</f>
        <v>One-Euro</v>
      </c>
      <c r="D36" s="6" t="str">
        <f>Records!F36</f>
        <v>blue_mouse</v>
      </c>
      <c r="E36" s="12">
        <f>AVERAGE(Records!S36:U36)</f>
        <v>4.333333333333333</v>
      </c>
      <c r="F36" s="12">
        <f>AVERAGE(Records!O36:P36,Records!V36)</f>
        <v>3.6666666666666665</v>
      </c>
      <c r="G36" s="13">
        <f>Records!AA36</f>
        <v>163.2</v>
      </c>
      <c r="H36" s="14" t="str">
        <f>IF(Records!AA36&gt;150,"是","否")</f>
        <v>是</v>
      </c>
      <c r="I36" s="14" t="str">
        <f>IF(OR(AND(Records!K36=Records!L36,Records!L36=Records!M36,Records!M36=Records!O36,Records!O36=Records!P36),AND(Records!L36=Records!M36,Records!M36=Records!O36,Records!O36=Records!P36,Records!P36=Records!Q36),AND(Records!M36=Records!O36,Records!O36=Records!P36,Records!P36=Records!Q36,Records!Q36=Records!R36),AND(Records!O36=Records!P36,Records!P36=Records!Q36,Records!Q36=Records!R36,Records!R36=Records!S36),AND(Records!P36=Records!Q36,Records!Q36=Records!R36,Records!R36=Records!S36,Records!S36=Records!T36),AND(Records!Q36=Records!R36,Records!R36=Records!S36,Records!S36=Records!T36,Records!T36=Records!U36),AND(Records!R36=Records!S36,Records!S36=Records!T36,Records!T36=Records!U36,Records!U36=Records!V36),AND(Records!S36=Records!T36,Records!T36=Records!U36,Records!U36=Records!V36,Records!V36=Records!W36),AND(Records!T36=Records!U36,Records!U36=Records!V36,Records!V36=Records!W36,Records!W36=Records!X36)),"是","否")</f>
        <v>否</v>
      </c>
    </row>
    <row r="37">
      <c r="A37" s="6" t="str">
        <f>Records!A37</f>
        <v>P006</v>
      </c>
      <c r="B37" s="6">
        <f>Records!B37</f>
        <v>3</v>
      </c>
      <c r="C37" s="6" t="str">
        <f>Records!H37</f>
        <v>One-Euro</v>
      </c>
      <c r="D37" s="6" t="str">
        <f>Records!F37</f>
        <v>stapler</v>
      </c>
      <c r="E37" s="12">
        <f>AVERAGE(Records!S37:U37)</f>
        <v>5</v>
      </c>
      <c r="F37" s="12">
        <f>AVERAGE(Records!O37:P37,Records!V37)</f>
        <v>4</v>
      </c>
      <c r="G37" s="13">
        <f>Records!AA37</f>
        <v>186.7</v>
      </c>
      <c r="H37" s="14" t="str">
        <f>IF(Records!AA37&gt;150,"是","否")</f>
        <v>是</v>
      </c>
      <c r="I37" s="14" t="str">
        <f>IF(OR(AND(Records!K37=Records!L37,Records!L37=Records!M37,Records!M37=Records!O37,Records!O37=Records!P37),AND(Records!L37=Records!M37,Records!M37=Records!O37,Records!O37=Records!P37,Records!P37=Records!Q37),AND(Records!M37=Records!O37,Records!O37=Records!P37,Records!P37=Records!Q37,Records!Q37=Records!R37),AND(Records!O37=Records!P37,Records!P37=Records!Q37,Records!Q37=Records!R37,Records!R37=Records!S37),AND(Records!P37=Records!Q37,Records!Q37=Records!R37,Records!R37=Records!S37,Records!S37=Records!T37),AND(Records!Q37=Records!R37,Records!R37=Records!S37,Records!S37=Records!T37,Records!T37=Records!U37),AND(Records!R37=Records!S37,Records!S37=Records!T37,Records!T37=Records!U37,Records!U37=Records!V37),AND(Records!S37=Records!T37,Records!T37=Records!U37,Records!U37=Records!V37,Records!V37=Records!W37),AND(Records!T37=Records!U37,Records!U37=Records!V37,Records!V37=Records!W37,Records!W37=Records!X37)),"是","否")</f>
        <v>是</v>
      </c>
    </row>
    <row r="38">
      <c r="A38" s="6" t="str">
        <f>Records!A38</f>
        <v>P006</v>
      </c>
      <c r="B38" s="6">
        <f>Records!B38</f>
        <v>4</v>
      </c>
      <c r="C38" s="6" t="str">
        <f>Records!H38</f>
        <v>EgoAnchor</v>
      </c>
      <c r="D38" s="6" t="str">
        <f>Records!F38</f>
        <v>stapler</v>
      </c>
      <c r="E38" s="12">
        <f>AVERAGE(Records!S38:U38)</f>
        <v>4.666666666666667</v>
      </c>
      <c r="F38" s="12">
        <f>AVERAGE(Records!O38:P38,Records!V38)</f>
        <v>3.3333333333333335</v>
      </c>
      <c r="G38" s="13">
        <f>Records!AA38</f>
        <v>156.2</v>
      </c>
      <c r="H38" s="14" t="str">
        <f>IF(Records!AA38&gt;150,"是","否")</f>
        <v>是</v>
      </c>
      <c r="I38" s="14" t="str">
        <f>IF(OR(AND(Records!K38=Records!L38,Records!L38=Records!M38,Records!M38=Records!O38,Records!O38=Records!P38),AND(Records!L38=Records!M38,Records!M38=Records!O38,Records!O38=Records!P38,Records!P38=Records!Q38),AND(Records!M38=Records!O38,Records!O38=Records!P38,Records!P38=Records!Q38,Records!Q38=Records!R38),AND(Records!O38=Records!P38,Records!P38=Records!Q38,Records!Q38=Records!R38,Records!R38=Records!S38),AND(Records!P38=Records!Q38,Records!Q38=Records!R38,Records!R38=Records!S38,Records!S38=Records!T38),AND(Records!Q38=Records!R38,Records!R38=Records!S38,Records!S38=Records!T38,Records!T38=Records!U38),AND(Records!R38=Records!S38,Records!S38=Records!T38,Records!T38=Records!U38,Records!U38=Records!V38),AND(Records!S38=Records!T38,Records!T38=Records!U38,Records!U38=Records!V38,Records!V38=Records!W38),AND(Records!T38=Records!U38,Records!U38=Records!V38,Records!V38=Records!W38,Records!W38=Records!X38)),"是","否")</f>
        <v>否</v>
      </c>
    </row>
    <row r="39">
      <c r="A39" s="6" t="str">
        <f>Records!A39</f>
        <v>P006</v>
      </c>
      <c r="B39" s="6">
        <f>Records!B39</f>
        <v>5</v>
      </c>
      <c r="C39" s="6" t="str">
        <f>Records!H39</f>
        <v>EgoAnchor</v>
      </c>
      <c r="D39" s="6" t="str">
        <f>Records!F39</f>
        <v>gamepad</v>
      </c>
      <c r="E39" s="12">
        <f>AVERAGE(Records!S39:U39)</f>
        <v>4</v>
      </c>
      <c r="F39" s="12">
        <f>AVERAGE(Records!O39:P39,Records!V39)</f>
        <v>3.6666666666666665</v>
      </c>
      <c r="G39" s="13">
        <f>Records!AA39</f>
        <v>209.9</v>
      </c>
      <c r="H39" s="14" t="str">
        <f>IF(Records!AA39&gt;150,"是","否")</f>
        <v>是</v>
      </c>
      <c r="I39" s="14" t="str">
        <f>IF(OR(AND(Records!K39=Records!L39,Records!L39=Records!M39,Records!M39=Records!O39,Records!O39=Records!P39),AND(Records!L39=Records!M39,Records!M39=Records!O39,Records!O39=Records!P39,Records!P39=Records!Q39),AND(Records!M39=Records!O39,Records!O39=Records!P39,Records!P39=Records!Q39,Records!Q39=Records!R39),AND(Records!O39=Records!P39,Records!P39=Records!Q39,Records!Q39=Records!R39,Records!R39=Records!S39),AND(Records!P39=Records!Q39,Records!Q39=Records!R39,Records!R39=Records!S39,Records!S39=Records!T39),AND(Records!Q39=Records!R39,Records!R39=Records!S39,Records!S39=Records!T39,Records!T39=Records!U39),AND(Records!R39=Records!S39,Records!S39=Records!T39,Records!T39=Records!U39,Records!U39=Records!V39),AND(Records!S39=Records!T39,Records!T39=Records!U39,Records!U39=Records!V39,Records!V39=Records!W39),AND(Records!T39=Records!U39,Records!U39=Records!V39,Records!V39=Records!W39,Records!W39=Records!X39)),"是","否")</f>
        <v>是</v>
      </c>
    </row>
    <row r="40">
      <c r="A40" s="6" t="str">
        <f>Records!A40</f>
        <v>P006</v>
      </c>
      <c r="B40" s="6">
        <f>Records!B40</f>
        <v>6</v>
      </c>
      <c r="C40" s="6" t="str">
        <f>Records!H40</f>
        <v>One-Euro</v>
      </c>
      <c r="D40" s="6" t="str">
        <f>Records!F40</f>
        <v>gamepad</v>
      </c>
      <c r="E40" s="12">
        <f>AVERAGE(Records!S40:U40)</f>
        <v>4.666666666666667</v>
      </c>
      <c r="F40" s="12">
        <f>AVERAGE(Records!O40:P40,Records!V40)</f>
        <v>4</v>
      </c>
      <c r="G40" s="13">
        <f>Records!AA40</f>
        <v>168.8</v>
      </c>
      <c r="H40" s="14" t="str">
        <f>IF(Records!AA40&gt;150,"是","否")</f>
        <v>是</v>
      </c>
      <c r="I40" s="14" t="str">
        <f>IF(OR(AND(Records!K40=Records!L40,Records!L40=Records!M40,Records!M40=Records!O40,Records!O40=Records!P40),AND(Records!L40=Records!M40,Records!M40=Records!O40,Records!O40=Records!P40,Records!P40=Records!Q40),AND(Records!M40=Records!O40,Records!O40=Records!P40,Records!P40=Records!Q40,Records!Q40=Records!R40),AND(Records!O40=Records!P40,Records!P40=Records!Q40,Records!Q40=Records!R40,Records!R40=Records!S40),AND(Records!P40=Records!Q40,Records!Q40=Records!R40,Records!R40=Records!S40,Records!S40=Records!T40),AND(Records!Q40=Records!R40,Records!R40=Records!S40,Records!S40=Records!T40,Records!T40=Records!U40),AND(Records!R40=Records!S40,Records!S40=Records!T40,Records!T40=Records!U40,Records!U40=Records!V40),AND(Records!S40=Records!T40,Records!T40=Records!U40,Records!U40=Records!V40,Records!V40=Records!W40),AND(Records!T40=Records!U40,Records!U40=Records!V40,Records!V40=Records!W40,Records!W40=Records!X40)),"是","否")</f>
        <v>否</v>
      </c>
    </row>
    <row r="41">
      <c r="A41" s="6" t="str">
        <f>Records!A41</f>
        <v>P007</v>
      </c>
      <c r="B41" s="6">
        <f>Records!B41</f>
        <v>1</v>
      </c>
      <c r="C41" s="6" t="str">
        <f>Records!H41</f>
        <v>EgoAnchor</v>
      </c>
      <c r="D41" s="6" t="str">
        <f>Records!F41</f>
        <v>stapler</v>
      </c>
      <c r="E41" s="12">
        <f>AVERAGE(Records!S41:U41)</f>
        <v>6.333333333333333</v>
      </c>
      <c r="F41" s="12">
        <f>AVERAGE(Records!O41:P41,Records!V41)</f>
        <v>6.333333333333333</v>
      </c>
      <c r="G41" s="13">
        <f>Records!AA41</f>
        <v>116.3</v>
      </c>
      <c r="H41" s="14" t="str">
        <f>IF(Records!AA41&gt;150,"是","否")</f>
        <v>否</v>
      </c>
      <c r="I41" s="14" t="str">
        <f>IF(OR(AND(Records!K41=Records!L41,Records!L41=Records!M41,Records!M41=Records!O41,Records!O41=Records!P41),AND(Records!L41=Records!M41,Records!M41=Records!O41,Records!O41=Records!P41,Records!P41=Records!Q41),AND(Records!M41=Records!O41,Records!O41=Records!P41,Records!P41=Records!Q41,Records!Q41=Records!R41),AND(Records!O41=Records!P41,Records!P41=Records!Q41,Records!Q41=Records!R41,Records!R41=Records!S41),AND(Records!P41=Records!Q41,Records!Q41=Records!R41,Records!R41=Records!S41,Records!S41=Records!T41),AND(Records!Q41=Records!R41,Records!R41=Records!S41,Records!S41=Records!T41,Records!T41=Records!U41),AND(Records!R41=Records!S41,Records!S41=Records!T41,Records!T41=Records!U41,Records!U41=Records!V41),AND(Records!S41=Records!T41,Records!T41=Records!U41,Records!U41=Records!V41,Records!V41=Records!W41),AND(Records!T41=Records!U41,Records!U41=Records!V41,Records!V41=Records!W41,Records!W41=Records!X41)),"是","否")</f>
        <v>否</v>
      </c>
    </row>
    <row r="42">
      <c r="A42" s="6" t="str">
        <f>Records!A42</f>
        <v>P007</v>
      </c>
      <c r="B42" s="6">
        <f>Records!B42</f>
        <v>2</v>
      </c>
      <c r="C42" s="6" t="str">
        <f>Records!H42</f>
        <v>One-Euro</v>
      </c>
      <c r="D42" s="6" t="str">
        <f>Records!F42</f>
        <v>stapler</v>
      </c>
      <c r="E42" s="12">
        <f>AVERAGE(Records!S42:U42)</f>
        <v>6</v>
      </c>
      <c r="F42" s="12">
        <f>AVERAGE(Records!O42:P42,Records!V42)</f>
        <v>6.333333333333333</v>
      </c>
      <c r="G42" s="13">
        <f>Records!AA42</f>
        <v>107.2</v>
      </c>
      <c r="H42" s="14" t="str">
        <f>IF(Records!AA42&gt;150,"是","否")</f>
        <v>否</v>
      </c>
      <c r="I42" s="14" t="str">
        <f>IF(OR(AND(Records!K42=Records!L42,Records!L42=Records!M42,Records!M42=Records!O42,Records!O42=Records!P42),AND(Records!L42=Records!M42,Records!M42=Records!O42,Records!O42=Records!P42,Records!P42=Records!Q42),AND(Records!M42=Records!O42,Records!O42=Records!P42,Records!P42=Records!Q42,Records!Q42=Records!R42),AND(Records!O42=Records!P42,Records!P42=Records!Q42,Records!Q42=Records!R42,Records!R42=Records!S42),AND(Records!P42=Records!Q42,Records!Q42=Records!R42,Records!R42=Records!S42,Records!S42=Records!T42),AND(Records!Q42=Records!R42,Records!R42=Records!S42,Records!S42=Records!T42,Records!T42=Records!U42),AND(Records!R42=Records!S42,Records!S42=Records!T42,Records!T42=Records!U42,Records!U42=Records!V42),AND(Records!S42=Records!T42,Records!T42=Records!U42,Records!U42=Records!V42,Records!V42=Records!W42),AND(Records!T42=Records!U42,Records!U42=Records!V42,Records!V42=Records!W42,Records!W42=Records!X42)),"是","否")</f>
        <v>否</v>
      </c>
    </row>
    <row r="43">
      <c r="A43" s="6" t="str">
        <f>Records!A43</f>
        <v>P007</v>
      </c>
      <c r="B43" s="6">
        <f>Records!B43</f>
        <v>3</v>
      </c>
      <c r="C43" s="6" t="str">
        <f>Records!H43</f>
        <v>One-Euro</v>
      </c>
      <c r="D43" s="6" t="str">
        <f>Records!F43</f>
        <v>blue_mouse</v>
      </c>
      <c r="E43" s="12">
        <f>AVERAGE(Records!S43:U43)</f>
        <v>5.666666666666667</v>
      </c>
      <c r="F43" s="12">
        <f>AVERAGE(Records!O43:P43,Records!V43)</f>
        <v>6.333333333333333</v>
      </c>
      <c r="G43" s="13">
        <f>Records!AA43</f>
        <v>115</v>
      </c>
      <c r="H43" s="14" t="str">
        <f>IF(Records!AA43&gt;150,"是","否")</f>
        <v>否</v>
      </c>
      <c r="I43" s="14" t="str">
        <f>IF(OR(AND(Records!K43=Records!L43,Records!L43=Records!M43,Records!M43=Records!O43,Records!O43=Records!P43),AND(Records!L43=Records!M43,Records!M43=Records!O43,Records!O43=Records!P43,Records!P43=Records!Q43),AND(Records!M43=Records!O43,Records!O43=Records!P43,Records!P43=Records!Q43,Records!Q43=Records!R43),AND(Records!O43=Records!P43,Records!P43=Records!Q43,Records!Q43=Records!R43,Records!R43=Records!S43),AND(Records!P43=Records!Q43,Records!Q43=Records!R43,Records!R43=Records!S43,Records!S43=Records!T43),AND(Records!Q43=Records!R43,Records!R43=Records!S43,Records!S43=Records!T43,Records!T43=Records!U43),AND(Records!R43=Records!S43,Records!S43=Records!T43,Records!T43=Records!U43,Records!U43=Records!V43),AND(Records!S43=Records!T43,Records!T43=Records!U43,Records!U43=Records!V43,Records!V43=Records!W43),AND(Records!T43=Records!U43,Records!U43=Records!V43,Records!V43=Records!W43,Records!W43=Records!X43)),"是","否")</f>
        <v>否</v>
      </c>
    </row>
    <row r="44">
      <c r="A44" s="6" t="str">
        <f>Records!A44</f>
        <v>P007</v>
      </c>
      <c r="B44" s="6">
        <f>Records!B44</f>
        <v>4</v>
      </c>
      <c r="C44" s="6" t="str">
        <f>Records!H44</f>
        <v>EgoAnchor</v>
      </c>
      <c r="D44" s="6" t="str">
        <f>Records!F44</f>
        <v>blue_mouse</v>
      </c>
      <c r="E44" s="12">
        <f>AVERAGE(Records!S44:U44)</f>
        <v>6.666666666666667</v>
      </c>
      <c r="F44" s="12">
        <f>AVERAGE(Records!O44:P44,Records!V44)</f>
        <v>6.333333333333333</v>
      </c>
      <c r="G44" s="13">
        <f>Records!AA44</f>
        <v>129.4</v>
      </c>
      <c r="H44" s="14" t="str">
        <f>IF(Records!AA44&gt;150,"是","否")</f>
        <v>否</v>
      </c>
      <c r="I44" s="14" t="str">
        <f>IF(OR(AND(Records!K44=Records!L44,Records!L44=Records!M44,Records!M44=Records!O44,Records!O44=Records!P44),AND(Records!L44=Records!M44,Records!M44=Records!O44,Records!O44=Records!P44,Records!P44=Records!Q44),AND(Records!M44=Records!O44,Records!O44=Records!P44,Records!P44=Records!Q44,Records!Q44=Records!R44),AND(Records!O44=Records!P44,Records!P44=Records!Q44,Records!Q44=Records!R44,Records!R44=Records!S44),AND(Records!P44=Records!Q44,Records!Q44=Records!R44,Records!R44=Records!S44,Records!S44=Records!T44),AND(Records!Q44=Records!R44,Records!R44=Records!S44,Records!S44=Records!T44,Records!T44=Records!U44),AND(Records!R44=Records!S44,Records!S44=Records!T44,Records!T44=Records!U44,Records!U44=Records!V44),AND(Records!S44=Records!T44,Records!T44=Records!U44,Records!U44=Records!V44,Records!V44=Records!W44),AND(Records!T44=Records!U44,Records!U44=Records!V44,Records!V44=Records!W44,Records!W44=Records!X44)),"是","否")</f>
        <v>否</v>
      </c>
    </row>
    <row r="45">
      <c r="A45" s="6" t="str">
        <f>Records!A45</f>
        <v>P007</v>
      </c>
      <c r="B45" s="6">
        <f>Records!B45</f>
        <v>5</v>
      </c>
      <c r="C45" s="6" t="str">
        <f>Records!H45</f>
        <v>EgoAnchor</v>
      </c>
      <c r="D45" s="6" t="str">
        <f>Records!F45</f>
        <v>gamepad</v>
      </c>
      <c r="E45" s="12">
        <f>AVERAGE(Records!S45:U45)</f>
        <v>6.666666666666667</v>
      </c>
      <c r="F45" s="12">
        <f>AVERAGE(Records!O45:P45,Records!V45)</f>
        <v>7</v>
      </c>
      <c r="G45" s="13">
        <f>Records!AA45</f>
        <v>107.4</v>
      </c>
      <c r="H45" s="14" t="str">
        <f>IF(Records!AA45&gt;150,"是","否")</f>
        <v>否</v>
      </c>
      <c r="I45" s="14" t="str">
        <f>IF(OR(AND(Records!K45=Records!L45,Records!L45=Records!M45,Records!M45=Records!O45,Records!O45=Records!P45),AND(Records!L45=Records!M45,Records!M45=Records!O45,Records!O45=Records!P45,Records!P45=Records!Q45),AND(Records!M45=Records!O45,Records!O45=Records!P45,Records!P45=Records!Q45,Records!Q45=Records!R45),AND(Records!O45=Records!P45,Records!P45=Records!Q45,Records!Q45=Records!R45,Records!R45=Records!S45),AND(Records!P45=Records!Q45,Records!Q45=Records!R45,Records!R45=Records!S45,Records!S45=Records!T45),AND(Records!Q45=Records!R45,Records!R45=Records!S45,Records!S45=Records!T45,Records!T45=Records!U45),AND(Records!R45=Records!S45,Records!S45=Records!T45,Records!T45=Records!U45,Records!U45=Records!V45),AND(Records!S45=Records!T45,Records!T45=Records!U45,Records!U45=Records!V45,Records!V45=Records!W45),AND(Records!T45=Records!U45,Records!U45=Records!V45,Records!V45=Records!W45,Records!W45=Records!X45)),"是","否")</f>
        <v>是</v>
      </c>
    </row>
    <row r="46">
      <c r="A46" s="6" t="str">
        <f>Records!A46</f>
        <v>P007</v>
      </c>
      <c r="B46" s="6">
        <f>Records!B46</f>
        <v>6</v>
      </c>
      <c r="C46" s="6" t="str">
        <f>Records!H46</f>
        <v>One-Euro</v>
      </c>
      <c r="D46" s="6" t="str">
        <f>Records!F46</f>
        <v>gamepad</v>
      </c>
      <c r="E46" s="12">
        <f>AVERAGE(Records!S46:U46)</f>
        <v>5.333333333333333</v>
      </c>
      <c r="F46" s="12">
        <f>AVERAGE(Records!O46:P46,Records!V46)</f>
        <v>6.333333333333333</v>
      </c>
      <c r="G46" s="13">
        <f>Records!AA46</f>
        <v>124.8</v>
      </c>
      <c r="H46" s="14" t="str">
        <f>IF(Records!AA46&gt;150,"是","否")</f>
        <v>否</v>
      </c>
      <c r="I46" s="14" t="str">
        <f>IF(OR(AND(Records!K46=Records!L46,Records!L46=Records!M46,Records!M46=Records!O46,Records!O46=Records!P46),AND(Records!L46=Records!M46,Records!M46=Records!O46,Records!O46=Records!P46,Records!P46=Records!Q46),AND(Records!M46=Records!O46,Records!O46=Records!P46,Records!P46=Records!Q46,Records!Q46=Records!R46),AND(Records!O46=Records!P46,Records!P46=Records!Q46,Records!Q46=Records!R46,Records!R46=Records!S46),AND(Records!P46=Records!Q46,Records!Q46=Records!R46,Records!R46=Records!S46,Records!S46=Records!T46),AND(Records!Q46=Records!R46,Records!R46=Records!S46,Records!S46=Records!T46,Records!T46=Records!U46),AND(Records!R46=Records!S46,Records!S46=Records!T46,Records!T46=Records!U46,Records!U46=Records!V46),AND(Records!S46=Records!T46,Records!T46=Records!U46,Records!U46=Records!V46,Records!V46=Records!W46),AND(Records!T46=Records!U46,Records!U46=Records!V46,Records!V46=Records!W46,Records!W46=Records!X46)),"是","否")</f>
        <v>否</v>
      </c>
    </row>
    <row r="47">
      <c r="A47" s="6" t="str">
        <f>Records!A47</f>
        <v>P008</v>
      </c>
      <c r="B47" s="6">
        <f>Records!B47</f>
        <v>1</v>
      </c>
      <c r="C47" s="6" t="str">
        <f>Records!H47</f>
        <v>EgoAnchor</v>
      </c>
      <c r="D47" s="6" t="str">
        <f>Records!F47</f>
        <v>stapler</v>
      </c>
      <c r="E47" s="12">
        <f>AVERAGE(Records!S47:U47)</f>
        <v>6.666666666666667</v>
      </c>
      <c r="F47" s="12">
        <f>AVERAGE(Records!O47:P47,Records!V47)</f>
        <v>5.333333333333333</v>
      </c>
      <c r="G47" s="13">
        <f>Records!AA47</f>
        <v>126.9</v>
      </c>
      <c r="H47" s="14" t="str">
        <f>IF(Records!AA47&gt;150,"是","否")</f>
        <v>否</v>
      </c>
      <c r="I47" s="14" t="str">
        <f>IF(OR(AND(Records!K47=Records!L47,Records!L47=Records!M47,Records!M47=Records!O47,Records!O47=Records!P47),AND(Records!L47=Records!M47,Records!M47=Records!O47,Records!O47=Records!P47,Records!P47=Records!Q47),AND(Records!M47=Records!O47,Records!O47=Records!P47,Records!P47=Records!Q47,Records!Q47=Records!R47),AND(Records!O47=Records!P47,Records!P47=Records!Q47,Records!Q47=Records!R47,Records!R47=Records!S47),AND(Records!P47=Records!Q47,Records!Q47=Records!R47,Records!R47=Records!S47,Records!S47=Records!T47),AND(Records!Q47=Records!R47,Records!R47=Records!S47,Records!S47=Records!T47,Records!T47=Records!U47),AND(Records!R47=Records!S47,Records!S47=Records!T47,Records!T47=Records!U47,Records!U47=Records!V47),AND(Records!S47=Records!T47,Records!T47=Records!U47,Records!U47=Records!V47,Records!V47=Records!W47),AND(Records!T47=Records!U47,Records!U47=Records!V47,Records!V47=Records!W47,Records!W47=Records!X47)),"是","否")</f>
        <v>否</v>
      </c>
    </row>
    <row r="48">
      <c r="A48" s="6" t="str">
        <f>Records!A48</f>
        <v>P008</v>
      </c>
      <c r="B48" s="6">
        <f>Records!B48</f>
        <v>2</v>
      </c>
      <c r="C48" s="6" t="str">
        <f>Records!H48</f>
        <v>One-Euro</v>
      </c>
      <c r="D48" s="6" t="str">
        <f>Records!F48</f>
        <v>stapler</v>
      </c>
      <c r="E48" s="12">
        <f>AVERAGE(Records!S48:U48)</f>
        <v>6.666666666666667</v>
      </c>
      <c r="F48" s="12">
        <f>AVERAGE(Records!O48:P48,Records!V48)</f>
        <v>5.333333333333333</v>
      </c>
      <c r="G48" s="13">
        <f>Records!AA48</f>
        <v>145.3</v>
      </c>
      <c r="H48" s="14" t="str">
        <f>IF(Records!AA48&gt;150,"是","否")</f>
        <v>否</v>
      </c>
      <c r="I48" s="14" t="str">
        <f>IF(OR(AND(Records!K48=Records!L48,Records!L48=Records!M48,Records!M48=Records!O48,Records!O48=Records!P48),AND(Records!L48=Records!M48,Records!M48=Records!O48,Records!O48=Records!P48,Records!P48=Records!Q48),AND(Records!M48=Records!O48,Records!O48=Records!P48,Records!P48=Records!Q48,Records!Q48=Records!R48),AND(Records!O48=Records!P48,Records!P48=Records!Q48,Records!Q48=Records!R48,Records!R48=Records!S48),AND(Records!P48=Records!Q48,Records!Q48=Records!R48,Records!R48=Records!S48,Records!S48=Records!T48),AND(Records!Q48=Records!R48,Records!R48=Records!S48,Records!S48=Records!T48,Records!T48=Records!U48),AND(Records!R48=Records!S48,Records!S48=Records!T48,Records!T48=Records!U48,Records!U48=Records!V48),AND(Records!S48=Records!T48,Records!T48=Records!U48,Records!U48=Records!V48,Records!V48=Records!W48),AND(Records!T48=Records!U48,Records!U48=Records!V48,Records!V48=Records!W48,Records!W48=Records!X48)),"是","否")</f>
        <v>否</v>
      </c>
    </row>
    <row r="49">
      <c r="A49" s="6" t="str">
        <f>Records!A49</f>
        <v>P008</v>
      </c>
      <c r="B49" s="6">
        <f>Records!B49</f>
        <v>3</v>
      </c>
      <c r="C49" s="6" t="str">
        <f>Records!H49</f>
        <v>One-Euro</v>
      </c>
      <c r="D49" s="6" t="str">
        <f>Records!F49</f>
        <v>blue_mouse</v>
      </c>
      <c r="E49" s="12">
        <f>AVERAGE(Records!S49:U49)</f>
        <v>5</v>
      </c>
      <c r="F49" s="12">
        <f>AVERAGE(Records!O49:P49,Records!V49)</f>
        <v>4.333333333333333</v>
      </c>
      <c r="G49" s="13">
        <f>Records!AA49</f>
        <v>127.8</v>
      </c>
      <c r="H49" s="14" t="str">
        <f>IF(Records!AA49&gt;150,"是","否")</f>
        <v>否</v>
      </c>
      <c r="I49" s="14" t="str">
        <f>IF(OR(AND(Records!K49=Records!L49,Records!L49=Records!M49,Records!M49=Records!O49,Records!O49=Records!P49),AND(Records!L49=Records!M49,Records!M49=Records!O49,Records!O49=Records!P49,Records!P49=Records!Q49),AND(Records!M49=Records!O49,Records!O49=Records!P49,Records!P49=Records!Q49,Records!Q49=Records!R49),AND(Records!O49=Records!P49,Records!P49=Records!Q49,Records!Q49=Records!R49,Records!R49=Records!S49),AND(Records!P49=Records!Q49,Records!Q49=Records!R49,Records!R49=Records!S49,Records!S49=Records!T49),AND(Records!Q49=Records!R49,Records!R49=Records!S49,Records!S49=Records!T49,Records!T49=Records!U49),AND(Records!R49=Records!S49,Records!S49=Records!T49,Records!T49=Records!U49,Records!U49=Records!V49),AND(Records!S49=Records!T49,Records!T49=Records!U49,Records!U49=Records!V49,Records!V49=Records!W49),AND(Records!T49=Records!U49,Records!U49=Records!V49,Records!V49=Records!W49,Records!W49=Records!X49)),"是","否")</f>
        <v>否</v>
      </c>
    </row>
    <row r="50">
      <c r="A50" s="6" t="str">
        <f>Records!A50</f>
        <v>P008</v>
      </c>
      <c r="B50" s="6">
        <f>Records!B50</f>
        <v>4</v>
      </c>
      <c r="C50" s="6" t="str">
        <f>Records!H50</f>
        <v>EgoAnchor</v>
      </c>
      <c r="D50" s="6" t="str">
        <f>Records!F50</f>
        <v>blue_mouse</v>
      </c>
      <c r="E50" s="12">
        <f>AVERAGE(Records!S50:U50)</f>
        <v>6.666666666666667</v>
      </c>
      <c r="F50" s="12">
        <f>AVERAGE(Records!O50:P50,Records!V50)</f>
        <v>5.333333333333333</v>
      </c>
      <c r="G50" s="13">
        <f>Records!AA50</f>
        <v>138.1</v>
      </c>
      <c r="H50" s="14" t="str">
        <f>IF(Records!AA50&gt;150,"是","否")</f>
        <v>否</v>
      </c>
      <c r="I50" s="14" t="str">
        <f>IF(OR(AND(Records!K50=Records!L50,Records!L50=Records!M50,Records!M50=Records!O50,Records!O50=Records!P50),AND(Records!L50=Records!M50,Records!M50=Records!O50,Records!O50=Records!P50,Records!P50=Records!Q50),AND(Records!M50=Records!O50,Records!O50=Records!P50,Records!P50=Records!Q50,Records!Q50=Records!R50),AND(Records!O50=Records!P50,Records!P50=Records!Q50,Records!Q50=Records!R50,Records!R50=Records!S50),AND(Records!P50=Records!Q50,Records!Q50=Records!R50,Records!R50=Records!S50,Records!S50=Records!T50),AND(Records!Q50=Records!R50,Records!R50=Records!S50,Records!S50=Records!T50,Records!T50=Records!U50),AND(Records!R50=Records!S50,Records!S50=Records!T50,Records!T50=Records!U50,Records!U50=Records!V50),AND(Records!S50=Records!T50,Records!T50=Records!U50,Records!U50=Records!V50,Records!V50=Records!W50),AND(Records!T50=Records!U50,Records!U50=Records!V50,Records!V50=Records!W50,Records!W50=Records!X50)),"是","否")</f>
        <v>否</v>
      </c>
    </row>
    <row r="51">
      <c r="A51" s="6" t="str">
        <f>Records!A51</f>
        <v>P008</v>
      </c>
      <c r="B51" s="6">
        <f>Records!B51</f>
        <v>5</v>
      </c>
      <c r="C51" s="6" t="str">
        <f>Records!H51</f>
        <v>EgoAnchor</v>
      </c>
      <c r="D51" s="6" t="str">
        <f>Records!F51</f>
        <v>gamepad</v>
      </c>
      <c r="E51" s="12">
        <f>AVERAGE(Records!S51:U51)</f>
        <v>6.666666666666667</v>
      </c>
      <c r="F51" s="12">
        <f>AVERAGE(Records!O51:P51,Records!V51)</f>
        <v>4.666666666666667</v>
      </c>
      <c r="G51" s="13">
        <f>Records!AA51</f>
        <v>128.4</v>
      </c>
      <c r="H51" s="14" t="str">
        <f>IF(Records!AA51&gt;150,"是","否")</f>
        <v>否</v>
      </c>
      <c r="I51" s="14" t="str">
        <f>IF(OR(AND(Records!K51=Records!L51,Records!L51=Records!M51,Records!M51=Records!O51,Records!O51=Records!P51),AND(Records!L51=Records!M51,Records!M51=Records!O51,Records!O51=Records!P51,Records!P51=Records!Q51),AND(Records!M51=Records!O51,Records!O51=Records!P51,Records!P51=Records!Q51,Records!Q51=Records!R51),AND(Records!O51=Records!P51,Records!P51=Records!Q51,Records!Q51=Records!R51,Records!R51=Records!S51),AND(Records!P51=Records!Q51,Records!Q51=Records!R51,Records!R51=Records!S51,Records!S51=Records!T51),AND(Records!Q51=Records!R51,Records!R51=Records!S51,Records!S51=Records!T51,Records!T51=Records!U51),AND(Records!R51=Records!S51,Records!S51=Records!T51,Records!T51=Records!U51,Records!U51=Records!V51),AND(Records!S51=Records!T51,Records!T51=Records!U51,Records!U51=Records!V51,Records!V51=Records!W51),AND(Records!T51=Records!U51,Records!U51=Records!V51,Records!V51=Records!W51,Records!W51=Records!X51)),"是","否")</f>
        <v>否</v>
      </c>
    </row>
    <row r="52">
      <c r="A52" s="6" t="str">
        <f>Records!A52</f>
        <v>P008</v>
      </c>
      <c r="B52" s="6">
        <f>Records!B52</f>
        <v>6</v>
      </c>
      <c r="C52" s="6" t="str">
        <f>Records!H52</f>
        <v>One-Euro</v>
      </c>
      <c r="D52" s="6" t="str">
        <f>Records!F52</f>
        <v>gamepad</v>
      </c>
      <c r="E52" s="12">
        <f>AVERAGE(Records!S52:U52)</f>
        <v>6</v>
      </c>
      <c r="F52" s="12">
        <f>AVERAGE(Records!O52:P52,Records!V52)</f>
        <v>4.666666666666667</v>
      </c>
      <c r="G52" s="13">
        <f>Records!AA52</f>
        <v>135.9</v>
      </c>
      <c r="H52" s="14" t="str">
        <f>IF(Records!AA52&gt;150,"是","否")</f>
        <v>否</v>
      </c>
      <c r="I52" s="14" t="str">
        <f>IF(OR(AND(Records!K52=Records!L52,Records!L52=Records!M52,Records!M52=Records!O52,Records!O52=Records!P52),AND(Records!L52=Records!M52,Records!M52=Records!O52,Records!O52=Records!P52,Records!P52=Records!Q52),AND(Records!M52=Records!O52,Records!O52=Records!P52,Records!P52=Records!Q52,Records!Q52=Records!R52),AND(Records!O52=Records!P52,Records!P52=Records!Q52,Records!Q52=Records!R52,Records!R52=Records!S52),AND(Records!P52=Records!Q52,Records!Q52=Records!R52,Records!R52=Records!S52,Records!S52=Records!T52),AND(Records!Q52=Records!R52,Records!R52=Records!S52,Records!S52=Records!T52,Records!T52=Records!U52),AND(Records!R52=Records!S52,Records!S52=Records!T52,Records!T52=Records!U52,Records!U52=Records!V52),AND(Records!S52=Records!T52,Records!T52=Records!U52,Records!U52=Records!V52,Records!V52=Records!W52),AND(Records!T52=Records!U52,Records!U52=Records!V52,Records!V52=Records!W52,Records!W52=Records!X52)),"是","否")</f>
        <v>否</v>
      </c>
    </row>
    <row r="53">
      <c r="A53" s="6" t="str">
        <f>Records!A53</f>
        <v>P009</v>
      </c>
      <c r="B53" s="6">
        <f>Records!B53</f>
        <v>1</v>
      </c>
      <c r="C53" s="6" t="str">
        <f>Records!H53</f>
        <v>EgoAnchor</v>
      </c>
      <c r="D53" s="6" t="str">
        <f>Records!F53</f>
        <v>blue_mouse</v>
      </c>
      <c r="E53" s="12">
        <f>AVERAGE(Records!S53:U53)</f>
        <v>4.333333333333333</v>
      </c>
      <c r="F53" s="12">
        <f>AVERAGE(Records!O53:P53,Records!V53)</f>
        <v>5</v>
      </c>
      <c r="G53" s="13">
        <f>Records!AA53</f>
        <v>142.7</v>
      </c>
      <c r="H53" s="14" t="str">
        <f>IF(Records!AA53&gt;150,"是","否")</f>
        <v>否</v>
      </c>
      <c r="I53" s="14" t="str">
        <f>IF(OR(AND(Records!K53=Records!L53,Records!L53=Records!M53,Records!M53=Records!O53,Records!O53=Records!P53),AND(Records!L53=Records!M53,Records!M53=Records!O53,Records!O53=Records!P53,Records!P53=Records!Q53),AND(Records!M53=Records!O53,Records!O53=Records!P53,Records!P53=Records!Q53,Records!Q53=Records!R53),AND(Records!O53=Records!P53,Records!P53=Records!Q53,Records!Q53=Records!R53,Records!R53=Records!S53),AND(Records!P53=Records!Q53,Records!Q53=Records!R53,Records!R53=Records!S53,Records!S53=Records!T53),AND(Records!Q53=Records!R53,Records!R53=Records!S53,Records!S53=Records!T53,Records!T53=Records!U53),AND(Records!R53=Records!S53,Records!S53=Records!T53,Records!T53=Records!U53,Records!U53=Records!V53),AND(Records!S53=Records!T53,Records!T53=Records!U53,Records!U53=Records!V53,Records!V53=Records!W53),AND(Records!T53=Records!U53,Records!U53=Records!V53,Records!V53=Records!W53,Records!W53=Records!X53)),"是","否")</f>
        <v>否</v>
      </c>
    </row>
    <row r="54">
      <c r="A54" s="6" t="str">
        <f>Records!A54</f>
        <v>P009</v>
      </c>
      <c r="B54" s="6">
        <f>Records!B54</f>
        <v>2</v>
      </c>
      <c r="C54" s="6" t="str">
        <f>Records!H54</f>
        <v>One-Euro</v>
      </c>
      <c r="D54" s="6" t="str">
        <f>Records!F54</f>
        <v>blue_mouse</v>
      </c>
      <c r="E54" s="12">
        <f>AVERAGE(Records!S54:U54)</f>
        <v>5.333333333333333</v>
      </c>
      <c r="F54" s="12">
        <f>AVERAGE(Records!O54:P54,Records!V54)</f>
        <v>5</v>
      </c>
      <c r="G54" s="13">
        <f>Records!AA54</f>
        <v>125.3</v>
      </c>
      <c r="H54" s="14" t="str">
        <f>IF(Records!AA54&gt;150,"是","否")</f>
        <v>否</v>
      </c>
      <c r="I54" s="14" t="str">
        <f>IF(OR(AND(Records!K54=Records!L54,Records!L54=Records!M54,Records!M54=Records!O54,Records!O54=Records!P54),AND(Records!L54=Records!M54,Records!M54=Records!O54,Records!O54=Records!P54,Records!P54=Records!Q54),AND(Records!M54=Records!O54,Records!O54=Records!P54,Records!P54=Records!Q54,Records!Q54=Records!R54),AND(Records!O54=Records!P54,Records!P54=Records!Q54,Records!Q54=Records!R54,Records!R54=Records!S54),AND(Records!P54=Records!Q54,Records!Q54=Records!R54,Records!R54=Records!S54,Records!S54=Records!T54),AND(Records!Q54=Records!R54,Records!R54=Records!S54,Records!S54=Records!T54,Records!T54=Records!U54),AND(Records!R54=Records!S54,Records!S54=Records!T54,Records!T54=Records!U54,Records!U54=Records!V54),AND(Records!S54=Records!T54,Records!T54=Records!U54,Records!U54=Records!V54,Records!V54=Records!W54),AND(Records!T54=Records!U54,Records!U54=Records!V54,Records!V54=Records!W54,Records!W54=Records!X54)),"是","否")</f>
        <v>否</v>
      </c>
    </row>
    <row r="55">
      <c r="A55" s="6" t="str">
        <f>Records!A55</f>
        <v>P009</v>
      </c>
      <c r="B55" s="6">
        <f>Records!B55</f>
        <v>3</v>
      </c>
      <c r="C55" s="6" t="str">
        <f>Records!H55</f>
        <v>One-Euro</v>
      </c>
      <c r="D55" s="6" t="str">
        <f>Records!F55</f>
        <v>gamepad</v>
      </c>
      <c r="E55" s="12">
        <f>AVERAGE(Records!S55:U55)</f>
        <v>4.666666666666667</v>
      </c>
      <c r="F55" s="12">
        <f>AVERAGE(Records!O55:P55,Records!V55)</f>
        <v>4.333333333333333</v>
      </c>
      <c r="G55" s="13">
        <f>Records!AA55</f>
        <v>176.4</v>
      </c>
      <c r="H55" s="14" t="str">
        <f>IF(Records!AA55&gt;150,"是","否")</f>
        <v>是</v>
      </c>
      <c r="I55" s="14" t="str">
        <f>IF(OR(AND(Records!K55=Records!L55,Records!L55=Records!M55,Records!M55=Records!O55,Records!O55=Records!P55),AND(Records!L55=Records!M55,Records!M55=Records!O55,Records!O55=Records!P55,Records!P55=Records!Q55),AND(Records!M55=Records!O55,Records!O55=Records!P55,Records!P55=Records!Q55,Records!Q55=Records!R55),AND(Records!O55=Records!P55,Records!P55=Records!Q55,Records!Q55=Records!R55,Records!R55=Records!S55),AND(Records!P55=Records!Q55,Records!Q55=Records!R55,Records!R55=Records!S55,Records!S55=Records!T55),AND(Records!Q55=Records!R55,Records!R55=Records!S55,Records!S55=Records!T55,Records!T55=Records!U55),AND(Records!R55=Records!S55,Records!S55=Records!T55,Records!T55=Records!U55,Records!U55=Records!V55),AND(Records!S55=Records!T55,Records!T55=Records!U55,Records!U55=Records!V55,Records!V55=Records!W55),AND(Records!T55=Records!U55,Records!U55=Records!V55,Records!V55=Records!W55,Records!W55=Records!X55)),"是","否")</f>
        <v>否</v>
      </c>
    </row>
    <row r="56">
      <c r="A56" s="6" t="str">
        <f>Records!A56</f>
        <v>P009</v>
      </c>
      <c r="B56" s="6">
        <f>Records!B56</f>
        <v>4</v>
      </c>
      <c r="C56" s="6" t="str">
        <f>Records!H56</f>
        <v>EgoAnchor</v>
      </c>
      <c r="D56" s="6" t="str">
        <f>Records!F56</f>
        <v>gamepad</v>
      </c>
      <c r="E56" s="12">
        <f>AVERAGE(Records!S56:U56)</f>
        <v>4.666666666666667</v>
      </c>
      <c r="F56" s="12">
        <f>AVERAGE(Records!O56:P56,Records!V56)</f>
        <v>5</v>
      </c>
      <c r="G56" s="13">
        <f>Records!AA56</f>
        <v>154.1</v>
      </c>
      <c r="H56" s="14" t="str">
        <f>IF(Records!AA56&gt;150,"是","否")</f>
        <v>是</v>
      </c>
      <c r="I56" s="14" t="str">
        <f>IF(OR(AND(Records!K56=Records!L56,Records!L56=Records!M56,Records!M56=Records!O56,Records!O56=Records!P56),AND(Records!L56=Records!M56,Records!M56=Records!O56,Records!O56=Records!P56,Records!P56=Records!Q56),AND(Records!M56=Records!O56,Records!O56=Records!P56,Records!P56=Records!Q56,Records!Q56=Records!R56),AND(Records!O56=Records!P56,Records!P56=Records!Q56,Records!Q56=Records!R56,Records!R56=Records!S56),AND(Records!P56=Records!Q56,Records!Q56=Records!R56,Records!R56=Records!S56,Records!S56=Records!T56),AND(Records!Q56=Records!R56,Records!R56=Records!S56,Records!S56=Records!T56,Records!T56=Records!U56),AND(Records!R56=Records!S56,Records!S56=Records!T56,Records!T56=Records!U56,Records!U56=Records!V56),AND(Records!S56=Records!T56,Records!T56=Records!U56,Records!U56=Records!V56,Records!V56=Records!W56),AND(Records!T56=Records!U56,Records!U56=Records!V56,Records!V56=Records!W56,Records!W56=Records!X56)),"是","否")</f>
        <v>否</v>
      </c>
    </row>
    <row r="57">
      <c r="A57" s="6" t="str">
        <f>Records!A57</f>
        <v>P009</v>
      </c>
      <c r="B57" s="6">
        <f>Records!B57</f>
        <v>5</v>
      </c>
      <c r="C57" s="6" t="str">
        <f>Records!H57</f>
        <v>EgoAnchor</v>
      </c>
      <c r="D57" s="6" t="str">
        <f>Records!F57</f>
        <v>stapler</v>
      </c>
      <c r="E57" s="12">
        <f>AVERAGE(Records!S57:U57)</f>
        <v>5.333333333333333</v>
      </c>
      <c r="F57" s="12">
        <f>AVERAGE(Records!O57:P57,Records!V57)</f>
        <v>5.333333333333333</v>
      </c>
      <c r="G57" s="13">
        <f>Records!AA57</f>
        <v>164.4</v>
      </c>
      <c r="H57" s="14" t="str">
        <f>IF(Records!AA57&gt;150,"是","否")</f>
        <v>是</v>
      </c>
      <c r="I57" s="14" t="str">
        <f>IF(OR(AND(Records!K57=Records!L57,Records!L57=Records!M57,Records!M57=Records!O57,Records!O57=Records!P57),AND(Records!L57=Records!M57,Records!M57=Records!O57,Records!O57=Records!P57,Records!P57=Records!Q57),AND(Records!M57=Records!O57,Records!O57=Records!P57,Records!P57=Records!Q57,Records!Q57=Records!R57),AND(Records!O57=Records!P57,Records!P57=Records!Q57,Records!Q57=Records!R57,Records!R57=Records!S57),AND(Records!P57=Records!Q57,Records!Q57=Records!R57,Records!R57=Records!S57,Records!S57=Records!T57),AND(Records!Q57=Records!R57,Records!R57=Records!S57,Records!S57=Records!T57,Records!T57=Records!U57),AND(Records!R57=Records!S57,Records!S57=Records!T57,Records!T57=Records!U57,Records!U57=Records!V57),AND(Records!S57=Records!T57,Records!T57=Records!U57,Records!U57=Records!V57,Records!V57=Records!W57),AND(Records!T57=Records!U57,Records!U57=Records!V57,Records!V57=Records!W57,Records!W57=Records!X57)),"是","否")</f>
        <v>否</v>
      </c>
    </row>
    <row r="58">
      <c r="A58" s="6" t="str">
        <f>Records!A58</f>
        <v>P009</v>
      </c>
      <c r="B58" s="6">
        <f>Records!B58</f>
        <v>6</v>
      </c>
      <c r="C58" s="6" t="str">
        <f>Records!H58</f>
        <v>One-Euro</v>
      </c>
      <c r="D58" s="6" t="str">
        <f>Records!F58</f>
        <v>stapler</v>
      </c>
      <c r="E58" s="12">
        <f>AVERAGE(Records!S58:U58)</f>
        <v>5</v>
      </c>
      <c r="F58" s="12">
        <f>AVERAGE(Records!O58:P58,Records!V58)</f>
        <v>5</v>
      </c>
      <c r="G58" s="13">
        <f>Records!AA58</f>
        <v>172</v>
      </c>
      <c r="H58" s="14" t="str">
        <f>IF(Records!AA58&gt;150,"是","否")</f>
        <v>是</v>
      </c>
      <c r="I58" s="14" t="str">
        <f>IF(OR(AND(Records!K58=Records!L58,Records!L58=Records!M58,Records!M58=Records!O58,Records!O58=Records!P58),AND(Records!L58=Records!M58,Records!M58=Records!O58,Records!O58=Records!P58,Records!P58=Records!Q58),AND(Records!M58=Records!O58,Records!O58=Records!P58,Records!P58=Records!Q58,Records!Q58=Records!R58),AND(Records!O58=Records!P58,Records!P58=Records!Q58,Records!Q58=Records!R58,Records!R58=Records!S58),AND(Records!P58=Records!Q58,Records!Q58=Records!R58,Records!R58=Records!S58,Records!S58=Records!T58),AND(Records!Q58=Records!R58,Records!R58=Records!S58,Records!S58=Records!T58,Records!T58=Records!U58),AND(Records!R58=Records!S58,Records!S58=Records!T58,Records!T58=Records!U58,Records!U58=Records!V58),AND(Records!S58=Records!T58,Records!T58=Records!U58,Records!U58=Records!V58,Records!V58=Records!W58),AND(Records!T58=Records!U58,Records!U58=Records!V58,Records!V58=Records!W58,Records!W58=Records!X58)),"是","否")</f>
        <v>否</v>
      </c>
    </row>
    <row r="59">
      <c r="A59" s="6" t="str">
        <f>Records!A59</f>
        <v>P010</v>
      </c>
      <c r="B59" s="6">
        <f>Records!B59</f>
        <v>1</v>
      </c>
      <c r="C59" s="6" t="str">
        <f>Records!H59</f>
        <v>One-Euro</v>
      </c>
      <c r="D59" s="6" t="str">
        <f>Records!F59</f>
        <v>gamepad</v>
      </c>
      <c r="E59" s="12">
        <f>AVERAGE(Records!S59:U59)</f>
        <v>5.666666666666667</v>
      </c>
      <c r="F59" s="12">
        <f>AVERAGE(Records!O59:P59,Records!V59)</f>
        <v>5.333333333333333</v>
      </c>
      <c r="G59" s="13">
        <f>Records!AA59</f>
        <v>140</v>
      </c>
      <c r="H59" s="14" t="str">
        <f>IF(Records!AA59&gt;150,"是","否")</f>
        <v>否</v>
      </c>
      <c r="I59" s="14" t="str">
        <f>IF(OR(AND(Records!K59=Records!L59,Records!L59=Records!M59,Records!M59=Records!O59,Records!O59=Records!P59),AND(Records!L59=Records!M59,Records!M59=Records!O59,Records!O59=Records!P59,Records!P59=Records!Q59),AND(Records!M59=Records!O59,Records!O59=Records!P59,Records!P59=Records!Q59,Records!Q59=Records!R59),AND(Records!O59=Records!P59,Records!P59=Records!Q59,Records!Q59=Records!R59,Records!R59=Records!S59),AND(Records!P59=Records!Q59,Records!Q59=Records!R59,Records!R59=Records!S59,Records!S59=Records!T59),AND(Records!Q59=Records!R59,Records!R59=Records!S59,Records!S59=Records!T59,Records!T59=Records!U59),AND(Records!R59=Records!S59,Records!S59=Records!T59,Records!T59=Records!U59,Records!U59=Records!V59),AND(Records!S59=Records!T59,Records!T59=Records!U59,Records!U59=Records!V59,Records!V59=Records!W59),AND(Records!T59=Records!U59,Records!U59=Records!V59,Records!V59=Records!W59,Records!W59=Records!X59)),"是","否")</f>
        <v>否</v>
      </c>
    </row>
    <row r="60">
      <c r="A60" s="6" t="str">
        <f>Records!A60</f>
        <v>P010</v>
      </c>
      <c r="B60" s="6">
        <f>Records!B60</f>
        <v>2</v>
      </c>
      <c r="C60" s="6" t="str">
        <f>Records!H60</f>
        <v>EgoAnchor</v>
      </c>
      <c r="D60" s="6" t="str">
        <f>Records!F60</f>
        <v>gamepad</v>
      </c>
      <c r="E60" s="12">
        <f>AVERAGE(Records!S60:U60)</f>
        <v>5</v>
      </c>
      <c r="F60" s="12">
        <f>AVERAGE(Records!O60:P60,Records!V60)</f>
        <v>5</v>
      </c>
      <c r="G60" s="13">
        <f>Records!AA60</f>
        <v>168.8</v>
      </c>
      <c r="H60" s="14" t="str">
        <f>IF(Records!AA60&gt;150,"是","否")</f>
        <v>是</v>
      </c>
      <c r="I60" s="14" t="str">
        <f>IF(OR(AND(Records!K60=Records!L60,Records!L60=Records!M60,Records!M60=Records!O60,Records!O60=Records!P60),AND(Records!L60=Records!M60,Records!M60=Records!O60,Records!O60=Records!P60,Records!P60=Records!Q60),AND(Records!M60=Records!O60,Records!O60=Records!P60,Records!P60=Records!Q60,Records!Q60=Records!R60),AND(Records!O60=Records!P60,Records!P60=Records!Q60,Records!Q60=Records!R60,Records!R60=Records!S60),AND(Records!P60=Records!Q60,Records!Q60=Records!R60,Records!R60=Records!S60,Records!S60=Records!T60),AND(Records!Q60=Records!R60,Records!R60=Records!S60,Records!S60=Records!T60,Records!T60=Records!U60),AND(Records!R60=Records!S60,Records!S60=Records!T60,Records!T60=Records!U60,Records!U60=Records!V60),AND(Records!S60=Records!T60,Records!T60=Records!U60,Records!U60=Records!V60,Records!V60=Records!W60),AND(Records!T60=Records!U60,Records!U60=Records!V60,Records!V60=Records!W60,Records!W60=Records!X60)),"是","否")</f>
        <v>否</v>
      </c>
    </row>
    <row r="61">
      <c r="A61" s="6" t="str">
        <f>Records!A61</f>
        <v>P010</v>
      </c>
      <c r="B61" s="6">
        <f>Records!B61</f>
        <v>3</v>
      </c>
      <c r="C61" s="6" t="str">
        <f>Records!H61</f>
        <v>EgoAnchor</v>
      </c>
      <c r="D61" s="6" t="str">
        <f>Records!F61</f>
        <v>blue_mouse</v>
      </c>
      <c r="E61" s="12">
        <f>AVERAGE(Records!S61:U61)</f>
        <v>5</v>
      </c>
      <c r="F61" s="12">
        <f>AVERAGE(Records!O61:P61,Records!V61)</f>
        <v>5</v>
      </c>
      <c r="G61" s="13">
        <f>Records!AA61</f>
        <v>139.7</v>
      </c>
      <c r="H61" s="14" t="str">
        <f>IF(Records!AA61&gt;150,"是","否")</f>
        <v>否</v>
      </c>
      <c r="I61" s="14" t="str">
        <f>IF(OR(AND(Records!K61=Records!L61,Records!L61=Records!M61,Records!M61=Records!O61,Records!O61=Records!P61),AND(Records!L61=Records!M61,Records!M61=Records!O61,Records!O61=Records!P61,Records!P61=Records!Q61),AND(Records!M61=Records!O61,Records!O61=Records!P61,Records!P61=Records!Q61,Records!Q61=Records!R61),AND(Records!O61=Records!P61,Records!P61=Records!Q61,Records!Q61=Records!R61,Records!R61=Records!S61),AND(Records!P61=Records!Q61,Records!Q61=Records!R61,Records!R61=Records!S61,Records!S61=Records!T61),AND(Records!Q61=Records!R61,Records!R61=Records!S61,Records!S61=Records!T61,Records!T61=Records!U61),AND(Records!R61=Records!S61,Records!S61=Records!T61,Records!T61=Records!U61,Records!U61=Records!V61),AND(Records!S61=Records!T61,Records!T61=Records!U61,Records!U61=Records!V61,Records!V61=Records!W61),AND(Records!T61=Records!U61,Records!U61=Records!V61,Records!V61=Records!W61,Records!W61=Records!X61)),"是","否")</f>
        <v>否</v>
      </c>
    </row>
    <row r="62">
      <c r="A62" s="6" t="str">
        <f>Records!A62</f>
        <v>P010</v>
      </c>
      <c r="B62" s="6">
        <f>Records!B62</f>
        <v>4</v>
      </c>
      <c r="C62" s="6" t="str">
        <f>Records!H62</f>
        <v>One-Euro</v>
      </c>
      <c r="D62" s="6" t="str">
        <f>Records!F62</f>
        <v>blue_mouse</v>
      </c>
      <c r="E62" s="12">
        <f>AVERAGE(Records!S62:U62)</f>
        <v>4.666666666666667</v>
      </c>
      <c r="F62" s="12">
        <f>AVERAGE(Records!O62:P62,Records!V62)</f>
        <v>4.333333333333333</v>
      </c>
      <c r="G62" s="13">
        <f>Records!AA62</f>
        <v>159.4</v>
      </c>
      <c r="H62" s="14" t="str">
        <f>IF(Records!AA62&gt;150,"是","否")</f>
        <v>是</v>
      </c>
      <c r="I62" s="14" t="str">
        <f>IF(OR(AND(Records!K62=Records!L62,Records!L62=Records!M62,Records!M62=Records!O62,Records!O62=Records!P62),AND(Records!L62=Records!M62,Records!M62=Records!O62,Records!O62=Records!P62,Records!P62=Records!Q62),AND(Records!M62=Records!O62,Records!O62=Records!P62,Records!P62=Records!Q62,Records!Q62=Records!R62),AND(Records!O62=Records!P62,Records!P62=Records!Q62,Records!Q62=Records!R62,Records!R62=Records!S62),AND(Records!P62=Records!Q62,Records!Q62=Records!R62,Records!R62=Records!S62,Records!S62=Records!T62),AND(Records!Q62=Records!R62,Records!R62=Records!S62,Records!S62=Records!T62,Records!T62=Records!U62),AND(Records!R62=Records!S62,Records!S62=Records!T62,Records!T62=Records!U62,Records!U62=Records!V62),AND(Records!S62=Records!T62,Records!T62=Records!U62,Records!U62=Records!V62,Records!V62=Records!W62),AND(Records!T62=Records!U62,Records!U62=Records!V62,Records!V62=Records!W62,Records!W62=Records!X62)),"是","否")</f>
        <v>否</v>
      </c>
    </row>
    <row r="63">
      <c r="A63" s="6" t="str">
        <f>Records!A63</f>
        <v>P010</v>
      </c>
      <c r="B63" s="6">
        <f>Records!B63</f>
        <v>5</v>
      </c>
      <c r="C63" s="6" t="str">
        <f>Records!H63</f>
        <v>One-Euro</v>
      </c>
      <c r="D63" s="6" t="str">
        <f>Records!F63</f>
        <v>stapler</v>
      </c>
      <c r="E63" s="12">
        <f>AVERAGE(Records!S63:U63)</f>
        <v>4.666666666666667</v>
      </c>
      <c r="F63" s="12">
        <f>AVERAGE(Records!O63:P63,Records!V63)</f>
        <v>4.666666666666667</v>
      </c>
      <c r="G63" s="13">
        <f>Records!AA63</f>
        <v>169.9</v>
      </c>
      <c r="H63" s="14" t="str">
        <f>IF(Records!AA63&gt;150,"是","否")</f>
        <v>是</v>
      </c>
      <c r="I63" s="14" t="str">
        <f>IF(OR(AND(Records!K63=Records!L63,Records!L63=Records!M63,Records!M63=Records!O63,Records!O63=Records!P63),AND(Records!L63=Records!M63,Records!M63=Records!O63,Records!O63=Records!P63,Records!P63=Records!Q63),AND(Records!M63=Records!O63,Records!O63=Records!P63,Records!P63=Records!Q63,Records!Q63=Records!R63),AND(Records!O63=Records!P63,Records!P63=Records!Q63,Records!Q63=Records!R63,Records!R63=Records!S63),AND(Records!P63=Records!Q63,Records!Q63=Records!R63,Records!R63=Records!S63,Records!S63=Records!T63),AND(Records!Q63=Records!R63,Records!R63=Records!S63,Records!S63=Records!T63,Records!T63=Records!U63),AND(Records!R63=Records!S63,Records!S63=Records!T63,Records!T63=Records!U63,Records!U63=Records!V63),AND(Records!S63=Records!T63,Records!T63=Records!U63,Records!U63=Records!V63,Records!V63=Records!W63),AND(Records!T63=Records!U63,Records!U63=Records!V63,Records!V63=Records!W63,Records!W63=Records!X63)),"是","否")</f>
        <v>否</v>
      </c>
    </row>
    <row r="64">
      <c r="A64" s="6" t="str">
        <f>Records!A64</f>
        <v>P010</v>
      </c>
      <c r="B64" s="6">
        <f>Records!B64</f>
        <v>6</v>
      </c>
      <c r="C64" s="6" t="str">
        <f>Records!H64</f>
        <v>EgoAnchor</v>
      </c>
      <c r="D64" s="6" t="str">
        <f>Records!F64</f>
        <v>stapler</v>
      </c>
      <c r="E64" s="12">
        <f>AVERAGE(Records!S64:U64)</f>
        <v>4.666666666666667</v>
      </c>
      <c r="F64" s="12">
        <f>AVERAGE(Records!O64:P64,Records!V64)</f>
        <v>4.333333333333333</v>
      </c>
      <c r="G64" s="13">
        <f>Records!AA64</f>
        <v>209</v>
      </c>
      <c r="H64" s="14" t="str">
        <f>IF(Records!AA64&gt;150,"是","否")</f>
        <v>是</v>
      </c>
      <c r="I64" s="14" t="str">
        <f>IF(OR(AND(Records!K64=Records!L64,Records!L64=Records!M64,Records!M64=Records!O64,Records!O64=Records!P64),AND(Records!L64=Records!M64,Records!M64=Records!O64,Records!O64=Records!P64,Records!P64=Records!Q64),AND(Records!M64=Records!O64,Records!O64=Records!P64,Records!P64=Records!Q64,Records!Q64=Records!R64),AND(Records!O64=Records!P64,Records!P64=Records!Q64,Records!Q64=Records!R64,Records!R64=Records!S64),AND(Records!P64=Records!Q64,Records!Q64=Records!R64,Records!R64=Records!S64,Records!S64=Records!T64),AND(Records!Q64=Records!R64,Records!R64=Records!S64,Records!S64=Records!T64,Records!T64=Records!U64),AND(Records!R64=Records!S64,Records!S64=Records!T64,Records!T64=Records!U64,Records!U64=Records!V64),AND(Records!S64=Records!T64,Records!T64=Records!U64,Records!U64=Records!V64,Records!V64=Records!W64),AND(Records!T64=Records!U64,Records!U64=Records!V64,Records!V64=Records!W64,Records!W64=Records!X64)),"是","否")</f>
        <v>是</v>
      </c>
    </row>
    <row r="65">
      <c r="A65" s="6" t="str">
        <f>Records!A65</f>
        <v>P011</v>
      </c>
      <c r="B65" s="6">
        <f>Records!B65</f>
        <v>1</v>
      </c>
      <c r="C65" s="6" t="str">
        <f>Records!H65</f>
        <v>One-Euro</v>
      </c>
      <c r="D65" s="6" t="str">
        <f>Records!F65</f>
        <v>blue_mouse</v>
      </c>
      <c r="E65" s="12">
        <f>AVERAGE(Records!S65:U65)</f>
        <v>4.333333333333333</v>
      </c>
      <c r="F65" s="12">
        <f>AVERAGE(Records!O65:P65,Records!V65)</f>
        <v>3.6666666666666665</v>
      </c>
      <c r="G65" s="13">
        <f>Records!AA65</f>
        <v>101.7</v>
      </c>
      <c r="H65" s="14" t="str">
        <f>IF(Records!AA65&gt;150,"是","否")</f>
        <v>否</v>
      </c>
      <c r="I65" s="14" t="str">
        <f>IF(OR(AND(Records!K65=Records!L65,Records!L65=Records!M65,Records!M65=Records!O65,Records!O65=Records!P65),AND(Records!L65=Records!M65,Records!M65=Records!O65,Records!O65=Records!P65,Records!P65=Records!Q65),AND(Records!M65=Records!O65,Records!O65=Records!P65,Records!P65=Records!Q65,Records!Q65=Records!R65),AND(Records!O65=Records!P65,Records!P65=Records!Q65,Records!Q65=Records!R65,Records!R65=Records!S65),AND(Records!P65=Records!Q65,Records!Q65=Records!R65,Records!R65=Records!S65,Records!S65=Records!T65),AND(Records!Q65=Records!R65,Records!R65=Records!S65,Records!S65=Records!T65,Records!T65=Records!U65),AND(Records!R65=Records!S65,Records!S65=Records!T65,Records!T65=Records!U65,Records!U65=Records!V65),AND(Records!S65=Records!T65,Records!T65=Records!U65,Records!U65=Records!V65,Records!V65=Records!W65),AND(Records!T65=Records!U65,Records!U65=Records!V65,Records!V65=Records!W65,Records!W65=Records!X65)),"是","否")</f>
        <v>否</v>
      </c>
    </row>
    <row r="66">
      <c r="A66" s="6" t="str">
        <f>Records!A66</f>
        <v>P011</v>
      </c>
      <c r="B66" s="6">
        <f>Records!B66</f>
        <v>2</v>
      </c>
      <c r="C66" s="6" t="str">
        <f>Records!H66</f>
        <v>EgoAnchor</v>
      </c>
      <c r="D66" s="6" t="str">
        <f>Records!F66</f>
        <v>blue_mouse</v>
      </c>
      <c r="E66" s="12">
        <f>AVERAGE(Records!S66:U66)</f>
        <v>5.666666666666667</v>
      </c>
      <c r="F66" s="12">
        <f>AVERAGE(Records!O66:P66,Records!V66)</f>
        <v>4.666666666666667</v>
      </c>
      <c r="G66" s="13">
        <f>Records!AA66</f>
        <v>121.1</v>
      </c>
      <c r="H66" s="14" t="str">
        <f>IF(Records!AA66&gt;150,"是","否")</f>
        <v>否</v>
      </c>
      <c r="I66" s="14" t="str">
        <f>IF(OR(AND(Records!K66=Records!L66,Records!L66=Records!M66,Records!M66=Records!O66,Records!O66=Records!P66),AND(Records!L66=Records!M66,Records!M66=Records!O66,Records!O66=Records!P66,Records!P66=Records!Q66),AND(Records!M66=Records!O66,Records!O66=Records!P66,Records!P66=Records!Q66,Records!Q66=Records!R66),AND(Records!O66=Records!P66,Records!P66=Records!Q66,Records!Q66=Records!R66,Records!R66=Records!S66),AND(Records!P66=Records!Q66,Records!Q66=Records!R66,Records!R66=Records!S66,Records!S66=Records!T66),AND(Records!Q66=Records!R66,Records!R66=Records!S66,Records!S66=Records!T66,Records!T66=Records!U66),AND(Records!R66=Records!S66,Records!S66=Records!T66,Records!T66=Records!U66,Records!U66=Records!V66),AND(Records!S66=Records!T66,Records!T66=Records!U66,Records!U66=Records!V66,Records!V66=Records!W66),AND(Records!T66=Records!U66,Records!U66=Records!V66,Records!V66=Records!W66,Records!W66=Records!X66)),"是","否")</f>
        <v>否</v>
      </c>
    </row>
    <row r="67">
      <c r="A67" s="6" t="str">
        <f>Records!A67</f>
        <v>P011</v>
      </c>
      <c r="B67" s="6">
        <f>Records!B67</f>
        <v>3</v>
      </c>
      <c r="C67" s="6" t="str">
        <f>Records!H67</f>
        <v>EgoAnchor</v>
      </c>
      <c r="D67" s="6" t="str">
        <f>Records!F67</f>
        <v>stapler</v>
      </c>
      <c r="E67" s="12">
        <f>AVERAGE(Records!S67:U67)</f>
        <v>4.666666666666667</v>
      </c>
      <c r="F67" s="12">
        <f>AVERAGE(Records!O67:P67,Records!V67)</f>
        <v>4.666666666666667</v>
      </c>
      <c r="G67" s="13">
        <f>Records!AA67</f>
        <v>112.1</v>
      </c>
      <c r="H67" s="14" t="str">
        <f>IF(Records!AA67&gt;150,"是","否")</f>
        <v>否</v>
      </c>
      <c r="I67" s="14" t="str">
        <f>IF(OR(AND(Records!K67=Records!L67,Records!L67=Records!M67,Records!M67=Records!O67,Records!O67=Records!P67),AND(Records!L67=Records!M67,Records!M67=Records!O67,Records!O67=Records!P67,Records!P67=Records!Q67),AND(Records!M67=Records!O67,Records!O67=Records!P67,Records!P67=Records!Q67,Records!Q67=Records!R67),AND(Records!O67=Records!P67,Records!P67=Records!Q67,Records!Q67=Records!R67,Records!R67=Records!S67),AND(Records!P67=Records!Q67,Records!Q67=Records!R67,Records!R67=Records!S67,Records!S67=Records!T67),AND(Records!Q67=Records!R67,Records!R67=Records!S67,Records!S67=Records!T67,Records!T67=Records!U67),AND(Records!R67=Records!S67,Records!S67=Records!T67,Records!T67=Records!U67,Records!U67=Records!V67),AND(Records!S67=Records!T67,Records!T67=Records!U67,Records!U67=Records!V67,Records!V67=Records!W67),AND(Records!T67=Records!U67,Records!U67=Records!V67,Records!V67=Records!W67,Records!W67=Records!X67)),"是","否")</f>
        <v>否</v>
      </c>
    </row>
    <row r="68">
      <c r="A68" s="6" t="str">
        <f>Records!A68</f>
        <v>P011</v>
      </c>
      <c r="B68" s="6">
        <f>Records!B68</f>
        <v>4</v>
      </c>
      <c r="C68" s="6" t="str">
        <f>Records!H68</f>
        <v>One-Euro</v>
      </c>
      <c r="D68" s="6" t="str">
        <f>Records!F68</f>
        <v>stapler</v>
      </c>
      <c r="E68" s="12">
        <f>AVERAGE(Records!S68:U68)</f>
        <v>4</v>
      </c>
      <c r="F68" s="12">
        <f>AVERAGE(Records!O68:P68,Records!V68)</f>
        <v>4</v>
      </c>
      <c r="G68" s="13">
        <f>Records!AA68</f>
        <v>126.8</v>
      </c>
      <c r="H68" s="14" t="str">
        <f>IF(Records!AA68&gt;150,"是","否")</f>
        <v>否</v>
      </c>
      <c r="I68" s="14" t="str">
        <f>IF(OR(AND(Records!K68=Records!L68,Records!L68=Records!M68,Records!M68=Records!O68,Records!O68=Records!P68),AND(Records!L68=Records!M68,Records!M68=Records!O68,Records!O68=Records!P68,Records!P68=Records!Q68),AND(Records!M68=Records!O68,Records!O68=Records!P68,Records!P68=Records!Q68,Records!Q68=Records!R68),AND(Records!O68=Records!P68,Records!P68=Records!Q68,Records!Q68=Records!R68,Records!R68=Records!S68),AND(Records!P68=Records!Q68,Records!Q68=Records!R68,Records!R68=Records!S68,Records!S68=Records!T68),AND(Records!Q68=Records!R68,Records!R68=Records!S68,Records!S68=Records!T68,Records!T68=Records!U68),AND(Records!R68=Records!S68,Records!S68=Records!T68,Records!T68=Records!U68,Records!U68=Records!V68),AND(Records!S68=Records!T68,Records!T68=Records!U68,Records!U68=Records!V68,Records!V68=Records!W68),AND(Records!T68=Records!U68,Records!U68=Records!V68,Records!V68=Records!W68,Records!W68=Records!X68)),"是","否")</f>
        <v>是</v>
      </c>
    </row>
    <row r="69">
      <c r="A69" s="6" t="str">
        <f>Records!A69</f>
        <v>P011</v>
      </c>
      <c r="B69" s="6">
        <f>Records!B69</f>
        <v>5</v>
      </c>
      <c r="C69" s="6" t="str">
        <f>Records!H69</f>
        <v>One-Euro</v>
      </c>
      <c r="D69" s="6" t="str">
        <f>Records!F69</f>
        <v>gamepad</v>
      </c>
      <c r="E69" s="12">
        <f>AVERAGE(Records!S69:U69)</f>
        <v>3.3333333333333335</v>
      </c>
      <c r="F69" s="12">
        <f>AVERAGE(Records!O69:P69,Records!V69)</f>
        <v>4.666666666666667</v>
      </c>
      <c r="G69" s="13">
        <f>Records!AA69</f>
        <v>122.4</v>
      </c>
      <c r="H69" s="14" t="str">
        <f>IF(Records!AA69&gt;150,"是","否")</f>
        <v>否</v>
      </c>
      <c r="I69" s="14" t="str">
        <f>IF(OR(AND(Records!K69=Records!L69,Records!L69=Records!M69,Records!M69=Records!O69,Records!O69=Records!P69),AND(Records!L69=Records!M69,Records!M69=Records!O69,Records!O69=Records!P69,Records!P69=Records!Q69),AND(Records!M69=Records!O69,Records!O69=Records!P69,Records!P69=Records!Q69,Records!Q69=Records!R69),AND(Records!O69=Records!P69,Records!P69=Records!Q69,Records!Q69=Records!R69,Records!R69=Records!S69),AND(Records!P69=Records!Q69,Records!Q69=Records!R69,Records!R69=Records!S69,Records!S69=Records!T69),AND(Records!Q69=Records!R69,Records!R69=Records!S69,Records!S69=Records!T69,Records!T69=Records!U69),AND(Records!R69=Records!S69,Records!S69=Records!T69,Records!T69=Records!U69,Records!U69=Records!V69),AND(Records!S69=Records!T69,Records!T69=Records!U69,Records!U69=Records!V69,Records!V69=Records!W69),AND(Records!T69=Records!U69,Records!U69=Records!V69,Records!V69=Records!W69,Records!W69=Records!X69)),"是","否")</f>
        <v>否</v>
      </c>
    </row>
    <row r="70">
      <c r="A70" s="6" t="str">
        <f>Records!A70</f>
        <v>P011</v>
      </c>
      <c r="B70" s="6">
        <f>Records!B70</f>
        <v>6</v>
      </c>
      <c r="C70" s="6" t="str">
        <f>Records!H70</f>
        <v>EgoAnchor</v>
      </c>
      <c r="D70" s="6" t="str">
        <f>Records!F70</f>
        <v>gamepad</v>
      </c>
      <c r="E70" s="12">
        <f>AVERAGE(Records!S70:U70)</f>
        <v>5.333333333333333</v>
      </c>
      <c r="F70" s="12">
        <f>AVERAGE(Records!O70:P70,Records!V70)</f>
        <v>5.333333333333333</v>
      </c>
      <c r="G70" s="13">
        <f>Records!AA70</f>
        <v>107.3</v>
      </c>
      <c r="H70" s="14" t="str">
        <f>IF(Records!AA70&gt;150,"是","否")</f>
        <v>否</v>
      </c>
      <c r="I70" s="14" t="str">
        <f>IF(OR(AND(Records!K70=Records!L70,Records!L70=Records!M70,Records!M70=Records!O70,Records!O70=Records!P70),AND(Records!L70=Records!M70,Records!M70=Records!O70,Records!O70=Records!P70,Records!P70=Records!Q70),AND(Records!M70=Records!O70,Records!O70=Records!P70,Records!P70=Records!Q70,Records!Q70=Records!R70),AND(Records!O70=Records!P70,Records!P70=Records!Q70,Records!Q70=Records!R70,Records!R70=Records!S70),AND(Records!P70=Records!Q70,Records!Q70=Records!R70,Records!R70=Records!S70,Records!S70=Records!T70),AND(Records!Q70=Records!R70,Records!R70=Records!S70,Records!S70=Records!T70,Records!T70=Records!U70),AND(Records!R70=Records!S70,Records!S70=Records!T70,Records!T70=Records!U70,Records!U70=Records!V70),AND(Records!S70=Records!T70,Records!T70=Records!U70,Records!U70=Records!V70,Records!V70=Records!W70),AND(Records!T70=Records!U70,Records!U70=Records!V70,Records!V70=Records!W70,Records!W70=Records!X70)),"是","否")</f>
        <v>否</v>
      </c>
    </row>
    <row r="71">
      <c r="A71" s="6" t="str">
        <f>Records!A71</f>
        <v>P012</v>
      </c>
      <c r="B71" s="6">
        <f>Records!B71</f>
        <v>1</v>
      </c>
      <c r="C71" s="6" t="str">
        <f>Records!H71</f>
        <v>One-Euro</v>
      </c>
      <c r="D71" s="6" t="str">
        <f>Records!F71</f>
        <v>stapler</v>
      </c>
      <c r="E71" s="12">
        <f>AVERAGE(Records!S71:U71)</f>
        <v>6.666666666666667</v>
      </c>
      <c r="F71" s="12">
        <f>AVERAGE(Records!O71:P71,Records!V71)</f>
        <v>6.666666666666667</v>
      </c>
      <c r="G71" s="13">
        <f>Records!AA71</f>
        <v>104.1</v>
      </c>
      <c r="H71" s="14" t="str">
        <f>IF(Records!AA71&gt;150,"是","否")</f>
        <v>否</v>
      </c>
      <c r="I71" s="14" t="str">
        <f>IF(OR(AND(Records!K71=Records!L71,Records!L71=Records!M71,Records!M71=Records!O71,Records!O71=Records!P71),AND(Records!L71=Records!M71,Records!M71=Records!O71,Records!O71=Records!P71,Records!P71=Records!Q71),AND(Records!M71=Records!O71,Records!O71=Records!P71,Records!P71=Records!Q71,Records!Q71=Records!R71),AND(Records!O71=Records!P71,Records!P71=Records!Q71,Records!Q71=Records!R71,Records!R71=Records!S71),AND(Records!P71=Records!Q71,Records!Q71=Records!R71,Records!R71=Records!S71,Records!S71=Records!T71),AND(Records!Q71=Records!R71,Records!R71=Records!S71,Records!S71=Records!T71,Records!T71=Records!U71),AND(Records!R71=Records!S71,Records!S71=Records!T71,Records!T71=Records!U71,Records!U71=Records!V71),AND(Records!S71=Records!T71,Records!T71=Records!U71,Records!U71=Records!V71,Records!V71=Records!W71),AND(Records!T71=Records!U71,Records!U71=Records!V71,Records!V71=Records!W71,Records!W71=Records!X71)),"是","否")</f>
        <v>否</v>
      </c>
    </row>
    <row r="72">
      <c r="A72" s="6" t="str">
        <f>Records!A72</f>
        <v>P012</v>
      </c>
      <c r="B72" s="6">
        <f>Records!B72</f>
        <v>2</v>
      </c>
      <c r="C72" s="6" t="str">
        <f>Records!H72</f>
        <v>EgoAnchor</v>
      </c>
      <c r="D72" s="6" t="str">
        <f>Records!F72</f>
        <v>stapler</v>
      </c>
      <c r="E72" s="12">
        <f>AVERAGE(Records!S72:U72)</f>
        <v>6.666666666666667</v>
      </c>
      <c r="F72" s="12">
        <f>AVERAGE(Records!O72:P72,Records!V72)</f>
        <v>6.666666666666667</v>
      </c>
      <c r="G72" s="13">
        <f>Records!AA72</f>
        <v>122.8</v>
      </c>
      <c r="H72" s="14" t="str">
        <f>IF(Records!AA72&gt;150,"是","否")</f>
        <v>否</v>
      </c>
      <c r="I72" s="14" t="str">
        <f>IF(OR(AND(Records!K72=Records!L72,Records!L72=Records!M72,Records!M72=Records!O72,Records!O72=Records!P72),AND(Records!L72=Records!M72,Records!M72=Records!O72,Records!O72=Records!P72,Records!P72=Records!Q72),AND(Records!M72=Records!O72,Records!O72=Records!P72,Records!P72=Records!Q72,Records!Q72=Records!R72),AND(Records!O72=Records!P72,Records!P72=Records!Q72,Records!Q72=Records!R72,Records!R72=Records!S72),AND(Records!P72=Records!Q72,Records!Q72=Records!R72,Records!R72=Records!S72,Records!S72=Records!T72),AND(Records!Q72=Records!R72,Records!R72=Records!S72,Records!S72=Records!T72,Records!T72=Records!U72),AND(Records!R72=Records!S72,Records!S72=Records!T72,Records!T72=Records!U72,Records!U72=Records!V72),AND(Records!S72=Records!T72,Records!T72=Records!U72,Records!U72=Records!V72,Records!V72=Records!W72),AND(Records!T72=Records!U72,Records!U72=Records!V72,Records!V72=Records!W72,Records!W72=Records!X72)),"是","否")</f>
        <v>否</v>
      </c>
    </row>
    <row r="73">
      <c r="A73" s="6" t="str">
        <f>Records!A73</f>
        <v>P012</v>
      </c>
      <c r="B73" s="6">
        <f>Records!B73</f>
        <v>3</v>
      </c>
      <c r="C73" s="6" t="str">
        <f>Records!H73</f>
        <v>EgoAnchor</v>
      </c>
      <c r="D73" s="6" t="str">
        <f>Records!F73</f>
        <v>blue_mouse</v>
      </c>
      <c r="E73" s="12">
        <f>AVERAGE(Records!S73:U73)</f>
        <v>4.666666666666667</v>
      </c>
      <c r="F73" s="12">
        <f>AVERAGE(Records!O73:P73,Records!V73)</f>
        <v>4.666666666666667</v>
      </c>
      <c r="G73" s="13">
        <f>Records!AA73</f>
        <v>131.8</v>
      </c>
      <c r="H73" s="14" t="str">
        <f>IF(Records!AA73&gt;150,"是","否")</f>
        <v>否</v>
      </c>
      <c r="I73" s="14" t="str">
        <f>IF(OR(AND(Records!K73=Records!L73,Records!L73=Records!M73,Records!M73=Records!O73,Records!O73=Records!P73),AND(Records!L73=Records!M73,Records!M73=Records!O73,Records!O73=Records!P73,Records!P73=Records!Q73),AND(Records!M73=Records!O73,Records!O73=Records!P73,Records!P73=Records!Q73,Records!Q73=Records!R73),AND(Records!O73=Records!P73,Records!P73=Records!Q73,Records!Q73=Records!R73,Records!R73=Records!S73),AND(Records!P73=Records!Q73,Records!Q73=Records!R73,Records!R73=Records!S73,Records!S73=Records!T73),AND(Records!Q73=Records!R73,Records!R73=Records!S73,Records!S73=Records!T73,Records!T73=Records!U73),AND(Records!R73=Records!S73,Records!S73=Records!T73,Records!T73=Records!U73,Records!U73=Records!V73),AND(Records!S73=Records!T73,Records!T73=Records!U73,Records!U73=Records!V73,Records!V73=Records!W73),AND(Records!T73=Records!U73,Records!U73=Records!V73,Records!V73=Records!W73,Records!W73=Records!X73)),"是","否")</f>
        <v>否</v>
      </c>
    </row>
    <row r="74">
      <c r="A74" s="6" t="str">
        <f>Records!A74</f>
        <v>P012</v>
      </c>
      <c r="B74" s="6">
        <f>Records!B74</f>
        <v>4</v>
      </c>
      <c r="C74" s="6" t="str">
        <f>Records!H74</f>
        <v>One-Euro</v>
      </c>
      <c r="D74" s="6" t="str">
        <f>Records!F74</f>
        <v>blue_mouse</v>
      </c>
      <c r="E74" s="12">
        <f>AVERAGE(Records!S74:U74)</f>
        <v>5.333333333333333</v>
      </c>
      <c r="F74" s="12">
        <f>AVERAGE(Records!O74:P74,Records!V74)</f>
        <v>4.333333333333333</v>
      </c>
      <c r="G74" s="13">
        <f>Records!AA74</f>
        <v>116.3</v>
      </c>
      <c r="H74" s="14" t="str">
        <f>IF(Records!AA74&gt;150,"是","否")</f>
        <v>否</v>
      </c>
      <c r="I74" s="14" t="str">
        <f>IF(OR(AND(Records!K74=Records!L74,Records!L74=Records!M74,Records!M74=Records!O74,Records!O74=Records!P74),AND(Records!L74=Records!M74,Records!M74=Records!O74,Records!O74=Records!P74,Records!P74=Records!Q74),AND(Records!M74=Records!O74,Records!O74=Records!P74,Records!P74=Records!Q74,Records!Q74=Records!R74),AND(Records!O74=Records!P74,Records!P74=Records!Q74,Records!Q74=Records!R74,Records!R74=Records!S74),AND(Records!P74=Records!Q74,Records!Q74=Records!R74,Records!R74=Records!S74,Records!S74=Records!T74),AND(Records!Q74=Records!R74,Records!R74=Records!S74,Records!S74=Records!T74,Records!T74=Records!U74),AND(Records!R74=Records!S74,Records!S74=Records!T74,Records!T74=Records!U74,Records!U74=Records!V74),AND(Records!S74=Records!T74,Records!T74=Records!U74,Records!U74=Records!V74,Records!V74=Records!W74),AND(Records!T74=Records!U74,Records!U74=Records!V74,Records!V74=Records!W74,Records!W74=Records!X74)),"是","否")</f>
        <v>否</v>
      </c>
    </row>
    <row r="75">
      <c r="A75" s="6" t="str">
        <f>Records!A75</f>
        <v>P012</v>
      </c>
      <c r="B75" s="6">
        <f>Records!B75</f>
        <v>5</v>
      </c>
      <c r="C75" s="6" t="str">
        <f>Records!H75</f>
        <v>One-Euro</v>
      </c>
      <c r="D75" s="6" t="str">
        <f>Records!F75</f>
        <v>gamepad</v>
      </c>
      <c r="E75" s="12">
        <f>AVERAGE(Records!S75:U75)</f>
        <v>5.666666666666667</v>
      </c>
      <c r="F75" s="12">
        <f>AVERAGE(Records!O75:P75,Records!V75)</f>
        <v>4.666666666666667</v>
      </c>
      <c r="G75" s="13">
        <f>Records!AA75</f>
        <v>153.6</v>
      </c>
      <c r="H75" s="14" t="str">
        <f>IF(Records!AA75&gt;150,"是","否")</f>
        <v>是</v>
      </c>
      <c r="I75" s="14" t="str">
        <f>IF(OR(AND(Records!K75=Records!L75,Records!L75=Records!M75,Records!M75=Records!O75,Records!O75=Records!P75),AND(Records!L75=Records!M75,Records!M75=Records!O75,Records!O75=Records!P75,Records!P75=Records!Q75),AND(Records!M75=Records!O75,Records!O75=Records!P75,Records!P75=Records!Q75,Records!Q75=Records!R75),AND(Records!O75=Records!P75,Records!P75=Records!Q75,Records!Q75=Records!R75,Records!R75=Records!S75),AND(Records!P75=Records!Q75,Records!Q75=Records!R75,Records!R75=Records!S75,Records!S75=Records!T75),AND(Records!Q75=Records!R75,Records!R75=Records!S75,Records!S75=Records!T75,Records!T75=Records!U75),AND(Records!R75=Records!S75,Records!S75=Records!T75,Records!T75=Records!U75,Records!U75=Records!V75),AND(Records!S75=Records!T75,Records!T75=Records!U75,Records!U75=Records!V75,Records!V75=Records!W75),AND(Records!T75=Records!U75,Records!U75=Records!V75,Records!V75=Records!W75,Records!W75=Records!X75)),"是","否")</f>
        <v>否</v>
      </c>
    </row>
    <row r="76">
      <c r="A76" s="6" t="str">
        <f>Records!A76</f>
        <v>P012</v>
      </c>
      <c r="B76" s="6">
        <f>Records!B76</f>
        <v>6</v>
      </c>
      <c r="C76" s="6" t="str">
        <f>Records!H76</f>
        <v>EgoAnchor</v>
      </c>
      <c r="D76" s="6" t="str">
        <f>Records!F76</f>
        <v>gamepad</v>
      </c>
      <c r="E76" s="12">
        <f>AVERAGE(Records!S76:U76)</f>
        <v>5.333333333333333</v>
      </c>
      <c r="F76" s="12">
        <f>AVERAGE(Records!O76:P76,Records!V76)</f>
        <v>6.333333333333333</v>
      </c>
      <c r="G76" s="13">
        <f>Records!AA76</f>
        <v>149</v>
      </c>
      <c r="H76" s="14" t="str">
        <f>IF(Records!AA76&gt;150,"是","否")</f>
        <v>否</v>
      </c>
      <c r="I76" s="14" t="str">
        <f>IF(OR(AND(Records!K76=Records!L76,Records!L76=Records!M76,Records!M76=Records!O76,Records!O76=Records!P76),AND(Records!L76=Records!M76,Records!M76=Records!O76,Records!O76=Records!P76,Records!P76=Records!Q76),AND(Records!M76=Records!O76,Records!O76=Records!P76,Records!P76=Records!Q76,Records!Q76=Records!R76),AND(Records!O76=Records!P76,Records!P76=Records!Q76,Records!Q76=Records!R76,Records!R76=Records!S76),AND(Records!P76=Records!Q76,Records!Q76=Records!R76,Records!R76=Records!S76,Records!S76=Records!T76),AND(Records!Q76=Records!R76,Records!R76=Records!S76,Records!S76=Records!T76,Records!T76=Records!U76),AND(Records!R76=Records!S76,Records!S76=Records!T76,Records!T76=Records!U76,Records!U76=Records!V76),AND(Records!S76=Records!T76,Records!T76=Records!U76,Records!U76=Records!V76,Records!V76=Records!W76),AND(Records!T76=Records!U76,Records!U76=Records!V76,Records!V76=Records!W76,Records!W76=Records!X76)),"是","否")</f>
        <v>否</v>
      </c>
    </row>
    <row r="77">
      <c r="A77" s="6" t="str">
        <f>Records!A77</f>
        <v>P013</v>
      </c>
      <c r="B77" s="6">
        <f>Records!B77</f>
        <v>1</v>
      </c>
      <c r="C77" s="6" t="str">
        <f>Records!H77</f>
        <v>One-Euro</v>
      </c>
      <c r="D77" s="6" t="str">
        <f>Records!F77</f>
        <v>gamepad</v>
      </c>
      <c r="E77" s="12">
        <f>AVERAGE(Records!S77:U77)</f>
        <v>6</v>
      </c>
      <c r="F77" s="12">
        <f>AVERAGE(Records!O77:P77,Records!V77)</f>
        <v>5.333333333333333</v>
      </c>
      <c r="G77" s="13">
        <f>Records!AA77</f>
        <v>130.3</v>
      </c>
      <c r="H77" s="14" t="str">
        <f>IF(Records!AA77&gt;150,"是","否")</f>
        <v>否</v>
      </c>
      <c r="I77" s="14" t="str">
        <f>IF(OR(AND(Records!K77=Records!L77,Records!L77=Records!M77,Records!M77=Records!O77,Records!O77=Records!P77),AND(Records!L77=Records!M77,Records!M77=Records!O77,Records!O77=Records!P77,Records!P77=Records!Q77),AND(Records!M77=Records!O77,Records!O77=Records!P77,Records!P77=Records!Q77,Records!Q77=Records!R77),AND(Records!O77=Records!P77,Records!P77=Records!Q77,Records!Q77=Records!R77,Records!R77=Records!S77),AND(Records!P77=Records!Q77,Records!Q77=Records!R77,Records!R77=Records!S77,Records!S77=Records!T77),AND(Records!Q77=Records!R77,Records!R77=Records!S77,Records!S77=Records!T77,Records!T77=Records!U77),AND(Records!R77=Records!S77,Records!S77=Records!T77,Records!T77=Records!U77,Records!U77=Records!V77),AND(Records!S77=Records!T77,Records!T77=Records!U77,Records!U77=Records!V77,Records!V77=Records!W77),AND(Records!T77=Records!U77,Records!U77=Records!V77,Records!V77=Records!W77,Records!W77=Records!X77)),"是","否")</f>
        <v>否</v>
      </c>
    </row>
    <row r="78">
      <c r="A78" s="6" t="str">
        <f>Records!A78</f>
        <v>P013</v>
      </c>
      <c r="B78" s="6">
        <f>Records!B78</f>
        <v>2</v>
      </c>
      <c r="C78" s="6" t="str">
        <f>Records!H78</f>
        <v>EgoAnchor</v>
      </c>
      <c r="D78" s="6" t="str">
        <f>Records!F78</f>
        <v>gamepad</v>
      </c>
      <c r="E78" s="12">
        <f>AVERAGE(Records!S78:U78)</f>
        <v>5.333333333333333</v>
      </c>
      <c r="F78" s="12">
        <f>AVERAGE(Records!O78:P78,Records!V78)</f>
        <v>6</v>
      </c>
      <c r="G78" s="13">
        <f>Records!AA78</f>
        <v>164.5</v>
      </c>
      <c r="H78" s="14" t="str">
        <f>IF(Records!AA78&gt;150,"是","否")</f>
        <v>是</v>
      </c>
      <c r="I78" s="14" t="str">
        <f>IF(OR(AND(Records!K78=Records!L78,Records!L78=Records!M78,Records!M78=Records!O78,Records!O78=Records!P78),AND(Records!L78=Records!M78,Records!M78=Records!O78,Records!O78=Records!P78,Records!P78=Records!Q78),AND(Records!M78=Records!O78,Records!O78=Records!P78,Records!P78=Records!Q78,Records!Q78=Records!R78),AND(Records!O78=Records!P78,Records!P78=Records!Q78,Records!Q78=Records!R78,Records!R78=Records!S78),AND(Records!P78=Records!Q78,Records!Q78=Records!R78,Records!R78=Records!S78,Records!S78=Records!T78),AND(Records!Q78=Records!R78,Records!R78=Records!S78,Records!S78=Records!T78,Records!T78=Records!U78),AND(Records!R78=Records!S78,Records!S78=Records!T78,Records!T78=Records!U78,Records!U78=Records!V78),AND(Records!S78=Records!T78,Records!T78=Records!U78,Records!U78=Records!V78,Records!V78=Records!W78),AND(Records!T78=Records!U78,Records!U78=Records!V78,Records!V78=Records!W78,Records!W78=Records!X78)),"是","否")</f>
        <v>否</v>
      </c>
    </row>
    <row r="79">
      <c r="A79" s="6" t="str">
        <f>Records!A79</f>
        <v>P013</v>
      </c>
      <c r="B79" s="6">
        <f>Records!B79</f>
        <v>3</v>
      </c>
      <c r="C79" s="6" t="str">
        <f>Records!H79</f>
        <v>EgoAnchor</v>
      </c>
      <c r="D79" s="6" t="str">
        <f>Records!F79</f>
        <v>blue_mouse</v>
      </c>
      <c r="E79" s="12">
        <f>AVERAGE(Records!S79:U79)</f>
        <v>5.666666666666667</v>
      </c>
      <c r="F79" s="12">
        <f>AVERAGE(Records!O79:P79,Records!V79)</f>
        <v>5.333333333333333</v>
      </c>
      <c r="G79" s="13">
        <f>Records!AA79</f>
        <v>150.4</v>
      </c>
      <c r="H79" s="14" t="str">
        <f>IF(Records!AA79&gt;150,"是","否")</f>
        <v>是</v>
      </c>
      <c r="I79" s="14" t="str">
        <f>IF(OR(AND(Records!K79=Records!L79,Records!L79=Records!M79,Records!M79=Records!O79,Records!O79=Records!P79),AND(Records!L79=Records!M79,Records!M79=Records!O79,Records!O79=Records!P79,Records!P79=Records!Q79),AND(Records!M79=Records!O79,Records!O79=Records!P79,Records!P79=Records!Q79,Records!Q79=Records!R79),AND(Records!O79=Records!P79,Records!P79=Records!Q79,Records!Q79=Records!R79,Records!R79=Records!S79),AND(Records!P79=Records!Q79,Records!Q79=Records!R79,Records!R79=Records!S79,Records!S79=Records!T79),AND(Records!Q79=Records!R79,Records!R79=Records!S79,Records!S79=Records!T79,Records!T79=Records!U79),AND(Records!R79=Records!S79,Records!S79=Records!T79,Records!T79=Records!U79,Records!U79=Records!V79),AND(Records!S79=Records!T79,Records!T79=Records!U79,Records!U79=Records!V79,Records!V79=Records!W79),AND(Records!T79=Records!U79,Records!U79=Records!V79,Records!V79=Records!W79,Records!W79=Records!X79)),"是","否")</f>
        <v>是</v>
      </c>
    </row>
    <row r="80">
      <c r="A80" s="6" t="str">
        <f>Records!A80</f>
        <v>P013</v>
      </c>
      <c r="B80" s="6">
        <f>Records!B80</f>
        <v>4</v>
      </c>
      <c r="C80" s="6" t="str">
        <f>Records!H80</f>
        <v>One-Euro</v>
      </c>
      <c r="D80" s="6" t="str">
        <f>Records!F80</f>
        <v>blue_mouse</v>
      </c>
      <c r="E80" s="12">
        <f>AVERAGE(Records!S80:U80)</f>
        <v>6</v>
      </c>
      <c r="F80" s="12">
        <f>AVERAGE(Records!O80:P80,Records!V80)</f>
        <v>6</v>
      </c>
      <c r="G80" s="13">
        <f>Records!AA80</f>
        <v>155.8</v>
      </c>
      <c r="H80" s="14" t="str">
        <f>IF(Records!AA80&gt;150,"是","否")</f>
        <v>是</v>
      </c>
      <c r="I80" s="14" t="str">
        <f>IF(OR(AND(Records!K80=Records!L80,Records!L80=Records!M80,Records!M80=Records!O80,Records!O80=Records!P80),AND(Records!L80=Records!M80,Records!M80=Records!O80,Records!O80=Records!P80,Records!P80=Records!Q80),AND(Records!M80=Records!O80,Records!O80=Records!P80,Records!P80=Records!Q80,Records!Q80=Records!R80),AND(Records!O80=Records!P80,Records!P80=Records!Q80,Records!Q80=Records!R80,Records!R80=Records!S80),AND(Records!P80=Records!Q80,Records!Q80=Records!R80,Records!R80=Records!S80,Records!S80=Records!T80),AND(Records!Q80=Records!R80,Records!R80=Records!S80,Records!S80=Records!T80,Records!T80=Records!U80),AND(Records!R80=Records!S80,Records!S80=Records!T80,Records!T80=Records!U80,Records!U80=Records!V80),AND(Records!S80=Records!T80,Records!T80=Records!U80,Records!U80=Records!V80,Records!V80=Records!W80),AND(Records!T80=Records!U80,Records!U80=Records!V80,Records!V80=Records!W80,Records!W80=Records!X80)),"是","否")</f>
        <v>否</v>
      </c>
    </row>
    <row r="81">
      <c r="A81" s="6" t="str">
        <f>Records!A81</f>
        <v>P013</v>
      </c>
      <c r="B81" s="6">
        <f>Records!B81</f>
        <v>5</v>
      </c>
      <c r="C81" s="6" t="str">
        <f>Records!H81</f>
        <v>One-Euro</v>
      </c>
      <c r="D81" s="6" t="str">
        <f>Records!F81</f>
        <v>stapler</v>
      </c>
      <c r="E81" s="12">
        <f>AVERAGE(Records!S81:U81)</f>
        <v>6.333333333333333</v>
      </c>
      <c r="F81" s="12">
        <f>AVERAGE(Records!O81:P81,Records!V81)</f>
        <v>5.666666666666667</v>
      </c>
      <c r="G81" s="13">
        <f>Records!AA81</f>
        <v>149.7</v>
      </c>
      <c r="H81" s="14" t="str">
        <f>IF(Records!AA81&gt;150,"是","否")</f>
        <v>否</v>
      </c>
      <c r="I81" s="14" t="str">
        <f>IF(OR(AND(Records!K81=Records!L81,Records!L81=Records!M81,Records!M81=Records!O81,Records!O81=Records!P81),AND(Records!L81=Records!M81,Records!M81=Records!O81,Records!O81=Records!P81,Records!P81=Records!Q81),AND(Records!M81=Records!O81,Records!O81=Records!P81,Records!P81=Records!Q81,Records!Q81=Records!R81),AND(Records!O81=Records!P81,Records!P81=Records!Q81,Records!Q81=Records!R81,Records!R81=Records!S81),AND(Records!P81=Records!Q81,Records!Q81=Records!R81,Records!R81=Records!S81,Records!S81=Records!T81),AND(Records!Q81=Records!R81,Records!R81=Records!S81,Records!S81=Records!T81,Records!T81=Records!U81),AND(Records!R81=Records!S81,Records!S81=Records!T81,Records!T81=Records!U81,Records!U81=Records!V81),AND(Records!S81=Records!T81,Records!T81=Records!U81,Records!U81=Records!V81,Records!V81=Records!W81),AND(Records!T81=Records!U81,Records!U81=Records!V81,Records!V81=Records!W81,Records!W81=Records!X81)),"是","否")</f>
        <v>否</v>
      </c>
    </row>
    <row r="82">
      <c r="A82" s="6" t="str">
        <f>Records!A82</f>
        <v>P013</v>
      </c>
      <c r="B82" s="6">
        <f>Records!B82</f>
        <v>6</v>
      </c>
      <c r="C82" s="6" t="str">
        <f>Records!H82</f>
        <v>EgoAnchor</v>
      </c>
      <c r="D82" s="6" t="str">
        <f>Records!F82</f>
        <v>stapler</v>
      </c>
      <c r="E82" s="12">
        <f>AVERAGE(Records!S82:U82)</f>
        <v>6.333333333333333</v>
      </c>
      <c r="F82" s="12">
        <f>AVERAGE(Records!O82:P82,Records!V82)</f>
        <v>6</v>
      </c>
      <c r="G82" s="13">
        <f>Records!AA82</f>
        <v>166</v>
      </c>
      <c r="H82" s="14" t="str">
        <f>IF(Records!AA82&gt;150,"是","否")</f>
        <v>是</v>
      </c>
      <c r="I82" s="14" t="str">
        <f>IF(OR(AND(Records!K82=Records!L82,Records!L82=Records!M82,Records!M82=Records!O82,Records!O82=Records!P82),AND(Records!L82=Records!M82,Records!M82=Records!O82,Records!O82=Records!P82,Records!P82=Records!Q82),AND(Records!M82=Records!O82,Records!O82=Records!P82,Records!P82=Records!Q82,Records!Q82=Records!R82),AND(Records!O82=Records!P82,Records!P82=Records!Q82,Records!Q82=Records!R82,Records!R82=Records!S82),AND(Records!P82=Records!Q82,Records!Q82=Records!R82,Records!R82=Records!S82,Records!S82=Records!T82),AND(Records!Q82=Records!R82,Records!R82=Records!S82,Records!S82=Records!T82,Records!T82=Records!U82),AND(Records!R82=Records!S82,Records!S82=Records!T82,Records!T82=Records!U82,Records!U82=Records!V82),AND(Records!S82=Records!T82,Records!T82=Records!U82,Records!U82=Records!V82,Records!V82=Records!W82),AND(Records!T82=Records!U82,Records!U82=Records!V82,Records!V82=Records!W82,Records!W82=Records!X82)),"是","否")</f>
        <v>否</v>
      </c>
    </row>
    <row r="83">
      <c r="A83" s="6" t="str">
        <f>Records!A83</f>
        <v>P014</v>
      </c>
      <c r="B83" s="6">
        <f>Records!B83</f>
        <v>1</v>
      </c>
      <c r="C83" s="6" t="str">
        <f>Records!H83</f>
        <v>One-Euro</v>
      </c>
      <c r="D83" s="6" t="str">
        <f>Records!F83</f>
        <v>blue_mouse</v>
      </c>
      <c r="E83" s="12">
        <f>AVERAGE(Records!S83:U83)</f>
        <v>6</v>
      </c>
      <c r="F83" s="12">
        <f>AVERAGE(Records!O83:P83,Records!V83)</f>
        <v>6.333333333333333</v>
      </c>
      <c r="G83" s="13">
        <f>Records!AA83</f>
        <v>134.3</v>
      </c>
      <c r="H83" s="14" t="str">
        <f>IF(Records!AA83&gt;150,"是","否")</f>
        <v>否</v>
      </c>
      <c r="I83" s="14" t="str">
        <f>IF(OR(AND(Records!K83=Records!L83,Records!L83=Records!M83,Records!M83=Records!O83,Records!O83=Records!P83),AND(Records!L83=Records!M83,Records!M83=Records!O83,Records!O83=Records!P83,Records!P83=Records!Q83),AND(Records!M83=Records!O83,Records!O83=Records!P83,Records!P83=Records!Q83,Records!Q83=Records!R83),AND(Records!O83=Records!P83,Records!P83=Records!Q83,Records!Q83=Records!R83,Records!R83=Records!S83),AND(Records!P83=Records!Q83,Records!Q83=Records!R83,Records!R83=Records!S83,Records!S83=Records!T83),AND(Records!Q83=Records!R83,Records!R83=Records!S83,Records!S83=Records!T83,Records!T83=Records!U83),AND(Records!R83=Records!S83,Records!S83=Records!T83,Records!T83=Records!U83,Records!U83=Records!V83),AND(Records!S83=Records!T83,Records!T83=Records!U83,Records!U83=Records!V83,Records!V83=Records!W83),AND(Records!T83=Records!U83,Records!U83=Records!V83,Records!V83=Records!W83,Records!W83=Records!X83)),"是","否")</f>
        <v>否</v>
      </c>
    </row>
    <row r="84">
      <c r="A84" s="6" t="str">
        <f>Records!A84</f>
        <v>P014</v>
      </c>
      <c r="B84" s="6">
        <f>Records!B84</f>
        <v>2</v>
      </c>
      <c r="C84" s="6" t="str">
        <f>Records!H84</f>
        <v>EgoAnchor</v>
      </c>
      <c r="D84" s="6" t="str">
        <f>Records!F84</f>
        <v>blue_mouse</v>
      </c>
      <c r="E84" s="12">
        <f>AVERAGE(Records!S84:U84)</f>
        <v>4.666666666666667</v>
      </c>
      <c r="F84" s="12">
        <f>AVERAGE(Records!O84:P84,Records!V84)</f>
        <v>4</v>
      </c>
      <c r="G84" s="13">
        <f>Records!AA84</f>
        <v>123.2</v>
      </c>
      <c r="H84" s="14" t="str">
        <f>IF(Records!AA84&gt;150,"是","否")</f>
        <v>否</v>
      </c>
      <c r="I84" s="14" t="str">
        <f>IF(OR(AND(Records!K84=Records!L84,Records!L84=Records!M84,Records!M84=Records!O84,Records!O84=Records!P84),AND(Records!L84=Records!M84,Records!M84=Records!O84,Records!O84=Records!P84,Records!P84=Records!Q84),AND(Records!M84=Records!O84,Records!O84=Records!P84,Records!P84=Records!Q84,Records!Q84=Records!R84),AND(Records!O84=Records!P84,Records!P84=Records!Q84,Records!Q84=Records!R84,Records!R84=Records!S84),AND(Records!P84=Records!Q84,Records!Q84=Records!R84,Records!R84=Records!S84,Records!S84=Records!T84),AND(Records!Q84=Records!R84,Records!R84=Records!S84,Records!S84=Records!T84,Records!T84=Records!U84),AND(Records!R84=Records!S84,Records!S84=Records!T84,Records!T84=Records!U84,Records!U84=Records!V84),AND(Records!S84=Records!T84,Records!T84=Records!U84,Records!U84=Records!V84,Records!V84=Records!W84),AND(Records!T84=Records!U84,Records!U84=Records!V84,Records!V84=Records!W84,Records!W84=Records!X84)),"是","否")</f>
        <v>否</v>
      </c>
    </row>
    <row r="85">
      <c r="A85" s="6" t="str">
        <f>Records!A85</f>
        <v>P014</v>
      </c>
      <c r="B85" s="6">
        <f>Records!B85</f>
        <v>3</v>
      </c>
      <c r="C85" s="6" t="str">
        <f>Records!H85</f>
        <v>EgoAnchor</v>
      </c>
      <c r="D85" s="6" t="str">
        <f>Records!F85</f>
        <v>gamepad</v>
      </c>
      <c r="E85" s="12">
        <f>AVERAGE(Records!S85:U85)</f>
        <v>6.333333333333333</v>
      </c>
      <c r="F85" s="12">
        <f>AVERAGE(Records!O85:P85,Records!V85)</f>
        <v>6</v>
      </c>
      <c r="G85" s="13">
        <f>Records!AA85</f>
        <v>141.2</v>
      </c>
      <c r="H85" s="14" t="str">
        <f>IF(Records!AA85&gt;150,"是","否")</f>
        <v>否</v>
      </c>
      <c r="I85" s="14" t="str">
        <f>IF(OR(AND(Records!K85=Records!L85,Records!L85=Records!M85,Records!M85=Records!O85,Records!O85=Records!P85),AND(Records!L85=Records!M85,Records!M85=Records!O85,Records!O85=Records!P85,Records!P85=Records!Q85),AND(Records!M85=Records!O85,Records!O85=Records!P85,Records!P85=Records!Q85,Records!Q85=Records!R85),AND(Records!O85=Records!P85,Records!P85=Records!Q85,Records!Q85=Records!R85,Records!R85=Records!S85),AND(Records!P85=Records!Q85,Records!Q85=Records!R85,Records!R85=Records!S85,Records!S85=Records!T85),AND(Records!Q85=Records!R85,Records!R85=Records!S85,Records!S85=Records!T85,Records!T85=Records!U85),AND(Records!R85=Records!S85,Records!S85=Records!T85,Records!T85=Records!U85,Records!U85=Records!V85),AND(Records!S85=Records!T85,Records!T85=Records!U85,Records!U85=Records!V85,Records!V85=Records!W85),AND(Records!T85=Records!U85,Records!U85=Records!V85,Records!V85=Records!W85,Records!W85=Records!X85)),"是","否")</f>
        <v>否</v>
      </c>
    </row>
    <row r="86">
      <c r="A86" s="6" t="str">
        <f>Records!A86</f>
        <v>P014</v>
      </c>
      <c r="B86" s="6">
        <f>Records!B86</f>
        <v>4</v>
      </c>
      <c r="C86" s="6" t="str">
        <f>Records!H86</f>
        <v>One-Euro</v>
      </c>
      <c r="D86" s="6" t="str">
        <f>Records!F86</f>
        <v>gamepad</v>
      </c>
      <c r="E86" s="12">
        <f>AVERAGE(Records!S86:U86)</f>
        <v>5.666666666666667</v>
      </c>
      <c r="F86" s="12">
        <f>AVERAGE(Records!O86:P86,Records!V86)</f>
        <v>6.333333333333333</v>
      </c>
      <c r="G86" s="13">
        <f>Records!AA86</f>
        <v>116.1</v>
      </c>
      <c r="H86" s="14" t="str">
        <f>IF(Records!AA86&gt;150,"是","否")</f>
        <v>否</v>
      </c>
      <c r="I86" s="14" t="str">
        <f>IF(OR(AND(Records!K86=Records!L86,Records!L86=Records!M86,Records!M86=Records!O86,Records!O86=Records!P86),AND(Records!L86=Records!M86,Records!M86=Records!O86,Records!O86=Records!P86,Records!P86=Records!Q86),AND(Records!M86=Records!O86,Records!O86=Records!P86,Records!P86=Records!Q86,Records!Q86=Records!R86),AND(Records!O86=Records!P86,Records!P86=Records!Q86,Records!Q86=Records!R86,Records!R86=Records!S86),AND(Records!P86=Records!Q86,Records!Q86=Records!R86,Records!R86=Records!S86,Records!S86=Records!T86),AND(Records!Q86=Records!R86,Records!R86=Records!S86,Records!S86=Records!T86,Records!T86=Records!U86),AND(Records!R86=Records!S86,Records!S86=Records!T86,Records!T86=Records!U86,Records!U86=Records!V86),AND(Records!S86=Records!T86,Records!T86=Records!U86,Records!U86=Records!V86,Records!V86=Records!W86),AND(Records!T86=Records!U86,Records!U86=Records!V86,Records!V86=Records!W86,Records!W86=Records!X86)),"是","否")</f>
        <v>否</v>
      </c>
    </row>
    <row r="87">
      <c r="A87" s="6" t="str">
        <f>Records!A87</f>
        <v>P014</v>
      </c>
      <c r="B87" s="6">
        <f>Records!B87</f>
        <v>5</v>
      </c>
      <c r="C87" s="6" t="str">
        <f>Records!H87</f>
        <v>One-Euro</v>
      </c>
      <c r="D87" s="6" t="str">
        <f>Records!F87</f>
        <v>stapler</v>
      </c>
      <c r="E87" s="12">
        <f>AVERAGE(Records!S87:U87)</f>
        <v>6.333333333333333</v>
      </c>
      <c r="F87" s="12">
        <f>AVERAGE(Records!O87:P87,Records!V87)</f>
        <v>6.666666666666667</v>
      </c>
      <c r="G87" s="13">
        <f>Records!AA87</f>
        <v>136.5</v>
      </c>
      <c r="H87" s="14" t="str">
        <f>IF(Records!AA87&gt;150,"是","否")</f>
        <v>否</v>
      </c>
      <c r="I87" s="14" t="str">
        <f>IF(OR(AND(Records!K87=Records!L87,Records!L87=Records!M87,Records!M87=Records!O87,Records!O87=Records!P87),AND(Records!L87=Records!M87,Records!M87=Records!O87,Records!O87=Records!P87,Records!P87=Records!Q87),AND(Records!M87=Records!O87,Records!O87=Records!P87,Records!P87=Records!Q87,Records!Q87=Records!R87),AND(Records!O87=Records!P87,Records!P87=Records!Q87,Records!Q87=Records!R87,Records!R87=Records!S87),AND(Records!P87=Records!Q87,Records!Q87=Records!R87,Records!R87=Records!S87,Records!S87=Records!T87),AND(Records!Q87=Records!R87,Records!R87=Records!S87,Records!S87=Records!T87,Records!T87=Records!U87),AND(Records!R87=Records!S87,Records!S87=Records!T87,Records!T87=Records!U87,Records!U87=Records!V87),AND(Records!S87=Records!T87,Records!T87=Records!U87,Records!U87=Records!V87,Records!V87=Records!W87),AND(Records!T87=Records!U87,Records!U87=Records!V87,Records!V87=Records!W87,Records!W87=Records!X87)),"是","否")</f>
        <v>否</v>
      </c>
    </row>
    <row r="88">
      <c r="A88" s="6" t="str">
        <f>Records!A88</f>
        <v>P014</v>
      </c>
      <c r="B88" s="6">
        <f>Records!B88</f>
        <v>6</v>
      </c>
      <c r="C88" s="6" t="str">
        <f>Records!H88</f>
        <v>EgoAnchor</v>
      </c>
      <c r="D88" s="6" t="str">
        <f>Records!F88</f>
        <v>stapler</v>
      </c>
      <c r="E88" s="12">
        <f>AVERAGE(Records!S88:U88)</f>
        <v>6.333333333333333</v>
      </c>
      <c r="F88" s="12">
        <f>AVERAGE(Records!O88:P88,Records!V88)</f>
        <v>5.333333333333333</v>
      </c>
      <c r="G88" s="13">
        <f>Records!AA88</f>
        <v>152</v>
      </c>
      <c r="H88" s="14" t="str">
        <f>IF(Records!AA88&gt;150,"是","否")</f>
        <v>是</v>
      </c>
      <c r="I88" s="14" t="str">
        <f>IF(OR(AND(Records!K88=Records!L88,Records!L88=Records!M88,Records!M88=Records!O88,Records!O88=Records!P88),AND(Records!L88=Records!M88,Records!M88=Records!O88,Records!O88=Records!P88,Records!P88=Records!Q88),AND(Records!M88=Records!O88,Records!O88=Records!P88,Records!P88=Records!Q88,Records!Q88=Records!R88),AND(Records!O88=Records!P88,Records!P88=Records!Q88,Records!Q88=Records!R88,Records!R88=Records!S88),AND(Records!P88=Records!Q88,Records!Q88=Records!R88,Records!R88=Records!S88,Records!S88=Records!T88),AND(Records!Q88=Records!R88,Records!R88=Records!S88,Records!S88=Records!T88,Records!T88=Records!U88),AND(Records!R88=Records!S88,Records!S88=Records!T88,Records!T88=Records!U88,Records!U88=Records!V88),AND(Records!S88=Records!T88,Records!T88=Records!U88,Records!U88=Records!V88,Records!V88=Records!W88),AND(Records!T88=Records!U88,Records!U88=Records!V88,Records!V88=Records!W88,Records!W88=Records!X88)),"是","否")</f>
        <v>否</v>
      </c>
    </row>
    <row r="89">
      <c r="A89" s="6" t="str">
        <f>Records!A89</f>
        <v>P015</v>
      </c>
      <c r="B89" s="6">
        <f>Records!B89</f>
        <v>1</v>
      </c>
      <c r="C89" s="6" t="str">
        <f>Records!H89</f>
        <v>One-Euro</v>
      </c>
      <c r="D89" s="6" t="str">
        <f>Records!F89</f>
        <v>gamepad</v>
      </c>
      <c r="E89" s="12">
        <f>AVERAGE(Records!S89:U89)</f>
        <v>5</v>
      </c>
      <c r="F89" s="12">
        <f>AVERAGE(Records!O89:P89,Records!V89)</f>
        <v>5.666666666666667</v>
      </c>
      <c r="G89" s="13">
        <f>Records!AA89</f>
        <v>90.6</v>
      </c>
      <c r="H89" s="14" t="str">
        <f>IF(Records!AA89&gt;150,"是","否")</f>
        <v>否</v>
      </c>
      <c r="I89" s="14" t="str">
        <f>IF(OR(AND(Records!K89=Records!L89,Records!L89=Records!M89,Records!M89=Records!O89,Records!O89=Records!P89),AND(Records!L89=Records!M89,Records!M89=Records!O89,Records!O89=Records!P89,Records!P89=Records!Q89),AND(Records!M89=Records!O89,Records!O89=Records!P89,Records!P89=Records!Q89,Records!Q89=Records!R89),AND(Records!O89=Records!P89,Records!P89=Records!Q89,Records!Q89=Records!R89,Records!R89=Records!S89),AND(Records!P89=Records!Q89,Records!Q89=Records!R89,Records!R89=Records!S89,Records!S89=Records!T89),AND(Records!Q89=Records!R89,Records!R89=Records!S89,Records!S89=Records!T89,Records!T89=Records!U89),AND(Records!R89=Records!S89,Records!S89=Records!T89,Records!T89=Records!U89,Records!U89=Records!V89),AND(Records!S89=Records!T89,Records!T89=Records!U89,Records!U89=Records!V89,Records!V89=Records!W89),AND(Records!T89=Records!U89,Records!U89=Records!V89,Records!V89=Records!W89,Records!W89=Records!X89)),"是","否")</f>
        <v>否</v>
      </c>
    </row>
    <row r="90">
      <c r="A90" s="6" t="str">
        <f>Records!A90</f>
        <v>P015</v>
      </c>
      <c r="B90" s="6">
        <f>Records!B90</f>
        <v>2</v>
      </c>
      <c r="C90" s="6" t="str">
        <f>Records!H90</f>
        <v>EgoAnchor</v>
      </c>
      <c r="D90" s="6" t="str">
        <f>Records!F90</f>
        <v>gamepad</v>
      </c>
      <c r="E90" s="12">
        <f>AVERAGE(Records!S90:U90)</f>
        <v>4</v>
      </c>
      <c r="F90" s="12">
        <f>AVERAGE(Records!O90:P90,Records!V90)</f>
        <v>4</v>
      </c>
      <c r="G90" s="13">
        <f>Records!AA90</f>
        <v>89.9</v>
      </c>
      <c r="H90" s="14" t="str">
        <f>IF(Records!AA90&gt;150,"是","否")</f>
        <v>否</v>
      </c>
      <c r="I90" s="14" t="str">
        <f>IF(OR(AND(Records!K90=Records!L90,Records!L90=Records!M90,Records!M90=Records!O90,Records!O90=Records!P90),AND(Records!L90=Records!M90,Records!M90=Records!O90,Records!O90=Records!P90,Records!P90=Records!Q90),AND(Records!M90=Records!O90,Records!O90=Records!P90,Records!P90=Records!Q90,Records!Q90=Records!R90),AND(Records!O90=Records!P90,Records!P90=Records!Q90,Records!Q90=Records!R90,Records!R90=Records!S90),AND(Records!P90=Records!Q90,Records!Q90=Records!R90,Records!R90=Records!S90,Records!S90=Records!T90),AND(Records!Q90=Records!R90,Records!R90=Records!S90,Records!S90=Records!T90,Records!T90=Records!U90),AND(Records!R90=Records!S90,Records!S90=Records!T90,Records!T90=Records!U90,Records!U90=Records!V90),AND(Records!S90=Records!T90,Records!T90=Records!U90,Records!U90=Records!V90,Records!V90=Records!W90),AND(Records!T90=Records!U90,Records!U90=Records!V90,Records!V90=Records!W90,Records!W90=Records!X90)),"是","否")</f>
        <v>否</v>
      </c>
    </row>
    <row r="91">
      <c r="A91" s="6" t="str">
        <f>Records!A91</f>
        <v>P015</v>
      </c>
      <c r="B91" s="6">
        <f>Records!B91</f>
        <v>3</v>
      </c>
      <c r="C91" s="6" t="str">
        <f>Records!H91</f>
        <v>EgoAnchor</v>
      </c>
      <c r="D91" s="6" t="str">
        <f>Records!F91</f>
        <v>stapler</v>
      </c>
      <c r="E91" s="12">
        <f>AVERAGE(Records!S91:U91)</f>
        <v>5.333333333333333</v>
      </c>
      <c r="F91" s="12">
        <f>AVERAGE(Records!O91:P91,Records!V91)</f>
        <v>4.333333333333333</v>
      </c>
      <c r="G91" s="13">
        <f>Records!AA91</f>
        <v>82</v>
      </c>
      <c r="H91" s="14" t="str">
        <f>IF(Records!AA91&gt;150,"是","否")</f>
        <v>否</v>
      </c>
      <c r="I91" s="14" t="str">
        <f>IF(OR(AND(Records!K91=Records!L91,Records!L91=Records!M91,Records!M91=Records!O91,Records!O91=Records!P91),AND(Records!L91=Records!M91,Records!M91=Records!O91,Records!O91=Records!P91,Records!P91=Records!Q91),AND(Records!M91=Records!O91,Records!O91=Records!P91,Records!P91=Records!Q91,Records!Q91=Records!R91),AND(Records!O91=Records!P91,Records!P91=Records!Q91,Records!Q91=Records!R91,Records!R91=Records!S91),AND(Records!P91=Records!Q91,Records!Q91=Records!R91,Records!R91=Records!S91,Records!S91=Records!T91),AND(Records!Q91=Records!R91,Records!R91=Records!S91,Records!S91=Records!T91,Records!T91=Records!U91),AND(Records!R91=Records!S91,Records!S91=Records!T91,Records!T91=Records!U91,Records!U91=Records!V91),AND(Records!S91=Records!T91,Records!T91=Records!U91,Records!U91=Records!V91,Records!V91=Records!W91),AND(Records!T91=Records!U91,Records!U91=Records!V91,Records!V91=Records!W91,Records!W91=Records!X91)),"是","否")</f>
        <v>否</v>
      </c>
    </row>
    <row r="92">
      <c r="A92" s="6" t="str">
        <f>Records!A92</f>
        <v>P015</v>
      </c>
      <c r="B92" s="6">
        <f>Records!B92</f>
        <v>4</v>
      </c>
      <c r="C92" s="6" t="str">
        <f>Records!H92</f>
        <v>One-Euro</v>
      </c>
      <c r="D92" s="6" t="str">
        <f>Records!F92</f>
        <v>stapler</v>
      </c>
      <c r="E92" s="12">
        <f>AVERAGE(Records!S92:U92)</f>
        <v>4</v>
      </c>
      <c r="F92" s="12">
        <f>AVERAGE(Records!O92:P92,Records!V92)</f>
        <v>4</v>
      </c>
      <c r="G92" s="13">
        <f>Records!AA92</f>
        <v>104.7</v>
      </c>
      <c r="H92" s="14" t="str">
        <f>IF(Records!AA92&gt;150,"是","否")</f>
        <v>否</v>
      </c>
      <c r="I92" s="14" t="str">
        <f>IF(OR(AND(Records!K92=Records!L92,Records!L92=Records!M92,Records!M92=Records!O92,Records!O92=Records!P92),AND(Records!L92=Records!M92,Records!M92=Records!O92,Records!O92=Records!P92,Records!P92=Records!Q92),AND(Records!M92=Records!O92,Records!O92=Records!P92,Records!P92=Records!Q92,Records!Q92=Records!R92),AND(Records!O92=Records!P92,Records!P92=Records!Q92,Records!Q92=Records!R92,Records!R92=Records!S92),AND(Records!P92=Records!Q92,Records!Q92=Records!R92,Records!R92=Records!S92,Records!S92=Records!T92),AND(Records!Q92=Records!R92,Records!R92=Records!S92,Records!S92=Records!T92,Records!T92=Records!U92),AND(Records!R92=Records!S92,Records!S92=Records!T92,Records!T92=Records!U92,Records!U92=Records!V92),AND(Records!S92=Records!T92,Records!T92=Records!U92,Records!U92=Records!V92,Records!V92=Records!W92),AND(Records!T92=Records!U92,Records!U92=Records!V92,Records!V92=Records!W92,Records!W92=Records!X92)),"是","否")</f>
        <v>否</v>
      </c>
    </row>
    <row r="93">
      <c r="A93" s="6" t="str">
        <f>Records!A93</f>
        <v>P015</v>
      </c>
      <c r="B93" s="6">
        <f>Records!B93</f>
        <v>5</v>
      </c>
      <c r="C93" s="6" t="str">
        <f>Records!H93</f>
        <v>One-Euro</v>
      </c>
      <c r="D93" s="6" t="str">
        <f>Records!F93</f>
        <v>blue_mouse</v>
      </c>
      <c r="E93" s="12">
        <f>AVERAGE(Records!S93:U93)</f>
        <v>3</v>
      </c>
      <c r="F93" s="12">
        <f>AVERAGE(Records!O93:P93,Records!V93)</f>
        <v>3.3333333333333335</v>
      </c>
      <c r="G93" s="13">
        <f>Records!AA93</f>
        <v>98.5</v>
      </c>
      <c r="H93" s="14" t="str">
        <f>IF(Records!AA93&gt;150,"是","否")</f>
        <v>否</v>
      </c>
      <c r="I93" s="14" t="str">
        <f>IF(OR(AND(Records!K93=Records!L93,Records!L93=Records!M93,Records!M93=Records!O93,Records!O93=Records!P93),AND(Records!L93=Records!M93,Records!M93=Records!O93,Records!O93=Records!P93,Records!P93=Records!Q93),AND(Records!M93=Records!O93,Records!O93=Records!P93,Records!P93=Records!Q93,Records!Q93=Records!R93),AND(Records!O93=Records!P93,Records!P93=Records!Q93,Records!Q93=Records!R93,Records!R93=Records!S93),AND(Records!P93=Records!Q93,Records!Q93=Records!R93,Records!R93=Records!S93,Records!S93=Records!T93),AND(Records!Q93=Records!R93,Records!R93=Records!S93,Records!S93=Records!T93,Records!T93=Records!U93),AND(Records!R93=Records!S93,Records!S93=Records!T93,Records!T93=Records!U93,Records!U93=Records!V93),AND(Records!S93=Records!T93,Records!T93=Records!U93,Records!U93=Records!V93,Records!V93=Records!W93),AND(Records!T93=Records!U93,Records!U93=Records!V93,Records!V93=Records!W93,Records!W93=Records!X93)),"是","否")</f>
        <v>否</v>
      </c>
    </row>
    <row r="94">
      <c r="A94" s="6" t="str">
        <f>Records!A94</f>
        <v>P015</v>
      </c>
      <c r="B94" s="6">
        <f>Records!B94</f>
        <v>6</v>
      </c>
      <c r="C94" s="6" t="str">
        <f>Records!H94</f>
        <v>EgoAnchor</v>
      </c>
      <c r="D94" s="6" t="str">
        <f>Records!F94</f>
        <v>blue_mouse</v>
      </c>
      <c r="E94" s="12">
        <f>AVERAGE(Records!S94:U94)</f>
        <v>4</v>
      </c>
      <c r="F94" s="12">
        <f>AVERAGE(Records!O94:P94,Records!V94)</f>
        <v>4.666666666666667</v>
      </c>
      <c r="G94" s="13">
        <f>Records!AA94</f>
        <v>127.7</v>
      </c>
      <c r="H94" s="14" t="str">
        <f>IF(Records!AA94&gt;150,"是","否")</f>
        <v>否</v>
      </c>
      <c r="I94" s="14" t="str">
        <f>IF(OR(AND(Records!K94=Records!L94,Records!L94=Records!M94,Records!M94=Records!O94,Records!O94=Records!P94),AND(Records!L94=Records!M94,Records!M94=Records!O94,Records!O94=Records!P94,Records!P94=Records!Q94),AND(Records!M94=Records!O94,Records!O94=Records!P94,Records!P94=Records!Q94,Records!Q94=Records!R94),AND(Records!O94=Records!P94,Records!P94=Records!Q94,Records!Q94=Records!R94,Records!R94=Records!S94),AND(Records!P94=Records!Q94,Records!Q94=Records!R94,Records!R94=Records!S94,Records!S94=Records!T94),AND(Records!Q94=Records!R94,Records!R94=Records!S94,Records!S94=Records!T94,Records!T94=Records!U94),AND(Records!R94=Records!S94,Records!S94=Records!T94,Records!T94=Records!U94,Records!U94=Records!V94),AND(Records!S94=Records!T94,Records!T94=Records!U94,Records!U94=Records!V94,Records!V94=Records!W94),AND(Records!T94=Records!U94,Records!U94=Records!V94,Records!V94=Records!W94,Records!W94=Records!X94)),"是","否")</f>
        <v>否</v>
      </c>
    </row>
    <row r="95">
      <c r="A95" s="6" t="str">
        <f>Records!A95</f>
        <v>P016</v>
      </c>
      <c r="B95" s="6">
        <f>Records!B95</f>
        <v>1</v>
      </c>
      <c r="C95" s="6" t="str">
        <f>Records!H95</f>
        <v>EgoAnchor</v>
      </c>
      <c r="D95" s="6" t="str">
        <f>Records!F95</f>
        <v>blue_mouse</v>
      </c>
      <c r="E95" s="12">
        <f>AVERAGE(Records!S95:U95)</f>
        <v>4.333333333333333</v>
      </c>
      <c r="F95" s="12">
        <f>AVERAGE(Records!O95:P95,Records!V95)</f>
        <v>6.333333333333333</v>
      </c>
      <c r="G95" s="13">
        <f>Records!AA95</f>
        <v>124.4</v>
      </c>
      <c r="H95" s="14" t="str">
        <f>IF(Records!AA95&gt;150,"是","否")</f>
        <v>否</v>
      </c>
      <c r="I95" s="14" t="str">
        <f>IF(OR(AND(Records!K95=Records!L95,Records!L95=Records!M95,Records!M95=Records!O95,Records!O95=Records!P95),AND(Records!L95=Records!M95,Records!M95=Records!O95,Records!O95=Records!P95,Records!P95=Records!Q95),AND(Records!M95=Records!O95,Records!O95=Records!P95,Records!P95=Records!Q95,Records!Q95=Records!R95),AND(Records!O95=Records!P95,Records!P95=Records!Q95,Records!Q95=Records!R95,Records!R95=Records!S95),AND(Records!P95=Records!Q95,Records!Q95=Records!R95,Records!R95=Records!S95,Records!S95=Records!T95),AND(Records!Q95=Records!R95,Records!R95=Records!S95,Records!S95=Records!T95,Records!T95=Records!U95),AND(Records!R95=Records!S95,Records!S95=Records!T95,Records!T95=Records!U95,Records!U95=Records!V95),AND(Records!S95=Records!T95,Records!T95=Records!U95,Records!U95=Records!V95,Records!V95=Records!W95),AND(Records!T95=Records!U95,Records!U95=Records!V95,Records!V95=Records!W95,Records!W95=Records!X95)),"是","否")</f>
        <v>否</v>
      </c>
    </row>
    <row r="96">
      <c r="A96" s="6" t="str">
        <f>Records!A96</f>
        <v>P016</v>
      </c>
      <c r="B96" s="6">
        <f>Records!B96</f>
        <v>2</v>
      </c>
      <c r="C96" s="6" t="str">
        <f>Records!H96</f>
        <v>One-Euro</v>
      </c>
      <c r="D96" s="6" t="str">
        <f>Records!F96</f>
        <v>blue_mouse</v>
      </c>
      <c r="E96" s="12">
        <f>AVERAGE(Records!S96:U96)</f>
        <v>2.6666666666666665</v>
      </c>
      <c r="F96" s="12">
        <f>AVERAGE(Records!O96:P96,Records!V96)</f>
        <v>4</v>
      </c>
      <c r="G96" s="13">
        <f>Records!AA96</f>
        <v>123.5</v>
      </c>
      <c r="H96" s="14" t="str">
        <f>IF(Records!AA96&gt;150,"是","否")</f>
        <v>否</v>
      </c>
      <c r="I96" s="14" t="str">
        <f>IF(OR(AND(Records!K96=Records!L96,Records!L96=Records!M96,Records!M96=Records!O96,Records!O96=Records!P96),AND(Records!L96=Records!M96,Records!M96=Records!O96,Records!O96=Records!P96,Records!P96=Records!Q96),AND(Records!M96=Records!O96,Records!O96=Records!P96,Records!P96=Records!Q96,Records!Q96=Records!R96),AND(Records!O96=Records!P96,Records!P96=Records!Q96,Records!Q96=Records!R96,Records!R96=Records!S96),AND(Records!P96=Records!Q96,Records!Q96=Records!R96,Records!R96=Records!S96,Records!S96=Records!T96),AND(Records!Q96=Records!R96,Records!R96=Records!S96,Records!S96=Records!T96,Records!T96=Records!U96),AND(Records!R96=Records!S96,Records!S96=Records!T96,Records!T96=Records!U96,Records!U96=Records!V96),AND(Records!S96=Records!T96,Records!T96=Records!U96,Records!U96=Records!V96,Records!V96=Records!W96),AND(Records!T96=Records!U96,Records!U96=Records!V96,Records!V96=Records!W96,Records!W96=Records!X96)),"是","否")</f>
        <v>否</v>
      </c>
    </row>
    <row r="97">
      <c r="A97" s="6" t="str">
        <f>Records!A97</f>
        <v>P016</v>
      </c>
      <c r="B97" s="6">
        <f>Records!B97</f>
        <v>3</v>
      </c>
      <c r="C97" s="6" t="str">
        <f>Records!H97</f>
        <v>One-Euro</v>
      </c>
      <c r="D97" s="6" t="str">
        <f>Records!F97</f>
        <v>gamepad</v>
      </c>
      <c r="E97" s="12">
        <f>AVERAGE(Records!S97:U97)</f>
        <v>4</v>
      </c>
      <c r="F97" s="12">
        <f>AVERAGE(Records!O97:P97,Records!V97)</f>
        <v>4.333333333333333</v>
      </c>
      <c r="G97" s="13">
        <f>Records!AA97</f>
        <v>117</v>
      </c>
      <c r="H97" s="14" t="str">
        <f>IF(Records!AA97&gt;150,"是","否")</f>
        <v>否</v>
      </c>
      <c r="I97" s="14" t="str">
        <f>IF(OR(AND(Records!K97=Records!L97,Records!L97=Records!M97,Records!M97=Records!O97,Records!O97=Records!P97),AND(Records!L97=Records!M97,Records!M97=Records!O97,Records!O97=Records!P97,Records!P97=Records!Q97),AND(Records!M97=Records!O97,Records!O97=Records!P97,Records!P97=Records!Q97,Records!Q97=Records!R97),AND(Records!O97=Records!P97,Records!P97=Records!Q97,Records!Q97=Records!R97,Records!R97=Records!S97),AND(Records!P97=Records!Q97,Records!Q97=Records!R97,Records!R97=Records!S97,Records!S97=Records!T97),AND(Records!Q97=Records!R97,Records!R97=Records!S97,Records!S97=Records!T97,Records!T97=Records!U97),AND(Records!R97=Records!S97,Records!S97=Records!T97,Records!T97=Records!U97,Records!U97=Records!V97),AND(Records!S97=Records!T97,Records!T97=Records!U97,Records!U97=Records!V97,Records!V97=Records!W97),AND(Records!T97=Records!U97,Records!U97=Records!V97,Records!V97=Records!W97,Records!W97=Records!X97)),"是","否")</f>
        <v>否</v>
      </c>
    </row>
    <row r="98">
      <c r="A98" s="6" t="str">
        <f>Records!A98</f>
        <v>P016</v>
      </c>
      <c r="B98" s="6">
        <f>Records!B98</f>
        <v>4</v>
      </c>
      <c r="C98" s="6" t="str">
        <f>Records!H98</f>
        <v>EgoAnchor</v>
      </c>
      <c r="D98" s="6" t="str">
        <f>Records!F98</f>
        <v>gamepad</v>
      </c>
      <c r="E98" s="12">
        <f>AVERAGE(Records!S98:U98)</f>
        <v>5.333333333333333</v>
      </c>
      <c r="F98" s="12">
        <f>AVERAGE(Records!O98:P98,Records!V98)</f>
        <v>5</v>
      </c>
      <c r="G98" s="13">
        <f>Records!AA98</f>
        <v>122.8</v>
      </c>
      <c r="H98" s="14" t="str">
        <f>IF(Records!AA98&gt;150,"是","否")</f>
        <v>否</v>
      </c>
      <c r="I98" s="14" t="str">
        <f>IF(OR(AND(Records!K98=Records!L98,Records!L98=Records!M98,Records!M98=Records!O98,Records!O98=Records!P98),AND(Records!L98=Records!M98,Records!M98=Records!O98,Records!O98=Records!P98,Records!P98=Records!Q98),AND(Records!M98=Records!O98,Records!O98=Records!P98,Records!P98=Records!Q98,Records!Q98=Records!R98),AND(Records!O98=Records!P98,Records!P98=Records!Q98,Records!Q98=Records!R98,Records!R98=Records!S98),AND(Records!P98=Records!Q98,Records!Q98=Records!R98,Records!R98=Records!S98,Records!S98=Records!T98),AND(Records!Q98=Records!R98,Records!R98=Records!S98,Records!S98=Records!T98,Records!T98=Records!U98),AND(Records!R98=Records!S98,Records!S98=Records!T98,Records!T98=Records!U98,Records!U98=Records!V98),AND(Records!S98=Records!T98,Records!T98=Records!U98,Records!U98=Records!V98,Records!V98=Records!W98),AND(Records!T98=Records!U98,Records!U98=Records!V98,Records!V98=Records!W98,Records!W98=Records!X98)),"是","否")</f>
        <v>否</v>
      </c>
    </row>
    <row r="99">
      <c r="A99" s="6" t="str">
        <f>Records!A99</f>
        <v>P016</v>
      </c>
      <c r="B99" s="6">
        <f>Records!B99</f>
        <v>5</v>
      </c>
      <c r="C99" s="6" t="str">
        <f>Records!H99</f>
        <v>EgoAnchor</v>
      </c>
      <c r="D99" s="6" t="str">
        <f>Records!F99</f>
        <v>stapler</v>
      </c>
      <c r="E99" s="12">
        <f>AVERAGE(Records!S99:U99)</f>
        <v>4.333333333333333</v>
      </c>
      <c r="F99" s="12">
        <f>AVERAGE(Records!O99:P99,Records!V99)</f>
        <v>5.333333333333333</v>
      </c>
      <c r="G99" s="13">
        <f>Records!AA99</f>
        <v>108.3</v>
      </c>
      <c r="H99" s="14" t="str">
        <f>IF(Records!AA99&gt;150,"是","否")</f>
        <v>否</v>
      </c>
      <c r="I99" s="14" t="str">
        <f>IF(OR(AND(Records!K99=Records!L99,Records!L99=Records!M99,Records!M99=Records!O99,Records!O99=Records!P99),AND(Records!L99=Records!M99,Records!M99=Records!O99,Records!O99=Records!P99,Records!P99=Records!Q99),AND(Records!M99=Records!O99,Records!O99=Records!P99,Records!P99=Records!Q99,Records!Q99=Records!R99),AND(Records!O99=Records!P99,Records!P99=Records!Q99,Records!Q99=Records!R99,Records!R99=Records!S99),AND(Records!P99=Records!Q99,Records!Q99=Records!R99,Records!R99=Records!S99,Records!S99=Records!T99),AND(Records!Q99=Records!R99,Records!R99=Records!S99,Records!S99=Records!T99,Records!T99=Records!U99),AND(Records!R99=Records!S99,Records!S99=Records!T99,Records!T99=Records!U99,Records!U99=Records!V99),AND(Records!S99=Records!T99,Records!T99=Records!U99,Records!U99=Records!V99,Records!V99=Records!W99),AND(Records!T99=Records!U99,Records!U99=Records!V99,Records!V99=Records!W99,Records!W99=Records!X99)),"是","否")</f>
        <v>否</v>
      </c>
    </row>
    <row r="100">
      <c r="A100" s="6" t="str">
        <f>Records!A100</f>
        <v>P016</v>
      </c>
      <c r="B100" s="6">
        <f>Records!B100</f>
        <v>6</v>
      </c>
      <c r="C100" s="6" t="str">
        <f>Records!H100</f>
        <v>One-Euro</v>
      </c>
      <c r="D100" s="6" t="str">
        <f>Records!F100</f>
        <v>stapler</v>
      </c>
      <c r="E100" s="12">
        <f>AVERAGE(Records!S100:U100)</f>
        <v>4.333333333333333</v>
      </c>
      <c r="F100" s="12">
        <f>AVERAGE(Records!O100:P100,Records!V100)</f>
        <v>4</v>
      </c>
      <c r="G100" s="13">
        <f>Records!AA100</f>
        <v>114</v>
      </c>
      <c r="H100" s="14" t="str">
        <f>IF(Records!AA100&gt;150,"是","否")</f>
        <v>否</v>
      </c>
      <c r="I100" s="14" t="str">
        <f>IF(OR(AND(Records!K100=Records!L100,Records!L100=Records!M100,Records!M100=Records!O100,Records!O100=Records!P100),AND(Records!L100=Records!M100,Records!M100=Records!O100,Records!O100=Records!P100,Records!P100=Records!Q100),AND(Records!M100=Records!O100,Records!O100=Records!P100,Records!P100=Records!Q100,Records!Q100=Records!R100),AND(Records!O100=Records!P100,Records!P100=Records!Q100,Records!Q100=Records!R100,Records!R100=Records!S100),AND(Records!P100=Records!Q100,Records!Q100=Records!R100,Records!R100=Records!S100,Records!S100=Records!T100),AND(Records!Q100=Records!R100,Records!R100=Records!S100,Records!S100=Records!T100,Records!T100=Records!U100),AND(Records!R100=Records!S100,Records!S100=Records!T100,Records!T100=Records!U100,Records!U100=Records!V100),AND(Records!S100=Records!T100,Records!T100=Records!U100,Records!U100=Records!V100,Records!V100=Records!W100),AND(Records!T100=Records!U100,Records!U100=Records!V100,Records!V100=Records!W100,Records!W100=Records!X100)),"是","否")</f>
        <v>否</v>
      </c>
    </row>
    <row r="101">
      <c r="A101" s="6" t="str">
        <f>Records!A101</f>
        <v>P017</v>
      </c>
      <c r="B101" s="6">
        <f>Records!B101</f>
        <v>1</v>
      </c>
      <c r="C101" s="6" t="str">
        <f>Records!H101</f>
        <v>EgoAnchor</v>
      </c>
      <c r="D101" s="6" t="str">
        <f>Records!F101</f>
        <v>gamepad</v>
      </c>
      <c r="E101" s="12">
        <f>AVERAGE(Records!S101:U101)</f>
        <v>7</v>
      </c>
      <c r="F101" s="12">
        <f>AVERAGE(Records!O101:P101,Records!V101)</f>
        <v>7</v>
      </c>
      <c r="G101" s="13">
        <f>Records!AA101</f>
        <v>152.5</v>
      </c>
      <c r="H101" s="14" t="str">
        <f>IF(Records!AA101&gt;150,"是","否")</f>
        <v>是</v>
      </c>
      <c r="I101" s="14" t="str">
        <f>IF(OR(AND(Records!K101=Records!L101,Records!L101=Records!M101,Records!M101=Records!O101,Records!O101=Records!P101),AND(Records!L101=Records!M101,Records!M101=Records!O101,Records!O101=Records!P101,Records!P101=Records!Q101),AND(Records!M101=Records!O101,Records!O101=Records!P101,Records!P101=Records!Q101,Records!Q101=Records!R101),AND(Records!O101=Records!P101,Records!P101=Records!Q101,Records!Q101=Records!R101,Records!R101=Records!S101),AND(Records!P101=Records!Q101,Records!Q101=Records!R101,Records!R101=Records!S101,Records!S101=Records!T101),AND(Records!Q101=Records!R101,Records!R101=Records!S101,Records!S101=Records!T101,Records!T101=Records!U101),AND(Records!R101=Records!S101,Records!S101=Records!T101,Records!T101=Records!U101,Records!U101=Records!V101),AND(Records!S101=Records!T101,Records!T101=Records!U101,Records!U101=Records!V101,Records!V101=Records!W101),AND(Records!T101=Records!U101,Records!U101=Records!V101,Records!V101=Records!W101,Records!W101=Records!X101)),"是","否")</f>
        <v>是</v>
      </c>
    </row>
    <row r="102">
      <c r="A102" s="6" t="str">
        <f>Records!A102</f>
        <v>P017</v>
      </c>
      <c r="B102" s="6">
        <f>Records!B102</f>
        <v>2</v>
      </c>
      <c r="C102" s="6" t="str">
        <f>Records!H102</f>
        <v>One-Euro</v>
      </c>
      <c r="D102" s="6" t="str">
        <f>Records!F102</f>
        <v>gamepad</v>
      </c>
      <c r="E102" s="12">
        <f>AVERAGE(Records!S102:U102)</f>
        <v>6</v>
      </c>
      <c r="F102" s="12">
        <f>AVERAGE(Records!O102:P102,Records!V102)</f>
        <v>5.666666666666667</v>
      </c>
      <c r="G102" s="13">
        <f>Records!AA102</f>
        <v>169.2</v>
      </c>
      <c r="H102" s="14" t="str">
        <f>IF(Records!AA102&gt;150,"是","否")</f>
        <v>是</v>
      </c>
      <c r="I102" s="14" t="str">
        <f>IF(OR(AND(Records!K102=Records!L102,Records!L102=Records!M102,Records!M102=Records!O102,Records!O102=Records!P102),AND(Records!L102=Records!M102,Records!M102=Records!O102,Records!O102=Records!P102,Records!P102=Records!Q102),AND(Records!M102=Records!O102,Records!O102=Records!P102,Records!P102=Records!Q102,Records!Q102=Records!R102),AND(Records!O102=Records!P102,Records!P102=Records!Q102,Records!Q102=Records!R102,Records!R102=Records!S102),AND(Records!P102=Records!Q102,Records!Q102=Records!R102,Records!R102=Records!S102,Records!S102=Records!T102),AND(Records!Q102=Records!R102,Records!R102=Records!S102,Records!S102=Records!T102,Records!T102=Records!U102),AND(Records!R102=Records!S102,Records!S102=Records!T102,Records!T102=Records!U102,Records!U102=Records!V102),AND(Records!S102=Records!T102,Records!T102=Records!U102,Records!U102=Records!V102,Records!V102=Records!W102),AND(Records!T102=Records!U102,Records!U102=Records!V102,Records!V102=Records!W102,Records!W102=Records!X102)),"是","否")</f>
        <v>否</v>
      </c>
    </row>
    <row r="103">
      <c r="A103" s="6" t="str">
        <f>Records!A103</f>
        <v>P017</v>
      </c>
      <c r="B103" s="6">
        <f>Records!B103</f>
        <v>3</v>
      </c>
      <c r="C103" s="6" t="str">
        <f>Records!H103</f>
        <v>One-Euro</v>
      </c>
      <c r="D103" s="6" t="str">
        <f>Records!F103</f>
        <v>stapler</v>
      </c>
      <c r="E103" s="12">
        <f>AVERAGE(Records!S103:U103)</f>
        <v>6</v>
      </c>
      <c r="F103" s="12">
        <f>AVERAGE(Records!O103:P103,Records!V103)</f>
        <v>6.333333333333333</v>
      </c>
      <c r="G103" s="13">
        <f>Records!AA103</f>
        <v>154</v>
      </c>
      <c r="H103" s="14" t="str">
        <f>IF(Records!AA103&gt;150,"是","否")</f>
        <v>是</v>
      </c>
      <c r="I103" s="14" t="str">
        <f>IF(OR(AND(Records!K103=Records!L103,Records!L103=Records!M103,Records!M103=Records!O103,Records!O103=Records!P103),AND(Records!L103=Records!M103,Records!M103=Records!O103,Records!O103=Records!P103,Records!P103=Records!Q103),AND(Records!M103=Records!O103,Records!O103=Records!P103,Records!P103=Records!Q103,Records!Q103=Records!R103),AND(Records!O103=Records!P103,Records!P103=Records!Q103,Records!Q103=Records!R103,Records!R103=Records!S103),AND(Records!P103=Records!Q103,Records!Q103=Records!R103,Records!R103=Records!S103,Records!S103=Records!T103),AND(Records!Q103=Records!R103,Records!R103=Records!S103,Records!S103=Records!T103,Records!T103=Records!U103),AND(Records!R103=Records!S103,Records!S103=Records!T103,Records!T103=Records!U103,Records!U103=Records!V103),AND(Records!S103=Records!T103,Records!T103=Records!U103,Records!U103=Records!V103,Records!V103=Records!W103),AND(Records!T103=Records!U103,Records!U103=Records!V103,Records!V103=Records!W103,Records!W103=Records!X103)),"是","否")</f>
        <v>否</v>
      </c>
    </row>
    <row r="104">
      <c r="A104" s="6" t="str">
        <f>Records!A104</f>
        <v>P017</v>
      </c>
      <c r="B104" s="6">
        <f>Records!B104</f>
        <v>4</v>
      </c>
      <c r="C104" s="6" t="str">
        <f>Records!H104</f>
        <v>EgoAnchor</v>
      </c>
      <c r="D104" s="6" t="str">
        <f>Records!F104</f>
        <v>stapler</v>
      </c>
      <c r="E104" s="12">
        <f>AVERAGE(Records!S104:U104)</f>
        <v>6.333333333333333</v>
      </c>
      <c r="F104" s="12">
        <f>AVERAGE(Records!O104:P104,Records!V104)</f>
        <v>7</v>
      </c>
      <c r="G104" s="13">
        <f>Records!AA104</f>
        <v>173.5</v>
      </c>
      <c r="H104" s="14" t="str">
        <f>IF(Records!AA104&gt;150,"是","否")</f>
        <v>是</v>
      </c>
      <c r="I104" s="14" t="str">
        <f>IF(OR(AND(Records!K104=Records!L104,Records!L104=Records!M104,Records!M104=Records!O104,Records!O104=Records!P104),AND(Records!L104=Records!M104,Records!M104=Records!O104,Records!O104=Records!P104,Records!P104=Records!Q104),AND(Records!M104=Records!O104,Records!O104=Records!P104,Records!P104=Records!Q104,Records!Q104=Records!R104),AND(Records!O104=Records!P104,Records!P104=Records!Q104,Records!Q104=Records!R104,Records!R104=Records!S104),AND(Records!P104=Records!Q104,Records!Q104=Records!R104,Records!R104=Records!S104,Records!S104=Records!T104),AND(Records!Q104=Records!R104,Records!R104=Records!S104,Records!S104=Records!T104,Records!T104=Records!U104),AND(Records!R104=Records!S104,Records!S104=Records!T104,Records!T104=Records!U104,Records!U104=Records!V104),AND(Records!S104=Records!T104,Records!T104=Records!U104,Records!U104=Records!V104,Records!V104=Records!W104),AND(Records!T104=Records!U104,Records!U104=Records!V104,Records!V104=Records!W104,Records!W104=Records!X104)),"是","否")</f>
        <v>否</v>
      </c>
    </row>
    <row r="105">
      <c r="A105" s="6" t="str">
        <f>Records!A105</f>
        <v>P017</v>
      </c>
      <c r="B105" s="6">
        <f>Records!B105</f>
        <v>5</v>
      </c>
      <c r="C105" s="6" t="str">
        <f>Records!H105</f>
        <v>EgoAnchor</v>
      </c>
      <c r="D105" s="6" t="str">
        <f>Records!F105</f>
        <v>blue_mouse</v>
      </c>
      <c r="E105" s="12">
        <f>AVERAGE(Records!S105:U105)</f>
        <v>5.333333333333333</v>
      </c>
      <c r="F105" s="12">
        <f>AVERAGE(Records!O105:P105,Records!V105)</f>
        <v>5.333333333333333</v>
      </c>
      <c r="G105" s="13">
        <f>Records!AA105</f>
        <v>160.1</v>
      </c>
      <c r="H105" s="14" t="str">
        <f>IF(Records!AA105&gt;150,"是","否")</f>
        <v>是</v>
      </c>
      <c r="I105" s="14" t="str">
        <f>IF(OR(AND(Records!K105=Records!L105,Records!L105=Records!M105,Records!M105=Records!O105,Records!O105=Records!P105),AND(Records!L105=Records!M105,Records!M105=Records!O105,Records!O105=Records!P105,Records!P105=Records!Q105),AND(Records!M105=Records!O105,Records!O105=Records!P105,Records!P105=Records!Q105,Records!Q105=Records!R105),AND(Records!O105=Records!P105,Records!P105=Records!Q105,Records!Q105=Records!R105,Records!R105=Records!S105),AND(Records!P105=Records!Q105,Records!Q105=Records!R105,Records!R105=Records!S105,Records!S105=Records!T105),AND(Records!Q105=Records!R105,Records!R105=Records!S105,Records!S105=Records!T105,Records!T105=Records!U105),AND(Records!R105=Records!S105,Records!S105=Records!T105,Records!T105=Records!U105,Records!U105=Records!V105),AND(Records!S105=Records!T105,Records!T105=Records!U105,Records!U105=Records!V105,Records!V105=Records!W105),AND(Records!T105=Records!U105,Records!U105=Records!V105,Records!V105=Records!W105,Records!W105=Records!X105)),"是","否")</f>
        <v>否</v>
      </c>
    </row>
    <row r="106">
      <c r="A106" s="6" t="str">
        <f>Records!A106</f>
        <v>P017</v>
      </c>
      <c r="B106" s="6">
        <f>Records!B106</f>
        <v>6</v>
      </c>
      <c r="C106" s="6" t="str">
        <f>Records!H106</f>
        <v>One-Euro</v>
      </c>
      <c r="D106" s="6" t="str">
        <f>Records!F106</f>
        <v>blue_mouse</v>
      </c>
      <c r="E106" s="12">
        <f>AVERAGE(Records!S106:U106)</f>
        <v>5.666666666666667</v>
      </c>
      <c r="F106" s="12">
        <f>AVERAGE(Records!O106:P106,Records!V106)</f>
        <v>5</v>
      </c>
      <c r="G106" s="13">
        <f>Records!AA106</f>
        <v>161.7</v>
      </c>
      <c r="H106" s="14" t="str">
        <f>IF(Records!AA106&gt;150,"是","否")</f>
        <v>是</v>
      </c>
      <c r="I106" s="14" t="str">
        <f>IF(OR(AND(Records!K106=Records!L106,Records!L106=Records!M106,Records!M106=Records!O106,Records!O106=Records!P106),AND(Records!L106=Records!M106,Records!M106=Records!O106,Records!O106=Records!P106,Records!P106=Records!Q106),AND(Records!M106=Records!O106,Records!O106=Records!P106,Records!P106=Records!Q106,Records!Q106=Records!R106),AND(Records!O106=Records!P106,Records!P106=Records!Q106,Records!Q106=Records!R106,Records!R106=Records!S106),AND(Records!P106=Records!Q106,Records!Q106=Records!R106,Records!R106=Records!S106,Records!S106=Records!T106),AND(Records!Q106=Records!R106,Records!R106=Records!S106,Records!S106=Records!T106,Records!T106=Records!U106),AND(Records!R106=Records!S106,Records!S106=Records!T106,Records!T106=Records!U106,Records!U106=Records!V106),AND(Records!S106=Records!T106,Records!T106=Records!U106,Records!U106=Records!V106,Records!V106=Records!W106),AND(Records!T106=Records!U106,Records!U106=Records!V106,Records!V106=Records!W106,Records!W106=Records!X106)),"是","否")</f>
        <v>否</v>
      </c>
    </row>
    <row r="107">
      <c r="A107" s="6" t="str">
        <f>Records!A107</f>
        <v>P018</v>
      </c>
      <c r="B107" s="6">
        <f>Records!B107</f>
        <v>1</v>
      </c>
      <c r="C107" s="6" t="str">
        <f>Records!H107</f>
        <v>EgoAnchor</v>
      </c>
      <c r="D107" s="6" t="str">
        <f>Records!F107</f>
        <v>gamepad</v>
      </c>
      <c r="E107" s="12">
        <f>AVERAGE(Records!S107:U107)</f>
        <v>5.333333333333333</v>
      </c>
      <c r="F107" s="12">
        <f>AVERAGE(Records!O107:P107,Records!V107)</f>
        <v>4</v>
      </c>
      <c r="G107" s="13">
        <f>Records!AA107</f>
        <v>112.8</v>
      </c>
      <c r="H107" s="14" t="str">
        <f>IF(Records!AA107&gt;150,"是","否")</f>
        <v>否</v>
      </c>
      <c r="I107" s="14" t="str">
        <f>IF(OR(AND(Records!K107=Records!L107,Records!L107=Records!M107,Records!M107=Records!O107,Records!O107=Records!P107),AND(Records!L107=Records!M107,Records!M107=Records!O107,Records!O107=Records!P107,Records!P107=Records!Q107),AND(Records!M107=Records!O107,Records!O107=Records!P107,Records!P107=Records!Q107,Records!Q107=Records!R107),AND(Records!O107=Records!P107,Records!P107=Records!Q107,Records!Q107=Records!R107,Records!R107=Records!S107),AND(Records!P107=Records!Q107,Records!Q107=Records!R107,Records!R107=Records!S107,Records!S107=Records!T107),AND(Records!Q107=Records!R107,Records!R107=Records!S107,Records!S107=Records!T107,Records!T107=Records!U107),AND(Records!R107=Records!S107,Records!S107=Records!T107,Records!T107=Records!U107,Records!U107=Records!V107),AND(Records!S107=Records!T107,Records!T107=Records!U107,Records!U107=Records!V107,Records!V107=Records!W107),AND(Records!T107=Records!U107,Records!U107=Records!V107,Records!V107=Records!W107,Records!W107=Records!X107)),"是","否")</f>
        <v>否</v>
      </c>
    </row>
    <row r="108">
      <c r="A108" s="6" t="str">
        <f>Records!A108</f>
        <v>P018</v>
      </c>
      <c r="B108" s="6">
        <f>Records!B108</f>
        <v>2</v>
      </c>
      <c r="C108" s="6" t="str">
        <f>Records!H108</f>
        <v>One-Euro</v>
      </c>
      <c r="D108" s="6" t="str">
        <f>Records!F108</f>
        <v>gamepad</v>
      </c>
      <c r="E108" s="12">
        <f>AVERAGE(Records!S108:U108)</f>
        <v>3.6666666666666665</v>
      </c>
      <c r="F108" s="12">
        <f>AVERAGE(Records!O108:P108,Records!V108)</f>
        <v>3.3333333333333335</v>
      </c>
      <c r="G108" s="13">
        <f>Records!AA108</f>
        <v>127.3</v>
      </c>
      <c r="H108" s="14" t="str">
        <f>IF(Records!AA108&gt;150,"是","否")</f>
        <v>否</v>
      </c>
      <c r="I108" s="14" t="str">
        <f>IF(OR(AND(Records!K108=Records!L108,Records!L108=Records!M108,Records!M108=Records!O108,Records!O108=Records!P108),AND(Records!L108=Records!M108,Records!M108=Records!O108,Records!O108=Records!P108,Records!P108=Records!Q108),AND(Records!M108=Records!O108,Records!O108=Records!P108,Records!P108=Records!Q108,Records!Q108=Records!R108),AND(Records!O108=Records!P108,Records!P108=Records!Q108,Records!Q108=Records!R108,Records!R108=Records!S108),AND(Records!P108=Records!Q108,Records!Q108=Records!R108,Records!R108=Records!S108,Records!S108=Records!T108),AND(Records!Q108=Records!R108,Records!R108=Records!S108,Records!S108=Records!T108,Records!T108=Records!U108),AND(Records!R108=Records!S108,Records!S108=Records!T108,Records!T108=Records!U108,Records!U108=Records!V108),AND(Records!S108=Records!T108,Records!T108=Records!U108,Records!U108=Records!V108,Records!V108=Records!W108),AND(Records!T108=Records!U108,Records!U108=Records!V108,Records!V108=Records!W108,Records!W108=Records!X108)),"是","否")</f>
        <v>否</v>
      </c>
    </row>
    <row r="109">
      <c r="A109" s="6" t="str">
        <f>Records!A109</f>
        <v>P018</v>
      </c>
      <c r="B109" s="6">
        <f>Records!B109</f>
        <v>3</v>
      </c>
      <c r="C109" s="6" t="str">
        <f>Records!H109</f>
        <v>One-Euro</v>
      </c>
      <c r="D109" s="6" t="str">
        <f>Records!F109</f>
        <v>blue_mouse</v>
      </c>
      <c r="E109" s="12">
        <f>AVERAGE(Records!S109:U109)</f>
        <v>5.333333333333333</v>
      </c>
      <c r="F109" s="12">
        <f>AVERAGE(Records!O109:P109,Records!V109)</f>
        <v>3.6666666666666665</v>
      </c>
      <c r="G109" s="13">
        <f>Records!AA109</f>
        <v>106.7</v>
      </c>
      <c r="H109" s="14" t="str">
        <f>IF(Records!AA109&gt;150,"是","否")</f>
        <v>否</v>
      </c>
      <c r="I109" s="14" t="str">
        <f>IF(OR(AND(Records!K109=Records!L109,Records!L109=Records!M109,Records!M109=Records!O109,Records!O109=Records!P109),AND(Records!L109=Records!M109,Records!M109=Records!O109,Records!O109=Records!P109,Records!P109=Records!Q109),AND(Records!M109=Records!O109,Records!O109=Records!P109,Records!P109=Records!Q109,Records!Q109=Records!R109),AND(Records!O109=Records!P109,Records!P109=Records!Q109,Records!Q109=Records!R109,Records!R109=Records!S109),AND(Records!P109=Records!Q109,Records!Q109=Records!R109,Records!R109=Records!S109,Records!S109=Records!T109),AND(Records!Q109=Records!R109,Records!R109=Records!S109,Records!S109=Records!T109,Records!T109=Records!U109),AND(Records!R109=Records!S109,Records!S109=Records!T109,Records!T109=Records!U109,Records!U109=Records!V109),AND(Records!S109=Records!T109,Records!T109=Records!U109,Records!U109=Records!V109,Records!V109=Records!W109),AND(Records!T109=Records!U109,Records!U109=Records!V109,Records!V109=Records!W109,Records!W109=Records!X109)),"是","否")</f>
        <v>否</v>
      </c>
    </row>
    <row r="110">
      <c r="A110" s="6" t="str">
        <f>Records!A110</f>
        <v>P018</v>
      </c>
      <c r="B110" s="6">
        <f>Records!B110</f>
        <v>4</v>
      </c>
      <c r="C110" s="6" t="str">
        <f>Records!H110</f>
        <v>EgoAnchor</v>
      </c>
      <c r="D110" s="6" t="str">
        <f>Records!F110</f>
        <v>blue_mouse</v>
      </c>
      <c r="E110" s="12">
        <f>AVERAGE(Records!S110:U110)</f>
        <v>5</v>
      </c>
      <c r="F110" s="12">
        <f>AVERAGE(Records!O110:P110,Records!V110)</f>
        <v>5</v>
      </c>
      <c r="G110" s="13">
        <f>Records!AA110</f>
        <v>102.8</v>
      </c>
      <c r="H110" s="14" t="str">
        <f>IF(Records!AA110&gt;150,"是","否")</f>
        <v>否</v>
      </c>
      <c r="I110" s="14" t="str">
        <f>IF(OR(AND(Records!K110=Records!L110,Records!L110=Records!M110,Records!M110=Records!O110,Records!O110=Records!P110),AND(Records!L110=Records!M110,Records!M110=Records!O110,Records!O110=Records!P110,Records!P110=Records!Q110),AND(Records!M110=Records!O110,Records!O110=Records!P110,Records!P110=Records!Q110,Records!Q110=Records!R110),AND(Records!O110=Records!P110,Records!P110=Records!Q110,Records!Q110=Records!R110,Records!R110=Records!S110),AND(Records!P110=Records!Q110,Records!Q110=Records!R110,Records!R110=Records!S110,Records!S110=Records!T110),AND(Records!Q110=Records!R110,Records!R110=Records!S110,Records!S110=Records!T110,Records!T110=Records!U110),AND(Records!R110=Records!S110,Records!S110=Records!T110,Records!T110=Records!U110,Records!U110=Records!V110),AND(Records!S110=Records!T110,Records!T110=Records!U110,Records!U110=Records!V110,Records!V110=Records!W110),AND(Records!T110=Records!U110,Records!U110=Records!V110,Records!V110=Records!W110,Records!W110=Records!X110)),"是","否")</f>
        <v>否</v>
      </c>
    </row>
    <row r="111">
      <c r="A111" s="6" t="str">
        <f>Records!A111</f>
        <v>P018</v>
      </c>
      <c r="B111" s="6">
        <f>Records!B111</f>
        <v>5</v>
      </c>
      <c r="C111" s="6" t="str">
        <f>Records!H111</f>
        <v>EgoAnchor</v>
      </c>
      <c r="D111" s="6" t="str">
        <f>Records!F111</f>
        <v>stapler</v>
      </c>
      <c r="E111" s="12">
        <f>AVERAGE(Records!S111:U111)</f>
        <v>4.333333333333333</v>
      </c>
      <c r="F111" s="12">
        <f>AVERAGE(Records!O111:P111,Records!V111)</f>
        <v>4</v>
      </c>
      <c r="G111" s="13">
        <f>Records!AA111</f>
        <v>130.5</v>
      </c>
      <c r="H111" s="14" t="str">
        <f>IF(Records!AA111&gt;150,"是","否")</f>
        <v>否</v>
      </c>
      <c r="I111" s="14" t="str">
        <f>IF(OR(AND(Records!K111=Records!L111,Records!L111=Records!M111,Records!M111=Records!O111,Records!O111=Records!P111),AND(Records!L111=Records!M111,Records!M111=Records!O111,Records!O111=Records!P111,Records!P111=Records!Q111),AND(Records!M111=Records!O111,Records!O111=Records!P111,Records!P111=Records!Q111,Records!Q111=Records!R111),AND(Records!O111=Records!P111,Records!P111=Records!Q111,Records!Q111=Records!R111,Records!R111=Records!S111),AND(Records!P111=Records!Q111,Records!Q111=Records!R111,Records!R111=Records!S111,Records!S111=Records!T111),AND(Records!Q111=Records!R111,Records!R111=Records!S111,Records!S111=Records!T111,Records!T111=Records!U111),AND(Records!R111=Records!S111,Records!S111=Records!T111,Records!T111=Records!U111,Records!U111=Records!V111),AND(Records!S111=Records!T111,Records!T111=Records!U111,Records!U111=Records!V111,Records!V111=Records!W111),AND(Records!T111=Records!U111,Records!U111=Records!V111,Records!V111=Records!W111,Records!W111=Records!X111)),"是","否")</f>
        <v>是</v>
      </c>
    </row>
    <row r="112">
      <c r="A112" s="6" t="str">
        <f>Records!A112</f>
        <v>P018</v>
      </c>
      <c r="B112" s="6">
        <f>Records!B112</f>
        <v>6</v>
      </c>
      <c r="C112" s="6" t="str">
        <f>Records!H112</f>
        <v>One-Euro</v>
      </c>
      <c r="D112" s="6" t="str">
        <f>Records!F112</f>
        <v>stapler</v>
      </c>
      <c r="E112" s="12">
        <f>AVERAGE(Records!S112:U112)</f>
        <v>5.333333333333333</v>
      </c>
      <c r="F112" s="12">
        <f>AVERAGE(Records!O112:P112,Records!V112)</f>
        <v>5</v>
      </c>
      <c r="G112" s="13">
        <f>Records!AA112</f>
        <v>133.2</v>
      </c>
      <c r="H112" s="14" t="str">
        <f>IF(Records!AA112&gt;150,"是","否")</f>
        <v>否</v>
      </c>
      <c r="I112" s="14" t="str">
        <f>IF(OR(AND(Records!K112=Records!L112,Records!L112=Records!M112,Records!M112=Records!O112,Records!O112=Records!P112),AND(Records!L112=Records!M112,Records!M112=Records!O112,Records!O112=Records!P112,Records!P112=Records!Q112),AND(Records!M112=Records!O112,Records!O112=Records!P112,Records!P112=Records!Q112,Records!Q112=Records!R112),AND(Records!O112=Records!P112,Records!P112=Records!Q112,Records!Q112=Records!R112,Records!R112=Records!S112),AND(Records!P112=Records!Q112,Records!Q112=Records!R112,Records!R112=Records!S112,Records!S112=Records!T112),AND(Records!Q112=Records!R112,Records!R112=Records!S112,Records!S112=Records!T112,Records!T112=Records!U112),AND(Records!R112=Records!S112,Records!S112=Records!T112,Records!T112=Records!U112,Records!U112=Records!V112),AND(Records!S112=Records!T112,Records!T112=Records!U112,Records!U112=Records!V112,Records!V112=Records!W112),AND(Records!T112=Records!U112,Records!U112=Records!V112,Records!V112=Records!W112,Records!W112=Records!X112)),"是","否")</f>
        <v>否</v>
      </c>
    </row>
    <row r="113">
      <c r="A113" s="6" t="str">
        <f>Records!A113</f>
        <v>P019</v>
      </c>
      <c r="B113" s="6">
        <f>Records!B113</f>
        <v>1</v>
      </c>
      <c r="C113" s="6" t="str">
        <f>Records!H113</f>
        <v>EgoAnchor</v>
      </c>
      <c r="D113" s="6" t="str">
        <f>Records!F113</f>
        <v>stapler</v>
      </c>
      <c r="E113" s="12">
        <f>AVERAGE(Records!S113:U113)</f>
        <v>5.333333333333333</v>
      </c>
      <c r="F113" s="12">
        <f>AVERAGE(Records!O113:P113,Records!V113)</f>
        <v>5</v>
      </c>
      <c r="G113" s="13">
        <f>Records!AA113</f>
        <v>161.9</v>
      </c>
      <c r="H113" s="14" t="str">
        <f>IF(Records!AA113&gt;150,"是","否")</f>
        <v>是</v>
      </c>
      <c r="I113" s="14" t="str">
        <f>IF(OR(AND(Records!K113=Records!L113,Records!L113=Records!M113,Records!M113=Records!O113,Records!O113=Records!P113),AND(Records!L113=Records!M113,Records!M113=Records!O113,Records!O113=Records!P113,Records!P113=Records!Q113),AND(Records!M113=Records!O113,Records!O113=Records!P113,Records!P113=Records!Q113,Records!Q113=Records!R113),AND(Records!O113=Records!P113,Records!P113=Records!Q113,Records!Q113=Records!R113,Records!R113=Records!S113),AND(Records!P113=Records!Q113,Records!Q113=Records!R113,Records!R113=Records!S113,Records!S113=Records!T113),AND(Records!Q113=Records!R113,Records!R113=Records!S113,Records!S113=Records!T113,Records!T113=Records!U113),AND(Records!R113=Records!S113,Records!S113=Records!T113,Records!T113=Records!U113,Records!U113=Records!V113),AND(Records!S113=Records!T113,Records!T113=Records!U113,Records!U113=Records!V113,Records!V113=Records!W113),AND(Records!T113=Records!U113,Records!U113=Records!V113,Records!V113=Records!W113,Records!W113=Records!X113)),"是","否")</f>
        <v>否</v>
      </c>
    </row>
    <row r="114">
      <c r="A114" s="6" t="str">
        <f>Records!A114</f>
        <v>P019</v>
      </c>
      <c r="B114" s="6">
        <f>Records!B114</f>
        <v>2</v>
      </c>
      <c r="C114" s="6" t="str">
        <f>Records!H114</f>
        <v>One-Euro</v>
      </c>
      <c r="D114" s="6" t="str">
        <f>Records!F114</f>
        <v>stapler</v>
      </c>
      <c r="E114" s="12">
        <f>AVERAGE(Records!S114:U114)</f>
        <v>4.666666666666667</v>
      </c>
      <c r="F114" s="12">
        <f>AVERAGE(Records!O114:P114,Records!V114)</f>
        <v>4.666666666666667</v>
      </c>
      <c r="G114" s="13">
        <f>Records!AA114</f>
        <v>215.8</v>
      </c>
      <c r="H114" s="14" t="str">
        <f>IF(Records!AA114&gt;150,"是","否")</f>
        <v>是</v>
      </c>
      <c r="I114" s="14" t="str">
        <f>IF(OR(AND(Records!K114=Records!L114,Records!L114=Records!M114,Records!M114=Records!O114,Records!O114=Records!P114),AND(Records!L114=Records!M114,Records!M114=Records!O114,Records!O114=Records!P114,Records!P114=Records!Q114),AND(Records!M114=Records!O114,Records!O114=Records!P114,Records!P114=Records!Q114,Records!Q114=Records!R114),AND(Records!O114=Records!P114,Records!P114=Records!Q114,Records!Q114=Records!R114,Records!R114=Records!S114),AND(Records!P114=Records!Q114,Records!Q114=Records!R114,Records!R114=Records!S114,Records!S114=Records!T114),AND(Records!Q114=Records!R114,Records!R114=Records!S114,Records!S114=Records!T114,Records!T114=Records!U114),AND(Records!R114=Records!S114,Records!S114=Records!T114,Records!T114=Records!U114,Records!U114=Records!V114),AND(Records!S114=Records!T114,Records!T114=Records!U114,Records!U114=Records!V114,Records!V114=Records!W114),AND(Records!T114=Records!U114,Records!U114=Records!V114,Records!V114=Records!W114,Records!W114=Records!X114)),"是","否")</f>
        <v>否</v>
      </c>
    </row>
    <row r="115">
      <c r="A115" s="6" t="str">
        <f>Records!A115</f>
        <v>P019</v>
      </c>
      <c r="B115" s="6">
        <f>Records!B115</f>
        <v>3</v>
      </c>
      <c r="C115" s="6" t="str">
        <f>Records!H115</f>
        <v>One-Euro</v>
      </c>
      <c r="D115" s="6" t="str">
        <f>Records!F115</f>
        <v>gamepad</v>
      </c>
      <c r="E115" s="12">
        <f>AVERAGE(Records!S115:U115)</f>
        <v>3.6666666666666665</v>
      </c>
      <c r="F115" s="12">
        <f>AVERAGE(Records!O115:P115,Records!V115)</f>
        <v>4.333333333333333</v>
      </c>
      <c r="G115" s="13">
        <f>Records!AA115</f>
        <v>163.7</v>
      </c>
      <c r="H115" s="14" t="str">
        <f>IF(Records!AA115&gt;150,"是","否")</f>
        <v>是</v>
      </c>
      <c r="I115" s="14" t="str">
        <f>IF(OR(AND(Records!K115=Records!L115,Records!L115=Records!M115,Records!M115=Records!O115,Records!O115=Records!P115),AND(Records!L115=Records!M115,Records!M115=Records!O115,Records!O115=Records!P115,Records!P115=Records!Q115),AND(Records!M115=Records!O115,Records!O115=Records!P115,Records!P115=Records!Q115,Records!Q115=Records!R115),AND(Records!O115=Records!P115,Records!P115=Records!Q115,Records!Q115=Records!R115,Records!R115=Records!S115),AND(Records!P115=Records!Q115,Records!Q115=Records!R115,Records!R115=Records!S115,Records!S115=Records!T115),AND(Records!Q115=Records!R115,Records!R115=Records!S115,Records!S115=Records!T115,Records!T115=Records!U115),AND(Records!R115=Records!S115,Records!S115=Records!T115,Records!T115=Records!U115,Records!U115=Records!V115),AND(Records!S115=Records!T115,Records!T115=Records!U115,Records!U115=Records!V115,Records!V115=Records!W115),AND(Records!T115=Records!U115,Records!U115=Records!V115,Records!V115=Records!W115,Records!W115=Records!X115)),"是","否")</f>
        <v>否</v>
      </c>
    </row>
    <row r="116">
      <c r="A116" s="6" t="str">
        <f>Records!A116</f>
        <v>P019</v>
      </c>
      <c r="B116" s="6">
        <f>Records!B116</f>
        <v>4</v>
      </c>
      <c r="C116" s="6" t="str">
        <f>Records!H116</f>
        <v>EgoAnchor</v>
      </c>
      <c r="D116" s="6" t="str">
        <f>Records!F116</f>
        <v>gamepad</v>
      </c>
      <c r="E116" s="12">
        <f>AVERAGE(Records!S116:U116)</f>
        <v>4.666666666666667</v>
      </c>
      <c r="F116" s="12">
        <f>AVERAGE(Records!O116:P116,Records!V116)</f>
        <v>4.666666666666667</v>
      </c>
      <c r="G116" s="13">
        <f>Records!AA116</f>
        <v>166</v>
      </c>
      <c r="H116" s="14" t="str">
        <f>IF(Records!AA116&gt;150,"是","否")</f>
        <v>是</v>
      </c>
      <c r="I116" s="14" t="str">
        <f>IF(OR(AND(Records!K116=Records!L116,Records!L116=Records!M116,Records!M116=Records!O116,Records!O116=Records!P116),AND(Records!L116=Records!M116,Records!M116=Records!O116,Records!O116=Records!P116,Records!P116=Records!Q116),AND(Records!M116=Records!O116,Records!O116=Records!P116,Records!P116=Records!Q116,Records!Q116=Records!R116),AND(Records!O116=Records!P116,Records!P116=Records!Q116,Records!Q116=Records!R116,Records!R116=Records!S116),AND(Records!P116=Records!Q116,Records!Q116=Records!R116,Records!R116=Records!S116,Records!S116=Records!T116),AND(Records!Q116=Records!R116,Records!R116=Records!S116,Records!S116=Records!T116,Records!T116=Records!U116),AND(Records!R116=Records!S116,Records!S116=Records!T116,Records!T116=Records!U116,Records!U116=Records!V116),AND(Records!S116=Records!T116,Records!T116=Records!U116,Records!U116=Records!V116,Records!V116=Records!W116),AND(Records!T116=Records!U116,Records!U116=Records!V116,Records!V116=Records!W116,Records!W116=Records!X116)),"是","否")</f>
        <v>否</v>
      </c>
    </row>
    <row r="117">
      <c r="A117" s="6" t="str">
        <f>Records!A117</f>
        <v>P019</v>
      </c>
      <c r="B117" s="6">
        <f>Records!B117</f>
        <v>5</v>
      </c>
      <c r="C117" s="6" t="str">
        <f>Records!H117</f>
        <v>EgoAnchor</v>
      </c>
      <c r="D117" s="6" t="str">
        <f>Records!F117</f>
        <v>blue_mouse</v>
      </c>
      <c r="E117" s="12">
        <f>AVERAGE(Records!S117:U117)</f>
        <v>4</v>
      </c>
      <c r="F117" s="12">
        <f>AVERAGE(Records!O117:P117,Records!V117)</f>
        <v>3.6666666666666665</v>
      </c>
      <c r="G117" s="13">
        <f>Records!AA117</f>
        <v>214.3</v>
      </c>
      <c r="H117" s="14" t="str">
        <f>IF(Records!AA117&gt;150,"是","否")</f>
        <v>是</v>
      </c>
      <c r="I117" s="14" t="str">
        <f>IF(OR(AND(Records!K117=Records!L117,Records!L117=Records!M117,Records!M117=Records!O117,Records!O117=Records!P117),AND(Records!L117=Records!M117,Records!M117=Records!O117,Records!O117=Records!P117,Records!P117=Records!Q117),AND(Records!M117=Records!O117,Records!O117=Records!P117,Records!P117=Records!Q117,Records!Q117=Records!R117),AND(Records!O117=Records!P117,Records!P117=Records!Q117,Records!Q117=Records!R117,Records!R117=Records!S117),AND(Records!P117=Records!Q117,Records!Q117=Records!R117,Records!R117=Records!S117,Records!S117=Records!T117),AND(Records!Q117=Records!R117,Records!R117=Records!S117,Records!S117=Records!T117,Records!T117=Records!U117),AND(Records!R117=Records!S117,Records!S117=Records!T117,Records!T117=Records!U117,Records!U117=Records!V117),AND(Records!S117=Records!T117,Records!T117=Records!U117,Records!U117=Records!V117,Records!V117=Records!W117),AND(Records!T117=Records!U117,Records!U117=Records!V117,Records!V117=Records!W117,Records!W117=Records!X117)),"是","否")</f>
        <v>否</v>
      </c>
    </row>
    <row r="118">
      <c r="A118" s="6" t="str">
        <f>Records!A118</f>
        <v>P019</v>
      </c>
      <c r="B118" s="6">
        <f>Records!B118</f>
        <v>6</v>
      </c>
      <c r="C118" s="6" t="str">
        <f>Records!H118</f>
        <v>One-Euro</v>
      </c>
      <c r="D118" s="6" t="str">
        <f>Records!F118</f>
        <v>blue_mouse</v>
      </c>
      <c r="E118" s="12">
        <f>AVERAGE(Records!S118:U118)</f>
        <v>4</v>
      </c>
      <c r="F118" s="12">
        <f>AVERAGE(Records!O118:P118,Records!V118)</f>
        <v>4</v>
      </c>
      <c r="G118" s="13">
        <f>Records!AA118</f>
        <v>213.2</v>
      </c>
      <c r="H118" s="14" t="str">
        <f>IF(Records!AA118&gt;150,"是","否")</f>
        <v>是</v>
      </c>
      <c r="I118" s="14" t="str">
        <f>IF(OR(AND(Records!K118=Records!L118,Records!L118=Records!M118,Records!M118=Records!O118,Records!O118=Records!P118),AND(Records!L118=Records!M118,Records!M118=Records!O118,Records!O118=Records!P118,Records!P118=Records!Q118),AND(Records!M118=Records!O118,Records!O118=Records!P118,Records!P118=Records!Q118,Records!Q118=Records!R118),AND(Records!O118=Records!P118,Records!P118=Records!Q118,Records!Q118=Records!R118,Records!R118=Records!S118),AND(Records!P118=Records!Q118,Records!Q118=Records!R118,Records!R118=Records!S118,Records!S118=Records!T118),AND(Records!Q118=Records!R118,Records!R118=Records!S118,Records!S118=Records!T118,Records!T118=Records!U118),AND(Records!R118=Records!S118,Records!S118=Records!T118,Records!T118=Records!U118,Records!U118=Records!V118),AND(Records!S118=Records!T118,Records!T118=Records!U118,Records!U118=Records!V118,Records!V118=Records!W118),AND(Records!T118=Records!U118,Records!U118=Records!V118,Records!V118=Records!W118,Records!W118=Records!X118)),"是","否")</f>
        <v>是</v>
      </c>
    </row>
    <row r="119">
      <c r="A119" s="6" t="str">
        <f>Records!A119</f>
        <v>P020</v>
      </c>
      <c r="B119" s="6">
        <f>Records!B119</f>
        <v>1</v>
      </c>
      <c r="C119" s="6" t="str">
        <f>Records!H119</f>
        <v>One-Euro</v>
      </c>
      <c r="D119" s="6" t="str">
        <f>Records!F119</f>
        <v>blue_mouse</v>
      </c>
      <c r="E119" s="12">
        <f>AVERAGE(Records!S119:U119)</f>
        <v>4.333333333333333</v>
      </c>
      <c r="F119" s="12">
        <f>AVERAGE(Records!O119:P119,Records!V119)</f>
        <v>5.333333333333333</v>
      </c>
      <c r="G119" s="13">
        <f>Records!AA119</f>
        <v>117.8</v>
      </c>
      <c r="H119" s="14" t="str">
        <f>IF(Records!AA119&gt;150,"是","否")</f>
        <v>否</v>
      </c>
      <c r="I119" s="14" t="str">
        <f>IF(OR(AND(Records!K119=Records!L119,Records!L119=Records!M119,Records!M119=Records!O119,Records!O119=Records!P119),AND(Records!L119=Records!M119,Records!M119=Records!O119,Records!O119=Records!P119,Records!P119=Records!Q119),AND(Records!M119=Records!O119,Records!O119=Records!P119,Records!P119=Records!Q119,Records!Q119=Records!R119),AND(Records!O119=Records!P119,Records!P119=Records!Q119,Records!Q119=Records!R119,Records!R119=Records!S119),AND(Records!P119=Records!Q119,Records!Q119=Records!R119,Records!R119=Records!S119,Records!S119=Records!T119),AND(Records!Q119=Records!R119,Records!R119=Records!S119,Records!S119=Records!T119,Records!T119=Records!U119),AND(Records!R119=Records!S119,Records!S119=Records!T119,Records!T119=Records!U119,Records!U119=Records!V119),AND(Records!S119=Records!T119,Records!T119=Records!U119,Records!U119=Records!V119,Records!V119=Records!W119),AND(Records!T119=Records!U119,Records!U119=Records!V119,Records!V119=Records!W119,Records!W119=Records!X119)),"是","否")</f>
        <v>否</v>
      </c>
    </row>
    <row r="120">
      <c r="A120" s="6" t="str">
        <f>Records!A120</f>
        <v>P020</v>
      </c>
      <c r="B120" s="6">
        <f>Records!B120</f>
        <v>2</v>
      </c>
      <c r="C120" s="6" t="str">
        <f>Records!H120</f>
        <v>EgoAnchor</v>
      </c>
      <c r="D120" s="6" t="str">
        <f>Records!F120</f>
        <v>blue_mouse</v>
      </c>
      <c r="E120" s="12">
        <f>AVERAGE(Records!S120:U120)</f>
        <v>4.333333333333333</v>
      </c>
      <c r="F120" s="12">
        <f>AVERAGE(Records!O120:P120,Records!V120)</f>
        <v>3.6666666666666665</v>
      </c>
      <c r="G120" s="13">
        <f>Records!AA120</f>
        <v>112.2</v>
      </c>
      <c r="H120" s="14" t="str">
        <f>IF(Records!AA120&gt;150,"是","否")</f>
        <v>否</v>
      </c>
      <c r="I120" s="14" t="str">
        <f>IF(OR(AND(Records!K120=Records!L120,Records!L120=Records!M120,Records!M120=Records!O120,Records!O120=Records!P120),AND(Records!L120=Records!M120,Records!M120=Records!O120,Records!O120=Records!P120,Records!P120=Records!Q120),AND(Records!M120=Records!O120,Records!O120=Records!P120,Records!P120=Records!Q120,Records!Q120=Records!R120),AND(Records!O120=Records!P120,Records!P120=Records!Q120,Records!Q120=Records!R120,Records!R120=Records!S120),AND(Records!P120=Records!Q120,Records!Q120=Records!R120,Records!R120=Records!S120,Records!S120=Records!T120),AND(Records!Q120=Records!R120,Records!R120=Records!S120,Records!S120=Records!T120,Records!T120=Records!U120),AND(Records!R120=Records!S120,Records!S120=Records!T120,Records!T120=Records!U120,Records!U120=Records!V120),AND(Records!S120=Records!T120,Records!T120=Records!U120,Records!U120=Records!V120,Records!V120=Records!W120),AND(Records!T120=Records!U120,Records!U120=Records!V120,Records!V120=Records!W120,Records!W120=Records!X120)),"是","否")</f>
        <v>否</v>
      </c>
    </row>
    <row r="121">
      <c r="A121" s="6" t="str">
        <f>Records!A121</f>
        <v>P020</v>
      </c>
      <c r="B121" s="6">
        <f>Records!B121</f>
        <v>3</v>
      </c>
      <c r="C121" s="6" t="str">
        <f>Records!H121</f>
        <v>EgoAnchor</v>
      </c>
      <c r="D121" s="6" t="str">
        <f>Records!F121</f>
        <v>stapler</v>
      </c>
      <c r="E121" s="12">
        <f>AVERAGE(Records!S121:U121)</f>
        <v>4</v>
      </c>
      <c r="F121" s="12">
        <f>AVERAGE(Records!O121:P121,Records!V121)</f>
        <v>3</v>
      </c>
      <c r="G121" s="13">
        <f>Records!AA121</f>
        <v>120.9</v>
      </c>
      <c r="H121" s="14" t="str">
        <f>IF(Records!AA121&gt;150,"是","否")</f>
        <v>否</v>
      </c>
      <c r="I121" s="14" t="str">
        <f>IF(OR(AND(Records!K121=Records!L121,Records!L121=Records!M121,Records!M121=Records!O121,Records!O121=Records!P121),AND(Records!L121=Records!M121,Records!M121=Records!O121,Records!O121=Records!P121,Records!P121=Records!Q121),AND(Records!M121=Records!O121,Records!O121=Records!P121,Records!P121=Records!Q121,Records!Q121=Records!R121),AND(Records!O121=Records!P121,Records!P121=Records!Q121,Records!Q121=Records!R121,Records!R121=Records!S121),AND(Records!P121=Records!Q121,Records!Q121=Records!R121,Records!R121=Records!S121,Records!S121=Records!T121),AND(Records!Q121=Records!R121,Records!R121=Records!S121,Records!S121=Records!T121,Records!T121=Records!U121),AND(Records!R121=Records!S121,Records!S121=Records!T121,Records!T121=Records!U121,Records!U121=Records!V121),AND(Records!S121=Records!T121,Records!T121=Records!U121,Records!U121=Records!V121,Records!V121=Records!W121),AND(Records!T121=Records!U121,Records!U121=Records!V121,Records!V121=Records!W121,Records!W121=Records!X121)),"是","否")</f>
        <v>是</v>
      </c>
    </row>
    <row r="122">
      <c r="A122" s="6" t="str">
        <f>Records!A122</f>
        <v>P020</v>
      </c>
      <c r="B122" s="6">
        <f>Records!B122</f>
        <v>4</v>
      </c>
      <c r="C122" s="6" t="str">
        <f>Records!H122</f>
        <v>One-Euro</v>
      </c>
      <c r="D122" s="6" t="str">
        <f>Records!F122</f>
        <v>stapler</v>
      </c>
      <c r="E122" s="12">
        <f>AVERAGE(Records!S122:U122)</f>
        <v>5</v>
      </c>
      <c r="F122" s="12">
        <f>AVERAGE(Records!O122:P122,Records!V122)</f>
        <v>5.333333333333333</v>
      </c>
      <c r="G122" s="13">
        <f>Records!AA122</f>
        <v>135.7</v>
      </c>
      <c r="H122" s="14" t="str">
        <f>IF(Records!AA122&gt;150,"是","否")</f>
        <v>否</v>
      </c>
      <c r="I122" s="14" t="str">
        <f>IF(OR(AND(Records!K122=Records!L122,Records!L122=Records!M122,Records!M122=Records!O122,Records!O122=Records!P122),AND(Records!L122=Records!M122,Records!M122=Records!O122,Records!O122=Records!P122,Records!P122=Records!Q122),AND(Records!M122=Records!O122,Records!O122=Records!P122,Records!P122=Records!Q122,Records!Q122=Records!R122),AND(Records!O122=Records!P122,Records!P122=Records!Q122,Records!Q122=Records!R122,Records!R122=Records!S122),AND(Records!P122=Records!Q122,Records!Q122=Records!R122,Records!R122=Records!S122,Records!S122=Records!T122),AND(Records!Q122=Records!R122,Records!R122=Records!S122,Records!S122=Records!T122,Records!T122=Records!U122),AND(Records!R122=Records!S122,Records!S122=Records!T122,Records!T122=Records!U122,Records!U122=Records!V122),AND(Records!S122=Records!T122,Records!T122=Records!U122,Records!U122=Records!V122,Records!V122=Records!W122),AND(Records!T122=Records!U122,Records!U122=Records!V122,Records!V122=Records!W122,Records!W122=Records!X122)),"是","否")</f>
        <v>否</v>
      </c>
    </row>
    <row r="123">
      <c r="A123" s="6" t="str">
        <f>Records!A123</f>
        <v>P020</v>
      </c>
      <c r="B123" s="6">
        <f>Records!B123</f>
        <v>5</v>
      </c>
      <c r="C123" s="6" t="str">
        <f>Records!H123</f>
        <v>One-Euro</v>
      </c>
      <c r="D123" s="6" t="str">
        <f>Records!F123</f>
        <v>gamepad</v>
      </c>
      <c r="E123" s="12">
        <f>AVERAGE(Records!S123:U123)</f>
        <v>3.3333333333333335</v>
      </c>
      <c r="F123" s="12">
        <f>AVERAGE(Records!O123:P123,Records!V123)</f>
        <v>4</v>
      </c>
      <c r="G123" s="13">
        <f>Records!AA123</f>
        <v>133.5</v>
      </c>
      <c r="H123" s="14" t="str">
        <f>IF(Records!AA123&gt;150,"是","否")</f>
        <v>否</v>
      </c>
      <c r="I123" s="14" t="str">
        <f>IF(OR(AND(Records!K123=Records!L123,Records!L123=Records!M123,Records!M123=Records!O123,Records!O123=Records!P123),AND(Records!L123=Records!M123,Records!M123=Records!O123,Records!O123=Records!P123,Records!P123=Records!Q123),AND(Records!M123=Records!O123,Records!O123=Records!P123,Records!P123=Records!Q123,Records!Q123=Records!R123),AND(Records!O123=Records!P123,Records!P123=Records!Q123,Records!Q123=Records!R123,Records!R123=Records!S123),AND(Records!P123=Records!Q123,Records!Q123=Records!R123,Records!R123=Records!S123,Records!S123=Records!T123),AND(Records!Q123=Records!R123,Records!R123=Records!S123,Records!S123=Records!T123,Records!T123=Records!U123),AND(Records!R123=Records!S123,Records!S123=Records!T123,Records!T123=Records!U123,Records!U123=Records!V123),AND(Records!S123=Records!T123,Records!T123=Records!U123,Records!U123=Records!V123,Records!V123=Records!W123),AND(Records!T123=Records!U123,Records!U123=Records!V123,Records!V123=Records!W123,Records!W123=Records!X123)),"是","否")</f>
        <v>否</v>
      </c>
    </row>
    <row r="124">
      <c r="A124" s="6" t="str">
        <f>Records!A124</f>
        <v>P020</v>
      </c>
      <c r="B124" s="6">
        <f>Records!B124</f>
        <v>6</v>
      </c>
      <c r="C124" s="6" t="str">
        <f>Records!H124</f>
        <v>EgoAnchor</v>
      </c>
      <c r="D124" s="6" t="str">
        <f>Records!F124</f>
        <v>gamepad</v>
      </c>
      <c r="E124" s="12">
        <f>AVERAGE(Records!S124:U124)</f>
        <v>4</v>
      </c>
      <c r="F124" s="12">
        <f>AVERAGE(Records!O124:P124,Records!V124)</f>
        <v>4.333333333333333</v>
      </c>
      <c r="G124" s="13">
        <f>Records!AA124</f>
        <v>127.8</v>
      </c>
      <c r="H124" s="14" t="str">
        <f>IF(Records!AA124&gt;150,"是","否")</f>
        <v>否</v>
      </c>
      <c r="I124" s="14" t="str">
        <f>IF(OR(AND(Records!K124=Records!L124,Records!L124=Records!M124,Records!M124=Records!O124,Records!O124=Records!P124),AND(Records!L124=Records!M124,Records!M124=Records!O124,Records!O124=Records!P124,Records!P124=Records!Q124),AND(Records!M124=Records!O124,Records!O124=Records!P124,Records!P124=Records!Q124,Records!Q124=Records!R124),AND(Records!O124=Records!P124,Records!P124=Records!Q124,Records!Q124=Records!R124,Records!R124=Records!S124),AND(Records!P124=Records!Q124,Records!Q124=Records!R124,Records!R124=Records!S124,Records!S124=Records!T124),AND(Records!Q124=Records!R124,Records!R124=Records!S124,Records!S124=Records!T124,Records!T124=Records!U124),AND(Records!R124=Records!S124,Records!S124=Records!T124,Records!T124=Records!U124,Records!U124=Records!V124),AND(Records!S124=Records!T124,Records!T124=Records!U124,Records!U124=Records!V124,Records!V124=Records!W124),AND(Records!T124=Records!U124,Records!U124=Records!V124,Records!V124=Records!W124,Records!W124=Records!X124)),"是","否")</f>
        <v>否</v>
      </c>
    </row>
    <row r="125">
      <c r="A125" s="6" t="str">
        <f>Records!A125</f>
        <v>P021</v>
      </c>
      <c r="B125" s="6">
        <f>Records!B125</f>
        <v>1</v>
      </c>
      <c r="C125" s="6" t="str">
        <f>Records!H125</f>
        <v>EgoAnchor</v>
      </c>
      <c r="D125" s="6" t="str">
        <f>Records!F125</f>
        <v>blue_mouse</v>
      </c>
      <c r="E125" s="12">
        <f>AVERAGE(Records!S125:U125)</f>
        <v>6</v>
      </c>
      <c r="F125" s="12">
        <f>AVERAGE(Records!O125:P125,Records!V125)</f>
        <v>6.333333333333333</v>
      </c>
      <c r="G125" s="13">
        <f>Records!AA125</f>
        <v>91.4</v>
      </c>
      <c r="H125" s="14" t="str">
        <f>IF(Records!AA125&gt;150,"是","否")</f>
        <v>否</v>
      </c>
      <c r="I125" s="14" t="str">
        <f>IF(OR(AND(Records!K125=Records!L125,Records!L125=Records!M125,Records!M125=Records!O125,Records!O125=Records!P125),AND(Records!L125=Records!M125,Records!M125=Records!O125,Records!O125=Records!P125,Records!P125=Records!Q125),AND(Records!M125=Records!O125,Records!O125=Records!P125,Records!P125=Records!Q125,Records!Q125=Records!R125),AND(Records!O125=Records!P125,Records!P125=Records!Q125,Records!Q125=Records!R125,Records!R125=Records!S125),AND(Records!P125=Records!Q125,Records!Q125=Records!R125,Records!R125=Records!S125,Records!S125=Records!T125),AND(Records!Q125=Records!R125,Records!R125=Records!S125,Records!S125=Records!T125,Records!T125=Records!U125),AND(Records!R125=Records!S125,Records!S125=Records!T125,Records!T125=Records!U125,Records!U125=Records!V125),AND(Records!S125=Records!T125,Records!T125=Records!U125,Records!U125=Records!V125,Records!V125=Records!W125),AND(Records!T125=Records!U125,Records!U125=Records!V125,Records!V125=Records!W125,Records!W125=Records!X125)),"是","否")</f>
        <v>否</v>
      </c>
    </row>
    <row r="126">
      <c r="A126" s="6" t="str">
        <f>Records!A126</f>
        <v>P021</v>
      </c>
      <c r="B126" s="6">
        <f>Records!B126</f>
        <v>2</v>
      </c>
      <c r="C126" s="6" t="str">
        <f>Records!H126</f>
        <v>One-Euro</v>
      </c>
      <c r="D126" s="6" t="str">
        <f>Records!F126</f>
        <v>blue_mouse</v>
      </c>
      <c r="E126" s="12">
        <f>AVERAGE(Records!S126:U126)</f>
        <v>3.6666666666666665</v>
      </c>
      <c r="F126" s="12">
        <f>AVERAGE(Records!O126:P126,Records!V126)</f>
        <v>4</v>
      </c>
      <c r="G126" s="13">
        <f>Records!AA126</f>
        <v>110.7</v>
      </c>
      <c r="H126" s="14" t="str">
        <f>IF(Records!AA126&gt;150,"是","否")</f>
        <v>否</v>
      </c>
      <c r="I126" s="14" t="str">
        <f>IF(OR(AND(Records!K126=Records!L126,Records!L126=Records!M126,Records!M126=Records!O126,Records!O126=Records!P126),AND(Records!L126=Records!M126,Records!M126=Records!O126,Records!O126=Records!P126,Records!P126=Records!Q126),AND(Records!M126=Records!O126,Records!O126=Records!P126,Records!P126=Records!Q126,Records!Q126=Records!R126),AND(Records!O126=Records!P126,Records!P126=Records!Q126,Records!Q126=Records!R126,Records!R126=Records!S126),AND(Records!P126=Records!Q126,Records!Q126=Records!R126,Records!R126=Records!S126,Records!S126=Records!T126),AND(Records!Q126=Records!R126,Records!R126=Records!S126,Records!S126=Records!T126,Records!T126=Records!U126),AND(Records!R126=Records!S126,Records!S126=Records!T126,Records!T126=Records!U126,Records!U126=Records!V126),AND(Records!S126=Records!T126,Records!T126=Records!U126,Records!U126=Records!V126,Records!V126=Records!W126),AND(Records!T126=Records!U126,Records!U126=Records!V126,Records!V126=Records!W126,Records!W126=Records!X126)),"是","否")</f>
        <v>否</v>
      </c>
    </row>
    <row r="127">
      <c r="A127" s="6" t="str">
        <f>Records!A127</f>
        <v>P021</v>
      </c>
      <c r="B127" s="6">
        <f>Records!B127</f>
        <v>3</v>
      </c>
      <c r="C127" s="6" t="str">
        <f>Records!H127</f>
        <v>One-Euro</v>
      </c>
      <c r="D127" s="6" t="str">
        <f>Records!F127</f>
        <v>stapler</v>
      </c>
      <c r="E127" s="12">
        <f>AVERAGE(Records!S127:U127)</f>
        <v>5.666666666666667</v>
      </c>
      <c r="F127" s="12">
        <f>AVERAGE(Records!O127:P127,Records!V127)</f>
        <v>5</v>
      </c>
      <c r="G127" s="13">
        <f>Records!AA127</f>
        <v>106.8</v>
      </c>
      <c r="H127" s="14" t="str">
        <f>IF(Records!AA127&gt;150,"是","否")</f>
        <v>否</v>
      </c>
      <c r="I127" s="14" t="str">
        <f>IF(OR(AND(Records!K127=Records!L127,Records!L127=Records!M127,Records!M127=Records!O127,Records!O127=Records!P127),AND(Records!L127=Records!M127,Records!M127=Records!O127,Records!O127=Records!P127,Records!P127=Records!Q127),AND(Records!M127=Records!O127,Records!O127=Records!P127,Records!P127=Records!Q127,Records!Q127=Records!R127),AND(Records!O127=Records!P127,Records!P127=Records!Q127,Records!Q127=Records!R127,Records!R127=Records!S127),AND(Records!P127=Records!Q127,Records!Q127=Records!R127,Records!R127=Records!S127,Records!S127=Records!T127),AND(Records!Q127=Records!R127,Records!R127=Records!S127,Records!S127=Records!T127,Records!T127=Records!U127),AND(Records!R127=Records!S127,Records!S127=Records!T127,Records!T127=Records!U127,Records!U127=Records!V127),AND(Records!S127=Records!T127,Records!T127=Records!U127,Records!U127=Records!V127,Records!V127=Records!W127),AND(Records!T127=Records!U127,Records!U127=Records!V127,Records!V127=Records!W127,Records!W127=Records!X127)),"是","否")</f>
        <v>否</v>
      </c>
    </row>
    <row r="128">
      <c r="A128" s="6" t="str">
        <f>Records!A128</f>
        <v>P021</v>
      </c>
      <c r="B128" s="6">
        <f>Records!B128</f>
        <v>4</v>
      </c>
      <c r="C128" s="6" t="str">
        <f>Records!H128</f>
        <v>EgoAnchor</v>
      </c>
      <c r="D128" s="6" t="str">
        <f>Records!F128</f>
        <v>stapler</v>
      </c>
      <c r="E128" s="12">
        <f>AVERAGE(Records!S128:U128)</f>
        <v>6</v>
      </c>
      <c r="F128" s="12">
        <f>AVERAGE(Records!O128:P128,Records!V128)</f>
        <v>6.333333333333333</v>
      </c>
      <c r="G128" s="13">
        <f>Records!AA128</f>
        <v>98.4</v>
      </c>
      <c r="H128" s="14" t="str">
        <f>IF(Records!AA128&gt;150,"是","否")</f>
        <v>否</v>
      </c>
      <c r="I128" s="14" t="str">
        <f>IF(OR(AND(Records!K128=Records!L128,Records!L128=Records!M128,Records!M128=Records!O128,Records!O128=Records!P128),AND(Records!L128=Records!M128,Records!M128=Records!O128,Records!O128=Records!P128,Records!P128=Records!Q128),AND(Records!M128=Records!O128,Records!O128=Records!P128,Records!P128=Records!Q128,Records!Q128=Records!R128),AND(Records!O128=Records!P128,Records!P128=Records!Q128,Records!Q128=Records!R128,Records!R128=Records!S128),AND(Records!P128=Records!Q128,Records!Q128=Records!R128,Records!R128=Records!S128,Records!S128=Records!T128),AND(Records!Q128=Records!R128,Records!R128=Records!S128,Records!S128=Records!T128,Records!T128=Records!U128),AND(Records!R128=Records!S128,Records!S128=Records!T128,Records!T128=Records!U128,Records!U128=Records!V128),AND(Records!S128=Records!T128,Records!T128=Records!U128,Records!U128=Records!V128,Records!V128=Records!W128),AND(Records!T128=Records!U128,Records!U128=Records!V128,Records!V128=Records!W128,Records!W128=Records!X128)),"是","否")</f>
        <v>否</v>
      </c>
    </row>
    <row r="129">
      <c r="A129" s="6" t="str">
        <f>Records!A129</f>
        <v>P021</v>
      </c>
      <c r="B129" s="6">
        <f>Records!B129</f>
        <v>5</v>
      </c>
      <c r="C129" s="6" t="str">
        <f>Records!H129</f>
        <v>EgoAnchor</v>
      </c>
      <c r="D129" s="6" t="str">
        <f>Records!F129</f>
        <v>gamepad</v>
      </c>
      <c r="E129" s="12">
        <f>AVERAGE(Records!S129:U129)</f>
        <v>6.333333333333333</v>
      </c>
      <c r="F129" s="12">
        <f>AVERAGE(Records!O129:P129,Records!V129)</f>
        <v>6.333333333333333</v>
      </c>
      <c r="G129" s="13">
        <f>Records!AA129</f>
        <v>101.5</v>
      </c>
      <c r="H129" s="14" t="str">
        <f>IF(Records!AA129&gt;150,"是","否")</f>
        <v>否</v>
      </c>
      <c r="I129" s="14" t="str">
        <f>IF(OR(AND(Records!K129=Records!L129,Records!L129=Records!M129,Records!M129=Records!O129,Records!O129=Records!P129),AND(Records!L129=Records!M129,Records!M129=Records!O129,Records!O129=Records!P129,Records!P129=Records!Q129),AND(Records!M129=Records!O129,Records!O129=Records!P129,Records!P129=Records!Q129,Records!Q129=Records!R129),AND(Records!O129=Records!P129,Records!P129=Records!Q129,Records!Q129=Records!R129,Records!R129=Records!S129),AND(Records!P129=Records!Q129,Records!Q129=Records!R129,Records!R129=Records!S129,Records!S129=Records!T129),AND(Records!Q129=Records!R129,Records!R129=Records!S129,Records!S129=Records!T129,Records!T129=Records!U129),AND(Records!R129=Records!S129,Records!S129=Records!T129,Records!T129=Records!U129,Records!U129=Records!V129),AND(Records!S129=Records!T129,Records!T129=Records!U129,Records!U129=Records!V129,Records!V129=Records!W129),AND(Records!T129=Records!U129,Records!U129=Records!V129,Records!V129=Records!W129,Records!W129=Records!X129)),"是","否")</f>
        <v>否</v>
      </c>
    </row>
    <row r="130">
      <c r="A130" s="6" t="str">
        <f>Records!A130</f>
        <v>P021</v>
      </c>
      <c r="B130" s="6">
        <f>Records!B130</f>
        <v>6</v>
      </c>
      <c r="C130" s="6" t="str">
        <f>Records!H130</f>
        <v>One-Euro</v>
      </c>
      <c r="D130" s="6" t="str">
        <f>Records!F130</f>
        <v>gamepad</v>
      </c>
      <c r="E130" s="12">
        <f>AVERAGE(Records!S130:U130)</f>
        <v>4.666666666666667</v>
      </c>
      <c r="F130" s="12">
        <f>AVERAGE(Records!O130:P130,Records!V130)</f>
        <v>5</v>
      </c>
      <c r="G130" s="13">
        <f>Records!AA130</f>
        <v>117.9</v>
      </c>
      <c r="H130" s="14" t="str">
        <f>IF(Records!AA130&gt;150,"是","否")</f>
        <v>否</v>
      </c>
      <c r="I130" s="14" t="str">
        <f>IF(OR(AND(Records!K130=Records!L130,Records!L130=Records!M130,Records!M130=Records!O130,Records!O130=Records!P130),AND(Records!L130=Records!M130,Records!M130=Records!O130,Records!O130=Records!P130,Records!P130=Records!Q130),AND(Records!M130=Records!O130,Records!O130=Records!P130,Records!P130=Records!Q130,Records!Q130=Records!R130),AND(Records!O130=Records!P130,Records!P130=Records!Q130,Records!Q130=Records!R130,Records!R130=Records!S130),AND(Records!P130=Records!Q130,Records!Q130=Records!R130,Records!R130=Records!S130,Records!S130=Records!T130),AND(Records!Q130=Records!R130,Records!R130=Records!S130,Records!S130=Records!T130,Records!T130=Records!U130),AND(Records!R130=Records!S130,Records!S130=Records!T130,Records!T130=Records!U130,Records!U130=Records!V130),AND(Records!S130=Records!T130,Records!T130=Records!U130,Records!U130=Records!V130,Records!V130=Records!W130),AND(Records!T130=Records!U130,Records!U130=Records!V130,Records!V130=Records!W130,Records!W130=Records!X130)),"是","否")</f>
        <v>否</v>
      </c>
    </row>
    <row r="131">
      <c r="A131" s="6" t="str">
        <f>Records!A131</f>
        <v>P022</v>
      </c>
      <c r="B131" s="6">
        <f>Records!B131</f>
        <v>1</v>
      </c>
      <c r="C131" s="6" t="str">
        <f>Records!H131</f>
        <v>EgoAnchor</v>
      </c>
      <c r="D131" s="6" t="str">
        <f>Records!F131</f>
        <v>gamepad</v>
      </c>
      <c r="E131" s="12">
        <f>AVERAGE(Records!S131:U131)</f>
        <v>4</v>
      </c>
      <c r="F131" s="12">
        <f>AVERAGE(Records!O131:P131,Records!V131)</f>
        <v>4.333333333333333</v>
      </c>
      <c r="G131" s="13">
        <f>Records!AA131</f>
        <v>120.5</v>
      </c>
      <c r="H131" s="14" t="str">
        <f>IF(Records!AA131&gt;150,"是","否")</f>
        <v>否</v>
      </c>
      <c r="I131" s="14" t="str">
        <f>IF(OR(AND(Records!K131=Records!L131,Records!L131=Records!M131,Records!M131=Records!O131,Records!O131=Records!P131),AND(Records!L131=Records!M131,Records!M131=Records!O131,Records!O131=Records!P131,Records!P131=Records!Q131),AND(Records!M131=Records!O131,Records!O131=Records!P131,Records!P131=Records!Q131,Records!Q131=Records!R131),AND(Records!O131=Records!P131,Records!P131=Records!Q131,Records!Q131=Records!R131,Records!R131=Records!S131),AND(Records!P131=Records!Q131,Records!Q131=Records!R131,Records!R131=Records!S131,Records!S131=Records!T131),AND(Records!Q131=Records!R131,Records!R131=Records!S131,Records!S131=Records!T131,Records!T131=Records!U131),AND(Records!R131=Records!S131,Records!S131=Records!T131,Records!T131=Records!U131,Records!U131=Records!V131),AND(Records!S131=Records!T131,Records!T131=Records!U131,Records!U131=Records!V131,Records!V131=Records!W131),AND(Records!T131=Records!U131,Records!U131=Records!V131,Records!V131=Records!W131,Records!W131=Records!X131)),"是","否")</f>
        <v>否</v>
      </c>
    </row>
    <row r="132">
      <c r="A132" s="6" t="str">
        <f>Records!A132</f>
        <v>P022</v>
      </c>
      <c r="B132" s="6">
        <f>Records!B132</f>
        <v>2</v>
      </c>
      <c r="C132" s="6" t="str">
        <f>Records!H132</f>
        <v>One-Euro</v>
      </c>
      <c r="D132" s="6" t="str">
        <f>Records!F132</f>
        <v>gamepad</v>
      </c>
      <c r="E132" s="12">
        <f>AVERAGE(Records!S132:U132)</f>
        <v>4.333333333333333</v>
      </c>
      <c r="F132" s="12">
        <f>AVERAGE(Records!O132:P132,Records!V132)</f>
        <v>4.333333333333333</v>
      </c>
      <c r="G132" s="13">
        <f>Records!AA132</f>
        <v>145.2</v>
      </c>
      <c r="H132" s="14" t="str">
        <f>IF(Records!AA132&gt;150,"是","否")</f>
        <v>否</v>
      </c>
      <c r="I132" s="14" t="str">
        <f>IF(OR(AND(Records!K132=Records!L132,Records!L132=Records!M132,Records!M132=Records!O132,Records!O132=Records!P132),AND(Records!L132=Records!M132,Records!M132=Records!O132,Records!O132=Records!P132,Records!P132=Records!Q132),AND(Records!M132=Records!O132,Records!O132=Records!P132,Records!P132=Records!Q132,Records!Q132=Records!R132),AND(Records!O132=Records!P132,Records!P132=Records!Q132,Records!Q132=Records!R132,Records!R132=Records!S132),AND(Records!P132=Records!Q132,Records!Q132=Records!R132,Records!R132=Records!S132,Records!S132=Records!T132),AND(Records!Q132=Records!R132,Records!R132=Records!S132,Records!S132=Records!T132,Records!T132=Records!U132),AND(Records!R132=Records!S132,Records!S132=Records!T132,Records!T132=Records!U132,Records!U132=Records!V132),AND(Records!S132=Records!T132,Records!T132=Records!U132,Records!U132=Records!V132,Records!V132=Records!W132),AND(Records!T132=Records!U132,Records!U132=Records!V132,Records!V132=Records!W132,Records!W132=Records!X132)),"是","否")</f>
        <v>否</v>
      </c>
    </row>
    <row r="133">
      <c r="A133" s="6" t="str">
        <f>Records!A133</f>
        <v>P022</v>
      </c>
      <c r="B133" s="6">
        <f>Records!B133</f>
        <v>3</v>
      </c>
      <c r="C133" s="6" t="str">
        <f>Records!H133</f>
        <v>One-Euro</v>
      </c>
      <c r="D133" s="6" t="str">
        <f>Records!F133</f>
        <v>blue_mouse</v>
      </c>
      <c r="E133" s="12">
        <f>AVERAGE(Records!S133:U133)</f>
        <v>3.3333333333333335</v>
      </c>
      <c r="F133" s="12">
        <f>AVERAGE(Records!O133:P133,Records!V133)</f>
        <v>4</v>
      </c>
      <c r="G133" s="13">
        <f>Records!AA133</f>
        <v>134.3</v>
      </c>
      <c r="H133" s="14" t="str">
        <f>IF(Records!AA133&gt;150,"是","否")</f>
        <v>否</v>
      </c>
      <c r="I133" s="14" t="str">
        <f>IF(OR(AND(Records!K133=Records!L133,Records!L133=Records!M133,Records!M133=Records!O133,Records!O133=Records!P133),AND(Records!L133=Records!M133,Records!M133=Records!O133,Records!O133=Records!P133,Records!P133=Records!Q133),AND(Records!M133=Records!O133,Records!O133=Records!P133,Records!P133=Records!Q133,Records!Q133=Records!R133),AND(Records!O133=Records!P133,Records!P133=Records!Q133,Records!Q133=Records!R133,Records!R133=Records!S133),AND(Records!P133=Records!Q133,Records!Q133=Records!R133,Records!R133=Records!S133,Records!S133=Records!T133),AND(Records!Q133=Records!R133,Records!R133=Records!S133,Records!S133=Records!T133,Records!T133=Records!U133),AND(Records!R133=Records!S133,Records!S133=Records!T133,Records!T133=Records!U133,Records!U133=Records!V133),AND(Records!S133=Records!T133,Records!T133=Records!U133,Records!U133=Records!V133,Records!V133=Records!W133),AND(Records!T133=Records!U133,Records!U133=Records!V133,Records!V133=Records!W133,Records!W133=Records!X133)),"是","否")</f>
        <v>是</v>
      </c>
    </row>
    <row r="134">
      <c r="A134" s="6" t="str">
        <f>Records!A134</f>
        <v>P022</v>
      </c>
      <c r="B134" s="6">
        <f>Records!B134</f>
        <v>4</v>
      </c>
      <c r="C134" s="6" t="str">
        <f>Records!H134</f>
        <v>EgoAnchor</v>
      </c>
      <c r="D134" s="6" t="str">
        <f>Records!F134</f>
        <v>blue_mouse</v>
      </c>
      <c r="E134" s="12">
        <f>AVERAGE(Records!S134:U134)</f>
        <v>4</v>
      </c>
      <c r="F134" s="12">
        <f>AVERAGE(Records!O134:P134,Records!V134)</f>
        <v>4</v>
      </c>
      <c r="G134" s="13">
        <f>Records!AA134</f>
        <v>164.8</v>
      </c>
      <c r="H134" s="14" t="str">
        <f>IF(Records!AA134&gt;150,"是","否")</f>
        <v>是</v>
      </c>
      <c r="I134" s="14" t="str">
        <f>IF(OR(AND(Records!K134=Records!L134,Records!L134=Records!M134,Records!M134=Records!O134,Records!O134=Records!P134),AND(Records!L134=Records!M134,Records!M134=Records!O134,Records!O134=Records!P134,Records!P134=Records!Q134),AND(Records!M134=Records!O134,Records!O134=Records!P134,Records!P134=Records!Q134,Records!Q134=Records!R134),AND(Records!O134=Records!P134,Records!P134=Records!Q134,Records!Q134=Records!R134,Records!R134=Records!S134),AND(Records!P134=Records!Q134,Records!Q134=Records!R134,Records!R134=Records!S134,Records!S134=Records!T134),AND(Records!Q134=Records!R134,Records!R134=Records!S134,Records!S134=Records!T134,Records!T134=Records!U134),AND(Records!R134=Records!S134,Records!S134=Records!T134,Records!T134=Records!U134,Records!U134=Records!V134),AND(Records!S134=Records!T134,Records!T134=Records!U134,Records!U134=Records!V134,Records!V134=Records!W134),AND(Records!T134=Records!U134,Records!U134=Records!V134,Records!V134=Records!W134,Records!W134=Records!X134)),"是","否")</f>
        <v>否</v>
      </c>
    </row>
    <row r="135">
      <c r="A135" s="6" t="str">
        <f>Records!A135</f>
        <v>P022</v>
      </c>
      <c r="B135" s="6">
        <f>Records!B135</f>
        <v>5</v>
      </c>
      <c r="C135" s="6" t="str">
        <f>Records!H135</f>
        <v>EgoAnchor</v>
      </c>
      <c r="D135" s="6" t="str">
        <f>Records!F135</f>
        <v>stapler</v>
      </c>
      <c r="E135" s="12">
        <f>AVERAGE(Records!S135:U135)</f>
        <v>3.6666666666666665</v>
      </c>
      <c r="F135" s="12">
        <f>AVERAGE(Records!O135:P135,Records!V135)</f>
        <v>4.333333333333333</v>
      </c>
      <c r="G135" s="13">
        <f>Records!AA135</f>
        <v>155.5</v>
      </c>
      <c r="H135" s="14" t="str">
        <f>IF(Records!AA135&gt;150,"是","否")</f>
        <v>是</v>
      </c>
      <c r="I135" s="14" t="str">
        <f>IF(OR(AND(Records!K135=Records!L135,Records!L135=Records!M135,Records!M135=Records!O135,Records!O135=Records!P135),AND(Records!L135=Records!M135,Records!M135=Records!O135,Records!O135=Records!P135,Records!P135=Records!Q135),AND(Records!M135=Records!O135,Records!O135=Records!P135,Records!P135=Records!Q135,Records!Q135=Records!R135),AND(Records!O135=Records!P135,Records!P135=Records!Q135,Records!Q135=Records!R135,Records!R135=Records!S135),AND(Records!P135=Records!Q135,Records!Q135=Records!R135,Records!R135=Records!S135,Records!S135=Records!T135),AND(Records!Q135=Records!R135,Records!R135=Records!S135,Records!S135=Records!T135,Records!T135=Records!U135),AND(Records!R135=Records!S135,Records!S135=Records!T135,Records!T135=Records!U135,Records!U135=Records!V135),AND(Records!S135=Records!T135,Records!T135=Records!U135,Records!U135=Records!V135,Records!V135=Records!W135),AND(Records!T135=Records!U135,Records!U135=Records!V135,Records!V135=Records!W135,Records!W135=Records!X135)),"是","否")</f>
        <v>否</v>
      </c>
    </row>
    <row r="136">
      <c r="A136" s="6" t="str">
        <f>Records!A136</f>
        <v>P022</v>
      </c>
      <c r="B136" s="6">
        <f>Records!B136</f>
        <v>6</v>
      </c>
      <c r="C136" s="6" t="str">
        <f>Records!H136</f>
        <v>One-Euro</v>
      </c>
      <c r="D136" s="6" t="str">
        <f>Records!F136</f>
        <v>stapler</v>
      </c>
      <c r="E136" s="12">
        <f>AVERAGE(Records!S136:U136)</f>
        <v>4.666666666666667</v>
      </c>
      <c r="F136" s="12">
        <f>AVERAGE(Records!O136:P136,Records!V136)</f>
        <v>5</v>
      </c>
      <c r="G136" s="13">
        <f>Records!AA136</f>
        <v>151.3</v>
      </c>
      <c r="H136" s="14" t="str">
        <f>IF(Records!AA136&gt;150,"是","否")</f>
        <v>是</v>
      </c>
      <c r="I136" s="14" t="str">
        <f>IF(OR(AND(Records!K136=Records!L136,Records!L136=Records!M136,Records!M136=Records!O136,Records!O136=Records!P136),AND(Records!L136=Records!M136,Records!M136=Records!O136,Records!O136=Records!P136,Records!P136=Records!Q136),AND(Records!M136=Records!O136,Records!O136=Records!P136,Records!P136=Records!Q136,Records!Q136=Records!R136),AND(Records!O136=Records!P136,Records!P136=Records!Q136,Records!Q136=Records!R136,Records!R136=Records!S136),AND(Records!P136=Records!Q136,Records!Q136=Records!R136,Records!R136=Records!S136,Records!S136=Records!T136),AND(Records!Q136=Records!R136,Records!R136=Records!S136,Records!S136=Records!T136,Records!T136=Records!U136),AND(Records!R136=Records!S136,Records!S136=Records!T136,Records!T136=Records!U136,Records!U136=Records!V136),AND(Records!S136=Records!T136,Records!T136=Records!U136,Records!U136=Records!V136,Records!V136=Records!W136),AND(Records!T136=Records!U136,Records!U136=Records!V136,Records!V136=Records!W136,Records!W136=Records!X136)),"是","否")</f>
        <v>是</v>
      </c>
    </row>
    <row r="137">
      <c r="A137" s="6" t="str">
        <f>Records!A137</f>
        <v>P023</v>
      </c>
      <c r="B137" s="6">
        <f>Records!B137</f>
        <v>1</v>
      </c>
      <c r="C137" s="6" t="str">
        <f>Records!H137</f>
        <v>One-Euro</v>
      </c>
      <c r="D137" s="6" t="str">
        <f>Records!F137</f>
        <v>gamepad</v>
      </c>
      <c r="E137" s="12">
        <f>AVERAGE(Records!S137:U137)</f>
        <v>6</v>
      </c>
      <c r="F137" s="12">
        <f>AVERAGE(Records!O137:P137,Records!V137)</f>
        <v>6.666666666666667</v>
      </c>
      <c r="G137" s="13">
        <f>Records!AA137</f>
        <v>134.7</v>
      </c>
      <c r="H137" s="14" t="str">
        <f>IF(Records!AA137&gt;150,"是","否")</f>
        <v>否</v>
      </c>
      <c r="I137" s="14" t="str">
        <f>IF(OR(AND(Records!K137=Records!L137,Records!L137=Records!M137,Records!M137=Records!O137,Records!O137=Records!P137),AND(Records!L137=Records!M137,Records!M137=Records!O137,Records!O137=Records!P137,Records!P137=Records!Q137),AND(Records!M137=Records!O137,Records!O137=Records!P137,Records!P137=Records!Q137,Records!Q137=Records!R137),AND(Records!O137=Records!P137,Records!P137=Records!Q137,Records!Q137=Records!R137,Records!R137=Records!S137),AND(Records!P137=Records!Q137,Records!Q137=Records!R137,Records!R137=Records!S137,Records!S137=Records!T137),AND(Records!Q137=Records!R137,Records!R137=Records!S137,Records!S137=Records!T137,Records!T137=Records!U137),AND(Records!R137=Records!S137,Records!S137=Records!T137,Records!T137=Records!U137,Records!U137=Records!V137),AND(Records!S137=Records!T137,Records!T137=Records!U137,Records!U137=Records!V137,Records!V137=Records!W137),AND(Records!T137=Records!U137,Records!U137=Records!V137,Records!V137=Records!W137,Records!W137=Records!X137)),"是","否")</f>
        <v>否</v>
      </c>
    </row>
    <row r="138">
      <c r="A138" s="6" t="str">
        <f>Records!A138</f>
        <v>P023</v>
      </c>
      <c r="B138" s="6">
        <f>Records!B138</f>
        <v>2</v>
      </c>
      <c r="C138" s="6" t="str">
        <f>Records!H138</f>
        <v>EgoAnchor</v>
      </c>
      <c r="D138" s="6" t="str">
        <f>Records!F138</f>
        <v>gamepad</v>
      </c>
      <c r="E138" s="12">
        <f>AVERAGE(Records!S138:U138)</f>
        <v>6</v>
      </c>
      <c r="F138" s="12">
        <f>AVERAGE(Records!O138:P138,Records!V138)</f>
        <v>6</v>
      </c>
      <c r="G138" s="13">
        <f>Records!AA138</f>
        <v>112.8</v>
      </c>
      <c r="H138" s="14" t="str">
        <f>IF(Records!AA138&gt;150,"是","否")</f>
        <v>否</v>
      </c>
      <c r="I138" s="14" t="str">
        <f>IF(OR(AND(Records!K138=Records!L138,Records!L138=Records!M138,Records!M138=Records!O138,Records!O138=Records!P138),AND(Records!L138=Records!M138,Records!M138=Records!O138,Records!O138=Records!P138,Records!P138=Records!Q138),AND(Records!M138=Records!O138,Records!O138=Records!P138,Records!P138=Records!Q138,Records!Q138=Records!R138),AND(Records!O138=Records!P138,Records!P138=Records!Q138,Records!Q138=Records!R138,Records!R138=Records!S138),AND(Records!P138=Records!Q138,Records!Q138=Records!R138,Records!R138=Records!S138,Records!S138=Records!T138),AND(Records!Q138=Records!R138,Records!R138=Records!S138,Records!S138=Records!T138,Records!T138=Records!U138),AND(Records!R138=Records!S138,Records!S138=Records!T138,Records!T138=Records!U138,Records!U138=Records!V138),AND(Records!S138=Records!T138,Records!T138=Records!U138,Records!U138=Records!V138,Records!V138=Records!W138),AND(Records!T138=Records!U138,Records!U138=Records!V138,Records!V138=Records!W138,Records!W138=Records!X138)),"是","否")</f>
        <v>否</v>
      </c>
    </row>
    <row r="139">
      <c r="A139" s="6" t="str">
        <f>Records!A139</f>
        <v>P023</v>
      </c>
      <c r="B139" s="6">
        <f>Records!B139</f>
        <v>3</v>
      </c>
      <c r="C139" s="6" t="str">
        <f>Records!H139</f>
        <v>EgoAnchor</v>
      </c>
      <c r="D139" s="6" t="str">
        <f>Records!F139</f>
        <v>stapler</v>
      </c>
      <c r="E139" s="12">
        <f>AVERAGE(Records!S139:U139)</f>
        <v>6</v>
      </c>
      <c r="F139" s="12">
        <f>AVERAGE(Records!O139:P139,Records!V139)</f>
        <v>6.666666666666667</v>
      </c>
      <c r="G139" s="13">
        <f>Records!AA139</f>
        <v>106</v>
      </c>
      <c r="H139" s="14" t="str">
        <f>IF(Records!AA139&gt;150,"是","否")</f>
        <v>否</v>
      </c>
      <c r="I139" s="14" t="str">
        <f>IF(OR(AND(Records!K139=Records!L139,Records!L139=Records!M139,Records!M139=Records!O139,Records!O139=Records!P139),AND(Records!L139=Records!M139,Records!M139=Records!O139,Records!O139=Records!P139,Records!P139=Records!Q139),AND(Records!M139=Records!O139,Records!O139=Records!P139,Records!P139=Records!Q139,Records!Q139=Records!R139),AND(Records!O139=Records!P139,Records!P139=Records!Q139,Records!Q139=Records!R139,Records!R139=Records!S139),AND(Records!P139=Records!Q139,Records!Q139=Records!R139,Records!R139=Records!S139,Records!S139=Records!T139),AND(Records!Q139=Records!R139,Records!R139=Records!S139,Records!S139=Records!T139,Records!T139=Records!U139),AND(Records!R139=Records!S139,Records!S139=Records!T139,Records!T139=Records!U139,Records!U139=Records!V139),AND(Records!S139=Records!T139,Records!T139=Records!U139,Records!U139=Records!V139,Records!V139=Records!W139),AND(Records!T139=Records!U139,Records!U139=Records!V139,Records!V139=Records!W139,Records!W139=Records!X139)),"是","否")</f>
        <v>否</v>
      </c>
    </row>
    <row r="140">
      <c r="A140" s="6" t="str">
        <f>Records!A140</f>
        <v>P023</v>
      </c>
      <c r="B140" s="6">
        <f>Records!B140</f>
        <v>4</v>
      </c>
      <c r="C140" s="6" t="str">
        <f>Records!H140</f>
        <v>One-Euro</v>
      </c>
      <c r="D140" s="6" t="str">
        <f>Records!F140</f>
        <v>stapler</v>
      </c>
      <c r="E140" s="12">
        <f>AVERAGE(Records!S140:U140)</f>
        <v>6.333333333333333</v>
      </c>
      <c r="F140" s="12">
        <f>AVERAGE(Records!O140:P140,Records!V140)</f>
        <v>6.333333333333333</v>
      </c>
      <c r="G140" s="13">
        <f>Records!AA140</f>
        <v>117.9</v>
      </c>
      <c r="H140" s="14" t="str">
        <f>IF(Records!AA140&gt;150,"是","否")</f>
        <v>否</v>
      </c>
      <c r="I140" s="14" t="str">
        <f>IF(OR(AND(Records!K140=Records!L140,Records!L140=Records!M140,Records!M140=Records!O140,Records!O140=Records!P140),AND(Records!L140=Records!M140,Records!M140=Records!O140,Records!O140=Records!P140,Records!P140=Records!Q140),AND(Records!M140=Records!O140,Records!O140=Records!P140,Records!P140=Records!Q140,Records!Q140=Records!R140),AND(Records!O140=Records!P140,Records!P140=Records!Q140,Records!Q140=Records!R140,Records!R140=Records!S140),AND(Records!P140=Records!Q140,Records!Q140=Records!R140,Records!R140=Records!S140,Records!S140=Records!T140),AND(Records!Q140=Records!R140,Records!R140=Records!S140,Records!S140=Records!T140,Records!T140=Records!U140),AND(Records!R140=Records!S140,Records!S140=Records!T140,Records!T140=Records!U140,Records!U140=Records!V140),AND(Records!S140=Records!T140,Records!T140=Records!U140,Records!U140=Records!V140,Records!V140=Records!W140),AND(Records!T140=Records!U140,Records!U140=Records!V140,Records!V140=Records!W140,Records!W140=Records!X140)),"是","否")</f>
        <v>否</v>
      </c>
    </row>
    <row r="141">
      <c r="A141" s="6" t="str">
        <f>Records!A141</f>
        <v>P023</v>
      </c>
      <c r="B141" s="6">
        <f>Records!B141</f>
        <v>5</v>
      </c>
      <c r="C141" s="6" t="str">
        <f>Records!H141</f>
        <v>One-Euro</v>
      </c>
      <c r="D141" s="6" t="str">
        <f>Records!F141</f>
        <v>blue_mouse</v>
      </c>
      <c r="E141" s="12">
        <f>AVERAGE(Records!S141:U141)</f>
        <v>3.6666666666666665</v>
      </c>
      <c r="F141" s="12">
        <f>AVERAGE(Records!O141:P141,Records!V141)</f>
        <v>5.333333333333333</v>
      </c>
      <c r="G141" s="13">
        <f>Records!AA141</f>
        <v>121.7</v>
      </c>
      <c r="H141" s="14" t="str">
        <f>IF(Records!AA141&gt;150,"是","否")</f>
        <v>否</v>
      </c>
      <c r="I141" s="14" t="str">
        <f>IF(OR(AND(Records!K141=Records!L141,Records!L141=Records!M141,Records!M141=Records!O141,Records!O141=Records!P141),AND(Records!L141=Records!M141,Records!M141=Records!O141,Records!O141=Records!P141,Records!P141=Records!Q141),AND(Records!M141=Records!O141,Records!O141=Records!P141,Records!P141=Records!Q141,Records!Q141=Records!R141),AND(Records!O141=Records!P141,Records!P141=Records!Q141,Records!Q141=Records!R141,Records!R141=Records!S141),AND(Records!P141=Records!Q141,Records!Q141=Records!R141,Records!R141=Records!S141,Records!S141=Records!T141),AND(Records!Q141=Records!R141,Records!R141=Records!S141,Records!S141=Records!T141,Records!T141=Records!U141),AND(Records!R141=Records!S141,Records!S141=Records!T141,Records!T141=Records!U141,Records!U141=Records!V141),AND(Records!S141=Records!T141,Records!T141=Records!U141,Records!U141=Records!V141,Records!V141=Records!W141),AND(Records!T141=Records!U141,Records!U141=Records!V141,Records!V141=Records!W141,Records!W141=Records!X141)),"是","否")</f>
        <v>否</v>
      </c>
    </row>
    <row r="142">
      <c r="A142" s="6" t="str">
        <f>Records!A142</f>
        <v>P023</v>
      </c>
      <c r="B142" s="6">
        <f>Records!B142</f>
        <v>6</v>
      </c>
      <c r="C142" s="6" t="str">
        <f>Records!H142</f>
        <v>EgoAnchor</v>
      </c>
      <c r="D142" s="6" t="str">
        <f>Records!F142</f>
        <v>blue_mouse</v>
      </c>
      <c r="E142" s="12">
        <f>AVERAGE(Records!S142:U142)</f>
        <v>5.333333333333333</v>
      </c>
      <c r="F142" s="12">
        <f>AVERAGE(Records!O142:P142,Records!V142)</f>
        <v>6</v>
      </c>
      <c r="G142" s="13">
        <f>Records!AA142</f>
        <v>133.2</v>
      </c>
      <c r="H142" s="14" t="str">
        <f>IF(Records!AA142&gt;150,"是","否")</f>
        <v>否</v>
      </c>
      <c r="I142" s="14" t="str">
        <f>IF(OR(AND(Records!K142=Records!L142,Records!L142=Records!M142,Records!M142=Records!O142,Records!O142=Records!P142),AND(Records!L142=Records!M142,Records!M142=Records!O142,Records!O142=Records!P142,Records!P142=Records!Q142),AND(Records!M142=Records!O142,Records!O142=Records!P142,Records!P142=Records!Q142,Records!Q142=Records!R142),AND(Records!O142=Records!P142,Records!P142=Records!Q142,Records!Q142=Records!R142,Records!R142=Records!S142),AND(Records!P142=Records!Q142,Records!Q142=Records!R142,Records!R142=Records!S142,Records!S142=Records!T142),AND(Records!Q142=Records!R142,Records!R142=Records!S142,Records!S142=Records!T142,Records!T142=Records!U142),AND(Records!R142=Records!S142,Records!S142=Records!T142,Records!T142=Records!U142,Records!U142=Records!V142),AND(Records!S142=Records!T142,Records!T142=Records!U142,Records!U142=Records!V142,Records!V142=Records!W142),AND(Records!T142=Records!U142,Records!U142=Records!V142,Records!V142=Records!W142,Records!W142=Records!X142)),"是","否")</f>
        <v>否</v>
      </c>
    </row>
    <row r="143">
      <c r="A143" s="6" t="str">
        <f>Records!A143</f>
        <v>P024</v>
      </c>
      <c r="B143" s="6">
        <f>Records!B143</f>
        <v>1</v>
      </c>
      <c r="C143" s="6" t="str">
        <f>Records!H143</f>
        <v>One-Euro</v>
      </c>
      <c r="D143" s="6" t="str">
        <f>Records!F143</f>
        <v>blue_mouse</v>
      </c>
      <c r="E143" s="12">
        <f>AVERAGE(Records!S143:U143)</f>
        <v>6.666666666666667</v>
      </c>
      <c r="F143" s="12">
        <f>AVERAGE(Records!O143:P143,Records!V143)</f>
        <v>6</v>
      </c>
      <c r="G143" s="13">
        <f>Records!AA143</f>
        <v>120.7</v>
      </c>
      <c r="H143" s="14" t="str">
        <f>IF(Records!AA143&gt;150,"是","否")</f>
        <v>否</v>
      </c>
      <c r="I143" s="14" t="str">
        <f>IF(OR(AND(Records!K143=Records!L143,Records!L143=Records!M143,Records!M143=Records!O143,Records!O143=Records!P143),AND(Records!L143=Records!M143,Records!M143=Records!O143,Records!O143=Records!P143,Records!P143=Records!Q143),AND(Records!M143=Records!O143,Records!O143=Records!P143,Records!P143=Records!Q143,Records!Q143=Records!R143),AND(Records!O143=Records!P143,Records!P143=Records!Q143,Records!Q143=Records!R143,Records!R143=Records!S143),AND(Records!P143=Records!Q143,Records!Q143=Records!R143,Records!R143=Records!S143,Records!S143=Records!T143),AND(Records!Q143=Records!R143,Records!R143=Records!S143,Records!S143=Records!T143,Records!T143=Records!U143),AND(Records!R143=Records!S143,Records!S143=Records!T143,Records!T143=Records!U143,Records!U143=Records!V143),AND(Records!S143=Records!T143,Records!T143=Records!U143,Records!U143=Records!V143,Records!V143=Records!W143),AND(Records!T143=Records!U143,Records!U143=Records!V143,Records!V143=Records!W143,Records!W143=Records!X143)),"是","否")</f>
        <v>否</v>
      </c>
    </row>
    <row r="144">
      <c r="A144" s="6" t="str">
        <f>Records!A144</f>
        <v>P024</v>
      </c>
      <c r="B144" s="6">
        <f>Records!B144</f>
        <v>2</v>
      </c>
      <c r="C144" s="6" t="str">
        <f>Records!H144</f>
        <v>EgoAnchor</v>
      </c>
      <c r="D144" s="6" t="str">
        <f>Records!F144</f>
        <v>blue_mouse</v>
      </c>
      <c r="E144" s="12">
        <f>AVERAGE(Records!S144:U144)</f>
        <v>5.666666666666667</v>
      </c>
      <c r="F144" s="12">
        <f>AVERAGE(Records!O144:P144,Records!V144)</f>
        <v>4.666666666666667</v>
      </c>
      <c r="G144" s="13">
        <f>Records!AA144</f>
        <v>152.2</v>
      </c>
      <c r="H144" s="14" t="str">
        <f>IF(Records!AA144&gt;150,"是","否")</f>
        <v>是</v>
      </c>
      <c r="I144" s="14" t="str">
        <f>IF(OR(AND(Records!K144=Records!L144,Records!L144=Records!M144,Records!M144=Records!O144,Records!O144=Records!P144),AND(Records!L144=Records!M144,Records!M144=Records!O144,Records!O144=Records!P144,Records!P144=Records!Q144),AND(Records!M144=Records!O144,Records!O144=Records!P144,Records!P144=Records!Q144,Records!Q144=Records!R144),AND(Records!O144=Records!P144,Records!P144=Records!Q144,Records!Q144=Records!R144,Records!R144=Records!S144),AND(Records!P144=Records!Q144,Records!Q144=Records!R144,Records!R144=Records!S144,Records!S144=Records!T144),AND(Records!Q144=Records!R144,Records!R144=Records!S144,Records!S144=Records!T144,Records!T144=Records!U144),AND(Records!R144=Records!S144,Records!S144=Records!T144,Records!T144=Records!U144,Records!U144=Records!V144),AND(Records!S144=Records!T144,Records!T144=Records!U144,Records!U144=Records!V144,Records!V144=Records!W144),AND(Records!T144=Records!U144,Records!U144=Records!V144,Records!V144=Records!W144,Records!W144=Records!X144)),"是","否")</f>
        <v>否</v>
      </c>
    </row>
    <row r="145">
      <c r="A145" s="6" t="str">
        <f>Records!A145</f>
        <v>P024</v>
      </c>
      <c r="B145" s="6">
        <f>Records!B145</f>
        <v>3</v>
      </c>
      <c r="C145" s="6" t="str">
        <f>Records!H145</f>
        <v>EgoAnchor</v>
      </c>
      <c r="D145" s="6" t="str">
        <f>Records!F145</f>
        <v>gamepad</v>
      </c>
      <c r="E145" s="12">
        <f>AVERAGE(Records!S145:U145)</f>
        <v>6</v>
      </c>
      <c r="F145" s="12">
        <f>AVERAGE(Records!O145:P145,Records!V145)</f>
        <v>5.666666666666667</v>
      </c>
      <c r="G145" s="13">
        <f>Records!AA145</f>
        <v>109.8</v>
      </c>
      <c r="H145" s="14" t="str">
        <f>IF(Records!AA145&gt;150,"是","否")</f>
        <v>否</v>
      </c>
      <c r="I145" s="14" t="str">
        <f>IF(OR(AND(Records!K145=Records!L145,Records!L145=Records!M145,Records!M145=Records!O145,Records!O145=Records!P145),AND(Records!L145=Records!M145,Records!M145=Records!O145,Records!O145=Records!P145,Records!P145=Records!Q145),AND(Records!M145=Records!O145,Records!O145=Records!P145,Records!P145=Records!Q145,Records!Q145=Records!R145),AND(Records!O145=Records!P145,Records!P145=Records!Q145,Records!Q145=Records!R145,Records!R145=Records!S145),AND(Records!P145=Records!Q145,Records!Q145=Records!R145,Records!R145=Records!S145,Records!S145=Records!T145),AND(Records!Q145=Records!R145,Records!R145=Records!S145,Records!S145=Records!T145,Records!T145=Records!U145),AND(Records!R145=Records!S145,Records!S145=Records!T145,Records!T145=Records!U145,Records!U145=Records!V145),AND(Records!S145=Records!T145,Records!T145=Records!U145,Records!U145=Records!V145,Records!V145=Records!W145),AND(Records!T145=Records!U145,Records!U145=Records!V145,Records!V145=Records!W145,Records!W145=Records!X145)),"是","否")</f>
        <v>否</v>
      </c>
    </row>
    <row r="146">
      <c r="A146" s="6" t="str">
        <f>Records!A146</f>
        <v>P024</v>
      </c>
      <c r="B146" s="6">
        <f>Records!B146</f>
        <v>4</v>
      </c>
      <c r="C146" s="6" t="str">
        <f>Records!H146</f>
        <v>One-Euro</v>
      </c>
      <c r="D146" s="6" t="str">
        <f>Records!F146</f>
        <v>gamepad</v>
      </c>
      <c r="E146" s="12">
        <f>AVERAGE(Records!S146:U146)</f>
        <v>6.666666666666667</v>
      </c>
      <c r="F146" s="12">
        <f>AVERAGE(Records!O146:P146,Records!V146)</f>
        <v>6.666666666666667</v>
      </c>
      <c r="G146" s="13">
        <f>Records!AA146</f>
        <v>124.4</v>
      </c>
      <c r="H146" s="14" t="str">
        <f>IF(Records!AA146&gt;150,"是","否")</f>
        <v>否</v>
      </c>
      <c r="I146" s="14" t="str">
        <f>IF(OR(AND(Records!K146=Records!L146,Records!L146=Records!M146,Records!M146=Records!O146,Records!O146=Records!P146),AND(Records!L146=Records!M146,Records!M146=Records!O146,Records!O146=Records!P146,Records!P146=Records!Q146),AND(Records!M146=Records!O146,Records!O146=Records!P146,Records!P146=Records!Q146,Records!Q146=Records!R146),AND(Records!O146=Records!P146,Records!P146=Records!Q146,Records!Q146=Records!R146,Records!R146=Records!S146),AND(Records!P146=Records!Q146,Records!Q146=Records!R146,Records!R146=Records!S146,Records!S146=Records!T146),AND(Records!Q146=Records!R146,Records!R146=Records!S146,Records!S146=Records!T146,Records!T146=Records!U146),AND(Records!R146=Records!S146,Records!S146=Records!T146,Records!T146=Records!U146,Records!U146=Records!V146),AND(Records!S146=Records!T146,Records!T146=Records!U146,Records!U146=Records!V146,Records!V146=Records!W146),AND(Records!T146=Records!U146,Records!U146=Records!V146,Records!V146=Records!W146,Records!W146=Records!X146)),"是","否")</f>
        <v>否</v>
      </c>
    </row>
    <row r="147">
      <c r="A147" s="6" t="str">
        <f>Records!A147</f>
        <v>P024</v>
      </c>
      <c r="B147" s="6">
        <f>Records!B147</f>
        <v>5</v>
      </c>
      <c r="C147" s="6" t="str">
        <f>Records!H147</f>
        <v>One-Euro</v>
      </c>
      <c r="D147" s="6" t="str">
        <f>Records!F147</f>
        <v>stapler</v>
      </c>
      <c r="E147" s="12">
        <f>AVERAGE(Records!S147:U147)</f>
        <v>7</v>
      </c>
      <c r="F147" s="12">
        <f>AVERAGE(Records!O147:P147,Records!V147)</f>
        <v>6.333333333333333</v>
      </c>
      <c r="G147" s="13">
        <f>Records!AA147</f>
        <v>143.1</v>
      </c>
      <c r="H147" s="14" t="str">
        <f>IF(Records!AA147&gt;150,"是","否")</f>
        <v>否</v>
      </c>
      <c r="I147" s="14" t="str">
        <f>IF(OR(AND(Records!K147=Records!L147,Records!L147=Records!M147,Records!M147=Records!O147,Records!O147=Records!P147),AND(Records!L147=Records!M147,Records!M147=Records!O147,Records!O147=Records!P147,Records!P147=Records!Q147),AND(Records!M147=Records!O147,Records!O147=Records!P147,Records!P147=Records!Q147,Records!Q147=Records!R147),AND(Records!O147=Records!P147,Records!P147=Records!Q147,Records!Q147=Records!R147,Records!R147=Records!S147),AND(Records!P147=Records!Q147,Records!Q147=Records!R147,Records!R147=Records!S147,Records!S147=Records!T147),AND(Records!Q147=Records!R147,Records!R147=Records!S147,Records!S147=Records!T147,Records!T147=Records!U147),AND(Records!R147=Records!S147,Records!S147=Records!T147,Records!T147=Records!U147,Records!U147=Records!V147),AND(Records!S147=Records!T147,Records!T147=Records!U147,Records!U147=Records!V147,Records!V147=Records!W147),AND(Records!T147=Records!U147,Records!U147=Records!V147,Records!V147=Records!W147,Records!W147=Records!X147)),"是","否")</f>
        <v>是</v>
      </c>
    </row>
    <row r="148">
      <c r="A148" s="6" t="str">
        <f>Records!A148</f>
        <v>P024</v>
      </c>
      <c r="B148" s="6">
        <f>Records!B148</f>
        <v>6</v>
      </c>
      <c r="C148" s="6" t="str">
        <f>Records!H148</f>
        <v>EgoAnchor</v>
      </c>
      <c r="D148" s="6" t="str">
        <f>Records!F148</f>
        <v>stapler</v>
      </c>
      <c r="E148" s="12">
        <f>AVERAGE(Records!S148:U148)</f>
        <v>5.333333333333333</v>
      </c>
      <c r="F148" s="12">
        <f>AVERAGE(Records!O148:P148,Records!V148)</f>
        <v>5.333333333333333</v>
      </c>
      <c r="G148" s="13">
        <f>Records!AA148</f>
        <v>136.1</v>
      </c>
      <c r="H148" s="14" t="str">
        <f>IF(Records!AA148&gt;150,"是","否")</f>
        <v>否</v>
      </c>
      <c r="I148" s="14" t="str">
        <f>IF(OR(AND(Records!K148=Records!L148,Records!L148=Records!M148,Records!M148=Records!O148,Records!O148=Records!P148),AND(Records!L148=Records!M148,Records!M148=Records!O148,Records!O148=Records!P148,Records!P148=Records!Q148),AND(Records!M148=Records!O148,Records!O148=Records!P148,Records!P148=Records!Q148,Records!Q148=Records!R148),AND(Records!O148=Records!P148,Records!P148=Records!Q148,Records!Q148=Records!R148,Records!R148=Records!S148),AND(Records!P148=Records!Q148,Records!Q148=Records!R148,Records!R148=Records!S148,Records!S148=Records!T148),AND(Records!Q148=Records!R148,Records!R148=Records!S148,Records!S148=Records!T148,Records!T148=Records!U148),AND(Records!R148=Records!S148,Records!S148=Records!T148,Records!T148=Records!U148,Records!U148=Records!V148),AND(Records!S148=Records!T148,Records!T148=Records!U148,Records!U148=Records!V148,Records!V148=Records!W148),AND(Records!T148=Records!U148,Records!U148=Records!V148,Records!V148=Records!W148,Records!W148=Records!X148)),"是","否")</f>
        <v>否</v>
      </c>
    </row>
    <row r="150">
      <c r="A150" s="7" t="inlineStr">
        <is>
          <t>D2. 方法级派生（48 行）：TiA 四个反向项按 6−原始分换向（原始分保留在 Records B 段不被覆盖）；分量表 = 有效条目均值，缺失项自动跳过</t>
        </is>
      </c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</row>
    <row r="151">
      <c r="A151" s="9" t="inlineStr">
        <is>
          <t>Participant_ID</t>
        </is>
      </c>
      <c r="B151" s="9" t="inlineStr">
        <is>
          <t>Rating_Order</t>
        </is>
      </c>
      <c r="C151" s="9" t="inlineStr">
        <is>
          <t>Condition</t>
        </is>
      </c>
      <c r="D151" s="9" t="inlineStr">
        <is>
          <t>RC1</t>
        </is>
      </c>
      <c r="E151" s="9" t="inlineStr">
        <is>
          <t>RC2</t>
        </is>
      </c>
      <c r="F151" s="9" t="inlineStr">
        <is>
          <t>RC3(换向)</t>
        </is>
      </c>
      <c r="G151" s="9" t="inlineStr">
        <is>
          <t>RC4</t>
        </is>
      </c>
      <c r="H151" s="9" t="inlineStr">
        <is>
          <t>RC5(换向)</t>
        </is>
      </c>
      <c r="I151" s="9" t="inlineStr">
        <is>
          <t>RC6</t>
        </is>
      </c>
      <c r="J151" s="9" t="inlineStr">
        <is>
          <t>UP1</t>
        </is>
      </c>
      <c r="K151" s="9" t="inlineStr">
        <is>
          <t>UP2(换向)</t>
        </is>
      </c>
      <c r="L151" s="9" t="inlineStr">
        <is>
          <t>UP3</t>
        </is>
      </c>
      <c r="M151" s="9" t="inlineStr">
        <is>
          <t>UP4(换向)</t>
        </is>
      </c>
      <c r="N151" s="9" t="inlineStr">
        <is>
          <t>STIAS1</t>
        </is>
      </c>
      <c r="O151" s="9" t="inlineStr">
        <is>
          <t>STIAS2</t>
        </is>
      </c>
      <c r="P151" s="9" t="inlineStr">
        <is>
          <t>STIAS3</t>
        </is>
      </c>
      <c r="Q151" s="9" t="inlineStr">
        <is>
          <t>TiA-R/C(6 项均值)</t>
        </is>
      </c>
      <c r="R151" s="9" t="inlineStr">
        <is>
          <t>TiA-U/P(4 项均值)</t>
        </is>
      </c>
      <c r="S151" s="9" t="inlineStr">
        <is>
          <t>S-TIAS(3 项均值)</t>
        </is>
      </c>
      <c r="T151" s="9" t="inlineStr">
        <is>
          <t>有效条目数</t>
        </is>
      </c>
    </row>
    <row r="152">
      <c r="A152" s="6" t="str">
        <f>Records!A152</f>
        <v>P001</v>
      </c>
      <c r="B152" s="6">
        <f>Records!B152</f>
        <v>1</v>
      </c>
      <c r="C152" s="6" t="str">
        <f>Records!D152</f>
        <v>EgoAnchor</v>
      </c>
      <c r="D152" s="15">
        <f>IF(Records!E152="","",Records!E152)</f>
        <v>4</v>
      </c>
      <c r="E152" s="15">
        <f>IF(Records!F152="","",Records!F152)</f>
        <v>4</v>
      </c>
      <c r="F152" s="15">
        <f>IF(Records!G152="","",6-Records!G152)</f>
        <v>5</v>
      </c>
      <c r="G152" s="15">
        <f>IF(Records!H152="","",Records!H152)</f>
        <v>4</v>
      </c>
      <c r="H152" s="15">
        <f>IF(Records!I152="","",6-Records!I152)</f>
        <v>3</v>
      </c>
      <c r="I152" s="15">
        <f>IF(Records!J152="","",Records!J152)</f>
        <v>4</v>
      </c>
      <c r="J152" s="15">
        <f>IF(Records!K152="","",Records!K152)</f>
        <v>3</v>
      </c>
      <c r="K152" s="15">
        <f>IF(Records!L152="","",6-Records!L152)</f>
        <v>4</v>
      </c>
      <c r="L152" s="15">
        <f>IF(Records!M152="","",Records!M152)</f>
        <v>3</v>
      </c>
      <c r="M152" s="15">
        <f>IF(Records!N152="","",6-Records!N152)</f>
        <v>4</v>
      </c>
      <c r="N152" s="15">
        <f>IF(Records!O152="","",Records!O152)</f>
        <v>5</v>
      </c>
      <c r="O152" s="15">
        <f>IF(Records!P152="","",Records!P152)</f>
        <v>6</v>
      </c>
      <c r="P152" s="15">
        <f>IF(Records!Q152="","",Records!Q152)</f>
        <v>6</v>
      </c>
      <c r="Q152" s="12">
        <f>AVERAGE(D152:I152)</f>
        <v>4</v>
      </c>
      <c r="R152" s="12">
        <f>AVERAGE(J152:M152)</f>
        <v>3.5</v>
      </c>
      <c r="S152" s="12">
        <f>AVERAGE(N152:P152)</f>
        <v>5.666666666666667</v>
      </c>
      <c r="T152" s="15">
        <f>COUNT(D152:I152,J152:M152,N152:P152)</f>
        <v>13</v>
      </c>
    </row>
    <row r="153">
      <c r="A153" s="6" t="str">
        <f>Records!A153</f>
        <v>P001</v>
      </c>
      <c r="B153" s="6">
        <f>Records!B153</f>
        <v>2</v>
      </c>
      <c r="C153" s="6" t="str">
        <f>Records!D153</f>
        <v>One-Euro</v>
      </c>
      <c r="D153" s="15">
        <f>IF(Records!E153="","",Records!E153)</f>
        <v>5</v>
      </c>
      <c r="E153" s="15">
        <f>IF(Records!F153="","",Records!F153)</f>
        <v>4</v>
      </c>
      <c r="F153" s="15">
        <f>IF(Records!G153="","",6-Records!G153)</f>
        <v>4</v>
      </c>
      <c r="G153" s="15">
        <f>IF(Records!H153="","",Records!H153)</f>
        <v>5</v>
      </c>
      <c r="H153" s="15">
        <f>IF(Records!I153="","",6-Records!I153)</f>
        <v>4</v>
      </c>
      <c r="I153" s="15">
        <f>IF(Records!J153="","",Records!J153)</f>
        <v>4</v>
      </c>
      <c r="J153" s="15">
        <f>IF(Records!K153="","",Records!K153)</f>
        <v>3</v>
      </c>
      <c r="K153" s="15">
        <f>IF(Records!L153="","",6-Records!L153)</f>
        <v>3</v>
      </c>
      <c r="L153" s="15">
        <f>IF(Records!M153="","",Records!M153)</f>
        <v>5</v>
      </c>
      <c r="M153" s="15">
        <f>IF(Records!N153="","",6-Records!N153)</f>
        <v>4</v>
      </c>
      <c r="N153" s="15">
        <f>IF(Records!O153="","",Records!O153)</f>
        <v>6</v>
      </c>
      <c r="O153" s="15">
        <f>IF(Records!P153="","",Records!P153)</f>
        <v>6</v>
      </c>
      <c r="P153" s="15">
        <f>IF(Records!Q153="","",Records!Q153)</f>
        <v>5</v>
      </c>
      <c r="Q153" s="12">
        <f>AVERAGE(D153:I153)</f>
        <v>4.333333333333333</v>
      </c>
      <c r="R153" s="12">
        <f>AVERAGE(J153:M153)</f>
        <v>3.75</v>
      </c>
      <c r="S153" s="12">
        <f>AVERAGE(N153:P153)</f>
        <v>5.666666666666667</v>
      </c>
      <c r="T153" s="15">
        <f>COUNT(D153:I153,J153:M153,N153:P153)</f>
        <v>13</v>
      </c>
    </row>
    <row r="154">
      <c r="A154" s="6" t="str">
        <f>Records!A154</f>
        <v>P002</v>
      </c>
      <c r="B154" s="6">
        <f>Records!B154</f>
        <v>1</v>
      </c>
      <c r="C154" s="6" t="str">
        <f>Records!D154</f>
        <v>One-Euro</v>
      </c>
      <c r="D154" s="15">
        <f>IF(Records!E154="","",Records!E154)</f>
        <v>3</v>
      </c>
      <c r="E154" s="15">
        <f>IF(Records!F154="","",Records!F154)</f>
        <v>2</v>
      </c>
      <c r="F154" s="15">
        <f>IF(Records!G154="","",6-Records!G154)</f>
        <v>3</v>
      </c>
      <c r="G154" s="15">
        <f>IF(Records!H154="","",Records!H154)</f>
        <v>2</v>
      </c>
      <c r="H154" s="15">
        <f>IF(Records!I154="","",6-Records!I154)</f>
        <v>2</v>
      </c>
      <c r="I154" s="15">
        <f>IF(Records!J154="","",Records!J154)</f>
        <v>2</v>
      </c>
      <c r="J154" s="15">
        <f>IF(Records!K154="","",Records!K154)</f>
        <v>3</v>
      </c>
      <c r="K154" s="15">
        <f>IF(Records!L154="","",6-Records!L154)</f>
        <v>2</v>
      </c>
      <c r="L154" s="15">
        <f>IF(Records!M154="","",Records!M154)</f>
        <v>4</v>
      </c>
      <c r="M154" s="15">
        <f>IF(Records!N154="","",6-Records!N154)</f>
        <v>3</v>
      </c>
      <c r="N154" s="15">
        <f>IF(Records!O154="","",Records!O154)</f>
        <v>3</v>
      </c>
      <c r="O154" s="15">
        <f>IF(Records!P154="","",Records!P154)</f>
        <v>3</v>
      </c>
      <c r="P154" s="15">
        <f>IF(Records!Q154="","",Records!Q154)</f>
        <v>4</v>
      </c>
      <c r="Q154" s="12">
        <f>AVERAGE(D154:I154)</f>
        <v>2.3333333333333335</v>
      </c>
      <c r="R154" s="12">
        <f>AVERAGE(J154:M154)</f>
        <v>3</v>
      </c>
      <c r="S154" s="12">
        <f>AVERAGE(N154:P154)</f>
        <v>3.3333333333333335</v>
      </c>
      <c r="T154" s="15">
        <f>COUNT(D154:I154,J154:M154,N154:P154)</f>
        <v>13</v>
      </c>
    </row>
    <row r="155">
      <c r="A155" s="6" t="str">
        <f>Records!A155</f>
        <v>P002</v>
      </c>
      <c r="B155" s="6">
        <f>Records!B155</f>
        <v>2</v>
      </c>
      <c r="C155" s="6" t="str">
        <f>Records!D155</f>
        <v>EgoAnchor</v>
      </c>
      <c r="D155" s="15">
        <f>IF(Records!E155="","",Records!E155)</f>
        <v>3</v>
      </c>
      <c r="E155" s="15">
        <f>IF(Records!F155="","",Records!F155)</f>
        <v>3</v>
      </c>
      <c r="F155" s="15">
        <f>IF(Records!G155="","",6-Records!G155)</f>
        <v>3</v>
      </c>
      <c r="G155" s="15" t="str">
        <f>IF(Records!H155="","",Records!H155)</f>
        <v/>
      </c>
      <c r="H155" s="15">
        <f>IF(Records!I155="","",6-Records!I155)</f>
        <v>3</v>
      </c>
      <c r="I155" s="15">
        <f>IF(Records!J155="","",Records!J155)</f>
        <v>3</v>
      </c>
      <c r="J155" s="15">
        <f>IF(Records!K155="","",Records!K155)</f>
        <v>4</v>
      </c>
      <c r="K155" s="15">
        <f>IF(Records!L155="","",6-Records!L155)</f>
        <v>3</v>
      </c>
      <c r="L155" s="15">
        <f>IF(Records!M155="","",Records!M155)</f>
        <v>3</v>
      </c>
      <c r="M155" s="15">
        <f>IF(Records!N155="","",6-Records!N155)</f>
        <v>2</v>
      </c>
      <c r="N155" s="15">
        <f>IF(Records!O155="","",Records!O155)</f>
        <v>4</v>
      </c>
      <c r="O155" s="15">
        <f>IF(Records!P155="","",Records!P155)</f>
        <v>4</v>
      </c>
      <c r="P155" s="15">
        <f>IF(Records!Q155="","",Records!Q155)</f>
        <v>4</v>
      </c>
      <c r="Q155" s="12">
        <f>AVERAGE(D155:I155)</f>
        <v>3</v>
      </c>
      <c r="R155" s="12">
        <f>AVERAGE(J155:M155)</f>
        <v>3</v>
      </c>
      <c r="S155" s="12">
        <f>AVERAGE(N155:P155)</f>
        <v>4</v>
      </c>
      <c r="T155" s="15">
        <f>COUNT(D155:I155,J155:M155,N155:P155)</f>
        <v>12</v>
      </c>
    </row>
    <row r="156">
      <c r="A156" s="6" t="str">
        <f>Records!A156</f>
        <v>P003</v>
      </c>
      <c r="B156" s="6">
        <f>Records!B156</f>
        <v>1</v>
      </c>
      <c r="C156" s="6" t="str">
        <f>Records!D156</f>
        <v>EgoAnchor</v>
      </c>
      <c r="D156" s="15">
        <f>IF(Records!E156="","",Records!E156)</f>
        <v>5</v>
      </c>
      <c r="E156" s="15">
        <f>IF(Records!F156="","",Records!F156)</f>
        <v>5</v>
      </c>
      <c r="F156" s="15">
        <f>IF(Records!G156="","",6-Records!G156)</f>
        <v>3</v>
      </c>
      <c r="G156" s="15">
        <f>IF(Records!H156="","",Records!H156)</f>
        <v>5</v>
      </c>
      <c r="H156" s="15">
        <f>IF(Records!I156="","",6-Records!I156)</f>
        <v>5</v>
      </c>
      <c r="I156" s="15">
        <f>IF(Records!J156="","",Records!J156)</f>
        <v>5</v>
      </c>
      <c r="J156" s="15">
        <f>IF(Records!K156="","",Records!K156)</f>
        <v>5</v>
      </c>
      <c r="K156" s="15">
        <f>IF(Records!L156="","",6-Records!L156)</f>
        <v>5</v>
      </c>
      <c r="L156" s="15">
        <f>IF(Records!M156="","",Records!M156)</f>
        <v>4</v>
      </c>
      <c r="M156" s="15">
        <f>IF(Records!N156="","",6-Records!N156)</f>
        <v>5</v>
      </c>
      <c r="N156" s="15">
        <f>IF(Records!O156="","",Records!O156)</f>
        <v>7</v>
      </c>
      <c r="O156" s="15">
        <f>IF(Records!P156="","",Records!P156)</f>
        <v>5</v>
      </c>
      <c r="P156" s="15">
        <f>IF(Records!Q156="","",Records!Q156)</f>
        <v>7</v>
      </c>
      <c r="Q156" s="12">
        <f>AVERAGE(D156:I156)</f>
        <v>4.666666666666667</v>
      </c>
      <c r="R156" s="12">
        <f>AVERAGE(J156:M156)</f>
        <v>4.75</v>
      </c>
      <c r="S156" s="12">
        <f>AVERAGE(N156:P156)</f>
        <v>6.333333333333333</v>
      </c>
      <c r="T156" s="15">
        <f>COUNT(D156:I156,J156:M156,N156:P156)</f>
        <v>13</v>
      </c>
    </row>
    <row r="157">
      <c r="A157" s="6" t="str">
        <f>Records!A157</f>
        <v>P003</v>
      </c>
      <c r="B157" s="6">
        <f>Records!B157</f>
        <v>2</v>
      </c>
      <c r="C157" s="6" t="str">
        <f>Records!D157</f>
        <v>One-Euro</v>
      </c>
      <c r="D157" s="15">
        <f>IF(Records!E157="","",Records!E157)</f>
        <v>4</v>
      </c>
      <c r="E157" s="15">
        <f>IF(Records!F157="","",Records!F157)</f>
        <v>3</v>
      </c>
      <c r="F157" s="15">
        <f>IF(Records!G157="","",6-Records!G157)</f>
        <v>2</v>
      </c>
      <c r="G157" s="15">
        <f>IF(Records!H157="","",Records!H157)</f>
        <v>2</v>
      </c>
      <c r="H157" s="15">
        <f>IF(Records!I157="","",6-Records!I157)</f>
        <v>3</v>
      </c>
      <c r="I157" s="15">
        <f>IF(Records!J157="","",Records!J157)</f>
        <v>3</v>
      </c>
      <c r="J157" s="15">
        <f>IF(Records!K157="","",Records!K157)</f>
        <v>4</v>
      </c>
      <c r="K157" s="15">
        <f>IF(Records!L157="","",6-Records!L157)</f>
        <v>4</v>
      </c>
      <c r="L157" s="15">
        <f>IF(Records!M157="","",Records!M157)</f>
        <v>3</v>
      </c>
      <c r="M157" s="15">
        <f>IF(Records!N157="","",6-Records!N157)</f>
        <v>3</v>
      </c>
      <c r="N157" s="15">
        <f>IF(Records!O157="","",Records!O157)</f>
        <v>5</v>
      </c>
      <c r="O157" s="15">
        <f>IF(Records!P157="","",Records!P157)</f>
        <v>3</v>
      </c>
      <c r="P157" s="15">
        <f>IF(Records!Q157="","",Records!Q157)</f>
        <v>4</v>
      </c>
      <c r="Q157" s="12">
        <f>AVERAGE(D157:I157)</f>
        <v>2.8333333333333335</v>
      </c>
      <c r="R157" s="12">
        <f>AVERAGE(J157:M157)</f>
        <v>3.5</v>
      </c>
      <c r="S157" s="12">
        <f>AVERAGE(N157:P157)</f>
        <v>4</v>
      </c>
      <c r="T157" s="15">
        <f>COUNT(D157:I157,J157:M157,N157:P157)</f>
        <v>13</v>
      </c>
    </row>
    <row r="158">
      <c r="A158" s="6" t="str">
        <f>Records!A158</f>
        <v>P004</v>
      </c>
      <c r="B158" s="6">
        <f>Records!B158</f>
        <v>1</v>
      </c>
      <c r="C158" s="6" t="str">
        <f>Records!D158</f>
        <v>One-Euro</v>
      </c>
      <c r="D158" s="15">
        <f>IF(Records!E158="","",Records!E158)</f>
        <v>4</v>
      </c>
      <c r="E158" s="15">
        <f>IF(Records!F158="","",Records!F158)</f>
        <v>3</v>
      </c>
      <c r="F158" s="15">
        <f>IF(Records!G158="","",6-Records!G158)</f>
        <v>4</v>
      </c>
      <c r="G158" s="15">
        <f>IF(Records!H158="","",Records!H158)</f>
        <v>4</v>
      </c>
      <c r="H158" s="15">
        <f>IF(Records!I158="","",6-Records!I158)</f>
        <v>3</v>
      </c>
      <c r="I158" s="15">
        <f>IF(Records!J158="","",Records!J158)</f>
        <v>3</v>
      </c>
      <c r="J158" s="15">
        <f>IF(Records!K158="","",Records!K158)</f>
        <v>4</v>
      </c>
      <c r="K158" s="15">
        <f>IF(Records!L158="","",6-Records!L158)</f>
        <v>3</v>
      </c>
      <c r="L158" s="15">
        <f>IF(Records!M158="","",Records!M158)</f>
        <v>3</v>
      </c>
      <c r="M158" s="15">
        <f>IF(Records!N158="","",6-Records!N158)</f>
        <v>4</v>
      </c>
      <c r="N158" s="15">
        <f>IF(Records!O158="","",Records!O158)</f>
        <v>5</v>
      </c>
      <c r="O158" s="15">
        <f>IF(Records!P158="","",Records!P158)</f>
        <v>6</v>
      </c>
      <c r="P158" s="15">
        <f>IF(Records!Q158="","",Records!Q158)</f>
        <v>5</v>
      </c>
      <c r="Q158" s="12">
        <f>AVERAGE(D158:I158)</f>
        <v>3.5</v>
      </c>
      <c r="R158" s="12">
        <f>AVERAGE(J158:M158)</f>
        <v>3.5</v>
      </c>
      <c r="S158" s="12">
        <f>AVERAGE(N158:P158)</f>
        <v>5.333333333333333</v>
      </c>
      <c r="T158" s="15">
        <f>COUNT(D158:I158,J158:M158,N158:P158)</f>
        <v>13</v>
      </c>
    </row>
    <row r="159">
      <c r="A159" s="6" t="str">
        <f>Records!A159</f>
        <v>P004</v>
      </c>
      <c r="B159" s="6">
        <f>Records!B159</f>
        <v>2</v>
      </c>
      <c r="C159" s="6" t="str">
        <f>Records!D159</f>
        <v>EgoAnchor</v>
      </c>
      <c r="D159" s="15">
        <f>IF(Records!E159="","",Records!E159)</f>
        <v>3</v>
      </c>
      <c r="E159" s="15">
        <f>IF(Records!F159="","",Records!F159)</f>
        <v>3</v>
      </c>
      <c r="F159" s="15">
        <f>IF(Records!G159="","",6-Records!G159)</f>
        <v>3</v>
      </c>
      <c r="G159" s="15">
        <f>IF(Records!H159="","",Records!H159)</f>
        <v>2</v>
      </c>
      <c r="H159" s="15">
        <f>IF(Records!I159="","",6-Records!I159)</f>
        <v>1</v>
      </c>
      <c r="I159" s="15">
        <f>IF(Records!J159="","",Records!J159)</f>
        <v>3</v>
      </c>
      <c r="J159" s="15">
        <f>IF(Records!K159="","",Records!K159)</f>
        <v>3</v>
      </c>
      <c r="K159" s="15">
        <f>IF(Records!L159="","",6-Records!L159)</f>
        <v>3</v>
      </c>
      <c r="L159" s="15">
        <f>IF(Records!M159="","",Records!M159)</f>
        <v>1</v>
      </c>
      <c r="M159" s="15">
        <f>IF(Records!N159="","",6-Records!N159)</f>
        <v>3</v>
      </c>
      <c r="N159" s="15">
        <f>IF(Records!O159="","",Records!O159)</f>
        <v>5</v>
      </c>
      <c r="O159" s="15">
        <f>IF(Records!P159="","",Records!P159)</f>
        <v>4</v>
      </c>
      <c r="P159" s="15">
        <f>IF(Records!Q159="","",Records!Q159)</f>
        <v>4</v>
      </c>
      <c r="Q159" s="12">
        <f>AVERAGE(D159:I159)</f>
        <v>2.5</v>
      </c>
      <c r="R159" s="12">
        <f>AVERAGE(J159:M159)</f>
        <v>2.5</v>
      </c>
      <c r="S159" s="12">
        <f>AVERAGE(N159:P159)</f>
        <v>4.333333333333333</v>
      </c>
      <c r="T159" s="15">
        <f>COUNT(D159:I159,J159:M159,N159:P159)</f>
        <v>13</v>
      </c>
    </row>
    <row r="160">
      <c r="A160" s="6" t="str">
        <f>Records!A160</f>
        <v>P005</v>
      </c>
      <c r="B160" s="6">
        <f>Records!B160</f>
        <v>1</v>
      </c>
      <c r="C160" s="6" t="str">
        <f>Records!D160</f>
        <v>One-Euro</v>
      </c>
      <c r="D160" s="15">
        <f>IF(Records!E160="","",Records!E160)</f>
        <v>2</v>
      </c>
      <c r="E160" s="15">
        <f>IF(Records!F160="","",Records!F160)</f>
        <v>1</v>
      </c>
      <c r="F160" s="15">
        <f>IF(Records!G160="","",6-Records!G160)</f>
        <v>2</v>
      </c>
      <c r="G160" s="15">
        <f>IF(Records!H160="","",Records!H160)</f>
        <v>1</v>
      </c>
      <c r="H160" s="15">
        <f>IF(Records!I160="","",6-Records!I160)</f>
        <v>3</v>
      </c>
      <c r="I160" s="15">
        <f>IF(Records!J160="","",Records!J160)</f>
        <v>3</v>
      </c>
      <c r="J160" s="15">
        <f>IF(Records!K160="","",Records!K160)</f>
        <v>1</v>
      </c>
      <c r="K160" s="15">
        <f>IF(Records!L160="","",6-Records!L160)</f>
        <v>1</v>
      </c>
      <c r="L160" s="15">
        <f>IF(Records!M160="","",Records!M160)</f>
        <v>1</v>
      </c>
      <c r="M160" s="15">
        <f>IF(Records!N160="","",6-Records!N160)</f>
        <v>2</v>
      </c>
      <c r="N160" s="15">
        <f>IF(Records!O160="","",Records!O160)</f>
        <v>1</v>
      </c>
      <c r="O160" s="15">
        <f>IF(Records!P160="","",Records!P160)</f>
        <v>1</v>
      </c>
      <c r="P160" s="15">
        <f>IF(Records!Q160="","",Records!Q160)</f>
        <v>3</v>
      </c>
      <c r="Q160" s="12">
        <f>AVERAGE(D160:I160)</f>
        <v>2</v>
      </c>
      <c r="R160" s="12">
        <f>AVERAGE(J160:M160)</f>
        <v>1.25</v>
      </c>
      <c r="S160" s="12">
        <f>AVERAGE(N160:P160)</f>
        <v>1.6666666666666667</v>
      </c>
      <c r="T160" s="15">
        <f>COUNT(D160:I160,J160:M160,N160:P160)</f>
        <v>13</v>
      </c>
    </row>
    <row r="161">
      <c r="A161" s="6" t="str">
        <f>Records!A161</f>
        <v>P005</v>
      </c>
      <c r="B161" s="6">
        <f>Records!B161</f>
        <v>2</v>
      </c>
      <c r="C161" s="6" t="str">
        <f>Records!D161</f>
        <v>EgoAnchor</v>
      </c>
      <c r="D161" s="15">
        <f>IF(Records!E161="","",Records!E161)</f>
        <v>3</v>
      </c>
      <c r="E161" s="15">
        <f>IF(Records!F161="","",Records!F161)</f>
        <v>2</v>
      </c>
      <c r="F161" s="15">
        <f>IF(Records!G161="","",6-Records!G161)</f>
        <v>4</v>
      </c>
      <c r="G161" s="15">
        <f>IF(Records!H161="","",Records!H161)</f>
        <v>2</v>
      </c>
      <c r="H161" s="15">
        <f>IF(Records!I161="","",6-Records!I161)</f>
        <v>3</v>
      </c>
      <c r="I161" s="15">
        <f>IF(Records!J161="","",Records!J161)</f>
        <v>3</v>
      </c>
      <c r="J161" s="15">
        <f>IF(Records!K161="","",Records!K161)</f>
        <v>1</v>
      </c>
      <c r="K161" s="15">
        <f>IF(Records!L161="","",6-Records!L161)</f>
        <v>3</v>
      </c>
      <c r="L161" s="15">
        <f>IF(Records!M161="","",Records!M161)</f>
        <v>2</v>
      </c>
      <c r="M161" s="15">
        <f>IF(Records!N161="","",6-Records!N161)</f>
        <v>3</v>
      </c>
      <c r="N161" s="15">
        <f>IF(Records!O161="","",Records!O161)</f>
        <v>4</v>
      </c>
      <c r="O161" s="15">
        <f>IF(Records!P161="","",Records!P161)</f>
        <v>3</v>
      </c>
      <c r="P161" s="15">
        <f>IF(Records!Q161="","",Records!Q161)</f>
        <v>3</v>
      </c>
      <c r="Q161" s="12">
        <f>AVERAGE(D161:I161)</f>
        <v>2.8333333333333335</v>
      </c>
      <c r="R161" s="12">
        <f>AVERAGE(J161:M161)</f>
        <v>2.25</v>
      </c>
      <c r="S161" s="12">
        <f>AVERAGE(N161:P161)</f>
        <v>3.3333333333333335</v>
      </c>
      <c r="T161" s="15">
        <f>COUNT(D161:I161,J161:M161,N161:P161)</f>
        <v>13</v>
      </c>
    </row>
    <row r="162">
      <c r="A162" s="6" t="str">
        <f>Records!A162</f>
        <v>P006</v>
      </c>
      <c r="B162" s="6">
        <f>Records!B162</f>
        <v>1</v>
      </c>
      <c r="C162" s="6" t="str">
        <f>Records!D162</f>
        <v>EgoAnchor</v>
      </c>
      <c r="D162" s="15">
        <f>IF(Records!E162="","",Records!E162)</f>
        <v>3</v>
      </c>
      <c r="E162" s="15">
        <f>IF(Records!F162="","",Records!F162)</f>
        <v>3</v>
      </c>
      <c r="F162" s="15">
        <f>IF(Records!G162="","",6-Records!G162)</f>
        <v>3</v>
      </c>
      <c r="G162" s="15">
        <f>IF(Records!H162="","",Records!H162)</f>
        <v>3</v>
      </c>
      <c r="H162" s="15">
        <f>IF(Records!I162="","",6-Records!I162)</f>
        <v>4</v>
      </c>
      <c r="I162" s="15">
        <f>IF(Records!J162="","",Records!J162)</f>
        <v>3</v>
      </c>
      <c r="J162" s="15">
        <f>IF(Records!K162="","",Records!K162)</f>
        <v>2</v>
      </c>
      <c r="K162" s="15">
        <f>IF(Records!L162="","",6-Records!L162)</f>
        <v>2</v>
      </c>
      <c r="L162" s="15">
        <f>IF(Records!M162="","",Records!M162)</f>
        <v>2</v>
      </c>
      <c r="M162" s="15">
        <f>IF(Records!N162="","",6-Records!N162)</f>
        <v>4</v>
      </c>
      <c r="N162" s="15">
        <f>IF(Records!O162="","",Records!O162)</f>
        <v>4</v>
      </c>
      <c r="O162" s="15">
        <f>IF(Records!P162="","",Records!P162)</f>
        <v>4</v>
      </c>
      <c r="P162" s="15">
        <f>IF(Records!Q162="","",Records!Q162)</f>
        <v>4</v>
      </c>
      <c r="Q162" s="12">
        <f>AVERAGE(D162:I162)</f>
        <v>3.1666666666666665</v>
      </c>
      <c r="R162" s="12">
        <f>AVERAGE(J162:M162)</f>
        <v>2.5</v>
      </c>
      <c r="S162" s="12">
        <f>AVERAGE(N162:P162)</f>
        <v>4</v>
      </c>
      <c r="T162" s="15">
        <f>COUNT(D162:I162,J162:M162,N162:P162)</f>
        <v>13</v>
      </c>
    </row>
    <row r="163">
      <c r="A163" s="6" t="str">
        <f>Records!A163</f>
        <v>P006</v>
      </c>
      <c r="B163" s="6">
        <f>Records!B163</f>
        <v>2</v>
      </c>
      <c r="C163" s="6" t="str">
        <f>Records!D163</f>
        <v>One-Euro</v>
      </c>
      <c r="D163" s="15">
        <f>IF(Records!E163="","",Records!E163)</f>
        <v>3</v>
      </c>
      <c r="E163" s="15">
        <f>IF(Records!F163="","",Records!F163)</f>
        <v>3</v>
      </c>
      <c r="F163" s="15">
        <f>IF(Records!G163="","",6-Records!G163)</f>
        <v>4</v>
      </c>
      <c r="G163" s="15">
        <f>IF(Records!H163="","",Records!H163)</f>
        <v>3</v>
      </c>
      <c r="H163" s="15">
        <f>IF(Records!I163="","",6-Records!I163)</f>
        <v>3</v>
      </c>
      <c r="I163" s="15">
        <f>IF(Records!J163="","",Records!J163)</f>
        <v>3</v>
      </c>
      <c r="J163" s="15">
        <f>IF(Records!K163="","",Records!K163)</f>
        <v>3</v>
      </c>
      <c r="K163" s="15">
        <f>IF(Records!L163="","",6-Records!L163)</f>
        <v>3</v>
      </c>
      <c r="L163" s="15">
        <f>IF(Records!M163="","",Records!M163)</f>
        <v>4</v>
      </c>
      <c r="M163" s="15">
        <f>IF(Records!N163="","",6-Records!N163)</f>
        <v>3</v>
      </c>
      <c r="N163" s="15">
        <f>IF(Records!O163="","",Records!O163)</f>
        <v>4</v>
      </c>
      <c r="O163" s="15">
        <f>IF(Records!P163="","",Records!P163)</f>
        <v>4</v>
      </c>
      <c r="P163" s="15">
        <f>IF(Records!Q163="","",Records!Q163)</f>
        <v>3</v>
      </c>
      <c r="Q163" s="12">
        <f>AVERAGE(D163:I163)</f>
        <v>3.1666666666666665</v>
      </c>
      <c r="R163" s="12">
        <f>AVERAGE(J163:M163)</f>
        <v>3.25</v>
      </c>
      <c r="S163" s="12">
        <f>AVERAGE(N163:P163)</f>
        <v>3.6666666666666665</v>
      </c>
      <c r="T163" s="15">
        <f>COUNT(D163:I163,J163:M163,N163:P163)</f>
        <v>13</v>
      </c>
    </row>
    <row r="164">
      <c r="A164" s="6" t="str">
        <f>Records!A164</f>
        <v>P007</v>
      </c>
      <c r="B164" s="6">
        <f>Records!B164</f>
        <v>1</v>
      </c>
      <c r="C164" s="6" t="str">
        <f>Records!D164</f>
        <v>EgoAnchor</v>
      </c>
      <c r="D164" s="15">
        <f>IF(Records!E164="","",Records!E164)</f>
        <v>5</v>
      </c>
      <c r="E164" s="15">
        <f>IF(Records!F164="","",Records!F164)</f>
        <v>5</v>
      </c>
      <c r="F164" s="15">
        <f>IF(Records!G164="","",6-Records!G164)</f>
        <v>5</v>
      </c>
      <c r="G164" s="15">
        <f>IF(Records!H164="","",Records!H164)</f>
        <v>5</v>
      </c>
      <c r="H164" s="15">
        <f>IF(Records!I164="","",6-Records!I164)</f>
        <v>5</v>
      </c>
      <c r="I164" s="15">
        <f>IF(Records!J164="","",Records!J164)</f>
        <v>5</v>
      </c>
      <c r="J164" s="15">
        <f>IF(Records!K164="","",Records!K164)</f>
        <v>5</v>
      </c>
      <c r="K164" s="15">
        <f>IF(Records!L164="","",6-Records!L164)</f>
        <v>4</v>
      </c>
      <c r="L164" s="15">
        <f>IF(Records!M164="","",Records!M164)</f>
        <v>5</v>
      </c>
      <c r="M164" s="15">
        <f>IF(Records!N164="","",6-Records!N164)</f>
        <v>5</v>
      </c>
      <c r="N164" s="15">
        <f>IF(Records!O164="","",Records!O164)</f>
        <v>7</v>
      </c>
      <c r="O164" s="15">
        <f>IF(Records!P164="","",Records!P164)</f>
        <v>7</v>
      </c>
      <c r="P164" s="15">
        <f>IF(Records!Q164="","",Records!Q164)</f>
        <v>7</v>
      </c>
      <c r="Q164" s="12">
        <f>AVERAGE(D164:I164)</f>
        <v>5</v>
      </c>
      <c r="R164" s="12">
        <f>AVERAGE(J164:M164)</f>
        <v>4.75</v>
      </c>
      <c r="S164" s="12">
        <f>AVERAGE(N164:P164)</f>
        <v>7</v>
      </c>
      <c r="T164" s="15">
        <f>COUNT(D164:I164,J164:M164,N164:P164)</f>
        <v>13</v>
      </c>
    </row>
    <row r="165">
      <c r="A165" s="6" t="str">
        <f>Records!A165</f>
        <v>P007</v>
      </c>
      <c r="B165" s="6">
        <f>Records!B165</f>
        <v>2</v>
      </c>
      <c r="C165" s="6" t="str">
        <f>Records!D165</f>
        <v>One-Euro</v>
      </c>
      <c r="D165" s="15">
        <f>IF(Records!E165="","",Records!E165)</f>
        <v>5</v>
      </c>
      <c r="E165" s="15">
        <f>IF(Records!F165="","",Records!F165)</f>
        <v>5</v>
      </c>
      <c r="F165" s="15">
        <f>IF(Records!G165="","",6-Records!G165)</f>
        <v>4</v>
      </c>
      <c r="G165" s="15">
        <f>IF(Records!H165="","",Records!H165)</f>
        <v>5</v>
      </c>
      <c r="H165" s="15">
        <f>IF(Records!I165="","",6-Records!I165)</f>
        <v>4</v>
      </c>
      <c r="I165" s="15">
        <f>IF(Records!J165="","",Records!J165)</f>
        <v>5</v>
      </c>
      <c r="J165" s="15">
        <f>IF(Records!K165="","",Records!K165)</f>
        <v>5</v>
      </c>
      <c r="K165" s="15">
        <f>IF(Records!L165="","",6-Records!L165)</f>
        <v>5</v>
      </c>
      <c r="L165" s="15">
        <f>IF(Records!M165="","",Records!M165)</f>
        <v>5</v>
      </c>
      <c r="M165" s="15">
        <f>IF(Records!N165="","",6-Records!N165)</f>
        <v>4</v>
      </c>
      <c r="N165" s="15">
        <f>IF(Records!O165="","",Records!O165)</f>
        <v>6</v>
      </c>
      <c r="O165" s="15">
        <f>IF(Records!P165="","",Records!P165)</f>
        <v>7</v>
      </c>
      <c r="P165" s="15">
        <f>IF(Records!Q165="","",Records!Q165)</f>
        <v>7</v>
      </c>
      <c r="Q165" s="12">
        <f>AVERAGE(D165:I165)</f>
        <v>4.666666666666667</v>
      </c>
      <c r="R165" s="12">
        <f>AVERAGE(J165:M165)</f>
        <v>4.75</v>
      </c>
      <c r="S165" s="12">
        <f>AVERAGE(N165:P165)</f>
        <v>6.666666666666667</v>
      </c>
      <c r="T165" s="15">
        <f>COUNT(D165:I165,J165:M165,N165:P165)</f>
        <v>13</v>
      </c>
    </row>
    <row r="166">
      <c r="A166" s="6" t="str">
        <f>Records!A166</f>
        <v>P008</v>
      </c>
      <c r="B166" s="6">
        <f>Records!B166</f>
        <v>1</v>
      </c>
      <c r="C166" s="6" t="str">
        <f>Records!D166</f>
        <v>EgoAnchor</v>
      </c>
      <c r="D166" s="15">
        <f>IF(Records!E166="","",Records!E166)</f>
        <v>3</v>
      </c>
      <c r="E166" s="15">
        <f>IF(Records!F166="","",Records!F166)</f>
        <v>4</v>
      </c>
      <c r="F166" s="15">
        <f>IF(Records!G166="","",6-Records!G166)</f>
        <v>3</v>
      </c>
      <c r="G166" s="15">
        <f>IF(Records!H166="","",Records!H166)</f>
        <v>4</v>
      </c>
      <c r="H166" s="15">
        <f>IF(Records!I166="","",6-Records!I166)</f>
        <v>3</v>
      </c>
      <c r="I166" s="15">
        <f>IF(Records!J166="","",Records!J166)</f>
        <v>5</v>
      </c>
      <c r="J166" s="15">
        <f>IF(Records!K166="","",Records!K166)</f>
        <v>5</v>
      </c>
      <c r="K166" s="15">
        <f>IF(Records!L166="","",6-Records!L166)</f>
        <v>5</v>
      </c>
      <c r="L166" s="15">
        <f>IF(Records!M166="","",Records!M166)</f>
        <v>5</v>
      </c>
      <c r="M166" s="15">
        <f>IF(Records!N166="","",6-Records!N166)</f>
        <v>4</v>
      </c>
      <c r="N166" s="15">
        <f>IF(Records!O166="","",Records!O166)</f>
        <v>5</v>
      </c>
      <c r="O166" s="15">
        <f>IF(Records!P166="","",Records!P166)</f>
        <v>6</v>
      </c>
      <c r="P166" s="15">
        <f>IF(Records!Q166="","",Records!Q166)</f>
        <v>6</v>
      </c>
      <c r="Q166" s="12">
        <f>AVERAGE(D166:I166)</f>
        <v>3.6666666666666665</v>
      </c>
      <c r="R166" s="12">
        <f>AVERAGE(J166:M166)</f>
        <v>4.75</v>
      </c>
      <c r="S166" s="12">
        <f>AVERAGE(N166:P166)</f>
        <v>5.666666666666667</v>
      </c>
      <c r="T166" s="15">
        <f>COUNT(D166:I166,J166:M166,N166:P166)</f>
        <v>13</v>
      </c>
    </row>
    <row r="167">
      <c r="A167" s="6" t="str">
        <f>Records!A167</f>
        <v>P008</v>
      </c>
      <c r="B167" s="6">
        <f>Records!B167</f>
        <v>2</v>
      </c>
      <c r="C167" s="6" t="str">
        <f>Records!D167</f>
        <v>One-Euro</v>
      </c>
      <c r="D167" s="15">
        <f>IF(Records!E167="","",Records!E167)</f>
        <v>4</v>
      </c>
      <c r="E167" s="15">
        <f>IF(Records!F167="","",Records!F167)</f>
        <v>3</v>
      </c>
      <c r="F167" s="15">
        <f>IF(Records!G167="","",6-Records!G167)</f>
        <v>3</v>
      </c>
      <c r="G167" s="15">
        <f>IF(Records!H167="","",Records!H167)</f>
        <v>3</v>
      </c>
      <c r="H167" s="15">
        <f>IF(Records!I167="","",6-Records!I167)</f>
        <v>4</v>
      </c>
      <c r="I167" s="15">
        <f>IF(Records!J167="","",Records!J167)</f>
        <v>4</v>
      </c>
      <c r="J167" s="15">
        <f>IF(Records!K167="","",Records!K167)</f>
        <v>4</v>
      </c>
      <c r="K167" s="15">
        <f>IF(Records!L167="","",6-Records!L167)</f>
        <v>4</v>
      </c>
      <c r="L167" s="15">
        <f>IF(Records!M167="","",Records!M167)</f>
        <v>4</v>
      </c>
      <c r="M167" s="15">
        <f>IF(Records!N167="","",6-Records!N167)</f>
        <v>3</v>
      </c>
      <c r="N167" s="15">
        <f>IF(Records!O167="","",Records!O167)</f>
        <v>5</v>
      </c>
      <c r="O167" s="15">
        <f>IF(Records!P167="","",Records!P167)</f>
        <v>6</v>
      </c>
      <c r="P167" s="15">
        <f>IF(Records!Q167="","",Records!Q167)</f>
        <v>6</v>
      </c>
      <c r="Q167" s="12">
        <f>AVERAGE(D167:I167)</f>
        <v>3.5</v>
      </c>
      <c r="R167" s="12">
        <f>AVERAGE(J167:M167)</f>
        <v>3.75</v>
      </c>
      <c r="S167" s="12">
        <f>AVERAGE(N167:P167)</f>
        <v>5.666666666666667</v>
      </c>
      <c r="T167" s="15">
        <f>COUNT(D167:I167,J167:M167,N167:P167)</f>
        <v>13</v>
      </c>
    </row>
    <row r="168">
      <c r="A168" s="6" t="str">
        <f>Records!A168</f>
        <v>P009</v>
      </c>
      <c r="B168" s="6">
        <f>Records!B168</f>
        <v>1</v>
      </c>
      <c r="C168" s="6" t="str">
        <f>Records!D168</f>
        <v>EgoAnchor</v>
      </c>
      <c r="D168" s="15" t="str">
        <f>IF(Records!E168="","",Records!E168)</f>
        <v/>
      </c>
      <c r="E168" s="15">
        <f>IF(Records!F168="","",Records!F168)</f>
        <v>4</v>
      </c>
      <c r="F168" s="15">
        <f>IF(Records!G168="","",6-Records!G168)</f>
        <v>4</v>
      </c>
      <c r="G168" s="15">
        <f>IF(Records!H168="","",Records!H168)</f>
        <v>3</v>
      </c>
      <c r="H168" s="15">
        <f>IF(Records!I168="","",6-Records!I168)</f>
        <v>3</v>
      </c>
      <c r="I168" s="15">
        <f>IF(Records!J168="","",Records!J168)</f>
        <v>3</v>
      </c>
      <c r="J168" s="15">
        <f>IF(Records!K168="","",Records!K168)</f>
        <v>3</v>
      </c>
      <c r="K168" s="15">
        <f>IF(Records!L168="","",6-Records!L168)</f>
        <v>4</v>
      </c>
      <c r="L168" s="15">
        <f>IF(Records!M168="","",Records!M168)</f>
        <v>4</v>
      </c>
      <c r="M168" s="15">
        <f>IF(Records!N168="","",6-Records!N168)</f>
        <v>3</v>
      </c>
      <c r="N168" s="15">
        <f>IF(Records!O168="","",Records!O168)</f>
        <v>5</v>
      </c>
      <c r="O168" s="15">
        <f>IF(Records!P168="","",Records!P168)</f>
        <v>4</v>
      </c>
      <c r="P168" s="15">
        <f>IF(Records!Q168="","",Records!Q168)</f>
        <v>4</v>
      </c>
      <c r="Q168" s="12">
        <f>AVERAGE(D168:I168)</f>
        <v>3.4</v>
      </c>
      <c r="R168" s="12">
        <f>AVERAGE(J168:M168)</f>
        <v>3.5</v>
      </c>
      <c r="S168" s="12">
        <f>AVERAGE(N168:P168)</f>
        <v>4.333333333333333</v>
      </c>
      <c r="T168" s="15">
        <f>COUNT(D168:I168,J168:M168,N168:P168)</f>
        <v>12</v>
      </c>
    </row>
    <row r="169">
      <c r="A169" s="6" t="str">
        <f>Records!A169</f>
        <v>P009</v>
      </c>
      <c r="B169" s="6">
        <f>Records!B169</f>
        <v>2</v>
      </c>
      <c r="C169" s="6" t="str">
        <f>Records!D169</f>
        <v>One-Euro</v>
      </c>
      <c r="D169" s="15">
        <f>IF(Records!E169="","",Records!E169)</f>
        <v>3</v>
      </c>
      <c r="E169" s="15">
        <f>IF(Records!F169="","",Records!F169)</f>
        <v>3</v>
      </c>
      <c r="F169" s="15">
        <f>IF(Records!G169="","",6-Records!G169)</f>
        <v>4</v>
      </c>
      <c r="G169" s="15">
        <f>IF(Records!H169="","",Records!H169)</f>
        <v>3</v>
      </c>
      <c r="H169" s="15">
        <f>IF(Records!I169="","",6-Records!I169)</f>
        <v>2</v>
      </c>
      <c r="I169" s="15">
        <f>IF(Records!J169="","",Records!J169)</f>
        <v>3</v>
      </c>
      <c r="J169" s="15">
        <f>IF(Records!K169="","",Records!K169)</f>
        <v>2</v>
      </c>
      <c r="K169" s="15">
        <f>IF(Records!L169="","",6-Records!L169)</f>
        <v>3</v>
      </c>
      <c r="L169" s="15">
        <f>IF(Records!M169="","",Records!M169)</f>
        <v>3</v>
      </c>
      <c r="M169" s="15">
        <f>IF(Records!N169="","",6-Records!N169)</f>
        <v>3</v>
      </c>
      <c r="N169" s="15">
        <f>IF(Records!O169="","",Records!O169)</f>
        <v>4</v>
      </c>
      <c r="O169" s="15">
        <f>IF(Records!P169="","",Records!P169)</f>
        <v>4</v>
      </c>
      <c r="P169" s="15">
        <f>IF(Records!Q169="","",Records!Q169)</f>
        <v>4</v>
      </c>
      <c r="Q169" s="12">
        <f>AVERAGE(D169:I169)</f>
        <v>3</v>
      </c>
      <c r="R169" s="12">
        <f>AVERAGE(J169:M169)</f>
        <v>2.75</v>
      </c>
      <c r="S169" s="12">
        <f>AVERAGE(N169:P169)</f>
        <v>4</v>
      </c>
      <c r="T169" s="15">
        <f>COUNT(D169:I169,J169:M169,N169:P169)</f>
        <v>13</v>
      </c>
    </row>
    <row r="170">
      <c r="A170" s="6" t="str">
        <f>Records!A170</f>
        <v>P010</v>
      </c>
      <c r="B170" s="6">
        <f>Records!B170</f>
        <v>1</v>
      </c>
      <c r="C170" s="6" t="str">
        <f>Records!D170</f>
        <v>One-Euro</v>
      </c>
      <c r="D170" s="15">
        <f>IF(Records!E170="","",Records!E170)</f>
        <v>3</v>
      </c>
      <c r="E170" s="15">
        <f>IF(Records!F170="","",Records!F170)</f>
        <v>4</v>
      </c>
      <c r="F170" s="15">
        <f>IF(Records!G170="","",6-Records!G170)</f>
        <v>3</v>
      </c>
      <c r="G170" s="15">
        <f>IF(Records!H170="","",Records!H170)</f>
        <v>4</v>
      </c>
      <c r="H170" s="15">
        <f>IF(Records!I170="","",6-Records!I170)</f>
        <v>3</v>
      </c>
      <c r="I170" s="15">
        <f>IF(Records!J170="","",Records!J170)</f>
        <v>3</v>
      </c>
      <c r="J170" s="15">
        <f>IF(Records!K170="","",Records!K170)</f>
        <v>3</v>
      </c>
      <c r="K170" s="15">
        <f>IF(Records!L170="","",6-Records!L170)</f>
        <v>2</v>
      </c>
      <c r="L170" s="15">
        <f>IF(Records!M170="","",Records!M170)</f>
        <v>3</v>
      </c>
      <c r="M170" s="15">
        <f>IF(Records!N170="","",6-Records!N170)</f>
        <v>4</v>
      </c>
      <c r="N170" s="15">
        <f>IF(Records!O170="","",Records!O170)</f>
        <v>4</v>
      </c>
      <c r="O170" s="15">
        <f>IF(Records!P170="","",Records!P170)</f>
        <v>5</v>
      </c>
      <c r="P170" s="15">
        <f>IF(Records!Q170="","",Records!Q170)</f>
        <v>4</v>
      </c>
      <c r="Q170" s="12">
        <f>AVERAGE(D170:I170)</f>
        <v>3.3333333333333335</v>
      </c>
      <c r="R170" s="12">
        <f>AVERAGE(J170:M170)</f>
        <v>3</v>
      </c>
      <c r="S170" s="12">
        <f>AVERAGE(N170:P170)</f>
        <v>4.333333333333333</v>
      </c>
      <c r="T170" s="15">
        <f>COUNT(D170:I170,J170:M170,N170:P170)</f>
        <v>13</v>
      </c>
    </row>
    <row r="171">
      <c r="A171" s="6" t="str">
        <f>Records!A171</f>
        <v>P010</v>
      </c>
      <c r="B171" s="6">
        <f>Records!B171</f>
        <v>2</v>
      </c>
      <c r="C171" s="6" t="str">
        <f>Records!D171</f>
        <v>EgoAnchor</v>
      </c>
      <c r="D171" s="15">
        <f>IF(Records!E171="","",Records!E171)</f>
        <v>3</v>
      </c>
      <c r="E171" s="15">
        <f>IF(Records!F171="","",Records!F171)</f>
        <v>3</v>
      </c>
      <c r="F171" s="15">
        <f>IF(Records!G171="","",6-Records!G171)</f>
        <v>3</v>
      </c>
      <c r="G171" s="15">
        <f>IF(Records!H171="","",Records!H171)</f>
        <v>3</v>
      </c>
      <c r="H171" s="15">
        <f>IF(Records!I171="","",6-Records!I171)</f>
        <v>3</v>
      </c>
      <c r="I171" s="15">
        <f>IF(Records!J171="","",Records!J171)</f>
        <v>4</v>
      </c>
      <c r="J171" s="15">
        <f>IF(Records!K171="","",Records!K171)</f>
        <v>2</v>
      </c>
      <c r="K171" s="15">
        <f>IF(Records!L171="","",6-Records!L171)</f>
        <v>2</v>
      </c>
      <c r="L171" s="15">
        <f>IF(Records!M171="","",Records!M171)</f>
        <v>3</v>
      </c>
      <c r="M171" s="15">
        <f>IF(Records!N171="","",6-Records!N171)</f>
        <v>4</v>
      </c>
      <c r="N171" s="15">
        <f>IF(Records!O171="","",Records!O171)</f>
        <v>4</v>
      </c>
      <c r="O171" s="15">
        <f>IF(Records!P171="","",Records!P171)</f>
        <v>3</v>
      </c>
      <c r="P171" s="15">
        <f>IF(Records!Q171="","",Records!Q171)</f>
        <v>4</v>
      </c>
      <c r="Q171" s="12">
        <f>AVERAGE(D171:I171)</f>
        <v>3.1666666666666665</v>
      </c>
      <c r="R171" s="12">
        <f>AVERAGE(J171:M171)</f>
        <v>2.75</v>
      </c>
      <c r="S171" s="12">
        <f>AVERAGE(N171:P171)</f>
        <v>3.6666666666666665</v>
      </c>
      <c r="T171" s="15">
        <f>COUNT(D171:I171,J171:M171,N171:P171)</f>
        <v>13</v>
      </c>
    </row>
    <row r="172">
      <c r="A172" s="6" t="str">
        <f>Records!A172</f>
        <v>P011</v>
      </c>
      <c r="B172" s="6">
        <f>Records!B172</f>
        <v>1</v>
      </c>
      <c r="C172" s="6" t="str">
        <f>Records!D172</f>
        <v>One-Euro</v>
      </c>
      <c r="D172" s="15">
        <f>IF(Records!E172="","",Records!E172)</f>
        <v>2</v>
      </c>
      <c r="E172" s="15">
        <f>IF(Records!F172="","",Records!F172)</f>
        <v>2</v>
      </c>
      <c r="F172" s="15">
        <f>IF(Records!G172="","",6-Records!G172)</f>
        <v>3</v>
      </c>
      <c r="G172" s="15">
        <f>IF(Records!H172="","",Records!H172)</f>
        <v>3</v>
      </c>
      <c r="H172" s="15">
        <f>IF(Records!I172="","",6-Records!I172)</f>
        <v>1</v>
      </c>
      <c r="I172" s="15">
        <f>IF(Records!J172="","",Records!J172)</f>
        <v>1</v>
      </c>
      <c r="J172" s="15">
        <f>IF(Records!K172="","",Records!K172)</f>
        <v>2</v>
      </c>
      <c r="K172" s="15">
        <f>IF(Records!L172="","",6-Records!L172)</f>
        <v>3</v>
      </c>
      <c r="L172" s="15">
        <f>IF(Records!M172="","",Records!M172)</f>
        <v>2</v>
      </c>
      <c r="M172" s="15">
        <f>IF(Records!N172="","",6-Records!N172)</f>
        <v>3</v>
      </c>
      <c r="N172" s="15">
        <f>IF(Records!O172="","",Records!O172)</f>
        <v>3</v>
      </c>
      <c r="O172" s="15">
        <f>IF(Records!P172="","",Records!P172)</f>
        <v>3</v>
      </c>
      <c r="P172" s="15">
        <f>IF(Records!Q172="","",Records!Q172)</f>
        <v>1</v>
      </c>
      <c r="Q172" s="12">
        <f>AVERAGE(D172:I172)</f>
        <v>2</v>
      </c>
      <c r="R172" s="12">
        <f>AVERAGE(J172:M172)</f>
        <v>2.5</v>
      </c>
      <c r="S172" s="12">
        <f>AVERAGE(N172:P172)</f>
        <v>2.3333333333333335</v>
      </c>
      <c r="T172" s="15">
        <f>COUNT(D172:I172,J172:M172,N172:P172)</f>
        <v>13</v>
      </c>
    </row>
    <row r="173">
      <c r="A173" s="6" t="str">
        <f>Records!A173</f>
        <v>P011</v>
      </c>
      <c r="B173" s="6">
        <f>Records!B173</f>
        <v>2</v>
      </c>
      <c r="C173" s="6" t="str">
        <f>Records!D173</f>
        <v>EgoAnchor</v>
      </c>
      <c r="D173" s="15">
        <f>IF(Records!E173="","",Records!E173)</f>
        <v>4</v>
      </c>
      <c r="E173" s="15">
        <f>IF(Records!F173="","",Records!F173)</f>
        <v>3</v>
      </c>
      <c r="F173" s="15">
        <f>IF(Records!G173="","",6-Records!G173)</f>
        <v>3</v>
      </c>
      <c r="G173" s="15">
        <f>IF(Records!H173="","",Records!H173)</f>
        <v>4</v>
      </c>
      <c r="H173" s="15">
        <f>IF(Records!I173="","",6-Records!I173)</f>
        <v>3</v>
      </c>
      <c r="I173" s="15">
        <f>IF(Records!J173="","",Records!J173)</f>
        <v>4</v>
      </c>
      <c r="J173" s="15">
        <f>IF(Records!K173="","",Records!K173)</f>
        <v>4</v>
      </c>
      <c r="K173" s="15">
        <f>IF(Records!L173="","",6-Records!L173)</f>
        <v>3</v>
      </c>
      <c r="L173" s="15">
        <f>IF(Records!M173="","",Records!M173)</f>
        <v>4</v>
      </c>
      <c r="M173" s="15">
        <f>IF(Records!N173="","",6-Records!N173)</f>
        <v>4</v>
      </c>
      <c r="N173" s="15">
        <f>IF(Records!O173="","",Records!O173)</f>
        <v>5</v>
      </c>
      <c r="O173" s="15">
        <f>IF(Records!P173="","",Records!P173)</f>
        <v>5</v>
      </c>
      <c r="P173" s="15">
        <f>IF(Records!Q173="","",Records!Q173)</f>
        <v>6</v>
      </c>
      <c r="Q173" s="12">
        <f>AVERAGE(D173:I173)</f>
        <v>3.5</v>
      </c>
      <c r="R173" s="12">
        <f>AVERAGE(J173:M173)</f>
        <v>3.75</v>
      </c>
      <c r="S173" s="12">
        <f>AVERAGE(N173:P173)</f>
        <v>5.333333333333333</v>
      </c>
      <c r="T173" s="15">
        <f>COUNT(D173:I173,J173:M173,N173:P173)</f>
        <v>13</v>
      </c>
    </row>
    <row r="174">
      <c r="A174" s="6" t="str">
        <f>Records!A174</f>
        <v>P012</v>
      </c>
      <c r="B174" s="6">
        <f>Records!B174</f>
        <v>1</v>
      </c>
      <c r="C174" s="6" t="str">
        <f>Records!D174</f>
        <v>One-Euro</v>
      </c>
      <c r="D174" s="15">
        <f>IF(Records!E174="","",Records!E174)</f>
        <v>4</v>
      </c>
      <c r="E174" s="15">
        <f>IF(Records!F174="","",Records!F174)</f>
        <v>3</v>
      </c>
      <c r="F174" s="15">
        <f>IF(Records!G174="","",6-Records!G174)</f>
        <v>3</v>
      </c>
      <c r="G174" s="15">
        <f>IF(Records!H174="","",Records!H174)</f>
        <v>3</v>
      </c>
      <c r="H174" s="15">
        <f>IF(Records!I174="","",6-Records!I174)</f>
        <v>4</v>
      </c>
      <c r="I174" s="15">
        <f>IF(Records!J174="","",Records!J174)</f>
        <v>4</v>
      </c>
      <c r="J174" s="15">
        <f>IF(Records!K174="","",Records!K174)</f>
        <v>3</v>
      </c>
      <c r="K174" s="15">
        <f>IF(Records!L174="","",6-Records!L174)</f>
        <v>4</v>
      </c>
      <c r="L174" s="15">
        <f>IF(Records!M174="","",Records!M174)</f>
        <v>4</v>
      </c>
      <c r="M174" s="15">
        <f>IF(Records!N174="","",6-Records!N174)</f>
        <v>4</v>
      </c>
      <c r="N174" s="15">
        <f>IF(Records!O174="","",Records!O174)</f>
        <v>5</v>
      </c>
      <c r="O174" s="15">
        <f>IF(Records!P174="","",Records!P174)</f>
        <v>4</v>
      </c>
      <c r="P174" s="15">
        <f>IF(Records!Q174="","",Records!Q174)</f>
        <v>5</v>
      </c>
      <c r="Q174" s="12">
        <f>AVERAGE(D174:I174)</f>
        <v>3.5</v>
      </c>
      <c r="R174" s="12">
        <f>AVERAGE(J174:M174)</f>
        <v>3.75</v>
      </c>
      <c r="S174" s="12">
        <f>AVERAGE(N174:P174)</f>
        <v>4.666666666666667</v>
      </c>
      <c r="T174" s="15">
        <f>COUNT(D174:I174,J174:M174,N174:P174)</f>
        <v>13</v>
      </c>
    </row>
    <row r="175">
      <c r="A175" s="6" t="str">
        <f>Records!A175</f>
        <v>P012</v>
      </c>
      <c r="B175" s="6">
        <f>Records!B175</f>
        <v>2</v>
      </c>
      <c r="C175" s="6" t="str">
        <f>Records!D175</f>
        <v>EgoAnchor</v>
      </c>
      <c r="D175" s="15">
        <f>IF(Records!E175="","",Records!E175)</f>
        <v>5</v>
      </c>
      <c r="E175" s="15">
        <f>IF(Records!F175="","",Records!F175)</f>
        <v>4</v>
      </c>
      <c r="F175" s="15">
        <f>IF(Records!G175="","",6-Records!G175)</f>
        <v>4</v>
      </c>
      <c r="G175" s="15">
        <f>IF(Records!H175="","",Records!H175)</f>
        <v>4</v>
      </c>
      <c r="H175" s="15">
        <f>IF(Records!I175="","",6-Records!I175)</f>
        <v>4</v>
      </c>
      <c r="I175" s="15">
        <f>IF(Records!J175="","",Records!J175)</f>
        <v>4</v>
      </c>
      <c r="J175" s="15">
        <f>IF(Records!K175="","",Records!K175)</f>
        <v>3</v>
      </c>
      <c r="K175" s="15">
        <f>IF(Records!L175="","",6-Records!L175)</f>
        <v>5</v>
      </c>
      <c r="L175" s="15">
        <f>IF(Records!M175="","",Records!M175)</f>
        <v>4</v>
      </c>
      <c r="M175" s="15">
        <f>IF(Records!N175="","",6-Records!N175)</f>
        <v>3</v>
      </c>
      <c r="N175" s="15">
        <f>IF(Records!O175="","",Records!O175)</f>
        <v>6</v>
      </c>
      <c r="O175" s="15">
        <f>IF(Records!P175="","",Records!P175)</f>
        <v>7</v>
      </c>
      <c r="P175" s="15">
        <f>IF(Records!Q175="","",Records!Q175)</f>
        <v>5</v>
      </c>
      <c r="Q175" s="12">
        <f>AVERAGE(D175:I175)</f>
        <v>4.166666666666667</v>
      </c>
      <c r="R175" s="12">
        <f>AVERAGE(J175:M175)</f>
        <v>3.75</v>
      </c>
      <c r="S175" s="12">
        <f>AVERAGE(N175:P175)</f>
        <v>6</v>
      </c>
      <c r="T175" s="15">
        <f>COUNT(D175:I175,J175:M175,N175:P175)</f>
        <v>13</v>
      </c>
    </row>
    <row r="176">
      <c r="A176" s="6" t="str">
        <f>Records!A176</f>
        <v>P013</v>
      </c>
      <c r="B176" s="6">
        <f>Records!B176</f>
        <v>1</v>
      </c>
      <c r="C176" s="6" t="str">
        <f>Records!D176</f>
        <v>One-Euro</v>
      </c>
      <c r="D176" s="15">
        <f>IF(Records!E176="","",Records!E176)</f>
        <v>4</v>
      </c>
      <c r="E176" s="15">
        <f>IF(Records!F176="","",Records!F176)</f>
        <v>4</v>
      </c>
      <c r="F176" s="15">
        <f>IF(Records!G176="","",6-Records!G176)</f>
        <v>4</v>
      </c>
      <c r="G176" s="15">
        <f>IF(Records!H176="","",Records!H176)</f>
        <v>4</v>
      </c>
      <c r="H176" s="15">
        <f>IF(Records!I176="","",6-Records!I176)</f>
        <v>4</v>
      </c>
      <c r="I176" s="15">
        <f>IF(Records!J176="","",Records!J176)</f>
        <v>4</v>
      </c>
      <c r="J176" s="15">
        <f>IF(Records!K176="","",Records!K176)</f>
        <v>3</v>
      </c>
      <c r="K176" s="15">
        <f>IF(Records!L176="","",6-Records!L176)</f>
        <v>3</v>
      </c>
      <c r="L176" s="15">
        <f>IF(Records!M176="","",Records!M176)</f>
        <v>4</v>
      </c>
      <c r="M176" s="15">
        <f>IF(Records!N176="","",6-Records!N176)</f>
        <v>3</v>
      </c>
      <c r="N176" s="15">
        <f>IF(Records!O176="","",Records!O176)</f>
        <v>6</v>
      </c>
      <c r="O176" s="15">
        <f>IF(Records!P176="","",Records!P176)</f>
        <v>5</v>
      </c>
      <c r="P176" s="15">
        <f>IF(Records!Q176="","",Records!Q176)</f>
        <v>6</v>
      </c>
      <c r="Q176" s="12">
        <f>AVERAGE(D176:I176)</f>
        <v>4</v>
      </c>
      <c r="R176" s="12">
        <f>AVERAGE(J176:M176)</f>
        <v>3.25</v>
      </c>
      <c r="S176" s="12">
        <f>AVERAGE(N176:P176)</f>
        <v>5.666666666666667</v>
      </c>
      <c r="T176" s="15">
        <f>COUNT(D176:I176,J176:M176,N176:P176)</f>
        <v>13</v>
      </c>
    </row>
    <row r="177">
      <c r="A177" s="6" t="str">
        <f>Records!A177</f>
        <v>P013</v>
      </c>
      <c r="B177" s="6">
        <f>Records!B177</f>
        <v>2</v>
      </c>
      <c r="C177" s="6" t="str">
        <f>Records!D177</f>
        <v>EgoAnchor</v>
      </c>
      <c r="D177" s="15">
        <f>IF(Records!E177="","",Records!E177)</f>
        <v>3</v>
      </c>
      <c r="E177" s="15">
        <f>IF(Records!F177="","",Records!F177)</f>
        <v>3</v>
      </c>
      <c r="F177" s="15">
        <f>IF(Records!G177="","",6-Records!G177)</f>
        <v>4</v>
      </c>
      <c r="G177" s="15">
        <f>IF(Records!H177="","",Records!H177)</f>
        <v>3</v>
      </c>
      <c r="H177" s="15">
        <f>IF(Records!I177="","",6-Records!I177)</f>
        <v>4</v>
      </c>
      <c r="I177" s="15">
        <f>IF(Records!J177="","",Records!J177)</f>
        <v>4</v>
      </c>
      <c r="J177" s="15">
        <f>IF(Records!K177="","",Records!K177)</f>
        <v>4</v>
      </c>
      <c r="K177" s="15">
        <f>IF(Records!L177="","",6-Records!L177)</f>
        <v>4</v>
      </c>
      <c r="L177" s="15">
        <f>IF(Records!M177="","",Records!M177)</f>
        <v>4</v>
      </c>
      <c r="M177" s="15">
        <f>IF(Records!N177="","",6-Records!N177)</f>
        <v>4</v>
      </c>
      <c r="N177" s="15">
        <f>IF(Records!O177="","",Records!O177)</f>
        <v>7</v>
      </c>
      <c r="O177" s="15">
        <f>IF(Records!P177="","",Records!P177)</f>
        <v>5</v>
      </c>
      <c r="P177" s="15">
        <f>IF(Records!Q177="","",Records!Q177)</f>
        <v>5</v>
      </c>
      <c r="Q177" s="12">
        <f>AVERAGE(D177:I177)</f>
        <v>3.5</v>
      </c>
      <c r="R177" s="12">
        <f>AVERAGE(J177:M177)</f>
        <v>4</v>
      </c>
      <c r="S177" s="12">
        <f>AVERAGE(N177:P177)</f>
        <v>5.666666666666667</v>
      </c>
      <c r="T177" s="15">
        <f>COUNT(D177:I177,J177:M177,N177:P177)</f>
        <v>13</v>
      </c>
    </row>
    <row r="178">
      <c r="A178" s="6" t="str">
        <f>Records!A178</f>
        <v>P014</v>
      </c>
      <c r="B178" s="6">
        <f>Records!B178</f>
        <v>1</v>
      </c>
      <c r="C178" s="6" t="str">
        <f>Records!D178</f>
        <v>One-Euro</v>
      </c>
      <c r="D178" s="15">
        <f>IF(Records!E178="","",Records!E178)</f>
        <v>3</v>
      </c>
      <c r="E178" s="15">
        <f>IF(Records!F178="","",Records!F178)</f>
        <v>3</v>
      </c>
      <c r="F178" s="15">
        <f>IF(Records!G178="","",6-Records!G178)</f>
        <v>4</v>
      </c>
      <c r="G178" s="15">
        <f>IF(Records!H178="","",Records!H178)</f>
        <v>4</v>
      </c>
      <c r="H178" s="15">
        <f>IF(Records!I178="","",6-Records!I178)</f>
        <v>4</v>
      </c>
      <c r="I178" s="15">
        <f>IF(Records!J178="","",Records!J178)</f>
        <v>3</v>
      </c>
      <c r="J178" s="15">
        <f>IF(Records!K178="","",Records!K178)</f>
        <v>4</v>
      </c>
      <c r="K178" s="15">
        <f>IF(Records!L178="","",6-Records!L178)</f>
        <v>3</v>
      </c>
      <c r="L178" s="15">
        <f>IF(Records!M178="","",Records!M178)</f>
        <v>5</v>
      </c>
      <c r="M178" s="15">
        <f>IF(Records!N178="","",6-Records!N178)</f>
        <v>4</v>
      </c>
      <c r="N178" s="15">
        <f>IF(Records!O178="","",Records!O178)</f>
        <v>6</v>
      </c>
      <c r="O178" s="15">
        <f>IF(Records!P178="","",Records!P178)</f>
        <v>5</v>
      </c>
      <c r="P178" s="15">
        <f>IF(Records!Q178="","",Records!Q178)</f>
        <v>5</v>
      </c>
      <c r="Q178" s="12">
        <f>AVERAGE(D178:I178)</f>
        <v>3.5</v>
      </c>
      <c r="R178" s="12">
        <f>AVERAGE(J178:M178)</f>
        <v>4</v>
      </c>
      <c r="S178" s="12">
        <f>AVERAGE(N178:P178)</f>
        <v>5.333333333333333</v>
      </c>
      <c r="T178" s="15">
        <f>COUNT(D178:I178,J178:M178,N178:P178)</f>
        <v>13</v>
      </c>
    </row>
    <row r="179">
      <c r="A179" s="6" t="str">
        <f>Records!A179</f>
        <v>P014</v>
      </c>
      <c r="B179" s="6">
        <f>Records!B179</f>
        <v>2</v>
      </c>
      <c r="C179" s="6" t="str">
        <f>Records!D179</f>
        <v>EgoAnchor</v>
      </c>
      <c r="D179" s="15">
        <f>IF(Records!E179="","",Records!E179)</f>
        <v>2</v>
      </c>
      <c r="E179" s="15">
        <f>IF(Records!F179="","",Records!F179)</f>
        <v>4</v>
      </c>
      <c r="F179" s="15">
        <f>IF(Records!G179="","",6-Records!G179)</f>
        <v>3</v>
      </c>
      <c r="G179" s="15">
        <f>IF(Records!H179="","",Records!H179)</f>
        <v>4</v>
      </c>
      <c r="H179" s="15">
        <f>IF(Records!I179="","",6-Records!I179)</f>
        <v>5</v>
      </c>
      <c r="I179" s="15">
        <f>IF(Records!J179="","",Records!J179)</f>
        <v>4</v>
      </c>
      <c r="J179" s="15">
        <f>IF(Records!K179="","",Records!K179)</f>
        <v>3</v>
      </c>
      <c r="K179" s="15">
        <f>IF(Records!L179="","",6-Records!L179)</f>
        <v>4</v>
      </c>
      <c r="L179" s="15">
        <f>IF(Records!M179="","",Records!M179)</f>
        <v>3</v>
      </c>
      <c r="M179" s="15">
        <f>IF(Records!N179="","",6-Records!N179)</f>
        <v>4</v>
      </c>
      <c r="N179" s="15">
        <f>IF(Records!O179="","",Records!O179)</f>
        <v>6</v>
      </c>
      <c r="O179" s="15">
        <f>IF(Records!P179="","",Records!P179)</f>
        <v>4</v>
      </c>
      <c r="P179" s="15">
        <f>IF(Records!Q179="","",Records!Q179)</f>
        <v>6</v>
      </c>
      <c r="Q179" s="12">
        <f>AVERAGE(D179:I179)</f>
        <v>3.6666666666666665</v>
      </c>
      <c r="R179" s="12">
        <f>AVERAGE(J179:M179)</f>
        <v>3.5</v>
      </c>
      <c r="S179" s="12">
        <f>AVERAGE(N179:P179)</f>
        <v>5.333333333333333</v>
      </c>
      <c r="T179" s="15">
        <f>COUNT(D179:I179,J179:M179,N179:P179)</f>
        <v>13</v>
      </c>
    </row>
    <row r="180">
      <c r="A180" s="6" t="str">
        <f>Records!A180</f>
        <v>P015</v>
      </c>
      <c r="B180" s="6">
        <f>Records!B180</f>
        <v>1</v>
      </c>
      <c r="C180" s="6" t="str">
        <f>Records!D180</f>
        <v>One-Euro</v>
      </c>
      <c r="D180" s="15">
        <f>IF(Records!E180="","",Records!E180)</f>
        <v>2</v>
      </c>
      <c r="E180" s="15">
        <f>IF(Records!F180="","",Records!F180)</f>
        <v>3</v>
      </c>
      <c r="F180" s="15">
        <f>IF(Records!G180="","",6-Records!G180)</f>
        <v>3</v>
      </c>
      <c r="G180" s="15">
        <f>IF(Records!H180="","",Records!H180)</f>
        <v>3</v>
      </c>
      <c r="H180" s="15">
        <f>IF(Records!I180="","",6-Records!I180)</f>
        <v>4</v>
      </c>
      <c r="I180" s="15">
        <f>IF(Records!J180="","",Records!J180)</f>
        <v>2</v>
      </c>
      <c r="J180" s="15">
        <f>IF(Records!K180="","",Records!K180)</f>
        <v>2</v>
      </c>
      <c r="K180" s="15">
        <f>IF(Records!L180="","",6-Records!L180)</f>
        <v>2</v>
      </c>
      <c r="L180" s="15">
        <f>IF(Records!M180="","",Records!M180)</f>
        <v>3</v>
      </c>
      <c r="M180" s="15">
        <f>IF(Records!N180="","",6-Records!N180)</f>
        <v>2</v>
      </c>
      <c r="N180" s="15">
        <f>IF(Records!O180="","",Records!O180)</f>
        <v>3</v>
      </c>
      <c r="O180" s="15">
        <f>IF(Records!P180="","",Records!P180)</f>
        <v>4</v>
      </c>
      <c r="P180" s="15">
        <f>IF(Records!Q180="","",Records!Q180)</f>
        <v>3</v>
      </c>
      <c r="Q180" s="12">
        <f>AVERAGE(D180:I180)</f>
        <v>2.8333333333333335</v>
      </c>
      <c r="R180" s="12">
        <f>AVERAGE(J180:M180)</f>
        <v>2.25</v>
      </c>
      <c r="S180" s="12">
        <f>AVERAGE(N180:P180)</f>
        <v>3.3333333333333335</v>
      </c>
      <c r="T180" s="15">
        <f>COUNT(D180:I180,J180:M180,N180:P180)</f>
        <v>13</v>
      </c>
    </row>
    <row r="181">
      <c r="A181" s="6" t="str">
        <f>Records!A181</f>
        <v>P015</v>
      </c>
      <c r="B181" s="6">
        <f>Records!B181</f>
        <v>2</v>
      </c>
      <c r="C181" s="6" t="str">
        <f>Records!D181</f>
        <v>EgoAnchor</v>
      </c>
      <c r="D181" s="15">
        <f>IF(Records!E181="","",Records!E181)</f>
        <v>3</v>
      </c>
      <c r="E181" s="15">
        <f>IF(Records!F181="","",Records!F181)</f>
        <v>4</v>
      </c>
      <c r="F181" s="15">
        <f>IF(Records!G181="","",6-Records!G181)</f>
        <v>2</v>
      </c>
      <c r="G181" s="15">
        <f>IF(Records!H181="","",Records!H181)</f>
        <v>3</v>
      </c>
      <c r="H181" s="15">
        <f>IF(Records!I181="","",6-Records!I181)</f>
        <v>3</v>
      </c>
      <c r="I181" s="15">
        <f>IF(Records!J181="","",Records!J181)</f>
        <v>3</v>
      </c>
      <c r="J181" s="15">
        <f>IF(Records!K181="","",Records!K181)</f>
        <v>1</v>
      </c>
      <c r="K181" s="15">
        <f>IF(Records!L181="","",6-Records!L181)</f>
        <v>3</v>
      </c>
      <c r="L181" s="15">
        <f>IF(Records!M181="","",Records!M181)</f>
        <v>3</v>
      </c>
      <c r="M181" s="15">
        <f>IF(Records!N181="","",6-Records!N181)</f>
        <v>2</v>
      </c>
      <c r="N181" s="15">
        <f>IF(Records!O181="","",Records!O181)</f>
        <v>4</v>
      </c>
      <c r="O181" s="15">
        <f>IF(Records!P181="","",Records!P181)</f>
        <v>6</v>
      </c>
      <c r="P181" s="15">
        <f>IF(Records!Q181="","",Records!Q181)</f>
        <v>5</v>
      </c>
      <c r="Q181" s="12">
        <f>AVERAGE(D181:I181)</f>
        <v>3</v>
      </c>
      <c r="R181" s="12">
        <f>AVERAGE(J181:M181)</f>
        <v>2.25</v>
      </c>
      <c r="S181" s="12">
        <f>AVERAGE(N181:P181)</f>
        <v>5</v>
      </c>
      <c r="T181" s="15">
        <f>COUNT(D181:I181,J181:M181,N181:P181)</f>
        <v>13</v>
      </c>
    </row>
    <row r="182">
      <c r="A182" s="6" t="str">
        <f>Records!A182</f>
        <v>P016</v>
      </c>
      <c r="B182" s="6">
        <f>Records!B182</f>
        <v>1</v>
      </c>
      <c r="C182" s="6" t="str">
        <f>Records!D182</f>
        <v>EgoAnchor</v>
      </c>
      <c r="D182" s="15">
        <f>IF(Records!E182="","",Records!E182)</f>
        <v>4</v>
      </c>
      <c r="E182" s="15">
        <f>IF(Records!F182="","",Records!F182)</f>
        <v>5</v>
      </c>
      <c r="F182" s="15">
        <f>IF(Records!G182="","",6-Records!G182)</f>
        <v>4</v>
      </c>
      <c r="G182" s="15">
        <f>IF(Records!H182="","",Records!H182)</f>
        <v>5</v>
      </c>
      <c r="H182" s="15">
        <f>IF(Records!I182="","",6-Records!I182)</f>
        <v>4</v>
      </c>
      <c r="I182" s="15">
        <f>IF(Records!J182="","",Records!J182)</f>
        <v>5</v>
      </c>
      <c r="J182" s="15">
        <f>IF(Records!K182="","",Records!K182)</f>
        <v>4</v>
      </c>
      <c r="K182" s="15">
        <f>IF(Records!L182="","",6-Records!L182)</f>
        <v>4</v>
      </c>
      <c r="L182" s="15">
        <f>IF(Records!M182="","",Records!M182)</f>
        <v>3</v>
      </c>
      <c r="M182" s="15">
        <f>IF(Records!N182="","",6-Records!N182)</f>
        <v>5</v>
      </c>
      <c r="N182" s="15">
        <f>IF(Records!O182="","",Records!O182)</f>
        <v>7</v>
      </c>
      <c r="O182" s="15">
        <f>IF(Records!P182="","",Records!P182)</f>
        <v>7</v>
      </c>
      <c r="P182" s="15">
        <f>IF(Records!Q182="","",Records!Q182)</f>
        <v>7</v>
      </c>
      <c r="Q182" s="12">
        <f>AVERAGE(D182:I182)</f>
        <v>4.5</v>
      </c>
      <c r="R182" s="12">
        <f>AVERAGE(J182:M182)</f>
        <v>4</v>
      </c>
      <c r="S182" s="12">
        <f>AVERAGE(N182:P182)</f>
        <v>7</v>
      </c>
      <c r="T182" s="15">
        <f>COUNT(D182:I182,J182:M182,N182:P182)</f>
        <v>13</v>
      </c>
    </row>
    <row r="183">
      <c r="A183" s="6" t="str">
        <f>Records!A183</f>
        <v>P016</v>
      </c>
      <c r="B183" s="6">
        <f>Records!B183</f>
        <v>2</v>
      </c>
      <c r="C183" s="6" t="str">
        <f>Records!D183</f>
        <v>One-Euro</v>
      </c>
      <c r="D183" s="15">
        <f>IF(Records!E183="","",Records!E183)</f>
        <v>3</v>
      </c>
      <c r="E183" s="15">
        <f>IF(Records!F183="","",Records!F183)</f>
        <v>2</v>
      </c>
      <c r="F183" s="15">
        <f>IF(Records!G183="","",6-Records!G183)</f>
        <v>2</v>
      </c>
      <c r="G183" s="15">
        <f>IF(Records!H183="","",Records!H183)</f>
        <v>2</v>
      </c>
      <c r="H183" s="15">
        <f>IF(Records!I183="","",6-Records!I183)</f>
        <v>2</v>
      </c>
      <c r="I183" s="15">
        <f>IF(Records!J183="","",Records!J183)</f>
        <v>2</v>
      </c>
      <c r="J183" s="15">
        <f>IF(Records!K183="","",Records!K183)</f>
        <v>3</v>
      </c>
      <c r="K183" s="15">
        <f>IF(Records!L183="","",6-Records!L183)</f>
        <v>2</v>
      </c>
      <c r="L183" s="15">
        <f>IF(Records!M183="","",Records!M183)</f>
        <v>2</v>
      </c>
      <c r="M183" s="15">
        <f>IF(Records!N183="","",6-Records!N183)</f>
        <v>2</v>
      </c>
      <c r="N183" s="15">
        <f>IF(Records!O183="","",Records!O183)</f>
        <v>5</v>
      </c>
      <c r="O183" s="15">
        <f>IF(Records!P183="","",Records!P183)</f>
        <v>3</v>
      </c>
      <c r="P183" s="15">
        <f>IF(Records!Q183="","",Records!Q183)</f>
        <v>2</v>
      </c>
      <c r="Q183" s="12">
        <f>AVERAGE(D183:I183)</f>
        <v>2.1666666666666665</v>
      </c>
      <c r="R183" s="12">
        <f>AVERAGE(J183:M183)</f>
        <v>2.25</v>
      </c>
      <c r="S183" s="12">
        <f>AVERAGE(N183:P183)</f>
        <v>3.3333333333333335</v>
      </c>
      <c r="T183" s="15">
        <f>COUNT(D183:I183,J183:M183,N183:P183)</f>
        <v>13</v>
      </c>
    </row>
    <row r="184">
      <c r="A184" s="6" t="str">
        <f>Records!A184</f>
        <v>P017</v>
      </c>
      <c r="B184" s="6">
        <f>Records!B184</f>
        <v>1</v>
      </c>
      <c r="C184" s="6" t="str">
        <f>Records!D184</f>
        <v>EgoAnchor</v>
      </c>
      <c r="D184" s="15">
        <f>IF(Records!E184="","",Records!E184)</f>
        <v>5</v>
      </c>
      <c r="E184" s="15">
        <f>IF(Records!F184="","",Records!F184)</f>
        <v>5</v>
      </c>
      <c r="F184" s="15">
        <f>IF(Records!G184="","",6-Records!G184)</f>
        <v>5</v>
      </c>
      <c r="G184" s="15">
        <f>IF(Records!H184="","",Records!H184)</f>
        <v>5</v>
      </c>
      <c r="H184" s="15">
        <f>IF(Records!I184="","",6-Records!I184)</f>
        <v>5</v>
      </c>
      <c r="I184" s="15">
        <f>IF(Records!J184="","",Records!J184)</f>
        <v>5</v>
      </c>
      <c r="J184" s="15">
        <f>IF(Records!K184="","",Records!K184)</f>
        <v>5</v>
      </c>
      <c r="K184" s="15">
        <f>IF(Records!L184="","",6-Records!L184)</f>
        <v>5</v>
      </c>
      <c r="L184" s="15">
        <f>IF(Records!M184="","",Records!M184)</f>
        <v>5</v>
      </c>
      <c r="M184" s="15">
        <f>IF(Records!N184="","",6-Records!N184)</f>
        <v>5</v>
      </c>
      <c r="N184" s="15">
        <f>IF(Records!O184="","",Records!O184)</f>
        <v>7</v>
      </c>
      <c r="O184" s="15">
        <f>IF(Records!P184="","",Records!P184)</f>
        <v>7</v>
      </c>
      <c r="P184" s="15">
        <f>IF(Records!Q184="","",Records!Q184)</f>
        <v>7</v>
      </c>
      <c r="Q184" s="12">
        <f>AVERAGE(D184:I184)</f>
        <v>5</v>
      </c>
      <c r="R184" s="12">
        <f>AVERAGE(J184:M184)</f>
        <v>5</v>
      </c>
      <c r="S184" s="12">
        <f>AVERAGE(N184:P184)</f>
        <v>7</v>
      </c>
      <c r="T184" s="15">
        <f>COUNT(D184:I184,J184:M184,N184:P184)</f>
        <v>13</v>
      </c>
    </row>
    <row r="185">
      <c r="A185" s="6" t="str">
        <f>Records!A185</f>
        <v>P017</v>
      </c>
      <c r="B185" s="6">
        <f>Records!B185</f>
        <v>2</v>
      </c>
      <c r="C185" s="6" t="str">
        <f>Records!D185</f>
        <v>One-Euro</v>
      </c>
      <c r="D185" s="15">
        <f>IF(Records!E185="","",Records!E185)</f>
        <v>5</v>
      </c>
      <c r="E185" s="15">
        <f>IF(Records!F185="","",Records!F185)</f>
        <v>4</v>
      </c>
      <c r="F185" s="15">
        <f>IF(Records!G185="","",6-Records!G185)</f>
        <v>5</v>
      </c>
      <c r="G185" s="15">
        <f>IF(Records!H185="","",Records!H185)</f>
        <v>5</v>
      </c>
      <c r="H185" s="15">
        <f>IF(Records!I185="","",6-Records!I185)</f>
        <v>5</v>
      </c>
      <c r="I185" s="15">
        <f>IF(Records!J185="","",Records!J185)</f>
        <v>5</v>
      </c>
      <c r="J185" s="15">
        <f>IF(Records!K185="","",Records!K185)</f>
        <v>5</v>
      </c>
      <c r="K185" s="15">
        <f>IF(Records!L185="","",6-Records!L185)</f>
        <v>4</v>
      </c>
      <c r="L185" s="15">
        <f>IF(Records!M185="","",Records!M185)</f>
        <v>5</v>
      </c>
      <c r="M185" s="15">
        <f>IF(Records!N185="","",6-Records!N185)</f>
        <v>4</v>
      </c>
      <c r="N185" s="15">
        <f>IF(Records!O185="","",Records!O185)</f>
        <v>6</v>
      </c>
      <c r="O185" s="15">
        <f>IF(Records!P185="","",Records!P185)</f>
        <v>6</v>
      </c>
      <c r="P185" s="15">
        <f>IF(Records!Q185="","",Records!Q185)</f>
        <v>5</v>
      </c>
      <c r="Q185" s="12">
        <f>AVERAGE(D185:I185)</f>
        <v>4.833333333333333</v>
      </c>
      <c r="R185" s="12">
        <f>AVERAGE(J185:M185)</f>
        <v>4.5</v>
      </c>
      <c r="S185" s="12">
        <f>AVERAGE(N185:P185)</f>
        <v>5.666666666666667</v>
      </c>
      <c r="T185" s="15">
        <f>COUNT(D185:I185,J185:M185,N185:P185)</f>
        <v>13</v>
      </c>
    </row>
    <row r="186">
      <c r="A186" s="6" t="str">
        <f>Records!A186</f>
        <v>P018</v>
      </c>
      <c r="B186" s="6">
        <f>Records!B186</f>
        <v>1</v>
      </c>
      <c r="C186" s="6" t="str">
        <f>Records!D186</f>
        <v>EgoAnchor</v>
      </c>
      <c r="D186" s="15">
        <f>IF(Records!E186="","",Records!E186)</f>
        <v>1</v>
      </c>
      <c r="E186" s="15">
        <f>IF(Records!F186="","",Records!F186)</f>
        <v>3</v>
      </c>
      <c r="F186" s="15">
        <f>IF(Records!G186="","",6-Records!G186)</f>
        <v>3</v>
      </c>
      <c r="G186" s="15">
        <f>IF(Records!H186="","",Records!H186)</f>
        <v>3</v>
      </c>
      <c r="H186" s="15">
        <f>IF(Records!I186="","",6-Records!I186)</f>
        <v>2</v>
      </c>
      <c r="I186" s="15">
        <f>IF(Records!J186="","",Records!J186)</f>
        <v>4</v>
      </c>
      <c r="J186" s="15">
        <f>IF(Records!K186="","",Records!K186)</f>
        <v>3</v>
      </c>
      <c r="K186" s="15">
        <f>IF(Records!L186="","",6-Records!L186)</f>
        <v>3</v>
      </c>
      <c r="L186" s="15">
        <f>IF(Records!M186="","",Records!M186)</f>
        <v>3</v>
      </c>
      <c r="M186" s="15">
        <f>IF(Records!N186="","",6-Records!N186)</f>
        <v>3</v>
      </c>
      <c r="N186" s="15">
        <f>IF(Records!O186="","",Records!O186)</f>
        <v>3</v>
      </c>
      <c r="O186" s="15">
        <f>IF(Records!P186="","",Records!P186)</f>
        <v>5</v>
      </c>
      <c r="P186" s="15">
        <f>IF(Records!Q186="","",Records!Q186)</f>
        <v>5</v>
      </c>
      <c r="Q186" s="12">
        <f>AVERAGE(D186:I186)</f>
        <v>2.6666666666666665</v>
      </c>
      <c r="R186" s="12">
        <f>AVERAGE(J186:M186)</f>
        <v>3</v>
      </c>
      <c r="S186" s="12">
        <f>AVERAGE(N186:P186)</f>
        <v>4.333333333333333</v>
      </c>
      <c r="T186" s="15">
        <f>COUNT(D186:I186,J186:M186,N186:P186)</f>
        <v>13</v>
      </c>
    </row>
    <row r="187">
      <c r="A187" s="6" t="str">
        <f>Records!A187</f>
        <v>P018</v>
      </c>
      <c r="B187" s="6">
        <f>Records!B187</f>
        <v>2</v>
      </c>
      <c r="C187" s="6" t="str">
        <f>Records!D187</f>
        <v>One-Euro</v>
      </c>
      <c r="D187" s="15" t="str">
        <f>IF(Records!E187="","",Records!E187)</f>
        <v/>
      </c>
      <c r="E187" s="15">
        <f>IF(Records!F187="","",Records!F187)</f>
        <v>1</v>
      </c>
      <c r="F187" s="15">
        <f>IF(Records!G187="","",6-Records!G187)</f>
        <v>3</v>
      </c>
      <c r="G187" s="15">
        <f>IF(Records!H187="","",Records!H187)</f>
        <v>2</v>
      </c>
      <c r="H187" s="15">
        <f>IF(Records!I187="","",6-Records!I187)</f>
        <v>1</v>
      </c>
      <c r="I187" s="15">
        <f>IF(Records!J187="","",Records!J187)</f>
        <v>2</v>
      </c>
      <c r="J187" s="15">
        <f>IF(Records!K187="","",Records!K187)</f>
        <v>2</v>
      </c>
      <c r="K187" s="15">
        <f>IF(Records!L187="","",6-Records!L187)</f>
        <v>2</v>
      </c>
      <c r="L187" s="15">
        <f>IF(Records!M187="","",Records!M187)</f>
        <v>2</v>
      </c>
      <c r="M187" s="15">
        <f>IF(Records!N187="","",6-Records!N187)</f>
        <v>2</v>
      </c>
      <c r="N187" s="15">
        <f>IF(Records!O187="","",Records!O187)</f>
        <v>3</v>
      </c>
      <c r="O187" s="15">
        <f>IF(Records!P187="","",Records!P187)</f>
        <v>3</v>
      </c>
      <c r="P187" s="15">
        <f>IF(Records!Q187="","",Records!Q187)</f>
        <v>4</v>
      </c>
      <c r="Q187" s="12">
        <f>AVERAGE(D187:I187)</f>
        <v>1.8</v>
      </c>
      <c r="R187" s="12">
        <f>AVERAGE(J187:M187)</f>
        <v>2</v>
      </c>
      <c r="S187" s="12">
        <f>AVERAGE(N187:P187)</f>
        <v>3.3333333333333335</v>
      </c>
      <c r="T187" s="15">
        <f>COUNT(D187:I187,J187:M187,N187:P187)</f>
        <v>12</v>
      </c>
    </row>
    <row r="188">
      <c r="A188" s="6" t="str">
        <f>Records!A188</f>
        <v>P019</v>
      </c>
      <c r="B188" s="6">
        <f>Records!B188</f>
        <v>1</v>
      </c>
      <c r="C188" s="6" t="str">
        <f>Records!D188</f>
        <v>EgoAnchor</v>
      </c>
      <c r="D188" s="15">
        <f>IF(Records!E188="","",Records!E188)</f>
        <v>3</v>
      </c>
      <c r="E188" s="15">
        <f>IF(Records!F188="","",Records!F188)</f>
        <v>4</v>
      </c>
      <c r="F188" s="15">
        <f>IF(Records!G188="","",6-Records!G188)</f>
        <v>4</v>
      </c>
      <c r="G188" s="15">
        <f>IF(Records!H188="","",Records!H188)</f>
        <v>3</v>
      </c>
      <c r="H188" s="15">
        <f>IF(Records!I188="","",6-Records!I188)</f>
        <v>3</v>
      </c>
      <c r="I188" s="15">
        <f>IF(Records!J188="","",Records!J188)</f>
        <v>4</v>
      </c>
      <c r="J188" s="15">
        <f>IF(Records!K188="","",Records!K188)</f>
        <v>4</v>
      </c>
      <c r="K188" s="15">
        <f>IF(Records!L188="","",6-Records!L188)</f>
        <v>3</v>
      </c>
      <c r="L188" s="15">
        <f>IF(Records!M188="","",Records!M188)</f>
        <v>4</v>
      </c>
      <c r="M188" s="15">
        <f>IF(Records!N188="","",6-Records!N188)</f>
        <v>4</v>
      </c>
      <c r="N188" s="15">
        <f>IF(Records!O188="","",Records!O188)</f>
        <v>6</v>
      </c>
      <c r="O188" s="15">
        <f>IF(Records!P188="","",Records!P188)</f>
        <v>5</v>
      </c>
      <c r="P188" s="15">
        <f>IF(Records!Q188="","",Records!Q188)</f>
        <v>4</v>
      </c>
      <c r="Q188" s="12">
        <f>AVERAGE(D188:I188)</f>
        <v>3.5</v>
      </c>
      <c r="R188" s="12">
        <f>AVERAGE(J188:M188)</f>
        <v>3.75</v>
      </c>
      <c r="S188" s="12">
        <f>AVERAGE(N188:P188)</f>
        <v>5</v>
      </c>
      <c r="T188" s="15">
        <f>COUNT(D188:I188,J188:M188,N188:P188)</f>
        <v>13</v>
      </c>
    </row>
    <row r="189">
      <c r="A189" s="6" t="str">
        <f>Records!A189</f>
        <v>P019</v>
      </c>
      <c r="B189" s="6">
        <f>Records!B189</f>
        <v>2</v>
      </c>
      <c r="C189" s="6" t="str">
        <f>Records!D189</f>
        <v>One-Euro</v>
      </c>
      <c r="D189" s="15">
        <f>IF(Records!E189="","",Records!E189)</f>
        <v>2</v>
      </c>
      <c r="E189" s="15">
        <f>IF(Records!F189="","",Records!F189)</f>
        <v>3</v>
      </c>
      <c r="F189" s="15">
        <f>IF(Records!G189="","",6-Records!G189)</f>
        <v>4</v>
      </c>
      <c r="G189" s="15">
        <f>IF(Records!H189="","",Records!H189)</f>
        <v>2</v>
      </c>
      <c r="H189" s="15">
        <f>IF(Records!I189="","",6-Records!I189)</f>
        <v>3</v>
      </c>
      <c r="I189" s="15">
        <f>IF(Records!J189="","",Records!J189)</f>
        <v>3</v>
      </c>
      <c r="J189" s="15">
        <f>IF(Records!K189="","",Records!K189)</f>
        <v>3</v>
      </c>
      <c r="K189" s="15">
        <f>IF(Records!L189="","",6-Records!L189)</f>
        <v>3</v>
      </c>
      <c r="L189" s="15">
        <f>IF(Records!M189="","",Records!M189)</f>
        <v>3</v>
      </c>
      <c r="M189" s="15">
        <f>IF(Records!N189="","",6-Records!N189)</f>
        <v>2</v>
      </c>
      <c r="N189" s="15">
        <f>IF(Records!O189="","",Records!O189)</f>
        <v>5</v>
      </c>
      <c r="O189" s="15">
        <f>IF(Records!P189="","",Records!P189)</f>
        <v>5</v>
      </c>
      <c r="P189" s="15">
        <f>IF(Records!Q189="","",Records!Q189)</f>
        <v>3</v>
      </c>
      <c r="Q189" s="12">
        <f>AVERAGE(D189:I189)</f>
        <v>2.8333333333333335</v>
      </c>
      <c r="R189" s="12">
        <f>AVERAGE(J189:M189)</f>
        <v>2.75</v>
      </c>
      <c r="S189" s="12">
        <f>AVERAGE(N189:P189)</f>
        <v>4.333333333333333</v>
      </c>
      <c r="T189" s="15">
        <f>COUNT(D189:I189,J189:M189,N189:P189)</f>
        <v>13</v>
      </c>
    </row>
    <row r="190">
      <c r="A190" s="6" t="str">
        <f>Records!A190</f>
        <v>P020</v>
      </c>
      <c r="B190" s="6">
        <f>Records!B190</f>
        <v>1</v>
      </c>
      <c r="C190" s="6" t="str">
        <f>Records!D190</f>
        <v>One-Euro</v>
      </c>
      <c r="D190" s="15">
        <f>IF(Records!E190="","",Records!E190)</f>
        <v>2</v>
      </c>
      <c r="E190" s="15">
        <f>IF(Records!F190="","",Records!F190)</f>
        <v>2</v>
      </c>
      <c r="F190" s="15">
        <f>IF(Records!G190="","",6-Records!G190)</f>
        <v>2</v>
      </c>
      <c r="G190" s="15">
        <f>IF(Records!H190="","",Records!H190)</f>
        <v>2</v>
      </c>
      <c r="H190" s="15">
        <f>IF(Records!I190="","",6-Records!I190)</f>
        <v>2</v>
      </c>
      <c r="I190" s="15">
        <f>IF(Records!J190="","",Records!J190)</f>
        <v>2</v>
      </c>
      <c r="J190" s="15">
        <f>IF(Records!K190="","",Records!K190)</f>
        <v>1</v>
      </c>
      <c r="K190" s="15">
        <f>IF(Records!L190="","",6-Records!L190)</f>
        <v>2</v>
      </c>
      <c r="L190" s="15">
        <f>IF(Records!M190="","",Records!M190)</f>
        <v>1</v>
      </c>
      <c r="M190" s="15">
        <f>IF(Records!N190="","",6-Records!N190)</f>
        <v>2</v>
      </c>
      <c r="N190" s="15">
        <f>IF(Records!O190="","",Records!O190)</f>
        <v>2</v>
      </c>
      <c r="O190" s="15">
        <f>IF(Records!P190="","",Records!P190)</f>
        <v>4</v>
      </c>
      <c r="P190" s="15">
        <f>IF(Records!Q190="","",Records!Q190)</f>
        <v>3</v>
      </c>
      <c r="Q190" s="12">
        <f>AVERAGE(D190:I190)</f>
        <v>2</v>
      </c>
      <c r="R190" s="12">
        <f>AVERAGE(J190:M190)</f>
        <v>1.5</v>
      </c>
      <c r="S190" s="12">
        <f>AVERAGE(N190:P190)</f>
        <v>3</v>
      </c>
      <c r="T190" s="15">
        <f>COUNT(D190:I190,J190:M190,N190:P190)</f>
        <v>13</v>
      </c>
    </row>
    <row r="191">
      <c r="A191" s="6" t="str">
        <f>Records!A191</f>
        <v>P020</v>
      </c>
      <c r="B191" s="6">
        <f>Records!B191</f>
        <v>2</v>
      </c>
      <c r="C191" s="6" t="str">
        <f>Records!D191</f>
        <v>EgoAnchor</v>
      </c>
      <c r="D191" s="15">
        <f>IF(Records!E191="","",Records!E191)</f>
        <v>3</v>
      </c>
      <c r="E191" s="15">
        <f>IF(Records!F191="","",Records!F191)</f>
        <v>3</v>
      </c>
      <c r="F191" s="15">
        <f>IF(Records!G191="","",6-Records!G191)</f>
        <v>3</v>
      </c>
      <c r="G191" s="15">
        <f>IF(Records!H191="","",Records!H191)</f>
        <v>3</v>
      </c>
      <c r="H191" s="15">
        <f>IF(Records!I191="","",6-Records!I191)</f>
        <v>2</v>
      </c>
      <c r="I191" s="15">
        <f>IF(Records!J191="","",Records!J191)</f>
        <v>3</v>
      </c>
      <c r="J191" s="15">
        <f>IF(Records!K191="","",Records!K191)</f>
        <v>3</v>
      </c>
      <c r="K191" s="15">
        <f>IF(Records!L191="","",6-Records!L191)</f>
        <v>1</v>
      </c>
      <c r="L191" s="15">
        <f>IF(Records!M191="","",Records!M191)</f>
        <v>1</v>
      </c>
      <c r="M191" s="15">
        <f>IF(Records!N191="","",6-Records!N191)</f>
        <v>2</v>
      </c>
      <c r="N191" s="15">
        <f>IF(Records!O191="","",Records!O191)</f>
        <v>3</v>
      </c>
      <c r="O191" s="15">
        <f>IF(Records!P191="","",Records!P191)</f>
        <v>3</v>
      </c>
      <c r="P191" s="15">
        <f>IF(Records!Q191="","",Records!Q191)</f>
        <v>4</v>
      </c>
      <c r="Q191" s="12">
        <f>AVERAGE(D191:I191)</f>
        <v>2.8333333333333335</v>
      </c>
      <c r="R191" s="12">
        <f>AVERAGE(J191:M191)</f>
        <v>1.75</v>
      </c>
      <c r="S191" s="12">
        <f>AVERAGE(N191:P191)</f>
        <v>3.3333333333333335</v>
      </c>
      <c r="T191" s="15">
        <f>COUNT(D191:I191,J191:M191,N191:P191)</f>
        <v>13</v>
      </c>
    </row>
    <row r="192">
      <c r="A192" s="6" t="str">
        <f>Records!A192</f>
        <v>P021</v>
      </c>
      <c r="B192" s="6">
        <f>Records!B192</f>
        <v>1</v>
      </c>
      <c r="C192" s="6" t="str">
        <f>Records!D192</f>
        <v>EgoAnchor</v>
      </c>
      <c r="D192" s="15">
        <f>IF(Records!E192="","",Records!E192)</f>
        <v>5</v>
      </c>
      <c r="E192" s="15">
        <f>IF(Records!F192="","",Records!F192)</f>
        <v>5</v>
      </c>
      <c r="F192" s="15">
        <f>IF(Records!G192="","",6-Records!G192)</f>
        <v>4</v>
      </c>
      <c r="G192" s="15">
        <f>IF(Records!H192="","",Records!H192)</f>
        <v>5</v>
      </c>
      <c r="H192" s="15">
        <f>IF(Records!I192="","",6-Records!I192)</f>
        <v>5</v>
      </c>
      <c r="I192" s="15">
        <f>IF(Records!J192="","",Records!J192)</f>
        <v>3</v>
      </c>
      <c r="J192" s="15">
        <f>IF(Records!K192="","",Records!K192)</f>
        <v>5</v>
      </c>
      <c r="K192" s="15">
        <f>IF(Records!L192="","",6-Records!L192)</f>
        <v>5</v>
      </c>
      <c r="L192" s="15">
        <f>IF(Records!M192="","",Records!M192)</f>
        <v>4</v>
      </c>
      <c r="M192" s="15">
        <f>IF(Records!N192="","",6-Records!N192)</f>
        <v>5</v>
      </c>
      <c r="N192" s="15">
        <f>IF(Records!O192="","",Records!O192)</f>
        <v>5</v>
      </c>
      <c r="O192" s="15">
        <f>IF(Records!P192="","",Records!P192)</f>
        <v>7</v>
      </c>
      <c r="P192" s="15">
        <f>IF(Records!Q192="","",Records!Q192)</f>
        <v>6</v>
      </c>
      <c r="Q192" s="12">
        <f>AVERAGE(D192:I192)</f>
        <v>4.5</v>
      </c>
      <c r="R192" s="12">
        <f>AVERAGE(J192:M192)</f>
        <v>4.75</v>
      </c>
      <c r="S192" s="12">
        <f>AVERAGE(N192:P192)</f>
        <v>6</v>
      </c>
      <c r="T192" s="15">
        <f>COUNT(D192:I192,J192:M192,N192:P192)</f>
        <v>13</v>
      </c>
    </row>
    <row r="193">
      <c r="A193" s="6" t="str">
        <f>Records!A193</f>
        <v>P021</v>
      </c>
      <c r="B193" s="6">
        <f>Records!B193</f>
        <v>2</v>
      </c>
      <c r="C193" s="6" t="str">
        <f>Records!D193</f>
        <v>One-Euro</v>
      </c>
      <c r="D193" s="15">
        <f>IF(Records!E193="","",Records!E193)</f>
        <v>2</v>
      </c>
      <c r="E193" s="15">
        <f>IF(Records!F193="","",Records!F193)</f>
        <v>4</v>
      </c>
      <c r="F193" s="15">
        <f>IF(Records!G193="","",6-Records!G193)</f>
        <v>3</v>
      </c>
      <c r="G193" s="15">
        <f>IF(Records!H193="","",Records!H193)</f>
        <v>3</v>
      </c>
      <c r="H193" s="15">
        <f>IF(Records!I193="","",6-Records!I193)</f>
        <v>3</v>
      </c>
      <c r="I193" s="15">
        <f>IF(Records!J193="","",Records!J193)</f>
        <v>2</v>
      </c>
      <c r="J193" s="15">
        <f>IF(Records!K193="","",Records!K193)</f>
        <v>3</v>
      </c>
      <c r="K193" s="15">
        <f>IF(Records!L193="","",6-Records!L193)</f>
        <v>3</v>
      </c>
      <c r="L193" s="15">
        <f>IF(Records!M193="","",Records!M193)</f>
        <v>2</v>
      </c>
      <c r="M193" s="15">
        <f>IF(Records!N193="","",6-Records!N193)</f>
        <v>2</v>
      </c>
      <c r="N193" s="15">
        <f>IF(Records!O193="","",Records!O193)</f>
        <v>4</v>
      </c>
      <c r="O193" s="15">
        <f>IF(Records!P193="","",Records!P193)</f>
        <v>4</v>
      </c>
      <c r="P193" s="15">
        <f>IF(Records!Q193="","",Records!Q193)</f>
        <v>2</v>
      </c>
      <c r="Q193" s="12">
        <f>AVERAGE(D193:I193)</f>
        <v>2.8333333333333335</v>
      </c>
      <c r="R193" s="12">
        <f>AVERAGE(J193:M193)</f>
        <v>2.5</v>
      </c>
      <c r="S193" s="12">
        <f>AVERAGE(N193:P193)</f>
        <v>3.3333333333333335</v>
      </c>
      <c r="T193" s="15">
        <f>COUNT(D193:I193,J193:M193,N193:P193)</f>
        <v>13</v>
      </c>
    </row>
    <row r="194">
      <c r="A194" s="6" t="str">
        <f>Records!A194</f>
        <v>P022</v>
      </c>
      <c r="B194" s="6">
        <f>Records!B194</f>
        <v>1</v>
      </c>
      <c r="C194" s="6" t="str">
        <f>Records!D194</f>
        <v>EgoAnchor</v>
      </c>
      <c r="D194" s="15">
        <f>IF(Records!E194="","",Records!E194)</f>
        <v>3</v>
      </c>
      <c r="E194" s="15">
        <f>IF(Records!F194="","",Records!F194)</f>
        <v>4</v>
      </c>
      <c r="F194" s="15">
        <f>IF(Records!G194="","",6-Records!G194)</f>
        <v>4</v>
      </c>
      <c r="G194" s="15">
        <f>IF(Records!H194="","",Records!H194)</f>
        <v>2</v>
      </c>
      <c r="H194" s="15">
        <f>IF(Records!I194="","",6-Records!I194)</f>
        <v>3</v>
      </c>
      <c r="I194" s="15">
        <f>IF(Records!J194="","",Records!J194)</f>
        <v>3</v>
      </c>
      <c r="J194" s="15">
        <f>IF(Records!K194="","",Records!K194)</f>
        <v>2</v>
      </c>
      <c r="K194" s="15">
        <f>IF(Records!L194="","",6-Records!L194)</f>
        <v>3</v>
      </c>
      <c r="L194" s="15">
        <f>IF(Records!M194="","",Records!M194)</f>
        <v>3</v>
      </c>
      <c r="M194" s="15">
        <f>IF(Records!N194="","",6-Records!N194)</f>
        <v>2</v>
      </c>
      <c r="N194" s="15">
        <f>IF(Records!O194="","",Records!O194)</f>
        <v>4</v>
      </c>
      <c r="O194" s="15">
        <f>IF(Records!P194="","",Records!P194)</f>
        <v>4</v>
      </c>
      <c r="P194" s="15">
        <f>IF(Records!Q194="","",Records!Q194)</f>
        <v>4</v>
      </c>
      <c r="Q194" s="12">
        <f>AVERAGE(D194:I194)</f>
        <v>3.1666666666666665</v>
      </c>
      <c r="R194" s="12">
        <f>AVERAGE(J194:M194)</f>
        <v>2.5</v>
      </c>
      <c r="S194" s="12">
        <f>AVERAGE(N194:P194)</f>
        <v>4</v>
      </c>
      <c r="T194" s="15">
        <f>COUNT(D194:I194,J194:M194,N194:P194)</f>
        <v>13</v>
      </c>
    </row>
    <row r="195">
      <c r="A195" s="6" t="str">
        <f>Records!A195</f>
        <v>P022</v>
      </c>
      <c r="B195" s="6">
        <f>Records!B195</f>
        <v>2</v>
      </c>
      <c r="C195" s="6" t="str">
        <f>Records!D195</f>
        <v>One-Euro</v>
      </c>
      <c r="D195" s="15">
        <f>IF(Records!E195="","",Records!E195)</f>
        <v>3</v>
      </c>
      <c r="E195" s="15">
        <f>IF(Records!F195="","",Records!F195)</f>
        <v>3</v>
      </c>
      <c r="F195" s="15">
        <f>IF(Records!G195="","",6-Records!G195)</f>
        <v>3</v>
      </c>
      <c r="G195" s="15">
        <f>IF(Records!H195="","",Records!H195)</f>
        <v>2</v>
      </c>
      <c r="H195" s="15">
        <f>IF(Records!I195="","",6-Records!I195)</f>
        <v>3</v>
      </c>
      <c r="I195" s="15">
        <f>IF(Records!J195="","",Records!J195)</f>
        <v>3</v>
      </c>
      <c r="J195" s="15">
        <f>IF(Records!K195="","",Records!K195)</f>
        <v>2</v>
      </c>
      <c r="K195" s="15">
        <f>IF(Records!L195="","",6-Records!L195)</f>
        <v>3</v>
      </c>
      <c r="L195" s="15">
        <f>IF(Records!M195="","",Records!M195)</f>
        <v>3</v>
      </c>
      <c r="M195" s="15">
        <f>IF(Records!N195="","",6-Records!N195)</f>
        <v>2</v>
      </c>
      <c r="N195" s="15">
        <f>IF(Records!O195="","",Records!O195)</f>
        <v>4</v>
      </c>
      <c r="O195" s="15">
        <f>IF(Records!P195="","",Records!P195)</f>
        <v>3</v>
      </c>
      <c r="P195" s="15">
        <f>IF(Records!Q195="","",Records!Q195)</f>
        <v>3</v>
      </c>
      <c r="Q195" s="12">
        <f>AVERAGE(D195:I195)</f>
        <v>2.8333333333333335</v>
      </c>
      <c r="R195" s="12">
        <f>AVERAGE(J195:M195)</f>
        <v>2.5</v>
      </c>
      <c r="S195" s="12">
        <f>AVERAGE(N195:P195)</f>
        <v>3.3333333333333335</v>
      </c>
      <c r="T195" s="15">
        <f>COUNT(D195:I195,J195:M195,N195:P195)</f>
        <v>13</v>
      </c>
    </row>
    <row r="196">
      <c r="A196" s="6" t="str">
        <f>Records!A196</f>
        <v>P023</v>
      </c>
      <c r="B196" s="6">
        <f>Records!B196</f>
        <v>1</v>
      </c>
      <c r="C196" s="6" t="str">
        <f>Records!D196</f>
        <v>One-Euro</v>
      </c>
      <c r="D196" s="15">
        <f>IF(Records!E196="","",Records!E196)</f>
        <v>4</v>
      </c>
      <c r="E196" s="15">
        <f>IF(Records!F196="","",Records!F196)</f>
        <v>5</v>
      </c>
      <c r="F196" s="15">
        <f>IF(Records!G196="","",6-Records!G196)</f>
        <v>4</v>
      </c>
      <c r="G196" s="15">
        <f>IF(Records!H196="","",Records!H196)</f>
        <v>4</v>
      </c>
      <c r="H196" s="15">
        <f>IF(Records!I196="","",6-Records!I196)</f>
        <v>4</v>
      </c>
      <c r="I196" s="15">
        <f>IF(Records!J196="","",Records!J196)</f>
        <v>4</v>
      </c>
      <c r="J196" s="15">
        <f>IF(Records!K196="","",Records!K196)</f>
        <v>4</v>
      </c>
      <c r="K196" s="15">
        <f>IF(Records!L196="","",6-Records!L196)</f>
        <v>5</v>
      </c>
      <c r="L196" s="15">
        <f>IF(Records!M196="","",Records!M196)</f>
        <v>4</v>
      </c>
      <c r="M196" s="15">
        <f>IF(Records!N196="","",6-Records!N196)</f>
        <v>4</v>
      </c>
      <c r="N196" s="15">
        <f>IF(Records!O196="","",Records!O196)</f>
        <v>7</v>
      </c>
      <c r="O196" s="15">
        <f>IF(Records!P196="","",Records!P196)</f>
        <v>7</v>
      </c>
      <c r="P196" s="15">
        <f>IF(Records!Q196="","",Records!Q196)</f>
        <v>5</v>
      </c>
      <c r="Q196" s="12">
        <f>AVERAGE(D196:I196)</f>
        <v>4.166666666666667</v>
      </c>
      <c r="R196" s="12">
        <f>AVERAGE(J196:M196)</f>
        <v>4.25</v>
      </c>
      <c r="S196" s="12">
        <f>AVERAGE(N196:P196)</f>
        <v>6.333333333333333</v>
      </c>
      <c r="T196" s="15">
        <f>COUNT(D196:I196,J196:M196,N196:P196)</f>
        <v>13</v>
      </c>
    </row>
    <row r="197">
      <c r="A197" s="6" t="str">
        <f>Records!A197</f>
        <v>P023</v>
      </c>
      <c r="B197" s="6">
        <f>Records!B197</f>
        <v>2</v>
      </c>
      <c r="C197" s="6" t="str">
        <f>Records!D197</f>
        <v>EgoAnchor</v>
      </c>
      <c r="D197" s="15">
        <f>IF(Records!E197="","",Records!E197)</f>
        <v>5</v>
      </c>
      <c r="E197" s="15">
        <f>IF(Records!F197="","",Records!F197)</f>
        <v>5</v>
      </c>
      <c r="F197" s="15">
        <f>IF(Records!G197="","",6-Records!G197)</f>
        <v>5</v>
      </c>
      <c r="G197" s="15">
        <f>IF(Records!H197="","",Records!H197)</f>
        <v>5</v>
      </c>
      <c r="H197" s="15">
        <f>IF(Records!I197="","",6-Records!I197)</f>
        <v>5</v>
      </c>
      <c r="I197" s="15">
        <f>IF(Records!J197="","",Records!J197)</f>
        <v>4</v>
      </c>
      <c r="J197" s="15">
        <f>IF(Records!K197="","",Records!K197)</f>
        <v>5</v>
      </c>
      <c r="K197" s="15">
        <f>IF(Records!L197="","",6-Records!L197)</f>
        <v>5</v>
      </c>
      <c r="L197" s="15">
        <f>IF(Records!M197="","",Records!M197)</f>
        <v>5</v>
      </c>
      <c r="M197" s="15">
        <f>IF(Records!N197="","",6-Records!N197)</f>
        <v>5</v>
      </c>
      <c r="N197" s="15">
        <f>IF(Records!O197="","",Records!O197)</f>
        <v>7</v>
      </c>
      <c r="O197" s="15">
        <f>IF(Records!P197="","",Records!P197)</f>
        <v>7</v>
      </c>
      <c r="P197" s="15">
        <f>IF(Records!Q197="","",Records!Q197)</f>
        <v>6</v>
      </c>
      <c r="Q197" s="12">
        <f>AVERAGE(D197:I197)</f>
        <v>4.833333333333333</v>
      </c>
      <c r="R197" s="12">
        <f>AVERAGE(J197:M197)</f>
        <v>5</v>
      </c>
      <c r="S197" s="12">
        <f>AVERAGE(N197:P197)</f>
        <v>6.666666666666667</v>
      </c>
      <c r="T197" s="15">
        <f>COUNT(D197:I197,J197:M197,N197:P197)</f>
        <v>13</v>
      </c>
    </row>
    <row r="198">
      <c r="A198" s="6" t="str">
        <f>Records!A198</f>
        <v>P024</v>
      </c>
      <c r="B198" s="6">
        <f>Records!B198</f>
        <v>1</v>
      </c>
      <c r="C198" s="6" t="str">
        <f>Records!D198</f>
        <v>One-Euro</v>
      </c>
      <c r="D198" s="15">
        <f>IF(Records!E198="","",Records!E198)</f>
        <v>5</v>
      </c>
      <c r="E198" s="15">
        <f>IF(Records!F198="","",Records!F198)</f>
        <v>5</v>
      </c>
      <c r="F198" s="15">
        <f>IF(Records!G198="","",6-Records!G198)</f>
        <v>5</v>
      </c>
      <c r="G198" s="15">
        <f>IF(Records!H198="","",Records!H198)</f>
        <v>5</v>
      </c>
      <c r="H198" s="15">
        <f>IF(Records!I198="","",6-Records!I198)</f>
        <v>5</v>
      </c>
      <c r="I198" s="15">
        <f>IF(Records!J198="","",Records!J198)</f>
        <v>5</v>
      </c>
      <c r="J198" s="15">
        <f>IF(Records!K198="","",Records!K198)</f>
        <v>5</v>
      </c>
      <c r="K198" s="15">
        <f>IF(Records!L198="","",6-Records!L198)</f>
        <v>5</v>
      </c>
      <c r="L198" s="15">
        <f>IF(Records!M198="","",Records!M198)</f>
        <v>4</v>
      </c>
      <c r="M198" s="15">
        <f>IF(Records!N198="","",6-Records!N198)</f>
        <v>4</v>
      </c>
      <c r="N198" s="15">
        <f>IF(Records!O198="","",Records!O198)</f>
        <v>7</v>
      </c>
      <c r="O198" s="15">
        <f>IF(Records!P198="","",Records!P198)</f>
        <v>7</v>
      </c>
      <c r="P198" s="15">
        <f>IF(Records!Q198="","",Records!Q198)</f>
        <v>7</v>
      </c>
      <c r="Q198" s="12">
        <f>AVERAGE(D198:I198)</f>
        <v>5</v>
      </c>
      <c r="R198" s="12">
        <f>AVERAGE(J198:M198)</f>
        <v>4.5</v>
      </c>
      <c r="S198" s="12">
        <f>AVERAGE(N198:P198)</f>
        <v>7</v>
      </c>
      <c r="T198" s="15">
        <f>COUNT(D198:I198,J198:M198,N198:P198)</f>
        <v>13</v>
      </c>
    </row>
    <row r="199">
      <c r="A199" s="6" t="str">
        <f>Records!A199</f>
        <v>P024</v>
      </c>
      <c r="B199" s="6">
        <f>Records!B199</f>
        <v>2</v>
      </c>
      <c r="C199" s="6" t="str">
        <f>Records!D199</f>
        <v>EgoAnchor</v>
      </c>
      <c r="D199" s="15">
        <f>IF(Records!E199="","",Records!E199)</f>
        <v>5</v>
      </c>
      <c r="E199" s="15">
        <f>IF(Records!F199="","",Records!F199)</f>
        <v>5</v>
      </c>
      <c r="F199" s="15">
        <f>IF(Records!G199="","",6-Records!G199)</f>
        <v>4</v>
      </c>
      <c r="G199" s="15">
        <f>IF(Records!H199="","",Records!H199)</f>
        <v>5</v>
      </c>
      <c r="H199" s="15">
        <f>IF(Records!I199="","",6-Records!I199)</f>
        <v>4</v>
      </c>
      <c r="I199" s="15">
        <f>IF(Records!J199="","",Records!J199)</f>
        <v>5</v>
      </c>
      <c r="J199" s="15">
        <f>IF(Records!K199="","",Records!K199)</f>
        <v>5</v>
      </c>
      <c r="K199" s="15">
        <f>IF(Records!L199="","",6-Records!L199)</f>
        <v>5</v>
      </c>
      <c r="L199" s="15">
        <f>IF(Records!M199="","",Records!M199)</f>
        <v>5</v>
      </c>
      <c r="M199" s="15">
        <f>IF(Records!N199="","",6-Records!N199)</f>
        <v>5</v>
      </c>
      <c r="N199" s="15">
        <f>IF(Records!O199="","",Records!O199)</f>
        <v>6</v>
      </c>
      <c r="O199" s="15">
        <f>IF(Records!P199="","",Records!P199)</f>
        <v>7</v>
      </c>
      <c r="P199" s="15">
        <f>IF(Records!Q199="","",Records!Q199)</f>
        <v>7</v>
      </c>
      <c r="Q199" s="12">
        <f>AVERAGE(D199:I199)</f>
        <v>4.666666666666667</v>
      </c>
      <c r="R199" s="12">
        <f>AVERAGE(J199:M199)</f>
        <v>5</v>
      </c>
      <c r="S199" s="12">
        <f>AVERAGE(N199:P199)</f>
        <v>6.666666666666667</v>
      </c>
      <c r="T199" s="15">
        <f>COUNT(D199:I199,J199:M199,N199:P199)</f>
        <v>13</v>
      </c>
    </row>
    <row r="201">
      <c r="A201" s="7" t="inlineStr">
        <is>
          <t>D3. 每人每方法（48 行 = 24 人 × 2 方法）：按计划书 6.2 在三个物体上取**均值**（非中位数——三点中位数只落在刻度点上，产生大量配对结平损失效能）。前 24 行 = EgoAnchor，后 24 行 = One-Euro，与 D4 逐行配对</t>
        </is>
      </c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</row>
    <row r="202">
      <c r="A202" s="9" t="inlineStr">
        <is>
          <t>Participant_ID</t>
        </is>
      </c>
      <c r="B202" s="9" t="inlineStr">
        <is>
          <t>Condition</t>
        </is>
      </c>
      <c r="C202" s="9" t="inlineStr">
        <is>
          <t>Q1</t>
        </is>
      </c>
      <c r="D202" s="9" t="inlineStr">
        <is>
          <t>Q2</t>
        </is>
      </c>
      <c r="E202" s="9" t="inlineStr">
        <is>
          <t>Q9</t>
        </is>
      </c>
      <c r="F202" s="9" t="inlineStr">
        <is>
          <t>AQ_IQ2</t>
        </is>
      </c>
      <c r="G202" s="9" t="inlineStr">
        <is>
          <t>AQ_IQ3</t>
        </is>
      </c>
      <c r="H202" s="9" t="inlineStr">
        <is>
          <t>Q3</t>
        </is>
      </c>
      <c r="I202" s="9" t="inlineStr">
        <is>
          <t>Q8</t>
        </is>
      </c>
      <c r="J202" s="9" t="inlineStr">
        <is>
          <t>AQ_EQ1</t>
        </is>
      </c>
      <c r="K202" s="9" t="inlineStr">
        <is>
          <t>AQ_EQ2</t>
        </is>
      </c>
      <c r="L202" s="9" t="inlineStr">
        <is>
          <t>AQ_EQ3</t>
        </is>
      </c>
      <c r="M202" s="9" t="inlineStr">
        <is>
          <t>AQ_IQ1</t>
        </is>
      </c>
      <c r="N202" s="9" t="inlineStr">
        <is>
          <t>Q6</t>
        </is>
      </c>
      <c r="O202" s="9" t="inlineStr">
        <is>
          <t>Q7</t>
        </is>
      </c>
      <c r="P202" s="9" t="inlineStr">
        <is>
          <t>AQ_EQ</t>
        </is>
      </c>
      <c r="Q202" s="9" t="inlineStr">
        <is>
          <t>AQ_IQ</t>
        </is>
      </c>
      <c r="R202" s="9" t="inlineStr">
        <is>
          <t>TIA_RC</t>
        </is>
      </c>
      <c r="S202" s="9" t="inlineStr">
        <is>
          <t>TIA_UP</t>
        </is>
      </c>
      <c r="T202" s="9" t="inlineStr">
        <is>
          <t>STIAS</t>
        </is>
      </c>
    </row>
    <row r="203">
      <c r="A203" s="6" t="inlineStr">
        <is>
          <t>P001</t>
        </is>
      </c>
      <c r="B203" s="6" t="inlineStr">
        <is>
          <t>EgoAnchor</t>
        </is>
      </c>
      <c r="C203" s="12">
        <f>AVERAGEIFS(Records!$K$5:$K$148,Records!$A$5:$A$148,$A203,Records!$H$5:$H$148,$B203)</f>
        <v>5</v>
      </c>
      <c r="D203" s="12">
        <f>AVERAGEIFS(Records!$L$5:$L$148,Records!$A$5:$A$148,$A203,Records!$H$5:$H$148,$B203)</f>
        <v>5</v>
      </c>
      <c r="E203" s="12">
        <f>AVERAGEIFS(Records!$M$5:$M$148,Records!$A$5:$A$148,$A203,Records!$H$5:$H$148,$B203)</f>
        <v>5.333333333333333</v>
      </c>
      <c r="F203" s="12">
        <f>AVERAGEIFS(Records!$O$5:$O$148,Records!$A$5:$A$148,$A203,Records!$H$5:$H$148,$B203)</f>
        <v>5.333333333333333</v>
      </c>
      <c r="G203" s="12">
        <f>AVERAGEIFS(Records!$P$5:$P$148,Records!$A$5:$A$148,$A203,Records!$H$5:$H$148,$B203)</f>
        <v>5.333333333333333</v>
      </c>
      <c r="H203" s="12">
        <f>AVERAGEIFS(Records!$Q$5:$Q$148,Records!$A$5:$A$148,$A203,Records!$H$5:$H$148,$B203)</f>
        <v>5.333333333333333</v>
      </c>
      <c r="I203" s="12">
        <f>AVERAGEIFS(Records!$R$5:$R$148,Records!$A$5:$A$148,$A203,Records!$H$5:$H$148,$B203)</f>
        <v>6</v>
      </c>
      <c r="J203" s="12">
        <f>AVERAGEIFS(Records!$S$5:$S$148,Records!$A$5:$A$148,$A203,Records!$H$5:$H$148,$B203)</f>
        <v>5.666666666666667</v>
      </c>
      <c r="K203" s="12">
        <f>AVERAGEIFS(Records!$T$5:$T$148,Records!$A$5:$A$148,$A203,Records!$H$5:$H$148,$B203)</f>
        <v>5.333333333333333</v>
      </c>
      <c r="L203" s="12">
        <f>AVERAGEIFS(Records!$U$5:$U$148,Records!$A$5:$A$148,$A203,Records!$H$5:$H$148,$B203)</f>
        <v>6</v>
      </c>
      <c r="M203" s="12">
        <f>AVERAGEIFS(Records!$V$5:$V$148,Records!$A$5:$A$148,$A203,Records!$H$5:$H$148,$B203)</f>
        <v>5.666666666666667</v>
      </c>
      <c r="N203" s="12">
        <f>AVERAGEIFS(Records!$W$5:$W$148,Records!$A$5:$A$148,$A203,Records!$H$5:$H$148,$B203)</f>
        <v>5.666666666666667</v>
      </c>
      <c r="O203" s="12">
        <f>AVERAGEIFS(Records!$X$5:$X$148,Records!$A$5:$A$148,$A203,Records!$H$5:$H$148,$B203)</f>
        <v>4.666666666666667</v>
      </c>
      <c r="P203" s="12">
        <f>AVERAGEIFS($E$5:$E$148,$A$5:$A$148,$A203,$C$5:$C$148,$B203)</f>
        <v>5.666666666666667</v>
      </c>
      <c r="Q203" s="12">
        <f>AVERAGEIFS($F$5:$F$148,$A$5:$A$148,$A203,$C$5:$C$148,$B203)</f>
        <v>5.444444444444444</v>
      </c>
      <c r="R203" s="12">
        <f>AVERAGEIFS($Q$152:$Q$199,$A$152:$A$199,$A203,$C$152:$C$199,$B203)</f>
        <v>4</v>
      </c>
      <c r="S203" s="12">
        <f>AVERAGEIFS($R$152:$R$199,$A$152:$A$199,$A203,$C$152:$C$199,$B203)</f>
        <v>3.5</v>
      </c>
      <c r="T203" s="12">
        <f>AVERAGEIFS($S$152:$S$199,$A$152:$A$199,$A203,$C$152:$C$199,$B203)</f>
        <v>5.666666666666667</v>
      </c>
    </row>
    <row r="204">
      <c r="A204" s="6" t="inlineStr">
        <is>
          <t>P002</t>
        </is>
      </c>
      <c r="B204" s="6" t="inlineStr">
        <is>
          <t>EgoAnchor</t>
        </is>
      </c>
      <c r="C204" s="12">
        <f>AVERAGEIFS(Records!$K$5:$K$148,Records!$A$5:$A$148,$A204,Records!$H$5:$H$148,$B204)</f>
        <v>5.333333333333333</v>
      </c>
      <c r="D204" s="12">
        <f>AVERAGEIFS(Records!$L$5:$L$148,Records!$A$5:$A$148,$A204,Records!$H$5:$H$148,$B204)</f>
        <v>4.333333333333333</v>
      </c>
      <c r="E204" s="12">
        <f>AVERAGEIFS(Records!$M$5:$M$148,Records!$A$5:$A$148,$A204,Records!$H$5:$H$148,$B204)</f>
        <v>4</v>
      </c>
      <c r="F204" s="12">
        <f>AVERAGEIFS(Records!$O$5:$O$148,Records!$A$5:$A$148,$A204,Records!$H$5:$H$148,$B204)</f>
        <v>4.333333333333333</v>
      </c>
      <c r="G204" s="12">
        <f>AVERAGEIFS(Records!$P$5:$P$148,Records!$A$5:$A$148,$A204,Records!$H$5:$H$148,$B204)</f>
        <v>4.333333333333333</v>
      </c>
      <c r="H204" s="12">
        <f>AVERAGEIFS(Records!$Q$5:$Q$148,Records!$A$5:$A$148,$A204,Records!$H$5:$H$148,$B204)</f>
        <v>4</v>
      </c>
      <c r="I204" s="12">
        <f>AVERAGEIFS(Records!$R$5:$R$148,Records!$A$5:$A$148,$A204,Records!$H$5:$H$148,$B204)</f>
        <v>4</v>
      </c>
      <c r="J204" s="12">
        <f>AVERAGEIFS(Records!$S$5:$S$148,Records!$A$5:$A$148,$A204,Records!$H$5:$H$148,$B204)</f>
        <v>3</v>
      </c>
      <c r="K204" s="12">
        <f>AVERAGEIFS(Records!$T$5:$T$148,Records!$A$5:$A$148,$A204,Records!$H$5:$H$148,$B204)</f>
        <v>4</v>
      </c>
      <c r="L204" s="12">
        <f>AVERAGEIFS(Records!$U$5:$U$148,Records!$A$5:$A$148,$A204,Records!$H$5:$H$148,$B204)</f>
        <v>5.333333333333333</v>
      </c>
      <c r="M204" s="12">
        <f>AVERAGEIFS(Records!$V$5:$V$148,Records!$A$5:$A$148,$A204,Records!$H$5:$H$148,$B204)</f>
        <v>5</v>
      </c>
      <c r="N204" s="12">
        <f>AVERAGEIFS(Records!$W$5:$W$148,Records!$A$5:$A$148,$A204,Records!$H$5:$H$148,$B204)</f>
        <v>3.3333333333333335</v>
      </c>
      <c r="O204" s="12">
        <f>AVERAGEIFS(Records!$X$5:$X$148,Records!$A$5:$A$148,$A204,Records!$H$5:$H$148,$B204)</f>
        <v>3.6666666666666665</v>
      </c>
      <c r="P204" s="12">
        <f>AVERAGEIFS($E$5:$E$148,$A$5:$A$148,$A204,$C$5:$C$148,$B204)</f>
        <v>4.111111111111111</v>
      </c>
      <c r="Q204" s="12">
        <f>AVERAGEIFS($F$5:$F$148,$A$5:$A$148,$A204,$C$5:$C$148,$B204)</f>
        <v>4.555555555555555</v>
      </c>
      <c r="R204" s="12">
        <f>AVERAGEIFS($Q$152:$Q$199,$A$152:$A$199,$A204,$C$152:$C$199,$B204)</f>
        <v>3</v>
      </c>
      <c r="S204" s="12">
        <f>AVERAGEIFS($R$152:$R$199,$A$152:$A$199,$A204,$C$152:$C$199,$B204)</f>
        <v>3</v>
      </c>
      <c r="T204" s="12">
        <f>AVERAGEIFS($S$152:$S$199,$A$152:$A$199,$A204,$C$152:$C$199,$B204)</f>
        <v>4</v>
      </c>
    </row>
    <row r="205">
      <c r="A205" s="6" t="inlineStr">
        <is>
          <t>P003</t>
        </is>
      </c>
      <c r="B205" s="6" t="inlineStr">
        <is>
          <t>EgoAnchor</t>
        </is>
      </c>
      <c r="C205" s="12">
        <f>AVERAGEIFS(Records!$K$5:$K$148,Records!$A$5:$A$148,$A205,Records!$H$5:$H$148,$B205)</f>
        <v>7</v>
      </c>
      <c r="D205" s="12">
        <f>AVERAGEIFS(Records!$L$5:$L$148,Records!$A$5:$A$148,$A205,Records!$H$5:$H$148,$B205)</f>
        <v>5.666666666666667</v>
      </c>
      <c r="E205" s="12">
        <f>AVERAGEIFS(Records!$M$5:$M$148,Records!$A$5:$A$148,$A205,Records!$H$5:$H$148,$B205)</f>
        <v>5.666666666666667</v>
      </c>
      <c r="F205" s="12">
        <f>AVERAGEIFS(Records!$O$5:$O$148,Records!$A$5:$A$148,$A205,Records!$H$5:$H$148,$B205)</f>
        <v>5</v>
      </c>
      <c r="G205" s="12">
        <f>AVERAGEIFS(Records!$P$5:$P$148,Records!$A$5:$A$148,$A205,Records!$H$5:$H$148,$B205)</f>
        <v>6</v>
      </c>
      <c r="H205" s="12">
        <f>AVERAGEIFS(Records!$Q$5:$Q$148,Records!$A$5:$A$148,$A205,Records!$H$5:$H$148,$B205)</f>
        <v>7</v>
      </c>
      <c r="I205" s="12">
        <f>AVERAGEIFS(Records!$R$5:$R$148,Records!$A$5:$A$148,$A205,Records!$H$5:$H$148,$B205)</f>
        <v>6</v>
      </c>
      <c r="J205" s="12">
        <f>AVERAGEIFS(Records!$S$5:$S$148,Records!$A$5:$A$148,$A205,Records!$H$5:$H$148,$B205)</f>
        <v>4.666666666666667</v>
      </c>
      <c r="K205" s="12">
        <f>AVERAGEIFS(Records!$T$5:$T$148,Records!$A$5:$A$148,$A205,Records!$H$5:$H$148,$B205)</f>
        <v>6</v>
      </c>
      <c r="L205" s="12">
        <f>AVERAGEIFS(Records!$U$5:$U$148,Records!$A$5:$A$148,$A205,Records!$H$5:$H$148,$B205)</f>
        <v>6.666666666666667</v>
      </c>
      <c r="M205" s="12">
        <f>AVERAGEIFS(Records!$V$5:$V$148,Records!$A$5:$A$148,$A205,Records!$H$5:$H$148,$B205)</f>
        <v>5</v>
      </c>
      <c r="N205" s="12">
        <f>AVERAGEIFS(Records!$W$5:$W$148,Records!$A$5:$A$148,$A205,Records!$H$5:$H$148,$B205)</f>
        <v>6.666666666666667</v>
      </c>
      <c r="O205" s="12">
        <f>AVERAGEIFS(Records!$X$5:$X$148,Records!$A$5:$A$148,$A205,Records!$H$5:$H$148,$B205)</f>
        <v>6.333333333333333</v>
      </c>
      <c r="P205" s="12">
        <f>AVERAGEIFS($E$5:$E$148,$A$5:$A$148,$A205,$C$5:$C$148,$B205)</f>
        <v>5.777777777777779</v>
      </c>
      <c r="Q205" s="12">
        <f>AVERAGEIFS($F$5:$F$148,$A$5:$A$148,$A205,$C$5:$C$148,$B205)</f>
        <v>5.333333333333333</v>
      </c>
      <c r="R205" s="12">
        <f>AVERAGEIFS($Q$152:$Q$199,$A$152:$A$199,$A205,$C$152:$C$199,$B205)</f>
        <v>4.666666666666667</v>
      </c>
      <c r="S205" s="12">
        <f>AVERAGEIFS($R$152:$R$199,$A$152:$A$199,$A205,$C$152:$C$199,$B205)</f>
        <v>4.75</v>
      </c>
      <c r="T205" s="12">
        <f>AVERAGEIFS($S$152:$S$199,$A$152:$A$199,$A205,$C$152:$C$199,$B205)</f>
        <v>6.333333333333333</v>
      </c>
    </row>
    <row r="206">
      <c r="A206" s="6" t="inlineStr">
        <is>
          <t>P004</t>
        </is>
      </c>
      <c r="B206" s="6" t="inlineStr">
        <is>
          <t>EgoAnchor</t>
        </is>
      </c>
      <c r="C206" s="12">
        <f>AVERAGEIFS(Records!$K$5:$K$148,Records!$A$5:$A$148,$A206,Records!$H$5:$H$148,$B206)</f>
        <v>4</v>
      </c>
      <c r="D206" s="12">
        <f>AVERAGEIFS(Records!$L$5:$L$148,Records!$A$5:$A$148,$A206,Records!$H$5:$H$148,$B206)</f>
        <v>3.6666666666666665</v>
      </c>
      <c r="E206" s="12">
        <f>AVERAGEIFS(Records!$M$5:$M$148,Records!$A$5:$A$148,$A206,Records!$H$5:$H$148,$B206)</f>
        <v>3.3333333333333335</v>
      </c>
      <c r="F206" s="12">
        <f>AVERAGEIFS(Records!$O$5:$O$148,Records!$A$5:$A$148,$A206,Records!$H$5:$H$148,$B206)</f>
        <v>4</v>
      </c>
      <c r="G206" s="12">
        <f>AVERAGEIFS(Records!$P$5:$P$148,Records!$A$5:$A$148,$A206,Records!$H$5:$H$148,$B206)</f>
        <v>4.333333333333333</v>
      </c>
      <c r="H206" s="12">
        <f>AVERAGEIFS(Records!$Q$5:$Q$148,Records!$A$5:$A$148,$A206,Records!$H$5:$H$148,$B206)</f>
        <v>3.6666666666666665</v>
      </c>
      <c r="I206" s="12">
        <f>AVERAGEIFS(Records!$R$5:$R$148,Records!$A$5:$A$148,$A206,Records!$H$5:$H$148,$B206)</f>
        <v>4.666666666666667</v>
      </c>
      <c r="J206" s="12">
        <f>AVERAGEIFS(Records!$S$5:$S$148,Records!$A$5:$A$148,$A206,Records!$H$5:$H$148,$B206)</f>
        <v>5</v>
      </c>
      <c r="K206" s="12">
        <f>AVERAGEIFS(Records!$T$5:$T$148,Records!$A$5:$A$148,$A206,Records!$H$5:$H$148,$B206)</f>
        <v>4.666666666666667</v>
      </c>
      <c r="L206" s="12">
        <f>AVERAGEIFS(Records!$U$5:$U$148,Records!$A$5:$A$148,$A206,Records!$H$5:$H$148,$B206)</f>
        <v>4.666666666666667</v>
      </c>
      <c r="M206" s="12">
        <f>AVERAGEIFS(Records!$V$5:$V$148,Records!$A$5:$A$148,$A206,Records!$H$5:$H$148,$B206)</f>
        <v>4.666666666666667</v>
      </c>
      <c r="N206" s="12">
        <f>AVERAGEIFS(Records!$W$5:$W$148,Records!$A$5:$A$148,$A206,Records!$H$5:$H$148,$B206)</f>
        <v>4.666666666666667</v>
      </c>
      <c r="O206" s="12">
        <f>AVERAGEIFS(Records!$X$5:$X$148,Records!$A$5:$A$148,$A206,Records!$H$5:$H$148,$B206)</f>
        <v>3.3333333333333335</v>
      </c>
      <c r="P206" s="12">
        <f>AVERAGEIFS($E$5:$E$148,$A$5:$A$148,$A206,$C$5:$C$148,$B206)</f>
        <v>4.777777777777778</v>
      </c>
      <c r="Q206" s="12">
        <f>AVERAGEIFS($F$5:$F$148,$A$5:$A$148,$A206,$C$5:$C$148,$B206)</f>
        <v>4.333333333333333</v>
      </c>
      <c r="R206" s="12">
        <f>AVERAGEIFS($Q$152:$Q$199,$A$152:$A$199,$A206,$C$152:$C$199,$B206)</f>
        <v>2.5</v>
      </c>
      <c r="S206" s="12">
        <f>AVERAGEIFS($R$152:$R$199,$A$152:$A$199,$A206,$C$152:$C$199,$B206)</f>
        <v>2.5</v>
      </c>
      <c r="T206" s="12">
        <f>AVERAGEIFS($S$152:$S$199,$A$152:$A$199,$A206,$C$152:$C$199,$B206)</f>
        <v>4.333333333333333</v>
      </c>
    </row>
    <row r="207">
      <c r="A207" s="6" t="inlineStr">
        <is>
          <t>P005</t>
        </is>
      </c>
      <c r="B207" s="6" t="inlineStr">
        <is>
          <t>EgoAnchor</t>
        </is>
      </c>
      <c r="C207" s="12">
        <f>AVERAGEIFS(Records!$K$5:$K$148,Records!$A$5:$A$148,$A207,Records!$H$5:$H$148,$B207)</f>
        <v>4.333333333333333</v>
      </c>
      <c r="D207" s="12">
        <f>AVERAGEIFS(Records!$L$5:$L$148,Records!$A$5:$A$148,$A207,Records!$H$5:$H$148,$B207)</f>
        <v>2.3333333333333335</v>
      </c>
      <c r="E207" s="12">
        <f>AVERAGEIFS(Records!$M$5:$M$148,Records!$A$5:$A$148,$A207,Records!$H$5:$H$148,$B207)</f>
        <v>2.6666666666666665</v>
      </c>
      <c r="F207" s="12">
        <f>AVERAGEIFS(Records!$O$5:$O$148,Records!$A$5:$A$148,$A207,Records!$H$5:$H$148,$B207)</f>
        <v>3.3333333333333335</v>
      </c>
      <c r="G207" s="12">
        <f>AVERAGEIFS(Records!$P$5:$P$148,Records!$A$5:$A$148,$A207,Records!$H$5:$H$148,$B207)</f>
        <v>5</v>
      </c>
      <c r="H207" s="12">
        <f>AVERAGEIFS(Records!$Q$5:$Q$148,Records!$A$5:$A$148,$A207,Records!$H$5:$H$148,$B207)</f>
        <v>4.666666666666667</v>
      </c>
      <c r="I207" s="12">
        <f>AVERAGEIFS(Records!$R$5:$R$148,Records!$A$5:$A$148,$A207,Records!$H$5:$H$148,$B207)</f>
        <v>4.333333333333333</v>
      </c>
      <c r="J207" s="12">
        <f>AVERAGEIFS(Records!$S$5:$S$148,Records!$A$5:$A$148,$A207,Records!$H$5:$H$148,$B207)</f>
        <v>4</v>
      </c>
      <c r="K207" s="12">
        <f>AVERAGEIFS(Records!$T$5:$T$148,Records!$A$5:$A$148,$A207,Records!$H$5:$H$148,$B207)</f>
        <v>4.666666666666667</v>
      </c>
      <c r="L207" s="12">
        <f>AVERAGEIFS(Records!$U$5:$U$148,Records!$A$5:$A$148,$A207,Records!$H$5:$H$148,$B207)</f>
        <v>4</v>
      </c>
      <c r="M207" s="12">
        <f>AVERAGEIFS(Records!$V$5:$V$148,Records!$A$5:$A$148,$A207,Records!$H$5:$H$148,$B207)</f>
        <v>2.3333333333333335</v>
      </c>
      <c r="N207" s="12">
        <f>AVERAGEIFS(Records!$W$5:$W$148,Records!$A$5:$A$148,$A207,Records!$H$5:$H$148,$B207)</f>
        <v>4.666666666666667</v>
      </c>
      <c r="O207" s="12">
        <f>AVERAGEIFS(Records!$X$5:$X$148,Records!$A$5:$A$148,$A207,Records!$H$5:$H$148,$B207)</f>
        <v>4.666666666666667</v>
      </c>
      <c r="P207" s="12">
        <f>AVERAGEIFS($E$5:$E$148,$A$5:$A$148,$A207,$C$5:$C$148,$B207)</f>
        <v>4.222222222222222</v>
      </c>
      <c r="Q207" s="12">
        <f>AVERAGEIFS($F$5:$F$148,$A$5:$A$148,$A207,$C$5:$C$148,$B207)</f>
        <v>3.5555555555555554</v>
      </c>
      <c r="R207" s="12">
        <f>AVERAGEIFS($Q$152:$Q$199,$A$152:$A$199,$A207,$C$152:$C$199,$B207)</f>
        <v>2.8333333333333335</v>
      </c>
      <c r="S207" s="12">
        <f>AVERAGEIFS($R$152:$R$199,$A$152:$A$199,$A207,$C$152:$C$199,$B207)</f>
        <v>2.25</v>
      </c>
      <c r="T207" s="12">
        <f>AVERAGEIFS($S$152:$S$199,$A$152:$A$199,$A207,$C$152:$C$199,$B207)</f>
        <v>3.3333333333333335</v>
      </c>
    </row>
    <row r="208">
      <c r="A208" s="6" t="inlineStr">
        <is>
          <t>P006</t>
        </is>
      </c>
      <c r="B208" s="6" t="inlineStr">
        <is>
          <t>EgoAnchor</t>
        </is>
      </c>
      <c r="C208" s="12">
        <f>AVERAGEIFS(Records!$K$5:$K$148,Records!$A$5:$A$148,$A208,Records!$H$5:$H$148,$B208)</f>
        <v>4.333333333333333</v>
      </c>
      <c r="D208" s="12">
        <f>AVERAGEIFS(Records!$L$5:$L$148,Records!$A$5:$A$148,$A208,Records!$H$5:$H$148,$B208)</f>
        <v>4</v>
      </c>
      <c r="E208" s="12">
        <f>AVERAGEIFS(Records!$M$5:$M$148,Records!$A$5:$A$148,$A208,Records!$H$5:$H$148,$B208)</f>
        <v>4</v>
      </c>
      <c r="F208" s="12">
        <f>AVERAGEIFS(Records!$O$5:$O$148,Records!$A$5:$A$148,$A208,Records!$H$5:$H$148,$B208)</f>
        <v>4</v>
      </c>
      <c r="G208" s="12">
        <f>AVERAGEIFS(Records!$P$5:$P$148,Records!$A$5:$A$148,$A208,Records!$H$5:$H$148,$B208)</f>
        <v>3.3333333333333335</v>
      </c>
      <c r="H208" s="12">
        <f>AVERAGEIFS(Records!$Q$5:$Q$148,Records!$A$5:$A$148,$A208,Records!$H$5:$H$148,$B208)</f>
        <v>4</v>
      </c>
      <c r="I208" s="12">
        <f>AVERAGEIFS(Records!$R$5:$R$148,Records!$A$5:$A$148,$A208,Records!$H$5:$H$148,$B208)</f>
        <v>4</v>
      </c>
      <c r="J208" s="12">
        <f>AVERAGEIFS(Records!$S$5:$S$148,Records!$A$5:$A$148,$A208,Records!$H$5:$H$148,$B208)</f>
        <v>4</v>
      </c>
      <c r="K208" s="12">
        <f>AVERAGEIFS(Records!$T$5:$T$148,Records!$A$5:$A$148,$A208,Records!$H$5:$H$148,$B208)</f>
        <v>4.333333333333333</v>
      </c>
      <c r="L208" s="12">
        <f>AVERAGEIFS(Records!$U$5:$U$148,Records!$A$5:$A$148,$A208,Records!$H$5:$H$148,$B208)</f>
        <v>4.666666666666667</v>
      </c>
      <c r="M208" s="12">
        <f>AVERAGEIFS(Records!$V$5:$V$148,Records!$A$5:$A$148,$A208,Records!$H$5:$H$148,$B208)</f>
        <v>3.6666666666666665</v>
      </c>
      <c r="N208" s="12">
        <f>AVERAGEIFS(Records!$W$5:$W$148,Records!$A$5:$A$148,$A208,Records!$H$5:$H$148,$B208)</f>
        <v>3</v>
      </c>
      <c r="O208" s="12">
        <f>AVERAGEIFS(Records!$X$5:$X$148,Records!$A$5:$A$148,$A208,Records!$H$5:$H$148,$B208)</f>
        <v>4</v>
      </c>
      <c r="P208" s="12">
        <f>AVERAGEIFS($E$5:$E$148,$A$5:$A$148,$A208,$C$5:$C$148,$B208)</f>
        <v>4.333333333333333</v>
      </c>
      <c r="Q208" s="12">
        <f>AVERAGEIFS($F$5:$F$148,$A$5:$A$148,$A208,$C$5:$C$148,$B208)</f>
        <v>3.6666666666666665</v>
      </c>
      <c r="R208" s="12">
        <f>AVERAGEIFS($Q$152:$Q$199,$A$152:$A$199,$A208,$C$152:$C$199,$B208)</f>
        <v>3.1666666666666665</v>
      </c>
      <c r="S208" s="12">
        <f>AVERAGEIFS($R$152:$R$199,$A$152:$A$199,$A208,$C$152:$C$199,$B208)</f>
        <v>2.5</v>
      </c>
      <c r="T208" s="12">
        <f>AVERAGEIFS($S$152:$S$199,$A$152:$A$199,$A208,$C$152:$C$199,$B208)</f>
        <v>4</v>
      </c>
    </row>
    <row r="209">
      <c r="A209" s="6" t="inlineStr">
        <is>
          <t>P007</t>
        </is>
      </c>
      <c r="B209" s="6" t="inlineStr">
        <is>
          <t>EgoAnchor</t>
        </is>
      </c>
      <c r="C209" s="12">
        <f>AVERAGEIFS(Records!$K$5:$K$148,Records!$A$5:$A$148,$A209,Records!$H$5:$H$148,$B209)</f>
        <v>7</v>
      </c>
      <c r="D209" s="12">
        <f>AVERAGEIFS(Records!$L$5:$L$148,Records!$A$5:$A$148,$A209,Records!$H$5:$H$148,$B209)</f>
        <v>6.333333333333333</v>
      </c>
      <c r="E209" s="12">
        <f>AVERAGEIFS(Records!$M$5:$M$148,Records!$A$5:$A$148,$A209,Records!$H$5:$H$148,$B209)</f>
        <v>7</v>
      </c>
      <c r="F209" s="12">
        <f>AVERAGEIFS(Records!$O$5:$O$148,Records!$A$5:$A$148,$A209,Records!$H$5:$H$148,$B209)</f>
        <v>6.666666666666667</v>
      </c>
      <c r="G209" s="12">
        <f>AVERAGEIFS(Records!$P$5:$P$148,Records!$A$5:$A$148,$A209,Records!$H$5:$H$148,$B209)</f>
        <v>6.666666666666667</v>
      </c>
      <c r="H209" s="12">
        <f>AVERAGEIFS(Records!$Q$5:$Q$148,Records!$A$5:$A$148,$A209,Records!$H$5:$H$148,$B209)</f>
        <v>7</v>
      </c>
      <c r="I209" s="12">
        <f>AVERAGEIFS(Records!$R$5:$R$148,Records!$A$5:$A$148,$A209,Records!$H$5:$H$148,$B209)</f>
        <v>7</v>
      </c>
      <c r="J209" s="12">
        <f>AVERAGEIFS(Records!$S$5:$S$148,Records!$A$5:$A$148,$A209,Records!$H$5:$H$148,$B209)</f>
        <v>6.666666666666667</v>
      </c>
      <c r="K209" s="12">
        <f>AVERAGEIFS(Records!$T$5:$T$148,Records!$A$5:$A$148,$A209,Records!$H$5:$H$148,$B209)</f>
        <v>6</v>
      </c>
      <c r="L209" s="12">
        <f>AVERAGEIFS(Records!$U$5:$U$148,Records!$A$5:$A$148,$A209,Records!$H$5:$H$148,$B209)</f>
        <v>7</v>
      </c>
      <c r="M209" s="12">
        <f>AVERAGEIFS(Records!$V$5:$V$148,Records!$A$5:$A$148,$A209,Records!$H$5:$H$148,$B209)</f>
        <v>6.333333333333333</v>
      </c>
      <c r="N209" s="12">
        <f>AVERAGEIFS(Records!$W$5:$W$148,Records!$A$5:$A$148,$A209,Records!$H$5:$H$148,$B209)</f>
        <v>7</v>
      </c>
      <c r="O209" s="12">
        <f>AVERAGEIFS(Records!$X$5:$X$148,Records!$A$5:$A$148,$A209,Records!$H$5:$H$148,$B209)</f>
        <v>7</v>
      </c>
      <c r="P209" s="12">
        <f>AVERAGEIFS($E$5:$E$148,$A$5:$A$148,$A209,$C$5:$C$148,$B209)</f>
        <v>6.555555555555556</v>
      </c>
      <c r="Q209" s="12">
        <f>AVERAGEIFS($F$5:$F$148,$A$5:$A$148,$A209,$C$5:$C$148,$B209)</f>
        <v>6.5555555555555545</v>
      </c>
      <c r="R209" s="12">
        <f>AVERAGEIFS($Q$152:$Q$199,$A$152:$A$199,$A209,$C$152:$C$199,$B209)</f>
        <v>5</v>
      </c>
      <c r="S209" s="12">
        <f>AVERAGEIFS($R$152:$R$199,$A$152:$A$199,$A209,$C$152:$C$199,$B209)</f>
        <v>4.75</v>
      </c>
      <c r="T209" s="12">
        <f>AVERAGEIFS($S$152:$S$199,$A$152:$A$199,$A209,$C$152:$C$199,$B209)</f>
        <v>7</v>
      </c>
    </row>
    <row r="210">
      <c r="A210" s="6" t="inlineStr">
        <is>
          <t>P008</t>
        </is>
      </c>
      <c r="B210" s="6" t="inlineStr">
        <is>
          <t>EgoAnchor</t>
        </is>
      </c>
      <c r="C210" s="12">
        <f>AVERAGEIFS(Records!$K$5:$K$148,Records!$A$5:$A$148,$A210,Records!$H$5:$H$148,$B210)</f>
        <v>5.666666666666667</v>
      </c>
      <c r="D210" s="12">
        <f>AVERAGEIFS(Records!$L$5:$L$148,Records!$A$5:$A$148,$A210,Records!$H$5:$H$148,$B210)</f>
        <v>6.333333333333333</v>
      </c>
      <c r="E210" s="12">
        <f>AVERAGEIFS(Records!$M$5:$M$148,Records!$A$5:$A$148,$A210,Records!$H$5:$H$148,$B210)</f>
        <v>6.666666666666667</v>
      </c>
      <c r="F210" s="12">
        <f>AVERAGEIFS(Records!$O$5:$O$148,Records!$A$5:$A$148,$A210,Records!$H$5:$H$148,$B210)</f>
        <v>4.333333333333333</v>
      </c>
      <c r="G210" s="12">
        <f>AVERAGEIFS(Records!$P$5:$P$148,Records!$A$5:$A$148,$A210,Records!$H$5:$H$148,$B210)</f>
        <v>4.666666666666667</v>
      </c>
      <c r="H210" s="12">
        <f>AVERAGEIFS(Records!$Q$5:$Q$148,Records!$A$5:$A$148,$A210,Records!$H$5:$H$148,$B210)</f>
        <v>5.666666666666667</v>
      </c>
      <c r="I210" s="12">
        <f>AVERAGEIFS(Records!$R$5:$R$148,Records!$A$5:$A$148,$A210,Records!$H$5:$H$148,$B210)</f>
        <v>6</v>
      </c>
      <c r="J210" s="12">
        <f>AVERAGEIFS(Records!$S$5:$S$148,Records!$A$5:$A$148,$A210,Records!$H$5:$H$148,$B210)</f>
        <v>6.666666666666667</v>
      </c>
      <c r="K210" s="12">
        <f>AVERAGEIFS(Records!$T$5:$T$148,Records!$A$5:$A$148,$A210,Records!$H$5:$H$148,$B210)</f>
        <v>7</v>
      </c>
      <c r="L210" s="12">
        <f>AVERAGEIFS(Records!$U$5:$U$148,Records!$A$5:$A$148,$A210,Records!$H$5:$H$148,$B210)</f>
        <v>6.333333333333333</v>
      </c>
      <c r="M210" s="12">
        <f>AVERAGEIFS(Records!$V$5:$V$148,Records!$A$5:$A$148,$A210,Records!$H$5:$H$148,$B210)</f>
        <v>6.333333333333333</v>
      </c>
      <c r="N210" s="12">
        <f>AVERAGEIFS(Records!$W$5:$W$148,Records!$A$5:$A$148,$A210,Records!$H$5:$H$148,$B210)</f>
        <v>4.666666666666667</v>
      </c>
      <c r="O210" s="12">
        <f>AVERAGEIFS(Records!$X$5:$X$148,Records!$A$5:$A$148,$A210,Records!$H$5:$H$148,$B210)</f>
        <v>5.333333333333333</v>
      </c>
      <c r="P210" s="12">
        <f>AVERAGEIFS($E$5:$E$148,$A$5:$A$148,$A210,$C$5:$C$148,$B210)</f>
        <v>6.666666666666667</v>
      </c>
      <c r="Q210" s="12">
        <f>AVERAGEIFS($F$5:$F$148,$A$5:$A$148,$A210,$C$5:$C$148,$B210)</f>
        <v>5.111111111111111</v>
      </c>
      <c r="R210" s="12">
        <f>AVERAGEIFS($Q$152:$Q$199,$A$152:$A$199,$A210,$C$152:$C$199,$B210)</f>
        <v>3.6666666666666665</v>
      </c>
      <c r="S210" s="12">
        <f>AVERAGEIFS($R$152:$R$199,$A$152:$A$199,$A210,$C$152:$C$199,$B210)</f>
        <v>4.75</v>
      </c>
      <c r="T210" s="12">
        <f>AVERAGEIFS($S$152:$S$199,$A$152:$A$199,$A210,$C$152:$C$199,$B210)</f>
        <v>5.666666666666667</v>
      </c>
    </row>
    <row r="211">
      <c r="A211" s="6" t="inlineStr">
        <is>
          <t>P009</t>
        </is>
      </c>
      <c r="B211" s="6" t="inlineStr">
        <is>
          <t>EgoAnchor</t>
        </is>
      </c>
      <c r="C211" s="12">
        <f>AVERAGEIFS(Records!$K$5:$K$148,Records!$A$5:$A$148,$A211,Records!$H$5:$H$148,$B211)</f>
        <v>4.666666666666667</v>
      </c>
      <c r="D211" s="12">
        <f>AVERAGEIFS(Records!$L$5:$L$148,Records!$A$5:$A$148,$A211,Records!$H$5:$H$148,$B211)</f>
        <v>5.333333333333333</v>
      </c>
      <c r="E211" s="12">
        <f>AVERAGEIFS(Records!$M$5:$M$148,Records!$A$5:$A$148,$A211,Records!$H$5:$H$148,$B211)</f>
        <v>5.333333333333333</v>
      </c>
      <c r="F211" s="12">
        <f>AVERAGEIFS(Records!$O$5:$O$148,Records!$A$5:$A$148,$A211,Records!$H$5:$H$148,$B211)</f>
        <v>4.333333333333333</v>
      </c>
      <c r="G211" s="12">
        <f>AVERAGEIFS(Records!$P$5:$P$148,Records!$A$5:$A$148,$A211,Records!$H$5:$H$148,$B211)</f>
        <v>5.666666666666667</v>
      </c>
      <c r="H211" s="12">
        <f>AVERAGEIFS(Records!$Q$5:$Q$148,Records!$A$5:$A$148,$A211,Records!$H$5:$H$148,$B211)</f>
        <v>4</v>
      </c>
      <c r="I211" s="12">
        <f>AVERAGEIFS(Records!$R$5:$R$148,Records!$A$5:$A$148,$A211,Records!$H$5:$H$148,$B211)</f>
        <v>4.333333333333333</v>
      </c>
      <c r="J211" s="12">
        <f>AVERAGEIFS(Records!$S$5:$S$148,Records!$A$5:$A$148,$A211,Records!$H$5:$H$148,$B211)</f>
        <v>4.333333333333333</v>
      </c>
      <c r="K211" s="12">
        <f>AVERAGEIFS(Records!$T$5:$T$148,Records!$A$5:$A$148,$A211,Records!$H$5:$H$148,$B211)</f>
        <v>4.666666666666667</v>
      </c>
      <c r="L211" s="12">
        <f>AVERAGEIFS(Records!$U$5:$U$148,Records!$A$5:$A$148,$A211,Records!$H$5:$H$148,$B211)</f>
        <v>5.333333333333333</v>
      </c>
      <c r="M211" s="12">
        <f>AVERAGEIFS(Records!$V$5:$V$148,Records!$A$5:$A$148,$A211,Records!$H$5:$H$148,$B211)</f>
        <v>5.333333333333333</v>
      </c>
      <c r="N211" s="12">
        <f>AVERAGEIFS(Records!$W$5:$W$148,Records!$A$5:$A$148,$A211,Records!$H$5:$H$148,$B211)</f>
        <v>4</v>
      </c>
      <c r="O211" s="12">
        <f>AVERAGEIFS(Records!$X$5:$X$148,Records!$A$5:$A$148,$A211,Records!$H$5:$H$148,$B211)</f>
        <v>3.3333333333333335</v>
      </c>
      <c r="P211" s="12">
        <f>AVERAGEIFS($E$5:$E$148,$A$5:$A$148,$A211,$C$5:$C$148,$B211)</f>
        <v>4.777777777777778</v>
      </c>
      <c r="Q211" s="12">
        <f>AVERAGEIFS($F$5:$F$148,$A$5:$A$148,$A211,$C$5:$C$148,$B211)</f>
        <v>5.111111111111111</v>
      </c>
      <c r="R211" s="12">
        <f>AVERAGEIFS($Q$152:$Q$199,$A$152:$A$199,$A211,$C$152:$C$199,$B211)</f>
        <v>3.4</v>
      </c>
      <c r="S211" s="12">
        <f>AVERAGEIFS($R$152:$R$199,$A$152:$A$199,$A211,$C$152:$C$199,$B211)</f>
        <v>3.5</v>
      </c>
      <c r="T211" s="12">
        <f>AVERAGEIFS($S$152:$S$199,$A$152:$A$199,$A211,$C$152:$C$199,$B211)</f>
        <v>4.333333333333333</v>
      </c>
    </row>
    <row r="212">
      <c r="A212" s="6" t="inlineStr">
        <is>
          <t>P010</t>
        </is>
      </c>
      <c r="B212" s="6" t="inlineStr">
        <is>
          <t>EgoAnchor</t>
        </is>
      </c>
      <c r="C212" s="12">
        <f>AVERAGEIFS(Records!$K$5:$K$148,Records!$A$5:$A$148,$A212,Records!$H$5:$H$148,$B212)</f>
        <v>3.3333333333333335</v>
      </c>
      <c r="D212" s="12">
        <f>AVERAGEIFS(Records!$L$5:$L$148,Records!$A$5:$A$148,$A212,Records!$H$5:$H$148,$B212)</f>
        <v>3.6666666666666665</v>
      </c>
      <c r="E212" s="12">
        <f>AVERAGEIFS(Records!$M$5:$M$148,Records!$A$5:$A$148,$A212,Records!$H$5:$H$148,$B212)</f>
        <v>4.666666666666667</v>
      </c>
      <c r="F212" s="12">
        <f>AVERAGEIFS(Records!$O$5:$O$148,Records!$A$5:$A$148,$A212,Records!$H$5:$H$148,$B212)</f>
        <v>5.333333333333333</v>
      </c>
      <c r="G212" s="12">
        <f>AVERAGEIFS(Records!$P$5:$P$148,Records!$A$5:$A$148,$A212,Records!$H$5:$H$148,$B212)</f>
        <v>4</v>
      </c>
      <c r="H212" s="12">
        <f>AVERAGEIFS(Records!$Q$5:$Q$148,Records!$A$5:$A$148,$A212,Records!$H$5:$H$148,$B212)</f>
        <v>4.333333333333333</v>
      </c>
      <c r="I212" s="12">
        <f>AVERAGEIFS(Records!$R$5:$R$148,Records!$A$5:$A$148,$A212,Records!$H$5:$H$148,$B212)</f>
        <v>3.6666666666666665</v>
      </c>
      <c r="J212" s="12">
        <f>AVERAGEIFS(Records!$S$5:$S$148,Records!$A$5:$A$148,$A212,Records!$H$5:$H$148,$B212)</f>
        <v>4.666666666666667</v>
      </c>
      <c r="K212" s="12">
        <f>AVERAGEIFS(Records!$T$5:$T$148,Records!$A$5:$A$148,$A212,Records!$H$5:$H$148,$B212)</f>
        <v>4</v>
      </c>
      <c r="L212" s="12">
        <f>AVERAGEIFS(Records!$U$5:$U$148,Records!$A$5:$A$148,$A212,Records!$H$5:$H$148,$B212)</f>
        <v>6</v>
      </c>
      <c r="M212" s="12">
        <f>AVERAGEIFS(Records!$V$5:$V$148,Records!$A$5:$A$148,$A212,Records!$H$5:$H$148,$B212)</f>
        <v>5</v>
      </c>
      <c r="N212" s="12">
        <f>AVERAGEIFS(Records!$W$5:$W$148,Records!$A$5:$A$148,$A212,Records!$H$5:$H$148,$B212)</f>
        <v>3.3333333333333335</v>
      </c>
      <c r="O212" s="12">
        <f>AVERAGEIFS(Records!$X$5:$X$148,Records!$A$5:$A$148,$A212,Records!$H$5:$H$148,$B212)</f>
        <v>4</v>
      </c>
      <c r="P212" s="12">
        <f>AVERAGEIFS($E$5:$E$148,$A$5:$A$148,$A212,$C$5:$C$148,$B212)</f>
        <v>4.888888888888889</v>
      </c>
      <c r="Q212" s="12">
        <f>AVERAGEIFS($F$5:$F$148,$A$5:$A$148,$A212,$C$5:$C$148,$B212)</f>
        <v>4.777777777777778</v>
      </c>
      <c r="R212" s="12">
        <f>AVERAGEIFS($Q$152:$Q$199,$A$152:$A$199,$A212,$C$152:$C$199,$B212)</f>
        <v>3.1666666666666665</v>
      </c>
      <c r="S212" s="12">
        <f>AVERAGEIFS($R$152:$R$199,$A$152:$A$199,$A212,$C$152:$C$199,$B212)</f>
        <v>2.75</v>
      </c>
      <c r="T212" s="12">
        <f>AVERAGEIFS($S$152:$S$199,$A$152:$A$199,$A212,$C$152:$C$199,$B212)</f>
        <v>3.6666666666666665</v>
      </c>
    </row>
    <row r="213">
      <c r="A213" s="6" t="inlineStr">
        <is>
          <t>P011</t>
        </is>
      </c>
      <c r="B213" s="6" t="inlineStr">
        <is>
          <t>EgoAnchor</t>
        </is>
      </c>
      <c r="C213" s="12">
        <f>AVERAGEIFS(Records!$K$5:$K$148,Records!$A$5:$A$148,$A213,Records!$H$5:$H$148,$B213)</f>
        <v>6.333333333333333</v>
      </c>
      <c r="D213" s="12">
        <f>AVERAGEIFS(Records!$L$5:$L$148,Records!$A$5:$A$148,$A213,Records!$H$5:$H$148,$B213)</f>
        <v>5.666666666666667</v>
      </c>
      <c r="E213" s="12">
        <f>AVERAGEIFS(Records!$M$5:$M$148,Records!$A$5:$A$148,$A213,Records!$H$5:$H$148,$B213)</f>
        <v>5.666666666666667</v>
      </c>
      <c r="F213" s="12">
        <f>AVERAGEIFS(Records!$O$5:$O$148,Records!$A$5:$A$148,$A213,Records!$H$5:$H$148,$B213)</f>
        <v>4</v>
      </c>
      <c r="G213" s="12">
        <f>AVERAGEIFS(Records!$P$5:$P$148,Records!$A$5:$A$148,$A213,Records!$H$5:$H$148,$B213)</f>
        <v>5.333333333333333</v>
      </c>
      <c r="H213" s="12">
        <f>AVERAGEIFS(Records!$Q$5:$Q$148,Records!$A$5:$A$148,$A213,Records!$H$5:$H$148,$B213)</f>
        <v>5</v>
      </c>
      <c r="I213" s="12">
        <f>AVERAGEIFS(Records!$R$5:$R$148,Records!$A$5:$A$148,$A213,Records!$H$5:$H$148,$B213)</f>
        <v>4.666666666666667</v>
      </c>
      <c r="J213" s="12">
        <f>AVERAGEIFS(Records!$S$5:$S$148,Records!$A$5:$A$148,$A213,Records!$H$5:$H$148,$B213)</f>
        <v>5.333333333333333</v>
      </c>
      <c r="K213" s="12">
        <f>AVERAGEIFS(Records!$T$5:$T$148,Records!$A$5:$A$148,$A213,Records!$H$5:$H$148,$B213)</f>
        <v>4</v>
      </c>
      <c r="L213" s="12">
        <f>AVERAGEIFS(Records!$U$5:$U$148,Records!$A$5:$A$148,$A213,Records!$H$5:$H$148,$B213)</f>
        <v>6.333333333333333</v>
      </c>
      <c r="M213" s="12">
        <f>AVERAGEIFS(Records!$V$5:$V$148,Records!$A$5:$A$148,$A213,Records!$H$5:$H$148,$B213)</f>
        <v>5.333333333333333</v>
      </c>
      <c r="N213" s="12">
        <f>AVERAGEIFS(Records!$W$5:$W$148,Records!$A$5:$A$148,$A213,Records!$H$5:$H$148,$B213)</f>
        <v>4.666666666666667</v>
      </c>
      <c r="O213" s="12">
        <f>AVERAGEIFS(Records!$X$5:$X$148,Records!$A$5:$A$148,$A213,Records!$H$5:$H$148,$B213)</f>
        <v>5.666666666666667</v>
      </c>
      <c r="P213" s="12">
        <f>AVERAGEIFS($E$5:$E$148,$A$5:$A$148,$A213,$C$5:$C$148,$B213)</f>
        <v>5.222222222222222</v>
      </c>
      <c r="Q213" s="12">
        <f>AVERAGEIFS($F$5:$F$148,$A$5:$A$148,$A213,$C$5:$C$148,$B213)</f>
        <v>4.888888888888889</v>
      </c>
      <c r="R213" s="12">
        <f>AVERAGEIFS($Q$152:$Q$199,$A$152:$A$199,$A213,$C$152:$C$199,$B213)</f>
        <v>3.5</v>
      </c>
      <c r="S213" s="12">
        <f>AVERAGEIFS($R$152:$R$199,$A$152:$A$199,$A213,$C$152:$C$199,$B213)</f>
        <v>3.75</v>
      </c>
      <c r="T213" s="12">
        <f>AVERAGEIFS($S$152:$S$199,$A$152:$A$199,$A213,$C$152:$C$199,$B213)</f>
        <v>5.333333333333333</v>
      </c>
    </row>
    <row r="214">
      <c r="A214" s="6" t="inlineStr">
        <is>
          <t>P012</t>
        </is>
      </c>
      <c r="B214" s="6" t="inlineStr">
        <is>
          <t>EgoAnchor</t>
        </is>
      </c>
      <c r="C214" s="12">
        <f>AVERAGEIFS(Records!$K$5:$K$148,Records!$A$5:$A$148,$A214,Records!$H$5:$H$148,$B214)</f>
        <v>4.666666666666667</v>
      </c>
      <c r="D214" s="12">
        <f>AVERAGEIFS(Records!$L$5:$L$148,Records!$A$5:$A$148,$A214,Records!$H$5:$H$148,$B214)</f>
        <v>5</v>
      </c>
      <c r="E214" s="12">
        <f>AVERAGEIFS(Records!$M$5:$M$148,Records!$A$5:$A$148,$A214,Records!$H$5:$H$148,$B214)</f>
        <v>5</v>
      </c>
      <c r="F214" s="12">
        <f>AVERAGEIFS(Records!$O$5:$O$148,Records!$A$5:$A$148,$A214,Records!$H$5:$H$148,$B214)</f>
        <v>5.333333333333333</v>
      </c>
      <c r="G214" s="12">
        <f>AVERAGEIFS(Records!$P$5:$P$148,Records!$A$5:$A$148,$A214,Records!$H$5:$H$148,$B214)</f>
        <v>6</v>
      </c>
      <c r="H214" s="12">
        <f>AVERAGEIFS(Records!$Q$5:$Q$148,Records!$A$5:$A$148,$A214,Records!$H$5:$H$148,$B214)</f>
        <v>6.333333333333333</v>
      </c>
      <c r="I214" s="12">
        <f>AVERAGEIFS(Records!$R$5:$R$148,Records!$A$5:$A$148,$A214,Records!$H$5:$H$148,$B214)</f>
        <v>5.333333333333333</v>
      </c>
      <c r="J214" s="12">
        <f>AVERAGEIFS(Records!$S$5:$S$148,Records!$A$5:$A$148,$A214,Records!$H$5:$H$148,$B214)</f>
        <v>6</v>
      </c>
      <c r="K214" s="12">
        <f>AVERAGEIFS(Records!$T$5:$T$148,Records!$A$5:$A$148,$A214,Records!$H$5:$H$148,$B214)</f>
        <v>5</v>
      </c>
      <c r="L214" s="12">
        <f>AVERAGEIFS(Records!$U$5:$U$148,Records!$A$5:$A$148,$A214,Records!$H$5:$H$148,$B214)</f>
        <v>5.666666666666667</v>
      </c>
      <c r="M214" s="12">
        <f>AVERAGEIFS(Records!$V$5:$V$148,Records!$A$5:$A$148,$A214,Records!$H$5:$H$148,$B214)</f>
        <v>6.333333333333333</v>
      </c>
      <c r="N214" s="12">
        <f>AVERAGEIFS(Records!$W$5:$W$148,Records!$A$5:$A$148,$A214,Records!$H$5:$H$148,$B214)</f>
        <v>5.333333333333333</v>
      </c>
      <c r="O214" s="12">
        <f>AVERAGEIFS(Records!$X$5:$X$148,Records!$A$5:$A$148,$A214,Records!$H$5:$H$148,$B214)</f>
        <v>6</v>
      </c>
      <c r="P214" s="12">
        <f>AVERAGEIFS($E$5:$E$148,$A$5:$A$148,$A214,$C$5:$C$148,$B214)</f>
        <v>5.555555555555556</v>
      </c>
      <c r="Q214" s="12">
        <f>AVERAGEIFS($F$5:$F$148,$A$5:$A$148,$A214,$C$5:$C$148,$B214)</f>
        <v>5.888888888888889</v>
      </c>
      <c r="R214" s="12">
        <f>AVERAGEIFS($Q$152:$Q$199,$A$152:$A$199,$A214,$C$152:$C$199,$B214)</f>
        <v>4.166666666666667</v>
      </c>
      <c r="S214" s="12">
        <f>AVERAGEIFS($R$152:$R$199,$A$152:$A$199,$A214,$C$152:$C$199,$B214)</f>
        <v>3.75</v>
      </c>
      <c r="T214" s="12">
        <f>AVERAGEIFS($S$152:$S$199,$A$152:$A$199,$A214,$C$152:$C$199,$B214)</f>
        <v>6</v>
      </c>
    </row>
    <row r="215">
      <c r="A215" s="6" t="inlineStr">
        <is>
          <t>P013</t>
        </is>
      </c>
      <c r="B215" s="6" t="inlineStr">
        <is>
          <t>EgoAnchor</t>
        </is>
      </c>
      <c r="C215" s="12">
        <f>AVERAGEIFS(Records!$K$5:$K$148,Records!$A$5:$A$148,$A215,Records!$H$5:$H$148,$B215)</f>
        <v>5.666666666666667</v>
      </c>
      <c r="D215" s="12">
        <f>AVERAGEIFS(Records!$L$5:$L$148,Records!$A$5:$A$148,$A215,Records!$H$5:$H$148,$B215)</f>
        <v>5</v>
      </c>
      <c r="E215" s="12">
        <f>AVERAGEIFS(Records!$M$5:$M$148,Records!$A$5:$A$148,$A215,Records!$H$5:$H$148,$B215)</f>
        <v>4.666666666666667</v>
      </c>
      <c r="F215" s="12">
        <f>AVERAGEIFS(Records!$O$5:$O$148,Records!$A$5:$A$148,$A215,Records!$H$5:$H$148,$B215)</f>
        <v>5.333333333333333</v>
      </c>
      <c r="G215" s="12">
        <f>AVERAGEIFS(Records!$P$5:$P$148,Records!$A$5:$A$148,$A215,Records!$H$5:$H$148,$B215)</f>
        <v>5.333333333333333</v>
      </c>
      <c r="H215" s="12">
        <f>AVERAGEIFS(Records!$Q$5:$Q$148,Records!$A$5:$A$148,$A215,Records!$H$5:$H$148,$B215)</f>
        <v>5.333333333333333</v>
      </c>
      <c r="I215" s="12">
        <f>AVERAGEIFS(Records!$R$5:$R$148,Records!$A$5:$A$148,$A215,Records!$H$5:$H$148,$B215)</f>
        <v>5</v>
      </c>
      <c r="J215" s="12">
        <f>AVERAGEIFS(Records!$S$5:$S$148,Records!$A$5:$A$148,$A215,Records!$H$5:$H$148,$B215)</f>
        <v>6.333333333333333</v>
      </c>
      <c r="K215" s="12">
        <f>AVERAGEIFS(Records!$T$5:$T$148,Records!$A$5:$A$148,$A215,Records!$H$5:$H$148,$B215)</f>
        <v>5</v>
      </c>
      <c r="L215" s="12">
        <f>AVERAGEIFS(Records!$U$5:$U$148,Records!$A$5:$A$148,$A215,Records!$H$5:$H$148,$B215)</f>
        <v>6</v>
      </c>
      <c r="M215" s="12">
        <f>AVERAGEIFS(Records!$V$5:$V$148,Records!$A$5:$A$148,$A215,Records!$H$5:$H$148,$B215)</f>
        <v>6.666666666666667</v>
      </c>
      <c r="N215" s="12">
        <f>AVERAGEIFS(Records!$W$5:$W$148,Records!$A$5:$A$148,$A215,Records!$H$5:$H$148,$B215)</f>
        <v>4.333333333333333</v>
      </c>
      <c r="O215" s="12">
        <f>AVERAGEIFS(Records!$X$5:$X$148,Records!$A$5:$A$148,$A215,Records!$H$5:$H$148,$B215)</f>
        <v>3.6666666666666665</v>
      </c>
      <c r="P215" s="12">
        <f>AVERAGEIFS($E$5:$E$148,$A$5:$A$148,$A215,$C$5:$C$148,$B215)</f>
        <v>5.777777777777778</v>
      </c>
      <c r="Q215" s="12">
        <f>AVERAGEIFS($F$5:$F$148,$A$5:$A$148,$A215,$C$5:$C$148,$B215)</f>
        <v>5.777777777777778</v>
      </c>
      <c r="R215" s="12">
        <f>AVERAGEIFS($Q$152:$Q$199,$A$152:$A$199,$A215,$C$152:$C$199,$B215)</f>
        <v>3.5</v>
      </c>
      <c r="S215" s="12">
        <f>AVERAGEIFS($R$152:$R$199,$A$152:$A$199,$A215,$C$152:$C$199,$B215)</f>
        <v>4</v>
      </c>
      <c r="T215" s="12">
        <f>AVERAGEIFS($S$152:$S$199,$A$152:$A$199,$A215,$C$152:$C$199,$B215)</f>
        <v>5.666666666666667</v>
      </c>
    </row>
    <row r="216">
      <c r="A216" s="6" t="inlineStr">
        <is>
          <t>P014</t>
        </is>
      </c>
      <c r="B216" s="6" t="inlineStr">
        <is>
          <t>EgoAnchor</t>
        </is>
      </c>
      <c r="C216" s="12">
        <f>AVERAGEIFS(Records!$K$5:$K$148,Records!$A$5:$A$148,$A216,Records!$H$5:$H$148,$B216)</f>
        <v>6.333333333333333</v>
      </c>
      <c r="D216" s="12">
        <f>AVERAGEIFS(Records!$L$5:$L$148,Records!$A$5:$A$148,$A216,Records!$H$5:$H$148,$B216)</f>
        <v>4</v>
      </c>
      <c r="E216" s="12">
        <f>AVERAGEIFS(Records!$M$5:$M$148,Records!$A$5:$A$148,$A216,Records!$H$5:$H$148,$B216)</f>
        <v>4</v>
      </c>
      <c r="F216" s="12">
        <f>AVERAGEIFS(Records!$O$5:$O$148,Records!$A$5:$A$148,$A216,Records!$H$5:$H$148,$B216)</f>
        <v>4.333333333333333</v>
      </c>
      <c r="G216" s="12">
        <f>AVERAGEIFS(Records!$P$5:$P$148,Records!$A$5:$A$148,$A216,Records!$H$5:$H$148,$B216)</f>
        <v>5.666666666666667</v>
      </c>
      <c r="H216" s="12">
        <f>AVERAGEIFS(Records!$Q$5:$Q$148,Records!$A$5:$A$148,$A216,Records!$H$5:$H$148,$B216)</f>
        <v>4.666666666666667</v>
      </c>
      <c r="I216" s="12">
        <f>AVERAGEIFS(Records!$R$5:$R$148,Records!$A$5:$A$148,$A216,Records!$H$5:$H$148,$B216)</f>
        <v>6</v>
      </c>
      <c r="J216" s="12">
        <f>AVERAGEIFS(Records!$S$5:$S$148,Records!$A$5:$A$148,$A216,Records!$H$5:$H$148,$B216)</f>
        <v>5.666666666666667</v>
      </c>
      <c r="K216" s="12">
        <f>AVERAGEIFS(Records!$T$5:$T$148,Records!$A$5:$A$148,$A216,Records!$H$5:$H$148,$B216)</f>
        <v>5.333333333333333</v>
      </c>
      <c r="L216" s="12">
        <f>AVERAGEIFS(Records!$U$5:$U$148,Records!$A$5:$A$148,$A216,Records!$H$5:$H$148,$B216)</f>
        <v>6.333333333333333</v>
      </c>
      <c r="M216" s="12">
        <f>AVERAGEIFS(Records!$V$5:$V$148,Records!$A$5:$A$148,$A216,Records!$H$5:$H$148,$B216)</f>
        <v>5.333333333333333</v>
      </c>
      <c r="N216" s="12">
        <f>AVERAGEIFS(Records!$W$5:$W$148,Records!$A$5:$A$148,$A216,Records!$H$5:$H$148,$B216)</f>
        <v>4.666666666666667</v>
      </c>
      <c r="O216" s="12">
        <f>AVERAGEIFS(Records!$X$5:$X$148,Records!$A$5:$A$148,$A216,Records!$H$5:$H$148,$B216)</f>
        <v>5.333333333333333</v>
      </c>
      <c r="P216" s="12">
        <f>AVERAGEIFS($E$5:$E$148,$A$5:$A$148,$A216,$C$5:$C$148,$B216)</f>
        <v>5.777777777777778</v>
      </c>
      <c r="Q216" s="12">
        <f>AVERAGEIFS($F$5:$F$148,$A$5:$A$148,$A216,$C$5:$C$148,$B216)</f>
        <v>5.111111111111111</v>
      </c>
      <c r="R216" s="12">
        <f>AVERAGEIFS($Q$152:$Q$199,$A$152:$A$199,$A216,$C$152:$C$199,$B216)</f>
        <v>3.6666666666666665</v>
      </c>
      <c r="S216" s="12">
        <f>AVERAGEIFS($R$152:$R$199,$A$152:$A$199,$A216,$C$152:$C$199,$B216)</f>
        <v>3.5</v>
      </c>
      <c r="T216" s="12">
        <f>AVERAGEIFS($S$152:$S$199,$A$152:$A$199,$A216,$C$152:$C$199,$B216)</f>
        <v>5.333333333333333</v>
      </c>
    </row>
    <row r="217">
      <c r="A217" s="6" t="inlineStr">
        <is>
          <t>P015</t>
        </is>
      </c>
      <c r="B217" s="6" t="inlineStr">
        <is>
          <t>EgoAnchor</t>
        </is>
      </c>
      <c r="C217" s="12">
        <f>AVERAGEIFS(Records!$K$5:$K$148,Records!$A$5:$A$148,$A217,Records!$H$5:$H$148,$B217)</f>
        <v>5</v>
      </c>
      <c r="D217" s="12">
        <f>AVERAGEIFS(Records!$L$5:$L$148,Records!$A$5:$A$148,$A217,Records!$H$5:$H$148,$B217)</f>
        <v>4</v>
      </c>
      <c r="E217" s="12">
        <f>AVERAGEIFS(Records!$M$5:$M$148,Records!$A$5:$A$148,$A217,Records!$H$5:$H$148,$B217)</f>
        <v>3.6666666666666665</v>
      </c>
      <c r="F217" s="12">
        <f>AVERAGEIFS(Records!$O$5:$O$148,Records!$A$5:$A$148,$A217,Records!$H$5:$H$148,$B217)</f>
        <v>3.3333333333333335</v>
      </c>
      <c r="G217" s="12">
        <f>AVERAGEIFS(Records!$P$5:$P$148,Records!$A$5:$A$148,$A217,Records!$H$5:$H$148,$B217)</f>
        <v>4.333333333333333</v>
      </c>
      <c r="H217" s="12">
        <f>AVERAGEIFS(Records!$Q$5:$Q$148,Records!$A$5:$A$148,$A217,Records!$H$5:$H$148,$B217)</f>
        <v>4</v>
      </c>
      <c r="I217" s="12">
        <f>AVERAGEIFS(Records!$R$5:$R$148,Records!$A$5:$A$148,$A217,Records!$H$5:$H$148,$B217)</f>
        <v>5.333333333333333</v>
      </c>
      <c r="J217" s="12">
        <f>AVERAGEIFS(Records!$S$5:$S$148,Records!$A$5:$A$148,$A217,Records!$H$5:$H$148,$B217)</f>
        <v>3.3333333333333335</v>
      </c>
      <c r="K217" s="12">
        <f>AVERAGEIFS(Records!$T$5:$T$148,Records!$A$5:$A$148,$A217,Records!$H$5:$H$148,$B217)</f>
        <v>4</v>
      </c>
      <c r="L217" s="12">
        <f>AVERAGEIFS(Records!$U$5:$U$148,Records!$A$5:$A$148,$A217,Records!$H$5:$H$148,$B217)</f>
        <v>6</v>
      </c>
      <c r="M217" s="12">
        <f>AVERAGEIFS(Records!$V$5:$V$148,Records!$A$5:$A$148,$A217,Records!$H$5:$H$148,$B217)</f>
        <v>5.333333333333333</v>
      </c>
      <c r="N217" s="12">
        <f>AVERAGEIFS(Records!$W$5:$W$148,Records!$A$5:$A$148,$A217,Records!$H$5:$H$148,$B217)</f>
        <v>5.666666666666667</v>
      </c>
      <c r="O217" s="12">
        <f>AVERAGEIFS(Records!$X$5:$X$148,Records!$A$5:$A$148,$A217,Records!$H$5:$H$148,$B217)</f>
        <v>5.666666666666667</v>
      </c>
      <c r="P217" s="12">
        <f>AVERAGEIFS($E$5:$E$148,$A$5:$A$148,$A217,$C$5:$C$148,$B217)</f>
        <v>4.444444444444444</v>
      </c>
      <c r="Q217" s="12">
        <f>AVERAGEIFS($F$5:$F$148,$A$5:$A$148,$A217,$C$5:$C$148,$B217)</f>
        <v>4.333333333333333</v>
      </c>
      <c r="R217" s="12">
        <f>AVERAGEIFS($Q$152:$Q$199,$A$152:$A$199,$A217,$C$152:$C$199,$B217)</f>
        <v>3</v>
      </c>
      <c r="S217" s="12">
        <f>AVERAGEIFS($R$152:$R$199,$A$152:$A$199,$A217,$C$152:$C$199,$B217)</f>
        <v>2.25</v>
      </c>
      <c r="T217" s="12">
        <f>AVERAGEIFS($S$152:$S$199,$A$152:$A$199,$A217,$C$152:$C$199,$B217)</f>
        <v>5</v>
      </c>
    </row>
    <row r="218">
      <c r="A218" s="6" t="inlineStr">
        <is>
          <t>P016</t>
        </is>
      </c>
      <c r="B218" s="6" t="inlineStr">
        <is>
          <t>EgoAnchor</t>
        </is>
      </c>
      <c r="C218" s="12">
        <f>AVERAGEIFS(Records!$K$5:$K$148,Records!$A$5:$A$148,$A218,Records!$H$5:$H$148,$B218)</f>
        <v>6.666666666666667</v>
      </c>
      <c r="D218" s="12">
        <f>AVERAGEIFS(Records!$L$5:$L$148,Records!$A$5:$A$148,$A218,Records!$H$5:$H$148,$B218)</f>
        <v>5.666666666666667</v>
      </c>
      <c r="E218" s="12">
        <f>AVERAGEIFS(Records!$M$5:$M$148,Records!$A$5:$A$148,$A218,Records!$H$5:$H$148,$B218)</f>
        <v>6.333333333333333</v>
      </c>
      <c r="F218" s="12">
        <f>AVERAGEIFS(Records!$O$5:$O$148,Records!$A$5:$A$148,$A218,Records!$H$5:$H$148,$B218)</f>
        <v>4.333333333333333</v>
      </c>
      <c r="G218" s="12">
        <f>AVERAGEIFS(Records!$P$5:$P$148,Records!$A$5:$A$148,$A218,Records!$H$5:$H$148,$B218)</f>
        <v>6</v>
      </c>
      <c r="H218" s="12">
        <f>AVERAGEIFS(Records!$Q$5:$Q$148,Records!$A$5:$A$148,$A218,Records!$H$5:$H$148,$B218)</f>
        <v>5.666666666666667</v>
      </c>
      <c r="I218" s="12">
        <f>AVERAGEIFS(Records!$R$5:$R$148,Records!$A$5:$A$148,$A218,Records!$H$5:$H$148,$B218)</f>
        <v>6</v>
      </c>
      <c r="J218" s="12">
        <f>AVERAGEIFS(Records!$S$5:$S$148,Records!$A$5:$A$148,$A218,Records!$H$5:$H$148,$B218)</f>
        <v>3</v>
      </c>
      <c r="K218" s="12">
        <f>AVERAGEIFS(Records!$T$5:$T$148,Records!$A$5:$A$148,$A218,Records!$H$5:$H$148,$B218)</f>
        <v>4.666666666666667</v>
      </c>
      <c r="L218" s="12">
        <f>AVERAGEIFS(Records!$U$5:$U$148,Records!$A$5:$A$148,$A218,Records!$H$5:$H$148,$B218)</f>
        <v>6.333333333333333</v>
      </c>
      <c r="M218" s="12">
        <f>AVERAGEIFS(Records!$V$5:$V$148,Records!$A$5:$A$148,$A218,Records!$H$5:$H$148,$B218)</f>
        <v>6.333333333333333</v>
      </c>
      <c r="N218" s="12">
        <f>AVERAGEIFS(Records!$W$5:$W$148,Records!$A$5:$A$148,$A218,Records!$H$5:$H$148,$B218)</f>
        <v>4</v>
      </c>
      <c r="O218" s="12">
        <f>AVERAGEIFS(Records!$X$5:$X$148,Records!$A$5:$A$148,$A218,Records!$H$5:$H$148,$B218)</f>
        <v>5.333333333333333</v>
      </c>
      <c r="P218" s="12">
        <f>AVERAGEIFS($E$5:$E$148,$A$5:$A$148,$A218,$C$5:$C$148,$B218)</f>
        <v>4.666666666666667</v>
      </c>
      <c r="Q218" s="12">
        <f>AVERAGEIFS($F$5:$F$148,$A$5:$A$148,$A218,$C$5:$C$148,$B218)</f>
        <v>5.5555555555555545</v>
      </c>
      <c r="R218" s="12">
        <f>AVERAGEIFS($Q$152:$Q$199,$A$152:$A$199,$A218,$C$152:$C$199,$B218)</f>
        <v>4.5</v>
      </c>
      <c r="S218" s="12">
        <f>AVERAGEIFS($R$152:$R$199,$A$152:$A$199,$A218,$C$152:$C$199,$B218)</f>
        <v>4</v>
      </c>
      <c r="T218" s="12">
        <f>AVERAGEIFS($S$152:$S$199,$A$152:$A$199,$A218,$C$152:$C$199,$B218)</f>
        <v>7</v>
      </c>
    </row>
    <row r="219">
      <c r="A219" s="6" t="inlineStr">
        <is>
          <t>P017</t>
        </is>
      </c>
      <c r="B219" s="6" t="inlineStr">
        <is>
          <t>EgoAnchor</t>
        </is>
      </c>
      <c r="C219" s="12">
        <f>AVERAGEIFS(Records!$K$5:$K$148,Records!$A$5:$A$148,$A219,Records!$H$5:$H$148,$B219)</f>
        <v>6.666666666666667</v>
      </c>
      <c r="D219" s="12">
        <f>AVERAGEIFS(Records!$L$5:$L$148,Records!$A$5:$A$148,$A219,Records!$H$5:$H$148,$B219)</f>
        <v>6.666666666666667</v>
      </c>
      <c r="E219" s="12">
        <f>AVERAGEIFS(Records!$M$5:$M$148,Records!$A$5:$A$148,$A219,Records!$H$5:$H$148,$B219)</f>
        <v>6.333333333333333</v>
      </c>
      <c r="F219" s="12">
        <f>AVERAGEIFS(Records!$O$5:$O$148,Records!$A$5:$A$148,$A219,Records!$H$5:$H$148,$B219)</f>
        <v>6.333333333333333</v>
      </c>
      <c r="G219" s="12">
        <f>AVERAGEIFS(Records!$P$5:$P$148,Records!$A$5:$A$148,$A219,Records!$H$5:$H$148,$B219)</f>
        <v>6.666666666666667</v>
      </c>
      <c r="H219" s="12">
        <f>AVERAGEIFS(Records!$Q$5:$Q$148,Records!$A$5:$A$148,$A219,Records!$H$5:$H$148,$B219)</f>
        <v>6</v>
      </c>
      <c r="I219" s="12">
        <f>AVERAGEIFS(Records!$R$5:$R$148,Records!$A$5:$A$148,$A219,Records!$H$5:$H$148,$B219)</f>
        <v>6.666666666666667</v>
      </c>
      <c r="J219" s="12">
        <f>AVERAGEIFS(Records!$S$5:$S$148,Records!$A$5:$A$148,$A219,Records!$H$5:$H$148,$B219)</f>
        <v>7</v>
      </c>
      <c r="K219" s="12">
        <f>AVERAGEIFS(Records!$T$5:$T$148,Records!$A$5:$A$148,$A219,Records!$H$5:$H$148,$B219)</f>
        <v>5.666666666666667</v>
      </c>
      <c r="L219" s="12">
        <f>AVERAGEIFS(Records!$U$5:$U$148,Records!$A$5:$A$148,$A219,Records!$H$5:$H$148,$B219)</f>
        <v>6</v>
      </c>
      <c r="M219" s="12">
        <f>AVERAGEIFS(Records!$V$5:$V$148,Records!$A$5:$A$148,$A219,Records!$H$5:$H$148,$B219)</f>
        <v>6.333333333333333</v>
      </c>
      <c r="N219" s="12">
        <f>AVERAGEIFS(Records!$W$5:$W$148,Records!$A$5:$A$148,$A219,Records!$H$5:$H$148,$B219)</f>
        <v>6.333333333333333</v>
      </c>
      <c r="O219" s="12">
        <f>AVERAGEIFS(Records!$X$5:$X$148,Records!$A$5:$A$148,$A219,Records!$H$5:$H$148,$B219)</f>
        <v>7</v>
      </c>
      <c r="P219" s="12">
        <f>AVERAGEIFS($E$5:$E$148,$A$5:$A$148,$A219,$C$5:$C$148,$B219)</f>
        <v>6.222222222222221</v>
      </c>
      <c r="Q219" s="12">
        <f>AVERAGEIFS($F$5:$F$148,$A$5:$A$148,$A219,$C$5:$C$148,$B219)</f>
        <v>6.444444444444444</v>
      </c>
      <c r="R219" s="12">
        <f>AVERAGEIFS($Q$152:$Q$199,$A$152:$A$199,$A219,$C$152:$C$199,$B219)</f>
        <v>5</v>
      </c>
      <c r="S219" s="12">
        <f>AVERAGEIFS($R$152:$R$199,$A$152:$A$199,$A219,$C$152:$C$199,$B219)</f>
        <v>5</v>
      </c>
      <c r="T219" s="12">
        <f>AVERAGEIFS($S$152:$S$199,$A$152:$A$199,$A219,$C$152:$C$199,$B219)</f>
        <v>7</v>
      </c>
    </row>
    <row r="220">
      <c r="A220" s="6" t="inlineStr">
        <is>
          <t>P018</t>
        </is>
      </c>
      <c r="B220" s="6" t="inlineStr">
        <is>
          <t>EgoAnchor</t>
        </is>
      </c>
      <c r="C220" s="12">
        <f>AVERAGEIFS(Records!$K$5:$K$148,Records!$A$5:$A$148,$A220,Records!$H$5:$H$148,$B220)</f>
        <v>5.666666666666667</v>
      </c>
      <c r="D220" s="12">
        <f>AVERAGEIFS(Records!$L$5:$L$148,Records!$A$5:$A$148,$A220,Records!$H$5:$H$148,$B220)</f>
        <v>4.666666666666667</v>
      </c>
      <c r="E220" s="12">
        <f>AVERAGEIFS(Records!$M$5:$M$148,Records!$A$5:$A$148,$A220,Records!$H$5:$H$148,$B220)</f>
        <v>4.666666666666667</v>
      </c>
      <c r="F220" s="12">
        <f>AVERAGEIFS(Records!$O$5:$O$148,Records!$A$5:$A$148,$A220,Records!$H$5:$H$148,$B220)</f>
        <v>3.6666666666666665</v>
      </c>
      <c r="G220" s="12">
        <f>AVERAGEIFS(Records!$P$5:$P$148,Records!$A$5:$A$148,$A220,Records!$H$5:$H$148,$B220)</f>
        <v>4.666666666666667</v>
      </c>
      <c r="H220" s="12">
        <f>AVERAGEIFS(Records!$Q$5:$Q$148,Records!$A$5:$A$148,$A220,Records!$H$5:$H$148,$B220)</f>
        <v>4.666666666666667</v>
      </c>
      <c r="I220" s="12">
        <f>AVERAGEIFS(Records!$R$5:$R$148,Records!$A$5:$A$148,$A220,Records!$H$5:$H$148,$B220)</f>
        <v>5.333333333333333</v>
      </c>
      <c r="J220" s="12">
        <f>AVERAGEIFS(Records!$S$5:$S$148,Records!$A$5:$A$148,$A220,Records!$H$5:$H$148,$B220)</f>
        <v>4</v>
      </c>
      <c r="K220" s="12">
        <f>AVERAGEIFS(Records!$T$5:$T$148,Records!$A$5:$A$148,$A220,Records!$H$5:$H$148,$B220)</f>
        <v>5.333333333333333</v>
      </c>
      <c r="L220" s="12">
        <f>AVERAGEIFS(Records!$U$5:$U$148,Records!$A$5:$A$148,$A220,Records!$H$5:$H$148,$B220)</f>
        <v>5.333333333333333</v>
      </c>
      <c r="M220" s="12">
        <f>AVERAGEIFS(Records!$V$5:$V$148,Records!$A$5:$A$148,$A220,Records!$H$5:$H$148,$B220)</f>
        <v>4.666666666666667</v>
      </c>
      <c r="N220" s="12">
        <f>AVERAGEIFS(Records!$W$5:$W$148,Records!$A$5:$A$148,$A220,Records!$H$5:$H$148,$B220)</f>
        <v>3.3333333333333335</v>
      </c>
      <c r="O220" s="12">
        <f>AVERAGEIFS(Records!$X$5:$X$148,Records!$A$5:$A$148,$A220,Records!$H$5:$H$148,$B220)</f>
        <v>5</v>
      </c>
      <c r="P220" s="12">
        <f>AVERAGEIFS($E$5:$E$148,$A$5:$A$148,$A220,$C$5:$C$148,$B220)</f>
        <v>4.888888888888888</v>
      </c>
      <c r="Q220" s="12">
        <f>AVERAGEIFS($F$5:$F$148,$A$5:$A$148,$A220,$C$5:$C$148,$B220)</f>
        <v>4.333333333333333</v>
      </c>
      <c r="R220" s="12">
        <f>AVERAGEIFS($Q$152:$Q$199,$A$152:$A$199,$A220,$C$152:$C$199,$B220)</f>
        <v>2.6666666666666665</v>
      </c>
      <c r="S220" s="12">
        <f>AVERAGEIFS($R$152:$R$199,$A$152:$A$199,$A220,$C$152:$C$199,$B220)</f>
        <v>3</v>
      </c>
      <c r="T220" s="12">
        <f>AVERAGEIFS($S$152:$S$199,$A$152:$A$199,$A220,$C$152:$C$199,$B220)</f>
        <v>4.333333333333333</v>
      </c>
    </row>
    <row r="221">
      <c r="A221" s="6" t="inlineStr">
        <is>
          <t>P019</t>
        </is>
      </c>
      <c r="B221" s="6" t="inlineStr">
        <is>
          <t>EgoAnchor</t>
        </is>
      </c>
      <c r="C221" s="12">
        <f>AVERAGEIFS(Records!$K$5:$K$148,Records!$A$5:$A$148,$A221,Records!$H$5:$H$148,$B221)</f>
        <v>5</v>
      </c>
      <c r="D221" s="12">
        <f>AVERAGEIFS(Records!$L$5:$L$148,Records!$A$5:$A$148,$A221,Records!$H$5:$H$148,$B221)</f>
        <v>5</v>
      </c>
      <c r="E221" s="12">
        <f>AVERAGEIFS(Records!$M$5:$M$148,Records!$A$5:$A$148,$A221,Records!$H$5:$H$148,$B221)</f>
        <v>4</v>
      </c>
      <c r="F221" s="12">
        <f>AVERAGEIFS(Records!$O$5:$O$148,Records!$A$5:$A$148,$A221,Records!$H$5:$H$148,$B221)</f>
        <v>4.333333333333333</v>
      </c>
      <c r="G221" s="12">
        <f>AVERAGEIFS(Records!$P$5:$P$148,Records!$A$5:$A$148,$A221,Records!$H$5:$H$148,$B221)</f>
        <v>4.333333333333333</v>
      </c>
      <c r="H221" s="12">
        <f>AVERAGEIFS(Records!$Q$5:$Q$148,Records!$A$5:$A$148,$A221,Records!$H$5:$H$148,$B221)</f>
        <v>5</v>
      </c>
      <c r="I221" s="12">
        <f>AVERAGEIFS(Records!$R$5:$R$148,Records!$A$5:$A$148,$A221,Records!$H$5:$H$148,$B221)</f>
        <v>5</v>
      </c>
      <c r="J221" s="12">
        <f>AVERAGEIFS(Records!$S$5:$S$148,Records!$A$5:$A$148,$A221,Records!$H$5:$H$148,$B221)</f>
        <v>5</v>
      </c>
      <c r="K221" s="12">
        <f>AVERAGEIFS(Records!$T$5:$T$148,Records!$A$5:$A$148,$A221,Records!$H$5:$H$148,$B221)</f>
        <v>4.333333333333333</v>
      </c>
      <c r="L221" s="12">
        <f>AVERAGEIFS(Records!$U$5:$U$148,Records!$A$5:$A$148,$A221,Records!$H$5:$H$148,$B221)</f>
        <v>4.666666666666667</v>
      </c>
      <c r="M221" s="12">
        <f>AVERAGEIFS(Records!$V$5:$V$148,Records!$A$5:$A$148,$A221,Records!$H$5:$H$148,$B221)</f>
        <v>4.666666666666667</v>
      </c>
      <c r="N221" s="12">
        <f>AVERAGEIFS(Records!$W$5:$W$148,Records!$A$5:$A$148,$A221,Records!$H$5:$H$148,$B221)</f>
        <v>4.666666666666667</v>
      </c>
      <c r="O221" s="12">
        <f>AVERAGEIFS(Records!$X$5:$X$148,Records!$A$5:$A$148,$A221,Records!$H$5:$H$148,$B221)</f>
        <v>5.333333333333333</v>
      </c>
      <c r="P221" s="12">
        <f>AVERAGEIFS($E$5:$E$148,$A$5:$A$148,$A221,$C$5:$C$148,$B221)</f>
        <v>4.666666666666667</v>
      </c>
      <c r="Q221" s="12">
        <f>AVERAGEIFS($F$5:$F$148,$A$5:$A$148,$A221,$C$5:$C$148,$B221)</f>
        <v>4.444444444444445</v>
      </c>
      <c r="R221" s="12">
        <f>AVERAGEIFS($Q$152:$Q$199,$A$152:$A$199,$A221,$C$152:$C$199,$B221)</f>
        <v>3.5</v>
      </c>
      <c r="S221" s="12">
        <f>AVERAGEIFS($R$152:$R$199,$A$152:$A$199,$A221,$C$152:$C$199,$B221)</f>
        <v>3.75</v>
      </c>
      <c r="T221" s="12">
        <f>AVERAGEIFS($S$152:$S$199,$A$152:$A$199,$A221,$C$152:$C$199,$B221)</f>
        <v>5</v>
      </c>
    </row>
    <row r="222">
      <c r="A222" s="6" t="inlineStr">
        <is>
          <t>P020</t>
        </is>
      </c>
      <c r="B222" s="6" t="inlineStr">
        <is>
          <t>EgoAnchor</t>
        </is>
      </c>
      <c r="C222" s="12">
        <f>AVERAGEIFS(Records!$K$5:$K$148,Records!$A$5:$A$148,$A222,Records!$H$5:$H$148,$B222)</f>
        <v>3.6666666666666665</v>
      </c>
      <c r="D222" s="12">
        <f>AVERAGEIFS(Records!$L$5:$L$148,Records!$A$5:$A$148,$A222,Records!$H$5:$H$148,$B222)</f>
        <v>3.6666666666666665</v>
      </c>
      <c r="E222" s="12">
        <f>AVERAGEIFS(Records!$M$5:$M$148,Records!$A$5:$A$148,$A222,Records!$H$5:$H$148,$B222)</f>
        <v>3</v>
      </c>
      <c r="F222" s="12">
        <f>AVERAGEIFS(Records!$O$5:$O$148,Records!$A$5:$A$148,$A222,Records!$H$5:$H$148,$B222)</f>
        <v>3.3333333333333335</v>
      </c>
      <c r="G222" s="12">
        <f>AVERAGEIFS(Records!$P$5:$P$148,Records!$A$5:$A$148,$A222,Records!$H$5:$H$148,$B222)</f>
        <v>4</v>
      </c>
      <c r="H222" s="12">
        <f>AVERAGEIFS(Records!$Q$5:$Q$148,Records!$A$5:$A$148,$A222,Records!$H$5:$H$148,$B222)</f>
        <v>3.6666666666666665</v>
      </c>
      <c r="I222" s="12">
        <f>AVERAGEIFS(Records!$R$5:$R$148,Records!$A$5:$A$148,$A222,Records!$H$5:$H$148,$B222)</f>
        <v>3.6666666666666665</v>
      </c>
      <c r="J222" s="12">
        <f>AVERAGEIFS(Records!$S$5:$S$148,Records!$A$5:$A$148,$A222,Records!$H$5:$H$148,$B222)</f>
        <v>3.3333333333333335</v>
      </c>
      <c r="K222" s="12">
        <f>AVERAGEIFS(Records!$T$5:$T$148,Records!$A$5:$A$148,$A222,Records!$H$5:$H$148,$B222)</f>
        <v>5</v>
      </c>
      <c r="L222" s="12">
        <f>AVERAGEIFS(Records!$U$5:$U$148,Records!$A$5:$A$148,$A222,Records!$H$5:$H$148,$B222)</f>
        <v>4</v>
      </c>
      <c r="M222" s="12">
        <f>AVERAGEIFS(Records!$V$5:$V$148,Records!$A$5:$A$148,$A222,Records!$H$5:$H$148,$B222)</f>
        <v>3.6666666666666665</v>
      </c>
      <c r="N222" s="12">
        <f>AVERAGEIFS(Records!$W$5:$W$148,Records!$A$5:$A$148,$A222,Records!$H$5:$H$148,$B222)</f>
        <v>4</v>
      </c>
      <c r="O222" s="12">
        <f>AVERAGEIFS(Records!$X$5:$X$148,Records!$A$5:$A$148,$A222,Records!$H$5:$H$148,$B222)</f>
        <v>3.3333333333333335</v>
      </c>
      <c r="P222" s="12">
        <f>AVERAGEIFS($E$5:$E$148,$A$5:$A$148,$A222,$C$5:$C$148,$B222)</f>
        <v>4.111111111111111</v>
      </c>
      <c r="Q222" s="12">
        <f>AVERAGEIFS($F$5:$F$148,$A$5:$A$148,$A222,$C$5:$C$148,$B222)</f>
        <v>3.6666666666666665</v>
      </c>
      <c r="R222" s="12">
        <f>AVERAGEIFS($Q$152:$Q$199,$A$152:$A$199,$A222,$C$152:$C$199,$B222)</f>
        <v>2.8333333333333335</v>
      </c>
      <c r="S222" s="12">
        <f>AVERAGEIFS($R$152:$R$199,$A$152:$A$199,$A222,$C$152:$C$199,$B222)</f>
        <v>1.75</v>
      </c>
      <c r="T222" s="12">
        <f>AVERAGEIFS($S$152:$S$199,$A$152:$A$199,$A222,$C$152:$C$199,$B222)</f>
        <v>3.3333333333333335</v>
      </c>
    </row>
    <row r="223">
      <c r="A223" s="6" t="inlineStr">
        <is>
          <t>P021</t>
        </is>
      </c>
      <c r="B223" s="6" t="inlineStr">
        <is>
          <t>EgoAnchor</t>
        </is>
      </c>
      <c r="C223" s="12">
        <f>AVERAGEIFS(Records!$K$5:$K$148,Records!$A$5:$A$148,$A223,Records!$H$5:$H$148,$B223)</f>
        <v>7</v>
      </c>
      <c r="D223" s="12">
        <f>AVERAGEIFS(Records!$L$5:$L$148,Records!$A$5:$A$148,$A223,Records!$H$5:$H$148,$B223)</f>
        <v>5.333333333333333</v>
      </c>
      <c r="E223" s="12">
        <f>AVERAGEIFS(Records!$M$5:$M$148,Records!$A$5:$A$148,$A223,Records!$H$5:$H$148,$B223)</f>
        <v>5.666666666666667</v>
      </c>
      <c r="F223" s="12">
        <f>AVERAGEIFS(Records!$O$5:$O$148,Records!$A$5:$A$148,$A223,Records!$H$5:$H$148,$B223)</f>
        <v>6</v>
      </c>
      <c r="G223" s="12">
        <f>AVERAGEIFS(Records!$P$5:$P$148,Records!$A$5:$A$148,$A223,Records!$H$5:$H$148,$B223)</f>
        <v>6</v>
      </c>
      <c r="H223" s="12">
        <f>AVERAGEIFS(Records!$Q$5:$Q$148,Records!$A$5:$A$148,$A223,Records!$H$5:$H$148,$B223)</f>
        <v>7</v>
      </c>
      <c r="I223" s="12">
        <f>AVERAGEIFS(Records!$R$5:$R$148,Records!$A$5:$A$148,$A223,Records!$H$5:$H$148,$B223)</f>
        <v>6.666666666666667</v>
      </c>
      <c r="J223" s="12">
        <f>AVERAGEIFS(Records!$S$5:$S$148,Records!$A$5:$A$148,$A223,Records!$H$5:$H$148,$B223)</f>
        <v>5.333333333333333</v>
      </c>
      <c r="K223" s="12">
        <f>AVERAGEIFS(Records!$T$5:$T$148,Records!$A$5:$A$148,$A223,Records!$H$5:$H$148,$B223)</f>
        <v>7</v>
      </c>
      <c r="L223" s="12">
        <f>AVERAGEIFS(Records!$U$5:$U$148,Records!$A$5:$A$148,$A223,Records!$H$5:$H$148,$B223)</f>
        <v>6</v>
      </c>
      <c r="M223" s="12">
        <f>AVERAGEIFS(Records!$V$5:$V$148,Records!$A$5:$A$148,$A223,Records!$H$5:$H$148,$B223)</f>
        <v>7</v>
      </c>
      <c r="N223" s="12">
        <f>AVERAGEIFS(Records!$W$5:$W$148,Records!$A$5:$A$148,$A223,Records!$H$5:$H$148,$B223)</f>
        <v>4.333333333333333</v>
      </c>
      <c r="O223" s="12">
        <f>AVERAGEIFS(Records!$X$5:$X$148,Records!$A$5:$A$148,$A223,Records!$H$5:$H$148,$B223)</f>
        <v>5.666666666666667</v>
      </c>
      <c r="P223" s="12">
        <f>AVERAGEIFS($E$5:$E$148,$A$5:$A$148,$A223,$C$5:$C$148,$B223)</f>
        <v>6.111111111111111</v>
      </c>
      <c r="Q223" s="12">
        <f>AVERAGEIFS($F$5:$F$148,$A$5:$A$148,$A223,$C$5:$C$148,$B223)</f>
        <v>6.333333333333333</v>
      </c>
      <c r="R223" s="12">
        <f>AVERAGEIFS($Q$152:$Q$199,$A$152:$A$199,$A223,$C$152:$C$199,$B223)</f>
        <v>4.5</v>
      </c>
      <c r="S223" s="12">
        <f>AVERAGEIFS($R$152:$R$199,$A$152:$A$199,$A223,$C$152:$C$199,$B223)</f>
        <v>4.75</v>
      </c>
      <c r="T223" s="12">
        <f>AVERAGEIFS($S$152:$S$199,$A$152:$A$199,$A223,$C$152:$C$199,$B223)</f>
        <v>6</v>
      </c>
    </row>
    <row r="224">
      <c r="A224" s="6" t="inlineStr">
        <is>
          <t>P022</t>
        </is>
      </c>
      <c r="B224" s="6" t="inlineStr">
        <is>
          <t>EgoAnchor</t>
        </is>
      </c>
      <c r="C224" s="12">
        <f>AVERAGEIFS(Records!$K$5:$K$148,Records!$A$5:$A$148,$A224,Records!$H$5:$H$148,$B224)</f>
        <v>4</v>
      </c>
      <c r="D224" s="12">
        <f>AVERAGEIFS(Records!$L$5:$L$148,Records!$A$5:$A$148,$A224,Records!$H$5:$H$148,$B224)</f>
        <v>4</v>
      </c>
      <c r="E224" s="12">
        <f>AVERAGEIFS(Records!$M$5:$M$148,Records!$A$5:$A$148,$A224,Records!$H$5:$H$148,$B224)</f>
        <v>4</v>
      </c>
      <c r="F224" s="12">
        <f>AVERAGEIFS(Records!$O$5:$O$148,Records!$A$5:$A$148,$A224,Records!$H$5:$H$148,$B224)</f>
        <v>4.333333333333333</v>
      </c>
      <c r="G224" s="12">
        <f>AVERAGEIFS(Records!$P$5:$P$148,Records!$A$5:$A$148,$A224,Records!$H$5:$H$148,$B224)</f>
        <v>4.666666666666667</v>
      </c>
      <c r="H224" s="12">
        <f>AVERAGEIFS(Records!$Q$5:$Q$148,Records!$A$5:$A$148,$A224,Records!$H$5:$H$148,$B224)</f>
        <v>4.333333333333333</v>
      </c>
      <c r="I224" s="12">
        <f>AVERAGEIFS(Records!$R$5:$R$148,Records!$A$5:$A$148,$A224,Records!$H$5:$H$148,$B224)</f>
        <v>4.333333333333333</v>
      </c>
      <c r="J224" s="12">
        <f>AVERAGEIFS(Records!$S$5:$S$148,Records!$A$5:$A$148,$A224,Records!$H$5:$H$148,$B224)</f>
        <v>3.6666666666666665</v>
      </c>
      <c r="K224" s="12">
        <f>AVERAGEIFS(Records!$T$5:$T$148,Records!$A$5:$A$148,$A224,Records!$H$5:$H$148,$B224)</f>
        <v>3.3333333333333335</v>
      </c>
      <c r="L224" s="12">
        <f>AVERAGEIFS(Records!$U$5:$U$148,Records!$A$5:$A$148,$A224,Records!$H$5:$H$148,$B224)</f>
        <v>4.666666666666667</v>
      </c>
      <c r="M224" s="12">
        <f>AVERAGEIFS(Records!$V$5:$V$148,Records!$A$5:$A$148,$A224,Records!$H$5:$H$148,$B224)</f>
        <v>3.6666666666666665</v>
      </c>
      <c r="N224" s="12">
        <f>AVERAGEIFS(Records!$W$5:$W$148,Records!$A$5:$A$148,$A224,Records!$H$5:$H$148,$B224)</f>
        <v>3.6666666666666665</v>
      </c>
      <c r="O224" s="12">
        <f>AVERAGEIFS(Records!$X$5:$X$148,Records!$A$5:$A$148,$A224,Records!$H$5:$H$148,$B224)</f>
        <v>4</v>
      </c>
      <c r="P224" s="12">
        <f>AVERAGEIFS($E$5:$E$148,$A$5:$A$148,$A224,$C$5:$C$148,$B224)</f>
        <v>3.888888888888889</v>
      </c>
      <c r="Q224" s="12">
        <f>AVERAGEIFS($F$5:$F$148,$A$5:$A$148,$A224,$C$5:$C$148,$B224)</f>
        <v>4.222222222222222</v>
      </c>
      <c r="R224" s="12">
        <f>AVERAGEIFS($Q$152:$Q$199,$A$152:$A$199,$A224,$C$152:$C$199,$B224)</f>
        <v>3.1666666666666665</v>
      </c>
      <c r="S224" s="12">
        <f>AVERAGEIFS($R$152:$R$199,$A$152:$A$199,$A224,$C$152:$C$199,$B224)</f>
        <v>2.5</v>
      </c>
      <c r="T224" s="12">
        <f>AVERAGEIFS($S$152:$S$199,$A$152:$A$199,$A224,$C$152:$C$199,$B224)</f>
        <v>4</v>
      </c>
    </row>
    <row r="225">
      <c r="A225" s="6" t="inlineStr">
        <is>
          <t>P023</t>
        </is>
      </c>
      <c r="B225" s="6" t="inlineStr">
        <is>
          <t>EgoAnchor</t>
        </is>
      </c>
      <c r="C225" s="12">
        <f>AVERAGEIFS(Records!$K$5:$K$148,Records!$A$5:$A$148,$A225,Records!$H$5:$H$148,$B225)</f>
        <v>7</v>
      </c>
      <c r="D225" s="12">
        <f>AVERAGEIFS(Records!$L$5:$L$148,Records!$A$5:$A$148,$A225,Records!$H$5:$H$148,$B225)</f>
        <v>6.666666666666667</v>
      </c>
      <c r="E225" s="12">
        <f>AVERAGEIFS(Records!$M$5:$M$148,Records!$A$5:$A$148,$A225,Records!$H$5:$H$148,$B225)</f>
        <v>7</v>
      </c>
      <c r="F225" s="12">
        <f>AVERAGEIFS(Records!$O$5:$O$148,Records!$A$5:$A$148,$A225,Records!$H$5:$H$148,$B225)</f>
        <v>5.333333333333333</v>
      </c>
      <c r="G225" s="12">
        <f>AVERAGEIFS(Records!$P$5:$P$148,Records!$A$5:$A$148,$A225,Records!$H$5:$H$148,$B225)</f>
        <v>6.333333333333333</v>
      </c>
      <c r="H225" s="12">
        <f>AVERAGEIFS(Records!$Q$5:$Q$148,Records!$A$5:$A$148,$A225,Records!$H$5:$H$148,$B225)</f>
        <v>7</v>
      </c>
      <c r="I225" s="12">
        <f>AVERAGEIFS(Records!$R$5:$R$148,Records!$A$5:$A$148,$A225,Records!$H$5:$H$148,$B225)</f>
        <v>6.333333333333333</v>
      </c>
      <c r="J225" s="12">
        <f>AVERAGEIFS(Records!$S$5:$S$148,Records!$A$5:$A$148,$A225,Records!$H$5:$H$148,$B225)</f>
        <v>6.333333333333333</v>
      </c>
      <c r="K225" s="12">
        <f>AVERAGEIFS(Records!$T$5:$T$148,Records!$A$5:$A$148,$A225,Records!$H$5:$H$148,$B225)</f>
        <v>4.333333333333333</v>
      </c>
      <c r="L225" s="12">
        <f>AVERAGEIFS(Records!$U$5:$U$148,Records!$A$5:$A$148,$A225,Records!$H$5:$H$148,$B225)</f>
        <v>6.666666666666667</v>
      </c>
      <c r="M225" s="12">
        <f>AVERAGEIFS(Records!$V$5:$V$148,Records!$A$5:$A$148,$A225,Records!$H$5:$H$148,$B225)</f>
        <v>7</v>
      </c>
      <c r="N225" s="12">
        <f>AVERAGEIFS(Records!$W$5:$W$148,Records!$A$5:$A$148,$A225,Records!$H$5:$H$148,$B225)</f>
        <v>6.333333333333333</v>
      </c>
      <c r="O225" s="12">
        <f>AVERAGEIFS(Records!$X$5:$X$148,Records!$A$5:$A$148,$A225,Records!$H$5:$H$148,$B225)</f>
        <v>6.666666666666667</v>
      </c>
      <c r="P225" s="12">
        <f>AVERAGEIFS($E$5:$E$148,$A$5:$A$148,$A225,$C$5:$C$148,$B225)</f>
        <v>5.777777777777778</v>
      </c>
      <c r="Q225" s="12">
        <f>AVERAGEIFS($F$5:$F$148,$A$5:$A$148,$A225,$C$5:$C$148,$B225)</f>
        <v>6.222222222222222</v>
      </c>
      <c r="R225" s="12">
        <f>AVERAGEIFS($Q$152:$Q$199,$A$152:$A$199,$A225,$C$152:$C$199,$B225)</f>
        <v>4.833333333333333</v>
      </c>
      <c r="S225" s="12">
        <f>AVERAGEIFS($R$152:$R$199,$A$152:$A$199,$A225,$C$152:$C$199,$B225)</f>
        <v>5</v>
      </c>
      <c r="T225" s="12">
        <f>AVERAGEIFS($S$152:$S$199,$A$152:$A$199,$A225,$C$152:$C$199,$B225)</f>
        <v>6.666666666666667</v>
      </c>
    </row>
    <row r="226">
      <c r="A226" s="6" t="inlineStr">
        <is>
          <t>P024</t>
        </is>
      </c>
      <c r="B226" s="6" t="inlineStr">
        <is>
          <t>EgoAnchor</t>
        </is>
      </c>
      <c r="C226" s="12">
        <f>AVERAGEIFS(Records!$K$5:$K$148,Records!$A$5:$A$148,$A226,Records!$H$5:$H$148,$B226)</f>
        <v>6</v>
      </c>
      <c r="D226" s="12">
        <f>AVERAGEIFS(Records!$L$5:$L$148,Records!$A$5:$A$148,$A226,Records!$H$5:$H$148,$B226)</f>
        <v>6.333333333333333</v>
      </c>
      <c r="E226" s="12">
        <f>AVERAGEIFS(Records!$M$5:$M$148,Records!$A$5:$A$148,$A226,Records!$H$5:$H$148,$B226)</f>
        <v>6.666666666666667</v>
      </c>
      <c r="F226" s="12">
        <f>AVERAGEIFS(Records!$O$5:$O$148,Records!$A$5:$A$148,$A226,Records!$H$5:$H$148,$B226)</f>
        <v>6</v>
      </c>
      <c r="G226" s="12">
        <f>AVERAGEIFS(Records!$P$5:$P$148,Records!$A$5:$A$148,$A226,Records!$H$5:$H$148,$B226)</f>
        <v>5.333333333333333</v>
      </c>
      <c r="H226" s="12">
        <f>AVERAGEIFS(Records!$Q$5:$Q$148,Records!$A$5:$A$148,$A226,Records!$H$5:$H$148,$B226)</f>
        <v>6.333333333333333</v>
      </c>
      <c r="I226" s="12">
        <f>AVERAGEIFS(Records!$R$5:$R$148,Records!$A$5:$A$148,$A226,Records!$H$5:$H$148,$B226)</f>
        <v>7</v>
      </c>
      <c r="J226" s="12">
        <f>AVERAGEIFS(Records!$S$5:$S$148,Records!$A$5:$A$148,$A226,Records!$H$5:$H$148,$B226)</f>
        <v>6.333333333333333</v>
      </c>
      <c r="K226" s="12">
        <f>AVERAGEIFS(Records!$T$5:$T$148,Records!$A$5:$A$148,$A226,Records!$H$5:$H$148,$B226)</f>
        <v>4.666666666666667</v>
      </c>
      <c r="L226" s="12">
        <f>AVERAGEIFS(Records!$U$5:$U$148,Records!$A$5:$A$148,$A226,Records!$H$5:$H$148,$B226)</f>
        <v>6</v>
      </c>
      <c r="M226" s="12">
        <f>AVERAGEIFS(Records!$V$5:$V$148,Records!$A$5:$A$148,$A226,Records!$H$5:$H$148,$B226)</f>
        <v>4.333333333333333</v>
      </c>
      <c r="N226" s="12">
        <f>AVERAGEIFS(Records!$W$5:$W$148,Records!$A$5:$A$148,$A226,Records!$H$5:$H$148,$B226)</f>
        <v>7</v>
      </c>
      <c r="O226" s="12">
        <f>AVERAGEIFS(Records!$X$5:$X$148,Records!$A$5:$A$148,$A226,Records!$H$5:$H$148,$B226)</f>
        <v>6</v>
      </c>
      <c r="P226" s="12">
        <f>AVERAGEIFS($E$5:$E$148,$A$5:$A$148,$A226,$C$5:$C$148,$B226)</f>
        <v>5.666666666666667</v>
      </c>
      <c r="Q226" s="12">
        <f>AVERAGEIFS($F$5:$F$148,$A$5:$A$148,$A226,$C$5:$C$148,$B226)</f>
        <v>5.222222222222222</v>
      </c>
      <c r="R226" s="12">
        <f>AVERAGEIFS($Q$152:$Q$199,$A$152:$A$199,$A226,$C$152:$C$199,$B226)</f>
        <v>4.666666666666667</v>
      </c>
      <c r="S226" s="12">
        <f>AVERAGEIFS($R$152:$R$199,$A$152:$A$199,$A226,$C$152:$C$199,$B226)</f>
        <v>5</v>
      </c>
      <c r="T226" s="12">
        <f>AVERAGEIFS($S$152:$S$199,$A$152:$A$199,$A226,$C$152:$C$199,$B226)</f>
        <v>6.666666666666667</v>
      </c>
    </row>
    <row r="227">
      <c r="A227" s="6" t="inlineStr">
        <is>
          <t>P001</t>
        </is>
      </c>
      <c r="B227" s="6" t="inlineStr">
        <is>
          <t>One-Euro</t>
        </is>
      </c>
      <c r="C227" s="12">
        <f>AVERAGEIFS(Records!$K$5:$K$148,Records!$A$5:$A$148,$A227,Records!$H$5:$H$148,$B227)</f>
        <v>4</v>
      </c>
      <c r="D227" s="12">
        <f>AVERAGEIFS(Records!$L$5:$L$148,Records!$A$5:$A$148,$A227,Records!$H$5:$H$148,$B227)</f>
        <v>5.333333333333333</v>
      </c>
      <c r="E227" s="12">
        <f>AVERAGEIFS(Records!$M$5:$M$148,Records!$A$5:$A$148,$A227,Records!$H$5:$H$148,$B227)</f>
        <v>5</v>
      </c>
      <c r="F227" s="12">
        <f>AVERAGEIFS(Records!$O$5:$O$148,Records!$A$5:$A$148,$A227,Records!$H$5:$H$148,$B227)</f>
        <v>7</v>
      </c>
      <c r="G227" s="12">
        <f>AVERAGEIFS(Records!$P$5:$P$148,Records!$A$5:$A$148,$A227,Records!$H$5:$H$148,$B227)</f>
        <v>4.666666666666667</v>
      </c>
      <c r="H227" s="12">
        <f>AVERAGEIFS(Records!$Q$5:$Q$148,Records!$A$5:$A$148,$A227,Records!$H$5:$H$148,$B227)</f>
        <v>5</v>
      </c>
      <c r="I227" s="12">
        <f>AVERAGEIFS(Records!$R$5:$R$148,Records!$A$5:$A$148,$A227,Records!$H$5:$H$148,$B227)</f>
        <v>6.333333333333333</v>
      </c>
      <c r="J227" s="12">
        <f>AVERAGEIFS(Records!$S$5:$S$148,Records!$A$5:$A$148,$A227,Records!$H$5:$H$148,$B227)</f>
        <v>5.666666666666667</v>
      </c>
      <c r="K227" s="12">
        <f>AVERAGEIFS(Records!$T$5:$T$148,Records!$A$5:$A$148,$A227,Records!$H$5:$H$148,$B227)</f>
        <v>5.333333333333333</v>
      </c>
      <c r="L227" s="12">
        <f>AVERAGEIFS(Records!$U$5:$U$148,Records!$A$5:$A$148,$A227,Records!$H$5:$H$148,$B227)</f>
        <v>6.666666666666667</v>
      </c>
      <c r="M227" s="12">
        <f>AVERAGEIFS(Records!$V$5:$V$148,Records!$A$5:$A$148,$A227,Records!$H$5:$H$148,$B227)</f>
        <v>5.666666666666667</v>
      </c>
      <c r="N227" s="12">
        <f>AVERAGEIFS(Records!$W$5:$W$148,Records!$A$5:$A$148,$A227,Records!$H$5:$H$148,$B227)</f>
        <v>5</v>
      </c>
      <c r="O227" s="12">
        <f>AVERAGEIFS(Records!$X$5:$X$148,Records!$A$5:$A$148,$A227,Records!$H$5:$H$148,$B227)</f>
        <v>4</v>
      </c>
      <c r="P227" s="12">
        <f>AVERAGEIFS($E$5:$E$148,$A$5:$A$148,$A227,$C$5:$C$148,$B227)</f>
        <v>5.888888888888889</v>
      </c>
      <c r="Q227" s="12">
        <f>AVERAGEIFS($F$5:$F$148,$A$5:$A$148,$A227,$C$5:$C$148,$B227)</f>
        <v>5.777777777777778</v>
      </c>
      <c r="R227" s="12">
        <f>AVERAGEIFS($Q$152:$Q$199,$A$152:$A$199,$A227,$C$152:$C$199,$B227)</f>
        <v>4.333333333333333</v>
      </c>
      <c r="S227" s="12">
        <f>AVERAGEIFS($R$152:$R$199,$A$152:$A$199,$A227,$C$152:$C$199,$B227)</f>
        <v>3.75</v>
      </c>
      <c r="T227" s="12">
        <f>AVERAGEIFS($S$152:$S$199,$A$152:$A$199,$A227,$C$152:$C$199,$B227)</f>
        <v>5.666666666666667</v>
      </c>
    </row>
    <row r="228">
      <c r="A228" s="6" t="inlineStr">
        <is>
          <t>P002</t>
        </is>
      </c>
      <c r="B228" s="6" t="inlineStr">
        <is>
          <t>One-Euro</t>
        </is>
      </c>
      <c r="C228" s="12">
        <f>AVERAGEIFS(Records!$K$5:$K$148,Records!$A$5:$A$148,$A228,Records!$H$5:$H$148,$B228)</f>
        <v>5</v>
      </c>
      <c r="D228" s="12">
        <f>AVERAGEIFS(Records!$L$5:$L$148,Records!$A$5:$A$148,$A228,Records!$H$5:$H$148,$B228)</f>
        <v>4.666666666666667</v>
      </c>
      <c r="E228" s="12">
        <f>AVERAGEIFS(Records!$M$5:$M$148,Records!$A$5:$A$148,$A228,Records!$H$5:$H$148,$B228)</f>
        <v>4.333333333333333</v>
      </c>
      <c r="F228" s="12">
        <f>AVERAGEIFS(Records!$O$5:$O$148,Records!$A$5:$A$148,$A228,Records!$H$5:$H$148,$B228)</f>
        <v>4.666666666666667</v>
      </c>
      <c r="G228" s="12">
        <f>AVERAGEIFS(Records!$P$5:$P$148,Records!$A$5:$A$148,$A228,Records!$H$5:$H$148,$B228)</f>
        <v>4.333333333333333</v>
      </c>
      <c r="H228" s="12">
        <f>AVERAGEIFS(Records!$Q$5:$Q$148,Records!$A$5:$A$148,$A228,Records!$H$5:$H$148,$B228)</f>
        <v>4</v>
      </c>
      <c r="I228" s="12">
        <f>AVERAGEIFS(Records!$R$5:$R$148,Records!$A$5:$A$148,$A228,Records!$H$5:$H$148,$B228)</f>
        <v>3.6666666666666665</v>
      </c>
      <c r="J228" s="12">
        <f>AVERAGEIFS(Records!$S$5:$S$148,Records!$A$5:$A$148,$A228,Records!$H$5:$H$148,$B228)</f>
        <v>4</v>
      </c>
      <c r="K228" s="12">
        <f>AVERAGEIFS(Records!$T$5:$T$148,Records!$A$5:$A$148,$A228,Records!$H$5:$H$148,$B228)</f>
        <v>4.333333333333333</v>
      </c>
      <c r="L228" s="12">
        <f>AVERAGEIFS(Records!$U$5:$U$148,Records!$A$5:$A$148,$A228,Records!$H$5:$H$148,$B228)</f>
        <v>6</v>
      </c>
      <c r="M228" s="12">
        <f>AVERAGEIFS(Records!$V$5:$V$148,Records!$A$5:$A$148,$A228,Records!$H$5:$H$148,$B228)</f>
        <v>6</v>
      </c>
      <c r="N228" s="12">
        <f>AVERAGEIFS(Records!$W$5:$W$148,Records!$A$5:$A$148,$A228,Records!$H$5:$H$148,$B228)</f>
        <v>4</v>
      </c>
      <c r="O228" s="12">
        <f>AVERAGEIFS(Records!$X$5:$X$148,Records!$A$5:$A$148,$A228,Records!$H$5:$H$148,$B228)</f>
        <v>4.333333333333333</v>
      </c>
      <c r="P228" s="12">
        <f>AVERAGEIFS($E$5:$E$148,$A$5:$A$148,$A228,$C$5:$C$148,$B228)</f>
        <v>4.777777777777778</v>
      </c>
      <c r="Q228" s="12">
        <f>AVERAGEIFS($F$5:$F$148,$A$5:$A$148,$A228,$C$5:$C$148,$B228)</f>
        <v>5</v>
      </c>
      <c r="R228" s="12">
        <f>AVERAGEIFS($Q$152:$Q$199,$A$152:$A$199,$A228,$C$152:$C$199,$B228)</f>
        <v>2.3333333333333335</v>
      </c>
      <c r="S228" s="12">
        <f>AVERAGEIFS($R$152:$R$199,$A$152:$A$199,$A228,$C$152:$C$199,$B228)</f>
        <v>3</v>
      </c>
      <c r="T228" s="12">
        <f>AVERAGEIFS($S$152:$S$199,$A$152:$A$199,$A228,$C$152:$C$199,$B228)</f>
        <v>3.3333333333333335</v>
      </c>
    </row>
    <row r="229">
      <c r="A229" s="6" t="inlineStr">
        <is>
          <t>P003</t>
        </is>
      </c>
      <c r="B229" s="6" t="inlineStr">
        <is>
          <t>One-Euro</t>
        </is>
      </c>
      <c r="C229" s="12">
        <f>AVERAGEIFS(Records!$K$5:$K$148,Records!$A$5:$A$148,$A229,Records!$H$5:$H$148,$B229)</f>
        <v>3</v>
      </c>
      <c r="D229" s="12">
        <f>AVERAGEIFS(Records!$L$5:$L$148,Records!$A$5:$A$148,$A229,Records!$H$5:$H$148,$B229)</f>
        <v>5.333333333333333</v>
      </c>
      <c r="E229" s="12">
        <f>AVERAGEIFS(Records!$M$5:$M$148,Records!$A$5:$A$148,$A229,Records!$H$5:$H$148,$B229)</f>
        <v>3.3333333333333335</v>
      </c>
      <c r="F229" s="12">
        <f>AVERAGEIFS(Records!$O$5:$O$148,Records!$A$5:$A$148,$A229,Records!$H$5:$H$148,$B229)</f>
        <v>5.666666666666667</v>
      </c>
      <c r="G229" s="12">
        <f>AVERAGEIFS(Records!$P$5:$P$148,Records!$A$5:$A$148,$A229,Records!$H$5:$H$148,$B229)</f>
        <v>4.333333333333333</v>
      </c>
      <c r="H229" s="12">
        <f>AVERAGEIFS(Records!$Q$5:$Q$148,Records!$A$5:$A$148,$A229,Records!$H$5:$H$148,$B229)</f>
        <v>4.666666666666667</v>
      </c>
      <c r="I229" s="12">
        <f>AVERAGEIFS(Records!$R$5:$R$148,Records!$A$5:$A$148,$A229,Records!$H$5:$H$148,$B229)</f>
        <v>3</v>
      </c>
      <c r="J229" s="12">
        <f>AVERAGEIFS(Records!$S$5:$S$148,Records!$A$5:$A$148,$A229,Records!$H$5:$H$148,$B229)</f>
        <v>4</v>
      </c>
      <c r="K229" s="12">
        <f>AVERAGEIFS(Records!$T$5:$T$148,Records!$A$5:$A$148,$A229,Records!$H$5:$H$148,$B229)</f>
        <v>4.333333333333333</v>
      </c>
      <c r="L229" s="12">
        <f>AVERAGEIFS(Records!$U$5:$U$148,Records!$A$5:$A$148,$A229,Records!$H$5:$H$148,$B229)</f>
        <v>6</v>
      </c>
      <c r="M229" s="12">
        <f>AVERAGEIFS(Records!$V$5:$V$148,Records!$A$5:$A$148,$A229,Records!$H$5:$H$148,$B229)</f>
        <v>4</v>
      </c>
      <c r="N229" s="12">
        <f>AVERAGEIFS(Records!$W$5:$W$148,Records!$A$5:$A$148,$A229,Records!$H$5:$H$148,$B229)</f>
        <v>4.333333333333333</v>
      </c>
      <c r="O229" s="12">
        <f>AVERAGEIFS(Records!$X$5:$X$148,Records!$A$5:$A$148,$A229,Records!$H$5:$H$148,$B229)</f>
        <v>3.6666666666666665</v>
      </c>
      <c r="P229" s="12">
        <f>AVERAGEIFS($E$5:$E$148,$A$5:$A$148,$A229,$C$5:$C$148,$B229)</f>
        <v>4.777777777777778</v>
      </c>
      <c r="Q229" s="12">
        <f>AVERAGEIFS($F$5:$F$148,$A$5:$A$148,$A229,$C$5:$C$148,$B229)</f>
        <v>4.666666666666667</v>
      </c>
      <c r="R229" s="12">
        <f>AVERAGEIFS($Q$152:$Q$199,$A$152:$A$199,$A229,$C$152:$C$199,$B229)</f>
        <v>2.8333333333333335</v>
      </c>
      <c r="S229" s="12">
        <f>AVERAGEIFS($R$152:$R$199,$A$152:$A$199,$A229,$C$152:$C$199,$B229)</f>
        <v>3.5</v>
      </c>
      <c r="T229" s="12">
        <f>AVERAGEIFS($S$152:$S$199,$A$152:$A$199,$A229,$C$152:$C$199,$B229)</f>
        <v>4</v>
      </c>
    </row>
    <row r="230">
      <c r="A230" s="6" t="inlineStr">
        <is>
          <t>P004</t>
        </is>
      </c>
      <c r="B230" s="6" t="inlineStr">
        <is>
          <t>One-Euro</t>
        </is>
      </c>
      <c r="C230" s="12">
        <f>AVERAGEIFS(Records!$K$5:$K$148,Records!$A$5:$A$148,$A230,Records!$H$5:$H$148,$B230)</f>
        <v>4.333333333333333</v>
      </c>
      <c r="D230" s="12">
        <f>AVERAGEIFS(Records!$L$5:$L$148,Records!$A$5:$A$148,$A230,Records!$H$5:$H$148,$B230)</f>
        <v>4.333333333333333</v>
      </c>
      <c r="E230" s="12">
        <f>AVERAGEIFS(Records!$M$5:$M$148,Records!$A$5:$A$148,$A230,Records!$H$5:$H$148,$B230)</f>
        <v>4</v>
      </c>
      <c r="F230" s="12">
        <f>AVERAGEIFS(Records!$O$5:$O$148,Records!$A$5:$A$148,$A230,Records!$H$5:$H$148,$B230)</f>
        <v>4.333333333333333</v>
      </c>
      <c r="G230" s="12">
        <f>AVERAGEIFS(Records!$P$5:$P$148,Records!$A$5:$A$148,$A230,Records!$H$5:$H$148,$B230)</f>
        <v>4.666666666666667</v>
      </c>
      <c r="H230" s="12">
        <f>AVERAGEIFS(Records!$Q$5:$Q$148,Records!$A$5:$A$148,$A230,Records!$H$5:$H$148,$B230)</f>
        <v>4.666666666666667</v>
      </c>
      <c r="I230" s="12">
        <f>AVERAGEIFS(Records!$R$5:$R$148,Records!$A$5:$A$148,$A230,Records!$H$5:$H$148,$B230)</f>
        <v>5</v>
      </c>
      <c r="J230" s="12">
        <f>AVERAGEIFS(Records!$S$5:$S$148,Records!$A$5:$A$148,$A230,Records!$H$5:$H$148,$B230)</f>
        <v>6</v>
      </c>
      <c r="K230" s="12">
        <f>AVERAGEIFS(Records!$T$5:$T$148,Records!$A$5:$A$148,$A230,Records!$H$5:$H$148,$B230)</f>
        <v>5.333333333333333</v>
      </c>
      <c r="L230" s="12">
        <f>AVERAGEIFS(Records!$U$5:$U$148,Records!$A$5:$A$148,$A230,Records!$H$5:$H$148,$B230)</f>
        <v>4.666666666666667</v>
      </c>
      <c r="M230" s="12">
        <f>AVERAGEIFS(Records!$V$5:$V$148,Records!$A$5:$A$148,$A230,Records!$H$5:$H$148,$B230)</f>
        <v>5.666666666666667</v>
      </c>
      <c r="N230" s="12">
        <f>AVERAGEIFS(Records!$W$5:$W$148,Records!$A$5:$A$148,$A230,Records!$H$5:$H$148,$B230)</f>
        <v>5.333333333333333</v>
      </c>
      <c r="O230" s="12">
        <f>AVERAGEIFS(Records!$X$5:$X$148,Records!$A$5:$A$148,$A230,Records!$H$5:$H$148,$B230)</f>
        <v>4.333333333333333</v>
      </c>
      <c r="P230" s="12">
        <f>AVERAGEIFS($E$5:$E$148,$A$5:$A$148,$A230,$C$5:$C$148,$B230)</f>
        <v>5.333333333333333</v>
      </c>
      <c r="Q230" s="12">
        <f>AVERAGEIFS($F$5:$F$148,$A$5:$A$148,$A230,$C$5:$C$148,$B230)</f>
        <v>4.888888888888889</v>
      </c>
      <c r="R230" s="12">
        <f>AVERAGEIFS($Q$152:$Q$199,$A$152:$A$199,$A230,$C$152:$C$199,$B230)</f>
        <v>3.5</v>
      </c>
      <c r="S230" s="12">
        <f>AVERAGEIFS($R$152:$R$199,$A$152:$A$199,$A230,$C$152:$C$199,$B230)</f>
        <v>3.5</v>
      </c>
      <c r="T230" s="12">
        <f>AVERAGEIFS($S$152:$S$199,$A$152:$A$199,$A230,$C$152:$C$199,$B230)</f>
        <v>5.333333333333333</v>
      </c>
    </row>
    <row r="231">
      <c r="A231" s="6" t="inlineStr">
        <is>
          <t>P005</t>
        </is>
      </c>
      <c r="B231" s="6" t="inlineStr">
        <is>
          <t>One-Euro</t>
        </is>
      </c>
      <c r="C231" s="12">
        <f>AVERAGEIFS(Records!$K$5:$K$148,Records!$A$5:$A$148,$A231,Records!$H$5:$H$148,$B231)</f>
        <v>2</v>
      </c>
      <c r="D231" s="12">
        <f>AVERAGEIFS(Records!$L$5:$L$148,Records!$A$5:$A$148,$A231,Records!$H$5:$H$148,$B231)</f>
        <v>3.3333333333333335</v>
      </c>
      <c r="E231" s="12">
        <f>AVERAGEIFS(Records!$M$5:$M$148,Records!$A$5:$A$148,$A231,Records!$H$5:$H$148,$B231)</f>
        <v>2</v>
      </c>
      <c r="F231" s="12">
        <f>AVERAGEIFS(Records!$O$5:$O$148,Records!$A$5:$A$148,$A231,Records!$H$5:$H$148,$B231)</f>
        <v>5</v>
      </c>
      <c r="G231" s="12">
        <f>AVERAGEIFS(Records!$P$5:$P$148,Records!$A$5:$A$148,$A231,Records!$H$5:$H$148,$B231)</f>
        <v>5.333333333333333</v>
      </c>
      <c r="H231" s="12">
        <f>AVERAGEIFS(Records!$Q$5:$Q$148,Records!$A$5:$A$148,$A231,Records!$H$5:$H$148,$B231)</f>
        <v>3</v>
      </c>
      <c r="I231" s="12">
        <f>AVERAGEIFS(Records!$R$5:$R$148,Records!$A$5:$A$148,$A231,Records!$H$5:$H$148,$B231)</f>
        <v>3</v>
      </c>
      <c r="J231" s="12">
        <f>AVERAGEIFS(Records!$S$5:$S$148,Records!$A$5:$A$148,$A231,Records!$H$5:$H$148,$B231)</f>
        <v>3.3333333333333335</v>
      </c>
      <c r="K231" s="12">
        <f>AVERAGEIFS(Records!$T$5:$T$148,Records!$A$5:$A$148,$A231,Records!$H$5:$H$148,$B231)</f>
        <v>4</v>
      </c>
      <c r="L231" s="12">
        <f>AVERAGEIFS(Records!$U$5:$U$148,Records!$A$5:$A$148,$A231,Records!$H$5:$H$148,$B231)</f>
        <v>5</v>
      </c>
      <c r="M231" s="12">
        <f>AVERAGEIFS(Records!$V$5:$V$148,Records!$A$5:$A$148,$A231,Records!$H$5:$H$148,$B231)</f>
        <v>3.3333333333333335</v>
      </c>
      <c r="N231" s="12">
        <f>AVERAGEIFS(Records!$W$5:$W$148,Records!$A$5:$A$148,$A231,Records!$H$5:$H$148,$B231)</f>
        <v>2.6666666666666665</v>
      </c>
      <c r="O231" s="12">
        <f>AVERAGEIFS(Records!$X$5:$X$148,Records!$A$5:$A$148,$A231,Records!$H$5:$H$148,$B231)</f>
        <v>3.6666666666666665</v>
      </c>
      <c r="P231" s="12">
        <f>AVERAGEIFS($E$5:$E$148,$A$5:$A$148,$A231,$C$5:$C$148,$B231)</f>
        <v>4.111111111111112</v>
      </c>
      <c r="Q231" s="12">
        <f>AVERAGEIFS($F$5:$F$148,$A$5:$A$148,$A231,$C$5:$C$148,$B231)</f>
        <v>4.555555555555555</v>
      </c>
      <c r="R231" s="12">
        <f>AVERAGEIFS($Q$152:$Q$199,$A$152:$A$199,$A231,$C$152:$C$199,$B231)</f>
        <v>2</v>
      </c>
      <c r="S231" s="12">
        <f>AVERAGEIFS($R$152:$R$199,$A$152:$A$199,$A231,$C$152:$C$199,$B231)</f>
        <v>1.25</v>
      </c>
      <c r="T231" s="12">
        <f>AVERAGEIFS($S$152:$S$199,$A$152:$A$199,$A231,$C$152:$C$199,$B231)</f>
        <v>1.6666666666666667</v>
      </c>
    </row>
    <row r="232">
      <c r="A232" s="6" t="inlineStr">
        <is>
          <t>P006</t>
        </is>
      </c>
      <c r="B232" s="6" t="inlineStr">
        <is>
          <t>One-Euro</t>
        </is>
      </c>
      <c r="C232" s="12">
        <f>AVERAGEIFS(Records!$K$5:$K$148,Records!$A$5:$A$148,$A232,Records!$H$5:$H$148,$B232)</f>
        <v>4.333333333333333</v>
      </c>
      <c r="D232" s="12">
        <f>AVERAGEIFS(Records!$L$5:$L$148,Records!$A$5:$A$148,$A232,Records!$H$5:$H$148,$B232)</f>
        <v>3.6666666666666665</v>
      </c>
      <c r="E232" s="12">
        <f>AVERAGEIFS(Records!$M$5:$M$148,Records!$A$5:$A$148,$A232,Records!$H$5:$H$148,$B232)</f>
        <v>4.666666666666667</v>
      </c>
      <c r="F232" s="12">
        <f>AVERAGEIFS(Records!$O$5:$O$148,Records!$A$5:$A$148,$A232,Records!$H$5:$H$148,$B232)</f>
        <v>5</v>
      </c>
      <c r="G232" s="12">
        <f>AVERAGEIFS(Records!$P$5:$P$148,Records!$A$5:$A$148,$A232,Records!$H$5:$H$148,$B232)</f>
        <v>2.6666666666666665</v>
      </c>
      <c r="H232" s="12">
        <f>AVERAGEIFS(Records!$Q$5:$Q$148,Records!$A$5:$A$148,$A232,Records!$H$5:$H$148,$B232)</f>
        <v>4</v>
      </c>
      <c r="I232" s="12">
        <f>AVERAGEIFS(Records!$R$5:$R$148,Records!$A$5:$A$148,$A232,Records!$H$5:$H$148,$B232)</f>
        <v>4.666666666666667</v>
      </c>
      <c r="J232" s="12">
        <f>AVERAGEIFS(Records!$S$5:$S$148,Records!$A$5:$A$148,$A232,Records!$H$5:$H$148,$B232)</f>
        <v>4.666666666666667</v>
      </c>
      <c r="K232" s="12">
        <f>AVERAGEIFS(Records!$T$5:$T$148,Records!$A$5:$A$148,$A232,Records!$H$5:$H$148,$B232)</f>
        <v>4.333333333333333</v>
      </c>
      <c r="L232" s="12">
        <f>AVERAGEIFS(Records!$U$5:$U$148,Records!$A$5:$A$148,$A232,Records!$H$5:$H$148,$B232)</f>
        <v>5</v>
      </c>
      <c r="M232" s="12">
        <f>AVERAGEIFS(Records!$V$5:$V$148,Records!$A$5:$A$148,$A232,Records!$H$5:$H$148,$B232)</f>
        <v>4</v>
      </c>
      <c r="N232" s="12">
        <f>AVERAGEIFS(Records!$W$5:$W$148,Records!$A$5:$A$148,$A232,Records!$H$5:$H$148,$B232)</f>
        <v>3.6666666666666665</v>
      </c>
      <c r="O232" s="12">
        <f>AVERAGEIFS(Records!$X$5:$X$148,Records!$A$5:$A$148,$A232,Records!$H$5:$H$148,$B232)</f>
        <v>4.333333333333333</v>
      </c>
      <c r="P232" s="12">
        <f>AVERAGEIFS($E$5:$E$148,$A$5:$A$148,$A232,$C$5:$C$148,$B232)</f>
        <v>4.666666666666667</v>
      </c>
      <c r="Q232" s="12">
        <f>AVERAGEIFS($F$5:$F$148,$A$5:$A$148,$A232,$C$5:$C$148,$B232)</f>
        <v>3.888888888888889</v>
      </c>
      <c r="R232" s="12">
        <f>AVERAGEIFS($Q$152:$Q$199,$A$152:$A$199,$A232,$C$152:$C$199,$B232)</f>
        <v>3.1666666666666665</v>
      </c>
      <c r="S232" s="12">
        <f>AVERAGEIFS($R$152:$R$199,$A$152:$A$199,$A232,$C$152:$C$199,$B232)</f>
        <v>3.25</v>
      </c>
      <c r="T232" s="12">
        <f>AVERAGEIFS($S$152:$S$199,$A$152:$A$199,$A232,$C$152:$C$199,$B232)</f>
        <v>3.6666666666666665</v>
      </c>
    </row>
    <row r="233">
      <c r="A233" s="6" t="inlineStr">
        <is>
          <t>P007</t>
        </is>
      </c>
      <c r="B233" s="6" t="inlineStr">
        <is>
          <t>One-Euro</t>
        </is>
      </c>
      <c r="C233" s="12">
        <f>AVERAGEIFS(Records!$K$5:$K$148,Records!$A$5:$A$148,$A233,Records!$H$5:$H$148,$B233)</f>
        <v>6</v>
      </c>
      <c r="D233" s="12">
        <f>AVERAGEIFS(Records!$L$5:$L$148,Records!$A$5:$A$148,$A233,Records!$H$5:$H$148,$B233)</f>
        <v>7</v>
      </c>
      <c r="E233" s="12">
        <f>AVERAGEIFS(Records!$M$5:$M$148,Records!$A$5:$A$148,$A233,Records!$H$5:$H$148,$B233)</f>
        <v>6</v>
      </c>
      <c r="F233" s="12">
        <f>AVERAGEIFS(Records!$O$5:$O$148,Records!$A$5:$A$148,$A233,Records!$H$5:$H$148,$B233)</f>
        <v>7</v>
      </c>
      <c r="G233" s="12">
        <f>AVERAGEIFS(Records!$P$5:$P$148,Records!$A$5:$A$148,$A233,Records!$H$5:$H$148,$B233)</f>
        <v>6</v>
      </c>
      <c r="H233" s="12">
        <f>AVERAGEIFS(Records!$Q$5:$Q$148,Records!$A$5:$A$148,$A233,Records!$H$5:$H$148,$B233)</f>
        <v>6.666666666666667</v>
      </c>
      <c r="I233" s="12">
        <f>AVERAGEIFS(Records!$R$5:$R$148,Records!$A$5:$A$148,$A233,Records!$H$5:$H$148,$B233)</f>
        <v>6.333333333333333</v>
      </c>
      <c r="J233" s="12">
        <f>AVERAGEIFS(Records!$S$5:$S$148,Records!$A$5:$A$148,$A233,Records!$H$5:$H$148,$B233)</f>
        <v>5.333333333333333</v>
      </c>
      <c r="K233" s="12">
        <f>AVERAGEIFS(Records!$T$5:$T$148,Records!$A$5:$A$148,$A233,Records!$H$5:$H$148,$B233)</f>
        <v>4.666666666666667</v>
      </c>
      <c r="L233" s="12">
        <f>AVERAGEIFS(Records!$U$5:$U$148,Records!$A$5:$A$148,$A233,Records!$H$5:$H$148,$B233)</f>
        <v>7</v>
      </c>
      <c r="M233" s="12">
        <f>AVERAGEIFS(Records!$V$5:$V$148,Records!$A$5:$A$148,$A233,Records!$H$5:$H$148,$B233)</f>
        <v>6</v>
      </c>
      <c r="N233" s="12">
        <f>AVERAGEIFS(Records!$W$5:$W$148,Records!$A$5:$A$148,$A233,Records!$H$5:$H$148,$B233)</f>
        <v>5.666666666666667</v>
      </c>
      <c r="O233" s="12">
        <f>AVERAGEIFS(Records!$X$5:$X$148,Records!$A$5:$A$148,$A233,Records!$H$5:$H$148,$B233)</f>
        <v>6</v>
      </c>
      <c r="P233" s="12">
        <f>AVERAGEIFS($E$5:$E$148,$A$5:$A$148,$A233,$C$5:$C$148,$B233)</f>
        <v>5.666666666666667</v>
      </c>
      <c r="Q233" s="12">
        <f>AVERAGEIFS($F$5:$F$148,$A$5:$A$148,$A233,$C$5:$C$148,$B233)</f>
        <v>6.333333333333333</v>
      </c>
      <c r="R233" s="12">
        <f>AVERAGEIFS($Q$152:$Q$199,$A$152:$A$199,$A233,$C$152:$C$199,$B233)</f>
        <v>4.666666666666667</v>
      </c>
      <c r="S233" s="12">
        <f>AVERAGEIFS($R$152:$R$199,$A$152:$A$199,$A233,$C$152:$C$199,$B233)</f>
        <v>4.75</v>
      </c>
      <c r="T233" s="12">
        <f>AVERAGEIFS($S$152:$S$199,$A$152:$A$199,$A233,$C$152:$C$199,$B233)</f>
        <v>6.666666666666667</v>
      </c>
    </row>
    <row r="234">
      <c r="A234" s="6" t="inlineStr">
        <is>
          <t>P008</t>
        </is>
      </c>
      <c r="B234" s="6" t="inlineStr">
        <is>
          <t>One-Euro</t>
        </is>
      </c>
      <c r="C234" s="12">
        <f>AVERAGEIFS(Records!$K$5:$K$148,Records!$A$5:$A$148,$A234,Records!$H$5:$H$148,$B234)</f>
        <v>4.666666666666667</v>
      </c>
      <c r="D234" s="12">
        <f>AVERAGEIFS(Records!$L$5:$L$148,Records!$A$5:$A$148,$A234,Records!$H$5:$H$148,$B234)</f>
        <v>5.666666666666667</v>
      </c>
      <c r="E234" s="12">
        <f>AVERAGEIFS(Records!$M$5:$M$148,Records!$A$5:$A$148,$A234,Records!$H$5:$H$148,$B234)</f>
        <v>6</v>
      </c>
      <c r="F234" s="12">
        <f>AVERAGEIFS(Records!$O$5:$O$148,Records!$A$5:$A$148,$A234,Records!$H$5:$H$148,$B234)</f>
        <v>5</v>
      </c>
      <c r="G234" s="12">
        <f>AVERAGEIFS(Records!$P$5:$P$148,Records!$A$5:$A$148,$A234,Records!$H$5:$H$148,$B234)</f>
        <v>3.6666666666666665</v>
      </c>
      <c r="H234" s="12">
        <f>AVERAGEIFS(Records!$Q$5:$Q$148,Records!$A$5:$A$148,$A234,Records!$H$5:$H$148,$B234)</f>
        <v>4.333333333333333</v>
      </c>
      <c r="I234" s="12">
        <f>AVERAGEIFS(Records!$R$5:$R$148,Records!$A$5:$A$148,$A234,Records!$H$5:$H$148,$B234)</f>
        <v>5.333333333333333</v>
      </c>
      <c r="J234" s="12">
        <f>AVERAGEIFS(Records!$S$5:$S$148,Records!$A$5:$A$148,$A234,Records!$H$5:$H$148,$B234)</f>
        <v>5.333333333333333</v>
      </c>
      <c r="K234" s="12">
        <f>AVERAGEIFS(Records!$T$5:$T$148,Records!$A$5:$A$148,$A234,Records!$H$5:$H$148,$B234)</f>
        <v>5.666666666666667</v>
      </c>
      <c r="L234" s="12">
        <f>AVERAGEIFS(Records!$U$5:$U$148,Records!$A$5:$A$148,$A234,Records!$H$5:$H$148,$B234)</f>
        <v>6.666666666666667</v>
      </c>
      <c r="M234" s="12">
        <f>AVERAGEIFS(Records!$V$5:$V$148,Records!$A$5:$A$148,$A234,Records!$H$5:$H$148,$B234)</f>
        <v>5.666666666666667</v>
      </c>
      <c r="N234" s="12">
        <f>AVERAGEIFS(Records!$W$5:$W$148,Records!$A$5:$A$148,$A234,Records!$H$5:$H$148,$B234)</f>
        <v>4</v>
      </c>
      <c r="O234" s="12">
        <f>AVERAGEIFS(Records!$X$5:$X$148,Records!$A$5:$A$148,$A234,Records!$H$5:$H$148,$B234)</f>
        <v>4.666666666666667</v>
      </c>
      <c r="P234" s="12">
        <f>AVERAGEIFS($E$5:$E$148,$A$5:$A$148,$A234,$C$5:$C$148,$B234)</f>
        <v>5.888888888888889</v>
      </c>
      <c r="Q234" s="12">
        <f>AVERAGEIFS($F$5:$F$148,$A$5:$A$148,$A234,$C$5:$C$148,$B234)</f>
        <v>4.777777777777778</v>
      </c>
      <c r="R234" s="12">
        <f>AVERAGEIFS($Q$152:$Q$199,$A$152:$A$199,$A234,$C$152:$C$199,$B234)</f>
        <v>3.5</v>
      </c>
      <c r="S234" s="12">
        <f>AVERAGEIFS($R$152:$R$199,$A$152:$A$199,$A234,$C$152:$C$199,$B234)</f>
        <v>3.75</v>
      </c>
      <c r="T234" s="12">
        <f>AVERAGEIFS($S$152:$S$199,$A$152:$A$199,$A234,$C$152:$C$199,$B234)</f>
        <v>5.666666666666667</v>
      </c>
    </row>
    <row r="235">
      <c r="A235" s="6" t="inlineStr">
        <is>
          <t>P009</t>
        </is>
      </c>
      <c r="B235" s="6" t="inlineStr">
        <is>
          <t>One-Euro</t>
        </is>
      </c>
      <c r="C235" s="12">
        <f>AVERAGEIFS(Records!$K$5:$K$148,Records!$A$5:$A$148,$A235,Records!$H$5:$H$148,$B235)</f>
        <v>4</v>
      </c>
      <c r="D235" s="12">
        <f>AVERAGEIFS(Records!$L$5:$L$148,Records!$A$5:$A$148,$A235,Records!$H$5:$H$148,$B235)</f>
        <v>5</v>
      </c>
      <c r="E235" s="12">
        <f>AVERAGEIFS(Records!$M$5:$M$148,Records!$A$5:$A$148,$A235,Records!$H$5:$H$148,$B235)</f>
        <v>4.666666666666667</v>
      </c>
      <c r="F235" s="12">
        <f>AVERAGEIFS(Records!$O$5:$O$148,Records!$A$5:$A$148,$A235,Records!$H$5:$H$148,$B235)</f>
        <v>4.333333333333333</v>
      </c>
      <c r="G235" s="12">
        <f>AVERAGEIFS(Records!$P$5:$P$148,Records!$A$5:$A$148,$A235,Records!$H$5:$H$148,$B235)</f>
        <v>5</v>
      </c>
      <c r="H235" s="12">
        <f>AVERAGEIFS(Records!$Q$5:$Q$148,Records!$A$5:$A$148,$A235,Records!$H$5:$H$148,$B235)</f>
        <v>4</v>
      </c>
      <c r="I235" s="12">
        <f>AVERAGEIFS(Records!$R$5:$R$148,Records!$A$5:$A$148,$A235,Records!$H$5:$H$148,$B235)</f>
        <v>3.3333333333333335</v>
      </c>
      <c r="J235" s="12">
        <f>AVERAGEIFS(Records!$S$5:$S$148,Records!$A$5:$A$148,$A235,Records!$H$5:$H$148,$B235)</f>
        <v>5</v>
      </c>
      <c r="K235" s="12">
        <f>AVERAGEIFS(Records!$T$5:$T$148,Records!$A$5:$A$148,$A235,Records!$H$5:$H$148,$B235)</f>
        <v>4.666666666666667</v>
      </c>
      <c r="L235" s="12">
        <f>AVERAGEIFS(Records!$U$5:$U$148,Records!$A$5:$A$148,$A235,Records!$H$5:$H$148,$B235)</f>
        <v>5.333333333333333</v>
      </c>
      <c r="M235" s="12">
        <f>AVERAGEIFS(Records!$V$5:$V$148,Records!$A$5:$A$148,$A235,Records!$H$5:$H$148,$B235)</f>
        <v>5</v>
      </c>
      <c r="N235" s="12">
        <f>AVERAGEIFS(Records!$W$5:$W$148,Records!$A$5:$A$148,$A235,Records!$H$5:$H$148,$B235)</f>
        <v>3.3333333333333335</v>
      </c>
      <c r="O235" s="12">
        <f>AVERAGEIFS(Records!$X$5:$X$148,Records!$A$5:$A$148,$A235,Records!$H$5:$H$148,$B235)</f>
        <v>2.3333333333333335</v>
      </c>
      <c r="P235" s="12">
        <f>AVERAGEIFS($E$5:$E$148,$A$5:$A$148,$A235,$C$5:$C$148,$B235)</f>
        <v>5</v>
      </c>
      <c r="Q235" s="12">
        <f>AVERAGEIFS($F$5:$F$148,$A$5:$A$148,$A235,$C$5:$C$148,$B235)</f>
        <v>4.777777777777778</v>
      </c>
      <c r="R235" s="12">
        <f>AVERAGEIFS($Q$152:$Q$199,$A$152:$A$199,$A235,$C$152:$C$199,$B235)</f>
        <v>3</v>
      </c>
      <c r="S235" s="12">
        <f>AVERAGEIFS($R$152:$R$199,$A$152:$A$199,$A235,$C$152:$C$199,$B235)</f>
        <v>2.75</v>
      </c>
      <c r="T235" s="12">
        <f>AVERAGEIFS($S$152:$S$199,$A$152:$A$199,$A235,$C$152:$C$199,$B235)</f>
        <v>4</v>
      </c>
    </row>
    <row r="236">
      <c r="A236" s="6" t="inlineStr">
        <is>
          <t>P010</t>
        </is>
      </c>
      <c r="B236" s="6" t="inlineStr">
        <is>
          <t>One-Euro</t>
        </is>
      </c>
      <c r="C236" s="12">
        <f>AVERAGEIFS(Records!$K$5:$K$148,Records!$A$5:$A$148,$A236,Records!$H$5:$H$148,$B236)</f>
        <v>4.333333333333333</v>
      </c>
      <c r="D236" s="12">
        <f>AVERAGEIFS(Records!$L$5:$L$148,Records!$A$5:$A$148,$A236,Records!$H$5:$H$148,$B236)</f>
        <v>3.6666666666666665</v>
      </c>
      <c r="E236" s="12">
        <f>AVERAGEIFS(Records!$M$5:$M$148,Records!$A$5:$A$148,$A236,Records!$H$5:$H$148,$B236)</f>
        <v>5</v>
      </c>
      <c r="F236" s="12">
        <f>AVERAGEIFS(Records!$O$5:$O$148,Records!$A$5:$A$148,$A236,Records!$H$5:$H$148,$B236)</f>
        <v>5.333333333333333</v>
      </c>
      <c r="G236" s="12">
        <f>AVERAGEIFS(Records!$P$5:$P$148,Records!$A$5:$A$148,$A236,Records!$H$5:$H$148,$B236)</f>
        <v>4.333333333333333</v>
      </c>
      <c r="H236" s="12">
        <f>AVERAGEIFS(Records!$Q$5:$Q$148,Records!$A$5:$A$148,$A236,Records!$H$5:$H$148,$B236)</f>
        <v>4</v>
      </c>
      <c r="I236" s="12">
        <f>AVERAGEIFS(Records!$R$5:$R$148,Records!$A$5:$A$148,$A236,Records!$H$5:$H$148,$B236)</f>
        <v>3.6666666666666665</v>
      </c>
      <c r="J236" s="12">
        <f>AVERAGEIFS(Records!$S$5:$S$148,Records!$A$5:$A$148,$A236,Records!$H$5:$H$148,$B236)</f>
        <v>5</v>
      </c>
      <c r="K236" s="12">
        <f>AVERAGEIFS(Records!$T$5:$T$148,Records!$A$5:$A$148,$A236,Records!$H$5:$H$148,$B236)</f>
        <v>4</v>
      </c>
      <c r="L236" s="12">
        <f>AVERAGEIFS(Records!$U$5:$U$148,Records!$A$5:$A$148,$A236,Records!$H$5:$H$148,$B236)</f>
        <v>6</v>
      </c>
      <c r="M236" s="12">
        <f>AVERAGEIFS(Records!$V$5:$V$148,Records!$A$5:$A$148,$A236,Records!$H$5:$H$148,$B236)</f>
        <v>4.666666666666667</v>
      </c>
      <c r="N236" s="12">
        <f>AVERAGEIFS(Records!$W$5:$W$148,Records!$A$5:$A$148,$A236,Records!$H$5:$H$148,$B236)</f>
        <v>3.3333333333333335</v>
      </c>
      <c r="O236" s="12">
        <f>AVERAGEIFS(Records!$X$5:$X$148,Records!$A$5:$A$148,$A236,Records!$H$5:$H$148,$B236)</f>
        <v>4</v>
      </c>
      <c r="P236" s="12">
        <f>AVERAGEIFS($E$5:$E$148,$A$5:$A$148,$A236,$C$5:$C$148,$B236)</f>
        <v>5</v>
      </c>
      <c r="Q236" s="12">
        <f>AVERAGEIFS($F$5:$F$148,$A$5:$A$148,$A236,$C$5:$C$148,$B236)</f>
        <v>4.777777777777778</v>
      </c>
      <c r="R236" s="12">
        <f>AVERAGEIFS($Q$152:$Q$199,$A$152:$A$199,$A236,$C$152:$C$199,$B236)</f>
        <v>3.3333333333333335</v>
      </c>
      <c r="S236" s="12">
        <f>AVERAGEIFS($R$152:$R$199,$A$152:$A$199,$A236,$C$152:$C$199,$B236)</f>
        <v>3</v>
      </c>
      <c r="T236" s="12">
        <f>AVERAGEIFS($S$152:$S$199,$A$152:$A$199,$A236,$C$152:$C$199,$B236)</f>
        <v>4.333333333333333</v>
      </c>
    </row>
    <row r="237">
      <c r="A237" s="6" t="inlineStr">
        <is>
          <t>P011</t>
        </is>
      </c>
      <c r="B237" s="6" t="inlineStr">
        <is>
          <t>One-Euro</t>
        </is>
      </c>
      <c r="C237" s="12">
        <f>AVERAGEIFS(Records!$K$5:$K$148,Records!$A$5:$A$148,$A237,Records!$H$5:$H$148,$B237)</f>
        <v>3.6666666666666665</v>
      </c>
      <c r="D237" s="12">
        <f>AVERAGEIFS(Records!$L$5:$L$148,Records!$A$5:$A$148,$A237,Records!$H$5:$H$148,$B237)</f>
        <v>5.333333333333333</v>
      </c>
      <c r="E237" s="12">
        <f>AVERAGEIFS(Records!$M$5:$M$148,Records!$A$5:$A$148,$A237,Records!$H$5:$H$148,$B237)</f>
        <v>4</v>
      </c>
      <c r="F237" s="12">
        <f>AVERAGEIFS(Records!$O$5:$O$148,Records!$A$5:$A$148,$A237,Records!$H$5:$H$148,$B237)</f>
        <v>4</v>
      </c>
      <c r="G237" s="12">
        <f>AVERAGEIFS(Records!$P$5:$P$148,Records!$A$5:$A$148,$A237,Records!$H$5:$H$148,$B237)</f>
        <v>3.3333333333333335</v>
      </c>
      <c r="H237" s="12">
        <f>AVERAGEIFS(Records!$Q$5:$Q$148,Records!$A$5:$A$148,$A237,Records!$H$5:$H$148,$B237)</f>
        <v>3.3333333333333335</v>
      </c>
      <c r="I237" s="12">
        <f>AVERAGEIFS(Records!$R$5:$R$148,Records!$A$5:$A$148,$A237,Records!$H$5:$H$148,$B237)</f>
        <v>2.6666666666666665</v>
      </c>
      <c r="J237" s="12">
        <f>AVERAGEIFS(Records!$S$5:$S$148,Records!$A$5:$A$148,$A237,Records!$H$5:$H$148,$B237)</f>
        <v>3</v>
      </c>
      <c r="K237" s="12">
        <f>AVERAGEIFS(Records!$T$5:$T$148,Records!$A$5:$A$148,$A237,Records!$H$5:$H$148,$B237)</f>
        <v>3.3333333333333335</v>
      </c>
      <c r="L237" s="12">
        <f>AVERAGEIFS(Records!$U$5:$U$148,Records!$A$5:$A$148,$A237,Records!$H$5:$H$148,$B237)</f>
        <v>5.333333333333333</v>
      </c>
      <c r="M237" s="12">
        <f>AVERAGEIFS(Records!$V$5:$V$148,Records!$A$5:$A$148,$A237,Records!$H$5:$H$148,$B237)</f>
        <v>5</v>
      </c>
      <c r="N237" s="12">
        <f>AVERAGEIFS(Records!$W$5:$W$148,Records!$A$5:$A$148,$A237,Records!$H$5:$H$148,$B237)</f>
        <v>3.3333333333333335</v>
      </c>
      <c r="O237" s="12">
        <f>AVERAGEIFS(Records!$X$5:$X$148,Records!$A$5:$A$148,$A237,Records!$H$5:$H$148,$B237)</f>
        <v>3.6666666666666665</v>
      </c>
      <c r="P237" s="12">
        <f>AVERAGEIFS($E$5:$E$148,$A$5:$A$148,$A237,$C$5:$C$148,$B237)</f>
        <v>3.888888888888889</v>
      </c>
      <c r="Q237" s="12">
        <f>AVERAGEIFS($F$5:$F$148,$A$5:$A$148,$A237,$C$5:$C$148,$B237)</f>
        <v>4.111111111111112</v>
      </c>
      <c r="R237" s="12">
        <f>AVERAGEIFS($Q$152:$Q$199,$A$152:$A$199,$A237,$C$152:$C$199,$B237)</f>
        <v>2</v>
      </c>
      <c r="S237" s="12">
        <f>AVERAGEIFS($R$152:$R$199,$A$152:$A$199,$A237,$C$152:$C$199,$B237)</f>
        <v>2.5</v>
      </c>
      <c r="T237" s="12">
        <f>AVERAGEIFS($S$152:$S$199,$A$152:$A$199,$A237,$C$152:$C$199,$B237)</f>
        <v>2.3333333333333335</v>
      </c>
    </row>
    <row r="238">
      <c r="A238" s="6" t="inlineStr">
        <is>
          <t>P012</t>
        </is>
      </c>
      <c r="B238" s="6" t="inlineStr">
        <is>
          <t>One-Euro</t>
        </is>
      </c>
      <c r="C238" s="12">
        <f>AVERAGEIFS(Records!$K$5:$K$148,Records!$A$5:$A$148,$A238,Records!$H$5:$H$148,$B238)</f>
        <v>4.333333333333333</v>
      </c>
      <c r="D238" s="12">
        <f>AVERAGEIFS(Records!$L$5:$L$148,Records!$A$5:$A$148,$A238,Records!$H$5:$H$148,$B238)</f>
        <v>4.333333333333333</v>
      </c>
      <c r="E238" s="12">
        <f>AVERAGEIFS(Records!$M$5:$M$148,Records!$A$5:$A$148,$A238,Records!$H$5:$H$148,$B238)</f>
        <v>5.333333333333333</v>
      </c>
      <c r="F238" s="12">
        <f>AVERAGEIFS(Records!$O$5:$O$148,Records!$A$5:$A$148,$A238,Records!$H$5:$H$148,$B238)</f>
        <v>5.666666666666667</v>
      </c>
      <c r="G238" s="12">
        <f>AVERAGEIFS(Records!$P$5:$P$148,Records!$A$5:$A$148,$A238,Records!$H$5:$H$148,$B238)</f>
        <v>4.666666666666667</v>
      </c>
      <c r="H238" s="12">
        <f>AVERAGEIFS(Records!$Q$5:$Q$148,Records!$A$5:$A$148,$A238,Records!$H$5:$H$148,$B238)</f>
        <v>5.666666666666667</v>
      </c>
      <c r="I238" s="12">
        <f>AVERAGEIFS(Records!$R$5:$R$148,Records!$A$5:$A$148,$A238,Records!$H$5:$H$148,$B238)</f>
        <v>4.666666666666667</v>
      </c>
      <c r="J238" s="12">
        <f>AVERAGEIFS(Records!$S$5:$S$148,Records!$A$5:$A$148,$A238,Records!$H$5:$H$148,$B238)</f>
        <v>5.666666666666667</v>
      </c>
      <c r="K238" s="12">
        <f>AVERAGEIFS(Records!$T$5:$T$148,Records!$A$5:$A$148,$A238,Records!$H$5:$H$148,$B238)</f>
        <v>5.666666666666667</v>
      </c>
      <c r="L238" s="12">
        <f>AVERAGEIFS(Records!$U$5:$U$148,Records!$A$5:$A$148,$A238,Records!$H$5:$H$148,$B238)</f>
        <v>6.333333333333333</v>
      </c>
      <c r="M238" s="12">
        <f>AVERAGEIFS(Records!$V$5:$V$148,Records!$A$5:$A$148,$A238,Records!$H$5:$H$148,$B238)</f>
        <v>5.333333333333333</v>
      </c>
      <c r="N238" s="12">
        <f>AVERAGEIFS(Records!$W$5:$W$148,Records!$A$5:$A$148,$A238,Records!$H$5:$H$148,$B238)</f>
        <v>4.333333333333333</v>
      </c>
      <c r="O238" s="12">
        <f>AVERAGEIFS(Records!$X$5:$X$148,Records!$A$5:$A$148,$A238,Records!$H$5:$H$148,$B238)</f>
        <v>5.333333333333333</v>
      </c>
      <c r="P238" s="12">
        <f>AVERAGEIFS($E$5:$E$148,$A$5:$A$148,$A238,$C$5:$C$148,$B238)</f>
        <v>5.888888888888889</v>
      </c>
      <c r="Q238" s="12">
        <f>AVERAGEIFS($F$5:$F$148,$A$5:$A$148,$A238,$C$5:$C$148,$B238)</f>
        <v>5.222222222222222</v>
      </c>
      <c r="R238" s="12">
        <f>AVERAGEIFS($Q$152:$Q$199,$A$152:$A$199,$A238,$C$152:$C$199,$B238)</f>
        <v>3.5</v>
      </c>
      <c r="S238" s="12">
        <f>AVERAGEIFS($R$152:$R$199,$A$152:$A$199,$A238,$C$152:$C$199,$B238)</f>
        <v>3.75</v>
      </c>
      <c r="T238" s="12">
        <f>AVERAGEIFS($S$152:$S$199,$A$152:$A$199,$A238,$C$152:$C$199,$B238)</f>
        <v>4.666666666666667</v>
      </c>
    </row>
    <row r="239">
      <c r="A239" s="6" t="inlineStr">
        <is>
          <t>P013</t>
        </is>
      </c>
      <c r="B239" s="6" t="inlineStr">
        <is>
          <t>One-Euro</t>
        </is>
      </c>
      <c r="C239" s="12">
        <f>AVERAGEIFS(Records!$K$5:$K$148,Records!$A$5:$A$148,$A239,Records!$H$5:$H$148,$B239)</f>
        <v>5</v>
      </c>
      <c r="D239" s="12">
        <f>AVERAGEIFS(Records!$L$5:$L$148,Records!$A$5:$A$148,$A239,Records!$H$5:$H$148,$B239)</f>
        <v>5.666666666666667</v>
      </c>
      <c r="E239" s="12">
        <f>AVERAGEIFS(Records!$M$5:$M$148,Records!$A$5:$A$148,$A239,Records!$H$5:$H$148,$B239)</f>
        <v>4.666666666666667</v>
      </c>
      <c r="F239" s="12">
        <f>AVERAGEIFS(Records!$O$5:$O$148,Records!$A$5:$A$148,$A239,Records!$H$5:$H$148,$B239)</f>
        <v>6.333333333333333</v>
      </c>
      <c r="G239" s="12">
        <f>AVERAGEIFS(Records!$P$5:$P$148,Records!$A$5:$A$148,$A239,Records!$H$5:$H$148,$B239)</f>
        <v>4.333333333333333</v>
      </c>
      <c r="H239" s="12">
        <f>AVERAGEIFS(Records!$Q$5:$Q$148,Records!$A$5:$A$148,$A239,Records!$H$5:$H$148,$B239)</f>
        <v>5</v>
      </c>
      <c r="I239" s="12">
        <f>AVERAGEIFS(Records!$R$5:$R$148,Records!$A$5:$A$148,$A239,Records!$H$5:$H$148,$B239)</f>
        <v>5.666666666666667</v>
      </c>
      <c r="J239" s="12">
        <f>AVERAGEIFS(Records!$S$5:$S$148,Records!$A$5:$A$148,$A239,Records!$H$5:$H$148,$B239)</f>
        <v>6.333333333333333</v>
      </c>
      <c r="K239" s="12">
        <f>AVERAGEIFS(Records!$T$5:$T$148,Records!$A$5:$A$148,$A239,Records!$H$5:$H$148,$B239)</f>
        <v>5.666666666666667</v>
      </c>
      <c r="L239" s="12">
        <f>AVERAGEIFS(Records!$U$5:$U$148,Records!$A$5:$A$148,$A239,Records!$H$5:$H$148,$B239)</f>
        <v>6.333333333333333</v>
      </c>
      <c r="M239" s="12">
        <f>AVERAGEIFS(Records!$V$5:$V$148,Records!$A$5:$A$148,$A239,Records!$H$5:$H$148,$B239)</f>
        <v>6.333333333333333</v>
      </c>
      <c r="N239" s="12">
        <f>AVERAGEIFS(Records!$W$5:$W$148,Records!$A$5:$A$148,$A239,Records!$H$5:$H$148,$B239)</f>
        <v>3.6666666666666665</v>
      </c>
      <c r="O239" s="12">
        <f>AVERAGEIFS(Records!$X$5:$X$148,Records!$A$5:$A$148,$A239,Records!$H$5:$H$148,$B239)</f>
        <v>3.6666666666666665</v>
      </c>
      <c r="P239" s="12">
        <f>AVERAGEIFS($E$5:$E$148,$A$5:$A$148,$A239,$C$5:$C$148,$B239)</f>
        <v>6.111111111111111</v>
      </c>
      <c r="Q239" s="12">
        <f>AVERAGEIFS($F$5:$F$148,$A$5:$A$148,$A239,$C$5:$C$148,$B239)</f>
        <v>5.666666666666667</v>
      </c>
      <c r="R239" s="12">
        <f>AVERAGEIFS($Q$152:$Q$199,$A$152:$A$199,$A239,$C$152:$C$199,$B239)</f>
        <v>4</v>
      </c>
      <c r="S239" s="12">
        <f>AVERAGEIFS($R$152:$R$199,$A$152:$A$199,$A239,$C$152:$C$199,$B239)</f>
        <v>3.25</v>
      </c>
      <c r="T239" s="12">
        <f>AVERAGEIFS($S$152:$S$199,$A$152:$A$199,$A239,$C$152:$C$199,$B239)</f>
        <v>5.666666666666667</v>
      </c>
    </row>
    <row r="240">
      <c r="A240" s="6" t="inlineStr">
        <is>
          <t>P014</t>
        </is>
      </c>
      <c r="B240" s="6" t="inlineStr">
        <is>
          <t>One-Euro</t>
        </is>
      </c>
      <c r="C240" s="12">
        <f>AVERAGEIFS(Records!$K$5:$K$148,Records!$A$5:$A$148,$A240,Records!$H$5:$H$148,$B240)</f>
        <v>5.666666666666667</v>
      </c>
      <c r="D240" s="12">
        <f>AVERAGEIFS(Records!$L$5:$L$148,Records!$A$5:$A$148,$A240,Records!$H$5:$H$148,$B240)</f>
        <v>5</v>
      </c>
      <c r="E240" s="12">
        <f>AVERAGEIFS(Records!$M$5:$M$148,Records!$A$5:$A$148,$A240,Records!$H$5:$H$148,$B240)</f>
        <v>5.333333333333333</v>
      </c>
      <c r="F240" s="12">
        <f>AVERAGEIFS(Records!$O$5:$O$148,Records!$A$5:$A$148,$A240,Records!$H$5:$H$148,$B240)</f>
        <v>6.333333333333333</v>
      </c>
      <c r="G240" s="12">
        <f>AVERAGEIFS(Records!$P$5:$P$148,Records!$A$5:$A$148,$A240,Records!$H$5:$H$148,$B240)</f>
        <v>6</v>
      </c>
      <c r="H240" s="12">
        <f>AVERAGEIFS(Records!$Q$5:$Q$148,Records!$A$5:$A$148,$A240,Records!$H$5:$H$148,$B240)</f>
        <v>4.333333333333333</v>
      </c>
      <c r="I240" s="12">
        <f>AVERAGEIFS(Records!$R$5:$R$148,Records!$A$5:$A$148,$A240,Records!$H$5:$H$148,$B240)</f>
        <v>5.666666666666667</v>
      </c>
      <c r="J240" s="12">
        <f>AVERAGEIFS(Records!$S$5:$S$148,Records!$A$5:$A$148,$A240,Records!$H$5:$H$148,$B240)</f>
        <v>6.333333333333333</v>
      </c>
      <c r="K240" s="12">
        <f>AVERAGEIFS(Records!$T$5:$T$148,Records!$A$5:$A$148,$A240,Records!$H$5:$H$148,$B240)</f>
        <v>6</v>
      </c>
      <c r="L240" s="12">
        <f>AVERAGEIFS(Records!$U$5:$U$148,Records!$A$5:$A$148,$A240,Records!$H$5:$H$148,$B240)</f>
        <v>5.666666666666667</v>
      </c>
      <c r="M240" s="12">
        <f>AVERAGEIFS(Records!$V$5:$V$148,Records!$A$5:$A$148,$A240,Records!$H$5:$H$148,$B240)</f>
        <v>7</v>
      </c>
      <c r="N240" s="12">
        <f>AVERAGEIFS(Records!$W$5:$W$148,Records!$A$5:$A$148,$A240,Records!$H$5:$H$148,$B240)</f>
        <v>4.333333333333333</v>
      </c>
      <c r="O240" s="12">
        <f>AVERAGEIFS(Records!$X$5:$X$148,Records!$A$5:$A$148,$A240,Records!$H$5:$H$148,$B240)</f>
        <v>5</v>
      </c>
      <c r="P240" s="12">
        <f>AVERAGEIFS($E$5:$E$148,$A$5:$A$148,$A240,$C$5:$C$148,$B240)</f>
        <v>6</v>
      </c>
      <c r="Q240" s="12">
        <f>AVERAGEIFS($F$5:$F$148,$A$5:$A$148,$A240,$C$5:$C$148,$B240)</f>
        <v>6.444444444444444</v>
      </c>
      <c r="R240" s="12">
        <f>AVERAGEIFS($Q$152:$Q$199,$A$152:$A$199,$A240,$C$152:$C$199,$B240)</f>
        <v>3.5</v>
      </c>
      <c r="S240" s="12">
        <f>AVERAGEIFS($R$152:$R$199,$A$152:$A$199,$A240,$C$152:$C$199,$B240)</f>
        <v>4</v>
      </c>
      <c r="T240" s="12">
        <f>AVERAGEIFS($S$152:$S$199,$A$152:$A$199,$A240,$C$152:$C$199,$B240)</f>
        <v>5.333333333333333</v>
      </c>
    </row>
    <row r="241">
      <c r="A241" s="6" t="inlineStr">
        <is>
          <t>P015</t>
        </is>
      </c>
      <c r="B241" s="6" t="inlineStr">
        <is>
          <t>One-Euro</t>
        </is>
      </c>
      <c r="C241" s="12">
        <f>AVERAGEIFS(Records!$K$5:$K$148,Records!$A$5:$A$148,$A241,Records!$H$5:$H$148,$B241)</f>
        <v>4</v>
      </c>
      <c r="D241" s="12">
        <f>AVERAGEIFS(Records!$L$5:$L$148,Records!$A$5:$A$148,$A241,Records!$H$5:$H$148,$B241)</f>
        <v>5</v>
      </c>
      <c r="E241" s="12">
        <f>AVERAGEIFS(Records!$M$5:$M$148,Records!$A$5:$A$148,$A241,Records!$H$5:$H$148,$B241)</f>
        <v>3</v>
      </c>
      <c r="F241" s="12">
        <f>AVERAGEIFS(Records!$O$5:$O$148,Records!$A$5:$A$148,$A241,Records!$H$5:$H$148,$B241)</f>
        <v>4.333333333333333</v>
      </c>
      <c r="G241" s="12">
        <f>AVERAGEIFS(Records!$P$5:$P$148,Records!$A$5:$A$148,$A241,Records!$H$5:$H$148,$B241)</f>
        <v>3.3333333333333335</v>
      </c>
      <c r="H241" s="12">
        <f>AVERAGEIFS(Records!$Q$5:$Q$148,Records!$A$5:$A$148,$A241,Records!$H$5:$H$148,$B241)</f>
        <v>3.6666666666666665</v>
      </c>
      <c r="I241" s="12">
        <f>AVERAGEIFS(Records!$R$5:$R$148,Records!$A$5:$A$148,$A241,Records!$H$5:$H$148,$B241)</f>
        <v>4.333333333333333</v>
      </c>
      <c r="J241" s="12">
        <f>AVERAGEIFS(Records!$S$5:$S$148,Records!$A$5:$A$148,$A241,Records!$H$5:$H$148,$B241)</f>
        <v>2.3333333333333335</v>
      </c>
      <c r="K241" s="12">
        <f>AVERAGEIFS(Records!$T$5:$T$148,Records!$A$5:$A$148,$A241,Records!$H$5:$H$148,$B241)</f>
        <v>4</v>
      </c>
      <c r="L241" s="12">
        <f>AVERAGEIFS(Records!$U$5:$U$148,Records!$A$5:$A$148,$A241,Records!$H$5:$H$148,$B241)</f>
        <v>5.666666666666667</v>
      </c>
      <c r="M241" s="12">
        <f>AVERAGEIFS(Records!$V$5:$V$148,Records!$A$5:$A$148,$A241,Records!$H$5:$H$148,$B241)</f>
        <v>5.333333333333333</v>
      </c>
      <c r="N241" s="12">
        <f>AVERAGEIFS(Records!$W$5:$W$148,Records!$A$5:$A$148,$A241,Records!$H$5:$H$148,$B241)</f>
        <v>4.333333333333333</v>
      </c>
      <c r="O241" s="12">
        <f>AVERAGEIFS(Records!$X$5:$X$148,Records!$A$5:$A$148,$A241,Records!$H$5:$H$148,$B241)</f>
        <v>4</v>
      </c>
      <c r="P241" s="12">
        <f>AVERAGEIFS($E$5:$E$148,$A$5:$A$148,$A241,$C$5:$C$148,$B241)</f>
        <v>4</v>
      </c>
      <c r="Q241" s="12">
        <f>AVERAGEIFS($F$5:$F$148,$A$5:$A$148,$A241,$C$5:$C$148,$B241)</f>
        <v>4.333333333333333</v>
      </c>
      <c r="R241" s="12">
        <f>AVERAGEIFS($Q$152:$Q$199,$A$152:$A$199,$A241,$C$152:$C$199,$B241)</f>
        <v>2.8333333333333335</v>
      </c>
      <c r="S241" s="12">
        <f>AVERAGEIFS($R$152:$R$199,$A$152:$A$199,$A241,$C$152:$C$199,$B241)</f>
        <v>2.25</v>
      </c>
      <c r="T241" s="12">
        <f>AVERAGEIFS($S$152:$S$199,$A$152:$A$199,$A241,$C$152:$C$199,$B241)</f>
        <v>3.3333333333333335</v>
      </c>
    </row>
    <row r="242">
      <c r="A242" s="6" t="inlineStr">
        <is>
          <t>P016</t>
        </is>
      </c>
      <c r="B242" s="6" t="inlineStr">
        <is>
          <t>One-Euro</t>
        </is>
      </c>
      <c r="C242" s="12">
        <f>AVERAGEIFS(Records!$K$5:$K$148,Records!$A$5:$A$148,$A242,Records!$H$5:$H$148,$B242)</f>
        <v>4</v>
      </c>
      <c r="D242" s="12">
        <f>AVERAGEIFS(Records!$L$5:$L$148,Records!$A$5:$A$148,$A242,Records!$H$5:$H$148,$B242)</f>
        <v>4</v>
      </c>
      <c r="E242" s="12">
        <f>AVERAGEIFS(Records!$M$5:$M$148,Records!$A$5:$A$148,$A242,Records!$H$5:$H$148,$B242)</f>
        <v>5</v>
      </c>
      <c r="F242" s="12">
        <f>AVERAGEIFS(Records!$O$5:$O$148,Records!$A$5:$A$148,$A242,Records!$H$5:$H$148,$B242)</f>
        <v>3.6666666666666665</v>
      </c>
      <c r="G242" s="12">
        <f>AVERAGEIFS(Records!$P$5:$P$148,Records!$A$5:$A$148,$A242,Records!$H$5:$H$148,$B242)</f>
        <v>4</v>
      </c>
      <c r="H242" s="12">
        <f>AVERAGEIFS(Records!$Q$5:$Q$148,Records!$A$5:$A$148,$A242,Records!$H$5:$H$148,$B242)</f>
        <v>3.3333333333333335</v>
      </c>
      <c r="I242" s="12">
        <f>AVERAGEIFS(Records!$R$5:$R$148,Records!$A$5:$A$148,$A242,Records!$H$5:$H$148,$B242)</f>
        <v>2.6666666666666665</v>
      </c>
      <c r="J242" s="12">
        <f>AVERAGEIFS(Records!$S$5:$S$148,Records!$A$5:$A$148,$A242,Records!$H$5:$H$148,$B242)</f>
        <v>2.3333333333333335</v>
      </c>
      <c r="K242" s="12">
        <f>AVERAGEIFS(Records!$T$5:$T$148,Records!$A$5:$A$148,$A242,Records!$H$5:$H$148,$B242)</f>
        <v>3.6666666666666665</v>
      </c>
      <c r="L242" s="12">
        <f>AVERAGEIFS(Records!$U$5:$U$148,Records!$A$5:$A$148,$A242,Records!$H$5:$H$148,$B242)</f>
        <v>5</v>
      </c>
      <c r="M242" s="12">
        <f>AVERAGEIFS(Records!$V$5:$V$148,Records!$A$5:$A$148,$A242,Records!$H$5:$H$148,$B242)</f>
        <v>4.666666666666667</v>
      </c>
      <c r="N242" s="12">
        <f>AVERAGEIFS(Records!$W$5:$W$148,Records!$A$5:$A$148,$A242,Records!$H$5:$H$148,$B242)</f>
        <v>2</v>
      </c>
      <c r="O242" s="12">
        <f>AVERAGEIFS(Records!$X$5:$X$148,Records!$A$5:$A$148,$A242,Records!$H$5:$H$148,$B242)</f>
        <v>3</v>
      </c>
      <c r="P242" s="12">
        <f>AVERAGEIFS($E$5:$E$148,$A$5:$A$148,$A242,$C$5:$C$148,$B242)</f>
        <v>3.6666666666666665</v>
      </c>
      <c r="Q242" s="12">
        <f>AVERAGEIFS($F$5:$F$148,$A$5:$A$148,$A242,$C$5:$C$148,$B242)</f>
        <v>4.111111111111111</v>
      </c>
      <c r="R242" s="12">
        <f>AVERAGEIFS($Q$152:$Q$199,$A$152:$A$199,$A242,$C$152:$C$199,$B242)</f>
        <v>2.1666666666666665</v>
      </c>
      <c r="S242" s="12">
        <f>AVERAGEIFS($R$152:$R$199,$A$152:$A$199,$A242,$C$152:$C$199,$B242)</f>
        <v>2.25</v>
      </c>
      <c r="T242" s="12">
        <f>AVERAGEIFS($S$152:$S$199,$A$152:$A$199,$A242,$C$152:$C$199,$B242)</f>
        <v>3.3333333333333335</v>
      </c>
    </row>
    <row r="243">
      <c r="A243" s="6" t="inlineStr">
        <is>
          <t>P017</t>
        </is>
      </c>
      <c r="B243" s="6" t="inlineStr">
        <is>
          <t>One-Euro</t>
        </is>
      </c>
      <c r="C243" s="12">
        <f>AVERAGEIFS(Records!$K$5:$K$148,Records!$A$5:$A$148,$A243,Records!$H$5:$H$148,$B243)</f>
        <v>4.666666666666667</v>
      </c>
      <c r="D243" s="12">
        <f>AVERAGEIFS(Records!$L$5:$L$148,Records!$A$5:$A$148,$A243,Records!$H$5:$H$148,$B243)</f>
        <v>7</v>
      </c>
      <c r="E243" s="12">
        <f>AVERAGEIFS(Records!$M$5:$M$148,Records!$A$5:$A$148,$A243,Records!$H$5:$H$148,$B243)</f>
        <v>5.333333333333333</v>
      </c>
      <c r="F243" s="12">
        <f>AVERAGEIFS(Records!$O$5:$O$148,Records!$A$5:$A$148,$A243,Records!$H$5:$H$148,$B243)</f>
        <v>5</v>
      </c>
      <c r="G243" s="12">
        <f>AVERAGEIFS(Records!$P$5:$P$148,Records!$A$5:$A$148,$A243,Records!$H$5:$H$148,$B243)</f>
        <v>5.666666666666667</v>
      </c>
      <c r="H243" s="12">
        <f>AVERAGEIFS(Records!$Q$5:$Q$148,Records!$A$5:$A$148,$A243,Records!$H$5:$H$148,$B243)</f>
        <v>4.333333333333333</v>
      </c>
      <c r="I243" s="12">
        <f>AVERAGEIFS(Records!$R$5:$R$148,Records!$A$5:$A$148,$A243,Records!$H$5:$H$148,$B243)</f>
        <v>5</v>
      </c>
      <c r="J243" s="12">
        <f>AVERAGEIFS(Records!$S$5:$S$148,Records!$A$5:$A$148,$A243,Records!$H$5:$H$148,$B243)</f>
        <v>6</v>
      </c>
      <c r="K243" s="12">
        <f>AVERAGEIFS(Records!$T$5:$T$148,Records!$A$5:$A$148,$A243,Records!$H$5:$H$148,$B243)</f>
        <v>5</v>
      </c>
      <c r="L243" s="12">
        <f>AVERAGEIFS(Records!$U$5:$U$148,Records!$A$5:$A$148,$A243,Records!$H$5:$H$148,$B243)</f>
        <v>6.666666666666667</v>
      </c>
      <c r="M243" s="12">
        <f>AVERAGEIFS(Records!$V$5:$V$148,Records!$A$5:$A$148,$A243,Records!$H$5:$H$148,$B243)</f>
        <v>6.333333333333333</v>
      </c>
      <c r="N243" s="12">
        <f>AVERAGEIFS(Records!$W$5:$W$148,Records!$A$5:$A$148,$A243,Records!$H$5:$H$148,$B243)</f>
        <v>5.666666666666667</v>
      </c>
      <c r="O243" s="12">
        <f>AVERAGEIFS(Records!$X$5:$X$148,Records!$A$5:$A$148,$A243,Records!$H$5:$H$148,$B243)</f>
        <v>6.333333333333333</v>
      </c>
      <c r="P243" s="12">
        <f>AVERAGEIFS($E$5:$E$148,$A$5:$A$148,$A243,$C$5:$C$148,$B243)</f>
        <v>5.888888888888889</v>
      </c>
      <c r="Q243" s="12">
        <f>AVERAGEIFS($F$5:$F$148,$A$5:$A$148,$A243,$C$5:$C$148,$B243)</f>
        <v>5.666666666666667</v>
      </c>
      <c r="R243" s="12">
        <f>AVERAGEIFS($Q$152:$Q$199,$A$152:$A$199,$A243,$C$152:$C$199,$B243)</f>
        <v>4.833333333333333</v>
      </c>
      <c r="S243" s="12">
        <f>AVERAGEIFS($R$152:$R$199,$A$152:$A$199,$A243,$C$152:$C$199,$B243)</f>
        <v>4.5</v>
      </c>
      <c r="T243" s="12">
        <f>AVERAGEIFS($S$152:$S$199,$A$152:$A$199,$A243,$C$152:$C$199,$B243)</f>
        <v>5.666666666666667</v>
      </c>
    </row>
    <row r="244">
      <c r="A244" s="6" t="inlineStr">
        <is>
          <t>P018</t>
        </is>
      </c>
      <c r="B244" s="6" t="inlineStr">
        <is>
          <t>One-Euro</t>
        </is>
      </c>
      <c r="C244" s="12">
        <f>AVERAGEIFS(Records!$K$5:$K$148,Records!$A$5:$A$148,$A244,Records!$H$5:$H$148,$B244)</f>
        <v>3.3333333333333335</v>
      </c>
      <c r="D244" s="12">
        <f>AVERAGEIFS(Records!$L$5:$L$148,Records!$A$5:$A$148,$A244,Records!$H$5:$H$148,$B244)</f>
        <v>4.666666666666667</v>
      </c>
      <c r="E244" s="12">
        <f>AVERAGEIFS(Records!$M$5:$M$148,Records!$A$5:$A$148,$A244,Records!$H$5:$H$148,$B244)</f>
        <v>3.3333333333333335</v>
      </c>
      <c r="F244" s="12">
        <f>AVERAGEIFS(Records!$O$5:$O$148,Records!$A$5:$A$148,$A244,Records!$H$5:$H$148,$B244)</f>
        <v>4</v>
      </c>
      <c r="G244" s="12">
        <f>AVERAGEIFS(Records!$P$5:$P$148,Records!$A$5:$A$148,$A244,Records!$H$5:$H$148,$B244)</f>
        <v>3.3333333333333335</v>
      </c>
      <c r="H244" s="12">
        <f>AVERAGEIFS(Records!$Q$5:$Q$148,Records!$A$5:$A$148,$A244,Records!$H$5:$H$148,$B244)</f>
        <v>2.3333333333333335</v>
      </c>
      <c r="I244" s="12">
        <f>AVERAGEIFS(Records!$R$5:$R$148,Records!$A$5:$A$148,$A244,Records!$H$5:$H$148,$B244)</f>
        <v>3.6666666666666665</v>
      </c>
      <c r="J244" s="12">
        <f>AVERAGEIFS(Records!$S$5:$S$148,Records!$A$5:$A$148,$A244,Records!$H$5:$H$148,$B244)</f>
        <v>4.333333333333333</v>
      </c>
      <c r="K244" s="12">
        <f>AVERAGEIFS(Records!$T$5:$T$148,Records!$A$5:$A$148,$A244,Records!$H$5:$H$148,$B244)</f>
        <v>5</v>
      </c>
      <c r="L244" s="12">
        <f>AVERAGEIFS(Records!$U$5:$U$148,Records!$A$5:$A$148,$A244,Records!$H$5:$H$148,$B244)</f>
        <v>5</v>
      </c>
      <c r="M244" s="12">
        <f>AVERAGEIFS(Records!$V$5:$V$148,Records!$A$5:$A$148,$A244,Records!$H$5:$H$148,$B244)</f>
        <v>4.666666666666667</v>
      </c>
      <c r="N244" s="12">
        <f>AVERAGEIFS(Records!$W$5:$W$148,Records!$A$5:$A$148,$A244,Records!$H$5:$H$148,$B244)</f>
        <v>2</v>
      </c>
      <c r="O244" s="12">
        <f>AVERAGEIFS(Records!$X$5:$X$148,Records!$A$5:$A$148,$A244,Records!$H$5:$H$148,$B244)</f>
        <v>4</v>
      </c>
      <c r="P244" s="12">
        <f>AVERAGEIFS($E$5:$E$148,$A$5:$A$148,$A244,$C$5:$C$148,$B244)</f>
        <v>4.777777777777778</v>
      </c>
      <c r="Q244" s="12">
        <f>AVERAGEIFS($F$5:$F$148,$A$5:$A$148,$A244,$C$5:$C$148,$B244)</f>
        <v>4</v>
      </c>
      <c r="R244" s="12">
        <f>AVERAGEIFS($Q$152:$Q$199,$A$152:$A$199,$A244,$C$152:$C$199,$B244)</f>
        <v>1.8</v>
      </c>
      <c r="S244" s="12">
        <f>AVERAGEIFS($R$152:$R$199,$A$152:$A$199,$A244,$C$152:$C$199,$B244)</f>
        <v>2</v>
      </c>
      <c r="T244" s="12">
        <f>AVERAGEIFS($S$152:$S$199,$A$152:$A$199,$A244,$C$152:$C$199,$B244)</f>
        <v>3.3333333333333335</v>
      </c>
    </row>
    <row r="245">
      <c r="A245" s="6" t="inlineStr">
        <is>
          <t>P019</t>
        </is>
      </c>
      <c r="B245" s="6" t="inlineStr">
        <is>
          <t>One-Euro</t>
        </is>
      </c>
      <c r="C245" s="12">
        <f>AVERAGEIFS(Records!$K$5:$K$148,Records!$A$5:$A$148,$A245,Records!$H$5:$H$148,$B245)</f>
        <v>4.333333333333333</v>
      </c>
      <c r="D245" s="12">
        <f>AVERAGEIFS(Records!$L$5:$L$148,Records!$A$5:$A$148,$A245,Records!$H$5:$H$148,$B245)</f>
        <v>4.666666666666667</v>
      </c>
      <c r="E245" s="12">
        <f>AVERAGEIFS(Records!$M$5:$M$148,Records!$A$5:$A$148,$A245,Records!$H$5:$H$148,$B245)</f>
        <v>4</v>
      </c>
      <c r="F245" s="12">
        <f>AVERAGEIFS(Records!$O$5:$O$148,Records!$A$5:$A$148,$A245,Records!$H$5:$H$148,$B245)</f>
        <v>4.333333333333333</v>
      </c>
      <c r="G245" s="12">
        <f>AVERAGEIFS(Records!$P$5:$P$148,Records!$A$5:$A$148,$A245,Records!$H$5:$H$148,$B245)</f>
        <v>4</v>
      </c>
      <c r="H245" s="12">
        <f>AVERAGEIFS(Records!$Q$5:$Q$148,Records!$A$5:$A$148,$A245,Records!$H$5:$H$148,$B245)</f>
        <v>4</v>
      </c>
      <c r="I245" s="12">
        <f>AVERAGEIFS(Records!$R$5:$R$148,Records!$A$5:$A$148,$A245,Records!$H$5:$H$148,$B245)</f>
        <v>4.333333333333333</v>
      </c>
      <c r="J245" s="12">
        <f>AVERAGEIFS(Records!$S$5:$S$148,Records!$A$5:$A$148,$A245,Records!$H$5:$H$148,$B245)</f>
        <v>4.333333333333333</v>
      </c>
      <c r="K245" s="12">
        <f>AVERAGEIFS(Records!$T$5:$T$148,Records!$A$5:$A$148,$A245,Records!$H$5:$H$148,$B245)</f>
        <v>3.6666666666666665</v>
      </c>
      <c r="L245" s="12">
        <f>AVERAGEIFS(Records!$U$5:$U$148,Records!$A$5:$A$148,$A245,Records!$H$5:$H$148,$B245)</f>
        <v>4.333333333333333</v>
      </c>
      <c r="M245" s="12">
        <f>AVERAGEIFS(Records!$V$5:$V$148,Records!$A$5:$A$148,$A245,Records!$H$5:$H$148,$B245)</f>
        <v>4.666666666666667</v>
      </c>
      <c r="N245" s="12">
        <f>AVERAGEIFS(Records!$W$5:$W$148,Records!$A$5:$A$148,$A245,Records!$H$5:$H$148,$B245)</f>
        <v>4</v>
      </c>
      <c r="O245" s="12">
        <f>AVERAGEIFS(Records!$X$5:$X$148,Records!$A$5:$A$148,$A245,Records!$H$5:$H$148,$B245)</f>
        <v>4</v>
      </c>
      <c r="P245" s="12">
        <f>AVERAGEIFS($E$5:$E$148,$A$5:$A$148,$A245,$C$5:$C$148,$B245)</f>
        <v>4.111111111111112</v>
      </c>
      <c r="Q245" s="12">
        <f>AVERAGEIFS($F$5:$F$148,$A$5:$A$148,$A245,$C$5:$C$148,$B245)</f>
        <v>4.333333333333333</v>
      </c>
      <c r="R245" s="12">
        <f>AVERAGEIFS($Q$152:$Q$199,$A$152:$A$199,$A245,$C$152:$C$199,$B245)</f>
        <v>2.8333333333333335</v>
      </c>
      <c r="S245" s="12">
        <f>AVERAGEIFS($R$152:$R$199,$A$152:$A$199,$A245,$C$152:$C$199,$B245)</f>
        <v>2.75</v>
      </c>
      <c r="T245" s="12">
        <f>AVERAGEIFS($S$152:$S$199,$A$152:$A$199,$A245,$C$152:$C$199,$B245)</f>
        <v>4.333333333333333</v>
      </c>
    </row>
    <row r="246">
      <c r="A246" s="6" t="inlineStr">
        <is>
          <t>P020</t>
        </is>
      </c>
      <c r="B246" s="6" t="inlineStr">
        <is>
          <t>One-Euro</t>
        </is>
      </c>
      <c r="C246" s="12">
        <f>AVERAGEIFS(Records!$K$5:$K$148,Records!$A$5:$A$148,$A246,Records!$H$5:$H$148,$B246)</f>
        <v>3</v>
      </c>
      <c r="D246" s="12">
        <f>AVERAGEIFS(Records!$L$5:$L$148,Records!$A$5:$A$148,$A246,Records!$H$5:$H$148,$B246)</f>
        <v>3.6666666666666665</v>
      </c>
      <c r="E246" s="12">
        <f>AVERAGEIFS(Records!$M$5:$M$148,Records!$A$5:$A$148,$A246,Records!$H$5:$H$148,$B246)</f>
        <v>3.6666666666666665</v>
      </c>
      <c r="F246" s="12">
        <f>AVERAGEIFS(Records!$O$5:$O$148,Records!$A$5:$A$148,$A246,Records!$H$5:$H$148,$B246)</f>
        <v>5</v>
      </c>
      <c r="G246" s="12">
        <f>AVERAGEIFS(Records!$P$5:$P$148,Records!$A$5:$A$148,$A246,Records!$H$5:$H$148,$B246)</f>
        <v>4.333333333333333</v>
      </c>
      <c r="H246" s="12">
        <f>AVERAGEIFS(Records!$Q$5:$Q$148,Records!$A$5:$A$148,$A246,Records!$H$5:$H$148,$B246)</f>
        <v>2.6666666666666665</v>
      </c>
      <c r="I246" s="12">
        <f>AVERAGEIFS(Records!$R$5:$R$148,Records!$A$5:$A$148,$A246,Records!$H$5:$H$148,$B246)</f>
        <v>2.6666666666666665</v>
      </c>
      <c r="J246" s="12">
        <f>AVERAGEIFS(Records!$S$5:$S$148,Records!$A$5:$A$148,$A246,Records!$H$5:$H$148,$B246)</f>
        <v>4</v>
      </c>
      <c r="K246" s="12">
        <f>AVERAGEIFS(Records!$T$5:$T$148,Records!$A$5:$A$148,$A246,Records!$H$5:$H$148,$B246)</f>
        <v>4.333333333333333</v>
      </c>
      <c r="L246" s="12">
        <f>AVERAGEIFS(Records!$U$5:$U$148,Records!$A$5:$A$148,$A246,Records!$H$5:$H$148,$B246)</f>
        <v>4.333333333333333</v>
      </c>
      <c r="M246" s="12">
        <f>AVERAGEIFS(Records!$V$5:$V$148,Records!$A$5:$A$148,$A246,Records!$H$5:$H$148,$B246)</f>
        <v>5.333333333333333</v>
      </c>
      <c r="N246" s="12">
        <f>AVERAGEIFS(Records!$W$5:$W$148,Records!$A$5:$A$148,$A246,Records!$H$5:$H$148,$B246)</f>
        <v>3</v>
      </c>
      <c r="O246" s="12">
        <f>AVERAGEIFS(Records!$X$5:$X$148,Records!$A$5:$A$148,$A246,Records!$H$5:$H$148,$B246)</f>
        <v>3</v>
      </c>
      <c r="P246" s="12">
        <f>AVERAGEIFS($E$5:$E$148,$A$5:$A$148,$A246,$C$5:$C$148,$B246)</f>
        <v>4.222222222222222</v>
      </c>
      <c r="Q246" s="12">
        <f>AVERAGEIFS($F$5:$F$148,$A$5:$A$148,$A246,$C$5:$C$148,$B246)</f>
        <v>4.888888888888888</v>
      </c>
      <c r="R246" s="12">
        <f>AVERAGEIFS($Q$152:$Q$199,$A$152:$A$199,$A246,$C$152:$C$199,$B246)</f>
        <v>2</v>
      </c>
      <c r="S246" s="12">
        <f>AVERAGEIFS($R$152:$R$199,$A$152:$A$199,$A246,$C$152:$C$199,$B246)</f>
        <v>1.5</v>
      </c>
      <c r="T246" s="12">
        <f>AVERAGEIFS($S$152:$S$199,$A$152:$A$199,$A246,$C$152:$C$199,$B246)</f>
        <v>3</v>
      </c>
    </row>
    <row r="247">
      <c r="A247" s="6" t="inlineStr">
        <is>
          <t>P021</t>
        </is>
      </c>
      <c r="B247" s="6" t="inlineStr">
        <is>
          <t>One-Euro</t>
        </is>
      </c>
      <c r="C247" s="12">
        <f>AVERAGEIFS(Records!$K$5:$K$148,Records!$A$5:$A$148,$A247,Records!$H$5:$H$148,$B247)</f>
        <v>3.6666666666666665</v>
      </c>
      <c r="D247" s="12">
        <f>AVERAGEIFS(Records!$L$5:$L$148,Records!$A$5:$A$148,$A247,Records!$H$5:$H$148,$B247)</f>
        <v>4.333333333333333</v>
      </c>
      <c r="E247" s="12">
        <f>AVERAGEIFS(Records!$M$5:$M$148,Records!$A$5:$A$148,$A247,Records!$H$5:$H$148,$B247)</f>
        <v>4</v>
      </c>
      <c r="F247" s="12">
        <f>AVERAGEIFS(Records!$O$5:$O$148,Records!$A$5:$A$148,$A247,Records!$H$5:$H$148,$B247)</f>
        <v>4.666666666666667</v>
      </c>
      <c r="G247" s="12">
        <f>AVERAGEIFS(Records!$P$5:$P$148,Records!$A$5:$A$148,$A247,Records!$H$5:$H$148,$B247)</f>
        <v>3.6666666666666665</v>
      </c>
      <c r="H247" s="12">
        <f>AVERAGEIFS(Records!$Q$5:$Q$148,Records!$A$5:$A$148,$A247,Records!$H$5:$H$148,$B247)</f>
        <v>4.333333333333333</v>
      </c>
      <c r="I247" s="12">
        <f>AVERAGEIFS(Records!$R$5:$R$148,Records!$A$5:$A$148,$A247,Records!$H$5:$H$148,$B247)</f>
        <v>5</v>
      </c>
      <c r="J247" s="12">
        <f>AVERAGEIFS(Records!$S$5:$S$148,Records!$A$5:$A$148,$A247,Records!$H$5:$H$148,$B247)</f>
        <v>4</v>
      </c>
      <c r="K247" s="12">
        <f>AVERAGEIFS(Records!$T$5:$T$148,Records!$A$5:$A$148,$A247,Records!$H$5:$H$148,$B247)</f>
        <v>5.333333333333333</v>
      </c>
      <c r="L247" s="12">
        <f>AVERAGEIFS(Records!$U$5:$U$148,Records!$A$5:$A$148,$A247,Records!$H$5:$H$148,$B247)</f>
        <v>4.666666666666667</v>
      </c>
      <c r="M247" s="12">
        <f>AVERAGEIFS(Records!$V$5:$V$148,Records!$A$5:$A$148,$A247,Records!$H$5:$H$148,$B247)</f>
        <v>5.666666666666667</v>
      </c>
      <c r="N247" s="12">
        <f>AVERAGEIFS(Records!$W$5:$W$148,Records!$A$5:$A$148,$A247,Records!$H$5:$H$148,$B247)</f>
        <v>1.6666666666666667</v>
      </c>
      <c r="O247" s="12">
        <f>AVERAGEIFS(Records!$X$5:$X$148,Records!$A$5:$A$148,$A247,Records!$H$5:$H$148,$B247)</f>
        <v>3.6666666666666665</v>
      </c>
      <c r="P247" s="12">
        <f>AVERAGEIFS($E$5:$E$148,$A$5:$A$148,$A247,$C$5:$C$148,$B247)</f>
        <v>4.666666666666667</v>
      </c>
      <c r="Q247" s="12">
        <f>AVERAGEIFS($F$5:$F$148,$A$5:$A$148,$A247,$C$5:$C$148,$B247)</f>
        <v>4.666666666666667</v>
      </c>
      <c r="R247" s="12">
        <f>AVERAGEIFS($Q$152:$Q$199,$A$152:$A$199,$A247,$C$152:$C$199,$B247)</f>
        <v>2.8333333333333335</v>
      </c>
      <c r="S247" s="12">
        <f>AVERAGEIFS($R$152:$R$199,$A$152:$A$199,$A247,$C$152:$C$199,$B247)</f>
        <v>2.5</v>
      </c>
      <c r="T247" s="12">
        <f>AVERAGEIFS($S$152:$S$199,$A$152:$A$199,$A247,$C$152:$C$199,$B247)</f>
        <v>3.3333333333333335</v>
      </c>
    </row>
    <row r="248">
      <c r="A248" s="6" t="inlineStr">
        <is>
          <t>P022</t>
        </is>
      </c>
      <c r="B248" s="6" t="inlineStr">
        <is>
          <t>One-Euro</t>
        </is>
      </c>
      <c r="C248" s="12">
        <f>AVERAGEIFS(Records!$K$5:$K$148,Records!$A$5:$A$148,$A248,Records!$H$5:$H$148,$B248)</f>
        <v>3.3333333333333335</v>
      </c>
      <c r="D248" s="12">
        <f>AVERAGEIFS(Records!$L$5:$L$148,Records!$A$5:$A$148,$A248,Records!$H$5:$H$148,$B248)</f>
        <v>4</v>
      </c>
      <c r="E248" s="12">
        <f>AVERAGEIFS(Records!$M$5:$M$148,Records!$A$5:$A$148,$A248,Records!$H$5:$H$148,$B248)</f>
        <v>4</v>
      </c>
      <c r="F248" s="12">
        <f>AVERAGEIFS(Records!$O$5:$O$148,Records!$A$5:$A$148,$A248,Records!$H$5:$H$148,$B248)</f>
        <v>4.333333333333333</v>
      </c>
      <c r="G248" s="12">
        <f>AVERAGEIFS(Records!$P$5:$P$148,Records!$A$5:$A$148,$A248,Records!$H$5:$H$148,$B248)</f>
        <v>4.333333333333333</v>
      </c>
      <c r="H248" s="12">
        <f>AVERAGEIFS(Records!$Q$5:$Q$148,Records!$A$5:$A$148,$A248,Records!$H$5:$H$148,$B248)</f>
        <v>4.333333333333333</v>
      </c>
      <c r="I248" s="12">
        <f>AVERAGEIFS(Records!$R$5:$R$148,Records!$A$5:$A$148,$A248,Records!$H$5:$H$148,$B248)</f>
        <v>4.333333333333333</v>
      </c>
      <c r="J248" s="12">
        <f>AVERAGEIFS(Records!$S$5:$S$148,Records!$A$5:$A$148,$A248,Records!$H$5:$H$148,$B248)</f>
        <v>3.3333333333333335</v>
      </c>
      <c r="K248" s="12">
        <f>AVERAGEIFS(Records!$T$5:$T$148,Records!$A$5:$A$148,$A248,Records!$H$5:$H$148,$B248)</f>
        <v>3.6666666666666665</v>
      </c>
      <c r="L248" s="12">
        <f>AVERAGEIFS(Records!$U$5:$U$148,Records!$A$5:$A$148,$A248,Records!$H$5:$H$148,$B248)</f>
        <v>5.333333333333333</v>
      </c>
      <c r="M248" s="12">
        <f>AVERAGEIFS(Records!$V$5:$V$148,Records!$A$5:$A$148,$A248,Records!$H$5:$H$148,$B248)</f>
        <v>4.666666666666667</v>
      </c>
      <c r="N248" s="12">
        <f>AVERAGEIFS(Records!$W$5:$W$148,Records!$A$5:$A$148,$A248,Records!$H$5:$H$148,$B248)</f>
        <v>3.3333333333333335</v>
      </c>
      <c r="O248" s="12">
        <f>AVERAGEIFS(Records!$X$5:$X$148,Records!$A$5:$A$148,$A248,Records!$H$5:$H$148,$B248)</f>
        <v>3</v>
      </c>
      <c r="P248" s="12">
        <f>AVERAGEIFS($E$5:$E$148,$A$5:$A$148,$A248,$C$5:$C$148,$B248)</f>
        <v>4.111111111111112</v>
      </c>
      <c r="Q248" s="12">
        <f>AVERAGEIFS($F$5:$F$148,$A$5:$A$148,$A248,$C$5:$C$148,$B248)</f>
        <v>4.444444444444444</v>
      </c>
      <c r="R248" s="12">
        <f>AVERAGEIFS($Q$152:$Q$199,$A$152:$A$199,$A248,$C$152:$C$199,$B248)</f>
        <v>2.8333333333333335</v>
      </c>
      <c r="S248" s="12">
        <f>AVERAGEIFS($R$152:$R$199,$A$152:$A$199,$A248,$C$152:$C$199,$B248)</f>
        <v>2.5</v>
      </c>
      <c r="T248" s="12">
        <f>AVERAGEIFS($S$152:$S$199,$A$152:$A$199,$A248,$C$152:$C$199,$B248)</f>
        <v>3.3333333333333335</v>
      </c>
    </row>
    <row r="249">
      <c r="A249" s="6" t="inlineStr">
        <is>
          <t>P023</t>
        </is>
      </c>
      <c r="B249" s="6" t="inlineStr">
        <is>
          <t>One-Euro</t>
        </is>
      </c>
      <c r="C249" s="12">
        <f>AVERAGEIFS(Records!$K$5:$K$148,Records!$A$5:$A$148,$A249,Records!$H$5:$H$148,$B249)</f>
        <v>6.333333333333333</v>
      </c>
      <c r="D249" s="12">
        <f>AVERAGEIFS(Records!$L$5:$L$148,Records!$A$5:$A$148,$A249,Records!$H$5:$H$148,$B249)</f>
        <v>6</v>
      </c>
      <c r="E249" s="12">
        <f>AVERAGEIFS(Records!$M$5:$M$148,Records!$A$5:$A$148,$A249,Records!$H$5:$H$148,$B249)</f>
        <v>6.333333333333333</v>
      </c>
      <c r="F249" s="12">
        <f>AVERAGEIFS(Records!$O$5:$O$148,Records!$A$5:$A$148,$A249,Records!$H$5:$H$148,$B249)</f>
        <v>6.333333333333333</v>
      </c>
      <c r="G249" s="12">
        <f>AVERAGEIFS(Records!$P$5:$P$148,Records!$A$5:$A$148,$A249,Records!$H$5:$H$148,$B249)</f>
        <v>5.333333333333333</v>
      </c>
      <c r="H249" s="12">
        <f>AVERAGEIFS(Records!$Q$5:$Q$148,Records!$A$5:$A$148,$A249,Records!$H$5:$H$148,$B249)</f>
        <v>6</v>
      </c>
      <c r="I249" s="12">
        <f>AVERAGEIFS(Records!$R$5:$R$148,Records!$A$5:$A$148,$A249,Records!$H$5:$H$148,$B249)</f>
        <v>4</v>
      </c>
      <c r="J249" s="12">
        <f>AVERAGEIFS(Records!$S$5:$S$148,Records!$A$5:$A$148,$A249,Records!$H$5:$H$148,$B249)</f>
        <v>5.333333333333333</v>
      </c>
      <c r="K249" s="12">
        <f>AVERAGEIFS(Records!$T$5:$T$148,Records!$A$5:$A$148,$A249,Records!$H$5:$H$148,$B249)</f>
        <v>4.333333333333333</v>
      </c>
      <c r="L249" s="12">
        <f>AVERAGEIFS(Records!$U$5:$U$148,Records!$A$5:$A$148,$A249,Records!$H$5:$H$148,$B249)</f>
        <v>6.333333333333333</v>
      </c>
      <c r="M249" s="12">
        <f>AVERAGEIFS(Records!$V$5:$V$148,Records!$A$5:$A$148,$A249,Records!$H$5:$H$148,$B249)</f>
        <v>6.666666666666667</v>
      </c>
      <c r="N249" s="12">
        <f>AVERAGEIFS(Records!$W$5:$W$148,Records!$A$5:$A$148,$A249,Records!$H$5:$H$148,$B249)</f>
        <v>4.333333333333333</v>
      </c>
      <c r="O249" s="12">
        <f>AVERAGEIFS(Records!$X$5:$X$148,Records!$A$5:$A$148,$A249,Records!$H$5:$H$148,$B249)</f>
        <v>4.333333333333333</v>
      </c>
      <c r="P249" s="12">
        <f>AVERAGEIFS($E$5:$E$148,$A$5:$A$148,$A249,$C$5:$C$148,$B249)</f>
        <v>5.333333333333333</v>
      </c>
      <c r="Q249" s="12">
        <f>AVERAGEIFS($F$5:$F$148,$A$5:$A$148,$A249,$C$5:$C$148,$B249)</f>
        <v>6.111111111111111</v>
      </c>
      <c r="R249" s="12">
        <f>AVERAGEIFS($Q$152:$Q$199,$A$152:$A$199,$A249,$C$152:$C$199,$B249)</f>
        <v>4.166666666666667</v>
      </c>
      <c r="S249" s="12">
        <f>AVERAGEIFS($R$152:$R$199,$A$152:$A$199,$A249,$C$152:$C$199,$B249)</f>
        <v>4.25</v>
      </c>
      <c r="T249" s="12">
        <f>AVERAGEIFS($S$152:$S$199,$A$152:$A$199,$A249,$C$152:$C$199,$B249)</f>
        <v>6.333333333333333</v>
      </c>
    </row>
    <row r="250">
      <c r="A250" s="6" t="inlineStr">
        <is>
          <t>P024</t>
        </is>
      </c>
      <c r="B250" s="6" t="inlineStr">
        <is>
          <t>One-Euro</t>
        </is>
      </c>
      <c r="C250" s="12">
        <f>AVERAGEIFS(Records!$K$5:$K$148,Records!$A$5:$A$148,$A250,Records!$H$5:$H$148,$B250)</f>
        <v>6.333333333333333</v>
      </c>
      <c r="D250" s="12">
        <f>AVERAGEIFS(Records!$L$5:$L$148,Records!$A$5:$A$148,$A250,Records!$H$5:$H$148,$B250)</f>
        <v>7</v>
      </c>
      <c r="E250" s="12">
        <f>AVERAGEIFS(Records!$M$5:$M$148,Records!$A$5:$A$148,$A250,Records!$H$5:$H$148,$B250)</f>
        <v>7</v>
      </c>
      <c r="F250" s="12">
        <f>AVERAGEIFS(Records!$O$5:$O$148,Records!$A$5:$A$148,$A250,Records!$H$5:$H$148,$B250)</f>
        <v>7</v>
      </c>
      <c r="G250" s="12">
        <f>AVERAGEIFS(Records!$P$5:$P$148,Records!$A$5:$A$148,$A250,Records!$H$5:$H$148,$B250)</f>
        <v>6</v>
      </c>
      <c r="H250" s="12">
        <f>AVERAGEIFS(Records!$Q$5:$Q$148,Records!$A$5:$A$148,$A250,Records!$H$5:$H$148,$B250)</f>
        <v>6</v>
      </c>
      <c r="I250" s="12">
        <f>AVERAGEIFS(Records!$R$5:$R$148,Records!$A$5:$A$148,$A250,Records!$H$5:$H$148,$B250)</f>
        <v>7</v>
      </c>
      <c r="J250" s="12">
        <f>AVERAGEIFS(Records!$S$5:$S$148,Records!$A$5:$A$148,$A250,Records!$H$5:$H$148,$B250)</f>
        <v>7</v>
      </c>
      <c r="K250" s="12">
        <f>AVERAGEIFS(Records!$T$5:$T$148,Records!$A$5:$A$148,$A250,Records!$H$5:$H$148,$B250)</f>
        <v>6.333333333333333</v>
      </c>
      <c r="L250" s="12">
        <f>AVERAGEIFS(Records!$U$5:$U$148,Records!$A$5:$A$148,$A250,Records!$H$5:$H$148,$B250)</f>
        <v>7</v>
      </c>
      <c r="M250" s="12">
        <f>AVERAGEIFS(Records!$V$5:$V$148,Records!$A$5:$A$148,$A250,Records!$H$5:$H$148,$B250)</f>
        <v>6</v>
      </c>
      <c r="N250" s="12">
        <f>AVERAGEIFS(Records!$W$5:$W$148,Records!$A$5:$A$148,$A250,Records!$H$5:$H$148,$B250)</f>
        <v>7</v>
      </c>
      <c r="O250" s="12">
        <f>AVERAGEIFS(Records!$X$5:$X$148,Records!$A$5:$A$148,$A250,Records!$H$5:$H$148,$B250)</f>
        <v>6.666666666666667</v>
      </c>
      <c r="P250" s="12">
        <f>AVERAGEIFS($E$5:$E$148,$A$5:$A$148,$A250,$C$5:$C$148,$B250)</f>
        <v>6.777777777777779</v>
      </c>
      <c r="Q250" s="12">
        <f>AVERAGEIFS($F$5:$F$148,$A$5:$A$148,$A250,$C$5:$C$148,$B250)</f>
        <v>6.333333333333333</v>
      </c>
      <c r="R250" s="12">
        <f>AVERAGEIFS($Q$152:$Q$199,$A$152:$A$199,$A250,$C$152:$C$199,$B250)</f>
        <v>5</v>
      </c>
      <c r="S250" s="12">
        <f>AVERAGEIFS($R$152:$R$199,$A$152:$A$199,$A250,$C$152:$C$199,$B250)</f>
        <v>4.5</v>
      </c>
      <c r="T250" s="12">
        <f>AVERAGEIFS($S$152:$S$199,$A$152:$A$199,$A250,$C$152:$C$199,$B250)</f>
        <v>7</v>
      </c>
    </row>
    <row r="252">
      <c r="A252" s="7" t="inlineStr">
        <is>
          <t>D4. 每人配对差（EgoAnchor − One-Euro，24 行）：主家族 7 项 + 已发表量表家族 5 项。末列校验两行 Participant_ID 一致（配对正确性自检，应全为 OK）</t>
        </is>
      </c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</row>
    <row r="253">
      <c r="A253" s="9" t="inlineStr">
        <is>
          <t>Participant_ID</t>
        </is>
      </c>
      <c r="B253" s="9" t="inlineStr">
        <is>
          <t>Q1</t>
        </is>
      </c>
      <c r="C253" s="9" t="inlineStr">
        <is>
          <t>Q8</t>
        </is>
      </c>
      <c r="D253" s="9" t="inlineStr">
        <is>
          <t>Q2</t>
        </is>
      </c>
      <c r="E253" s="9" t="inlineStr">
        <is>
          <t>Q9</t>
        </is>
      </c>
      <c r="F253" s="9" t="inlineStr">
        <is>
          <t>Q3</t>
        </is>
      </c>
      <c r="G253" s="9" t="inlineStr">
        <is>
          <t>Q6</t>
        </is>
      </c>
      <c r="H253" s="9" t="inlineStr">
        <is>
          <t>Q7</t>
        </is>
      </c>
      <c r="I253" s="9" t="inlineStr">
        <is>
          <t>AQ_EQ</t>
        </is>
      </c>
      <c r="J253" s="9" t="inlineStr">
        <is>
          <t>AQ_IQ</t>
        </is>
      </c>
      <c r="K253" s="9" t="inlineStr">
        <is>
          <t>TIA_RC</t>
        </is>
      </c>
      <c r="L253" s="9" t="inlineStr">
        <is>
          <t>TIA_UP</t>
        </is>
      </c>
      <c r="M253" s="9" t="inlineStr">
        <is>
          <t>STIAS</t>
        </is>
      </c>
      <c r="N253" s="9" t="inlineStr">
        <is>
          <t>配对校验</t>
        </is>
      </c>
    </row>
    <row r="254">
      <c r="A254" s="6" t="inlineStr">
        <is>
          <t>P001</t>
        </is>
      </c>
      <c r="B254" s="16">
        <f>C203-C227</f>
        <v>1</v>
      </c>
      <c r="C254" s="16">
        <f>I203-I227</f>
        <v>-0.33333333333333304</v>
      </c>
      <c r="D254" s="16">
        <f>D203-D227</f>
        <v>-0.33333333333333304</v>
      </c>
      <c r="E254" s="16">
        <f>E203-E227</f>
        <v>0.33333333333333304</v>
      </c>
      <c r="F254" s="16">
        <f>H203-H227</f>
        <v>0.33333333333333304</v>
      </c>
      <c r="G254" s="16">
        <f>N203-N227</f>
        <v>0.666666666666667</v>
      </c>
      <c r="H254" s="16">
        <f>O203-O227</f>
        <v>0.666666666666667</v>
      </c>
      <c r="I254" s="16">
        <f>P203-P227</f>
        <v>-0.22222222222222232</v>
      </c>
      <c r="J254" s="16">
        <f>Q203-Q227</f>
        <v>-0.3333333333333339</v>
      </c>
      <c r="K254" s="16">
        <f>R203-R227</f>
        <v>-0.33333333333333304</v>
      </c>
      <c r="L254" s="16">
        <f>S203-S227</f>
        <v>-0.25</v>
      </c>
      <c r="M254" s="16">
        <f>T203-T227</f>
        <v>0</v>
      </c>
      <c r="N254" s="14" t="str">
        <f>IF(AND($A203=$A254,$A227=$A254),"OK","配对错误")</f>
        <v>OK</v>
      </c>
    </row>
    <row r="255">
      <c r="A255" s="6" t="inlineStr">
        <is>
          <t>P002</t>
        </is>
      </c>
      <c r="B255" s="16">
        <f>C204-C228</f>
        <v>0.33333333333333304</v>
      </c>
      <c r="C255" s="16">
        <f>I204-I228</f>
        <v>0.3333333333333335</v>
      </c>
      <c r="D255" s="16">
        <f>D204-D228</f>
        <v>-0.3333333333333339</v>
      </c>
      <c r="E255" s="16">
        <f>E204-E228</f>
        <v>-0.33333333333333304</v>
      </c>
      <c r="F255" s="16">
        <f>H204-H228</f>
        <v>0</v>
      </c>
      <c r="G255" s="16">
        <f>N204-N228</f>
        <v>-0.6666666666666665</v>
      </c>
      <c r="H255" s="16">
        <f>O204-O228</f>
        <v>-0.6666666666666665</v>
      </c>
      <c r="I255" s="16">
        <f>P204-P228</f>
        <v>-0.666666666666667</v>
      </c>
      <c r="J255" s="16">
        <f>Q204-Q228</f>
        <v>-0.44444444444444464</v>
      </c>
      <c r="K255" s="16">
        <f>R204-R228</f>
        <v>0.6666666666666665</v>
      </c>
      <c r="L255" s="16">
        <f>S204-S228</f>
        <v>0</v>
      </c>
      <c r="M255" s="16">
        <f>T204-T228</f>
        <v>0.6666666666666665</v>
      </c>
      <c r="N255" s="14" t="str">
        <f>IF(AND($A204=$A255,$A228=$A255),"OK","配对错误")</f>
        <v>OK</v>
      </c>
    </row>
    <row r="256">
      <c r="A256" s="6" t="inlineStr">
        <is>
          <t>P003</t>
        </is>
      </c>
      <c r="B256" s="16">
        <f>C205-C229</f>
        <v>4</v>
      </c>
      <c r="C256" s="16">
        <f>I205-I229</f>
        <v>3</v>
      </c>
      <c r="D256" s="16">
        <f>D205-D229</f>
        <v>0.3333333333333339</v>
      </c>
      <c r="E256" s="16">
        <f>E205-E229</f>
        <v>2.3333333333333335</v>
      </c>
      <c r="F256" s="16">
        <f>H205-H229</f>
        <v>2.333333333333333</v>
      </c>
      <c r="G256" s="16">
        <f>N205-N229</f>
        <v>2.333333333333334</v>
      </c>
      <c r="H256" s="16">
        <f>O205-O229</f>
        <v>2.6666666666666665</v>
      </c>
      <c r="I256" s="16">
        <f>P205-P229</f>
        <v>1.0000000000000009</v>
      </c>
      <c r="J256" s="16">
        <f>Q205-Q229</f>
        <v>0.6666666666666661</v>
      </c>
      <c r="K256" s="16">
        <f>R205-R229</f>
        <v>1.8333333333333335</v>
      </c>
      <c r="L256" s="16">
        <f>S205-S229</f>
        <v>1.25</v>
      </c>
      <c r="M256" s="16">
        <f>T205-T229</f>
        <v>2.333333333333333</v>
      </c>
      <c r="N256" s="14" t="str">
        <f>IF(AND($A205=$A256,$A229=$A256),"OK","配对错误")</f>
        <v>OK</v>
      </c>
    </row>
    <row r="257">
      <c r="A257" s="6" t="inlineStr">
        <is>
          <t>P004</t>
        </is>
      </c>
      <c r="B257" s="16">
        <f>C206-C230</f>
        <v>-0.33333333333333304</v>
      </c>
      <c r="C257" s="16">
        <f>I206-I230</f>
        <v>-0.33333333333333304</v>
      </c>
      <c r="D257" s="16">
        <f>D206-D230</f>
        <v>-0.6666666666666665</v>
      </c>
      <c r="E257" s="16">
        <f>E206-E230</f>
        <v>-0.6666666666666665</v>
      </c>
      <c r="F257" s="16">
        <f>H206-H230</f>
        <v>-1.0000000000000004</v>
      </c>
      <c r="G257" s="16">
        <f>N206-N230</f>
        <v>-0.6666666666666661</v>
      </c>
      <c r="H257" s="16">
        <f>O206-O230</f>
        <v>-0.9999999999999996</v>
      </c>
      <c r="I257" s="16">
        <f>P206-P230</f>
        <v>-0.5555555555555554</v>
      </c>
      <c r="J257" s="16">
        <f>Q206-Q230</f>
        <v>-0.5555555555555562</v>
      </c>
      <c r="K257" s="16">
        <f>R206-R230</f>
        <v>-1</v>
      </c>
      <c r="L257" s="16">
        <f>S206-S230</f>
        <v>-1</v>
      </c>
      <c r="M257" s="16">
        <f>T206-T230</f>
        <v>-1</v>
      </c>
      <c r="N257" s="14" t="str">
        <f>IF(AND($A206=$A257,$A230=$A257),"OK","配对错误")</f>
        <v>OK</v>
      </c>
    </row>
    <row r="258">
      <c r="A258" s="6" t="inlineStr">
        <is>
          <t>P005</t>
        </is>
      </c>
      <c r="B258" s="16">
        <f>C207-C231</f>
        <v>2.333333333333333</v>
      </c>
      <c r="C258" s="16">
        <f>I207-I231</f>
        <v>1.333333333333333</v>
      </c>
      <c r="D258" s="16">
        <f>D207-D231</f>
        <v>-1</v>
      </c>
      <c r="E258" s="16">
        <f>E207-E231</f>
        <v>0.6666666666666665</v>
      </c>
      <c r="F258" s="16">
        <f>H207-H231</f>
        <v>1.666666666666667</v>
      </c>
      <c r="G258" s="16">
        <f>N207-N231</f>
        <v>2.0000000000000004</v>
      </c>
      <c r="H258" s="16">
        <f>O207-O231</f>
        <v>1.0000000000000004</v>
      </c>
      <c r="I258" s="16">
        <f>P207-P231</f>
        <v>0.11111111111111072</v>
      </c>
      <c r="J258" s="16">
        <f>Q207-Q231</f>
        <v>-1</v>
      </c>
      <c r="K258" s="16">
        <f>R207-R231</f>
        <v>0.8333333333333335</v>
      </c>
      <c r="L258" s="16">
        <f>S207-S231</f>
        <v>1</v>
      </c>
      <c r="M258" s="16">
        <f>T207-T231</f>
        <v>1.6666666666666667</v>
      </c>
      <c r="N258" s="14" t="str">
        <f>IF(AND($A207=$A258,$A231=$A258),"OK","配对错误")</f>
        <v>OK</v>
      </c>
    </row>
    <row r="259">
      <c r="A259" s="6" t="inlineStr">
        <is>
          <t>P006</t>
        </is>
      </c>
      <c r="B259" s="16">
        <f>C208-C232</f>
        <v>0</v>
      </c>
      <c r="C259" s="16">
        <f>I208-I232</f>
        <v>-0.666666666666667</v>
      </c>
      <c r="D259" s="16">
        <f>D208-D232</f>
        <v>0.3333333333333335</v>
      </c>
      <c r="E259" s="16">
        <f>E208-E232</f>
        <v>-0.666666666666667</v>
      </c>
      <c r="F259" s="16">
        <f>H208-H232</f>
        <v>0</v>
      </c>
      <c r="G259" s="16">
        <f>N208-N232</f>
        <v>-0.6666666666666665</v>
      </c>
      <c r="H259" s="16">
        <f>O208-O232</f>
        <v>-0.33333333333333304</v>
      </c>
      <c r="I259" s="16">
        <f>P208-P232</f>
        <v>-0.3333333333333339</v>
      </c>
      <c r="J259" s="16">
        <f>Q208-Q232</f>
        <v>-0.22222222222222232</v>
      </c>
      <c r="K259" s="16">
        <f>R208-R232</f>
        <v>0</v>
      </c>
      <c r="L259" s="16">
        <f>S208-S232</f>
        <v>-0.75</v>
      </c>
      <c r="M259" s="16">
        <f>T208-T232</f>
        <v>0.3333333333333335</v>
      </c>
      <c r="N259" s="14" t="str">
        <f>IF(AND($A208=$A259,$A232=$A259),"OK","配对错误")</f>
        <v>OK</v>
      </c>
    </row>
    <row r="260">
      <c r="A260" s="6" t="inlineStr">
        <is>
          <t>P007</t>
        </is>
      </c>
      <c r="B260" s="16">
        <f>C209-C233</f>
        <v>1</v>
      </c>
      <c r="C260" s="16">
        <f>I209-I233</f>
        <v>0.666666666666667</v>
      </c>
      <c r="D260" s="16">
        <f>D209-D233</f>
        <v>-0.666666666666667</v>
      </c>
      <c r="E260" s="16">
        <f>E209-E233</f>
        <v>1</v>
      </c>
      <c r="F260" s="16">
        <f>H209-H233</f>
        <v>0.33333333333333304</v>
      </c>
      <c r="G260" s="16">
        <f>N209-N233</f>
        <v>1.333333333333333</v>
      </c>
      <c r="H260" s="16">
        <f>O209-O233</f>
        <v>1</v>
      </c>
      <c r="I260" s="16">
        <f>P209-P233</f>
        <v>0.8888888888888893</v>
      </c>
      <c r="J260" s="16">
        <f>Q209-Q233</f>
        <v>0.22222222222222143</v>
      </c>
      <c r="K260" s="16">
        <f>R209-R233</f>
        <v>0.33333333333333304</v>
      </c>
      <c r="L260" s="16">
        <f>S209-S233</f>
        <v>0</v>
      </c>
      <c r="M260" s="16">
        <f>T209-T233</f>
        <v>0.33333333333333304</v>
      </c>
      <c r="N260" s="14" t="str">
        <f>IF(AND($A209=$A260,$A233=$A260),"OK","配对错误")</f>
        <v>OK</v>
      </c>
    </row>
    <row r="261">
      <c r="A261" s="6" t="inlineStr">
        <is>
          <t>P008</t>
        </is>
      </c>
      <c r="B261" s="16">
        <f>C210-C234</f>
        <v>1</v>
      </c>
      <c r="C261" s="16">
        <f>I210-I234</f>
        <v>0.666666666666667</v>
      </c>
      <c r="D261" s="16">
        <f>D210-D234</f>
        <v>0.6666666666666661</v>
      </c>
      <c r="E261" s="16">
        <f>E210-E234</f>
        <v>0.666666666666667</v>
      </c>
      <c r="F261" s="16">
        <f>H210-H234</f>
        <v>1.333333333333334</v>
      </c>
      <c r="G261" s="16">
        <f>N210-N234</f>
        <v>0.666666666666667</v>
      </c>
      <c r="H261" s="16">
        <f>O210-O234</f>
        <v>0.6666666666666661</v>
      </c>
      <c r="I261" s="16">
        <f>P210-P234</f>
        <v>0.7777777777777777</v>
      </c>
      <c r="J261" s="16">
        <f>Q210-Q234</f>
        <v>0.33333333333333304</v>
      </c>
      <c r="K261" s="16">
        <f>R210-R234</f>
        <v>0.16666666666666652</v>
      </c>
      <c r="L261" s="16">
        <f>S210-S234</f>
        <v>1</v>
      </c>
      <c r="M261" s="16">
        <f>T210-T234</f>
        <v>0</v>
      </c>
      <c r="N261" s="14" t="str">
        <f>IF(AND($A210=$A261,$A234=$A261),"OK","配对错误")</f>
        <v>OK</v>
      </c>
    </row>
    <row r="262">
      <c r="A262" s="6" t="inlineStr">
        <is>
          <t>P009</t>
        </is>
      </c>
      <c r="B262" s="16">
        <f>C211-C235</f>
        <v>0.666666666666667</v>
      </c>
      <c r="C262" s="16">
        <f>I211-I235</f>
        <v>0.9999999999999996</v>
      </c>
      <c r="D262" s="16">
        <f>D211-D235</f>
        <v>0.33333333333333304</v>
      </c>
      <c r="E262" s="16">
        <f>E211-E235</f>
        <v>0.6666666666666661</v>
      </c>
      <c r="F262" s="16">
        <f>H211-H235</f>
        <v>0</v>
      </c>
      <c r="G262" s="16">
        <f>N211-N235</f>
        <v>0.6666666666666665</v>
      </c>
      <c r="H262" s="16">
        <f>O211-O235</f>
        <v>1</v>
      </c>
      <c r="I262" s="16">
        <f>P211-P235</f>
        <v>-0.22222222222222232</v>
      </c>
      <c r="J262" s="16">
        <f>Q211-Q235</f>
        <v>0.33333333333333304</v>
      </c>
      <c r="K262" s="16">
        <f>R211-R235</f>
        <v>0.3999999999999999</v>
      </c>
      <c r="L262" s="16">
        <f>S211-S235</f>
        <v>0.75</v>
      </c>
      <c r="M262" s="16">
        <f>T211-T235</f>
        <v>0.33333333333333304</v>
      </c>
      <c r="N262" s="14" t="str">
        <f>IF(AND($A211=$A262,$A235=$A262),"OK","配对错误")</f>
        <v>OK</v>
      </c>
    </row>
    <row r="263">
      <c r="A263" s="6" t="inlineStr">
        <is>
          <t>P010</t>
        </is>
      </c>
      <c r="B263" s="16">
        <f>C212-C236</f>
        <v>-0.9999999999999996</v>
      </c>
      <c r="C263" s="16">
        <f>I212-I236</f>
        <v>0</v>
      </c>
      <c r="D263" s="16">
        <f>D212-D236</f>
        <v>0</v>
      </c>
      <c r="E263" s="16">
        <f>E212-E236</f>
        <v>-0.33333333333333304</v>
      </c>
      <c r="F263" s="16">
        <f>H212-H236</f>
        <v>0.33333333333333304</v>
      </c>
      <c r="G263" s="16">
        <f>N212-N236</f>
        <v>0</v>
      </c>
      <c r="H263" s="16">
        <f>O212-O236</f>
        <v>0</v>
      </c>
      <c r="I263" s="16">
        <f>P212-P236</f>
        <v>-0.11111111111111072</v>
      </c>
      <c r="J263" s="16">
        <f>Q212-Q236</f>
        <v>0</v>
      </c>
      <c r="K263" s="16">
        <f>R212-R236</f>
        <v>-0.16666666666666696</v>
      </c>
      <c r="L263" s="16">
        <f>S212-S236</f>
        <v>-0.25</v>
      </c>
      <c r="M263" s="16">
        <f>T212-T236</f>
        <v>-0.6666666666666665</v>
      </c>
      <c r="N263" s="14" t="str">
        <f>IF(AND($A212=$A263,$A236=$A263),"OK","配对错误")</f>
        <v>OK</v>
      </c>
    </row>
    <row r="264">
      <c r="A264" s="6" t="inlineStr">
        <is>
          <t>P011</t>
        </is>
      </c>
      <c r="B264" s="16">
        <f>C213-C237</f>
        <v>2.6666666666666665</v>
      </c>
      <c r="C264" s="16">
        <f>I213-I237</f>
        <v>2.0000000000000004</v>
      </c>
      <c r="D264" s="16">
        <f>D213-D237</f>
        <v>0.3333333333333339</v>
      </c>
      <c r="E264" s="16">
        <f>E213-E237</f>
        <v>1.666666666666667</v>
      </c>
      <c r="F264" s="16">
        <f>H213-H237</f>
        <v>1.6666666666666665</v>
      </c>
      <c r="G264" s="16">
        <f>N213-N237</f>
        <v>1.3333333333333335</v>
      </c>
      <c r="H264" s="16">
        <f>O213-O237</f>
        <v>2.0000000000000004</v>
      </c>
      <c r="I264" s="16">
        <f>P213-P237</f>
        <v>1.3333333333333335</v>
      </c>
      <c r="J264" s="16">
        <f>Q213-Q237</f>
        <v>0.7777777777777777</v>
      </c>
      <c r="K264" s="16">
        <f>R213-R237</f>
        <v>1.5</v>
      </c>
      <c r="L264" s="16">
        <f>S213-S237</f>
        <v>1.25</v>
      </c>
      <c r="M264" s="16">
        <f>T213-T237</f>
        <v>2.9999999999999996</v>
      </c>
      <c r="N264" s="14" t="str">
        <f>IF(AND($A213=$A264,$A237=$A264),"OK","配对错误")</f>
        <v>OK</v>
      </c>
    </row>
    <row r="265">
      <c r="A265" s="6" t="inlineStr">
        <is>
          <t>P012</t>
        </is>
      </c>
      <c r="B265" s="16">
        <f>C214-C238</f>
        <v>0.3333333333333339</v>
      </c>
      <c r="C265" s="16">
        <f>I214-I238</f>
        <v>0.6666666666666661</v>
      </c>
      <c r="D265" s="16">
        <f>D214-D238</f>
        <v>0.666666666666667</v>
      </c>
      <c r="E265" s="16">
        <f>E214-E238</f>
        <v>-0.33333333333333304</v>
      </c>
      <c r="F265" s="16">
        <f>H214-H238</f>
        <v>0.6666666666666661</v>
      </c>
      <c r="G265" s="16">
        <f>N214-N238</f>
        <v>1</v>
      </c>
      <c r="H265" s="16">
        <f>O214-O238</f>
        <v>0.666666666666667</v>
      </c>
      <c r="I265" s="16">
        <f>P214-P238</f>
        <v>-0.33333333333333304</v>
      </c>
      <c r="J265" s="16">
        <f>Q214-Q238</f>
        <v>0.666666666666667</v>
      </c>
      <c r="K265" s="16">
        <f>R214-R238</f>
        <v>0.666666666666667</v>
      </c>
      <c r="L265" s="16">
        <f>S214-S238</f>
        <v>0</v>
      </c>
      <c r="M265" s="16">
        <f>T214-T238</f>
        <v>1.333333333333333</v>
      </c>
      <c r="N265" s="14" t="str">
        <f>IF(AND($A214=$A265,$A238=$A265),"OK","配对错误")</f>
        <v>OK</v>
      </c>
    </row>
    <row r="266">
      <c r="A266" s="6" t="inlineStr">
        <is>
          <t>P013</t>
        </is>
      </c>
      <c r="B266" s="16">
        <f>C215-C239</f>
        <v>0.666666666666667</v>
      </c>
      <c r="C266" s="16">
        <f>I215-I239</f>
        <v>-0.666666666666667</v>
      </c>
      <c r="D266" s="16">
        <f>D215-D239</f>
        <v>-0.666666666666667</v>
      </c>
      <c r="E266" s="16">
        <f>E215-E239</f>
        <v>0</v>
      </c>
      <c r="F266" s="16">
        <f>H215-H239</f>
        <v>0.33333333333333304</v>
      </c>
      <c r="G266" s="16">
        <f>N215-N239</f>
        <v>0.6666666666666665</v>
      </c>
      <c r="H266" s="16">
        <f>O215-O239</f>
        <v>0</v>
      </c>
      <c r="I266" s="16">
        <f>P215-P239</f>
        <v>-0.33333333333333304</v>
      </c>
      <c r="J266" s="16">
        <f>Q215-Q239</f>
        <v>0.11111111111111072</v>
      </c>
      <c r="K266" s="16">
        <f>R215-R239</f>
        <v>-0.5</v>
      </c>
      <c r="L266" s="16">
        <f>S215-S239</f>
        <v>0.75</v>
      </c>
      <c r="M266" s="16">
        <f>T215-T239</f>
        <v>0</v>
      </c>
      <c r="N266" s="14" t="str">
        <f>IF(AND($A215=$A266,$A239=$A266),"OK","配对错误")</f>
        <v>OK</v>
      </c>
    </row>
    <row r="267">
      <c r="A267" s="6" t="inlineStr">
        <is>
          <t>P014</t>
        </is>
      </c>
      <c r="B267" s="16">
        <f>C216-C240</f>
        <v>0.6666666666666661</v>
      </c>
      <c r="C267" s="16">
        <f>I216-I240</f>
        <v>0.33333333333333304</v>
      </c>
      <c r="D267" s="16">
        <f>D216-D240</f>
        <v>-1</v>
      </c>
      <c r="E267" s="16">
        <f>E216-E240</f>
        <v>-1.333333333333333</v>
      </c>
      <c r="F267" s="16">
        <f>H216-H240</f>
        <v>0.3333333333333339</v>
      </c>
      <c r="G267" s="16">
        <f>N216-N240</f>
        <v>0.3333333333333339</v>
      </c>
      <c r="H267" s="16">
        <f>O216-O240</f>
        <v>0.33333333333333304</v>
      </c>
      <c r="I267" s="16">
        <f>P216-P240</f>
        <v>-0.22222222222222232</v>
      </c>
      <c r="J267" s="16">
        <f>Q216-Q240</f>
        <v>-1.333333333333333</v>
      </c>
      <c r="K267" s="16">
        <f>R216-R240</f>
        <v>0.16666666666666652</v>
      </c>
      <c r="L267" s="16">
        <f>S216-S240</f>
        <v>-0.5</v>
      </c>
      <c r="M267" s="16">
        <f>T216-T240</f>
        <v>0</v>
      </c>
      <c r="N267" s="14" t="str">
        <f>IF(AND($A216=$A267,$A240=$A267),"OK","配对错误")</f>
        <v>OK</v>
      </c>
    </row>
    <row r="268">
      <c r="A268" s="6" t="inlineStr">
        <is>
          <t>P015</t>
        </is>
      </c>
      <c r="B268" s="16">
        <f>C217-C241</f>
        <v>1</v>
      </c>
      <c r="C268" s="16">
        <f>I217-I241</f>
        <v>1</v>
      </c>
      <c r="D268" s="16">
        <f>D217-D241</f>
        <v>-1</v>
      </c>
      <c r="E268" s="16">
        <f>E217-E241</f>
        <v>0.6666666666666665</v>
      </c>
      <c r="F268" s="16">
        <f>H217-H241</f>
        <v>0.3333333333333335</v>
      </c>
      <c r="G268" s="16">
        <f>N217-N241</f>
        <v>1.333333333333334</v>
      </c>
      <c r="H268" s="16">
        <f>O217-O241</f>
        <v>1.666666666666667</v>
      </c>
      <c r="I268" s="16">
        <f>P217-P241</f>
        <v>0.44444444444444375</v>
      </c>
      <c r="J268" s="16">
        <f>Q217-Q241</f>
        <v>0</v>
      </c>
      <c r="K268" s="16">
        <f>R217-R241</f>
        <v>0.16666666666666652</v>
      </c>
      <c r="L268" s="16">
        <f>S217-S241</f>
        <v>0</v>
      </c>
      <c r="M268" s="16">
        <f>T217-T241</f>
        <v>1.6666666666666665</v>
      </c>
      <c r="N268" s="14" t="str">
        <f>IF(AND($A217=$A268,$A241=$A268),"OK","配对错误")</f>
        <v>OK</v>
      </c>
    </row>
    <row r="269">
      <c r="A269" s="6" t="inlineStr">
        <is>
          <t>P016</t>
        </is>
      </c>
      <c r="B269" s="16">
        <f>C218-C242</f>
        <v>2.666666666666667</v>
      </c>
      <c r="C269" s="16">
        <f>I218-I242</f>
        <v>3.3333333333333335</v>
      </c>
      <c r="D269" s="16">
        <f>D218-D242</f>
        <v>1.666666666666667</v>
      </c>
      <c r="E269" s="16">
        <f>E218-E242</f>
        <v>1.333333333333333</v>
      </c>
      <c r="F269" s="16">
        <f>H218-H242</f>
        <v>2.3333333333333335</v>
      </c>
      <c r="G269" s="16">
        <f>N218-N242</f>
        <v>2</v>
      </c>
      <c r="H269" s="16">
        <f>O218-O242</f>
        <v>2.333333333333333</v>
      </c>
      <c r="I269" s="16">
        <f>P218-P242</f>
        <v>1.0000000000000004</v>
      </c>
      <c r="J269" s="16">
        <f>Q218-Q242</f>
        <v>1.4444444444444438</v>
      </c>
      <c r="K269" s="16">
        <f>R218-R242</f>
        <v>2.3333333333333335</v>
      </c>
      <c r="L269" s="16">
        <f>S218-S242</f>
        <v>1.75</v>
      </c>
      <c r="M269" s="16">
        <f>T218-T242</f>
        <v>3.6666666666666665</v>
      </c>
      <c r="N269" s="14" t="str">
        <f>IF(AND($A218=$A269,$A242=$A269),"OK","配对错误")</f>
        <v>OK</v>
      </c>
    </row>
    <row r="270">
      <c r="A270" s="6" t="inlineStr">
        <is>
          <t>P017</t>
        </is>
      </c>
      <c r="B270" s="16">
        <f>C219-C243</f>
        <v>2</v>
      </c>
      <c r="C270" s="16">
        <f>I219-I243</f>
        <v>1.666666666666667</v>
      </c>
      <c r="D270" s="16">
        <f>D219-D243</f>
        <v>-0.33333333333333304</v>
      </c>
      <c r="E270" s="16">
        <f>E219-E243</f>
        <v>1</v>
      </c>
      <c r="F270" s="16">
        <f>H219-H243</f>
        <v>1.666666666666667</v>
      </c>
      <c r="G270" s="16">
        <f>N219-N243</f>
        <v>0.6666666666666661</v>
      </c>
      <c r="H270" s="16">
        <f>O219-O243</f>
        <v>0.666666666666667</v>
      </c>
      <c r="I270" s="16">
        <f>P219-P243</f>
        <v>0.33333333333333215</v>
      </c>
      <c r="J270" s="16">
        <f>Q219-Q243</f>
        <v>0.7777777777777768</v>
      </c>
      <c r="K270" s="16">
        <f>R219-R243</f>
        <v>0.16666666666666696</v>
      </c>
      <c r="L270" s="16">
        <f>S219-S243</f>
        <v>0.5</v>
      </c>
      <c r="M270" s="16">
        <f>T219-T243</f>
        <v>1.333333333333333</v>
      </c>
      <c r="N270" s="14" t="str">
        <f>IF(AND($A219=$A270,$A243=$A270),"OK","配对错误")</f>
        <v>OK</v>
      </c>
    </row>
    <row r="271">
      <c r="A271" s="6" t="inlineStr">
        <is>
          <t>P018</t>
        </is>
      </c>
      <c r="B271" s="16">
        <f>C220-C244</f>
        <v>2.3333333333333335</v>
      </c>
      <c r="C271" s="16">
        <f>I220-I244</f>
        <v>1.6666666666666665</v>
      </c>
      <c r="D271" s="16">
        <f>D220-D244</f>
        <v>0</v>
      </c>
      <c r="E271" s="16">
        <f>E220-E244</f>
        <v>1.3333333333333335</v>
      </c>
      <c r="F271" s="16">
        <f>H220-H244</f>
        <v>2.3333333333333335</v>
      </c>
      <c r="G271" s="16">
        <f>N220-N244</f>
        <v>1.3333333333333335</v>
      </c>
      <c r="H271" s="16">
        <f>O220-O244</f>
        <v>1</v>
      </c>
      <c r="I271" s="16">
        <f>P220-P244</f>
        <v>0.11111111111111072</v>
      </c>
      <c r="J271" s="16">
        <f>Q220-Q244</f>
        <v>0.33333333333333304</v>
      </c>
      <c r="K271" s="16">
        <f>R220-R244</f>
        <v>0.8666666666666665</v>
      </c>
      <c r="L271" s="16">
        <f>S220-S244</f>
        <v>1</v>
      </c>
      <c r="M271" s="16">
        <f>T220-T244</f>
        <v>0.9999999999999996</v>
      </c>
      <c r="N271" s="14" t="str">
        <f>IF(AND($A220=$A271,$A244=$A271),"OK","配对错误")</f>
        <v>OK</v>
      </c>
    </row>
    <row r="272">
      <c r="A272" s="6" t="inlineStr">
        <is>
          <t>P019</t>
        </is>
      </c>
      <c r="B272" s="16">
        <f>C221-C245</f>
        <v>0.666666666666667</v>
      </c>
      <c r="C272" s="16">
        <f>I221-I245</f>
        <v>0.666666666666667</v>
      </c>
      <c r="D272" s="16">
        <f>D221-D245</f>
        <v>0.33333333333333304</v>
      </c>
      <c r="E272" s="16">
        <f>E221-E245</f>
        <v>0</v>
      </c>
      <c r="F272" s="16">
        <f>H221-H245</f>
        <v>1</v>
      </c>
      <c r="G272" s="16">
        <f>N221-N245</f>
        <v>0.666666666666667</v>
      </c>
      <c r="H272" s="16">
        <f>O221-O245</f>
        <v>1.333333333333333</v>
      </c>
      <c r="I272" s="16">
        <f>P221-P245</f>
        <v>0.5555555555555554</v>
      </c>
      <c r="J272" s="16">
        <f>Q221-Q245</f>
        <v>0.1111111111111116</v>
      </c>
      <c r="K272" s="16">
        <f>R221-R245</f>
        <v>0.6666666666666665</v>
      </c>
      <c r="L272" s="16">
        <f>S221-S245</f>
        <v>1</v>
      </c>
      <c r="M272" s="16">
        <f>T221-T245</f>
        <v>0.666666666666667</v>
      </c>
      <c r="N272" s="14" t="str">
        <f>IF(AND($A221=$A272,$A245=$A272),"OK","配对错误")</f>
        <v>OK</v>
      </c>
    </row>
    <row r="273">
      <c r="A273" s="6" t="inlineStr">
        <is>
          <t>P020</t>
        </is>
      </c>
      <c r="B273" s="16">
        <f>C222-C246</f>
        <v>0.6666666666666665</v>
      </c>
      <c r="C273" s="16">
        <f>I222-I246</f>
        <v>1</v>
      </c>
      <c r="D273" s="16">
        <f>D222-D246</f>
        <v>0</v>
      </c>
      <c r="E273" s="16">
        <f>E222-E246</f>
        <v>-0.6666666666666665</v>
      </c>
      <c r="F273" s="16">
        <f>H222-H246</f>
        <v>1</v>
      </c>
      <c r="G273" s="16">
        <f>N222-N246</f>
        <v>1</v>
      </c>
      <c r="H273" s="16">
        <f>O222-O246</f>
        <v>0.3333333333333335</v>
      </c>
      <c r="I273" s="16">
        <f>P222-P246</f>
        <v>-0.1111111111111116</v>
      </c>
      <c r="J273" s="16">
        <f>Q222-Q246</f>
        <v>-1.2222222222222219</v>
      </c>
      <c r="K273" s="16">
        <f>R222-R246</f>
        <v>0.8333333333333335</v>
      </c>
      <c r="L273" s="16">
        <f>S222-S246</f>
        <v>0.25</v>
      </c>
      <c r="M273" s="16">
        <f>T222-T246</f>
        <v>0.3333333333333335</v>
      </c>
      <c r="N273" s="14" t="str">
        <f>IF(AND($A222=$A273,$A246=$A273),"OK","配对错误")</f>
        <v>OK</v>
      </c>
    </row>
    <row r="274">
      <c r="A274" s="6" t="inlineStr">
        <is>
          <t>P021</t>
        </is>
      </c>
      <c r="B274" s="16">
        <f>C223-C247</f>
        <v>3.3333333333333335</v>
      </c>
      <c r="C274" s="16">
        <f>I223-I247</f>
        <v>1.666666666666667</v>
      </c>
      <c r="D274" s="16">
        <f>D223-D247</f>
        <v>1</v>
      </c>
      <c r="E274" s="16">
        <f>E223-E247</f>
        <v>1.666666666666667</v>
      </c>
      <c r="F274" s="16">
        <f>H223-H247</f>
        <v>2.666666666666667</v>
      </c>
      <c r="G274" s="16">
        <f>N223-N247</f>
        <v>2.666666666666666</v>
      </c>
      <c r="H274" s="16">
        <f>O223-O247</f>
        <v>2.0000000000000004</v>
      </c>
      <c r="I274" s="16">
        <f>P223-P247</f>
        <v>1.4444444444444438</v>
      </c>
      <c r="J274" s="16">
        <f>Q223-Q247</f>
        <v>1.666666666666666</v>
      </c>
      <c r="K274" s="16">
        <f>R223-R247</f>
        <v>1.6666666666666665</v>
      </c>
      <c r="L274" s="16">
        <f>S223-S247</f>
        <v>2.25</v>
      </c>
      <c r="M274" s="16">
        <f>T223-T247</f>
        <v>2.6666666666666665</v>
      </c>
      <c r="N274" s="14" t="str">
        <f>IF(AND($A223=$A274,$A247=$A274),"OK","配对错误")</f>
        <v>OK</v>
      </c>
    </row>
    <row r="275">
      <c r="A275" s="6" t="inlineStr">
        <is>
          <t>P022</t>
        </is>
      </c>
      <c r="B275" s="16">
        <f>C224-C248</f>
        <v>0.6666666666666665</v>
      </c>
      <c r="C275" s="16">
        <f>I224-I248</f>
        <v>0</v>
      </c>
      <c r="D275" s="16">
        <f>D224-D248</f>
        <v>0</v>
      </c>
      <c r="E275" s="16">
        <f>E224-E248</f>
        <v>0</v>
      </c>
      <c r="F275" s="16">
        <f>H224-H248</f>
        <v>0</v>
      </c>
      <c r="G275" s="16">
        <f>N224-N248</f>
        <v>0.33333333333333304</v>
      </c>
      <c r="H275" s="16">
        <f>O224-O248</f>
        <v>1</v>
      </c>
      <c r="I275" s="16">
        <f>P224-P248</f>
        <v>-0.22222222222222276</v>
      </c>
      <c r="J275" s="16">
        <f>Q224-Q248</f>
        <v>-0.22222222222222143</v>
      </c>
      <c r="K275" s="16">
        <f>R224-R248</f>
        <v>0.33333333333333304</v>
      </c>
      <c r="L275" s="16">
        <f>S224-S248</f>
        <v>0</v>
      </c>
      <c r="M275" s="16">
        <f>T224-T248</f>
        <v>0.6666666666666665</v>
      </c>
      <c r="N275" s="14" t="str">
        <f>IF(AND($A224=$A275,$A248=$A275),"OK","配对错误")</f>
        <v>OK</v>
      </c>
    </row>
    <row r="276">
      <c r="A276" s="6" t="inlineStr">
        <is>
          <t>P023</t>
        </is>
      </c>
      <c r="B276" s="16">
        <f>C225-C249</f>
        <v>0.666666666666667</v>
      </c>
      <c r="C276" s="16">
        <f>I225-I249</f>
        <v>2.333333333333333</v>
      </c>
      <c r="D276" s="16">
        <f>D225-D249</f>
        <v>0.666666666666667</v>
      </c>
      <c r="E276" s="16">
        <f>E225-E249</f>
        <v>0.666666666666667</v>
      </c>
      <c r="F276" s="16">
        <f>H225-H249</f>
        <v>1</v>
      </c>
      <c r="G276" s="16">
        <f>N225-N249</f>
        <v>2</v>
      </c>
      <c r="H276" s="16">
        <f>O225-O249</f>
        <v>2.333333333333334</v>
      </c>
      <c r="I276" s="16">
        <f>P225-P249</f>
        <v>0.44444444444444464</v>
      </c>
      <c r="J276" s="16">
        <f>Q225-Q249</f>
        <v>0.1111111111111116</v>
      </c>
      <c r="K276" s="16">
        <f>R225-R249</f>
        <v>0.6666666666666661</v>
      </c>
      <c r="L276" s="16">
        <f>S225-S249</f>
        <v>0.75</v>
      </c>
      <c r="M276" s="16">
        <f>T225-T249</f>
        <v>0.3333333333333339</v>
      </c>
      <c r="N276" s="14" t="str">
        <f>IF(AND($A225=$A276,$A249=$A276),"OK","配对错误")</f>
        <v>OK</v>
      </c>
    </row>
    <row r="277">
      <c r="A277" s="6" t="inlineStr">
        <is>
          <t>P024</t>
        </is>
      </c>
      <c r="B277" s="16">
        <f>C226-C250</f>
        <v>-0.33333333333333304</v>
      </c>
      <c r="C277" s="16">
        <f>I226-I250</f>
        <v>0</v>
      </c>
      <c r="D277" s="16">
        <f>D226-D250</f>
        <v>-0.666666666666667</v>
      </c>
      <c r="E277" s="16">
        <f>E226-E250</f>
        <v>-0.33333333333333304</v>
      </c>
      <c r="F277" s="16">
        <f>H226-H250</f>
        <v>0.33333333333333304</v>
      </c>
      <c r="G277" s="16">
        <f>N226-N250</f>
        <v>0</v>
      </c>
      <c r="H277" s="16">
        <f>O226-O250</f>
        <v>-0.666666666666667</v>
      </c>
      <c r="I277" s="16">
        <f>P226-P250</f>
        <v>-1.1111111111111116</v>
      </c>
      <c r="J277" s="16">
        <f>Q226-Q250</f>
        <v>-1.1111111111111107</v>
      </c>
      <c r="K277" s="16">
        <f>R226-R250</f>
        <v>-0.33333333333333304</v>
      </c>
      <c r="L277" s="16">
        <f>S226-S250</f>
        <v>0.5</v>
      </c>
      <c r="M277" s="16">
        <f>T226-T250</f>
        <v>-0.33333333333333304</v>
      </c>
      <c r="N277" s="14" t="str">
        <f>IF(AND($A226=$A277,$A250=$A277),"OK","配对错误")</f>
        <v>OK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07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  <col width="18" customWidth="1" min="4" max="4"/>
    <col width="14" customWidth="1" min="5" max="5"/>
    <col width="14" customWidth="1" min="6" max="6"/>
    <col width="13" customWidth="1" min="7" max="7"/>
    <col width="34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分析结果（合成数据）：绿底 = 公式实时计算；黄底 = Python 写入（Wilcoxon W / p、Holm 校正 p、r_rb 自举 CI、信度 α/ω、TOST p）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3">
      <c r="A3" s="7" t="inlineStr">
        <is>
          <t>A. 主证实家族（7 项；三物体均值 → 配对 Wilcoxon → 家族内 Holm(7)）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</row>
    <row r="4">
      <c r="A4" s="9" t="inlineStr">
        <is>
          <t>条目</t>
        </is>
      </c>
      <c r="B4" s="9" t="inlineStr">
        <is>
          <t>简称</t>
        </is>
      </c>
      <c r="C4" s="9" t="inlineStr">
        <is>
          <t>One-Euro Mdn[IQR]</t>
        </is>
      </c>
      <c r="D4" s="9" t="inlineStr">
        <is>
          <t>EgoAnchor Mdn[IQR]</t>
        </is>
      </c>
      <c r="E4" s="9" t="inlineStr">
        <is>
          <t>配对差中位</t>
        </is>
      </c>
      <c r="F4" s="9" t="inlineStr">
        <is>
          <t>配对差均值</t>
        </is>
      </c>
      <c r="G4" s="9" t="inlineStr">
        <is>
          <t>配对差 SD</t>
        </is>
      </c>
      <c r="H4" s="9" t="inlineStr">
        <is>
          <t>dz</t>
        </is>
      </c>
      <c r="I4" s="9" t="inlineStr">
        <is>
          <t>W</t>
        </is>
      </c>
      <c r="J4" s="9" t="inlineStr">
        <is>
          <t>p_raw</t>
        </is>
      </c>
      <c r="K4" s="9" t="inlineStr">
        <is>
          <t>p_Holm</t>
        </is>
      </c>
      <c r="L4" s="9" t="inlineStr">
        <is>
          <t>匹配秩双列 r</t>
        </is>
      </c>
      <c r="M4" s="9" t="inlineStr">
        <is>
          <t>r 95%CI</t>
        </is>
      </c>
    </row>
    <row r="5">
      <c r="A5" s="6" t="inlineStr">
        <is>
          <t>Q1</t>
        </is>
      </c>
      <c r="B5" s="6" t="inlineStr">
        <is>
          <t>静止稳定</t>
        </is>
      </c>
      <c r="C5" s="14" t="str">
        <f>TEXT(MEDIAN(Derived!$C$227:$C$250),"0.00")&amp;" ["&amp;TEXT(QUARTILE(Derived!$C$227:$C$250,1),"0.00")&amp;", "&amp;TEXT(QUARTILE(Derived!$C$227:$C$250,3),"0.00")&amp;"]"</f>
        <v>4.33 [3.67, 4.75]</v>
      </c>
      <c r="D5" s="14" t="str">
        <f>TEXT(MEDIAN(Derived!$C$203:$C$226),"0.00")&amp;" ["&amp;TEXT(QUARTILE(Derived!$C$203:$C$226,1),"0.00")&amp;", "&amp;TEXT(QUARTILE(Derived!$C$203:$C$226,3),"0.00")&amp;"]"</f>
        <v>5.50 [4.58, 6.42]</v>
      </c>
      <c r="E5" s="16">
        <f>MEDIAN(Derived!$B$254:$B$277)</f>
        <v>0.666666666666667</v>
      </c>
      <c r="F5" s="16">
        <f>AVERAGE(Derived!$B$254:$B$277)</f>
        <v>1.125</v>
      </c>
      <c r="G5" s="12">
        <f>STDEV.S(Derived!$B$254:$B$277)</f>
        <v>1.2230179666954624</v>
      </c>
      <c r="H5" s="16">
        <f>AVERAGE(Derived!$B$254:$B$277)/STDEV.S(Derived!$B$254:$B$277)</f>
        <v>0.9198556608613835</v>
      </c>
      <c r="I5" s="17" t="n">
        <v>16</v>
      </c>
      <c r="J5" s="18" t="n">
        <v>0.0002</v>
      </c>
      <c r="K5" s="18" t="n">
        <v>0.0014</v>
      </c>
      <c r="L5" s="19" t="n">
        <v>0.884</v>
      </c>
      <c r="M5" s="20" t="inlineStr">
        <is>
          <t>[+0.66, +1.00]</t>
        </is>
      </c>
    </row>
    <row r="6">
      <c r="A6" s="6" t="inlineStr">
        <is>
          <t>Q8</t>
        </is>
      </c>
      <c r="B6" s="6" t="inlineStr">
        <is>
          <t>位置正确</t>
        </is>
      </c>
      <c r="C6" s="14" t="str">
        <f>TEXT(MEDIAN(Derived!$I$227:$I$250),"0.00")&amp;" ["&amp;TEXT(QUARTILE(Derived!$I$227:$I$250,1),"0.00")&amp;", "&amp;TEXT(QUARTILE(Derived!$I$227:$I$250,3),"0.00")&amp;"]"</f>
        <v>4.33 [3.58, 5.08]</v>
      </c>
      <c r="D6" s="14" t="str">
        <f>TEXT(MEDIAN(Derived!$I$203:$I$226),"0.00")&amp;" ["&amp;TEXT(QUARTILE(Derived!$I$203:$I$226,1),"0.00")&amp;", "&amp;TEXT(QUARTILE(Derived!$I$203:$I$226,3),"0.00")&amp;"]"</f>
        <v>5.33 [4.33, 6.00]</v>
      </c>
      <c r="E6" s="16">
        <f>MEDIAN(Derived!$C$254:$C$277)</f>
        <v>0.666666666666667</v>
      </c>
      <c r="F6" s="16">
        <f>AVERAGE(Derived!$C$254:$C$277)</f>
        <v>0.8888888888888888</v>
      </c>
      <c r="G6" s="12">
        <f>STDEV.S(Derived!$C$254:$C$277)</f>
        <v>1.0797506720014582</v>
      </c>
      <c r="H6" s="16">
        <f>AVERAGE(Derived!$C$254:$C$277)/STDEV.S(Derived!$C$254:$C$277)</f>
        <v>0.8232353189845372</v>
      </c>
      <c r="I6" s="17" t="n">
        <v>20</v>
      </c>
      <c r="J6" s="18" t="n">
        <v>0.0009</v>
      </c>
      <c r="K6" s="18" t="n">
        <v>0.0034</v>
      </c>
      <c r="L6" s="19" t="n">
        <v>0.827</v>
      </c>
      <c r="M6" s="20" t="inlineStr">
        <is>
          <t>[+0.55, +0.99]</t>
        </is>
      </c>
    </row>
    <row r="7">
      <c r="A7" s="6" t="inlineStr">
        <is>
          <t>Q2</t>
        </is>
      </c>
      <c r="B7" s="6" t="inlineStr">
        <is>
          <t>运动附着</t>
        </is>
      </c>
      <c r="C7" s="14" t="str">
        <f>TEXT(MEDIAN(Derived!$D$227:$D$250),"0.00")&amp;" ["&amp;TEXT(QUARTILE(Derived!$D$227:$D$250,1),"0.00")&amp;", "&amp;TEXT(QUARTILE(Derived!$D$227:$D$250,3),"0.00")&amp;"]"</f>
        <v>4.83 [4.25, 5.42]</v>
      </c>
      <c r="D7" s="14" t="str">
        <f>TEXT(MEDIAN(Derived!$D$203:$D$226),"0.00")&amp;" ["&amp;TEXT(QUARTILE(Derived!$D$203:$D$226,1),"0.00")&amp;", "&amp;TEXT(QUARTILE(Derived!$D$203:$D$226,3),"0.00")&amp;"]"</f>
        <v>5.00 [4.00, 5.67]</v>
      </c>
      <c r="E7" s="16">
        <f>MEDIAN(Derived!$D$254:$D$277)</f>
        <v>0</v>
      </c>
      <c r="F7" s="16">
        <f>AVERAGE(Derived!$D$254:$D$277)</f>
        <v>-0.013888888888888876</v>
      </c>
      <c r="G7" s="12">
        <f>STDEV.S(Derived!$D$254:$D$277)</f>
        <v>0.6843958982720884</v>
      </c>
      <c r="H7" s="16">
        <f>AVERAGE(Derived!$D$254:$D$277)/STDEV.S(Derived!$D$254:$D$277)</f>
        <v>-0.020293647176954897</v>
      </c>
      <c r="I7" s="17" t="n">
        <v>96.5</v>
      </c>
      <c r="J7" s="18" t="n">
        <v>0.7501</v>
      </c>
      <c r="K7" s="18" t="n">
        <v>0.7501</v>
      </c>
      <c r="L7" s="19" t="n">
        <v>-0.081</v>
      </c>
      <c r="M7" s="20" t="inlineStr">
        <is>
          <t>[-0.56, +0.42]</t>
        </is>
      </c>
    </row>
    <row r="8">
      <c r="A8" s="6" t="inlineStr">
        <is>
          <t>Q9</t>
        </is>
      </c>
      <c r="B8" s="6" t="inlineStr">
        <is>
          <t>姿态一致</t>
        </is>
      </c>
      <c r="C8" s="14" t="str">
        <f>TEXT(MEDIAN(Derived!$E$227:$E$250),"0.00")&amp;" ["&amp;TEXT(QUARTILE(Derived!$E$227:$E$250,1),"0.00")&amp;", "&amp;TEXT(QUARTILE(Derived!$E$227:$E$250,3),"0.00")&amp;"]"</f>
        <v>4.67 [4.00, 5.33]</v>
      </c>
      <c r="D8" s="14" t="str">
        <f>TEXT(MEDIAN(Derived!$E$203:$E$226),"0.00")&amp;" ["&amp;TEXT(QUARTILE(Derived!$E$203:$E$226,1),"0.00")&amp;", "&amp;TEXT(QUARTILE(Derived!$E$203:$E$226,3),"0.00")&amp;"]"</f>
        <v>4.83 [4.00, 5.83]</v>
      </c>
      <c r="E8" s="16">
        <f>MEDIAN(Derived!$E$254:$E$277)</f>
        <v>0.49999999999999956</v>
      </c>
      <c r="F8" s="16">
        <f>AVERAGE(Derived!$E$254:$E$277)</f>
        <v>0.388888888888889</v>
      </c>
      <c r="G8" s="12">
        <f>STDEV.S(Derived!$E$254:$E$277)</f>
        <v>0.904453109194213</v>
      </c>
      <c r="H8" s="16">
        <f>AVERAGE(Derived!$E$254:$E$277)/STDEV.S(Derived!$E$254:$E$277)</f>
        <v>0.42997131076850886</v>
      </c>
      <c r="I8" s="17" t="n">
        <v>57.5</v>
      </c>
      <c r="J8" s="18" t="n">
        <v>0.0432</v>
      </c>
      <c r="K8" s="18" t="n">
        <v>0.0864</v>
      </c>
      <c r="L8" s="19" t="n">
        <v>0.502</v>
      </c>
      <c r="M8" s="20" t="inlineStr">
        <is>
          <t>[+0.05, +0.85]</t>
        </is>
      </c>
    </row>
    <row r="9">
      <c r="A9" s="6" t="inlineStr">
        <is>
          <t>Q3</t>
        </is>
      </c>
      <c r="B9" s="6" t="inlineStr">
        <is>
          <t>恢复一致</t>
        </is>
      </c>
      <c r="C9" s="14" t="str">
        <f>TEXT(MEDIAN(Derived!$H$227:$H$250),"0.00")&amp;" ["&amp;TEXT(QUARTILE(Derived!$H$227:$H$250,1),"0.00")&amp;", "&amp;TEXT(QUARTILE(Derived!$H$227:$H$250,3),"0.00")&amp;"]"</f>
        <v>4.33 [3.92, 4.75]</v>
      </c>
      <c r="D9" s="14" t="str">
        <f>TEXT(MEDIAN(Derived!$H$203:$H$226),"0.00")&amp;" ["&amp;TEXT(QUARTILE(Derived!$H$203:$H$226,1),"0.00")&amp;", "&amp;TEXT(QUARTILE(Derived!$H$203:$H$226,3),"0.00")&amp;"]"</f>
        <v>5.00 [4.25, 6.08]</v>
      </c>
      <c r="E9" s="16">
        <f>MEDIAN(Derived!$F$254:$F$277)</f>
        <v>0.5</v>
      </c>
      <c r="F9" s="16">
        <f>AVERAGE(Derived!$F$254:$F$277)</f>
        <v>0.875</v>
      </c>
      <c r="G9" s="12">
        <f>STDEV.S(Derived!$F$254:$F$277)</f>
        <v>0.941847808664431</v>
      </c>
      <c r="H9" s="16">
        <f>AVERAGE(Derived!$F$254:$F$277)/STDEV.S(Derived!$F$254:$F$277)</f>
        <v>0.929024829649258</v>
      </c>
      <c r="I9" s="17" t="n">
        <v>12</v>
      </c>
      <c r="J9" s="18" t="n">
        <v>0.0005</v>
      </c>
      <c r="K9" s="18" t="n">
        <v>0.0025</v>
      </c>
      <c r="L9" s="19" t="n">
        <v>0.886</v>
      </c>
      <c r="M9" s="20" t="inlineStr">
        <is>
          <t>[+0.62, +1.00]</t>
        </is>
      </c>
    </row>
    <row r="10">
      <c r="A10" s="6" t="inlineStr">
        <is>
          <t>Q6</t>
        </is>
      </c>
      <c r="B10" s="6" t="inlineStr">
        <is>
          <t>依赖意愿</t>
        </is>
      </c>
      <c r="C10" s="14" t="str">
        <f>TEXT(MEDIAN(Derived!$N$227:$N$250),"0.00")&amp;" ["&amp;TEXT(QUARTILE(Derived!$N$227:$N$250,1),"0.00")&amp;", "&amp;TEXT(QUARTILE(Derived!$N$227:$N$250,3),"0.00")&amp;"]"</f>
        <v>4.00 [3.33, 4.33]</v>
      </c>
      <c r="D10" s="14" t="str">
        <f>TEXT(MEDIAN(Derived!$N$203:$N$226),"0.00")&amp;" ["&amp;TEXT(QUARTILE(Derived!$N$203:$N$226,1),"0.00")&amp;", "&amp;TEXT(QUARTILE(Derived!$N$203:$N$226,3),"0.00")&amp;"]"</f>
        <v>4.67 [4.00, 5.67]</v>
      </c>
      <c r="E10" s="16">
        <f>MEDIAN(Derived!$G$254:$G$277)</f>
        <v>0.666666666666667</v>
      </c>
      <c r="F10" s="16">
        <f>AVERAGE(Derived!$G$254:$G$277)</f>
        <v>0.8750000000000001</v>
      </c>
      <c r="G10" s="12">
        <f>STDEV.S(Derived!$G$254:$G$277)</f>
        <v>0.9211025739247617</v>
      </c>
      <c r="H10" s="16">
        <f>AVERAGE(Derived!$G$254:$G$277)/STDEV.S(Derived!$G$254:$G$277)</f>
        <v>0.9499484908305909</v>
      </c>
      <c r="I10" s="17" t="n">
        <v>16.5</v>
      </c>
      <c r="J10" s="18" t="n">
        <v>0.0003</v>
      </c>
      <c r="K10" s="18" t="n">
        <v>0.0021</v>
      </c>
      <c r="L10" s="19" t="n">
        <v>0.87</v>
      </c>
      <c r="M10" s="20" t="inlineStr">
        <is>
          <t>[+0.63, +1.00]</t>
        </is>
      </c>
    </row>
    <row r="11">
      <c r="A11" s="6" t="inlineStr">
        <is>
          <t>Q7</t>
        </is>
      </c>
      <c r="B11" s="6" t="inlineStr">
        <is>
          <t>稳定-响应平衡</t>
        </is>
      </c>
      <c r="C11" s="14" t="str">
        <f>TEXT(MEDIAN(Derived!$O$227:$O$250),"0.00")&amp;" ["&amp;TEXT(QUARTILE(Derived!$O$227:$O$250,1),"0.00")&amp;", "&amp;TEXT(QUARTILE(Derived!$O$227:$O$250,3),"0.00")&amp;"]"</f>
        <v>4.00 [3.67, 4.42]</v>
      </c>
      <c r="D11" s="14" t="str">
        <f>TEXT(MEDIAN(Derived!$O$203:$O$226),"0.00")&amp;" ["&amp;TEXT(QUARTILE(Derived!$O$203:$O$226,1),"0.00")&amp;", "&amp;TEXT(QUARTILE(Derived!$O$203:$O$226,3),"0.00")&amp;"]"</f>
        <v>5.33 [4.00, 5.75]</v>
      </c>
      <c r="E11" s="16">
        <f>MEDIAN(Derived!$H$254:$H$277)</f>
        <v>0.8333333333333335</v>
      </c>
      <c r="F11" s="16">
        <f>AVERAGE(Derived!$H$254:$H$277)</f>
        <v>0.8333333333333335</v>
      </c>
      <c r="G11" s="12">
        <f>STDEV.S(Derived!$H$254:$H$277)</f>
        <v>0.9975816167740883</v>
      </c>
      <c r="H11" s="16">
        <f>AVERAGE(Derived!$H$254:$H$277)/STDEV.S(Derived!$H$254:$H$277)</f>
        <v>0.835353538318108</v>
      </c>
      <c r="I11" s="17" t="n">
        <v>24</v>
      </c>
      <c r="J11" s="18" t="n">
        <v>0.0009</v>
      </c>
      <c r="K11" s="18" t="n">
        <v>0.0034</v>
      </c>
      <c r="L11" s="19" t="n">
        <v>0.8100000000000001</v>
      </c>
      <c r="M11" s="20" t="inlineStr">
        <is>
          <t>[+0.50, +0.98]</t>
        </is>
      </c>
    </row>
    <row r="13">
      <c r="A13" s="7" t="inlineStr">
        <is>
          <t>B. 已发表量表家族（5 检验；Holm(5)；TiA 反向项已在 Derived D2 按 6−原始分换向）——信度只对本家族报告，且只表述为当前样本信度</t>
        </is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</row>
    <row r="14">
      <c r="A14" s="9" t="inlineStr">
        <is>
          <t>量表</t>
        </is>
      </c>
      <c r="B14" s="9" t="inlineStr">
        <is>
          <t>One-Euro Mdn[IQR]</t>
        </is>
      </c>
      <c r="C14" s="9" t="inlineStr">
        <is>
          <t>EgoAnchor Mdn[IQR]</t>
        </is>
      </c>
      <c r="D14" s="9" t="inlineStr">
        <is>
          <t>配对差中位</t>
        </is>
      </c>
      <c r="E14" s="9" t="inlineStr">
        <is>
          <t>配对差 SD</t>
        </is>
      </c>
      <c r="F14" s="9" t="inlineStr">
        <is>
          <t>dz</t>
        </is>
      </c>
      <c r="G14" s="9" t="inlineStr">
        <is>
          <t>W</t>
        </is>
      </c>
      <c r="H14" s="9" t="inlineStr">
        <is>
          <t>p_raw</t>
        </is>
      </c>
      <c r="I14" s="9" t="inlineStr">
        <is>
          <t>p_Holm</t>
        </is>
      </c>
      <c r="J14" s="9" t="inlineStr">
        <is>
          <t>匹配秩双列 r</t>
        </is>
      </c>
      <c r="K14" s="9" t="inlineStr">
        <is>
          <t>α(OE)</t>
        </is>
      </c>
      <c r="L14" s="9" t="inlineStr">
        <is>
          <t>α(EA)</t>
        </is>
      </c>
      <c r="M14" s="9" t="inlineStr">
        <is>
          <t>ω(OE)/ω(EA)</t>
        </is>
      </c>
    </row>
    <row r="15">
      <c r="A15" s="6" t="inlineStr">
        <is>
          <t>AQ-EQ（3 项均值）</t>
        </is>
      </c>
      <c r="B15" s="14" t="str">
        <f>TEXT(MEDIAN(Derived!$P$227:$P$250),"0.00")&amp;" ["&amp;TEXT(QUARTILE(Derived!$P$227:$P$250,1),"0.00")&amp;", "&amp;TEXT(QUARTILE(Derived!$P$227:$P$250,3),"0.00")&amp;"]"</f>
        <v>4.89 [4.19, 5.89]</v>
      </c>
      <c r="C15" s="14" t="str">
        <f>TEXT(MEDIAN(Derived!$P$203:$P$226),"0.00")&amp;" ["&amp;TEXT(QUARTILE(Derived!$P$203:$P$226,1),"0.00")&amp;", "&amp;TEXT(QUARTILE(Derived!$P$203:$P$226,3),"0.00")&amp;"]"</f>
        <v>5.06 [4.61, 5.78]</v>
      </c>
      <c r="D15" s="16">
        <f>MEDIAN(Derived!$I$254:$I$277)</f>
        <v>0</v>
      </c>
      <c r="E15" s="12">
        <f>STDEV.S(Derived!$I$254:$I$277)</f>
        <v>0.6585659203073227</v>
      </c>
      <c r="F15" s="16">
        <f>AVERAGE(Derived!$I$254:$I$277)/STDEV.S(Derived!$I$254:$I$277)</f>
        <v>0.25307514635572215</v>
      </c>
      <c r="G15" s="17" t="n">
        <v>119.5</v>
      </c>
      <c r="H15" s="18" t="n">
        <v>0.3833</v>
      </c>
      <c r="I15" s="18" t="n">
        <v>0.7665999999999999</v>
      </c>
      <c r="J15" s="19" t="n">
        <v>0.203</v>
      </c>
      <c r="K15" s="21" t="n">
        <v>0.806</v>
      </c>
      <c r="L15" s="21" t="n">
        <v>0.718</v>
      </c>
      <c r="M15" s="20" t="inlineStr">
        <is>
          <t>0.906 / 0.852</t>
        </is>
      </c>
    </row>
    <row r="16">
      <c r="A16" s="6" t="inlineStr">
        <is>
          <t>AQ-IQ（3 项均值）</t>
        </is>
      </c>
      <c r="B16" s="14" t="str">
        <f>TEXT(MEDIAN(Derived!$Q$227:$Q$250),"0.00")&amp;" ["&amp;TEXT(QUARTILE(Derived!$Q$227:$Q$250,1),"0.00")&amp;", "&amp;TEXT(QUARTILE(Derived!$Q$227:$Q$250,3),"0.00")&amp;"]"</f>
        <v>4.78 [4.42, 5.67]</v>
      </c>
      <c r="C16" s="14" t="str">
        <f>TEXT(MEDIAN(Derived!$Q$203:$Q$226),"0.00")&amp;" ["&amp;TEXT(QUARTILE(Derived!$Q$203:$Q$226,1),"0.00")&amp;", "&amp;TEXT(QUARTILE(Derived!$Q$203:$Q$226,3),"0.00")&amp;"]"</f>
        <v>5.11 [4.33, 5.61]</v>
      </c>
      <c r="D16" s="16">
        <f>MEDIAN(Derived!$J$254:$J$277)</f>
        <v>0.11111111111111116</v>
      </c>
      <c r="E16" s="12">
        <f>STDEV.S(Derived!$J$254:$J$277)</f>
        <v>0.7676473925144341</v>
      </c>
      <c r="F16" s="16">
        <f>AVERAGE(Derived!$J$254:$J$277)/STDEV.S(Derived!$J$254:$J$277)</f>
        <v>0.060309325281041236</v>
      </c>
      <c r="G16" s="17" t="n">
        <v>117.5</v>
      </c>
      <c r="H16" s="18" t="n">
        <v>0.7701</v>
      </c>
      <c r="I16" s="18" t="n">
        <v>0.7701</v>
      </c>
      <c r="J16" s="19" t="n">
        <v>0.07099999999999999</v>
      </c>
      <c r="K16" s="21" t="n">
        <v>0.77</v>
      </c>
      <c r="L16" s="21" t="n">
        <v>0.831</v>
      </c>
      <c r="M16" s="20" t="inlineStr">
        <is>
          <t>0.869 / 0.901</t>
        </is>
      </c>
    </row>
    <row r="17">
      <c r="A17" s="6" t="inlineStr">
        <is>
          <t>TiA-R/C（6 项均值）</t>
        </is>
      </c>
      <c r="B17" s="14" t="str">
        <f>TEXT(MEDIAN(Derived!$R$227:$R$250),"0.00")&amp;" ["&amp;TEXT(QUARTILE(Derived!$R$227:$R$250,1),"0.00")&amp;", "&amp;TEXT(QUARTILE(Derived!$R$227:$R$250,3),"0.00")&amp;"]"</f>
        <v>3.08 [2.71, 3.62]</v>
      </c>
      <c r="C17" s="14" t="str">
        <f>TEXT(MEDIAN(Derived!$R$203:$R$226),"0.00")&amp;" ["&amp;TEXT(QUARTILE(Derived!$R$203:$R$226,1),"0.00")&amp;", "&amp;TEXT(QUARTILE(Derived!$R$203:$R$226,3),"0.00")&amp;"]"</f>
        <v>3.50 [3.12, 4.50]</v>
      </c>
      <c r="D17" s="16">
        <f>MEDIAN(Derived!$K$254:$K$277)</f>
        <v>0.3666666666666665</v>
      </c>
      <c r="E17" s="12">
        <f>STDEV.S(Derived!$K$254:$K$277)</f>
        <v>0.7749032457395238</v>
      </c>
      <c r="F17" s="16">
        <f>AVERAGE(Derived!$K$254:$K$277)/STDEV.S(Derived!$K$254:$K$277)</f>
        <v>0.6416571681122608</v>
      </c>
      <c r="G17" s="17" t="n">
        <v>49.5</v>
      </c>
      <c r="H17" s="18" t="n">
        <v>0.0071</v>
      </c>
      <c r="I17" s="18" t="n">
        <v>0.0282</v>
      </c>
      <c r="J17" s="19" t="n">
        <v>0.641</v>
      </c>
      <c r="K17" s="21" t="n">
        <v>0.9330000000000001</v>
      </c>
      <c r="L17" s="21" t="n">
        <v>0.894</v>
      </c>
      <c r="M17" s="20" t="inlineStr">
        <is>
          <t>0.949 / 0.926</t>
        </is>
      </c>
    </row>
    <row r="18">
      <c r="A18" s="6" t="inlineStr">
        <is>
          <t>TiA-U/P（4 项均值）</t>
        </is>
      </c>
      <c r="B18" s="14" t="str">
        <f>TEXT(MEDIAN(Derived!$S$227:$S$250),"0.00")&amp;" ["&amp;TEXT(QUARTILE(Derived!$S$227:$S$250,1),"0.00")&amp;", "&amp;TEXT(QUARTILE(Derived!$S$227:$S$250,3),"0.00")&amp;"]"</f>
        <v>3.12 [2.50, 3.75]</v>
      </c>
      <c r="C18" s="14" t="str">
        <f>TEXT(MEDIAN(Derived!$S$203:$S$226),"0.00")&amp;" ["&amp;TEXT(QUARTILE(Derived!$S$203:$S$226,1),"0.00")&amp;", "&amp;TEXT(QUARTILE(Derived!$S$203:$S$226,3),"0.00")&amp;"]"</f>
        <v>3.62 [2.69, 4.75]</v>
      </c>
      <c r="D18" s="16">
        <f>MEDIAN(Derived!$L$254:$L$277)</f>
        <v>0.5</v>
      </c>
      <c r="E18" s="12">
        <f>STDEV.S(Derived!$L$254:$L$277)</f>
        <v>0.7847476055062711</v>
      </c>
      <c r="F18" s="16">
        <f>AVERAGE(Derived!$L$254:$L$277)/STDEV.S(Derived!$L$254:$L$277)</f>
        <v>0.5973258111410117</v>
      </c>
      <c r="G18" s="17" t="n">
        <v>30.5</v>
      </c>
      <c r="H18" s="18" t="n">
        <v>0.0092</v>
      </c>
      <c r="I18" s="18" t="n">
        <v>0.0282</v>
      </c>
      <c r="J18" s="19" t="n">
        <v>0.679</v>
      </c>
      <c r="K18" s="21" t="n">
        <v>0.901</v>
      </c>
      <c r="L18" s="21" t="n">
        <v>0.892</v>
      </c>
      <c r="M18" s="20" t="inlineStr">
        <is>
          <t>0.935 / 0.926</t>
        </is>
      </c>
    </row>
    <row r="19">
      <c r="A19" s="6" t="inlineStr">
        <is>
          <t>S-TIAS（3 项均值）</t>
        </is>
      </c>
      <c r="B19" s="14" t="str">
        <f>TEXT(MEDIAN(Derived!$T$227:$T$250),"0.00")&amp;" ["&amp;TEXT(QUARTILE(Derived!$T$227:$T$250,1),"0.00")&amp;", "&amp;TEXT(QUARTILE(Derived!$T$227:$T$250,3),"0.00")&amp;"]"</f>
        <v>4.17 [3.33, 5.67]</v>
      </c>
      <c r="C19" s="14" t="str">
        <f>TEXT(MEDIAN(Derived!$T$203:$T$226),"0.00")&amp;" ["&amp;TEXT(QUARTILE(Derived!$T$203:$T$226,1),"0.00")&amp;", "&amp;TEXT(QUARTILE(Derived!$T$203:$T$226,3),"0.00")&amp;"]"</f>
        <v>5.33 [4.25, 6.08]</v>
      </c>
      <c r="D19" s="16">
        <f>MEDIAN(Derived!$M$254:$M$277)</f>
        <v>0.5000000000000002</v>
      </c>
      <c r="E19" s="12">
        <f>STDEV.S(Derived!$M$254:$M$277)</f>
        <v>1.1670979189146655</v>
      </c>
      <c r="F19" s="16">
        <f>AVERAGE(Derived!$M$254:$M$277)/STDEV.S(Derived!$M$254:$M$277)</f>
        <v>0.7259221428567798</v>
      </c>
      <c r="G19" s="17" t="n">
        <v>22</v>
      </c>
      <c r="H19" s="18" t="n">
        <v>0.0019</v>
      </c>
      <c r="I19" s="18" t="n">
        <v>0.009599999999999999</v>
      </c>
      <c r="J19" s="19" t="n">
        <v>0.79</v>
      </c>
      <c r="K19" s="21" t="n">
        <v>0.894</v>
      </c>
      <c r="L19" s="21" t="n">
        <v>0.873</v>
      </c>
      <c r="M19" s="20" t="inlineStr">
        <is>
          <t>0.934 / 0.923</t>
        </is>
      </c>
    </row>
    <row r="21">
      <c r="A21" s="7" t="inlineStr">
        <is>
          <t>C. 次级与稳健性</t>
        </is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</row>
    <row r="22">
      <c r="A22" s="9" t="inlineStr">
        <is>
          <t>项</t>
        </is>
      </c>
      <c r="B22" s="9" t="inlineStr">
        <is>
          <t>状态</t>
        </is>
      </c>
      <c r="C22" s="9" t="inlineStr">
        <is>
          <t>说明</t>
        </is>
      </c>
    </row>
    <row r="23" ht="46" customHeight="1">
      <c r="A23" s="10" t="inlineStr">
        <is>
          <t>Q10 放置后稳定</t>
        </is>
      </c>
      <c r="B23" s="10" t="inlineStr">
        <is>
          <t>未启用</t>
        </is>
      </c>
      <c r="C23" s="10" t="inlineStr">
        <is>
          <t>预实验按计划书 §8 冻结为停用；本轮 Records A 段 Q10_OPT 列全部留空。事后诊断：区块问卷时长中位 130.4 s、&gt;150 s 占 27.8%，两条启用判据均未满足</t>
        </is>
      </c>
    </row>
    <row r="24" ht="46" customHeight="1">
      <c r="A24" s="10" t="inlineStr">
        <is>
          <t>AQ 缩减规则</t>
        </is>
      </c>
      <c r="B24" s="10" t="inlineStr">
        <is>
          <t>已触发判据但本轮未执行</t>
        </is>
      </c>
      <c r="C24" s="10" t="inlineStr">
        <is>
          <t>计划书 §8：&gt;150 s 或出现响应定式即停用 AQ-EQ3 与 AQ-IQ1。本轮 &gt;150 s 占 27.8%、≥5 连续同分占 13.2%，两条均触发；为保持与官方 13 项结构逐列可比，本演练仍按完整 13 项生成，正式采集应按规则缩减</t>
        </is>
      </c>
    </row>
    <row r="25" ht="46" customHeight="1">
      <c r="A25" s="10" t="inlineStr">
        <is>
          <t>逐条目 CLMM（次级）</t>
        </is>
      </c>
      <c r="B25" s="10" t="inlineStr">
        <is>
          <t>本轮未拟合</t>
        </is>
      </c>
      <c r="C25" s="10" t="inlineStr">
        <is>
          <t>计划书 6.3 的次级模型是序数 CLMM（固定效应 = 方法+物体+方法×物体+区块位置+对象内先后；随机效应 = 参与者截距，另建议加参与者×条目随机斜率）。本演练环境无累积链接混合模型实现（scipy 无此模型，statsmodels 的 OrderedModel 不支持随机效应），故不以任何代理模型冒充 CLMM 结果；方向一致性改由 D 段逐物体描述承担</t>
        </is>
      </c>
    </row>
    <row r="26" ht="46" customHeight="1">
      <c r="A26" s="10" t="inlineStr">
        <is>
          <t>N=18 敏感性</t>
        </is>
      </c>
      <c r="B26" s="10" t="inlineStr">
        <is>
          <t>主家族 5/7 显著、量表家族 0/5 显著</t>
        </is>
      </c>
      <c r="C26" s="10" t="inlineStr">
        <is>
          <t>按平衡优先规则取前 18 人（先行方法 9/9）；详见 Resample 表下方的 N=18 明细</t>
        </is>
      </c>
    </row>
    <row r="28">
      <c r="A28" s="7" t="inlineStr">
        <is>
          <t>D. 逐物体描述（探索性；只作方向一致性检查，不作未校正的逐物体检验）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9" t="inlineStr">
        <is>
          <t>结局</t>
        </is>
      </c>
      <c r="B29" s="9" t="inlineStr">
        <is>
          <t>物体</t>
        </is>
      </c>
      <c r="C29" s="9" t="inlineStr">
        <is>
          <t>One-Euro M</t>
        </is>
      </c>
      <c r="D29" s="9" t="inlineStr">
        <is>
          <t>EgoAnchor M</t>
        </is>
      </c>
      <c r="E29" s="9" t="inlineStr">
        <is>
          <t>差值</t>
        </is>
      </c>
      <c r="F29" s="9" t="inlineStr">
        <is>
          <t>方向</t>
        </is>
      </c>
      <c r="G29" s="9" t="inlineStr">
        <is>
          <t>物体增益设定</t>
        </is>
      </c>
      <c r="H29" s="9" t="inlineStr">
        <is>
          <t>备注</t>
        </is>
      </c>
    </row>
    <row r="30">
      <c r="A30" s="6" t="inlineStr">
        <is>
          <t>Q1</t>
        </is>
      </c>
      <c r="B30" s="6" t="inlineStr">
        <is>
          <t>鼠标</t>
        </is>
      </c>
      <c r="C30" s="12">
        <f>AVERAGEIFS(Records!$K$5:$K$148,Records!$F$5:$F$148,"blue_mouse",Records!$H$5:$H$148,"One-Euro")</f>
        <v>3.9583333333333335</v>
      </c>
      <c r="D30" s="12">
        <f>AVERAGEIFS(Records!$K$5:$K$148,Records!$F$5:$F$148,"blue_mouse",Records!$H$5:$H$148,"EgoAnchor")</f>
        <v>5.416666666666667</v>
      </c>
      <c r="E30" s="16">
        <f>D30-C30</f>
        <v>1.4583333333333335</v>
      </c>
      <c r="F30" s="14" t="str">
        <f>IF(E30&gt;0.001,"+",IF(E30&lt;-0.001,"−","≈0"))</f>
        <v>+</v>
      </c>
      <c r="G30" s="6" t="inlineStr">
        <is>
          <t>static 增益 1.22</t>
        </is>
      </c>
    </row>
    <row r="31">
      <c r="A31" s="6" t="inlineStr">
        <is>
          <t>Q1</t>
        </is>
      </c>
      <c r="B31" s="6" t="inlineStr">
        <is>
          <t>固定订书机</t>
        </is>
      </c>
      <c r="C31" s="12">
        <f>AVERAGEIFS(Records!$K$5:$K$148,Records!$F$5:$F$148,"stapler",Records!$H$5:$H$148,"One-Euro")</f>
        <v>4.708333333333333</v>
      </c>
      <c r="D31" s="12">
        <f>AVERAGEIFS(Records!$K$5:$K$148,Records!$F$5:$F$148,"stapler",Records!$H$5:$H$148,"EgoAnchor")</f>
        <v>5.666666666666667</v>
      </c>
      <c r="E31" s="16">
        <f>D31-C31</f>
        <v>0.9583333333333339</v>
      </c>
      <c r="F31" s="14" t="str">
        <f>IF(E31&gt;0.001,"+",IF(E31&lt;-0.001,"−","≈0"))</f>
        <v>+</v>
      </c>
      <c r="G31" s="6" t="inlineStr">
        <is>
          <t>static 增益 0.86</t>
        </is>
      </c>
    </row>
    <row r="32">
      <c r="A32" s="6" t="inlineStr">
        <is>
          <t>Q1</t>
        </is>
      </c>
      <c r="B32" s="6" t="inlineStr">
        <is>
          <t>游戏手柄</t>
        </is>
      </c>
      <c r="C32" s="12">
        <f>AVERAGEIFS(Records!$K$5:$K$148,Records!$F$5:$F$148,"gamepad",Records!$H$5:$H$148,"One-Euro")</f>
        <v>4.25</v>
      </c>
      <c r="D32" s="12">
        <f>AVERAGEIFS(Records!$K$5:$K$148,Records!$F$5:$F$148,"gamepad",Records!$H$5:$H$148,"EgoAnchor")</f>
        <v>5.208333333333333</v>
      </c>
      <c r="E32" s="16">
        <f>D32-C32</f>
        <v>0.958333333333333</v>
      </c>
      <c r="F32" s="14" t="str">
        <f>IF(E32&gt;0.001,"+",IF(E32&lt;-0.001,"−","≈0"))</f>
        <v>+</v>
      </c>
      <c r="G32" s="6" t="inlineStr">
        <is>
          <t>static 增益 0.98</t>
        </is>
      </c>
    </row>
    <row r="33">
      <c r="A33" s="6" t="inlineStr">
        <is>
          <t>Q8</t>
        </is>
      </c>
      <c r="B33" s="6" t="inlineStr">
        <is>
          <t>鼠标</t>
        </is>
      </c>
      <c r="C33" s="12">
        <f>AVERAGEIFS(Records!$R$5:$R$148,Records!$F$5:$F$148,"blue_mouse",Records!$H$5:$H$148,"One-Euro")</f>
        <v>4.125</v>
      </c>
      <c r="D33" s="12">
        <f>AVERAGEIFS(Records!$R$5:$R$148,Records!$F$5:$F$148,"blue_mouse",Records!$H$5:$H$148,"EgoAnchor")</f>
        <v>5.25</v>
      </c>
      <c r="E33" s="16">
        <f>D33-C33</f>
        <v>1.125</v>
      </c>
      <c r="F33" s="14" t="str">
        <f>IF(E33&gt;0.001,"+",IF(E33&lt;-0.001,"−","≈0"))</f>
        <v>+</v>
      </c>
      <c r="G33" s="6" t="inlineStr">
        <is>
          <t>position 增益 1.18</t>
        </is>
      </c>
    </row>
    <row r="34">
      <c r="A34" s="6" t="inlineStr">
        <is>
          <t>Q8</t>
        </is>
      </c>
      <c r="B34" s="6" t="inlineStr">
        <is>
          <t>固定订书机</t>
        </is>
      </c>
      <c r="C34" s="12">
        <f>AVERAGEIFS(Records!$R$5:$R$148,Records!$F$5:$F$148,"stapler",Records!$H$5:$H$148,"One-Euro")</f>
        <v>4.833333333333333</v>
      </c>
      <c r="D34" s="12">
        <f>AVERAGEIFS(Records!$R$5:$R$148,Records!$F$5:$F$148,"stapler",Records!$H$5:$H$148,"EgoAnchor")</f>
        <v>5.5</v>
      </c>
      <c r="E34" s="16">
        <f>D34-C34</f>
        <v>0.666666666666667</v>
      </c>
      <c r="F34" s="14" t="str">
        <f>IF(E34&gt;0.001,"+",IF(E34&lt;-0.001,"−","≈0"))</f>
        <v>+</v>
      </c>
      <c r="G34" s="6" t="inlineStr">
        <is>
          <t>position 增益 0.84</t>
        </is>
      </c>
    </row>
    <row r="35">
      <c r="A35" s="6" t="inlineStr">
        <is>
          <t>Q8</t>
        </is>
      </c>
      <c r="B35" s="6" t="inlineStr">
        <is>
          <t>游戏手柄</t>
        </is>
      </c>
      <c r="C35" s="12">
        <f>AVERAGEIFS(Records!$R$5:$R$148,Records!$F$5:$F$148,"gamepad",Records!$H$5:$H$148,"One-Euro")</f>
        <v>4.291666666666667</v>
      </c>
      <c r="D35" s="12">
        <f>AVERAGEIFS(Records!$R$5:$R$148,Records!$F$5:$F$148,"gamepad",Records!$H$5:$H$148,"EgoAnchor")</f>
        <v>5.166666666666667</v>
      </c>
      <c r="E35" s="16">
        <f>D35-C35</f>
        <v>0.875</v>
      </c>
      <c r="F35" s="14" t="str">
        <f>IF(E35&gt;0.001,"+",IF(E35&lt;-0.001,"−","≈0"))</f>
        <v>+</v>
      </c>
      <c r="G35" s="6" t="inlineStr">
        <is>
          <t>position 增益 1.02</t>
        </is>
      </c>
    </row>
    <row r="36">
      <c r="A36" s="6" t="inlineStr">
        <is>
          <t>Q2</t>
        </is>
      </c>
      <c r="B36" s="6" t="inlineStr">
        <is>
          <t>鼠标</t>
        </is>
      </c>
      <c r="C36" s="12">
        <f>AVERAGEIFS(Records!$L$5:$L$148,Records!$F$5:$F$148,"blue_mouse",Records!$H$5:$H$148,"One-Euro")</f>
        <v>4.791666666666667</v>
      </c>
      <c r="D36" s="12">
        <f>AVERAGEIFS(Records!$L$5:$L$148,Records!$F$5:$F$148,"blue_mouse",Records!$H$5:$H$148,"EgoAnchor")</f>
        <v>4.5</v>
      </c>
      <c r="E36" s="16">
        <f>D36-C36</f>
        <v>-0.29166666666666696</v>
      </c>
      <c r="F36" s="14" t="str">
        <f>IF(E36&gt;0.001,"+",IF(E36&lt;-0.001,"−","≈0"))</f>
        <v>−</v>
      </c>
      <c r="G36" s="6" t="inlineStr">
        <is>
          <t>motion 增益 1.00</t>
        </is>
      </c>
    </row>
    <row r="37">
      <c r="A37" s="6" t="inlineStr">
        <is>
          <t>Q2</t>
        </is>
      </c>
      <c r="B37" s="6" t="inlineStr">
        <is>
          <t>固定订书机</t>
        </is>
      </c>
      <c r="C37" s="12">
        <f>AVERAGEIFS(Records!$L$5:$L$148,Records!$F$5:$F$148,"stapler",Records!$H$5:$H$148,"One-Euro")</f>
        <v>5.25</v>
      </c>
      <c r="D37" s="12">
        <f>AVERAGEIFS(Records!$L$5:$L$148,Records!$F$5:$F$148,"stapler",Records!$H$5:$H$148,"EgoAnchor")</f>
        <v>5.25</v>
      </c>
      <c r="E37" s="16">
        <f>D37-C37</f>
        <v>0</v>
      </c>
      <c r="F37" s="14" t="str">
        <f>IF(E37&gt;0.001,"+",IF(E37&lt;-0.001,"−","≈0"))</f>
        <v>≈0</v>
      </c>
      <c r="G37" s="6" t="inlineStr">
        <is>
          <t>motion 增益 0.95</t>
        </is>
      </c>
    </row>
    <row r="38">
      <c r="A38" s="6" t="inlineStr">
        <is>
          <t>Q2</t>
        </is>
      </c>
      <c r="B38" s="6" t="inlineStr">
        <is>
          <t>游戏手柄</t>
        </is>
      </c>
      <c r="C38" s="12">
        <f>AVERAGEIFS(Records!$L$5:$L$148,Records!$F$5:$F$148,"gamepad",Records!$H$5:$H$148,"One-Euro")</f>
        <v>4.791666666666667</v>
      </c>
      <c r="D38" s="12">
        <f>AVERAGEIFS(Records!$L$5:$L$148,Records!$F$5:$F$148,"gamepad",Records!$H$5:$H$148,"EgoAnchor")</f>
        <v>5.041666666666667</v>
      </c>
      <c r="E38" s="16">
        <f>D38-C38</f>
        <v>0.25</v>
      </c>
      <c r="F38" s="14" t="str">
        <f>IF(E38&gt;0.001,"+",IF(E38&lt;-0.001,"−","≈0"))</f>
        <v>+</v>
      </c>
      <c r="G38" s="6" t="inlineStr">
        <is>
          <t>motion 增益 1.12</t>
        </is>
      </c>
    </row>
    <row r="39">
      <c r="A39" s="6" t="inlineStr">
        <is>
          <t>Q9</t>
        </is>
      </c>
      <c r="B39" s="6" t="inlineStr">
        <is>
          <t>鼠标</t>
        </is>
      </c>
      <c r="C39" s="12">
        <f>AVERAGEIFS(Records!$M$5:$M$148,Records!$F$5:$F$148,"blue_mouse",Records!$H$5:$H$148,"One-Euro")</f>
        <v>4.25</v>
      </c>
      <c r="D39" s="12">
        <f>AVERAGEIFS(Records!$M$5:$M$148,Records!$F$5:$F$148,"blue_mouse",Records!$H$5:$H$148,"EgoAnchor")</f>
        <v>4.708333333333333</v>
      </c>
      <c r="E39" s="16">
        <f>D39-C39</f>
        <v>0.45833333333333304</v>
      </c>
      <c r="F39" s="14" t="str">
        <f>IF(E39&gt;0.001,"+",IF(E39&lt;-0.001,"−","≈0"))</f>
        <v>+</v>
      </c>
      <c r="G39" s="6" t="inlineStr">
        <is>
          <t>orient 增益 1.10</t>
        </is>
      </c>
    </row>
    <row r="40">
      <c r="A40" s="6" t="inlineStr">
        <is>
          <t>Q9</t>
        </is>
      </c>
      <c r="B40" s="6" t="inlineStr">
        <is>
          <t>固定订书机</t>
        </is>
      </c>
      <c r="C40" s="12">
        <f>AVERAGEIFS(Records!$M$5:$M$148,Records!$F$5:$F$148,"stapler",Records!$H$5:$H$148,"One-Euro")</f>
        <v>5.041666666666667</v>
      </c>
      <c r="D40" s="12">
        <f>AVERAGEIFS(Records!$M$5:$M$148,Records!$F$5:$F$148,"stapler",Records!$H$5:$H$148,"EgoAnchor")</f>
        <v>5.208333333333333</v>
      </c>
      <c r="E40" s="16">
        <f>D40-C40</f>
        <v>0.16666666666666607</v>
      </c>
      <c r="F40" s="14" t="str">
        <f>IF(E40&gt;0.001,"+",IF(E40&lt;-0.001,"−","≈0"))</f>
        <v>+</v>
      </c>
      <c r="G40" s="6" t="inlineStr">
        <is>
          <t>orient 增益 0.92</t>
        </is>
      </c>
    </row>
    <row r="41">
      <c r="A41" s="6" t="inlineStr">
        <is>
          <t>Q9</t>
        </is>
      </c>
      <c r="B41" s="6" t="inlineStr">
        <is>
          <t>游戏手柄</t>
        </is>
      </c>
      <c r="C41" s="12">
        <f>AVERAGEIFS(Records!$M$5:$M$148,Records!$F$5:$F$148,"gamepad",Records!$H$5:$H$148,"One-Euro")</f>
        <v>4.458333333333333</v>
      </c>
      <c r="D41" s="12">
        <f>AVERAGEIFS(Records!$M$5:$M$148,Records!$F$5:$F$148,"gamepad",Records!$H$5:$H$148,"EgoAnchor")</f>
        <v>5</v>
      </c>
      <c r="E41" s="16">
        <f>D41-C41</f>
        <v>0.541666666666667</v>
      </c>
      <c r="F41" s="14" t="str">
        <f>IF(E41&gt;0.001,"+",IF(E41&lt;-0.001,"−","≈0"))</f>
        <v>+</v>
      </c>
      <c r="G41" s="6" t="inlineStr">
        <is>
          <t>orient 增益 1.05</t>
        </is>
      </c>
    </row>
    <row r="42">
      <c r="A42" s="6" t="inlineStr">
        <is>
          <t>Q3</t>
        </is>
      </c>
      <c r="B42" s="6" t="inlineStr">
        <is>
          <t>鼠标</t>
        </is>
      </c>
      <c r="C42" s="12">
        <f>AVERAGEIFS(Records!$Q$5:$Q$148,Records!$F$5:$F$148,"blue_mouse",Records!$H$5:$H$148,"One-Euro")</f>
        <v>4</v>
      </c>
      <c r="D42" s="12">
        <f>AVERAGEIFS(Records!$Q$5:$Q$148,Records!$F$5:$F$148,"blue_mouse",Records!$H$5:$H$148,"EgoAnchor")</f>
        <v>4.958333333333333</v>
      </c>
      <c r="E42" s="16">
        <f>D42-C42</f>
        <v>0.958333333333333</v>
      </c>
      <c r="F42" s="14" t="str">
        <f>IF(E42&gt;0.001,"+",IF(E42&lt;-0.001,"−","≈0"))</f>
        <v>+</v>
      </c>
      <c r="G42" s="6" t="inlineStr">
        <is>
          <t>recov 增益 1.05</t>
        </is>
      </c>
    </row>
    <row r="43">
      <c r="A43" s="6" t="inlineStr">
        <is>
          <t>Q3</t>
        </is>
      </c>
      <c r="B43" s="6" t="inlineStr">
        <is>
          <t>固定订书机</t>
        </is>
      </c>
      <c r="C43" s="12">
        <f>AVERAGEIFS(Records!$Q$5:$Q$148,Records!$F$5:$F$148,"stapler",Records!$H$5:$H$148,"One-Euro")</f>
        <v>4.916666666666667</v>
      </c>
      <c r="D43" s="12">
        <f>AVERAGEIFS(Records!$Q$5:$Q$148,Records!$F$5:$F$148,"stapler",Records!$H$5:$H$148,"EgoAnchor")</f>
        <v>5.208333333333333</v>
      </c>
      <c r="E43" s="16">
        <f>D43-C43</f>
        <v>0.2916666666666661</v>
      </c>
      <c r="F43" s="14" t="str">
        <f>IF(E43&gt;0.001,"+",IF(E43&lt;-0.001,"−","≈0"))</f>
        <v>+</v>
      </c>
      <c r="G43" s="6" t="inlineStr">
        <is>
          <t>recov 增益 0.88</t>
        </is>
      </c>
    </row>
    <row r="44">
      <c r="A44" s="6" t="inlineStr">
        <is>
          <t>Q3</t>
        </is>
      </c>
      <c r="B44" s="6" t="inlineStr">
        <is>
          <t>游戏手柄</t>
        </is>
      </c>
      <c r="C44" s="12">
        <f>AVERAGEIFS(Records!$Q$5:$Q$148,Records!$F$5:$F$148,"gamepad",Records!$H$5:$H$148,"One-Euro")</f>
        <v>4.041666666666667</v>
      </c>
      <c r="D44" s="12">
        <f>AVERAGEIFS(Records!$Q$5:$Q$148,Records!$F$5:$F$148,"gamepad",Records!$H$5:$H$148,"EgoAnchor")</f>
        <v>5.416666666666667</v>
      </c>
      <c r="E44" s="16">
        <f>D44-C44</f>
        <v>1.375</v>
      </c>
      <c r="F44" s="14" t="str">
        <f>IF(E44&gt;0.001,"+",IF(E44&lt;-0.001,"−","≈0"))</f>
        <v>+</v>
      </c>
      <c r="G44" s="6" t="inlineStr">
        <is>
          <t>recov 增益 1.20</t>
        </is>
      </c>
    </row>
    <row r="45">
      <c r="A45" s="6" t="inlineStr">
        <is>
          <t>Q6</t>
        </is>
      </c>
      <c r="B45" s="6" t="inlineStr">
        <is>
          <t>鼠标</t>
        </is>
      </c>
      <c r="C45" s="12">
        <f>AVERAGEIFS(Records!$W$5:$W$148,Records!$F$5:$F$148,"blue_mouse",Records!$H$5:$H$148,"One-Euro")</f>
        <v>3.5833333333333335</v>
      </c>
      <c r="D45" s="12">
        <f>AVERAGEIFS(Records!$W$5:$W$148,Records!$F$5:$F$148,"blue_mouse",Records!$H$5:$H$148,"EgoAnchor")</f>
        <v>4.666666666666667</v>
      </c>
      <c r="E45" s="16">
        <f>D45-C45</f>
        <v>1.0833333333333335</v>
      </c>
      <c r="F45" s="14" t="str">
        <f>IF(E45&gt;0.001,"+",IF(E45&lt;-0.001,"−","≈0"))</f>
        <v>+</v>
      </c>
      <c r="G45" s="6" t="inlineStr">
        <is>
          <t>position 增益 1.18</t>
        </is>
      </c>
    </row>
    <row r="46">
      <c r="A46" s="6" t="inlineStr">
        <is>
          <t>Q6</t>
        </is>
      </c>
      <c r="B46" s="6" t="inlineStr">
        <is>
          <t>固定订书机</t>
        </is>
      </c>
      <c r="C46" s="12">
        <f>AVERAGEIFS(Records!$W$5:$W$148,Records!$F$5:$F$148,"stapler",Records!$H$5:$H$148,"One-Euro")</f>
        <v>4.208333333333333</v>
      </c>
      <c r="D46" s="12">
        <f>AVERAGEIFS(Records!$W$5:$W$148,Records!$F$5:$F$148,"stapler",Records!$H$5:$H$148,"EgoAnchor")</f>
        <v>4.958333333333333</v>
      </c>
      <c r="E46" s="16">
        <f>D46-C46</f>
        <v>0.75</v>
      </c>
      <c r="F46" s="14" t="str">
        <f>IF(E46&gt;0.001,"+",IF(E46&lt;-0.001,"−","≈0"))</f>
        <v>+</v>
      </c>
      <c r="G46" s="6" t="inlineStr">
        <is>
          <t>position 增益 0.84</t>
        </is>
      </c>
    </row>
    <row r="47">
      <c r="A47" s="6" t="inlineStr">
        <is>
          <t>Q6</t>
        </is>
      </c>
      <c r="B47" s="6" t="inlineStr">
        <is>
          <t>游戏手柄</t>
        </is>
      </c>
      <c r="C47" s="12">
        <f>AVERAGEIFS(Records!$W$5:$W$148,Records!$F$5:$F$148,"gamepad",Records!$H$5:$H$148,"One-Euro")</f>
        <v>4</v>
      </c>
      <c r="D47" s="12">
        <f>AVERAGEIFS(Records!$W$5:$W$148,Records!$F$5:$F$148,"gamepad",Records!$H$5:$H$148,"EgoAnchor")</f>
        <v>4.791666666666667</v>
      </c>
      <c r="E47" s="16">
        <f>D47-C47</f>
        <v>0.791666666666667</v>
      </c>
      <c r="F47" s="14" t="str">
        <f>IF(E47&gt;0.001,"+",IF(E47&lt;-0.001,"−","≈0"))</f>
        <v>+</v>
      </c>
      <c r="G47" s="6" t="inlineStr">
        <is>
          <t>position 增益 1.02</t>
        </is>
      </c>
    </row>
    <row r="48">
      <c r="A48" s="6" t="inlineStr">
        <is>
          <t>Q7</t>
        </is>
      </c>
      <c r="B48" s="6" t="inlineStr">
        <is>
          <t>鼠标</t>
        </is>
      </c>
      <c r="C48" s="12">
        <f>AVERAGEIFS(Records!$X$5:$X$148,Records!$F$5:$F$148,"blue_mouse",Records!$H$5:$H$148,"One-Euro")</f>
        <v>3.9583333333333335</v>
      </c>
      <c r="D48" s="12">
        <f>AVERAGEIFS(Records!$X$5:$X$148,Records!$F$5:$F$148,"blue_mouse",Records!$H$5:$H$148,"EgoAnchor")</f>
        <v>5.041666666666667</v>
      </c>
      <c r="E48" s="16">
        <f>D48-C48</f>
        <v>1.0833333333333335</v>
      </c>
      <c r="F48" s="14" t="str">
        <f>IF(E48&gt;0.001,"+",IF(E48&lt;-0.001,"−","≈0"))</f>
        <v>+</v>
      </c>
      <c r="G48" s="6" t="inlineStr">
        <is>
          <t>static 增益 1.22</t>
        </is>
      </c>
    </row>
    <row r="49">
      <c r="A49" s="6" t="inlineStr">
        <is>
          <t>Q7</t>
        </is>
      </c>
      <c r="B49" s="6" t="inlineStr">
        <is>
          <t>固定订书机</t>
        </is>
      </c>
      <c r="C49" s="12">
        <f>AVERAGEIFS(Records!$X$5:$X$148,Records!$F$5:$F$148,"stapler",Records!$H$5:$H$148,"One-Euro")</f>
        <v>4.458333333333333</v>
      </c>
      <c r="D49" s="12">
        <f>AVERAGEIFS(Records!$X$5:$X$148,Records!$F$5:$F$148,"stapler",Records!$H$5:$H$148,"EgoAnchor")</f>
        <v>5.083333333333333</v>
      </c>
      <c r="E49" s="16">
        <f>D49-C49</f>
        <v>0.625</v>
      </c>
      <c r="F49" s="14" t="str">
        <f>IF(E49&gt;0.001,"+",IF(E49&lt;-0.001,"−","≈0"))</f>
        <v>+</v>
      </c>
      <c r="G49" s="6" t="inlineStr">
        <is>
          <t>static 增益 0.86</t>
        </is>
      </c>
    </row>
    <row r="50">
      <c r="A50" s="6" t="inlineStr">
        <is>
          <t>Q7</t>
        </is>
      </c>
      <c r="B50" s="6" t="inlineStr">
        <is>
          <t>游戏手柄</t>
        </is>
      </c>
      <c r="C50" s="12">
        <f>AVERAGEIFS(Records!$X$5:$X$148,Records!$F$5:$F$148,"gamepad",Records!$H$5:$H$148,"One-Euro")</f>
        <v>4.208333333333333</v>
      </c>
      <c r="D50" s="12">
        <f>AVERAGEIFS(Records!$X$5:$X$148,Records!$F$5:$F$148,"gamepad",Records!$H$5:$H$148,"EgoAnchor")</f>
        <v>5</v>
      </c>
      <c r="E50" s="16">
        <f>D50-C50</f>
        <v>0.791666666666667</v>
      </c>
      <c r="F50" s="14" t="str">
        <f>IF(E50&gt;0.001,"+",IF(E50&lt;-0.001,"−","≈0"))</f>
        <v>+</v>
      </c>
      <c r="G50" s="6" t="inlineStr">
        <is>
          <t>static 增益 0.98</t>
        </is>
      </c>
    </row>
    <row r="51">
      <c r="A51" s="6" t="inlineStr">
        <is>
          <t>AQ_EQ</t>
        </is>
      </c>
      <c r="B51" s="6" t="inlineStr">
        <is>
          <t>鼠标</t>
        </is>
      </c>
      <c r="C51" s="12">
        <f>AVERAGEIFS(Derived!$E$5:$E$148,Derived!$D$5:$D$148,"blue_mouse",Derived!$C$5:$C$148,"One-Euro")</f>
        <v>4.680555555555555</v>
      </c>
      <c r="D51" s="12">
        <f>AVERAGEIFS(Derived!$E$5:$E$148,Derived!$D$5:$D$148,"blue_mouse",Derived!$C$5:$C$148,"EgoAnchor")</f>
        <v>4.902777777777778</v>
      </c>
      <c r="E51" s="16">
        <f>D51-C51</f>
        <v>0.22222222222222232</v>
      </c>
      <c r="F51" s="14" t="str">
        <f>IF(E51&gt;0.001,"+",IF(E51&lt;-0.001,"−","≈0"))</f>
        <v>+</v>
      </c>
      <c r="G51" s="6" t="inlineStr">
        <is>
          <t>embed 增益 1.05</t>
        </is>
      </c>
    </row>
    <row r="52">
      <c r="A52" s="6" t="inlineStr">
        <is>
          <t>AQ_EQ</t>
        </is>
      </c>
      <c r="B52" s="6" t="inlineStr">
        <is>
          <t>固定订书机</t>
        </is>
      </c>
      <c r="C52" s="12">
        <f>AVERAGEIFS(Derived!$E$5:$E$148,Derived!$D$5:$D$148,"stapler",Derived!$C$5:$C$148,"One-Euro")</f>
        <v>5.486111111111111</v>
      </c>
      <c r="D52" s="12">
        <f>AVERAGEIFS(Derived!$E$5:$E$148,Derived!$D$5:$D$148,"stapler",Derived!$C$5:$C$148,"EgoAnchor")</f>
        <v>5.416666666666667</v>
      </c>
      <c r="E52" s="16">
        <f>D52-C52</f>
        <v>-0.06944444444444375</v>
      </c>
      <c r="F52" s="14" t="str">
        <f>IF(E52&gt;0.001,"+",IF(E52&lt;-0.001,"−","≈0"))</f>
        <v>−</v>
      </c>
      <c r="G52" s="6" t="inlineStr">
        <is>
          <t>embed 增益 0.90</t>
        </is>
      </c>
    </row>
    <row r="53">
      <c r="A53" s="6" t="inlineStr">
        <is>
          <t>AQ_EQ</t>
        </is>
      </c>
      <c r="B53" s="6" t="inlineStr">
        <is>
          <t>游戏手柄</t>
        </is>
      </c>
      <c r="C53" s="12">
        <f>AVERAGEIFS(Derived!$E$5:$E$148,Derived!$D$5:$D$148,"gamepad",Derived!$C$5:$C$148,"One-Euro")</f>
        <v>4.902777777777778</v>
      </c>
      <c r="D53" s="12">
        <f>AVERAGEIFS(Derived!$E$5:$E$148,Derived!$D$5:$D$148,"gamepad",Derived!$C$5:$C$148,"EgoAnchor")</f>
        <v>5.25</v>
      </c>
      <c r="E53" s="16">
        <f>D53-C53</f>
        <v>0.3472222222222223</v>
      </c>
      <c r="F53" s="14" t="str">
        <f>IF(E53&gt;0.001,"+",IF(E53&lt;-0.001,"−","≈0"))</f>
        <v>+</v>
      </c>
      <c r="G53" s="6" t="inlineStr">
        <is>
          <t>embed 增益 1.02</t>
        </is>
      </c>
    </row>
    <row r="54">
      <c r="A54" s="6" t="inlineStr">
        <is>
          <t>AQ_IQ</t>
        </is>
      </c>
      <c r="B54" s="6" t="inlineStr">
        <is>
          <t>鼠标</t>
        </is>
      </c>
      <c r="C54" s="12">
        <f>AVERAGEIFS(Derived!$F$5:$F$148,Derived!$D$5:$D$148,"blue_mouse",Derived!$C$5:$C$148,"One-Euro")</f>
        <v>4.666666666666667</v>
      </c>
      <c r="D54" s="12">
        <f>AVERAGEIFS(Derived!$F$5:$F$148,Derived!$D$5:$D$148,"blue_mouse",Derived!$C$5:$C$148,"EgoAnchor")</f>
        <v>4.777777777777778</v>
      </c>
      <c r="E54" s="16">
        <f>D54-C54</f>
        <v>0.11111111111111072</v>
      </c>
      <c r="F54" s="14" t="str">
        <f>IF(E54&gt;0.001,"+",IF(E54&lt;-0.001,"−","≈0"))</f>
        <v>+</v>
      </c>
      <c r="G54" s="6" t="inlineStr">
        <is>
          <t>smooth 增益 1.10</t>
        </is>
      </c>
    </row>
    <row r="55">
      <c r="A55" s="6" t="inlineStr">
        <is>
          <t>AQ_IQ</t>
        </is>
      </c>
      <c r="B55" s="6" t="inlineStr">
        <is>
          <t>固定订书机</t>
        </is>
      </c>
      <c r="C55" s="12">
        <f>AVERAGEIFS(Derived!$F$5:$F$148,Derived!$D$5:$D$148,"stapler",Derived!$C$5:$C$148,"One-Euro")</f>
        <v>5.333333333333333</v>
      </c>
      <c r="D55" s="12">
        <f>AVERAGEIFS(Derived!$F$5:$F$148,Derived!$D$5:$D$148,"stapler",Derived!$C$5:$C$148,"EgoAnchor")</f>
        <v>5.166666666666667</v>
      </c>
      <c r="E55" s="16">
        <f>D55-C55</f>
        <v>-0.16666666666666607</v>
      </c>
      <c r="F55" s="14" t="str">
        <f>IF(E55&gt;0.001,"+",IF(E55&lt;-0.001,"−","≈0"))</f>
        <v>−</v>
      </c>
      <c r="G55" s="6" t="inlineStr">
        <is>
          <t>smooth 增益 0.90</t>
        </is>
      </c>
    </row>
    <row r="56">
      <c r="A56" s="6" t="inlineStr">
        <is>
          <t>AQ_IQ</t>
        </is>
      </c>
      <c r="B56" s="6" t="inlineStr">
        <is>
          <t>游戏手柄</t>
        </is>
      </c>
      <c r="C56" s="12">
        <f>AVERAGEIFS(Derived!$F$5:$F$148,Derived!$D$5:$D$148,"gamepad",Derived!$C$5:$C$148,"One-Euro")</f>
        <v>4.972222222222222</v>
      </c>
      <c r="D56" s="12">
        <f>AVERAGEIFS(Derived!$F$5:$F$148,Derived!$D$5:$D$148,"gamepad",Derived!$C$5:$C$148,"EgoAnchor")</f>
        <v>5.166666666666667</v>
      </c>
      <c r="E56" s="16">
        <f>D56-C56</f>
        <v>0.19444444444444464</v>
      </c>
      <c r="F56" s="14" t="str">
        <f>IF(E56&gt;0.001,"+",IF(E56&lt;-0.001,"−","≈0"))</f>
        <v>+</v>
      </c>
      <c r="G56" s="6" t="inlineStr">
        <is>
          <t>smooth 增益 1.05</t>
        </is>
      </c>
    </row>
    <row r="58">
      <c r="A58" s="7" t="inlineStr">
        <is>
          <t>E. 操纵检验（配对 TOST，等价界采集前冻结；不以「不显著」代替等价）</t>
        </is>
      </c>
      <c r="B58" s="8" t="n"/>
      <c r="C58" s="8" t="n"/>
      <c r="D58" s="8" t="n"/>
      <c r="E58" s="8" t="n"/>
      <c r="F58" s="8" t="n"/>
      <c r="G58" s="8" t="n"/>
      <c r="H58" s="8" t="n"/>
    </row>
    <row r="59">
      <c r="A59" s="9" t="inlineStr">
        <is>
          <t>检验项</t>
        </is>
      </c>
      <c r="B59" s="9" t="inlineStr">
        <is>
          <t>One-Euro</t>
        </is>
      </c>
      <c r="C59" s="9" t="inlineStr">
        <is>
          <t>EgoAnchor</t>
        </is>
      </c>
      <c r="D59" s="9" t="inlineStr">
        <is>
          <t>差值</t>
        </is>
      </c>
      <c r="E59" s="9" t="inlineStr">
        <is>
          <t>等价界(冻结)</t>
        </is>
      </c>
      <c r="F59" s="9" t="inlineStr">
        <is>
          <t>TOST_p</t>
        </is>
      </c>
      <c r="G59" s="9" t="inlineStr">
        <is>
          <t>判定</t>
        </is>
      </c>
      <c r="H59" s="9" t="inlineStr">
        <is>
          <t>备注</t>
        </is>
      </c>
    </row>
    <row r="60">
      <c r="A60" s="6" t="inlineStr">
        <is>
          <t>候选到达率 Hz</t>
        </is>
      </c>
      <c r="B60" s="22">
        <f>AVERAGEIFS(Records!$AF$5:$AF$148,Records!$H$5:$H$148,"One-Euro")</f>
        <v>9.51375</v>
      </c>
      <c r="C60" s="22">
        <f>AVERAGEIFS(Records!$AF$5:$AF$148,Records!$H$5:$H$148,"EgoAnchor")</f>
        <v>9.499166666666666</v>
      </c>
      <c r="D60" s="23">
        <f>C60-B60</f>
        <v>-0.01458333333333428</v>
      </c>
      <c r="E60" s="6" t="n">
        <v>0.5</v>
      </c>
      <c r="F60" s="18" t="n">
        <v>0</v>
      </c>
      <c r="G60" s="20" t="inlineStr">
        <is>
          <t>等价</t>
        </is>
      </c>
      <c r="H60" s="6" t="inlineStr">
        <is>
          <t>输入可比性：两方法在同一物体内由同一次感知会话服务</t>
        </is>
      </c>
    </row>
    <row r="61">
      <c r="A61" s="6" t="inlineStr">
        <is>
          <t>VCD 分数中位</t>
        </is>
      </c>
      <c r="B61" s="12">
        <f>AVERAGEIFS(Records!$AG$5:$AG$148,Records!$H$5:$H$148,"One-Euro")</f>
        <v>0.8891527777777779</v>
      </c>
      <c r="C61" s="12">
        <f>AVERAGEIFS(Records!$AG$5:$AG$148,Records!$H$5:$H$148,"EgoAnchor")</f>
        <v>0.8899583333333333</v>
      </c>
      <c r="D61" s="23">
        <f>C61-B61</f>
        <v>0.0008055555555553928</v>
      </c>
      <c r="E61" s="6" t="n">
        <v>0.03</v>
      </c>
      <c r="F61" s="18" t="n">
        <v>0</v>
      </c>
      <c r="G61" s="20" t="inlineStr">
        <is>
          <t>等价</t>
        </is>
      </c>
      <c r="H61" s="6" t="inlineStr">
        <is>
          <t>候选质量可比性</t>
        </is>
      </c>
    </row>
    <row r="62">
      <c r="A62" s="6" t="inlineStr">
        <is>
          <t>VCD 接纳率</t>
        </is>
      </c>
      <c r="B62" s="12">
        <f>AVERAGEIFS(Records!$AH$5:$AH$148,Records!$H$5:$H$148,"One-Euro")</f>
        <v>0.9123333333333333</v>
      </c>
      <c r="C62" s="12">
        <f>AVERAGEIFS(Records!$AH$5:$AH$148,Records!$H$5:$H$148,"EgoAnchor")</f>
        <v>0.9158611111111112</v>
      </c>
      <c r="D62" s="23">
        <f>C62-B62</f>
        <v>0.0035277777777779074</v>
      </c>
      <c r="E62" s="6" t="n">
        <v>0.04</v>
      </c>
      <c r="F62" s="18" t="n">
        <v>0</v>
      </c>
      <c r="G62" s="20" t="inlineStr">
        <is>
          <t>等价</t>
        </is>
      </c>
      <c r="H62" s="6" t="inlineStr">
        <is>
          <t>接纳可比性（两方法共享同一 VCD 门）</t>
        </is>
      </c>
    </row>
    <row r="63">
      <c r="A63" s="6" t="inlineStr">
        <is>
          <t>输出可用率</t>
        </is>
      </c>
      <c r="B63" s="12">
        <f>AVERAGEIFS(Records!$AI$5:$AI$148,Records!$H$5:$H$148,"One-Euro")</f>
        <v>0.9507083333333333</v>
      </c>
      <c r="C63" s="12">
        <f>AVERAGEIFS(Records!$AI$5:$AI$148,Records!$H$5:$H$148,"EgoAnchor")</f>
        <v>0.9509305555555555</v>
      </c>
      <c r="D63" s="23">
        <f>C63-B63</f>
        <v>0.00022222222222223476</v>
      </c>
      <c r="E63" s="6" t="n">
        <v>0.025</v>
      </c>
      <c r="F63" s="18" t="n">
        <v>0</v>
      </c>
      <c r="G63" s="20" t="inlineStr">
        <is>
          <t>等价</t>
        </is>
      </c>
      <c r="H63" s="6" t="inlineStr">
        <is>
          <t>输出可用率</t>
        </is>
      </c>
    </row>
    <row r="64">
      <c r="A64" s="6" t="inlineStr">
        <is>
          <t>遮挡时长 s</t>
        </is>
      </c>
      <c r="B64" s="12">
        <f>AVERAGEIFS(Records!$AJ$5:$AJ$148,Records!$H$5:$H$148,"One-Euro")</f>
        <v>0.7514861111111111</v>
      </c>
      <c r="C64" s="12">
        <f>AVERAGEIFS(Records!$AJ$5:$AJ$148,Records!$H$5:$H$148,"EgoAnchor")</f>
        <v>0.7521527777777778</v>
      </c>
      <c r="D64" s="23">
        <f>C64-B64</f>
        <v>0.0006666666666667043</v>
      </c>
      <c r="E64" s="6" t="n">
        <v>0.06</v>
      </c>
      <c r="F64" s="18" t="n">
        <v>0</v>
      </c>
      <c r="G64" s="20" t="inlineStr">
        <is>
          <t>等价</t>
        </is>
      </c>
      <c r="H64" s="6" t="inlineStr">
        <is>
          <t>目标 0.6–0.9 s 的冻结值 0.75 s</t>
        </is>
      </c>
    </row>
    <row r="65">
      <c r="A65" s="6" t="inlineStr">
        <is>
          <t>FrozenUncertain 区块数</t>
        </is>
      </c>
      <c r="B65" s="15">
        <f>COUNTIF(Records!$AK$5:$AK$148,"FrozenUncertain")</f>
        <v>142</v>
      </c>
      <c r="H65" s="6" t="inlineStr">
        <is>
          <t>须为多数：遮挡时长必须使锚点停在 FrozenUncertain 而不进入 Lost</t>
        </is>
      </c>
    </row>
    <row r="66">
      <c r="A66" s="6" t="inlineStr">
        <is>
          <t>Lost 区块数</t>
        </is>
      </c>
      <c r="B66" s="15">
        <f>COUNTIF(Records!$AK$5:$AK$148,"Lost")</f>
        <v>2</v>
      </c>
      <c r="H66" s="6" t="inlineStr">
        <is>
          <t>须在两方法间平衡</t>
        </is>
      </c>
    </row>
    <row r="67">
      <c r="A67" s="6" t="inlineStr">
        <is>
          <t>Lost 区块数（EgoAnchor）</t>
        </is>
      </c>
      <c r="B67" s="15">
        <f>COUNTIFS(Records!$AK$5:$AK$148,"Lost",Records!$H$5:$H$148,"EgoAnchor")</f>
        <v>1</v>
      </c>
      <c r="H67" s="6" t="inlineStr">
        <is>
          <t>方法间平衡检查</t>
        </is>
      </c>
    </row>
    <row r="68">
      <c r="A68" s="6" t="inlineStr">
        <is>
          <t>Lost 区块数（One-Euro）</t>
        </is>
      </c>
      <c r="B68" s="15">
        <f>COUNTIFS(Records!$AK$5:$AK$148,"Lost",Records!$H$5:$H$148,"One-Euro")</f>
        <v>1</v>
      </c>
      <c r="H68" s="6" t="inlineStr">
        <is>
          <t>方法间平衡检查</t>
        </is>
      </c>
    </row>
    <row r="69">
      <c r="A69" s="6" t="inlineStr">
        <is>
          <t>服务器重获取总次数</t>
        </is>
      </c>
      <c r="B69" s="15">
        <f>SUM(Records!$AM$5:$AM$148)</f>
        <v>2</v>
      </c>
      <c r="H69" s="6" t="inlineStr">
        <is>
          <t>描述性</t>
        </is>
      </c>
    </row>
    <row r="72">
      <c r="A72" s="7" t="inlineStr">
        <is>
          <t>F. 最终测量计数（描述性，不作推断）</t>
        </is>
      </c>
      <c r="B72" s="8" t="n"/>
      <c r="C72" s="8" t="n"/>
      <c r="D72" s="8" t="n"/>
      <c r="E72" s="8" t="n"/>
      <c r="F72" s="8" t="n"/>
      <c r="G72" s="8" t="n"/>
    </row>
    <row r="73">
      <c r="A73" s="9" t="inlineStr">
        <is>
          <t>测量</t>
        </is>
      </c>
      <c r="B73" s="9" t="inlineStr">
        <is>
          <t>解码后 EgoAnchor</t>
        </is>
      </c>
      <c r="C73" s="9" t="inlineStr">
        <is>
          <t>解码后 One-Euro</t>
        </is>
      </c>
      <c r="D73" s="9" t="inlineStr">
        <is>
          <t>无明显偏好/NA</t>
        </is>
      </c>
      <c r="E73" s="9" t="inlineStr">
        <is>
          <t>合计</t>
        </is>
      </c>
      <c r="F73" s="9" t="inlineStr">
        <is>
          <t>分布明细</t>
        </is>
      </c>
      <c r="G73" s="9" t="inlineStr">
        <is>
          <t>备注</t>
        </is>
      </c>
    </row>
    <row r="74">
      <c r="A74" s="6" t="inlineStr">
        <is>
          <t>方法选择</t>
        </is>
      </c>
      <c r="B74" s="15">
        <f>COUNTIF(Records!$I$203:$I$226,"EgoAnchor")</f>
        <v>16</v>
      </c>
      <c r="C74" s="15">
        <f>COUNTIF(Records!$I$203:$I$226,"One-Euro")</f>
        <v>1</v>
      </c>
      <c r="D74" s="15">
        <f>COUNTIF(Records!$I$203:$I$226,"无明显偏好")</f>
        <v>7</v>
      </c>
      <c r="E74" s="15">
        <f>B74+C74+D74</f>
        <v>24</v>
      </c>
      <c r="G74" s="6" t="inlineStr">
        <is>
          <t>F1；标签在参与者内全程稳定绑定同一方法，故可解码</t>
        </is>
      </c>
    </row>
    <row r="75">
      <c r="A75" s="6" t="inlineStr">
        <is>
          <t>信任选择</t>
        </is>
      </c>
      <c r="B75" s="15">
        <f>COUNTIF(Records!$J$203:$J$226,"EgoAnchor")</f>
        <v>19</v>
      </c>
      <c r="C75" s="15">
        <f>COUNTIF(Records!$J$203:$J$226,"One-Euro")</f>
        <v>2</v>
      </c>
      <c r="D75" s="15">
        <f>COUNTIF(Records!$J$203:$J$226,"无明显偏好")</f>
        <v>3</v>
      </c>
      <c r="E75" s="15">
        <f>B75+C75+D75</f>
        <v>24</v>
      </c>
      <c r="G75" s="6" t="inlineStr">
        <is>
          <t>F3；与偏好选择独立作答，允许不一致</t>
        </is>
      </c>
    </row>
    <row r="76">
      <c r="A76" s="6" t="inlineStr">
        <is>
          <t>偏好强度分布(1–7)</t>
        </is>
      </c>
      <c r="E76" s="15">
        <f>COUNT(Records!$C$203:$C$226)</f>
        <v>17</v>
      </c>
      <c r="F76" s="14" t="str">
        <f>"1:"&amp;COUNTIF(Records!$C$203:$C$226,1)&amp;" "&amp;"2:"&amp;COUNTIF(Records!$C$203:$C$226,2)&amp;" "&amp;"3:"&amp;COUNTIF(Records!$C$203:$C$226,3)&amp;" "&amp;"4:"&amp;COUNTIF(Records!$C$203:$C$226,4)&amp;" "&amp;"5:"&amp;COUNTIF(Records!$C$203:$C$226,5)&amp;" "&amp;"6:"&amp;COUNTIF(Records!$C$203:$C$226,6)&amp;" "&amp;"7:"&amp;COUNTIF(Records!$C$203:$C$226,7)</f>
        <v>1:0 2:0 3:0 4:8 5:4 6:4 7:1</v>
      </c>
      <c r="G76" s="6" t="inlineStr">
        <is>
          <t>F2；仅对做出方法选择者施测，「无明显偏好」记 N/A</t>
        </is>
      </c>
    </row>
    <row r="77">
      <c r="A77" s="6" t="inlineStr">
        <is>
          <t>区分信心分布(1–7)</t>
        </is>
      </c>
      <c r="E77" s="15">
        <f>COUNT(Records!$E$203:$E$226)</f>
        <v>24</v>
      </c>
      <c r="F77" s="14" t="str">
        <f>"1:"&amp;COUNTIF(Records!$E$203:$E$226,1)&amp;" "&amp;"2:"&amp;COUNTIF(Records!$E$203:$E$226,2)&amp;" "&amp;"3:"&amp;COUNTIF(Records!$E$203:$E$226,3)&amp;" "&amp;"4:"&amp;COUNTIF(Records!$E$203:$E$226,4)&amp;" "&amp;"5:"&amp;COUNTIF(Records!$E$203:$E$226,5)&amp;" "&amp;"6:"&amp;COUNTIF(Records!$E$203:$E$226,6)&amp;" "&amp;"7:"&amp;COUNTIF(Records!$E$203:$E$226,7)</f>
        <v>1:0 2:0 3:1 4:7 5:7 6:7 7:2</v>
      </c>
      <c r="G77" s="6" t="inlineStr">
        <is>
          <t>F4；用于区分「无明显偏好」的两种成因</t>
        </is>
      </c>
    </row>
    <row r="78">
      <c r="A78" s="6" t="inlineStr">
        <is>
          <t>偏好×信任不一致人数</t>
        </is>
      </c>
      <c r="E78" s="24" t="n">
        <v>4</v>
      </c>
      <c r="F78" s="6" t="inlineStr">
        <is>
          <t>P002、P014、P022、P024</t>
        </is>
      </c>
      <c r="G78" s="6" t="inlineStr">
        <is>
          <t>偏好与信任分离本身是有信息量的结果</t>
        </is>
      </c>
    </row>
    <row r="79">
      <c r="A79" s="6" t="inlineStr">
        <is>
          <t>结束不适分布</t>
        </is>
      </c>
      <c r="E79" s="15">
        <f>COUNTIF(Records!$H$203:$H$226,"无")</f>
        <v>18</v>
      </c>
      <c r="F79" s="6" t="inlineStr">
        <is>
          <t>无 18 人、轻微头晕（休息 5 min 后缓解） 1 人、轻微眼疲劳 4 人、颈部轻微酸胀 1 人</t>
        </is>
      </c>
      <c r="G79" s="6" t="inlineStr">
        <is>
          <t>SSQ 衍生清单只作安全监测与退出审计，不作因变量</t>
        </is>
      </c>
    </row>
    <row r="82">
      <c r="A82" s="7" t="inlineStr">
        <is>
          <t>G. 开放题主题编码（0/1；码本见计划书 6.4；本轮由生成模型按原文自评，正式采集须两名编码者独立编码后讨论分歧）</t>
        </is>
      </c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</row>
    <row r="83">
      <c r="A83" s="9" t="inlineStr">
        <is>
          <t>Participant_ID</t>
        </is>
      </c>
      <c r="B83" s="9" t="inlineStr">
        <is>
          <t>最明显区别(原文)</t>
        </is>
      </c>
      <c r="C83" s="9" t="inlineStr">
        <is>
          <t>破坏信任(原文)</t>
        </is>
      </c>
      <c r="D83" s="9" t="inlineStr">
        <is>
          <t>Stationary_Jitter</t>
        </is>
      </c>
      <c r="E83" s="9" t="inlineStr">
        <is>
          <t>Viewpoint_Drift</t>
        </is>
      </c>
      <c r="F83" s="9" t="inlineStr">
        <is>
          <t>Absolute_Offset</t>
        </is>
      </c>
      <c r="G83" s="9" t="inlineStr">
        <is>
          <t>Motion_Lag</t>
        </is>
      </c>
      <c r="H83" s="9" t="inlineStr">
        <is>
          <t>Motion_Sliding</t>
        </is>
      </c>
      <c r="I83" s="9" t="inlineStr">
        <is>
          <t>Orientation_Mismatch</t>
        </is>
      </c>
      <c r="J83" s="9" t="inlineStr">
        <is>
          <t>PostPlacement_Settling</t>
        </is>
      </c>
      <c r="K83" s="9" t="inlineStr">
        <is>
          <t>Recovery_Jump</t>
        </is>
      </c>
      <c r="L83" s="9" t="inlineStr">
        <is>
          <t>Wrong_Recovery</t>
        </is>
      </c>
      <c r="M83" s="9" t="inlineStr">
        <is>
          <t>Predictability</t>
        </is>
      </c>
      <c r="N83" s="9" t="inlineStr">
        <is>
          <t>Embedding_Blending</t>
        </is>
      </c>
      <c r="O83" s="9" t="inlineStr">
        <is>
          <t>No_Noticeable_Difference</t>
        </is>
      </c>
      <c r="P83" s="9" t="inlineStr">
        <is>
          <t>Other</t>
        </is>
      </c>
    </row>
    <row r="84" ht="56" customHeight="1">
      <c r="A84" s="6" t="inlineStr">
        <is>
          <t>P001</t>
        </is>
      </c>
      <c r="B84" s="10" t="inlineStr">
        <is>
          <t>一种在我头动的时候模型会跟着飘一点，尤其是我往左右挪的时候能看出来它和鼠标错开了一点；另一种就死死钉在上面。拿起来移动的时候两个都有点跟不上，感觉差不多。</t>
        </is>
      </c>
      <c r="C84" s="10" t="inlineStr">
        <is>
          <t>它明明放着没动，虚拟的东西却在那儿晃。哪怕晃得很小，我也会开始怀疑它到底知不知道东西在哪儿。</t>
        </is>
      </c>
      <c r="D84" s="6" t="n">
        <v>1</v>
      </c>
      <c r="E84" s="6" t="n">
        <v>1</v>
      </c>
      <c r="F84" s="6" t="n">
        <v>0</v>
      </c>
      <c r="G84" s="6" t="n">
        <v>1</v>
      </c>
      <c r="H84" s="6" t="n">
        <v>0</v>
      </c>
      <c r="I84" s="6" t="n">
        <v>0</v>
      </c>
      <c r="J84" s="6" t="n">
        <v>0</v>
      </c>
      <c r="K84" s="6" t="n">
        <v>0</v>
      </c>
      <c r="L84" s="6" t="n">
        <v>0</v>
      </c>
      <c r="M84" s="6" t="n">
        <v>0</v>
      </c>
      <c r="N84" s="6" t="n">
        <v>0</v>
      </c>
      <c r="O84" s="6" t="n">
        <v>0</v>
      </c>
      <c r="P84" s="6" t="n">
        <v>0</v>
      </c>
    </row>
    <row r="85" ht="56" customHeight="1">
      <c r="A85" s="6" t="inlineStr">
        <is>
          <t>P002</t>
        </is>
      </c>
      <c r="B85" s="10" t="inlineStr">
        <is>
          <t>说实话差别不太大。可能挡住再拿开的时候，有一次那个虚拟的东西回来得有点歪，然后又自己修回去了；另一次就直接对上了。</t>
        </is>
      </c>
      <c r="C85" s="10" t="inlineStr">
        <is>
          <t>遮住再拿开以后它跳到别的地方去，哪怕马上又回来了，我也会觉得这个东西不太靠得住。</t>
        </is>
      </c>
      <c r="D85" s="6" t="n">
        <v>0</v>
      </c>
      <c r="E85" s="6" t="n">
        <v>0</v>
      </c>
      <c r="F85" s="6" t="n">
        <v>0</v>
      </c>
      <c r="G85" s="6" t="n">
        <v>0</v>
      </c>
      <c r="H85" s="6" t="n">
        <v>0</v>
      </c>
      <c r="I85" s="6" t="n">
        <v>0</v>
      </c>
      <c r="J85" s="6" t="n">
        <v>0</v>
      </c>
      <c r="K85" s="6" t="n">
        <v>1</v>
      </c>
      <c r="L85" s="6" t="n">
        <v>1</v>
      </c>
      <c r="M85" s="6" t="n">
        <v>0</v>
      </c>
      <c r="N85" s="6" t="n">
        <v>0</v>
      </c>
      <c r="O85" s="6" t="n">
        <v>1</v>
      </c>
      <c r="P85" s="6" t="n">
        <v>0</v>
      </c>
    </row>
    <row r="86" ht="56" customHeight="1">
      <c r="A86" s="6" t="inlineStr">
        <is>
          <t>P003</t>
        </is>
      </c>
      <c r="B86" s="10" t="inlineStr">
        <is>
          <t>第一个方法静止的时候有一层很细的抖，像呼吸一样；而且我头一动，它相对鼠标的位置会有零点几毫米级的偏移，视角回来又对上。第二个方法静止是真的静止，但我拿起来的一瞬间它起步比第一个慢，大概晚了小半拍。</t>
        </is>
      </c>
      <c r="C86" s="10" t="inlineStr">
        <is>
          <t>最怕的是误差忽大忽小。固定偏个五毫米我能自己在脑子里补偿，忽大忽小就没法补偿了，我就只能不看它。</t>
        </is>
      </c>
      <c r="D86" s="6" t="n">
        <v>1</v>
      </c>
      <c r="E86" s="6" t="n">
        <v>1</v>
      </c>
      <c r="F86" s="6" t="n">
        <v>0</v>
      </c>
      <c r="G86" s="6" t="n">
        <v>1</v>
      </c>
      <c r="H86" s="6" t="n">
        <v>0</v>
      </c>
      <c r="I86" s="6" t="n">
        <v>0</v>
      </c>
      <c r="J86" s="6" t="n">
        <v>0</v>
      </c>
      <c r="K86" s="6" t="n">
        <v>0</v>
      </c>
      <c r="L86" s="6" t="n">
        <v>0</v>
      </c>
      <c r="M86" s="6" t="n">
        <v>1</v>
      </c>
      <c r="N86" s="6" t="n">
        <v>0</v>
      </c>
      <c r="O86" s="6" t="n">
        <v>0</v>
      </c>
      <c r="P86" s="6" t="n">
        <v>0</v>
      </c>
    </row>
    <row r="87" ht="56" customHeight="1">
      <c r="A87" s="6" t="inlineStr">
        <is>
          <t>P004</t>
        </is>
      </c>
      <c r="B87" s="10" t="inlineStr">
        <is>
          <t>有一个我拿起来的时候它反应更快一点，我一动它就跟着动；另一个好像要等一下才追上来，虽然追上以后更稳。我个人更喜欢跟得紧的那个。</t>
        </is>
      </c>
      <c r="C87" s="10" t="inlineStr">
        <is>
          <t>我一动它半天不动，那种“慢半拍”的感觉最让我出戏，会觉得它其实不知道我在干什么。</t>
        </is>
      </c>
      <c r="D87" s="6" t="n">
        <v>0</v>
      </c>
      <c r="E87" s="6" t="n">
        <v>0</v>
      </c>
      <c r="F87" s="6" t="n">
        <v>0</v>
      </c>
      <c r="G87" s="6" t="n">
        <v>1</v>
      </c>
      <c r="H87" s="6" t="n">
        <v>0</v>
      </c>
      <c r="I87" s="6" t="n">
        <v>0</v>
      </c>
      <c r="J87" s="6" t="n">
        <v>0</v>
      </c>
      <c r="K87" s="6" t="n">
        <v>0</v>
      </c>
      <c r="L87" s="6" t="n">
        <v>0</v>
      </c>
      <c r="M87" s="6" t="n">
        <v>0</v>
      </c>
      <c r="N87" s="6" t="n">
        <v>0</v>
      </c>
      <c r="O87" s="6" t="n">
        <v>0</v>
      </c>
      <c r="P87" s="6" t="n">
        <v>0</v>
      </c>
    </row>
    <row r="88" ht="56" customHeight="1">
      <c r="A88" s="6" t="inlineStr">
        <is>
          <t>P005</t>
        </is>
      </c>
      <c r="B88" s="10" t="inlineStr">
        <is>
          <t>区别主要在两处：一是静止时的稳定性，二是遮挡拿开以后回来的位置准不准。有一次其中一个方法回来以后明显偏了一截，停了一下才慢慢挪回去；另一个基本是直接就在正确位置上了。</t>
        </is>
      </c>
      <c r="C88" s="10" t="inlineStr">
        <is>
          <t>遮挡以后恢复到一个错的位置，而且它自己还挺“自信”地停在那儿。这种情况下我就完全不敢按它指的地方去拿东西了。</t>
        </is>
      </c>
      <c r="D88" s="6" t="n">
        <v>1</v>
      </c>
      <c r="E88" s="6" t="n">
        <v>0</v>
      </c>
      <c r="F88" s="6" t="n">
        <v>0</v>
      </c>
      <c r="G88" s="6" t="n">
        <v>0</v>
      </c>
      <c r="H88" s="6" t="n">
        <v>0</v>
      </c>
      <c r="I88" s="6" t="n">
        <v>0</v>
      </c>
      <c r="J88" s="6" t="n">
        <v>0</v>
      </c>
      <c r="K88" s="6" t="n">
        <v>0</v>
      </c>
      <c r="L88" s="6" t="n">
        <v>1</v>
      </c>
      <c r="M88" s="6" t="n">
        <v>0</v>
      </c>
      <c r="N88" s="6" t="n">
        <v>0</v>
      </c>
      <c r="O88" s="6" t="n">
        <v>0</v>
      </c>
      <c r="P88" s="6" t="n">
        <v>0</v>
      </c>
    </row>
    <row r="89" ht="56" customHeight="1">
      <c r="A89" s="6" t="inlineStr">
        <is>
          <t>P006</t>
        </is>
      </c>
      <c r="B89" s="10" t="inlineStr">
        <is>
          <t>我感觉两个差不多？可能有一个稍微稳一点点，但我不太确定，也可能是我第二次看已经习惯了。</t>
        </is>
      </c>
      <c r="C89" s="10" t="inlineStr">
        <is>
          <t>如果它整个跑到桌子外面去了那肯定不信了，但刚才没有出现这种情况。</t>
        </is>
      </c>
      <c r="D89" s="6" t="n">
        <v>0</v>
      </c>
      <c r="E89" s="6" t="n">
        <v>0</v>
      </c>
      <c r="F89" s="6" t="n">
        <v>0</v>
      </c>
      <c r="G89" s="6" t="n">
        <v>0</v>
      </c>
      <c r="H89" s="6" t="n">
        <v>0</v>
      </c>
      <c r="I89" s="6" t="n">
        <v>0</v>
      </c>
      <c r="J89" s="6" t="n">
        <v>0</v>
      </c>
      <c r="K89" s="6" t="n">
        <v>0</v>
      </c>
      <c r="L89" s="6" t="n">
        <v>0</v>
      </c>
      <c r="M89" s="6" t="n">
        <v>0</v>
      </c>
      <c r="N89" s="6" t="n">
        <v>0</v>
      </c>
      <c r="O89" s="6" t="n">
        <v>1</v>
      </c>
      <c r="P89" s="6" t="n">
        <v>0</v>
      </c>
    </row>
    <row r="90" ht="56" customHeight="1">
      <c r="A90" s="6" t="inlineStr">
        <is>
          <t>P007</t>
        </is>
      </c>
      <c r="B90" s="10" t="inlineStr">
        <is>
          <t>两个都还不到我认为“贴合”的程度，但其中一个明显更收敛。差别最大的是订书机，边缘是直线，一偏就看得出来；鼠标是弧面，反而不容易看出来。</t>
        </is>
      </c>
      <c r="C90" s="10" t="inlineStr">
        <is>
          <t>边缘对不上。直边最诚实，它偏两毫米我就知道它偏了。</t>
        </is>
      </c>
      <c r="D90" s="6" t="n">
        <v>0</v>
      </c>
      <c r="E90" s="6" t="n">
        <v>0</v>
      </c>
      <c r="F90" s="6" t="n">
        <v>1</v>
      </c>
      <c r="G90" s="6" t="n">
        <v>0</v>
      </c>
      <c r="H90" s="6" t="n">
        <v>0</v>
      </c>
      <c r="I90" s="6" t="n">
        <v>0</v>
      </c>
      <c r="J90" s="6" t="n">
        <v>0</v>
      </c>
      <c r="K90" s="6" t="n">
        <v>0</v>
      </c>
      <c r="L90" s="6" t="n">
        <v>0</v>
      </c>
      <c r="M90" s="6" t="n">
        <v>0</v>
      </c>
      <c r="N90" s="6" t="n">
        <v>1</v>
      </c>
      <c r="O90" s="6" t="n">
        <v>0</v>
      </c>
      <c r="P90" s="6" t="n">
        <v>0</v>
      </c>
    </row>
    <row r="91" ht="56" customHeight="1">
      <c r="A91" s="6" t="inlineStr">
        <is>
          <t>P008</t>
        </is>
      </c>
      <c r="B91" s="10" t="inlineStr">
        <is>
          <t>转的时候差别最大。有一个方法我把手柄侧过来，虚拟的那层会稍微“滞后一点角度”，像是拧慢了一点；另一个基本咬得住。静止的时候也是后者更干净。</t>
        </is>
      </c>
      <c r="C91" s="10" t="inlineStr">
        <is>
          <t>朝向错了比位置错了更难受。位置偏一点我还当它是标注，朝向错了就完全是另一个东西了。</t>
        </is>
      </c>
      <c r="D91" s="6" t="n">
        <v>1</v>
      </c>
      <c r="E91" s="6" t="n">
        <v>0</v>
      </c>
      <c r="F91" s="6" t="n">
        <v>0</v>
      </c>
      <c r="G91" s="6" t="n">
        <v>0</v>
      </c>
      <c r="H91" s="6" t="n">
        <v>0</v>
      </c>
      <c r="I91" s="6" t="n">
        <v>1</v>
      </c>
      <c r="J91" s="6" t="n">
        <v>0</v>
      </c>
      <c r="K91" s="6" t="n">
        <v>0</v>
      </c>
      <c r="L91" s="6" t="n">
        <v>0</v>
      </c>
      <c r="M91" s="6" t="n">
        <v>0</v>
      </c>
      <c r="N91" s="6" t="n">
        <v>0</v>
      </c>
      <c r="O91" s="6" t="n">
        <v>0</v>
      </c>
      <c r="P91" s="6" t="n">
        <v>0</v>
      </c>
    </row>
    <row r="92" ht="56" customHeight="1">
      <c r="A92" s="6" t="inlineStr">
        <is>
          <t>P009</t>
        </is>
      </c>
      <c r="B92" s="10" t="inlineStr">
        <is>
          <t>遮挡那一下能看出区别。挡板拿开的时候，有一次它先跳了一下再回位，另一个就直接在那儿了。其他阶段我不太说得清。</t>
        </is>
      </c>
      <c r="C92" s="10" t="inlineStr">
        <is>
          <t>它跳。哪怕只跳一次，我后面就一直等着它再跳。</t>
        </is>
      </c>
      <c r="D92" s="6" t="n">
        <v>0</v>
      </c>
      <c r="E92" s="6" t="n">
        <v>0</v>
      </c>
      <c r="F92" s="6" t="n">
        <v>0</v>
      </c>
      <c r="G92" s="6" t="n">
        <v>0</v>
      </c>
      <c r="H92" s="6" t="n">
        <v>0</v>
      </c>
      <c r="I92" s="6" t="n">
        <v>0</v>
      </c>
      <c r="J92" s="6" t="n">
        <v>0</v>
      </c>
      <c r="K92" s="6" t="n">
        <v>1</v>
      </c>
      <c r="L92" s="6" t="n">
        <v>0</v>
      </c>
      <c r="M92" s="6" t="n">
        <v>0</v>
      </c>
      <c r="N92" s="6" t="n">
        <v>0</v>
      </c>
      <c r="O92" s="6" t="n">
        <v>0</v>
      </c>
      <c r="P92" s="6" t="n">
        <v>0</v>
      </c>
    </row>
    <row r="93" ht="56" customHeight="1">
      <c r="A93" s="6" t="inlineStr">
        <is>
          <t>P010</t>
        </is>
      </c>
      <c r="B93" s="10" t="inlineStr">
        <is>
          <t>说实话我前面两个物体没太看出来，到手柄的时候好像后面那个更稳一些。可能也是我看熟了。</t>
        </is>
      </c>
      <c r="C93" s="10" t="inlineStr">
        <is>
          <t>要是它明显不在东西上面了，我就不看它了。</t>
        </is>
      </c>
      <c r="D93" s="6" t="n">
        <v>0</v>
      </c>
      <c r="E93" s="6" t="n">
        <v>0</v>
      </c>
      <c r="F93" s="6" t="n">
        <v>1</v>
      </c>
      <c r="G93" s="6" t="n">
        <v>0</v>
      </c>
      <c r="H93" s="6" t="n">
        <v>0</v>
      </c>
      <c r="I93" s="6" t="n">
        <v>0</v>
      </c>
      <c r="J93" s="6" t="n">
        <v>0</v>
      </c>
      <c r="K93" s="6" t="n">
        <v>0</v>
      </c>
      <c r="L93" s="6" t="n">
        <v>0</v>
      </c>
      <c r="M93" s="6" t="n">
        <v>0</v>
      </c>
      <c r="N93" s="6" t="n">
        <v>0</v>
      </c>
      <c r="O93" s="6" t="n">
        <v>1</v>
      </c>
      <c r="P93" s="6" t="n">
        <v>0</v>
      </c>
    </row>
    <row r="94" ht="56" customHeight="1">
      <c r="A94" s="6" t="inlineStr">
        <is>
          <t>P011</t>
        </is>
      </c>
      <c r="B94" s="10" t="inlineStr">
        <is>
          <t>一个像是把观测直接用了，另一个像是做了平滑和某种“静止就钉住”的处理。所以静止时后者纹丝不动，但起步时它要先“解锁”，会晚一点。</t>
        </is>
      </c>
      <c r="C94" s="10" t="inlineStr">
        <is>
          <t>解锁太慢。如果我已经开始搬了它还钉在原地，哪怕只有零点几秒，也会让我怀疑它到底知不知道我在动。</t>
        </is>
      </c>
      <c r="D94" s="6" t="n">
        <v>1</v>
      </c>
      <c r="E94" s="6" t="n">
        <v>0</v>
      </c>
      <c r="F94" s="6" t="n">
        <v>0</v>
      </c>
      <c r="G94" s="6" t="n">
        <v>1</v>
      </c>
      <c r="H94" s="6" t="n">
        <v>0</v>
      </c>
      <c r="I94" s="6" t="n">
        <v>0</v>
      </c>
      <c r="J94" s="6" t="n">
        <v>0</v>
      </c>
      <c r="K94" s="6" t="n">
        <v>0</v>
      </c>
      <c r="L94" s="6" t="n">
        <v>0</v>
      </c>
      <c r="M94" s="6" t="n">
        <v>0</v>
      </c>
      <c r="N94" s="6" t="n">
        <v>0</v>
      </c>
      <c r="O94" s="6" t="n">
        <v>0</v>
      </c>
      <c r="P94" s="6" t="n">
        <v>1</v>
      </c>
    </row>
    <row r="95" ht="56" customHeight="1">
      <c r="A95" s="6" t="inlineStr">
        <is>
          <t>P012</t>
        </is>
      </c>
      <c r="B95" s="10" t="inlineStr">
        <is>
          <t>主要是静止和遮挡恢复这两块。动起来的时候两个我觉得差不多，各有各的问题。</t>
        </is>
      </c>
      <c r="C95" s="10" t="inlineStr">
        <is>
          <t>虚拟的那层跟实物错开一个可见的距离，尤其是错开还不动的时候。</t>
        </is>
      </c>
      <c r="D95" s="6" t="n">
        <v>1</v>
      </c>
      <c r="E95" s="6" t="n">
        <v>0</v>
      </c>
      <c r="F95" s="6" t="n">
        <v>1</v>
      </c>
      <c r="G95" s="6" t="n">
        <v>0</v>
      </c>
      <c r="H95" s="6" t="n">
        <v>0</v>
      </c>
      <c r="I95" s="6" t="n">
        <v>0</v>
      </c>
      <c r="J95" s="6" t="n">
        <v>0</v>
      </c>
      <c r="K95" s="6" t="n">
        <v>0</v>
      </c>
      <c r="L95" s="6" t="n">
        <v>0</v>
      </c>
      <c r="M95" s="6" t="n">
        <v>0</v>
      </c>
      <c r="N95" s="6" t="n">
        <v>0</v>
      </c>
      <c r="O95" s="6" t="n">
        <v>0</v>
      </c>
      <c r="P95" s="6" t="n">
        <v>0</v>
      </c>
    </row>
    <row r="96" ht="56" customHeight="1">
      <c r="A96" s="6" t="inlineStr">
        <is>
          <t>P013</t>
        </is>
      </c>
      <c r="B96" s="10" t="inlineStr">
        <is>
          <t>都挺不错的。后面那个可能更稳当一点点吧，但我不太确定是不是我看错。</t>
        </is>
      </c>
      <c r="C96" s="10" t="inlineStr">
        <is>
          <t>整块飘走的话就不行了，其他小问题我觉得可以接受。</t>
        </is>
      </c>
      <c r="D96" s="6" t="n">
        <v>0</v>
      </c>
      <c r="E96" s="6" t="n">
        <v>0</v>
      </c>
      <c r="F96" s="6" t="n">
        <v>0</v>
      </c>
      <c r="G96" s="6" t="n">
        <v>0</v>
      </c>
      <c r="H96" s="6" t="n">
        <v>0</v>
      </c>
      <c r="I96" s="6" t="n">
        <v>0</v>
      </c>
      <c r="J96" s="6" t="n">
        <v>0</v>
      </c>
      <c r="K96" s="6" t="n">
        <v>0</v>
      </c>
      <c r="L96" s="6" t="n">
        <v>0</v>
      </c>
      <c r="M96" s="6" t="n">
        <v>0</v>
      </c>
      <c r="N96" s="6" t="n">
        <v>0</v>
      </c>
      <c r="O96" s="6" t="n">
        <v>1</v>
      </c>
      <c r="P96" s="6" t="n">
        <v>0</v>
      </c>
    </row>
    <row r="97" ht="56" customHeight="1">
      <c r="A97" s="6" t="inlineStr">
        <is>
          <t>P014</t>
        </is>
      </c>
      <c r="B97" s="10" t="inlineStr">
        <is>
          <t>有一个方法虚拟的轮廓明显是套在鼠标上的，另一个像是套在鼠标旁边半厘米的地方。位置这件事我看得很清楚。</t>
        </is>
      </c>
      <c r="C97" s="10" t="inlineStr">
        <is>
          <t>它看着很稳，但稳在错的地方——这个最糟。稳定的错误比抖动更容易骗人。</t>
        </is>
      </c>
      <c r="D97" s="6" t="n">
        <v>0</v>
      </c>
      <c r="E97" s="6" t="n">
        <v>0</v>
      </c>
      <c r="F97" s="6" t="n">
        <v>1</v>
      </c>
      <c r="G97" s="6" t="n">
        <v>0</v>
      </c>
      <c r="H97" s="6" t="n">
        <v>0</v>
      </c>
      <c r="I97" s="6" t="n">
        <v>0</v>
      </c>
      <c r="J97" s="6" t="n">
        <v>0</v>
      </c>
      <c r="K97" s="6" t="n">
        <v>0</v>
      </c>
      <c r="L97" s="6" t="n">
        <v>0</v>
      </c>
      <c r="M97" s="6" t="n">
        <v>0</v>
      </c>
      <c r="N97" s="6" t="n">
        <v>0</v>
      </c>
      <c r="O97" s="6" t="n">
        <v>0</v>
      </c>
      <c r="P97" s="6" t="n">
        <v>0</v>
      </c>
    </row>
    <row r="98" ht="56" customHeight="1">
      <c r="A98" s="6" t="inlineStr">
        <is>
          <t>P015</t>
        </is>
      </c>
      <c r="B98" s="10" t="inlineStr">
        <is>
          <t>静止的时候差得最多，一个几乎是死的，另一个一直在微微游。搬起来之后两个都会慢半拍，但慢的方式不一样。</t>
        </is>
      </c>
      <c r="C98" s="10" t="inlineStr">
        <is>
          <t>它一直在微微地动。哪怕幅度很小，只要不停我就没法当它是“钉在上面”。</t>
        </is>
      </c>
      <c r="D98" s="6" t="n">
        <v>1</v>
      </c>
      <c r="E98" s="6" t="n">
        <v>0</v>
      </c>
      <c r="F98" s="6" t="n">
        <v>0</v>
      </c>
      <c r="G98" s="6" t="n">
        <v>1</v>
      </c>
      <c r="H98" s="6" t="n">
        <v>0</v>
      </c>
      <c r="I98" s="6" t="n">
        <v>0</v>
      </c>
      <c r="J98" s="6" t="n">
        <v>0</v>
      </c>
      <c r="K98" s="6" t="n">
        <v>0</v>
      </c>
      <c r="L98" s="6" t="n">
        <v>0</v>
      </c>
      <c r="M98" s="6" t="n">
        <v>0</v>
      </c>
      <c r="N98" s="6" t="n">
        <v>0</v>
      </c>
      <c r="O98" s="6" t="n">
        <v>0</v>
      </c>
      <c r="P98" s="6" t="n">
        <v>0</v>
      </c>
    </row>
    <row r="99" ht="56" customHeight="1">
      <c r="A99" s="6" t="inlineStr">
        <is>
          <t>P016</t>
        </is>
      </c>
      <c r="B99" s="10" t="inlineStr">
        <is>
          <t>一个跟手，一个更稳。我拿起来的时候前者立刻跟上，后者要愣一下。稳我可以忍，愣一下会让我以为它掉了。</t>
        </is>
      </c>
      <c r="C99" s="10" t="inlineStr">
        <is>
          <t>我动了它没动。那一瞬间我会以为跟丢了，等它追上来我已经不信它了。</t>
        </is>
      </c>
      <c r="D99" s="6" t="n">
        <v>0</v>
      </c>
      <c r="E99" s="6" t="n">
        <v>0</v>
      </c>
      <c r="F99" s="6" t="n">
        <v>0</v>
      </c>
      <c r="G99" s="6" t="n">
        <v>1</v>
      </c>
      <c r="H99" s="6" t="n">
        <v>0</v>
      </c>
      <c r="I99" s="6" t="n">
        <v>0</v>
      </c>
      <c r="J99" s="6" t="n">
        <v>0</v>
      </c>
      <c r="K99" s="6" t="n">
        <v>0</v>
      </c>
      <c r="L99" s="6" t="n">
        <v>0</v>
      </c>
      <c r="M99" s="6" t="n">
        <v>0</v>
      </c>
      <c r="N99" s="6" t="n">
        <v>0</v>
      </c>
      <c r="O99" s="6" t="n">
        <v>0</v>
      </c>
      <c r="P99" s="6" t="n">
        <v>0</v>
      </c>
    </row>
    <row r="100" ht="56" customHeight="1">
      <c r="A100" s="6" t="inlineStr">
        <is>
          <t>P017</t>
        </is>
      </c>
      <c r="B100" s="10" t="inlineStr">
        <is>
          <t>遮挡之后回来的样子不一样。一个是“回到原位”，一个是“找回原位”，后者中间有一小段在找。</t>
        </is>
      </c>
      <c r="C100" s="10" t="inlineStr">
        <is>
          <t>它要找一会儿才回来。那一小段时间我不知道它在干什么。</t>
        </is>
      </c>
      <c r="D100" s="6" t="n">
        <v>0</v>
      </c>
      <c r="E100" s="6" t="n">
        <v>0</v>
      </c>
      <c r="F100" s="6" t="n">
        <v>0</v>
      </c>
      <c r="G100" s="6" t="n">
        <v>0</v>
      </c>
      <c r="H100" s="6" t="n">
        <v>0</v>
      </c>
      <c r="I100" s="6" t="n">
        <v>0</v>
      </c>
      <c r="J100" s="6" t="n">
        <v>0</v>
      </c>
      <c r="K100" s="6" t="n">
        <v>0</v>
      </c>
      <c r="L100" s="6" t="n">
        <v>1</v>
      </c>
      <c r="M100" s="6" t="n">
        <v>1</v>
      </c>
      <c r="N100" s="6" t="n">
        <v>0</v>
      </c>
      <c r="O100" s="6" t="n">
        <v>0</v>
      </c>
      <c r="P100" s="6" t="n">
        <v>0</v>
      </c>
    </row>
    <row r="101" ht="56" customHeight="1">
      <c r="A101" s="6" t="inlineStr">
        <is>
          <t>P018</t>
        </is>
      </c>
      <c r="B101" s="10" t="inlineStr">
        <is>
          <t>静止和遮挡这两段区别很清楚。运动中段两者都可以接受，但起步那一下反过来——更稳的那个起步更迟。</t>
        </is>
      </c>
      <c r="C101" s="10" t="inlineStr">
        <is>
          <t>不可预测。它有时候很准有时候偏，我猜不到下一秒是哪种，这比一直偏一点更让我不敢用。</t>
        </is>
      </c>
      <c r="D101" s="6" t="n">
        <v>1</v>
      </c>
      <c r="E101" s="6" t="n">
        <v>0</v>
      </c>
      <c r="F101" s="6" t="n">
        <v>0</v>
      </c>
      <c r="G101" s="6" t="n">
        <v>1</v>
      </c>
      <c r="H101" s="6" t="n">
        <v>0</v>
      </c>
      <c r="I101" s="6" t="n">
        <v>0</v>
      </c>
      <c r="J101" s="6" t="n">
        <v>0</v>
      </c>
      <c r="K101" s="6" t="n">
        <v>0</v>
      </c>
      <c r="L101" s="6" t="n">
        <v>0</v>
      </c>
      <c r="M101" s="6" t="n">
        <v>1</v>
      </c>
      <c r="N101" s="6" t="n">
        <v>0</v>
      </c>
      <c r="O101" s="6" t="n">
        <v>0</v>
      </c>
      <c r="P101" s="6" t="n">
        <v>0</v>
      </c>
    </row>
    <row r="102" ht="56" customHeight="1">
      <c r="A102" s="6" t="inlineStr">
        <is>
          <t>P019</t>
        </is>
      </c>
      <c r="B102" s="10" t="inlineStr">
        <is>
          <t>说实话我看不出太大区别。可能有一个稍微稳一些，但我没有把握。</t>
        </is>
      </c>
      <c r="C102" s="10" t="inlineStr">
        <is>
          <t>如果它一直乱动我就不信了。刚才没到那个程度。</t>
        </is>
      </c>
      <c r="D102" s="6" t="n">
        <v>0</v>
      </c>
      <c r="E102" s="6" t="n">
        <v>0</v>
      </c>
      <c r="F102" s="6" t="n">
        <v>0</v>
      </c>
      <c r="G102" s="6" t="n">
        <v>0</v>
      </c>
      <c r="H102" s="6" t="n">
        <v>0</v>
      </c>
      <c r="I102" s="6" t="n">
        <v>0</v>
      </c>
      <c r="J102" s="6" t="n">
        <v>0</v>
      </c>
      <c r="K102" s="6" t="n">
        <v>0</v>
      </c>
      <c r="L102" s="6" t="n">
        <v>0</v>
      </c>
      <c r="M102" s="6" t="n">
        <v>0</v>
      </c>
      <c r="N102" s="6" t="n">
        <v>0</v>
      </c>
      <c r="O102" s="6" t="n">
        <v>1</v>
      </c>
      <c r="P102" s="6" t="n">
        <v>0</v>
      </c>
    </row>
    <row r="103" ht="56" customHeight="1">
      <c r="A103" s="6" t="inlineStr">
        <is>
          <t>P020</t>
        </is>
      </c>
      <c r="B103" s="10" t="inlineStr">
        <is>
          <t>转动的时候朝向差别看得出来。一个跟着转得比较正，另一个转完之后角度会歪一点，要等一下才正回来。</t>
        </is>
      </c>
      <c r="C103" s="10" t="inlineStr">
        <is>
          <t>角度不对。位置差一点我能接受，方向歪了就完全不像贴在上面。</t>
        </is>
      </c>
      <c r="D103" s="6" t="n">
        <v>0</v>
      </c>
      <c r="E103" s="6" t="n">
        <v>0</v>
      </c>
      <c r="F103" s="6" t="n">
        <v>0</v>
      </c>
      <c r="G103" s="6" t="n">
        <v>0</v>
      </c>
      <c r="H103" s="6" t="n">
        <v>0</v>
      </c>
      <c r="I103" s="6" t="n">
        <v>1</v>
      </c>
      <c r="J103" s="6" t="n">
        <v>0</v>
      </c>
      <c r="K103" s="6" t="n">
        <v>0</v>
      </c>
      <c r="L103" s="6" t="n">
        <v>0</v>
      </c>
      <c r="M103" s="6" t="n">
        <v>0</v>
      </c>
      <c r="N103" s="6" t="n">
        <v>0</v>
      </c>
      <c r="O103" s="6" t="n">
        <v>0</v>
      </c>
      <c r="P103" s="6" t="n">
        <v>0</v>
      </c>
    </row>
    <row r="104" ht="56" customHeight="1">
      <c r="A104" s="6" t="inlineStr">
        <is>
          <t>P021</t>
        </is>
      </c>
      <c r="B104" s="10" t="inlineStr">
        <is>
          <t>遮挡回来那一下差别最大。一个是直接在原位出现，另一个先出现在偏一点的地方再滑回去，那个滑回去很出戏。</t>
        </is>
      </c>
      <c r="C104" s="10" t="inlineStr">
        <is>
          <t>它出现在错的地方然后自己滑回来。我看到它自己纠正，就知道它刚才是错的。</t>
        </is>
      </c>
      <c r="D104" s="6" t="n">
        <v>0</v>
      </c>
      <c r="E104" s="6" t="n">
        <v>0</v>
      </c>
      <c r="F104" s="6" t="n">
        <v>0</v>
      </c>
      <c r="G104" s="6" t="n">
        <v>0</v>
      </c>
      <c r="H104" s="6" t="n">
        <v>0</v>
      </c>
      <c r="I104" s="6" t="n">
        <v>0</v>
      </c>
      <c r="J104" s="6" t="n">
        <v>0</v>
      </c>
      <c r="K104" s="6" t="n">
        <v>0</v>
      </c>
      <c r="L104" s="6" t="n">
        <v>1</v>
      </c>
      <c r="M104" s="6" t="n">
        <v>0</v>
      </c>
      <c r="N104" s="6" t="n">
        <v>0</v>
      </c>
      <c r="O104" s="6" t="n">
        <v>0</v>
      </c>
      <c r="P104" s="6" t="n">
        <v>0</v>
      </c>
    </row>
    <row r="105" ht="56" customHeight="1">
      <c r="A105" s="6" t="inlineStr">
        <is>
          <t>P022</t>
        </is>
      </c>
      <c r="B105" s="10" t="inlineStr">
        <is>
          <t>订书机上两个都很好，鼠标上就分得出来了——鼠标上有一个总在动。</t>
        </is>
      </c>
      <c r="C105" s="10" t="inlineStr">
        <is>
          <t>它动的时候我会分心去看它有没有对准，就没法专心做手上的事。</t>
        </is>
      </c>
      <c r="D105" s="6" t="n">
        <v>1</v>
      </c>
      <c r="E105" s="6" t="n">
        <v>0</v>
      </c>
      <c r="F105" s="6" t="n">
        <v>0</v>
      </c>
      <c r="G105" s="6" t="n">
        <v>0</v>
      </c>
      <c r="H105" s="6" t="n">
        <v>0</v>
      </c>
      <c r="I105" s="6" t="n">
        <v>0</v>
      </c>
      <c r="J105" s="6" t="n">
        <v>0</v>
      </c>
      <c r="K105" s="6" t="n">
        <v>0</v>
      </c>
      <c r="L105" s="6" t="n">
        <v>0</v>
      </c>
      <c r="M105" s="6" t="n">
        <v>0</v>
      </c>
      <c r="N105" s="6" t="n">
        <v>0</v>
      </c>
      <c r="O105" s="6" t="n">
        <v>0</v>
      </c>
      <c r="P105" s="6" t="n">
        <v>1</v>
      </c>
    </row>
    <row r="106" ht="56" customHeight="1">
      <c r="A106" s="6" t="inlineStr">
        <is>
          <t>P023</t>
        </is>
      </c>
      <c r="B106" s="10" t="inlineStr">
        <is>
          <t>区别很清楚，但方向相反：一个静止时几乎不动、起步慢；另一个静止时游、起步快。我说不出哪个整体更好。</t>
        </is>
      </c>
      <c r="C106" s="10" t="inlineStr">
        <is>
          <t>两种都会让我不信，只是原因不同：一个是它在动，一个是它跟不上。</t>
        </is>
      </c>
      <c r="D106" s="6" t="n">
        <v>1</v>
      </c>
      <c r="E106" s="6" t="n">
        <v>0</v>
      </c>
      <c r="F106" s="6" t="n">
        <v>0</v>
      </c>
      <c r="G106" s="6" t="n">
        <v>1</v>
      </c>
      <c r="H106" s="6" t="n">
        <v>0</v>
      </c>
      <c r="I106" s="6" t="n">
        <v>0</v>
      </c>
      <c r="J106" s="6" t="n">
        <v>0</v>
      </c>
      <c r="K106" s="6" t="n">
        <v>0</v>
      </c>
      <c r="L106" s="6" t="n">
        <v>0</v>
      </c>
      <c r="M106" s="6" t="n">
        <v>0</v>
      </c>
      <c r="N106" s="6" t="n">
        <v>0</v>
      </c>
      <c r="O106" s="6" t="n">
        <v>0</v>
      </c>
      <c r="P106" s="6" t="n">
        <v>1</v>
      </c>
    </row>
    <row r="107" ht="56" customHeight="1">
      <c r="A107" s="6" t="inlineStr">
        <is>
          <t>P024</t>
        </is>
      </c>
      <c r="B107" s="10" t="inlineStr">
        <is>
          <t>稳定性上有一个明显更好。如果要做产品我会选更稳的那个，起步慢半拍用户能适应，虚拟内容乱飘用户会直接不用。</t>
        </is>
      </c>
      <c r="C107" s="10" t="inlineStr">
        <is>
          <t>乱飘。用户不会去分析原因，只会觉得这个功能不准。</t>
        </is>
      </c>
      <c r="D107" s="6" t="n">
        <v>1</v>
      </c>
      <c r="E107" s="6" t="n">
        <v>0</v>
      </c>
      <c r="F107" s="6" t="n">
        <v>0</v>
      </c>
      <c r="G107" s="6" t="n">
        <v>0</v>
      </c>
      <c r="H107" s="6" t="n">
        <v>0</v>
      </c>
      <c r="I107" s="6" t="n">
        <v>0</v>
      </c>
      <c r="J107" s="6" t="n">
        <v>0</v>
      </c>
      <c r="K107" s="6" t="n">
        <v>0</v>
      </c>
      <c r="L107" s="6" t="n">
        <v>0</v>
      </c>
      <c r="M107" s="6" t="n">
        <v>0</v>
      </c>
      <c r="N107" s="6" t="n">
        <v>0</v>
      </c>
      <c r="O107" s="6" t="n">
        <v>0</v>
      </c>
      <c r="P107" s="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8" customWidth="1" min="4" max="4"/>
    <col width="14" customWidth="1" min="5" max="5"/>
    <col width="18" customWidth="1" min="6" max="6"/>
    <col width="18" customWidth="1" min="7" max="7"/>
    <col width="18" customWidth="1" min="8" max="8"/>
    <col width="30" customWidth="1" min="9" max="9"/>
    <col width="44" customWidth="1" min="10" max="10"/>
  </cols>
  <sheetData>
    <row r="1">
      <c r="A1" s="1" t="inlineStr">
        <is>
          <t>400 次换种子重抽的可复现性分布（人物设定与潜在效应固定，只重抽人内随机成分）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2" customHeight="1">
      <c r="A2" s="25" t="inlineStr">
        <is>
          <t>读法：主种子那一次只是这条分布上的一个点。规划正式采集时应看「Holm 后显著占比」而不是主种子的单次 p 值——占比即该结局在本效应量设定与 N=24 下的经验检出率。</t>
        </is>
      </c>
    </row>
    <row r="4">
      <c r="A4" s="7" t="inlineStr">
        <is>
          <t>A. 主证实家族（7 项）</t>
        </is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</row>
    <row r="5">
      <c r="A5" s="9" t="inlineStr">
        <is>
          <t>条目</t>
        </is>
      </c>
      <c r="B5" s="9" t="inlineStr">
        <is>
          <t>简称</t>
        </is>
      </c>
      <c r="C5" s="9" t="inlineStr">
        <is>
          <t>dz 中位</t>
        </is>
      </c>
      <c r="D5" s="9" t="inlineStr">
        <is>
          <t>dz 5–95 百分位</t>
        </is>
      </c>
      <c r="E5" s="9" t="inlineStr">
        <is>
          <t>p 中位</t>
        </is>
      </c>
      <c r="F5" s="9" t="inlineStr">
        <is>
          <t>p&lt;.05 占比(未校正)</t>
        </is>
      </c>
      <c r="G5" s="9" t="inlineStr">
        <is>
          <t>Holm 后显著占比</t>
        </is>
      </c>
      <c r="H5" s="9" t="inlineStr">
        <is>
          <t>配对差均值中位</t>
        </is>
      </c>
      <c r="I5" s="9" t="inlineStr">
        <is>
          <t>潜在 delta 设定</t>
        </is>
      </c>
      <c r="J5" s="9" t="inlineStr">
        <is>
          <t>备注</t>
        </is>
      </c>
    </row>
    <row r="6" ht="34" customHeight="1">
      <c r="A6" s="10" t="inlineStr">
        <is>
          <t>Q1</t>
        </is>
      </c>
      <c r="B6" s="10" t="inlineStr">
        <is>
          <t>静止稳定</t>
        </is>
      </c>
      <c r="C6" s="10" t="n">
        <v>1.207</v>
      </c>
      <c r="D6" s="10" t="inlineStr">
        <is>
          <t>[+0.90, +1.57]</t>
        </is>
      </c>
      <c r="E6" s="10" t="n">
        <v>0.0005</v>
      </c>
      <c r="F6" s="10" t="inlineStr">
        <is>
          <t>100.0%</t>
        </is>
      </c>
      <c r="G6" s="10" t="inlineStr">
        <is>
          <t>100.0%</t>
        </is>
      </c>
      <c r="H6" s="10" t="n">
        <v>1.361</v>
      </c>
      <c r="I6" s="10" t="n">
        <v>1.06</v>
      </c>
      <c r="J6" s="10" t="inlineStr">
        <is>
          <t>头动泄漏 P95 10.65-&gt;0.82 mm（13.0x）；静止帧间增量 0.85-&gt;0.06 mm（13.2x）——最强通道</t>
        </is>
      </c>
    </row>
    <row r="7" ht="34" customHeight="1">
      <c r="A7" s="10" t="inlineStr">
        <is>
          <t>Q8</t>
        </is>
      </c>
      <c r="B7" s="10" t="inlineStr">
        <is>
          <t>位置正确</t>
        </is>
      </c>
      <c r="C7" s="10" t="n">
        <v>1.097</v>
      </c>
      <c r="D7" s="10" t="inlineStr">
        <is>
          <t>[+0.80, +1.48]</t>
        </is>
      </c>
      <c r="E7" s="10" t="n">
        <v>0.0007</v>
      </c>
      <c r="F7" s="10" t="inlineStr">
        <is>
          <t>100.0%</t>
        </is>
      </c>
      <c r="G7" s="10" t="inlineStr">
        <is>
          <t>100.0%</t>
        </is>
      </c>
      <c r="H7" s="10" t="n">
        <v>1.125</v>
      </c>
      <c r="I7" s="10" t="n">
        <v>0.9</v>
      </c>
      <c r="J7" s="10" t="inlineStr">
        <is>
          <t>绝对配准 P95 14.00-&gt;6.60 mm（2.1x）</t>
        </is>
      </c>
    </row>
    <row r="8" ht="34" customHeight="1">
      <c r="A8" s="10" t="inlineStr">
        <is>
          <t>Q2</t>
        </is>
      </c>
      <c r="B8" s="10" t="inlineStr">
        <is>
          <t>运动附着</t>
        </is>
      </c>
      <c r="C8" s="10" t="n">
        <v>0.238</v>
      </c>
      <c r="D8" s="10" t="inlineStr">
        <is>
          <t>[-0.13, +0.55]</t>
        </is>
      </c>
      <c r="E8" s="10" t="n">
        <v>0.2845</v>
      </c>
      <c r="F8" s="10" t="inlineStr">
        <is>
          <t>14.8%</t>
        </is>
      </c>
      <c r="G8" s="10" t="inlineStr">
        <is>
          <t>13.8%</t>
        </is>
      </c>
      <c r="H8" s="10" t="n">
        <v>0.181</v>
      </c>
      <c r="I8" s="10" t="n">
        <v>0.14</v>
      </c>
      <c r="J8" s="10" t="inlineStr">
        <is>
          <t>平移对齐 RMSE 15.69-&gt;9.12 mm 对 Start-transition 334-&gt;510 ms 反向，设计声明的零效应</t>
        </is>
      </c>
    </row>
    <row r="9" ht="34" customHeight="1">
      <c r="A9" s="10" t="inlineStr">
        <is>
          <t>Q9</t>
        </is>
      </c>
      <c r="B9" s="10" t="inlineStr">
        <is>
          <t>姿态一致</t>
        </is>
      </c>
      <c r="C9" s="10" t="n">
        <v>0.626</v>
      </c>
      <c r="D9" s="10" t="inlineStr">
        <is>
          <t>[+0.29, +1.02]</t>
        </is>
      </c>
      <c r="E9" s="10" t="n">
        <v>0.0176</v>
      </c>
      <c r="F9" s="10" t="inlineStr">
        <is>
          <t>79.2%</t>
        </is>
      </c>
      <c r="G9" s="10" t="inlineStr">
        <is>
          <t>69.5%</t>
        </is>
      </c>
      <c r="H9" s="10" t="n">
        <v>0.5</v>
      </c>
      <c r="I9" s="10" t="n">
        <v>0.42</v>
      </c>
      <c r="J9" s="10" t="inlineStr">
        <is>
          <t>静止旋转泄漏 3.29-&gt;0.33 度（10.1x）但旋转对齐 RMSE 5.55-&gt;4.81 度（仅 1.15x），两通道悬殊</t>
        </is>
      </c>
    </row>
    <row r="10" ht="34" customHeight="1">
      <c r="A10" s="10" t="inlineStr">
        <is>
          <t>Q3</t>
        </is>
      </c>
      <c r="B10" s="10" t="inlineStr">
        <is>
          <t>恢复一致</t>
        </is>
      </c>
      <c r="C10" s="10" t="n">
        <v>1.203</v>
      </c>
      <c r="D10" s="10" t="inlineStr">
        <is>
          <t>[+0.92, +1.60]</t>
        </is>
      </c>
      <c r="E10" s="10" t="n">
        <v>0.0005</v>
      </c>
      <c r="F10" s="10" t="inlineStr">
        <is>
          <t>100.0%</t>
        </is>
      </c>
      <c r="G10" s="10" t="inlineStr">
        <is>
          <t>100.0%</t>
        </is>
      </c>
      <c r="H10" s="10" t="n">
        <v>1.292</v>
      </c>
      <c r="I10" s="10" t="n">
        <v>0.98</v>
      </c>
      <c r="J10" s="10" t="inlineStr">
        <is>
          <t>遮挡平移 P95 10.41-&gt;4.85 mm（2.1x）；灾难性失效 &gt;40 mm 1-&gt;0 次</t>
        </is>
      </c>
    </row>
    <row r="11" ht="34" customHeight="1">
      <c r="A11" s="10" t="inlineStr">
        <is>
          <t>Q6</t>
        </is>
      </c>
      <c r="B11" s="10" t="inlineStr">
        <is>
          <t>依赖意愿</t>
        </is>
      </c>
      <c r="C11" s="10" t="n">
        <v>0.979</v>
      </c>
      <c r="D11" s="10" t="inlineStr">
        <is>
          <t>[+0.68, +1.33]</t>
        </is>
      </c>
      <c r="E11" s="10" t="n">
        <v>0.0012</v>
      </c>
      <c r="F11" s="10" t="inlineStr">
        <is>
          <t>99.8%</t>
        </is>
      </c>
      <c r="G11" s="10" t="inlineStr">
        <is>
          <t>99.2%</t>
        </is>
      </c>
      <c r="H11" s="10" t="n">
        <v>0.944</v>
      </c>
      <c r="I11" s="10" t="n">
        <v>0.74</v>
      </c>
      <c r="J11" s="10" t="inlineStr">
        <is>
          <t>应用侧结局；灾难性失效 1-&gt;0 是依赖意愿的直接依据</t>
        </is>
      </c>
    </row>
    <row r="12" ht="34" customHeight="1">
      <c r="A12" s="10" t="inlineStr">
        <is>
          <t>Q7</t>
        </is>
      </c>
      <c r="B12" s="10" t="inlineStr">
        <is>
          <t>稳定-响应平衡</t>
        </is>
      </c>
      <c r="C12" s="10" t="n">
        <v>0.994</v>
      </c>
      <c r="D12" s="10" t="inlineStr">
        <is>
          <t>[+0.67, +1.35]</t>
        </is>
      </c>
      <c r="E12" s="10" t="n">
        <v>0.0011</v>
      </c>
      <c r="F12" s="10" t="inlineStr">
        <is>
          <t>99.8%</t>
        </is>
      </c>
      <c r="G12" s="10" t="inlineStr">
        <is>
          <t>99.2%</t>
        </is>
      </c>
      <c r="H12" s="10" t="n">
        <v>0.958</v>
      </c>
      <c r="I12" s="10" t="n">
        <v>0.7</v>
      </c>
      <c r="J12" s="10" t="inlineStr">
        <is>
          <t>稳定性收益与时延代价的整体权衡</t>
        </is>
      </c>
    </row>
    <row r="14">
      <c r="A14" s="7" t="inlineStr">
        <is>
          <t>B. 已发表量表家族（5 检验）</t>
        </is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9" t="inlineStr">
        <is>
          <t>量表</t>
        </is>
      </c>
      <c r="B15" s="9" t="inlineStr">
        <is>
          <t>dz 中位</t>
        </is>
      </c>
      <c r="C15" s="9" t="inlineStr">
        <is>
          <t>dz 5–95 百分位</t>
        </is>
      </c>
      <c r="D15" s="9" t="inlineStr">
        <is>
          <t>p 中位</t>
        </is>
      </c>
      <c r="E15" s="9" t="inlineStr">
        <is>
          <t>p&lt;.05 占比(未校正)</t>
        </is>
      </c>
      <c r="F15" s="9" t="inlineStr">
        <is>
          <t>Holm 后显著占比</t>
        </is>
      </c>
      <c r="G15" s="9" t="inlineStr">
        <is>
          <t>配对差均值中位</t>
        </is>
      </c>
      <c r="H15" s="9" t="inlineStr">
        <is>
          <t>α 中位(OE/EA)</t>
        </is>
      </c>
      <c r="I15" s="9" t="inlineStr">
        <is>
          <t>备注</t>
        </is>
      </c>
      <c r="J15" s="9" t="inlineStr"/>
    </row>
    <row r="16" ht="34" customHeight="1">
      <c r="A16" s="10" t="inlineStr">
        <is>
          <t>AQ-EQ（3 项均值）</t>
        </is>
      </c>
      <c r="B16" s="10" t="n">
        <v>0.502</v>
      </c>
      <c r="C16" s="10" t="inlineStr">
        <is>
          <t>[+0.18, +0.90]</t>
        </is>
      </c>
      <c r="D16" s="10" t="n">
        <v>0.0461</v>
      </c>
      <c r="E16" s="10" t="inlineStr">
        <is>
          <t>64.0%</t>
        </is>
      </c>
      <c r="F16" s="10" t="inlineStr">
        <is>
          <t>51.2%</t>
        </is>
      </c>
      <c r="G16" s="10" t="n">
        <v>0.333</v>
      </c>
      <c r="H16" s="10" t="inlineStr">
        <is>
          <t>0.80 / 0.80</t>
        </is>
      </c>
      <c r="I16" s="10" t="inlineStr">
        <is>
          <t>三项均值，含预期天花板的 AQ-EQ3（尺度协调，delta=+0.05）；天花板项拉低子量表整体效应，是保留完整子量表的已知代价</t>
        </is>
      </c>
    </row>
    <row r="17" ht="34" customHeight="1">
      <c r="A17" s="10" t="inlineStr">
        <is>
          <t>AQ-IQ（3 项均值）</t>
        </is>
      </c>
      <c r="B17" s="10" t="n">
        <v>0.371</v>
      </c>
      <c r="C17" s="10" t="inlineStr">
        <is>
          <t>[+0.04, +0.78]</t>
        </is>
      </c>
      <c r="D17" s="10" t="n">
        <v>0.1114</v>
      </c>
      <c r="E17" s="10" t="inlineStr">
        <is>
          <t>39.2%</t>
        </is>
      </c>
      <c r="F17" s="10" t="inlineStr">
        <is>
          <t>34.2%</t>
        </is>
      </c>
      <c r="G17" s="10" t="n">
        <v>0.241</v>
      </c>
      <c r="H17" s="10" t="inlineStr">
        <is>
          <t>0.82 / 0.78</t>
        </is>
      </c>
      <c r="I17" s="10" t="inlineStr">
        <is>
          <t>三项均值，内部方向相反：AQ-IQ2 响应及时 delta=−0.16（Start-transition 反向）与 AQ-IQ3 运动平滑 delta=+0.58 相消，故子量表分预期弱于其最强单项</t>
        </is>
      </c>
    </row>
    <row r="18" ht="34" customHeight="1">
      <c r="A18" s="10" t="inlineStr">
        <is>
          <t>TiA-R/C（6 项均值）</t>
        </is>
      </c>
      <c r="B18" s="10" t="n">
        <v>1.002</v>
      </c>
      <c r="C18" s="10" t="inlineStr">
        <is>
          <t>[+0.69, +1.35]</t>
        </is>
      </c>
      <c r="D18" s="10" t="n">
        <v>0.001</v>
      </c>
      <c r="E18" s="10" t="inlineStr">
        <is>
          <t>99.8%</t>
        </is>
      </c>
      <c r="F18" s="10" t="inlineStr">
        <is>
          <t>98.0%</t>
        </is>
      </c>
      <c r="G18" s="10" t="n">
        <v>0.8120000000000001</v>
      </c>
      <c r="H18" s="10" t="inlineStr">
        <is>
          <t>0.93 / 0.92</t>
        </is>
      </c>
      <c r="I18" s="10" t="inlineStr">
        <is>
          <t>六项均值（含两个反向项）；对应灾难性失效 1→0 与静止/恢复通道的累积印象</t>
        </is>
      </c>
    </row>
    <row r="19" ht="34" customHeight="1">
      <c r="A19" s="10" t="inlineStr">
        <is>
          <t>TiA-U/P（4 项均值）</t>
        </is>
      </c>
      <c r="B19" s="10" t="n">
        <v>0.9</v>
      </c>
      <c r="C19" s="10" t="inlineStr">
        <is>
          <t>[+0.54, +1.28]</t>
        </is>
      </c>
      <c r="D19" s="10" t="n">
        <v>0.002</v>
      </c>
      <c r="E19" s="10" t="inlineStr">
        <is>
          <t>98.5%</t>
        </is>
      </c>
      <c r="F19" s="10" t="inlineStr">
        <is>
          <t>94.8%</t>
        </is>
      </c>
      <c r="G19" s="10" t="n">
        <v>0.745</v>
      </c>
      <c r="H19" s="10" t="inlineStr">
        <is>
          <t>0.89 / 0.89</t>
        </is>
      </c>
      <c r="I19" s="10" t="inlineStr">
        <is>
          <t>四项均值（含两个反向项）；可预测性是 One-Euro 的主要弱项，但两方法界面完全相同使 UP1/UP3 效应受限</t>
        </is>
      </c>
    </row>
    <row r="20" ht="34" customHeight="1">
      <c r="A20" s="10" t="inlineStr">
        <is>
          <t>S-TIAS（3 项均值）</t>
        </is>
      </c>
      <c r="B20" s="10" t="n">
        <v>0.948</v>
      </c>
      <c r="C20" s="10" t="inlineStr">
        <is>
          <t>[+0.61, +1.34]</t>
        </is>
      </c>
      <c r="D20" s="10" t="n">
        <v>0.0015</v>
      </c>
      <c r="E20" s="10" t="inlineStr">
        <is>
          <t>99.2%</t>
        </is>
      </c>
      <c r="F20" s="10" t="inlineStr">
        <is>
          <t>96.8%</t>
        </is>
      </c>
      <c r="G20" s="10" t="n">
        <v>1.167</v>
      </c>
      <c r="H20" s="10" t="inlineStr">
        <is>
          <t>0.88 / 0.88</t>
        </is>
      </c>
      <c r="I20" s="10" t="inlineStr">
        <is>
          <t>三项均值，七点程度尺；负担最低的总体信任分，量程更大故 dz 通常最高</t>
        </is>
      </c>
    </row>
    <row r="22">
      <c r="A22" s="7" t="inlineStr">
        <is>
          <t>C. 顺序诊断的重抽分布（检验主种子那次的先行方法差异是否为抽样波动）</t>
        </is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9" t="inlineStr">
        <is>
          <t>诊断项</t>
        </is>
      </c>
      <c r="B23" s="9" t="inlineStr">
        <is>
          <t>主种子 p</t>
        </is>
      </c>
      <c r="C23" s="9" t="inlineStr">
        <is>
          <t>重抽 p 中位</t>
        </is>
      </c>
      <c r="D23" s="9" t="inlineStr">
        <is>
          <t>重抽 p&lt;.05 占比</t>
        </is>
      </c>
      <c r="E23" s="9" t="inlineStr">
        <is>
          <t>判定</t>
        </is>
      </c>
      <c r="F23" s="9" t="inlineStr">
        <is>
          <t>说明</t>
        </is>
      </c>
      <c r="G23" s="9" t="inlineStr"/>
      <c r="H23" s="9" t="inlineStr"/>
      <c r="I23" s="9" t="inlineStr"/>
      <c r="J23" s="9" t="inlineStr"/>
    </row>
    <row r="24" ht="34" customHeight="1">
      <c r="A24" s="10" t="inlineStr">
        <is>
          <t>先行方法</t>
        </is>
      </c>
      <c r="B24" s="10" t="n">
        <v>0.0885</v>
      </c>
      <c r="C24" s="10" t="n">
        <v>0.554</v>
      </c>
      <c r="D24" s="10" t="inlineStr">
        <is>
          <t>2.2%</t>
        </is>
      </c>
      <c r="E24" s="10" t="inlineStr">
        <is>
          <t>抽样波动</t>
        </is>
      </c>
      <c r="F24" s="10" t="inlineStr">
        <is>
          <t>S1/S2 使先行方法与区块位置结构性共线：先行 EgoAnchor 时它占据更早的区块（均值 3.33 对 3.67），疲劳更小。该不对称是冻结设计的固有性质，在两个先行组间对称抵消，不构成方法效应</t>
        </is>
      </c>
    </row>
    <row r="25" ht="34" customHeight="1">
      <c r="A25" s="10" t="inlineStr">
        <is>
          <t>标签映射</t>
        </is>
      </c>
      <c r="B25" s="10" t="n">
        <v>0.8852</v>
      </c>
      <c r="C25" s="10" t="n">
        <v>0.603</v>
      </c>
      <c r="D25" s="10" t="inlineStr">
        <is>
          <t>1.5%</t>
        </is>
      </c>
      <c r="E25" s="10" t="inlineStr">
        <is>
          <t>抽样波动</t>
        </is>
      </c>
      <c r="F25" s="10" t="inlineStr">
        <is>
          <t>匿名标签 A/B 到方法的映射在参与者间平衡；显著即提示标签泄漏</t>
        </is>
      </c>
    </row>
    <row r="26" ht="34" customHeight="1">
      <c r="A26" s="10" t="inlineStr">
        <is>
          <t>标签序列</t>
        </is>
      </c>
      <c r="B26" s="10" t="n">
        <v>0.7075</v>
      </c>
      <c r="C26" s="10" t="n">
        <v>0.525</v>
      </c>
      <c r="D26" s="10" t="inlineStr">
        <is>
          <t>0.8%</t>
        </is>
      </c>
      <c r="E26" s="10" t="inlineStr">
        <is>
          <t>抽样波动</t>
        </is>
      </c>
      <c r="F26" s="10" t="inlineStr">
        <is>
          <t>S1 与 S2 的互补方法序列</t>
        </is>
      </c>
    </row>
    <row r="27" ht="34" customHeight="1">
      <c r="A27" s="10" t="inlineStr">
        <is>
          <t>首个物体</t>
        </is>
      </c>
      <c r="B27" s="10" t="n">
        <v>0.9975000000000001</v>
      </c>
      <c r="C27" s="10" t="n">
        <v>0.639</v>
      </c>
      <c r="D27" s="10" t="inlineStr">
        <is>
          <t>1.2%</t>
        </is>
      </c>
      <c r="E27" s="10" t="inlineStr">
        <is>
          <t>抽样波动</t>
        </is>
      </c>
      <c r="F27" s="10" t="inlineStr">
        <is>
          <t>第一个物体的方法差（检查物体主效应是否污染方法对比）</t>
        </is>
      </c>
    </row>
    <row r="29">
      <c r="A29" s="7" t="inlineStr">
        <is>
          <t>D. N=18 敏感性（下限样本；按先行方法与标签映射优先保平衡取前 18 人）</t>
        </is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9" t="inlineStr">
        <is>
          <t>结局</t>
        </is>
      </c>
      <c r="B30" s="9" t="inlineStr">
        <is>
          <t>家族</t>
        </is>
      </c>
      <c r="C30" s="9" t="inlineStr">
        <is>
          <t>dz</t>
        </is>
      </c>
      <c r="D30" s="9" t="inlineStr">
        <is>
          <t>p_raw</t>
        </is>
      </c>
      <c r="E30" s="9" t="inlineStr">
        <is>
          <t>p_Holm</t>
        </is>
      </c>
      <c r="F30" s="9" t="inlineStr">
        <is>
          <t>N=24 时 p_Holm</t>
        </is>
      </c>
      <c r="G30" s="9" t="inlineStr">
        <is>
          <t>N=18 是否保住</t>
        </is>
      </c>
      <c r="H30" s="9" t="inlineStr">
        <is>
          <t>说明</t>
        </is>
      </c>
      <c r="I30" s="9" t="inlineStr"/>
      <c r="J30" s="9" t="inlineStr"/>
    </row>
    <row r="31">
      <c r="A31" s="10" t="inlineStr">
        <is>
          <t>静止稳定</t>
        </is>
      </c>
      <c r="B31" s="10" t="inlineStr">
        <is>
          <t>主证实</t>
        </is>
      </c>
      <c r="C31" s="10" t="n">
        <v>0.887</v>
      </c>
      <c r="D31" s="10" t="n">
        <v>0.0015</v>
      </c>
      <c r="E31" s="10" t="n">
        <v>0.0104</v>
      </c>
      <c r="F31" s="10" t="n">
        <v>0.0014</v>
      </c>
      <c r="G31" s="10" t="inlineStr">
        <is>
          <t>保住</t>
        </is>
      </c>
      <c r="H31" s="10" t="inlineStr">
        <is>
          <t>N=18 时最严 Holm α 为 .05/7；下限样本主要损失中等效应量结局</t>
        </is>
      </c>
    </row>
    <row r="32">
      <c r="A32" s="10" t="inlineStr">
        <is>
          <t>位置正确</t>
        </is>
      </c>
      <c r="B32" s="10" t="inlineStr">
        <is>
          <t>主证实</t>
        </is>
      </c>
      <c r="C32" s="10" t="n">
        <v>0.719</v>
      </c>
      <c r="D32" s="10" t="n">
        <v>0.0073</v>
      </c>
      <c r="E32" s="10" t="n">
        <v>0.0218</v>
      </c>
      <c r="F32" s="10" t="n">
        <v>0.0034</v>
      </c>
      <c r="G32" s="10" t="inlineStr">
        <is>
          <t>保住</t>
        </is>
      </c>
      <c r="H32" s="10" t="inlineStr">
        <is>
          <t>N=18 时最严 Holm α 为 .05/7；下限样本主要损失中等效应量结局</t>
        </is>
      </c>
    </row>
    <row r="33">
      <c r="A33" s="10" t="inlineStr">
        <is>
          <t>运动附着</t>
        </is>
      </c>
      <c r="B33" s="10" t="inlineStr">
        <is>
          <t>主证实</t>
        </is>
      </c>
      <c r="C33" s="10" t="n">
        <v>0</v>
      </c>
      <c r="D33" s="10" t="n">
        <v>0.7756999999999999</v>
      </c>
      <c r="E33" s="10" t="n">
        <v>0.7756999999999999</v>
      </c>
      <c r="F33" s="10" t="n">
        <v>0.7501</v>
      </c>
      <c r="G33" s="10" t="inlineStr">
        <is>
          <t>两者均不显著</t>
        </is>
      </c>
      <c r="H33" s="10" t="inlineStr">
        <is>
          <t>N=18 时最严 Holm α 为 .05/7；下限样本主要损失中等效应量结局</t>
        </is>
      </c>
    </row>
    <row r="34">
      <c r="A34" s="10" t="inlineStr">
        <is>
          <t>姿态一致</t>
        </is>
      </c>
      <c r="B34" s="10" t="inlineStr">
        <is>
          <t>主证实</t>
        </is>
      </c>
      <c r="C34" s="10" t="n">
        <v>0.424</v>
      </c>
      <c r="D34" s="10" t="n">
        <v>0.1024</v>
      </c>
      <c r="E34" s="10" t="n">
        <v>0.2047</v>
      </c>
      <c r="F34" s="10" t="n">
        <v>0.0864</v>
      </c>
      <c r="G34" s="10" t="inlineStr">
        <is>
          <t>两者均不显著</t>
        </is>
      </c>
      <c r="H34" s="10" t="inlineStr">
        <is>
          <t>N=18 时最严 Holm α 为 .05/7；下限样本主要损失中等效应量结局</t>
        </is>
      </c>
    </row>
    <row r="35">
      <c r="A35" s="10" t="inlineStr">
        <is>
          <t>恢复一致</t>
        </is>
      </c>
      <c r="B35" s="10" t="inlineStr">
        <is>
          <t>主证实</t>
        </is>
      </c>
      <c r="C35" s="10" t="n">
        <v>0.827</v>
      </c>
      <c r="D35" s="10" t="n">
        <v>0.0037</v>
      </c>
      <c r="E35" s="10" t="n">
        <v>0.0185</v>
      </c>
      <c r="F35" s="10" t="n">
        <v>0.0025</v>
      </c>
      <c r="G35" s="10" t="inlineStr">
        <is>
          <t>保住</t>
        </is>
      </c>
      <c r="H35" s="10" t="inlineStr">
        <is>
          <t>N=18 时最严 Holm α 为 .05/7；下限样本主要损失中等效应量结局</t>
        </is>
      </c>
    </row>
    <row r="36">
      <c r="A36" s="10" t="inlineStr">
        <is>
          <t>依赖意愿</t>
        </is>
      </c>
      <c r="B36" s="10" t="inlineStr">
        <is>
          <t>主证实</t>
        </is>
      </c>
      <c r="C36" s="10" t="n">
        <v>0.872</v>
      </c>
      <c r="D36" s="10" t="n">
        <v>0.0019</v>
      </c>
      <c r="E36" s="10" t="n">
        <v>0.0113</v>
      </c>
      <c r="F36" s="10" t="n">
        <v>0.0021</v>
      </c>
      <c r="G36" s="10" t="inlineStr">
        <is>
          <t>保住</t>
        </is>
      </c>
      <c r="H36" s="10" t="inlineStr">
        <is>
          <t>N=18 时最严 Holm α 为 .05/7；下限样本主要损失中等效应量结局</t>
        </is>
      </c>
    </row>
    <row r="37">
      <c r="A37" s="10" t="inlineStr">
        <is>
          <t>稳定-响应平衡</t>
        </is>
      </c>
      <c r="B37" s="10" t="inlineStr">
        <is>
          <t>主证实</t>
        </is>
      </c>
      <c r="C37" s="10" t="n">
        <v>0.827</v>
      </c>
      <c r="D37" s="10" t="n">
        <v>0.0041</v>
      </c>
      <c r="E37" s="10" t="n">
        <v>0.0185</v>
      </c>
      <c r="F37" s="10" t="n">
        <v>0.0034</v>
      </c>
      <c r="G37" s="10" t="inlineStr">
        <is>
          <t>保住</t>
        </is>
      </c>
      <c r="H37" s="10" t="inlineStr">
        <is>
          <t>N=18 时最严 Holm α 为 .05/7；下限样本主要损失中等效应量结局</t>
        </is>
      </c>
    </row>
    <row r="38">
      <c r="A38" s="10" t="inlineStr">
        <is>
          <t>AQ-EQ</t>
        </is>
      </c>
      <c r="B38" s="10" t="inlineStr">
        <is>
          <t>已发表量表</t>
        </is>
      </c>
      <c r="C38" s="10" t="n">
        <v>0.372</v>
      </c>
      <c r="D38" s="10" t="n">
        <v>0.2142</v>
      </c>
      <c r="E38" s="10" t="n">
        <v>0.4283</v>
      </c>
      <c r="F38" s="10" t="n">
        <v>0.7665999999999999</v>
      </c>
      <c r="G38" s="10" t="inlineStr">
        <is>
          <t>两者均不显著</t>
        </is>
      </c>
      <c r="H38" s="10" t="inlineStr">
        <is>
          <t>N=18 时最严 Holm α 为 .05/7；下限样本主要损失中等效应量结局</t>
        </is>
      </c>
    </row>
    <row r="39">
      <c r="A39" s="10" t="inlineStr">
        <is>
          <t>AQ-IQ</t>
        </is>
      </c>
      <c r="B39" s="10" t="inlineStr">
        <is>
          <t>已发表量表</t>
        </is>
      </c>
      <c r="C39" s="10" t="n">
        <v>0.179</v>
      </c>
      <c r="D39" s="10" t="n">
        <v>0.5014</v>
      </c>
      <c r="E39" s="10" t="n">
        <v>0.5014</v>
      </c>
      <c r="F39" s="10" t="n">
        <v>0.7701</v>
      </c>
      <c r="G39" s="10" t="inlineStr">
        <is>
          <t>两者均不显著</t>
        </is>
      </c>
      <c r="H39" s="10" t="inlineStr">
        <is>
          <t>N=18 时最严 Holm α 为 .05/7；下限样本主要损失中等效应量结局</t>
        </is>
      </c>
    </row>
    <row r="40">
      <c r="A40" s="10" t="inlineStr">
        <is>
          <t>TiA-R/C</t>
        </is>
      </c>
      <c r="B40" s="10" t="inlineStr">
        <is>
          <t>已发表量表</t>
        </is>
      </c>
      <c r="C40" s="10" t="n">
        <v>0.604</v>
      </c>
      <c r="D40" s="10" t="n">
        <v>0.0293</v>
      </c>
      <c r="E40" s="10" t="n">
        <v>0.1172</v>
      </c>
      <c r="F40" s="10" t="n">
        <v>0.0282</v>
      </c>
      <c r="G40" s="10" t="inlineStr">
        <is>
          <t>丢失</t>
        </is>
      </c>
      <c r="H40" s="10" t="inlineStr">
        <is>
          <t>N=18 时最严 Holm α 为 .05/7；下限样本主要损失中等效应量结局</t>
        </is>
      </c>
    </row>
    <row r="41">
      <c r="A41" s="10" t="inlineStr">
        <is>
          <t>TiA-U/P</t>
        </is>
      </c>
      <c r="B41" s="10" t="inlineStr">
        <is>
          <t>已发表量表</t>
        </is>
      </c>
      <c r="C41" s="10" t="n">
        <v>0.514</v>
      </c>
      <c r="D41" s="10" t="n">
        <v>0.0375</v>
      </c>
      <c r="E41" s="10" t="n">
        <v>0.1172</v>
      </c>
      <c r="F41" s="10" t="n">
        <v>0.0282</v>
      </c>
      <c r="G41" s="10" t="inlineStr">
        <is>
          <t>丢失</t>
        </is>
      </c>
      <c r="H41" s="10" t="inlineStr">
        <is>
          <t>N=18 时最严 Holm α 为 .05/7；下限样本主要损失中等效应量结局</t>
        </is>
      </c>
    </row>
    <row r="42">
      <c r="A42" s="10" t="inlineStr">
        <is>
          <t>S-TIAS</t>
        </is>
      </c>
      <c r="B42" s="10" t="inlineStr">
        <is>
          <t>已发表量表</t>
        </is>
      </c>
      <c r="C42" s="10" t="n">
        <v>0.724</v>
      </c>
      <c r="D42" s="10" t="n">
        <v>0.01</v>
      </c>
      <c r="E42" s="10" t="n">
        <v>0.0501</v>
      </c>
      <c r="F42" s="10" t="n">
        <v>0.009599999999999999</v>
      </c>
      <c r="G42" s="10" t="inlineStr">
        <is>
          <t>丢失</t>
        </is>
      </c>
      <c r="H42" s="10" t="inlineStr">
        <is>
          <t>N=18 时最严 Holm α 为 .05/7；下限样本主要损失中等效应量结局</t>
        </is>
      </c>
    </row>
    <row r="44" ht="32" customHeight="1">
      <c r="A44" s="25" t="inlineStr">
        <is>
          <t>N=18 下主家族 5/7、量表家族 0/5 显著；相对 N=24 丢失：TiA-R/C、TiA-U/P、S-TIAS。参与者子集按先行方法 9/9、标签映射 9/9 优先保平衡选取。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2026-07-27T07:42:56Z</dcterms:created>
  <dcterms:modified xsi:type="dcterms:W3CDTF">2026-07-27T07:42:57Z</dcterms:modified>
</cp:coreProperties>
</file>