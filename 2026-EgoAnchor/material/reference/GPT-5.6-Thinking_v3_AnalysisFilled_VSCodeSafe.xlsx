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2080" firstSheet="1" activeTab="5"/>
  </bookViews>
  <sheets>
    <sheet name="README" sheetId="1" r:id="rId1"/>
    <sheet name="Verification_Audit" sheetId="2" r:id="rId2"/>
    <sheet name="Questionnaire" sheetId="3" r:id="rId3"/>
    <sheet name="Participants" sheetId="4" r:id="rId4"/>
    <sheet name="Records" sheetId="5" r:id="rId5"/>
    <sheet name="Analysis" sheetId="6" r:id="rId6"/>
    <sheet name="Synthetic_Notice" sheetId="7" r:id="rId7"/>
    <sheet name="Formula_Scores" sheetId="8" r:id="rId8"/>
    <sheet name="Synthetic_Summary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<sst xmlns="http://schemas.openxmlformats.org/spreadsheetml/2006/main" count="4048" uniqueCount="863">
  <si>
    <t>【SYNTHETIC / 模拟数据，非真实被试证据】EgoAnchor 实验三采集与分析工作簿（v5.1 模板）</t>
  </si>
  <si>
    <t>唯一权威规格：2026-EgoAnchor/experiment_3_questionnaire_design_zh.md（v5.1）。本精简版保留 6 个工作表：问卷条目集中在 Questionnaire，实验记录集中在 Records（三段堆叠）。本次美化仅加入标准单元格样式、冻结窗格和基础输入校验，不在采集表中派生复合分。原始评分不得被反向分覆盖；TiA 反向计分（6−原始分）仅在分析代码中生成。</t>
  </si>
  <si>
    <t>使用流程</t>
  </si>
  <si>
    <t>时点</t>
  </si>
  <si>
    <t>填写位置</t>
  </si>
  <si>
    <t>内容</t>
  </si>
  <si>
    <t>关键规则</t>
  </si>
  <si>
    <t>0 背景</t>
  </si>
  <si>
    <t>到场、知情同意后</t>
  </si>
  <si>
    <t>Participants</t>
  </si>
  <si>
    <t>B1–B6 背景字段、纳入状态、起止时间</t>
  </si>
  <si>
    <t>方法映射列仅实验员可见</t>
  </si>
  <si>
    <t>1 区块</t>
  </si>
  <si>
    <t>每个方法×物体区块三项任务完成后</t>
  </si>
  <si>
    <t>Records A 段</t>
  </si>
  <si>
    <t>13 项统一七点同意度（Q10 默认停用）</t>
  </si>
  <si>
    <t>任务后统一评分，不逐任务打断</t>
  </si>
  <si>
    <t>2 方法级</t>
  </si>
  <si>
    <t>全部 6 区块完成后</t>
  </si>
  <si>
    <t>Records B 段</t>
  </si>
  <si>
    <t>按平衡顺序（S1 先 A、S2 先 B）分别评价两方法：TiA 10 + 提示页 + S-TIAS 3</t>
  </si>
  <si>
    <t>不得插入第 5/6 区块之间</t>
  </si>
  <si>
    <t>3 最终</t>
  </si>
  <si>
    <t>摘下头显后</t>
  </si>
  <si>
    <t>Records C 段</t>
  </si>
  <si>
    <t>2 强制选择 + 偏好强度 + 区分信心 + 2 开放题 + 安全检查</t>
  </si>
  <si>
    <t>回答完成前保持匿名</t>
  </si>
  <si>
    <t>4 审计</t>
  </si>
  <si>
    <t>每区块同步</t>
  </si>
  <si>
    <t>Records A 段（审计列）</t>
  </si>
  <si>
    <t>候选/VCD/接纳/生命周期/重获取/时长</t>
  </si>
  <si>
    <t>只作操纵检验，不是配准误差</t>
  </si>
  <si>
    <t>5 分析</t>
  </si>
  <si>
    <t>采集完成后</t>
  </si>
  <si>
    <t>Analysis</t>
  </si>
  <si>
    <t>已回填模拟统计结果、稳健性近似、逐物体描述、操纵检验、最终计数与开放题编码</t>
  </si>
  <si>
    <t>正式模型在 R/Python 中运行</t>
  </si>
  <si>
    <t>冻结分析家族</t>
  </si>
  <si>
    <t>主证实家族（7）</t>
  </si>
  <si>
    <t>Q1/Q8/Q2/Q9/Q3/Q6/Q7</t>
  </si>
  <si>
    <t>三物体取均值 → 配对 Wilcoxon → 家族内 Holm（MDE dz=0.801）</t>
  </si>
  <si>
    <t>已发表量表家族（5）</t>
  </si>
  <si>
    <t>AQ-EQ / AQ-IQ / TiA-R/C / TiA-U/P / S-TIAS</t>
  </si>
  <si>
    <t>同上；仅此家族报告当前样本 α/ω；TiA 反向项先换向</t>
  </si>
  <si>
    <t>次级</t>
  </si>
  <si>
    <t>Q10（若预实验启用）；CLMM（方法×物体+区块位置+对象内先后+随机截距）</t>
  </si>
  <si>
    <t>独立分析 / 稳健性</t>
  </si>
  <si>
    <t>描述性</t>
  </si>
  <si>
    <t>两项强制选择、偏好强度、区分信心、开放题主题、安全检查、运行时审计</t>
  </si>
  <si>
    <t>不作推断</t>
  </si>
  <si>
    <t>采集前仍未完成的前置（未完成不得正式采集）</t>
  </si>
  <si>
    <t>中文施测措辞已于 2026-07-26 冻结（v5.1 Final wording）：19 条量表条目逐条对照官方原文完成语义等价审计（GPT 正向翻译 → GPT 网页端对照复核 → 仓库助手独立审计，三次独立通过；微调 AQ-IQ2 去"能够"、AQ-EQ2 去"看起来被"）。预实验认知访谈改为确认性检查（最高优先 TIA_RC1/RC4、Q2 与 AQ-IQ3 判别），发现理解不良才按修订—重测—再冻结处理。</t>
  </si>
  <si>
    <t>预实验冻结项：遮挡时长（0.6–0.9 s 内取定，避开 0.45/1.0 s 边界）、Q10 是否启用、AQ 缩减规则是否触发（单区块 &gt;150 s 或连续同分 ≥5 项 → 停用 AQ_EQ3/AQ_IQ1）、方法级问卷模态。</t>
  </si>
  <si>
    <t>程序日志字段建议（Unity 端长格式事件日志；本表 Records 为实验员宽表）</t>
  </si>
  <si>
    <t>participant_id / level(block|method|final) / method_id(内部) / shown_label(A|B) / object_id / block_index / item_id / scale_type(agreement_7|agreement_5|intensity_7) / response_raw / timestamp_utc / task_completed / technical_issue / lifecycle_state(遮挡) — 事件只追加不覆盖。</t>
  </si>
  <si>
    <t>提前止收规则：招募未满 24 人时按 Participants 编号顺序优先补齐整组 4 人（同一物体排列的四个单元），N 下限 18。</t>
  </si>
  <si>
    <t>【待核对】内容核验记录（2026-07-26；依据公开原始论文、附录与官方量表来源核对）</t>
  </si>
  <si>
    <t>区分“官方原文/量尺已核对”与“对象锚定情境适配”：适配版不自动继承原量表在原场景的效度证据；正式采集前仍须完成独立回译与认知访谈。</t>
  </si>
  <si>
    <t>核对对象</t>
  </si>
  <si>
    <t>状态</t>
  </si>
  <si>
    <t>结论/修正</t>
  </si>
  <si>
    <t>依据/来源</t>
  </si>
  <si>
    <t>AQ 英文条目</t>
  </si>
  <si>
    <t>已核对</t>
  </si>
  <si>
    <t>原计划英文系语义转述；已替换为附录官方原文（指代为 The virtual object，对象化替换极小）</t>
  </si>
  <si>
    <t>doi:10.1007/s11747-025-01108-2 Appendix</t>
  </si>
  <si>
    <t>AQ 量尺</t>
  </si>
  <si>
    <t>七点：1 = I do not agree … 7 = I fully agree；中文“完全不同意–完全同意”正确</t>
  </si>
  <si>
    <t>同上</t>
  </si>
  <si>
    <t>AQ 书目</t>
  </si>
  <si>
    <t>Schein, K. E.; Rauschnabel, P. A.; Praxmarer-Carus, S.; Babin, B. J. Unpacking augmentation quality and local presence: Factors that drive effective augmented reality marketing. JAMS 54:49–69（2025 在线）</t>
  </si>
  <si>
    <t>CC BY 4.0</t>
  </si>
  <si>
    <t>TiA 条目结构</t>
  </si>
  <si>
    <t>R/C 6 项（官方条目 1,6,10,13,15,19）+ U/P 4 项（2,7,11,16）；6+4 正确、语料 7+3 系误标</t>
  </si>
  <si>
    <t>官方 GitHub（CC BY-SA 4.0）</t>
  </si>
  <si>
    <t>TiA 反向计分</t>
  </si>
  <si>
    <t>反向项 RC3/RC5/UP2/UP4（官方条目 10,15,7,16）；五点反向分 = 6 − 原始分</t>
  </si>
  <si>
    <t>TiA 量尺</t>
  </si>
  <si>
    <t>五点同意度 + 允许 No response（记缺失）</t>
  </si>
  <si>
    <t>TiA 效度措辞</t>
  </si>
  <si>
    <t>需遵守</t>
  </si>
  <si>
    <t>英文版仍需进一步验证（德文原版才有初步心理计量证据）；论文只写 adapted TiA subscales + 当前样本信度，不得写“已验证英文/中文量表”</t>
  </si>
  <si>
    <t>官方 GitHub 声明</t>
  </si>
  <si>
    <t>S-TIAS 条目</t>
  </si>
  <si>
    <t>三项原文指代 the AI assistant；本研究替换为“这种对象锚定方法”→ adapted S-TIAS</t>
  </si>
  <si>
    <t>doi:10.3389/frai.2025.1582880</t>
  </si>
  <si>
    <t>S-TIAS 量尺</t>
  </si>
  <si>
    <t>1 = Not at all … 7 = Extremely；三项均值</t>
  </si>
  <si>
    <t>S-TIAS 书目</t>
  </si>
  <si>
    <t>已核对（作者更正）</t>
  </si>
  <si>
    <t>McGrath, M. J.; Lack, O.; Tisch, J.; Duenser, A. Measuring trust in artificial intelligence: validation of an established scale and its short form. Frontiers in AI 8:1582880。语料曾误标为 Karpus；bib 键 mcgrath2025stias</t>
  </si>
  <si>
    <t>CC BY</t>
  </si>
  <si>
    <t>Gottsacker 2024 书目</t>
  </si>
  <si>
    <t>Gottsacker, M.; Furuya, H.; Choudhary, Z. D.; Erickson, A.; Schubert, R.; Bruder, G.; Browne, M. P.; Welch, G. F. Investigating the relationships between user behaviors and tracking factors on task performance and trust in augmented reality. Computers &amp; Graphics 123:104035</t>
  </si>
  <si>
    <t>doi:10.1016/j.cag.2024.104035</t>
  </si>
  <si>
    <t>Gottsacker 2024 表述边界</t>
  </si>
  <si>
    <t>该研究只测试 0°/+1°/+2° 偏移与 0°/≤1°/≤2° 抖动；论文写“在测试的误差水平内每升高一级伴随信任下降”，不得外推为任意每度线性下降的连续定律</t>
  </si>
  <si>
    <t>方法级施测时点</t>
  </si>
  <si>
    <t>设计修正</t>
  </si>
  <si>
    <t>不在第 5/6 区块之间插入先完成方法的问卷（打断第三物体紧配对、提前启动信任判断框架、位置不对称）；改为全部六区块后按 S1 先 A / S2 先 B 平衡施测</t>
  </si>
  <si>
    <t>设计审查（计划书〇节）</t>
  </si>
  <si>
    <t>Q2 措辞</t>
  </si>
  <si>
    <t>本表已更新</t>
  </si>
  <si>
    <t>GPT 初版工作簿沿用 v4 旧措辞“保持一致运动”；本正式版按 v5.1 锐化为“始终附着在真实物体上的同一位置”（与 AQ_IQ3 平滑正交）</t>
  </si>
  <si>
    <t>计划书 v5.1 增补</t>
  </si>
  <si>
    <t>家族命名</t>
  </si>
  <si>
    <t>已更名</t>
  </si>
  <si>
    <t>“已验证工具家族”→“已发表量表家族”（TiA 英文版验证证据有限，统称已验证过强）</t>
  </si>
  <si>
    <t>计划书〇节</t>
  </si>
  <si>
    <t>中文施测措辞</t>
  </si>
  <si>
    <t>已冻结（2026-07-26）</t>
  </si>
  <si>
    <t>19 条量表条目（AQ 6 + TiA 10 + S-TIAS 3）逐条对照官方原文完成语义等价审计并冻结；审计微调两处：AQ-IQ2 去"能够"（避免行为陈述变能力陈述）、AQ-EQ2 去"看起来被"（避免在 realistically 上叠加第二层感知模糊）。TIA_RC1/RC4 构念贴合与 Q2/AQ-IQ3 判别留待预实验认知访谈确认性检查。不再单设翻译冻结关卡。</t>
  </si>
  <si>
    <t>本研究语义审计记录（计划书 4.6 核对状态）</t>
  </si>
  <si>
    <t>实验三问卷全条目（v5.1 Verified）——本表为唯一条目字典，与计划书 4.2/4.4/4.5 逐字一致</t>
  </si>
  <si>
    <t>中文施测版为头显/纸面呈现文本；“官方英文原文”为原量表逐字条目（自制条目无）；“对象化英文施测版”供论文附录与英文施测用。TiA 中文列回译待完成，冻结前不得正式施测。</t>
  </si>
  <si>
    <t>A. 实验前背景（Participants 表填写，每人一次）</t>
  </si>
  <si>
    <t>ID</t>
  </si>
  <si>
    <t>中文</t>
  </si>
  <si>
    <t>应答格式/选项</t>
  </si>
  <si>
    <t>B1_Age</t>
  </si>
  <si>
    <t>年龄</t>
  </si>
  <si>
    <t>整数</t>
  </si>
  <si>
    <t>B2_Gender</t>
  </si>
  <si>
    <t>性别</t>
  </si>
  <si>
    <t>女 / 男 / 非二元或其他 / 不愿透露</t>
  </si>
  <si>
    <t>B3_Handedness</t>
  </si>
  <si>
    <t>主手（精细操作）</t>
  </si>
  <si>
    <t>右手 / 左手 / 双手均可</t>
  </si>
  <si>
    <t>B4_Vision</t>
  </si>
  <si>
    <t>视力情况</t>
  </si>
  <si>
    <t>正常 / 矫正后正常 / 其他</t>
  </si>
  <si>
    <t>B5_VRMR_Experience</t>
  </si>
  <si>
    <t>VR/MR 使用经验</t>
  </si>
  <si>
    <t>从未 / 1–5 次 / 6–20 次 / 超过 20 次 / 经常使用</t>
  </si>
  <si>
    <t>B6_PhysObj_MR_Experience</t>
  </si>
  <si>
    <t>实物 AR/MR 交互经验（需操作真实物体的应用）</t>
  </si>
  <si>
    <t>从未 / 1–2 次 / 数次 / 经常</t>
  </si>
  <si>
    <t>B. 区块级 13 项必答 + Q10 可选（每个方法×物体区块后；统一七点同意度；界面标题：请根据刚才在这个物体上的体验作答）</t>
  </si>
  <si>
    <t>页序</t>
  </si>
  <si>
    <t>Item_ID</t>
  </si>
  <si>
    <t>简称</t>
  </si>
  <si>
    <t>中文施测版</t>
  </si>
  <si>
    <t>官方英文原文</t>
  </si>
  <si>
    <t>对象化英文施测版</t>
  </si>
  <si>
    <t>分析家族</t>
  </si>
  <si>
    <t>来源</t>
  </si>
  <si>
    <t>备注</t>
  </si>
  <si>
    <t>1</t>
  </si>
  <si>
    <t>Q1</t>
  </si>
  <si>
    <t>静止稳定</t>
  </si>
  <si>
    <t>在静止观察阶段，虚拟内容保持在同一位置不动。</t>
  </si>
  <si>
    <t>—</t>
  </si>
  <si>
    <t>During static observation, the virtual content stayed in the same position without moving.</t>
  </si>
  <si>
    <t>主证实</t>
  </si>
  <si>
    <t>自制（v4 冻结）</t>
  </si>
  <si>
    <t>时间稳定性；pilot 检查“同一位置”参照系理解</t>
  </si>
  <si>
    <t>2</t>
  </si>
  <si>
    <t>Q2</t>
  </si>
  <si>
    <t>运动附着</t>
  </si>
  <si>
    <t>在拿起、移动和旋转物体时，虚拟内容始终附着在真实物体上的同一位置。</t>
  </si>
  <si>
    <t>While I picked up, moved, and rotated the object, the virtual content remained attached to the same location on the physical object.</t>
  </si>
  <si>
    <t>自制（v5.1 锐化措辞）</t>
  </si>
  <si>
    <t>测附着位置恒定，与 AQ_IQ3 平滑正交；认知访谈确认区分</t>
  </si>
  <si>
    <t>3</t>
  </si>
  <si>
    <t>Q9</t>
  </si>
  <si>
    <t>姿态一致</t>
  </si>
  <si>
    <t>旋转物体时，虚拟内容的朝向与真实物体的朝向保持一致。</t>
  </si>
  <si>
    <t>While I rotated the object, the orientation of the virtual content stayed consistent with the orientation of the physical object.</t>
  </si>
  <si>
    <t>旋转通道独立诊断</t>
  </si>
  <si>
    <t>3'</t>
  </si>
  <si>
    <t>Q10_OPT</t>
  </si>
  <si>
    <t>放置后稳定（可选）</t>
  </si>
  <si>
    <t>把物体放到桌面后，虚拟内容很快就稳定下来。</t>
  </si>
  <si>
    <t>After I placed the object on the table, the virtual content settled quickly.</t>
  </si>
  <si>
    <t>自制（v4 可选）</t>
  </si>
  <si>
    <t>默认停用；预实验冻结是否启用</t>
  </si>
  <si>
    <t>4</t>
  </si>
  <si>
    <t>AQ_IQ2</t>
  </si>
  <si>
    <t>响应及时</t>
  </si>
  <si>
    <t>虚拟内容实时响应我对真实物体的操作。</t>
  </si>
  <si>
    <t>The virtual object responds in real-time.</t>
  </si>
  <si>
    <t>The virtual content responds in real-time to my manipulation of the physical object.</t>
  </si>
  <si>
    <t>已发表量表</t>
  </si>
  <si>
    <t>AQ Interaction Quality（对象化适配）</t>
  </si>
  <si>
    <t>AQ-IQ 子量表分 = IQ1/IQ2/IQ3 均值（分析派生）</t>
  </si>
  <si>
    <t>5</t>
  </si>
  <si>
    <t>AQ_IQ3</t>
  </si>
  <si>
    <t>运动平滑</t>
  </si>
  <si>
    <t>在交互过程中，虚拟内容随真实物体平滑运动。</t>
  </si>
  <si>
    <t>The virtual object moves smoothly.</t>
  </si>
  <si>
    <t>The virtual content moves smoothly with the physical object during interaction.</t>
  </si>
  <si>
    <t/>
  </si>
  <si>
    <t>6</t>
  </si>
  <si>
    <t>Q3</t>
  </si>
  <si>
    <t>恢复一致</t>
  </si>
  <si>
    <t>遮挡移除后，虚拟内容恢复到了与真实物体一致的位置。</t>
  </si>
  <si>
    <t>After the occlusion was removed, the virtual content recovered to a position consistent with the physical object.</t>
  </si>
  <si>
    <t>恢复后空间一致性</t>
  </si>
  <si>
    <t>7</t>
  </si>
  <si>
    <t>Q8</t>
  </si>
  <si>
    <t>位置正确</t>
  </si>
  <si>
    <t>虚拟内容出现的位置，与真实物体实际所在的位置相符。</t>
  </si>
  <si>
    <t>The virtual content appeared at a position that matched where the physical object actually was.</t>
  </si>
  <si>
    <t>主观空间正确性，不作客观配准误差；与 Q1 相隔五题</t>
  </si>
  <si>
    <t>8</t>
  </si>
  <si>
    <t>AQ_EQ1</t>
  </si>
  <si>
    <t>融合</t>
  </si>
  <si>
    <t>虚拟内容与真实物体及周围真实元素自然融合。</t>
  </si>
  <si>
    <t>The virtual object blends in with real elements.</t>
  </si>
  <si>
    <t>The virtual content blends in with the physical object and surrounding real elements.</t>
  </si>
  <si>
    <t>AQ Embedding Quality（对象化适配）</t>
  </si>
  <si>
    <t>AQ-EQ 子量表分 = EQ1/EQ2/EQ3 均值（分析派生）</t>
  </si>
  <si>
    <t>9</t>
  </si>
  <si>
    <t>AQ_EQ2</t>
  </si>
  <si>
    <t>嵌入可信</t>
  </si>
  <si>
    <t>虚拟内容真实地嵌入在真实物体及其现实环境中。</t>
  </si>
  <si>
    <t>The virtual object is realistically embedded in the environment.</t>
  </si>
  <si>
    <t>The virtual content is realistically embedded in the physical object and its real-world context.</t>
  </si>
  <si>
    <t>接管原 Q4 合理可信构念</t>
  </si>
  <si>
    <t>10</t>
  </si>
  <si>
    <t>AQ_EQ3</t>
  </si>
  <si>
    <t>尺度协调</t>
  </si>
  <si>
    <t>虚拟内容的尺度与真实物体及现实世界中的事物相匹配。</t>
  </si>
  <si>
    <t>The size of the virtual object is in scale to things in the real world.</t>
  </si>
  <si>
    <t>The size of the virtual content is in scale to the physical object and things in the real world.</t>
  </si>
  <si>
    <t>预期天花板；保留以维持完整子量表</t>
  </si>
  <si>
    <t>11</t>
  </si>
  <si>
    <t>AQ_IQ1</t>
  </si>
  <si>
    <t>交互直观</t>
  </si>
  <si>
    <t>通过操作真实物体与虚拟内容进行交互是直观的。</t>
  </si>
  <si>
    <t>Interaction with the virtual object is intuitive.</t>
  </si>
  <si>
    <t>Interaction with the virtual content through manipulation of the physical object is intuitive.</t>
  </si>
  <si>
    <t>12</t>
  </si>
  <si>
    <t>Q6</t>
  </si>
  <si>
    <t>依赖意愿</t>
  </si>
  <si>
    <t>在需要虚拟内容准确附着于真实物体的混合现实应用中，我愿意依赖这种锚定方法。</t>
  </si>
  <si>
    <t>I would be willing to rely on this anchoring method in an MR application that requires virtual content to be accurately attached to a physical object.</t>
  </si>
  <si>
    <t>应用侧依赖意愿（区块级信任）</t>
  </si>
  <si>
    <t>13</t>
  </si>
  <si>
    <t>Q7</t>
  </si>
  <si>
    <t>稳定-响应平衡</t>
  </si>
  <si>
    <t>总体而言，该方法在锚点稳定性与响应及时性之间取得了合适的平衡。</t>
  </si>
  <si>
    <t>Overall, this method achieved an appropriate balance between anchor stability and responsiveness.</t>
  </si>
  <si>
    <t>双构念总结项；与实验一稳定/时延结果联合解释</t>
  </si>
  <si>
    <t>量尺</t>
  </si>
  <si>
    <t>七点同意度：1 完全不同意 … 7 完全同意</t>
  </si>
  <si>
    <t>同一条目在全部区块中措辞与刻度完全相同；每页一题、确认后翻页；不显示既往回答</t>
  </si>
  <si>
    <t>C. 方法级（全部六区块完成后，按 S1 先 A / S2 先 B 依次评价两方法；界面标题：请根据方法 X 在全部三个物体上的整体表现作答）</t>
  </si>
  <si>
    <t>C1. adapted TiA 两分量表（10 项）</t>
  </si>
  <si>
    <t>五点同意度：1 Strongly disagree / 2 Rather disagree / 3 Neither / 4 Rather agree / 5 Strongly agree；允许无法回答（记缺失）</t>
  </si>
  <si>
    <t>反向项计分 = 6 − 原始分（仅分析派生）；分量表分 = 有效条目均值；呈现按官方相对顺序交错（官方条目 1,2,6,7,10,11,13,15,16,19），参与者界面只显示中性序号第 1–10 题，下表按分量表分组仅为规格</t>
  </si>
  <si>
    <t>分量表</t>
  </si>
  <si>
    <t>中文施测版（已冻结）</t>
  </si>
  <si>
    <t>反向</t>
  </si>
  <si>
    <t>官方条目号</t>
  </si>
  <si>
    <t>TIA_RC1</t>
  </si>
  <si>
    <t>Reliability/Competence</t>
  </si>
  <si>
    <t>The system is capable of interpreting situations correctly.</t>
  </si>
  <si>
    <t>这种对象锚定方法能够正确判断当前状况。</t>
  </si>
  <si>
    <t>否</t>
  </si>
  <si>
    <t>TIA_RC2</t>
  </si>
  <si>
    <t>The system works reliably.</t>
  </si>
  <si>
    <t>这种对象锚定方法运行可靠。</t>
  </si>
  <si>
    <t>TIA_RC3</t>
  </si>
  <si>
    <t>A system malfunction is likely.</t>
  </si>
  <si>
    <t>这种对象锚定方法很可能发生故障。</t>
  </si>
  <si>
    <t>是</t>
  </si>
  <si>
    <t>TIA_RC4</t>
  </si>
  <si>
    <t>The system is capable of taking over complicated tasks.</t>
  </si>
  <si>
    <t>这种对象锚定方法能够承担复杂的锚定任务。</t>
  </si>
  <si>
    <t>TIA_RC5</t>
  </si>
  <si>
    <t>The system might make sporadic errors.</t>
  </si>
  <si>
    <t>这种对象锚定方法可能偶尔出错。</t>
  </si>
  <si>
    <t>TIA_RC6</t>
  </si>
  <si>
    <t>I am confident about the system's capabilities.</t>
  </si>
  <si>
    <t>我对这种对象锚定方法的能力有信心。</t>
  </si>
  <si>
    <t>TIA_UP1</t>
  </si>
  <si>
    <t>Understanding/Predictability</t>
  </si>
  <si>
    <t>The system state was always clear to me.</t>
  </si>
  <si>
    <t>这种对象锚定方法的状态对我来说始终清楚。</t>
  </si>
  <si>
    <t>TIA_UP2</t>
  </si>
  <si>
    <t>The system reacts unpredictably.</t>
  </si>
  <si>
    <t>这种对象锚定方法的反应难以预测。</t>
  </si>
  <si>
    <t>TIA_UP3</t>
  </si>
  <si>
    <t>I was able to understand why things happened.</t>
  </si>
  <si>
    <t>我能够理解为什么会出现刚才的锚定行为。</t>
  </si>
  <si>
    <t>TIA_UP4</t>
  </si>
  <si>
    <t>It's difficult to identify what the system will do next.</t>
  </si>
  <si>
    <t>我很难判断这种对象锚定方法接下来会怎样表现。</t>
  </si>
  <si>
    <t>认知访谈最高优先：TIA_RC1（“判断状况”对低层锚定偏抽象）、TIA_RC4（“承担复杂任务”语义匹配较弱）</t>
  </si>
  <si>
    <t>—— 尺度切换提示页：TiA（五点同意度）→ S-TIAS（七点程度尺），端点改变须参与者确认 ——</t>
  </si>
  <si>
    <t>C2. adapted S-TIAS（3 项）</t>
  </si>
  <si>
    <t>七点程度尺：1 Not at all（完全没有）… 7 Extremely（非常强烈）</t>
  </si>
  <si>
    <t>三项均值；原研究指代 the AI assistant</t>
  </si>
  <si>
    <t>官方研究英文</t>
  </si>
  <si>
    <t>STIAS1</t>
  </si>
  <si>
    <t>I am confident in the AI assistant.</t>
  </si>
  <si>
    <t>我对这种对象锚定方法有信心。</t>
  </si>
  <si>
    <t>STIAS2</t>
  </si>
  <si>
    <t>The AI assistant is reliable.</t>
  </si>
  <si>
    <t>这种对象锚定方法是可靠的。</t>
  </si>
  <si>
    <t>STIAS3</t>
  </si>
  <si>
    <t>I can trust the AI assistant.</t>
  </si>
  <si>
    <t>我可以信任这种对象锚定方法。</t>
  </si>
  <si>
    <t>D. 最终问卷（摘下头显后；回答完成前保持匿名；两项强制选择独立作答）</t>
  </si>
  <si>
    <t>应答格式</t>
  </si>
  <si>
    <t>FINAL_METHOD_CHOICE</t>
  </si>
  <si>
    <t>如果需要在实际混合现实应用中使用一个对象锚定方法，你会选择哪一种？</t>
  </si>
  <si>
    <t>方法A / 方法B / 无明显偏好</t>
  </si>
  <si>
    <t>强制选择；离场后由分析代码按映射解码</t>
  </si>
  <si>
    <t>FINAL_PREFERENCE_STRENGTH</t>
  </si>
  <si>
    <t>你的选择有多明确？</t>
  </si>
  <si>
    <t>1 只有非常轻微的偏好 … 7 非常明确的偏好；选“无明显偏好”者跳过记 NA</t>
  </si>
  <si>
    <t>v5.1 新增；描述性</t>
  </si>
  <si>
    <t>FINAL_TRUST_CHOICE</t>
  </si>
  <si>
    <t>如果虚拟内容标注的位置会影响你在真实世界中的实际操作（例如提示你去拿哪个物体），你更信任哪一种方法的标注？</t>
  </si>
  <si>
    <t>与偏好选择独立作答；不一致本身是结果</t>
  </si>
  <si>
    <t>FINAL_DISCRIMINATION_CONFIDENCE</t>
  </si>
  <si>
    <t>你有多大信心认为自己能够感受到两种方法之间的差异？</t>
  </si>
  <si>
    <t>1 完全没有信心 … 7 非常有信心</t>
  </si>
  <si>
    <t>v5.1 新增；解释“无明显偏好”成因，兼作需求特征审计</t>
  </si>
  <si>
    <t>OPEN_DIFFERENCE</t>
  </si>
  <si>
    <t>你认为两种锚定方法之间最明显的区别是什么？</t>
  </si>
  <si>
    <t>开放文本</t>
  </si>
  <si>
    <t>主题分析</t>
  </si>
  <si>
    <t>OPEN_DISTRUST</t>
  </si>
  <si>
    <t>在使用附着于真实物体的虚拟内容时，什么现象最容易使你不再信任这个锚点？</t>
  </si>
  <si>
    <t>信息量最高的问题</t>
  </si>
  <si>
    <t>END_DISCOMFORT</t>
  </si>
  <si>
    <t>与实验开始前相比，你目前是否感到额外的不适？</t>
  </si>
  <si>
    <t>无 / 轻微 / 中等 / 明显 / 因不适中止</t>
  </si>
  <si>
    <t>仅安全监测与退出审计，不作因变量</t>
  </si>
  <si>
    <t>E. 量尺锚点定义</t>
  </si>
  <si>
    <t>agreement_7</t>
  </si>
  <si>
    <t>区块级全部条目</t>
  </si>
  <si>
    <t>agreement_5</t>
  </si>
  <si>
    <t>TiA 10 项</t>
  </si>
  <si>
    <t>intensity_7</t>
  </si>
  <si>
    <t>S-TIAS 3 项</t>
  </si>
  <si>
    <t>choice_3</t>
  </si>
  <si>
    <t>两项强制选择</t>
  </si>
  <si>
    <t>strength_7</t>
  </si>
  <si>
    <t>1 只有非常轻微的偏好 … 7 非常明确的偏好（未选方法者 NA）</t>
  </si>
  <si>
    <t>偏好强度</t>
  </si>
  <si>
    <t>confidence_7</t>
  </si>
  <si>
    <t>区分信心</t>
  </si>
  <si>
    <t>discomfort_5</t>
  </si>
  <si>
    <t>安全检查</t>
  </si>
  <si>
    <t>【SYNTHETIC / 模拟数据】参与者信息与 24 平衡单元（不得作为真实人类受试数据报告）</t>
  </si>
  <si>
    <t>Participant_ID</t>
  </si>
  <si>
    <t>平衡单元</t>
  </si>
  <si>
    <t>物体排列ID</t>
  </si>
  <si>
    <t>标签序列</t>
  </si>
  <si>
    <t>物体1</t>
  </si>
  <si>
    <t>物体2</t>
  </si>
  <si>
    <t>物体3</t>
  </si>
  <si>
    <t>区块内标签顺序</t>
  </si>
  <si>
    <t>方法A=（保密）</t>
  </si>
  <si>
    <t>方法B=（保密）</t>
  </si>
  <si>
    <t>先行实际方法</t>
  </si>
  <si>
    <t>B1_年龄</t>
  </si>
  <si>
    <t>B2_性别</t>
  </si>
  <si>
    <t>B3_主手</t>
  </si>
  <si>
    <t>B4_视力</t>
  </si>
  <si>
    <t>B5_VR/MR经验</t>
  </si>
  <si>
    <t>B6_实物MR经验</t>
  </si>
  <si>
    <t>签署同意</t>
  </si>
  <si>
    <t>基线不适</t>
  </si>
  <si>
    <t>开始时间</t>
  </si>
  <si>
    <t>结束时间</t>
  </si>
  <si>
    <t>纳入分析</t>
  </si>
  <si>
    <t>退出/技术问题</t>
  </si>
  <si>
    <t>P001</t>
  </si>
  <si>
    <t>O1-S1-EA</t>
  </si>
  <si>
    <t>S1</t>
  </si>
  <si>
    <t>鼠标</t>
  </si>
  <si>
    <t>固定订书机</t>
  </si>
  <si>
    <t>游戏手柄</t>
  </si>
  <si>
    <t>A-B / B-A / A-B</t>
  </si>
  <si>
    <t>EgoAnchor</t>
  </si>
  <si>
    <t>One-Euro</t>
  </si>
  <si>
    <t>男</t>
  </si>
  <si>
    <t>右手</t>
  </si>
  <si>
    <t>正常</t>
  </si>
  <si>
    <t>6–20 次</t>
  </si>
  <si>
    <t>1–2 次</t>
  </si>
  <si>
    <t>无</t>
  </si>
  <si>
    <t>模拟画像：响应敏感型；独立随机种子=570334。</t>
  </si>
  <si>
    <t>P002</t>
  </si>
  <si>
    <t>O1-S2-EA</t>
  </si>
  <si>
    <t>S2</t>
  </si>
  <si>
    <t>B-A / A-B / B-A</t>
  </si>
  <si>
    <t>1–5 次</t>
  </si>
  <si>
    <t>数次</t>
  </si>
  <si>
    <t>模拟画像：稳定敏感型；独立随机种子=580341。</t>
  </si>
  <si>
    <t>P003</t>
  </si>
  <si>
    <t>O1-S2-OE</t>
  </si>
  <si>
    <t>矫正后正常</t>
  </si>
  <si>
    <t>经常</t>
  </si>
  <si>
    <t>模拟画像：平衡权衡型；独立随机种子=590348。</t>
  </si>
  <si>
    <t>P004</t>
  </si>
  <si>
    <t>O1-S1-OE</t>
  </si>
  <si>
    <t>女</t>
  </si>
  <si>
    <t>轻微</t>
  </si>
  <si>
    <t>模拟画像：响应敏感型；独立随机种子=600355。</t>
  </si>
  <si>
    <t>P005</t>
  </si>
  <si>
    <t>O2-S1-EA</t>
  </si>
  <si>
    <t>从未</t>
  </si>
  <si>
    <t>模拟画像：平衡权衡型；独立随机种子=610362。</t>
  </si>
  <si>
    <t>P006</t>
  </si>
  <si>
    <t>O2-S2-EA</t>
  </si>
  <si>
    <t>模拟画像：平衡权衡型；独立随机种子=620369。</t>
  </si>
  <si>
    <t>P007</t>
  </si>
  <si>
    <t>O2-S2-OE</t>
  </si>
  <si>
    <t>左手</t>
  </si>
  <si>
    <t>经常使用</t>
  </si>
  <si>
    <t>模拟画像：稳定敏感型；独立随机种子=630376。</t>
  </si>
  <si>
    <t>P008</t>
  </si>
  <si>
    <t>O2-S1-OE</t>
  </si>
  <si>
    <t>模拟画像：低区分/谨慎型；独立随机种子=640383。</t>
  </si>
  <si>
    <t>P009</t>
  </si>
  <si>
    <t>O3-S1-EA</t>
  </si>
  <si>
    <t>模拟画像：响应敏感型；独立随机种子=650390。</t>
  </si>
  <si>
    <t>P010</t>
  </si>
  <si>
    <t>O3-S2-EA</t>
  </si>
  <si>
    <t>模拟画像：平衡权衡型；独立随机种子=660397。</t>
  </si>
  <si>
    <t>P011</t>
  </si>
  <si>
    <t>O3-S2-OE</t>
  </si>
  <si>
    <t>模拟画像：稳定敏感型；独立随机种子=670404。</t>
  </si>
  <si>
    <t>P012</t>
  </si>
  <si>
    <t>O3-S1-OE</t>
  </si>
  <si>
    <t>模拟画像：稳定敏感型；独立随机种子=680411。</t>
  </si>
  <si>
    <t>P013</t>
  </si>
  <si>
    <t>O4-S1-EA</t>
  </si>
  <si>
    <t>模拟画像：低区分/谨慎型；独立随机种子=690418。</t>
  </si>
  <si>
    <t>P014</t>
  </si>
  <si>
    <t>O4-S2-EA</t>
  </si>
  <si>
    <t>模拟画像：稳定敏感型；独立随机种子=700425。</t>
  </si>
  <si>
    <t>P015</t>
  </si>
  <si>
    <t>O4-S2-OE</t>
  </si>
  <si>
    <t>模拟画像：稳定敏感型；独立随机种子=710432。</t>
  </si>
  <si>
    <t>P016</t>
  </si>
  <si>
    <t>O4-S1-OE</t>
  </si>
  <si>
    <t>模拟画像：稳定敏感型；独立随机种子=720439。</t>
  </si>
  <si>
    <t>P017</t>
  </si>
  <si>
    <t>O5-S1-EA</t>
  </si>
  <si>
    <t>模拟画像：响应敏感型；独立随机种子=730446。</t>
  </si>
  <si>
    <t>P018</t>
  </si>
  <si>
    <t>O5-S2-EA</t>
  </si>
  <si>
    <t>超过 20 次</t>
  </si>
  <si>
    <t>模拟画像：平衡权衡型；独立随机种子=740453。</t>
  </si>
  <si>
    <t>P019</t>
  </si>
  <si>
    <t>O5-S2-OE</t>
  </si>
  <si>
    <t>模拟画像：平衡权衡型；独立随机种子=750460。</t>
  </si>
  <si>
    <t>P020</t>
  </si>
  <si>
    <t>O5-S1-OE</t>
  </si>
  <si>
    <t>模拟画像：平衡权衡型；独立随机种子=760467。</t>
  </si>
  <si>
    <t>P021</t>
  </si>
  <si>
    <t>O6-S1-EA</t>
  </si>
  <si>
    <t>模拟画像：稳定敏感型；独立随机种子=770474。</t>
  </si>
  <si>
    <t>P022</t>
  </si>
  <si>
    <t>O6-S2-EA</t>
  </si>
  <si>
    <t>模拟画像：稳定敏感型；独立随机种子=780481。</t>
  </si>
  <si>
    <t>P023</t>
  </si>
  <si>
    <t>O6-S2-OE</t>
  </si>
  <si>
    <t>双手均可</t>
  </si>
  <si>
    <t>模拟画像：稳定敏感型；独立随机种子=790488。</t>
  </si>
  <si>
    <t>P024</t>
  </si>
  <si>
    <t>O6-S1-OE</t>
  </si>
  <si>
    <t>模拟画像：稳定敏感型；独立随机种子=800495。</t>
  </si>
  <si>
    <t>【SYNTHETIC / 模拟数据】实验记录：24 个独立模拟参与者；Q10 默认停用；原始分保留，分量表由 Formula_Scores 公式计算。</t>
  </si>
  <si>
    <t>A. 区块记录（每行 = 一个方法×物体区块：进度 + 13+1 项评分 + 问卷时长 + 运行时审计）</t>
  </si>
  <si>
    <t>Block_Index</t>
  </si>
  <si>
    <t>物体位置</t>
  </si>
  <si>
    <t>物体</t>
  </si>
  <si>
    <t>Object_Key</t>
  </si>
  <si>
    <t>Shown_Label</t>
  </si>
  <si>
    <t>Condition(保密)</t>
  </si>
  <si>
    <t>物体内先后</t>
  </si>
  <si>
    <t>该方法第几次</t>
  </si>
  <si>
    <t>问卷开始</t>
  </si>
  <si>
    <t>问卷结束</t>
  </si>
  <si>
    <t>问卷时长_s</t>
  </si>
  <si>
    <t>任务完成</t>
  </si>
  <si>
    <t>问卷完成</t>
  </si>
  <si>
    <t>区块有效</t>
  </si>
  <si>
    <t>技术问题</t>
  </si>
  <si>
    <t>Candidate_Rate_Hz</t>
  </si>
  <si>
    <t>VCD_Median</t>
  </si>
  <si>
    <t>VCD_Admission_Rate</t>
  </si>
  <si>
    <t>Output_Availability</t>
  </si>
  <si>
    <t>遮挡时长_s</t>
  </si>
  <si>
    <t>遮挡生命周期状态</t>
  </si>
  <si>
    <t>进入Lost</t>
  </si>
  <si>
    <t>服务器重获取次数</t>
  </si>
  <si>
    <t>StaticLock进入次数</t>
  </si>
  <si>
    <t>blue_mouse</t>
  </si>
  <si>
    <t>方法A</t>
  </si>
  <si>
    <t>FrozenUncertain</t>
  </si>
  <si>
    <t>方法B</t>
  </si>
  <si>
    <t>遮挡恢复后出现一次小跳变</t>
  </si>
  <si>
    <t>stapler</t>
  </si>
  <si>
    <t>静止阶段可见轻微抖动</t>
  </si>
  <si>
    <t>gamepad</t>
  </si>
  <si>
    <t>短暂帧率波动</t>
  </si>
  <si>
    <t>短暂画面卡顿，自动恢复；任务与问卷均完成。</t>
  </si>
  <si>
    <t>拿起时感觉略有滞后</t>
  </si>
  <si>
    <t>B. 方法级记录（全部六区块完成后；S1 先评方法 A、S2 先评方法 B；TiA→提示页→S-TIAS）</t>
  </si>
  <si>
    <t>Rating_Order</t>
  </si>
  <si>
    <t>TIA_RC3_REV</t>
  </si>
  <si>
    <t>TIA_RC5_REV</t>
  </si>
  <si>
    <t>TIA_UP2_REV</t>
  </si>
  <si>
    <t>TIA_UP4_REV</t>
  </si>
  <si>
    <t>尺度切换确认</t>
  </si>
  <si>
    <t>时长_s</t>
  </si>
  <si>
    <t>C. 最终问卷记录（摘下头显后；解码列离场后由分析代码按 Participants 映射填写）</t>
  </si>
  <si>
    <t>方法选择(标签)</t>
  </si>
  <si>
    <t>偏好强度(1-7/NA)</t>
  </si>
  <si>
    <t>信任选择(标签)</t>
  </si>
  <si>
    <t>区分信心(1-7)</t>
  </si>
  <si>
    <t>开放:最明显区别</t>
  </si>
  <si>
    <t>开放:最破坏信任的现象</t>
  </si>
  <si>
    <t>结束不适</t>
  </si>
  <si>
    <t>方法选择(解码)</t>
  </si>
  <si>
    <t>信任选择(解码)</t>
  </si>
  <si>
    <t>访谈备注</t>
  </si>
  <si>
    <t>无明显偏好</t>
  </si>
  <si>
    <t>一种方法静止和恢复时更稳，另一种移动时更跟手；不同物体上的差异不完全一致，所以我没有明显偏好。</t>
  </si>
  <si>
    <t>物体静止时虚拟内容持续抖动，随着我移动头部还会漂移。</t>
  </si>
  <si>
    <t>模拟主观轨迹：utility_diff=-0.24; trust_diff=2.37</t>
  </si>
  <si>
    <t>方法A在静止观察和遮挡恢复后更稳，虚拟内容更像固定在物体上；另一种移动时略显轻快，但偶尔会抖或滑动。</t>
  </si>
  <si>
    <t>模拟主观轨迹：utility_diff=1.22; trust_diff=1.51</t>
  </si>
  <si>
    <t>方法B在静止观察和遮挡恢复后更稳，虚拟内容更像固定在物体上；另一种移动时略显轻快，但偶尔会抖或滑动。</t>
  </si>
  <si>
    <t>移动物体时虚拟内容从原来的附着位置滑开，尤其是旋转后对不上。</t>
  </si>
  <si>
    <t>模拟主观轨迹：utility_diff=1.01; trust_diff=1.10</t>
  </si>
  <si>
    <t>方法A在拿起和旋转时更跟手，响应更直接；另一种虽然静止更稳，但移动开始时有一点拖拽感。</t>
  </si>
  <si>
    <t>遮挡移除后虚拟内容突然跳到错误位置，或恢复到与物体明显错开的地方。</t>
  </si>
  <si>
    <t>模拟主观轨迹：utility_diff=-0.53; trust_diff=-0.35</t>
  </si>
  <si>
    <t>模拟主观轨迹：utility_diff=1.83; trust_diff=1.11</t>
  </si>
  <si>
    <t>模拟主观轨迹：utility_diff=0.26; trust_diff=1.32</t>
  </si>
  <si>
    <t>系统反应没有规律：有时很稳，有时突然延迟或跳变，让我无法预测下一步。</t>
  </si>
  <si>
    <t>模拟主观轨迹：utility_diff=1.95; trust_diff=1.06</t>
  </si>
  <si>
    <t>模拟主观轨迹：utility_diff=-0.02; trust_diff=-0.21</t>
  </si>
  <si>
    <t>方法B在拿起和旋转时更跟手，响应更直接；另一种虽然静止更稳，但移动开始时有一点拖拽感。</t>
  </si>
  <si>
    <t>模拟主观轨迹：utility_diff=-0.35; trust_diff=0.88</t>
  </si>
  <si>
    <t>模拟主观轨迹：utility_diff=-1.01; trust_diff=0.22</t>
  </si>
  <si>
    <t>模拟主观轨迹：utility_diff=1.64; trust_diff=1.76</t>
  </si>
  <si>
    <t>模拟主观轨迹：utility_diff=2.74; trust_diff=2.54</t>
  </si>
  <si>
    <t>模拟主观轨迹：utility_diff=0.05; trust_diff=-0.10</t>
  </si>
  <si>
    <t>模拟主观轨迹：utility_diff=1.56; trust_diff=0.28</t>
  </si>
  <si>
    <t>模拟主观轨迹：utility_diff=1.03; trust_diff=1.16</t>
  </si>
  <si>
    <t>中等</t>
  </si>
  <si>
    <t>模拟主观轨迹：utility_diff=0.63; trust_diff=0.87</t>
  </si>
  <si>
    <t>模拟主观轨迹：utility_diff=0.44; trust_diff=0.85</t>
  </si>
  <si>
    <t>模拟主观轨迹：utility_diff=1.49; trust_diff=1.37</t>
  </si>
  <si>
    <t>模拟主观轨迹：utility_diff=0.18; trust_diff=0.58</t>
  </si>
  <si>
    <t>模拟主观轨迹：utility_diff=-1.13; trust_diff=-0.10</t>
  </si>
  <si>
    <t>模拟主观轨迹：utility_diff=1.60; trust_diff=1.65</t>
  </si>
  <si>
    <t>模拟主观轨迹：utility_diff=2.58; trust_diff=1.05</t>
  </si>
  <si>
    <t>模拟主观轨迹：utility_diff=1.57; trust_diff=1.07</t>
  </si>
  <si>
    <t>模拟主观轨迹：utility_diff=2.19; trust_diff=1.93</t>
  </si>
  <si>
    <t>【SYNTHETIC / 模拟分析结果】GPT-5.6-Thinking v3；仅用于流程、计分与分析管线验证，不得作为真实被试证据</t>
  </si>
  <si>
    <t>核心模拟模式：EgoAnchor 在静止稳定、位置正确、遮挡恢复、依赖意愿与总体稳定—响应平衡上较高；运动附着与姿态一致差异较小。所有推断仅描述该合成生成结果。</t>
  </si>
  <si>
    <t>A. 主证实家族（三物体均值 → 配对 Wilcoxon → 家族内 Holm）</t>
  </si>
  <si>
    <t>快速结果</t>
  </si>
  <si>
    <t>One-Euro M</t>
  </si>
  <si>
    <t>EgoAnchor M</t>
  </si>
  <si>
    <t>EA−OE</t>
  </si>
  <si>
    <t>条目</t>
  </si>
  <si>
    <t>One-Euro Mdn[IQR]</t>
  </si>
  <si>
    <t>EgoAnchor Mdn[IQR]</t>
  </si>
  <si>
    <t>配对差中位</t>
  </si>
  <si>
    <t>W</t>
  </si>
  <si>
    <t>p_raw</t>
  </si>
  <si>
    <t>p_Holm</t>
  </si>
  <si>
    <t>匹配秩双列r</t>
  </si>
  <si>
    <t>r 95%CI</t>
  </si>
  <si>
    <t>结论</t>
  </si>
  <si>
    <t>Q1 静止稳定</t>
  </si>
  <si>
    <t>4.33 [3.92, 4.67]</t>
  </si>
  <si>
    <t>5.00 [4.58, 5.67]</t>
  </si>
  <si>
    <t>[0.67, 1.00]</t>
  </si>
  <si>
    <t>EgoAnchor 更高（Holm 校正后显著）</t>
  </si>
  <si>
    <t>Q8 位置正确</t>
  </si>
  <si>
    <t>4.67 [4.00, 5.00]</t>
  </si>
  <si>
    <t>5.00 [4.67, 5.75]</t>
  </si>
  <si>
    <t>[0.54, 1.00]</t>
  </si>
  <si>
    <t>Q2 运动附着</t>
  </si>
  <si>
    <t>5.00 [4.33, 5.08]</t>
  </si>
  <si>
    <t>5.17 [4.58, 5.33]</t>
  </si>
  <si>
    <t>[-0.28, 0.75]</t>
  </si>
  <si>
    <t>Holm 校正后未检出差异</t>
  </si>
  <si>
    <t>Q9 姿态一致</t>
  </si>
  <si>
    <t>4.67 [4.67, 5.33]</t>
  </si>
  <si>
    <t>5.00 [4.58, 5.33]</t>
  </si>
  <si>
    <t>[-0.32, 0.60]</t>
  </si>
  <si>
    <t>Q3 恢复一致</t>
  </si>
  <si>
    <t>4.17 [3.92, 4.33]</t>
  </si>
  <si>
    <t>5.00 [4.33, 5.42]</t>
  </si>
  <si>
    <t>[0.33, 0.99]</t>
  </si>
  <si>
    <t>Q6 依赖意愿</t>
  </si>
  <si>
    <t>4.00 [4.00, 4.33]</t>
  </si>
  <si>
    <t>5.00 [4.33, 5.33]</t>
  </si>
  <si>
    <t>[0.66, 1.00]</t>
  </si>
  <si>
    <t>Q7 稳定-响应平衡</t>
  </si>
  <si>
    <t>4.50 [4.25, 4.75]</t>
  </si>
  <si>
    <t>4.83 [4.58, 5.33]</t>
  </si>
  <si>
    <t>[0.73, 1.00]</t>
  </si>
  <si>
    <t>B. 已发表量表家族（TiA 反向项先按 6−raw 换向；α 为 Cronbach's α；ω 为单因子标准化 PCA 近似，仅作管线检查）</t>
  </si>
  <si>
    <t>量表</t>
  </si>
  <si>
    <t>One-Euro Mdn [IQR]</t>
  </si>
  <si>
    <t>EgoAnchor Mdn [IQR]</t>
  </si>
  <si>
    <t>匹配秩双列 r</t>
  </si>
  <si>
    <t>α(OE)</t>
  </si>
  <si>
    <t>α(EA)</t>
  </si>
  <si>
    <t>ω(OE)</t>
  </si>
  <si>
    <t>ω(EA)</t>
  </si>
  <si>
    <t>AQ-EQ（3 项均值）</t>
  </si>
  <si>
    <t>4.78 [4.50, 5.03]</t>
  </si>
  <si>
    <t>5.17 [4.50, 5.47]</t>
  </si>
  <si>
    <t>AQ-IQ（3 项均值）</t>
  </si>
  <si>
    <t>4.89 [4.64, 5.14]</t>
  </si>
  <si>
    <t>5.06 [4.50, 5.33]</t>
  </si>
  <si>
    <t>TiA-R/C（6 项均值）</t>
  </si>
  <si>
    <t>4.17 [3.83, 4.50]</t>
  </si>
  <si>
    <t>4.58 [4.29, 4.83]</t>
  </si>
  <si>
    <t>TiA-U/P（4 项均值）</t>
  </si>
  <si>
    <t>4.00 [3.94, 4.25]</t>
  </si>
  <si>
    <t>4.38 [4.00, 5.00]</t>
  </si>
  <si>
    <t>S-TIAS（3 项均值）</t>
  </si>
  <si>
    <t>5.33 [4.92, 5.67]</t>
  </si>
  <si>
    <t>5.67 [5.33, 6.00]</t>
  </si>
  <si>
    <t>C. 次级序数模型（本环境用参与者固定效应累积 logit 近似 CLMM；正式分析须改用参与者随机截距 CLMM）</t>
  </si>
  <si>
    <t>结局</t>
  </si>
  <si>
    <t>固定效应</t>
  </si>
  <si>
    <t>共同优势比</t>
  </si>
  <si>
    <t>95%CI</t>
  </si>
  <si>
    <t>p</t>
  </si>
  <si>
    <t>EgoAnchor vs One-Euro（对象特异）</t>
  </si>
  <si>
    <t>鼠标 6.55; 订书机 32.41; 手柄 27.55</t>
  </si>
  <si>
    <t>鼠标 [1.99,21.55]; 订书机 [8.87,118.47]; 手柄 [8.09,93.83]</t>
  </si>
  <si>
    <t>鼠标 0.002; 订书机 0.000; 手柄 0.000</t>
  </si>
  <si>
    <t>参与者固定效应累积logit近似；含方法×物体、区块位置、对象内先后；正式论文改用CLMM随机截距</t>
  </si>
  <si>
    <t>鼠标 4.38; 订书机 8.19; 手柄 12.40</t>
  </si>
  <si>
    <t>鼠标 [1.38,13.88]; 订书机 [2.46,27.25]; 手柄 [3.55,43.28]</t>
  </si>
  <si>
    <t>鼠标 0.012; 订书机 0.001; 手柄 0.000</t>
  </si>
  <si>
    <t>鼠标 1.68; 订书机 0.83; 手柄 2.70</t>
  </si>
  <si>
    <t>鼠标 [0.57,4.96]; 订书机 [0.27,2.52]; 手柄 [0.89,8.23]</t>
  </si>
  <si>
    <t>鼠标 0.343; 订书机 0.741; 手柄 0.081</t>
  </si>
  <si>
    <t>鼠标 1.31; 订书机 0.96; 手柄 1.96</t>
  </si>
  <si>
    <t>鼠标 [0.45,3.88]; 订书机 [0.32,2.89]; 手柄 [0.65,5.94]</t>
  </si>
  <si>
    <t>鼠标 0.621; 订书机 0.949; 手柄 0.235</t>
  </si>
  <si>
    <t>鼠标 3.45; 订书机 10.18; 手柄 6.34</t>
  </si>
  <si>
    <t>鼠标 [1.19,9.96]; 订书机 [3.11,33.32]; 手柄 [2.09,19.25]</t>
  </si>
  <si>
    <t>鼠标 0.022; 订书机 0.000; 手柄 0.001</t>
  </si>
  <si>
    <t>鼠标 3.71; 订书机 6.89; 手柄 14.52</t>
  </si>
  <si>
    <t>鼠标 [1.22,11.25]; 订书机 [2.19,21.66]; 手柄 [4.43,47.59]</t>
  </si>
  <si>
    <t>鼠标 0.020; 订书机 0.001; 手柄 0.000</t>
  </si>
  <si>
    <t>鼠标 1.34; 订书机 2.05; 手柄 17.29</t>
  </si>
  <si>
    <t>鼠标 [0.44,4.05]; 订书机 [0.65,6.41]; 手柄 [5.10,58.60]</t>
  </si>
  <si>
    <t>鼠标 0.606; 订书机 0.218; 手柄 0.000</t>
  </si>
  <si>
    <t>模型说明</t>
  </si>
  <si>
    <t>非正式CLMM</t>
  </si>
  <si>
    <t>每个条目含方法、物体、方法×物体、区块位置、对象内先后及参与者固定效应；OR 为各物体内 EgoAnchor 相对 One-Euro 的比例优势比。</t>
  </si>
  <si>
    <t>D. 逐物体描述（探索性；方向一致性检查，不作未校正的逐物体检验）</t>
  </si>
  <si>
    <t>差值</t>
  </si>
  <si>
    <t>方向</t>
  </si>
  <si>
    <t>EgoAnchor↑</t>
  </si>
  <si>
    <t>n=24/方法；描述性</t>
  </si>
  <si>
    <t>近似相同</t>
  </si>
  <si>
    <t>未启用</t>
  </si>
  <si>
    <t>Q10 默认停用</t>
  </si>
  <si>
    <t>AQ-EQ</t>
  </si>
  <si>
    <t>AQ-IQ</t>
  </si>
  <si>
    <t>One-Euro↑</t>
  </si>
  <si>
    <t>E. 操纵检验（等价界在预实验前冻结后填入；用 TOST，不以“不显著”代替等价）</t>
  </si>
  <si>
    <t>检验项</t>
  </si>
  <si>
    <t>差值/分布</t>
  </si>
  <si>
    <t>等价界(冻结)</t>
  </si>
  <si>
    <t>TOST_p</t>
  </si>
  <si>
    <t>判定</t>
  </si>
  <si>
    <t>候选到达率 Hz</t>
  </si>
  <si>
    <t>12.85 ± 0.58</t>
  </si>
  <si>
    <t>12.86 ± 0.48</t>
  </si>
  <si>
    <t>+0.007</t>
  </si>
  <si>
    <t>未提供</t>
  </si>
  <si>
    <t>NA</t>
  </si>
  <si>
    <t>仅描述</t>
  </si>
  <si>
    <t>未提供预冻结方法差等价界，不宣称等价</t>
  </si>
  <si>
    <t>VCD 分数中位</t>
  </si>
  <si>
    <t>0.785 ± 0.040</t>
  </si>
  <si>
    <t>0.798 ± 0.033</t>
  </si>
  <si>
    <t>+0.013</t>
  </si>
  <si>
    <t>VCD 接纳率</t>
  </si>
  <si>
    <t>88.6 ± 2.9%</t>
  </si>
  <si>
    <t>88.2 ± 2.9%</t>
  </si>
  <si>
    <t>-0.41 pp</t>
  </si>
  <si>
    <t>输出可用率</t>
  </si>
  <si>
    <t>99.1 ± 0.6%</t>
  </si>
  <si>
    <t>99.1 ± 0.5%</t>
  </si>
  <si>
    <t>-0.04 pp</t>
  </si>
  <si>
    <t>遮挡时长 s</t>
  </si>
  <si>
    <t>0.759 ± 0.037</t>
  </si>
  <si>
    <t>0.757 ± 0.034</t>
  </si>
  <si>
    <t>-0.002</t>
  </si>
  <si>
    <t>FrozenUncertain 事件占比</t>
  </si>
  <si>
    <t>72/72 (100.0%)</t>
  </si>
  <si>
    <t>+0.0 pp</t>
  </si>
  <si>
    <t>须为多数</t>
  </si>
  <si>
    <t>Lost 事件占比</t>
  </si>
  <si>
    <t>0/72 (0.0%)</t>
  </si>
  <si>
    <t>方法间平衡</t>
  </si>
  <si>
    <t>总计 61; 1.0 [1.0, 1.0]</t>
  </si>
  <si>
    <t>总计 62; 1.0 [1.0, 1.0]</t>
  </si>
  <si>
    <t>+1 次</t>
  </si>
  <si>
    <t>F. 最终测量计数</t>
  </si>
  <si>
    <t>测量</t>
  </si>
  <si>
    <t>方法A/先应</t>
  </si>
  <si>
    <t>方法B/后应</t>
  </si>
  <si>
    <t>无明显偏好/NA</t>
  </si>
  <si>
    <t>解码后 EgoAnchor</t>
  </si>
  <si>
    <t>解码后 One-Euro</t>
  </si>
  <si>
    <t>方法选择</t>
  </si>
  <si>
    <t>信任选择</t>
  </si>
  <si>
    <t>标签计数与离场后解码计数</t>
  </si>
  <si>
    <t>偏好强度分布(1-7)</t>
  </si>
  <si>
    <t>区分信心分布(1-7)</t>
  </si>
  <si>
    <t>1:0; 2:2; 3:4; 4:4; 5:6; 6:3; 7:0</t>
  </si>
  <si>
    <t>NA=5</t>
  </si>
  <si>
    <t>仅 19 名作出方向性偏好的参与者填写</t>
  </si>
  <si>
    <t>偏好×信任不一致人数</t>
  </si>
  <si>
    <t>1:0; 2:1; 3:0; 4:2; 5:5; 6:9; 7:7</t>
  </si>
  <si>
    <t>1–7 分；所有参与者填写</t>
  </si>
  <si>
    <t>结束不适分布</t>
  </si>
  <si>
    <t>含偏好/信任中的无明显选择；严格相反方法=1 人</t>
  </si>
  <si>
    <t>无:20</t>
  </si>
  <si>
    <t>轻微:2</t>
  </si>
  <si>
    <t>中等:2</t>
  </si>
  <si>
    <t>无严重不适</t>
  </si>
  <si>
    <t>G. 开放题双编码工作区（0/1 编码；两名编码者独立后讨论分歧；允许新增主题记入 Other）</t>
  </si>
  <si>
    <t>最明显区别(原文摘录)</t>
  </si>
  <si>
    <t>破坏信任(原文摘录)</t>
  </si>
  <si>
    <t>Stationary_Jitter</t>
  </si>
  <si>
    <t>Viewpoint_Drift</t>
  </si>
  <si>
    <t>Absolute_Offset</t>
  </si>
  <si>
    <t>Motion_Lag</t>
  </si>
  <si>
    <t>Motion_Sliding</t>
  </si>
  <si>
    <t>Orientation_Mismatch</t>
  </si>
  <si>
    <t>PostPlacement_Settling</t>
  </si>
  <si>
    <t>Recovery_Jump</t>
  </si>
  <si>
    <t>Wrong_Recovery</t>
  </si>
  <si>
    <t>Predictability</t>
  </si>
  <si>
    <t>Embedding_Blending</t>
  </si>
  <si>
    <t>No_Noticeable_Difference</t>
  </si>
  <si>
    <t>Other</t>
  </si>
  <si>
    <t>Coder1</t>
  </si>
  <si>
    <t>Coder2</t>
  </si>
  <si>
    <t>分歧备注</t>
  </si>
  <si>
    <t>Recovery_Jump, Stationary_Jitter, Viewpoint_Drift</t>
  </si>
  <si>
    <t>Motion_Lag, Stationary_Jitter, Viewpoint_Drift</t>
  </si>
  <si>
    <t>讨论后取有文本依据的并集；分歧：Motion_Lag, Recovery_Jump</t>
  </si>
  <si>
    <t>Embedding_Blending, Motion_Sliding, Recovery_Jump, Stationary_Jitter, Viewpoint_Drift</t>
  </si>
  <si>
    <t>无分歧</t>
  </si>
  <si>
    <t>Absolute_Offset, Embedding_Blending, Motion_Sliding, Orientation_Mismatch, Recovery_Jump, Stationary_Jitter</t>
  </si>
  <si>
    <t>Absolute_Offset, Motion_Lag, Recovery_Jump, Wrong_Recovery</t>
  </si>
  <si>
    <t>Absolute_Offset, Motion_Lag, Orientation_Mismatch, Predictability, Recovery_Jump, Wrong_Recovery</t>
  </si>
  <si>
    <t>讨论后取有文本依据的并集；分歧：Orientation_Mismatch, Predictability</t>
  </si>
  <si>
    <t>Embedding_Blending, Motion_Lag, Motion_Sliding, Predictability, Recovery_Jump, Stationary_Jitter</t>
  </si>
  <si>
    <t>Absolute_Offset, Recovery_Jump, Wrong_Recovery</t>
  </si>
  <si>
    <t>Absolute_Offset, Motion_Lag, Predictability, Recovery_Jump, Wrong_Recovery</t>
  </si>
  <si>
    <t>讨论后取有文本依据的并集；分歧：Motion_Lag, Predictability</t>
  </si>
  <si>
    <t>Motion_Lag, Orientation_Mismatch, Stationary_Jitter, Viewpoint_Drift</t>
  </si>
  <si>
    <t>讨论后取有文本依据的并集；分歧：Orientation_Mismatch</t>
  </si>
  <si>
    <t>Absolute_Offset, Motion_Lag, Motion_Sliding, Orientation_Mismatch</t>
  </si>
  <si>
    <t>Absolute_Offset, Embedding_Blending, Motion_Lag, Motion_Sliding, Orientation_Mismatch</t>
  </si>
  <si>
    <t>讨论后取有文本依据的并集；分歧：Embedding_Blending</t>
  </si>
  <si>
    <t>Absolute_Offset, Embedding_Blending, Motion_Sliding, Recovery_Jump, Stationary_Jitter, Wrong_Recovery</t>
  </si>
  <si>
    <t>Absolute_Offset, Embedding_Blending, Motion_Sliding, Predictability, Recovery_Jump, Stationary_Jitter, Wrong_Recovery</t>
  </si>
  <si>
    <t>讨论后取有文本依据的并集；分歧：Predictability</t>
  </si>
  <si>
    <t>Absolute_Offset, Motion_Sliding, Orientation_Mismatch, Recovery_Jump</t>
  </si>
  <si>
    <t>讨论后取有文本依据的并集；分歧：Embedding_Blending, Motion_Lag, Recovery_Jump</t>
  </si>
  <si>
    <t>SYNTHETIC DATA NOTICE / 模拟数据声明</t>
  </si>
  <si>
    <t>字段</t>
  </si>
  <si>
    <t>模型</t>
  </si>
  <si>
    <t>GPT-5.6-Thinking</t>
  </si>
  <si>
    <t>版本</t>
  </si>
  <si>
    <t>v3</t>
  </si>
  <si>
    <t>生成日期</t>
  </si>
  <si>
    <t>2026-07-27</t>
  </si>
  <si>
    <t>主随机种子</t>
  </si>
  <si>
    <t>模拟规模</t>
  </si>
  <si>
    <t>24 名独立模拟参与者；144 个方法×物体区块；48 份方法级问卷；24 份最终问卷</t>
  </si>
  <si>
    <t>数据性质</t>
  </si>
  <si>
    <t>全部为合成数据，不代表真实人类参与者，不得作为 IEEE VR 论文的实证结果或伦理审批下的被试数据。</t>
  </si>
  <si>
    <t>已读取输入</t>
  </si>
  <si>
    <t>实验三 v5.1 空白采集模板、论文手稿中的实验三设计、replay_grid 图与 JSON 配置。</t>
  </si>
  <si>
    <t>明确未读取</t>
  </si>
  <si>
    <t>task_4_complete(3).xlsx、task_5_complete(4).xlsx，以及任何其他既有模拟结果。</t>
  </si>
  <si>
    <t>独立性</t>
  </si>
  <si>
    <t>每位模拟参与者使用独立随机种子，并具有独立的人口学、经验、稳定性偏好、响应性偏好、信任倾向、疲劳与噪声。</t>
  </si>
  <si>
    <t>用途边界：本工作簿用于流程演练、问卷计分公式验证、分析脚本调试与功效/稳健性管线测试。正式投稿中的用户研究结果必须由真实招募、知情同意、伦理审批/豁免与冻结协议下的实际采集产生。</t>
  </si>
  <si>
    <t>Formula-driven questionnaire subscores / 公式驱动问卷小分</t>
  </si>
  <si>
    <t>所有小分直接引用 Records 原始应答；修改原始分后，Excel 将自动重算。TiA 反向项仅在本表派生，不覆盖原始分。</t>
  </si>
  <si>
    <t>Condition</t>
  </si>
  <si>
    <t>AQ_EQ_mean</t>
  </si>
  <si>
    <t>AQ_IQ_mean</t>
  </si>
  <si>
    <t>Block_Valid</t>
  </si>
  <si>
    <t>Source_Row</t>
  </si>
  <si>
    <t>方法级分量表（TiA 反向计分 + S-TIAS）</t>
  </si>
  <si>
    <t>RC3_rev</t>
  </si>
  <si>
    <t>RC5_rev</t>
  </si>
  <si>
    <t>UP2_rev</t>
  </si>
  <si>
    <t>UP4_rev</t>
  </si>
  <si>
    <t>TiA_RC_mean</t>
  </si>
  <si>
    <t>TiA_UP_mean</t>
  </si>
  <si>
    <t>S_TIAS_mean</t>
  </si>
  <si>
    <t>Duration_s</t>
  </si>
  <si>
    <t>参与者×方法三物体汇总（主分析输入）</t>
  </si>
  <si>
    <t>Q1_mean</t>
  </si>
  <si>
    <t>Q8_mean</t>
  </si>
  <si>
    <t>Q2_mean</t>
  </si>
  <si>
    <t>Q9_mean</t>
  </si>
  <si>
    <t>Q3_mean</t>
  </si>
  <si>
    <t>Q6_mean</t>
  </si>
  <si>
    <t>Q7_mean</t>
  </si>
  <si>
    <t>TiA_RC</t>
  </si>
  <si>
    <t>TiA_UP</t>
  </si>
  <si>
    <t>S_TIAS</t>
  </si>
  <si>
    <t>Valid_Blocks</t>
  </si>
  <si>
    <t>Final_Method_Choice</t>
  </si>
  <si>
    <t>Final_Trust_Choice</t>
  </si>
  <si>
    <t>Preference_Strength</t>
  </si>
  <si>
    <t>Discrimination_Confidence</t>
  </si>
  <si>
    <t>Source_Block_Rows</t>
  </si>
  <si>
    <t>Source_Method_Row</t>
  </si>
  <si>
    <t>GPT-5.6-Thinking v3 — Synthetic Experiment 3 Summary</t>
  </si>
  <si>
    <t>仅用于模拟、公式验证和分析管线测试；不是实际用户研究结果。</t>
  </si>
  <si>
    <t>One-Euro 均值</t>
  </si>
  <si>
    <t>EgoAnchor 均值</t>
  </si>
  <si>
    <t>差值(EA-OE)</t>
  </si>
  <si>
    <t>最终选择</t>
  </si>
  <si>
    <t>合计</t>
  </si>
  <si>
    <t>数据完整性</t>
  </si>
  <si>
    <t>公式</t>
  </si>
  <si>
    <t>期望</t>
  </si>
  <si>
    <t>有效区块数</t>
  </si>
  <si>
    <t>区块评分数(Q10除外)</t>
  </si>
  <si>
    <t>Q10 已填写数</t>
  </si>
  <si>
    <t>方法级问卷数</t>
  </si>
  <si>
    <t>最终问卷数</t>
  </si>
  <si>
    <t>进入 Lost 区块</t>
  </si>
  <si>
    <t>人口学摘要</t>
  </si>
  <si>
    <t>数值</t>
  </si>
  <si>
    <t>模拟机制摘要</t>
  </si>
  <si>
    <t>平均年龄</t>
  </si>
  <si>
    <t>岁</t>
  </si>
  <si>
    <t>每位参与者独立生成：人口学与经验、稳定/响应偏好、信任倾向、区分能力、疲劳、顺序效应和偶发主观事件。物体难度按鼠标（弱纹理）、订书机（方向性明确）、游戏手柄（遮挡更强）建模。EgoAnchor 的主要预期优势集中在静止稳定、位置正确、遮挡恢复与依赖意愿；运动附着和交互质量保留权衡与个体差异。</t>
  </si>
  <si>
    <t>女性人数</t>
  </si>
  <si>
    <t>男性人数</t>
  </si>
  <si>
    <t>右手人数</t>
  </si>
  <si>
    <t>VR/MR 经常使用</t>
  </si>
  <si>
    <t>基线轻微不适</t>
  </si>
  <si>
    <t>结束轻微/中等不适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</si>
</sst>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0.0000"/>
    <numFmt numFmtId="178" formatCode="yyyy\-mm\-dd\ hh:mm:ss"/>
    <numFmt numFmtId="179" formatCode="0.000"/>
    <numFmt numFmtId="180" formatCode="yyyy\-mm\-dd\ hh:mm"/>
  </numFmts>
  <fonts count="37">
    <font>
      <sz val="11"/>
      <color theme="1"/>
      <name val="Calibri"/>
      <charset val="134"/>
    </font>
    <font>
      <b/>
      <sz val="15"/>
      <color rgb="FFFFFFFF"/>
      <name val="Calibri"/>
      <charset val="134"/>
    </font>
    <font>
      <b/>
      <sz val="11"/>
      <color rgb="FF7F1D1D"/>
      <name val="Calibri"/>
      <charset val="134"/>
    </font>
    <font>
      <b/>
      <sz val="11"/>
      <color rgb="FFFFFFFF"/>
      <name val="Calibri"/>
      <charset val="134"/>
    </font>
    <font>
      <i/>
      <sz val="11"/>
      <color rgb="FF123047"/>
      <name val="Calibri"/>
      <charset val="134"/>
    </font>
    <font>
      <b/>
      <sz val="16"/>
      <color rgb="FFFFFFFF"/>
      <name val="Calibri"/>
      <charset val="134"/>
    </font>
    <font>
      <b/>
      <sz val="12"/>
      <color rgb="FF7F1D1D"/>
      <name val="Calibri"/>
      <charset val="134"/>
    </font>
    <font>
      <b/>
      <sz val="10"/>
      <color rgb="FF9C0006"/>
      <name val="Calibri"/>
      <charset val="134"/>
    </font>
    <font>
      <b/>
      <sz val="10"/>
      <color rgb="FF22313F"/>
      <name val="Calibri"/>
      <charset val="134"/>
    </font>
    <font>
      <sz val="10"/>
      <color rgb="FF22313F"/>
      <name val="Calibri"/>
      <charset val="134"/>
    </font>
    <font>
      <b/>
      <sz val="10"/>
      <color rgb="FFA23B3B"/>
      <name val="Calibri"/>
      <charset val="134"/>
    </font>
    <font>
      <sz val="10"/>
      <color rgb="FF5D6B78"/>
      <name val="Calibri"/>
      <charset val="134"/>
    </font>
    <font>
      <b/>
      <sz val="10"/>
      <color rgb="FFFFFFFF"/>
      <name val="Calibri"/>
      <charset val="134"/>
    </font>
    <font>
      <b/>
      <sz val="10"/>
      <color rgb="FF6E5314"/>
      <name val="Calibri"/>
      <charset val="134"/>
    </font>
    <font>
      <b/>
      <sz val="10"/>
      <color rgb="FF3F7652"/>
      <name val="Calibri"/>
      <charset val="134"/>
    </font>
    <font>
      <b/>
      <sz val="10"/>
      <color rgb="FF8A6415"/>
      <name val="Calibri"/>
      <charset val="134"/>
    </font>
    <font>
      <b/>
      <sz val="10"/>
      <color rgb="FF6650A4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12304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2F6F73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DCEAF2"/>
        <bgColor indexed="64"/>
      </patternFill>
    </fill>
    <fill>
      <patternFill patternType="solid">
        <fgColor rgb="FF7F1D1D"/>
        <bgColor indexed="64"/>
      </patternFill>
    </fill>
    <fill>
      <patternFill patternType="solid">
        <fgColor rgb="FF0F4C5C"/>
        <bgColor indexed="64"/>
      </patternFill>
    </fill>
    <fill>
      <patternFill patternType="solid">
        <fgColor rgb="FF18324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6D70"/>
        <bgColor indexed="64"/>
      </patternFill>
    </fill>
    <fill>
      <patternFill patternType="solid">
        <fgColor rgb="FFDCEAF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8F3E8"/>
        <bgColor indexed="64"/>
      </patternFill>
    </fill>
    <fill>
      <patternFill patternType="solid">
        <fgColor rgb="FFFCE8D5"/>
        <bgColor indexed="64"/>
      </patternFill>
    </fill>
    <fill>
      <patternFill patternType="solid">
        <fgColor rgb="FFFFF6D9"/>
        <bgColor indexed="64"/>
      </patternFill>
    </fill>
    <fill>
      <patternFill patternType="solid">
        <fgColor rgb="FFFBE4E6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6650A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rgb="FFD8DEE6"/>
      </left>
      <right/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 style="thin">
        <color rgb="FFD8DEE6"/>
      </bottom>
      <diagonal/>
    </border>
    <border>
      <left/>
      <right style="thin">
        <color rgb="FFD8DEE6"/>
      </right>
      <top style="thin">
        <color rgb="FFD8DEE6"/>
      </top>
      <bottom style="thin">
        <color rgb="FFD8DEE6"/>
      </bottom>
      <diagonal/>
    </border>
    <border>
      <left style="thin">
        <color rgb="FFD8DEE6"/>
      </left>
      <right/>
      <top/>
      <bottom/>
      <diagonal/>
    </border>
    <border>
      <left/>
      <right style="thin">
        <color rgb="FFD8DEE6"/>
      </right>
      <top/>
      <bottom/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 style="medium">
        <color rgb="FF2F6F73"/>
      </bottom>
      <diagonal/>
    </border>
    <border>
      <left/>
      <right/>
      <top/>
      <bottom style="medium">
        <color rgb="FF2F6F73"/>
      </bottom>
      <diagonal/>
    </border>
    <border>
      <left style="thin">
        <color rgb="FFD8DEE6"/>
      </left>
      <right/>
      <top/>
      <bottom style="medium">
        <color rgb="FF6650A4"/>
      </bottom>
      <diagonal/>
    </border>
    <border>
      <left/>
      <right/>
      <top/>
      <bottom style="medium">
        <color rgb="FF6650A4"/>
      </bottom>
      <diagonal/>
    </border>
    <border>
      <left/>
      <right style="thin">
        <color rgb="FFD8DEE6"/>
      </right>
      <top/>
      <bottom style="medium">
        <color rgb="FF2F6F7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7" fillId="0" borderId="0">
      <alignment vertical="center"/>
    </xf>
    <xf numFmtId="43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22" borderId="1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3" borderId="20" applyNumberFormat="0" applyAlignment="0" applyProtection="0">
      <alignment vertical="center"/>
    </xf>
    <xf numFmtId="0" fontId="27" fillId="24" borderId="21" applyNumberFormat="0" applyAlignment="0" applyProtection="0">
      <alignment vertical="center"/>
    </xf>
    <xf numFmtId="0" fontId="28" fillId="24" borderId="20" applyNumberFormat="0" applyAlignment="0" applyProtection="0">
      <alignment vertical="center"/>
    </xf>
    <xf numFmtId="0" fontId="29" fillId="25" borderId="22" applyNumberFormat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31" fillId="0" borderId="24" applyNumberFormat="0" applyFill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5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0" fontId="36" fillId="50" borderId="0" applyNumberFormat="0" applyBorder="0" applyAlignment="0" applyProtection="0">
      <alignment vertical="center"/>
    </xf>
    <xf numFmtId="0" fontId="36" fillId="51" borderId="0" applyNumberFormat="0" applyBorder="0" applyAlignment="0" applyProtection="0">
      <alignment vertical="center"/>
    </xf>
    <xf numFmtId="0" fontId="35" fillId="52" borderId="0" applyNumberFormat="0" applyBorder="0" applyAlignment="0" applyProtection="0">
      <alignment vertical="center"/>
    </xf>
    <xf numFmtId="0" fontId="0" fillId="0" borderId="0"/>
  </cellStyleXfs>
  <cellXfs count="151">
    <xf numFmtId="0" fontId="0" fillId="0" borderId="0" xfId="49"/>
    <xf numFmtId="0" fontId="1" fillId="2" borderId="0" xfId="49" applyNumberFormat="1" applyFont="1" applyFill="1" applyAlignment="1">
      <alignment horizontal="center"/>
    </xf>
    <xf numFmtId="0" fontId="2" fillId="3" borderId="0" xfId="49" applyNumberFormat="1" applyFont="1" applyFill="1" applyAlignment="1">
      <alignment horizontal="center"/>
    </xf>
    <xf numFmtId="0" fontId="0" fillId="0" borderId="0" xfId="49" applyNumberFormat="1" applyFont="1" applyFill="1"/>
    <xf numFmtId="0" fontId="3" fillId="4" borderId="0" xfId="49" applyNumberFormat="1" applyFont="1" applyFill="1"/>
    <xf numFmtId="2" fontId="0" fillId="0" borderId="0" xfId="49" applyNumberFormat="1" applyFont="1" applyFill="1"/>
    <xf numFmtId="176" fontId="0" fillId="0" borderId="0" xfId="49" applyNumberFormat="1" applyFont="1" applyFill="1"/>
    <xf numFmtId="0" fontId="0" fillId="5" borderId="0" xfId="49" applyNumberFormat="1" applyFont="1" applyFill="1" applyAlignment="1">
      <alignment vertical="top" wrapText="1"/>
    </xf>
    <xf numFmtId="0" fontId="4" fillId="6" borderId="0" xfId="49" applyNumberFormat="1" applyFont="1" applyFill="1" applyAlignment="1">
      <alignment wrapText="1"/>
    </xf>
    <xf numFmtId="0" fontId="3" fillId="4" borderId="0" xfId="49" applyNumberFormat="1" applyFont="1" applyFill="1" applyAlignment="1">
      <alignment horizontal="center" wrapText="1"/>
    </xf>
    <xf numFmtId="1" fontId="0" fillId="0" borderId="0" xfId="49" applyNumberFormat="1" applyFont="1" applyFill="1"/>
    <xf numFmtId="0" fontId="3" fillId="2" borderId="0" xfId="49" applyNumberFormat="1" applyFont="1" applyFill="1"/>
    <xf numFmtId="0" fontId="5" fillId="7" borderId="0" xfId="49" applyNumberFormat="1" applyFont="1" applyFill="1" applyAlignment="1">
      <alignment horizontal="center" vertical="center"/>
    </xf>
    <xf numFmtId="0" fontId="3" fillId="8" borderId="0" xfId="49" applyNumberFormat="1" applyFont="1" applyFill="1" applyAlignment="1">
      <alignment wrapText="1"/>
    </xf>
    <xf numFmtId="0" fontId="0" fillId="0" borderId="0" xfId="49" applyNumberFormat="1" applyFont="1" applyFill="1" applyAlignment="1">
      <alignment wrapText="1"/>
    </xf>
    <xf numFmtId="0" fontId="6" fillId="3" borderId="0" xfId="49" applyNumberFormat="1" applyFont="1" applyFill="1" applyAlignment="1">
      <alignment vertical="center" wrapText="1"/>
    </xf>
    <xf numFmtId="0" fontId="1" fillId="9" borderId="0" xfId="49" applyFont="1" applyFill="1" applyAlignment="1">
      <alignment vertical="center" wrapText="1"/>
    </xf>
    <xf numFmtId="0" fontId="7" fillId="10" borderId="0" xfId="49" applyNumberFormat="1" applyFont="1" applyFill="1" applyBorder="1" applyAlignment="1">
      <alignment vertical="center" wrapText="1"/>
    </xf>
    <xf numFmtId="0" fontId="3" fillId="4" borderId="0" xfId="49" applyFont="1" applyFill="1" applyAlignment="1">
      <alignment vertical="center" wrapText="1"/>
    </xf>
    <xf numFmtId="0" fontId="3" fillId="11" borderId="0" xfId="49" applyNumberFormat="1" applyFont="1" applyFill="1" applyBorder="1" applyAlignment="1">
      <alignment horizontal="center"/>
    </xf>
    <xf numFmtId="0" fontId="8" fillId="12" borderId="1" xfId="49" applyFont="1" applyFill="1" applyBorder="1" applyAlignment="1">
      <alignment horizontal="center" vertical="center" wrapText="1"/>
    </xf>
    <xf numFmtId="0" fontId="8" fillId="12" borderId="2" xfId="49" applyFont="1" applyFill="1" applyBorder="1" applyAlignment="1">
      <alignment horizontal="center" vertical="center" wrapText="1"/>
    </xf>
    <xf numFmtId="0" fontId="8" fillId="12" borderId="3" xfId="49" applyFont="1" applyFill="1" applyBorder="1" applyAlignment="1">
      <alignment horizontal="center" vertical="center" wrapText="1"/>
    </xf>
    <xf numFmtId="0" fontId="8" fillId="13" borderId="2" xfId="49" applyNumberFormat="1" applyFont="1" applyFill="1" applyBorder="1" applyAlignment="1">
      <alignment horizontal="center" vertical="center" wrapText="1"/>
    </xf>
    <xf numFmtId="2" fontId="8" fillId="12" borderId="2" xfId="49" applyNumberFormat="1" applyFont="1" applyFill="1" applyBorder="1" applyAlignment="1">
      <alignment horizontal="center" vertical="center" wrapText="1"/>
    </xf>
    <xf numFmtId="0" fontId="9" fillId="14" borderId="4" xfId="49" applyFont="1" applyFill="1" applyBorder="1" applyAlignment="1">
      <alignment vertical="center" wrapText="1"/>
    </xf>
    <xf numFmtId="0" fontId="9" fillId="14" borderId="0" xfId="49" applyFont="1" applyFill="1" applyAlignment="1">
      <alignment vertical="center" wrapText="1"/>
    </xf>
    <xf numFmtId="0" fontId="9" fillId="15" borderId="0" xfId="49" applyNumberFormat="1" applyFont="1" applyFill="1" applyBorder="1" applyAlignment="1">
      <alignment vertical="center" wrapText="1"/>
    </xf>
    <xf numFmtId="177" fontId="9" fillId="15" borderId="0" xfId="49" applyNumberFormat="1" applyFont="1" applyFill="1" applyBorder="1" applyAlignment="1">
      <alignment vertical="center" wrapText="1"/>
    </xf>
    <xf numFmtId="0" fontId="9" fillId="15" borderId="5" xfId="49" applyNumberFormat="1" applyFont="1" applyFill="1" applyBorder="1" applyAlignment="1">
      <alignment vertical="center" wrapText="1"/>
    </xf>
    <xf numFmtId="0" fontId="9" fillId="0" borderId="0" xfId="49" applyFont="1" applyAlignment="1">
      <alignment vertical="center" wrapText="1"/>
    </xf>
    <xf numFmtId="0" fontId="9" fillId="13" borderId="0" xfId="49" applyNumberFormat="1" applyFont="1" applyFill="1" applyBorder="1" applyAlignment="1">
      <alignment vertical="center" wrapText="1"/>
    </xf>
    <xf numFmtId="2" fontId="9" fillId="0" borderId="0" xfId="49" applyNumberFormat="1" applyFont="1" applyFill="1" applyBorder="1" applyAlignment="1">
      <alignment vertical="center" wrapText="1"/>
    </xf>
    <xf numFmtId="0" fontId="9" fillId="14" borderId="6" xfId="49" applyFont="1" applyFill="1" applyBorder="1" applyAlignment="1">
      <alignment vertical="center" wrapText="1"/>
    </xf>
    <xf numFmtId="0" fontId="9" fillId="14" borderId="7" xfId="49" applyFont="1" applyFill="1" applyBorder="1" applyAlignment="1">
      <alignment vertical="center" wrapText="1"/>
    </xf>
    <xf numFmtId="0" fontId="9" fillId="15" borderId="7" xfId="49" applyNumberFormat="1" applyFont="1" applyFill="1" applyBorder="1" applyAlignment="1">
      <alignment vertical="center" wrapText="1"/>
    </xf>
    <xf numFmtId="177" fontId="9" fillId="15" borderId="7" xfId="49" applyNumberFormat="1" applyFont="1" applyFill="1" applyBorder="1" applyAlignment="1">
      <alignment vertical="center" wrapText="1"/>
    </xf>
    <xf numFmtId="0" fontId="9" fillId="15" borderId="8" xfId="49" applyNumberFormat="1" applyFont="1" applyFill="1" applyBorder="1" applyAlignment="1">
      <alignment vertical="center" wrapText="1"/>
    </xf>
    <xf numFmtId="0" fontId="9" fillId="15" borderId="4" xfId="49" applyNumberFormat="1" applyFont="1" applyFill="1" applyBorder="1" applyAlignment="1">
      <alignment vertical="center" wrapText="1"/>
    </xf>
    <xf numFmtId="0" fontId="9" fillId="15" borderId="4" xfId="49" applyFont="1" applyFill="1" applyBorder="1" applyAlignment="1">
      <alignment vertical="center" wrapText="1"/>
    </xf>
    <xf numFmtId="0" fontId="9" fillId="15" borderId="0" xfId="49" applyFont="1" applyFill="1" applyAlignment="1">
      <alignment vertical="center" wrapText="1"/>
    </xf>
    <xf numFmtId="0" fontId="9" fillId="15" borderId="5" xfId="49" applyFont="1" applyFill="1" applyBorder="1" applyAlignment="1">
      <alignment vertical="center" wrapText="1"/>
    </xf>
    <xf numFmtId="0" fontId="9" fillId="15" borderId="6" xfId="49" applyFont="1" applyFill="1" applyBorder="1" applyAlignment="1">
      <alignment vertical="center" wrapText="1"/>
    </xf>
    <xf numFmtId="0" fontId="9" fillId="15" borderId="7" xfId="49" applyFont="1" applyFill="1" applyBorder="1" applyAlignment="1">
      <alignment vertical="center" wrapText="1"/>
    </xf>
    <xf numFmtId="0" fontId="9" fillId="15" borderId="8" xfId="49" applyFont="1" applyFill="1" applyBorder="1" applyAlignment="1">
      <alignment vertical="center" wrapText="1"/>
    </xf>
    <xf numFmtId="2" fontId="9" fillId="15" borderId="0" xfId="49" applyNumberFormat="1" applyFont="1" applyFill="1" applyBorder="1" applyAlignment="1">
      <alignment vertical="center" wrapText="1"/>
    </xf>
    <xf numFmtId="0" fontId="8" fillId="14" borderId="4" xfId="49" applyFont="1" applyFill="1" applyBorder="1" applyAlignment="1">
      <alignment vertical="center" wrapText="1"/>
    </xf>
    <xf numFmtId="0" fontId="8" fillId="14" borderId="0" xfId="49" applyFont="1" applyFill="1" applyAlignment="1">
      <alignment vertical="center" wrapText="1"/>
    </xf>
    <xf numFmtId="0" fontId="8" fillId="15" borderId="0" xfId="49" applyFont="1" applyFill="1" applyAlignment="1">
      <alignment vertical="center" wrapText="1"/>
    </xf>
    <xf numFmtId="0" fontId="8" fillId="15" borderId="5" xfId="49" applyFont="1" applyFill="1" applyBorder="1" applyAlignment="1">
      <alignment vertical="center" wrapText="1"/>
    </xf>
    <xf numFmtId="0" fontId="8" fillId="0" borderId="0" xfId="49" applyFont="1" applyAlignment="1">
      <alignment vertical="center" wrapText="1"/>
    </xf>
    <xf numFmtId="0" fontId="9" fillId="14" borderId="0" xfId="49" applyNumberFormat="1" applyFont="1" applyFill="1" applyBorder="1" applyAlignment="1">
      <alignment vertical="center" wrapText="1"/>
    </xf>
    <xf numFmtId="0" fontId="9" fillId="0" borderId="0" xfId="49" applyNumberFormat="1" applyFont="1" applyFill="1" applyBorder="1" applyAlignment="1">
      <alignment vertical="center" wrapText="1"/>
    </xf>
    <xf numFmtId="0" fontId="9" fillId="14" borderId="7" xfId="49" applyNumberFormat="1" applyFont="1" applyFill="1" applyBorder="1" applyAlignment="1">
      <alignment vertical="center" wrapText="1"/>
    </xf>
    <xf numFmtId="0" fontId="0" fillId="0" borderId="0" xfId="49" applyNumberFormat="1" applyFont="1" applyFill="1" applyBorder="1" applyAlignment="1">
      <alignment wrapText="1"/>
    </xf>
    <xf numFmtId="0" fontId="8" fillId="12" borderId="2" xfId="49" applyNumberFormat="1" applyFont="1" applyFill="1" applyBorder="1" applyAlignment="1">
      <alignment horizontal="center" vertical="center" wrapText="1"/>
    </xf>
    <xf numFmtId="0" fontId="8" fillId="12" borderId="3" xfId="49" applyNumberFormat="1" applyFont="1" applyFill="1" applyBorder="1" applyAlignment="1">
      <alignment horizontal="center" vertical="center" wrapText="1"/>
    </xf>
    <xf numFmtId="1" fontId="9" fillId="15" borderId="0" xfId="49" applyNumberFormat="1" applyFont="1" applyFill="1" applyBorder="1" applyAlignment="1">
      <alignment horizontal="center" vertical="center" wrapText="1"/>
    </xf>
    <xf numFmtId="1" fontId="9" fillId="15" borderId="7" xfId="49" applyNumberFormat="1" applyFont="1" applyFill="1" applyBorder="1" applyAlignment="1">
      <alignment horizontal="center" vertical="center" wrapText="1"/>
    </xf>
    <xf numFmtId="1" fontId="9" fillId="0" borderId="0" xfId="49" applyNumberFormat="1" applyFont="1" applyFill="1" applyBorder="1" applyAlignment="1">
      <alignment horizontal="center" vertical="center" wrapText="1"/>
    </xf>
    <xf numFmtId="0" fontId="9" fillId="14" borderId="9" xfId="49" applyFont="1" applyFill="1" applyBorder="1" applyAlignment="1">
      <alignment vertical="center" wrapText="1"/>
    </xf>
    <xf numFmtId="0" fontId="9" fillId="14" borderId="10" xfId="49" applyFont="1" applyFill="1" applyBorder="1" applyAlignment="1">
      <alignment vertical="center" wrapText="1"/>
    </xf>
    <xf numFmtId="0" fontId="9" fillId="16" borderId="10" xfId="49" applyFont="1" applyFill="1" applyBorder="1" applyAlignment="1">
      <alignment vertical="center" wrapText="1"/>
    </xf>
    <xf numFmtId="0" fontId="10" fillId="17" borderId="10" xfId="49" applyFont="1" applyFill="1" applyBorder="1" applyAlignment="1">
      <alignment vertical="center" wrapText="1"/>
    </xf>
    <xf numFmtId="178" fontId="9" fillId="16" borderId="10" xfId="49" applyNumberFormat="1" applyFont="1" applyFill="1" applyBorder="1" applyAlignment="1">
      <alignment vertical="center" wrapText="1"/>
    </xf>
    <xf numFmtId="176" fontId="9" fillId="16" borderId="10" xfId="49" applyNumberFormat="1" applyFont="1" applyFill="1" applyBorder="1" applyAlignment="1">
      <alignment vertical="center" wrapText="1"/>
    </xf>
    <xf numFmtId="179" fontId="9" fillId="18" borderId="10" xfId="49" applyNumberFormat="1" applyFont="1" applyFill="1" applyBorder="1" applyAlignment="1">
      <alignment vertical="center" wrapText="1"/>
    </xf>
    <xf numFmtId="0" fontId="9" fillId="18" borderId="10" xfId="49" applyFont="1" applyFill="1" applyBorder="1" applyAlignment="1">
      <alignment vertical="center" wrapText="1"/>
    </xf>
    <xf numFmtId="1" fontId="9" fillId="18" borderId="10" xfId="49" applyNumberFormat="1" applyFont="1" applyFill="1" applyBorder="1" applyAlignment="1">
      <alignment vertical="center" wrapText="1"/>
    </xf>
    <xf numFmtId="0" fontId="9" fillId="18" borderId="11" xfId="49" applyFont="1" applyFill="1" applyBorder="1" applyAlignment="1">
      <alignment vertical="center" wrapText="1"/>
    </xf>
    <xf numFmtId="0" fontId="9" fillId="16" borderId="0" xfId="49" applyFont="1" applyFill="1" applyAlignment="1">
      <alignment vertical="center" wrapText="1"/>
    </xf>
    <xf numFmtId="0" fontId="10" fillId="17" borderId="0" xfId="49" applyFont="1" applyFill="1" applyAlignment="1">
      <alignment vertical="center" wrapText="1"/>
    </xf>
    <xf numFmtId="178" fontId="9" fillId="16" borderId="0" xfId="49" applyNumberFormat="1" applyFont="1" applyFill="1" applyBorder="1" applyAlignment="1">
      <alignment vertical="center" wrapText="1"/>
    </xf>
    <xf numFmtId="176" fontId="9" fillId="16" borderId="0" xfId="49" applyNumberFormat="1" applyFont="1" applyFill="1" applyBorder="1" applyAlignment="1">
      <alignment vertical="center" wrapText="1"/>
    </xf>
    <xf numFmtId="179" fontId="9" fillId="18" borderId="0" xfId="49" applyNumberFormat="1" applyFont="1" applyFill="1" applyBorder="1" applyAlignment="1">
      <alignment vertical="center" wrapText="1"/>
    </xf>
    <xf numFmtId="0" fontId="9" fillId="18" borderId="0" xfId="49" applyFont="1" applyFill="1" applyAlignment="1">
      <alignment vertical="center" wrapText="1"/>
    </xf>
    <xf numFmtId="1" fontId="9" fillId="18" borderId="0" xfId="49" applyNumberFormat="1" applyFont="1" applyFill="1" applyBorder="1" applyAlignment="1">
      <alignment vertical="center" wrapText="1"/>
    </xf>
    <xf numFmtId="0" fontId="9" fillId="18" borderId="5" xfId="49" applyFont="1" applyFill="1" applyBorder="1" applyAlignment="1">
      <alignment vertical="center" wrapText="1"/>
    </xf>
    <xf numFmtId="0" fontId="9" fillId="14" borderId="12" xfId="49" applyFont="1" applyFill="1" applyBorder="1" applyAlignment="1">
      <alignment vertical="center" wrapText="1"/>
    </xf>
    <xf numFmtId="0" fontId="9" fillId="14" borderId="13" xfId="49" applyFont="1" applyFill="1" applyBorder="1" applyAlignment="1">
      <alignment vertical="center" wrapText="1"/>
    </xf>
    <xf numFmtId="0" fontId="9" fillId="16" borderId="13" xfId="49" applyFont="1" applyFill="1" applyBorder="1" applyAlignment="1">
      <alignment vertical="center" wrapText="1"/>
    </xf>
    <xf numFmtId="0" fontId="10" fillId="17" borderId="13" xfId="49" applyFont="1" applyFill="1" applyBorder="1" applyAlignment="1">
      <alignment vertical="center" wrapText="1"/>
    </xf>
    <xf numFmtId="178" fontId="9" fillId="16" borderId="13" xfId="49" applyNumberFormat="1" applyFont="1" applyFill="1" applyBorder="1" applyAlignment="1">
      <alignment vertical="center" wrapText="1"/>
    </xf>
    <xf numFmtId="176" fontId="9" fillId="16" borderId="13" xfId="49" applyNumberFormat="1" applyFont="1" applyFill="1" applyBorder="1" applyAlignment="1">
      <alignment vertical="center" wrapText="1"/>
    </xf>
    <xf numFmtId="179" fontId="9" fillId="18" borderId="13" xfId="49" applyNumberFormat="1" applyFont="1" applyFill="1" applyBorder="1" applyAlignment="1">
      <alignment vertical="center" wrapText="1"/>
    </xf>
    <xf numFmtId="0" fontId="9" fillId="18" borderId="13" xfId="49" applyFont="1" applyFill="1" applyBorder="1" applyAlignment="1">
      <alignment vertical="center" wrapText="1"/>
    </xf>
    <xf numFmtId="1" fontId="9" fillId="18" borderId="13" xfId="49" applyNumberFormat="1" applyFont="1" applyFill="1" applyBorder="1" applyAlignment="1">
      <alignment vertical="center" wrapText="1"/>
    </xf>
    <xf numFmtId="0" fontId="9" fillId="16" borderId="11" xfId="49" applyFont="1" applyFill="1" applyBorder="1" applyAlignment="1">
      <alignment vertical="center" wrapText="1"/>
    </xf>
    <xf numFmtId="0" fontId="9" fillId="14" borderId="14" xfId="49" applyFont="1" applyFill="1" applyBorder="1" applyAlignment="1">
      <alignment vertical="center" wrapText="1"/>
    </xf>
    <xf numFmtId="0" fontId="9" fillId="14" borderId="15" xfId="49" applyFont="1" applyFill="1" applyBorder="1" applyAlignment="1">
      <alignment vertical="center" wrapText="1"/>
    </xf>
    <xf numFmtId="0" fontId="9" fillId="16" borderId="15" xfId="49" applyFont="1" applyFill="1" applyBorder="1" applyAlignment="1">
      <alignment vertical="center" wrapText="1"/>
    </xf>
    <xf numFmtId="0" fontId="10" fillId="17" borderId="15" xfId="49" applyFont="1" applyFill="1" applyBorder="1" applyAlignment="1">
      <alignment vertical="center" wrapText="1"/>
    </xf>
    <xf numFmtId="178" fontId="9" fillId="16" borderId="15" xfId="49" applyNumberFormat="1" applyFont="1" applyFill="1" applyBorder="1" applyAlignment="1">
      <alignment vertical="center" wrapText="1"/>
    </xf>
    <xf numFmtId="176" fontId="9" fillId="16" borderId="15" xfId="49" applyNumberFormat="1" applyFont="1" applyFill="1" applyBorder="1" applyAlignment="1">
      <alignment vertical="center" wrapText="1"/>
    </xf>
    <xf numFmtId="0" fontId="9" fillId="16" borderId="5" xfId="49" applyFont="1" applyFill="1" applyBorder="1" applyAlignment="1">
      <alignment vertical="center" wrapText="1"/>
    </xf>
    <xf numFmtId="0" fontId="11" fillId="18" borderId="10" xfId="49" applyFont="1" applyFill="1" applyBorder="1" applyAlignment="1">
      <alignment vertical="center" wrapText="1"/>
    </xf>
    <xf numFmtId="0" fontId="11" fillId="18" borderId="0" xfId="49" applyFont="1" applyFill="1" applyAlignment="1">
      <alignment vertical="center" wrapText="1"/>
    </xf>
    <xf numFmtId="0" fontId="9" fillId="16" borderId="7" xfId="49" applyFont="1" applyFill="1" applyBorder="1" applyAlignment="1">
      <alignment vertical="center" wrapText="1"/>
    </xf>
    <xf numFmtId="0" fontId="11" fillId="18" borderId="7" xfId="49" applyFont="1" applyFill="1" applyBorder="1" applyAlignment="1">
      <alignment vertical="center" wrapText="1"/>
    </xf>
    <xf numFmtId="0" fontId="9" fillId="16" borderId="8" xfId="49" applyFont="1" applyFill="1" applyBorder="1" applyAlignment="1">
      <alignment vertical="center" wrapText="1"/>
    </xf>
    <xf numFmtId="0" fontId="10" fillId="17" borderId="9" xfId="49" applyFont="1" applyFill="1" applyBorder="1" applyAlignment="1">
      <alignment vertical="center" wrapText="1"/>
    </xf>
    <xf numFmtId="0" fontId="10" fillId="17" borderId="11" xfId="49" applyFont="1" applyFill="1" applyBorder="1" applyAlignment="1">
      <alignment vertical="center" wrapText="1"/>
    </xf>
    <xf numFmtId="1" fontId="9" fillId="16" borderId="10" xfId="49" applyNumberFormat="1" applyFont="1" applyFill="1" applyBorder="1" applyAlignment="1">
      <alignment vertical="center" wrapText="1"/>
    </xf>
    <xf numFmtId="180" fontId="9" fillId="16" borderId="10" xfId="49" applyNumberFormat="1" applyFont="1" applyFill="1" applyBorder="1" applyAlignment="1">
      <alignment vertical="center" wrapText="1"/>
    </xf>
    <xf numFmtId="0" fontId="10" fillId="17" borderId="4" xfId="49" applyFont="1" applyFill="1" applyBorder="1" applyAlignment="1">
      <alignment vertical="center" wrapText="1"/>
    </xf>
    <xf numFmtId="0" fontId="10" fillId="17" borderId="5" xfId="49" applyFont="1" applyFill="1" applyBorder="1" applyAlignment="1">
      <alignment vertical="center" wrapText="1"/>
    </xf>
    <xf numFmtId="1" fontId="9" fillId="16" borderId="0" xfId="49" applyNumberFormat="1" applyFont="1" applyFill="1" applyBorder="1" applyAlignment="1">
      <alignment vertical="center" wrapText="1"/>
    </xf>
    <xf numFmtId="180" fontId="9" fillId="16" borderId="0" xfId="49" applyNumberFormat="1" applyFont="1" applyFill="1" applyBorder="1" applyAlignment="1">
      <alignment vertical="center" wrapText="1"/>
    </xf>
    <xf numFmtId="0" fontId="10" fillId="17" borderId="12" xfId="49" applyFont="1" applyFill="1" applyBorder="1" applyAlignment="1">
      <alignment vertical="center" wrapText="1"/>
    </xf>
    <xf numFmtId="0" fontId="10" fillId="17" borderId="16" xfId="49" applyFont="1" applyFill="1" applyBorder="1" applyAlignment="1">
      <alignment vertical="center" wrapText="1"/>
    </xf>
    <xf numFmtId="1" fontId="9" fillId="16" borderId="13" xfId="49" applyNumberFormat="1" applyFont="1" applyFill="1" applyBorder="1" applyAlignment="1">
      <alignment vertical="center" wrapText="1"/>
    </xf>
    <xf numFmtId="180" fontId="9" fillId="16" borderId="13" xfId="49" applyNumberFormat="1" applyFont="1" applyFill="1" applyBorder="1" applyAlignment="1">
      <alignment vertical="center" wrapText="1"/>
    </xf>
    <xf numFmtId="0" fontId="11" fillId="19" borderId="0" xfId="49" applyFont="1" applyFill="1" applyAlignment="1">
      <alignment vertical="top" wrapText="1"/>
    </xf>
    <xf numFmtId="0" fontId="9" fillId="0" borderId="10" xfId="49" applyFont="1" applyBorder="1" applyAlignment="1">
      <alignment vertical="center" wrapText="1"/>
    </xf>
    <xf numFmtId="0" fontId="9" fillId="0" borderId="11" xfId="49" applyFont="1" applyBorder="1" applyAlignment="1">
      <alignment vertical="center" wrapText="1"/>
    </xf>
    <xf numFmtId="0" fontId="9" fillId="0" borderId="5" xfId="49" applyFont="1" applyBorder="1" applyAlignment="1">
      <alignment vertical="center" wrapText="1"/>
    </xf>
    <xf numFmtId="0" fontId="9" fillId="0" borderId="7" xfId="49" applyFont="1" applyBorder="1" applyAlignment="1">
      <alignment vertical="center" wrapText="1"/>
    </xf>
    <xf numFmtId="0" fontId="9" fillId="0" borderId="8" xfId="49" applyFont="1" applyBorder="1" applyAlignment="1">
      <alignment vertical="center" wrapText="1"/>
    </xf>
    <xf numFmtId="0" fontId="9" fillId="19" borderId="1" xfId="49" applyFont="1" applyFill="1" applyBorder="1" applyAlignment="1">
      <alignment vertical="center" wrapText="1"/>
    </xf>
    <xf numFmtId="0" fontId="9" fillId="19" borderId="2" xfId="49" applyFont="1" applyFill="1" applyBorder="1" applyAlignment="1">
      <alignment vertical="center" wrapText="1"/>
    </xf>
    <xf numFmtId="0" fontId="9" fillId="19" borderId="3" xfId="49" applyFont="1" applyFill="1" applyBorder="1" applyAlignment="1">
      <alignment vertical="center" wrapText="1"/>
    </xf>
    <xf numFmtId="0" fontId="9" fillId="20" borderId="1" xfId="49" applyFont="1" applyFill="1" applyBorder="1" applyAlignment="1">
      <alignment vertical="center" wrapText="1"/>
    </xf>
    <xf numFmtId="0" fontId="9" fillId="20" borderId="2" xfId="49" applyFont="1" applyFill="1" applyBorder="1" applyAlignment="1">
      <alignment vertical="center" wrapText="1"/>
    </xf>
    <xf numFmtId="0" fontId="9" fillId="20" borderId="3" xfId="49" applyFont="1" applyFill="1" applyBorder="1" applyAlignment="1">
      <alignment vertical="center" wrapText="1"/>
    </xf>
    <xf numFmtId="0" fontId="11" fillId="18" borderId="0" xfId="49" applyFont="1" applyFill="1" applyAlignment="1">
      <alignment vertical="top" wrapText="1"/>
    </xf>
    <xf numFmtId="0" fontId="12" fillId="21" borderId="0" xfId="49" applyFont="1" applyFill="1" applyAlignment="1">
      <alignment vertical="center" wrapText="1"/>
    </xf>
    <xf numFmtId="0" fontId="10" fillId="17" borderId="2" xfId="49" applyFont="1" applyFill="1" applyBorder="1" applyAlignment="1">
      <alignment horizontal="center" vertical="center" wrapText="1"/>
    </xf>
    <xf numFmtId="0" fontId="9" fillId="14" borderId="1" xfId="49" applyFont="1" applyFill="1" applyBorder="1" applyAlignment="1">
      <alignment vertical="center" wrapText="1"/>
    </xf>
    <xf numFmtId="0" fontId="9" fillId="14" borderId="2" xfId="49" applyFont="1" applyFill="1" applyBorder="1" applyAlignment="1">
      <alignment vertical="center" wrapText="1"/>
    </xf>
    <xf numFmtId="0" fontId="9" fillId="14" borderId="3" xfId="49" applyFont="1" applyFill="1" applyBorder="1" applyAlignment="1">
      <alignment vertical="center" wrapText="1"/>
    </xf>
    <xf numFmtId="0" fontId="13" fillId="16" borderId="0" xfId="49" applyFont="1" applyFill="1" applyAlignment="1">
      <alignment vertical="center" wrapText="1"/>
    </xf>
    <xf numFmtId="0" fontId="9" fillId="20" borderId="9" xfId="49" applyFont="1" applyFill="1" applyBorder="1" applyAlignment="1">
      <alignment vertical="center" wrapText="1"/>
    </xf>
    <xf numFmtId="0" fontId="9" fillId="20" borderId="10" xfId="49" applyFont="1" applyFill="1" applyBorder="1" applyAlignment="1">
      <alignment vertical="center" wrapText="1"/>
    </xf>
    <xf numFmtId="0" fontId="9" fillId="20" borderId="11" xfId="49" applyFont="1" applyFill="1" applyBorder="1" applyAlignment="1">
      <alignment vertical="center" wrapText="1"/>
    </xf>
    <xf numFmtId="0" fontId="9" fillId="20" borderId="4" xfId="49" applyFont="1" applyFill="1" applyBorder="1" applyAlignment="1">
      <alignment vertical="center" wrapText="1"/>
    </xf>
    <xf numFmtId="0" fontId="9" fillId="20" borderId="0" xfId="49" applyFont="1" applyFill="1" applyAlignment="1">
      <alignment vertical="center" wrapText="1"/>
    </xf>
    <xf numFmtId="0" fontId="9" fillId="20" borderId="5" xfId="49" applyFont="1" applyFill="1" applyBorder="1" applyAlignment="1">
      <alignment vertical="center" wrapText="1"/>
    </xf>
    <xf numFmtId="0" fontId="9" fillId="20" borderId="6" xfId="49" applyFont="1" applyFill="1" applyBorder="1" applyAlignment="1">
      <alignment vertical="center" wrapText="1"/>
    </xf>
    <xf numFmtId="0" fontId="9" fillId="20" borderId="7" xfId="49" applyFont="1" applyFill="1" applyBorder="1" applyAlignment="1">
      <alignment vertical="center" wrapText="1"/>
    </xf>
    <xf numFmtId="0" fontId="9" fillId="20" borderId="8" xfId="49" applyFont="1" applyFill="1" applyBorder="1" applyAlignment="1">
      <alignment vertical="center" wrapText="1"/>
    </xf>
    <xf numFmtId="0" fontId="11" fillId="18" borderId="10" xfId="49" applyFont="1" applyFill="1" applyBorder="1" applyAlignment="1">
      <alignment vertical="top" wrapText="1"/>
    </xf>
    <xf numFmtId="0" fontId="11" fillId="18" borderId="11" xfId="49" applyFont="1" applyFill="1" applyBorder="1" applyAlignment="1">
      <alignment vertical="top" wrapText="1"/>
    </xf>
    <xf numFmtId="0" fontId="11" fillId="18" borderId="5" xfId="49" applyFont="1" applyFill="1" applyBorder="1" applyAlignment="1">
      <alignment vertical="top" wrapText="1"/>
    </xf>
    <xf numFmtId="0" fontId="11" fillId="18" borderId="7" xfId="49" applyFont="1" applyFill="1" applyBorder="1" applyAlignment="1">
      <alignment vertical="top" wrapText="1"/>
    </xf>
    <xf numFmtId="0" fontId="11" fillId="18" borderId="8" xfId="49" applyFont="1" applyFill="1" applyBorder="1" applyAlignment="1">
      <alignment vertical="top" wrapText="1"/>
    </xf>
    <xf numFmtId="0" fontId="14" fillId="14" borderId="10" xfId="49" applyFont="1" applyFill="1" applyBorder="1" applyAlignment="1">
      <alignment horizontal="center" vertical="center" wrapText="1"/>
    </xf>
    <xf numFmtId="0" fontId="14" fillId="14" borderId="0" xfId="49" applyFont="1" applyFill="1" applyAlignment="1">
      <alignment horizontal="center" vertical="center" wrapText="1"/>
    </xf>
    <xf numFmtId="0" fontId="15" fillId="16" borderId="0" xfId="49" applyFont="1" applyFill="1" applyAlignment="1">
      <alignment horizontal="center" vertical="center" wrapText="1"/>
    </xf>
    <xf numFmtId="0" fontId="16" fillId="20" borderId="0" xfId="49" applyFont="1" applyFill="1" applyAlignment="1">
      <alignment horizontal="center" vertical="center" wrapText="1"/>
    </xf>
    <xf numFmtId="0" fontId="16" fillId="20" borderId="7" xfId="49" applyFont="1" applyFill="1" applyBorder="1" applyAlignment="1">
      <alignment horizontal="center" vertical="center" wrapText="1"/>
    </xf>
    <xf numFmtId="0" fontId="9" fillId="0" borderId="7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1">
    <dxf>
      <font>
        <b val="1"/>
        <color rgb="FF3F7652"/>
      </font>
      <fill>
        <patternFill patternType="solid">
          <bgColor rgb="FFE8F3E8"/>
        </patternFill>
      </fill>
    </dxf>
    <dxf>
      <font>
        <b val="1"/>
        <color rgb="FFA23B3B"/>
      </font>
      <fill>
        <patternFill patternType="solid">
          <bgColor rgb="FFFBE4E6"/>
        </patternFill>
      </fill>
    </dxf>
    <dxf>
      <fill>
        <patternFill patternType="solid">
          <bgColor rgb="FFFCE8E8"/>
        </patternFill>
      </fill>
    </dxf>
    <dxf>
      <fill>
        <patternFill patternType="solid">
          <bgColor rgb="FFFFF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实验三模拟评分概览（参与者×方法三物体均值）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"One-Euro M"</c:f>
              <c:strCache>
                <c:ptCount val="1"/>
                <c:pt idx="0">
                  <c:v>One-Euro M</c:v>
                </c:pt>
              </c:strCache>
            </c:strRef>
          </c:tx>
          <c:invertIfNegative val="0"/>
          <c:dLbls>
            <c:delete val="1"/>
          </c:dLbls>
          <c:cat>
            <c:strRef>
              <c:f>Analysis!$M$4:$M$10</c:f>
              <c:strCache>
                <c:ptCount val="7"/>
                <c:pt idx="0">
                  <c:v>Q1 静止稳定</c:v>
                </c:pt>
                <c:pt idx="1">
                  <c:v>Q8 位置正确</c:v>
                </c:pt>
                <c:pt idx="2">
                  <c:v>Q2 运动附着</c:v>
                </c:pt>
                <c:pt idx="3">
                  <c:v>Q9 姿态一致</c:v>
                </c:pt>
                <c:pt idx="4">
                  <c:v>Q3 恢复一致</c:v>
                </c:pt>
                <c:pt idx="5">
                  <c:v>Q6 依赖意愿</c:v>
                </c:pt>
                <c:pt idx="6">
                  <c:v>Q7 稳定-响应平衡</c:v>
                </c:pt>
              </c:strCache>
            </c:strRef>
          </c:cat>
          <c:val>
            <c:numRef>
              <c:f>Analysis!$N$4:$N$10</c:f>
              <c:numCache>
                <c:formatCode>0.00</c:formatCode>
                <c:ptCount val="7"/>
                <c:pt idx="0">
                  <c:v>4.25</c:v>
                </c:pt>
                <c:pt idx="1">
                  <c:v>4.47222222222222</c:v>
                </c:pt>
                <c:pt idx="2">
                  <c:v>4.875</c:v>
                </c:pt>
                <c:pt idx="3">
                  <c:v>4.88888888888889</c:v>
                </c:pt>
                <c:pt idx="4">
                  <c:v>4.15277777777778</c:v>
                </c:pt>
                <c:pt idx="5">
                  <c:v>4.15277777777778</c:v>
                </c:pt>
                <c:pt idx="6">
                  <c:v>4.43055555555556</c:v>
                </c:pt>
              </c:numCache>
            </c:numRef>
          </c:val>
        </c:ser>
        <c:ser>
          <c:idx val="1"/>
          <c:order val="1"/>
          <c:tx>
            <c:strRef>
              <c:f>"EgoAnchor M"</c:f>
              <c:strCache>
                <c:ptCount val="1"/>
                <c:pt idx="0">
                  <c:v>EgoAnchor M</c:v>
                </c:pt>
              </c:strCache>
            </c:strRef>
          </c:tx>
          <c:invertIfNegative val="0"/>
          <c:dLbls>
            <c:delete val="1"/>
          </c:dLbls>
          <c:cat>
            <c:strRef>
              <c:f>Analysis!$M$4:$M$10</c:f>
              <c:strCache>
                <c:ptCount val="7"/>
                <c:pt idx="0">
                  <c:v>Q1 静止稳定</c:v>
                </c:pt>
                <c:pt idx="1">
                  <c:v>Q8 位置正确</c:v>
                </c:pt>
                <c:pt idx="2">
                  <c:v>Q2 运动附着</c:v>
                </c:pt>
                <c:pt idx="3">
                  <c:v>Q9 姿态一致</c:v>
                </c:pt>
                <c:pt idx="4">
                  <c:v>Q3 恢复一致</c:v>
                </c:pt>
                <c:pt idx="5">
                  <c:v>Q6 依赖意愿</c:v>
                </c:pt>
                <c:pt idx="6">
                  <c:v>Q7 稳定-响应平衡</c:v>
                </c:pt>
              </c:strCache>
            </c:strRef>
          </c:cat>
          <c:val>
            <c:numRef>
              <c:f>Analysis!$O$4:$O$10</c:f>
              <c:numCache>
                <c:formatCode>0.00</c:formatCode>
                <c:ptCount val="7"/>
                <c:pt idx="0">
                  <c:v>5.19444444444444</c:v>
                </c:pt>
                <c:pt idx="1">
                  <c:v>5.16666666666667</c:v>
                </c:pt>
                <c:pt idx="2">
                  <c:v>4.98611111111111</c:v>
                </c:pt>
                <c:pt idx="3">
                  <c:v>4.98611111111111</c:v>
                </c:pt>
                <c:pt idx="4">
                  <c:v>4.95833333333333</c:v>
                </c:pt>
                <c:pt idx="5">
                  <c:v>4.88888888888889</c:v>
                </c:pt>
                <c:pt idx="6">
                  <c:v>4.90277777777778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bd19fa5-e5bd-4327-bfd2-7009888f831e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Synthetic mean ratings (not empirical)</a:t>
            </a:r>
          </a:p>
        </c:rich>
      </c:tx>
      <c:layout/>
      <c:overlay val="0"/>
    </c:title>
    <c:autoTitleDeleted val="0"/>
    <c:plotArea>
      <c:layout/>
      <c:barChart>
        <c:barDir val="col"/>
        <c:grouping val="none"/>
        <c:varyColors val="0"/>
        <c:ser>
          <c:idx val="0"/>
          <c:order val="0"/>
          <c:tx>
            <c:strRef>
              <c:f>"One-Euro 均值"</c:f>
              <c:strCache>
                <c:ptCount val="1"/>
                <c:pt idx="0">
                  <c:v>One-Euro 均值</c:v>
                </c:pt>
              </c:strCache>
            </c:strRef>
          </c:tx>
          <c:invertIfNegative val="0"/>
          <c:dLbls>
            <c:delete val="1"/>
          </c:dLbls>
          <c:cat>
            <c:strRef>
              <c:f>Synthetic_Summary!$A$5:$A$11</c:f>
              <c:strCache>
                <c:ptCount val="7"/>
                <c:pt idx="0">
                  <c:v>Q1 静止稳定</c:v>
                </c:pt>
                <c:pt idx="1">
                  <c:v>Q8 位置正确</c:v>
                </c:pt>
                <c:pt idx="2">
                  <c:v>Q2 运动附着</c:v>
                </c:pt>
                <c:pt idx="3">
                  <c:v>Q9 姿态一致</c:v>
                </c:pt>
                <c:pt idx="4">
                  <c:v>Q3 恢复一致</c:v>
                </c:pt>
                <c:pt idx="5">
                  <c:v>Q6 依赖意愿</c:v>
                </c:pt>
                <c:pt idx="6">
                  <c:v>Q7 稳定-响应平衡</c:v>
                </c:pt>
              </c:strCache>
            </c:strRef>
          </c:cat>
          <c:val>
            <c:numRef>
              <c:f>Synthetic_Summary!$B$5:$B$11</c:f>
              <c:numCache>
                <c:formatCode>0.00</c:formatCode>
                <c:ptCount val="7"/>
                <c:pt idx="0">
                  <c:v>4.25</c:v>
                </c:pt>
                <c:pt idx="1">
                  <c:v>4.47222222222222</c:v>
                </c:pt>
                <c:pt idx="2">
                  <c:v>4.875</c:v>
                </c:pt>
                <c:pt idx="3">
                  <c:v>4.88888888888889</c:v>
                </c:pt>
                <c:pt idx="4">
                  <c:v>4.15277777777778</c:v>
                </c:pt>
                <c:pt idx="5">
                  <c:v>4.15277777777778</c:v>
                </c:pt>
                <c:pt idx="6">
                  <c:v>4.43055555555555</c:v>
                </c:pt>
              </c:numCache>
            </c:numRef>
          </c:val>
        </c:ser>
        <c:ser>
          <c:idx val="1"/>
          <c:order val="1"/>
          <c:tx>
            <c:strRef>
              <c:f>"EgoAnchor 均值"</c:f>
              <c:strCache>
                <c:ptCount val="1"/>
                <c:pt idx="0">
                  <c:v>EgoAnchor 均值</c:v>
                </c:pt>
              </c:strCache>
            </c:strRef>
          </c:tx>
          <c:invertIfNegative val="0"/>
          <c:dLbls>
            <c:delete val="1"/>
          </c:dLbls>
          <c:cat>
            <c:strRef>
              <c:f>Synthetic_Summary!$A$5:$A$11</c:f>
              <c:strCache>
                <c:ptCount val="7"/>
                <c:pt idx="0">
                  <c:v>Q1 静止稳定</c:v>
                </c:pt>
                <c:pt idx="1">
                  <c:v>Q8 位置正确</c:v>
                </c:pt>
                <c:pt idx="2">
                  <c:v>Q2 运动附着</c:v>
                </c:pt>
                <c:pt idx="3">
                  <c:v>Q9 姿态一致</c:v>
                </c:pt>
                <c:pt idx="4">
                  <c:v>Q3 恢复一致</c:v>
                </c:pt>
                <c:pt idx="5">
                  <c:v>Q6 依赖意愿</c:v>
                </c:pt>
                <c:pt idx="6">
                  <c:v>Q7 稳定-响应平衡</c:v>
                </c:pt>
              </c:strCache>
            </c:strRef>
          </c:cat>
          <c:val>
            <c:numRef>
              <c:f>Synthetic_Summary!$C$5:$C$11</c:f>
              <c:numCache>
                <c:formatCode>0.00</c:formatCode>
                <c:ptCount val="7"/>
                <c:pt idx="0">
                  <c:v>5.19444444444444</c:v>
                </c:pt>
                <c:pt idx="1">
                  <c:v>5.16666666666667</c:v>
                </c:pt>
                <c:pt idx="2">
                  <c:v>4.98611111111111</c:v>
                </c:pt>
                <c:pt idx="3">
                  <c:v>4.98611111111111</c:v>
                </c:pt>
                <c:pt idx="4">
                  <c:v>4.95833333333333</c:v>
                </c:pt>
                <c:pt idx="5">
                  <c:v>4.88888888888889</c:v>
                </c:pt>
                <c:pt idx="6">
                  <c:v>4.90277777777778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.00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af998ec-b424-4733-9055-95cb52e1572c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12</xdr:col>
      <xdr:colOff>0</xdr:colOff>
      <xdr:row>11</xdr:row>
      <xdr:rowOff>0</xdr:rowOff>
    </xdr:from>
    <xdr:to>
      <xdr:col>19</xdr:col>
      <xdr:colOff>0</xdr:colOff>
      <xdr:row>29</xdr:row>
      <xdr:rowOff>0</xdr:rowOff>
    </xdr:to>
    <xdr:graphicFrame>
      <xdr:nvGraphicFramePr>
        <xdr:cNvPr id="2" name="Chart"/>
        <xdr:cNvGraphicFramePr/>
      </xdr:nvGraphicFramePr>
      <xdr:xfrm>
        <a:off x="13970000" y="3987800"/>
        <a:ext cx="10337800" cy="60896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28</xdr:row>
      <xdr:rowOff>0</xdr:rowOff>
    </xdr:from>
    <xdr:to>
      <xdr:col>10</xdr:col>
      <xdr:colOff>0</xdr:colOff>
      <xdr:row>48</xdr:row>
      <xdr:rowOff>0</xdr:rowOff>
    </xdr:to>
    <xdr:graphicFrame>
      <xdr:nvGraphicFramePr>
        <xdr:cNvPr id="2" name="Chart"/>
        <xdr:cNvGraphicFramePr/>
      </xdr:nvGraphicFramePr>
      <xdr:xfrm>
        <a:off x="0" y="5219700"/>
        <a:ext cx="11245850" cy="3683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BlockSubscores" displayName="BlockSubscores" ref="A4:P148">
  <tableColumns count="16">
    <tableColumn id="1" name="Participant_ID"/>
    <tableColumn id="2" name="Block_Index"/>
    <tableColumn id="3" name="物体"/>
    <tableColumn id="4" name="Shown_Label"/>
    <tableColumn id="5" name="Condition"/>
    <tableColumn id="6" name="Q1"/>
    <tableColumn id="7" name="Q8"/>
    <tableColumn id="8" name="Q2"/>
    <tableColumn id="9" name="Q9"/>
    <tableColumn id="10" name="Q3"/>
    <tableColumn id="11" name="Q6"/>
    <tableColumn id="12" name="Q7"/>
    <tableColumn id="13" name="AQ_EQ_mean"/>
    <tableColumn id="14" name="AQ_IQ_mean"/>
    <tableColumn id="15" name="Block_Valid"/>
    <tableColumn id="16" name="Source_Row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thodSubscores" displayName="MethodSubscores" ref="A151:M199">
  <tableColumns count="13">
    <tableColumn id="1" name="Participant_ID"/>
    <tableColumn id="2" name="Rating_Order"/>
    <tableColumn id="3" name="Shown_Label"/>
    <tableColumn id="4" name="Condition"/>
    <tableColumn id="5" name="RC3_rev"/>
    <tableColumn id="6" name="RC5_rev"/>
    <tableColumn id="7" name="UP2_rev"/>
    <tableColumn id="8" name="UP4_rev"/>
    <tableColumn id="9" name="TiA_RC_mean"/>
    <tableColumn id="10" name="TiA_UP_mean"/>
    <tableColumn id="11" name="S_TIAS_mean"/>
    <tableColumn id="12" name="Duration_s"/>
    <tableColumn id="13" name="Source_Ro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articipantMethodAggregates" displayName="ParticipantMethodAggregates" ref="A204:V252">
  <tableColumns count="22">
    <tableColumn id="1" name="Participant_ID"/>
    <tableColumn id="2" name="Condition"/>
    <tableColumn id="3" name="Shown_Label"/>
    <tableColumn id="4" name="Q1_mean"/>
    <tableColumn id="5" name="Q8_mean"/>
    <tableColumn id="6" name="Q2_mean"/>
    <tableColumn id="7" name="Q9_mean"/>
    <tableColumn id="8" name="Q3_mean"/>
    <tableColumn id="9" name="Q6_mean"/>
    <tableColumn id="10" name="Q7_mean"/>
    <tableColumn id="11" name="AQ_EQ_mean"/>
    <tableColumn id="12" name="AQ_IQ_mean"/>
    <tableColumn id="13" name="TiA_RC"/>
    <tableColumn id="14" name="TiA_UP"/>
    <tableColumn id="15" name="S_TIAS"/>
    <tableColumn id="16" name="Valid_Blocks"/>
    <tableColumn id="17" name="Final_Method_Choice"/>
    <tableColumn id="18" name="Final_Trust_Choice"/>
    <tableColumn id="19" name="Preference_Strength"/>
    <tableColumn id="20" name="Discrimination_Confidence"/>
    <tableColumn id="21" name="Source_Block_Rows"/>
    <tableColumn id="22" name="Source_Method_Ro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:E1"/>
    </sheetView>
  </sheetViews>
  <sheetFormatPr defaultColWidth="9" defaultRowHeight="14.5" outlineLevelCol="4"/>
  <cols>
    <col min="1" max="2" width="24" customWidth="1"/>
    <col min="3" max="3" width="34" customWidth="1"/>
    <col min="4" max="4" width="54" customWidth="1"/>
    <col min="5" max="5" width="34" customWidth="1"/>
  </cols>
  <sheetData>
    <row r="1" ht="30" customHeight="1" spans="1:5">
      <c r="A1" s="16" t="s">
        <v>0</v>
      </c>
    </row>
    <row r="2" ht="74" customHeight="1" spans="1:5">
      <c r="A2" s="112" t="s">
        <v>1</v>
      </c>
    </row>
    <row r="3" spans="1:5">
      <c r="A3" s="30"/>
      <c r="B3" s="30"/>
      <c r="C3" s="30"/>
      <c r="D3" s="30"/>
      <c r="E3" s="30"/>
    </row>
    <row r="4" ht="30" customHeight="1" spans="1:5">
      <c r="A4" s="20" t="s">
        <v>2</v>
      </c>
      <c r="B4" s="21" t="s">
        <v>3</v>
      </c>
      <c r="C4" s="21" t="s">
        <v>4</v>
      </c>
      <c r="D4" s="21" t="s">
        <v>5</v>
      </c>
      <c r="E4" s="22" t="s">
        <v>6</v>
      </c>
    </row>
    <row r="5" spans="1:5">
      <c r="A5" s="60" t="s">
        <v>7</v>
      </c>
      <c r="B5" s="113" t="s">
        <v>8</v>
      </c>
      <c r="C5" s="113" t="s">
        <v>9</v>
      </c>
      <c r="D5" s="113" t="s">
        <v>10</v>
      </c>
      <c r="E5" s="114" t="s">
        <v>11</v>
      </c>
    </row>
    <row r="6" ht="26" spans="1:5">
      <c r="A6" s="25" t="s">
        <v>12</v>
      </c>
      <c r="B6" s="30" t="s">
        <v>13</v>
      </c>
      <c r="C6" s="30" t="s">
        <v>14</v>
      </c>
      <c r="D6" s="30" t="s">
        <v>15</v>
      </c>
      <c r="E6" s="115" t="s">
        <v>16</v>
      </c>
    </row>
    <row r="7" ht="26" spans="1:5">
      <c r="A7" s="25" t="s">
        <v>17</v>
      </c>
      <c r="B7" s="30" t="s">
        <v>18</v>
      </c>
      <c r="C7" s="30" t="s">
        <v>19</v>
      </c>
      <c r="D7" s="30" t="s">
        <v>20</v>
      </c>
      <c r="E7" s="115" t="s">
        <v>21</v>
      </c>
    </row>
    <row r="8" spans="1:5">
      <c r="A8" s="25" t="s">
        <v>22</v>
      </c>
      <c r="B8" s="30" t="s">
        <v>23</v>
      </c>
      <c r="C8" s="30" t="s">
        <v>24</v>
      </c>
      <c r="D8" s="30" t="s">
        <v>25</v>
      </c>
      <c r="E8" s="115" t="s">
        <v>26</v>
      </c>
    </row>
    <row r="9" spans="1:5">
      <c r="A9" s="25" t="s">
        <v>27</v>
      </c>
      <c r="B9" s="30" t="s">
        <v>28</v>
      </c>
      <c r="C9" s="30" t="s">
        <v>29</v>
      </c>
      <c r="D9" s="30" t="s">
        <v>30</v>
      </c>
      <c r="E9" s="115" t="s">
        <v>31</v>
      </c>
    </row>
    <row r="10" ht="26" spans="1:5">
      <c r="A10" s="33" t="s">
        <v>32</v>
      </c>
      <c r="B10" s="116" t="s">
        <v>33</v>
      </c>
      <c r="C10" s="116" t="s">
        <v>34</v>
      </c>
      <c r="D10" s="150" t="s">
        <v>35</v>
      </c>
      <c r="E10" s="117" t="s">
        <v>36</v>
      </c>
    </row>
    <row r="11" spans="1:5">
      <c r="A11" s="30"/>
      <c r="B11" s="30"/>
      <c r="C11" s="30"/>
      <c r="D11" s="30"/>
      <c r="E11" s="30"/>
    </row>
    <row r="12" ht="25" customHeight="1" spans="1:5">
      <c r="A12" s="18" t="s">
        <v>37</v>
      </c>
    </row>
    <row r="13" ht="26" spans="1:5">
      <c r="A13" s="60" t="s">
        <v>38</v>
      </c>
      <c r="B13" s="113" t="s">
        <v>39</v>
      </c>
      <c r="C13" s="114" t="s">
        <v>40</v>
      </c>
      <c r="D13" s="30"/>
      <c r="E13" s="30"/>
    </row>
    <row r="14" ht="26" spans="1:5">
      <c r="A14" s="25" t="s">
        <v>41</v>
      </c>
      <c r="B14" s="30" t="s">
        <v>42</v>
      </c>
      <c r="C14" s="115" t="s">
        <v>43</v>
      </c>
      <c r="D14" s="30"/>
      <c r="E14" s="30"/>
    </row>
    <row r="15" ht="39" spans="1:5">
      <c r="A15" s="25" t="s">
        <v>44</v>
      </c>
      <c r="B15" s="30" t="s">
        <v>45</v>
      </c>
      <c r="C15" s="115" t="s">
        <v>46</v>
      </c>
      <c r="D15" s="30"/>
      <c r="E15" s="30"/>
    </row>
    <row r="16" ht="39" spans="1:5">
      <c r="A16" s="33" t="s">
        <v>47</v>
      </c>
      <c r="B16" s="116" t="s">
        <v>48</v>
      </c>
      <c r="C16" s="117" t="s">
        <v>49</v>
      </c>
      <c r="D16" s="30"/>
      <c r="E16" s="30"/>
    </row>
    <row r="17" spans="1:5">
      <c r="A17" s="30"/>
      <c r="B17" s="30"/>
      <c r="C17" s="30"/>
      <c r="D17" s="30"/>
      <c r="E17" s="30"/>
    </row>
    <row r="18" ht="25" customHeight="1" spans="1:5">
      <c r="A18" s="18" t="s">
        <v>50</v>
      </c>
    </row>
    <row r="19" ht="64" customHeight="1" spans="1:5">
      <c r="A19" s="71" t="s">
        <v>51</v>
      </c>
    </row>
    <row r="20" ht="64" customHeight="1" spans="1:5">
      <c r="A20" s="71" t="s">
        <v>52</v>
      </c>
    </row>
    <row r="21" spans="1:5">
      <c r="A21" s="30"/>
      <c r="B21" s="30"/>
      <c r="C21" s="30"/>
      <c r="D21" s="30"/>
      <c r="E21" s="30"/>
    </row>
    <row r="22" ht="25" customHeight="1" spans="1:5">
      <c r="A22" s="18" t="s">
        <v>53</v>
      </c>
    </row>
    <row r="23" ht="76" customHeight="1" spans="1:5">
      <c r="A23" s="124" t="s">
        <v>54</v>
      </c>
    </row>
    <row r="24" spans="1:5">
      <c r="A24" s="30"/>
      <c r="B24" s="30"/>
      <c r="C24" s="30"/>
      <c r="D24" s="30"/>
      <c r="E24" s="30"/>
    </row>
    <row r="25" ht="48" customHeight="1" spans="1:5">
      <c r="A25" s="71" t="s">
        <v>55</v>
      </c>
    </row>
  </sheetData>
  <mergeCells count="8">
    <mergeCell ref="A1:E1"/>
    <mergeCell ref="A2:E2"/>
    <mergeCell ref="A12:E12"/>
    <mergeCell ref="A18:E18"/>
    <mergeCell ref="A20:E20"/>
    <mergeCell ref="A22:E22"/>
    <mergeCell ref="A23:E23"/>
    <mergeCell ref="A25:E25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:D1"/>
    </sheetView>
  </sheetViews>
  <sheetFormatPr defaultColWidth="9" defaultRowHeight="14.5" outlineLevelCol="3"/>
  <cols>
    <col min="1" max="1" width="28" customWidth="1"/>
    <col min="2" max="2" width="17" customWidth="1"/>
    <col min="3" max="3" width="84" customWidth="1"/>
    <col min="4" max="4" width="48" customWidth="1"/>
  </cols>
  <sheetData>
    <row r="1" ht="30" customHeight="1" spans="1:4">
      <c r="A1" s="16" t="s">
        <v>56</v>
      </c>
    </row>
    <row r="2" ht="54" customHeight="1" spans="1:4">
      <c r="A2" s="112" t="s">
        <v>57</v>
      </c>
    </row>
    <row r="3" spans="1:4">
      <c r="A3" s="30"/>
      <c r="B3" s="30"/>
      <c r="C3" s="30"/>
      <c r="D3" s="30"/>
    </row>
    <row r="4" ht="30" customHeight="1" spans="1:4">
      <c r="A4" s="20" t="s">
        <v>58</v>
      </c>
      <c r="B4" s="21" t="s">
        <v>59</v>
      </c>
      <c r="C4" s="21" t="s">
        <v>60</v>
      </c>
      <c r="D4" s="22" t="s">
        <v>61</v>
      </c>
    </row>
    <row r="5" ht="48" customHeight="1" spans="1:4">
      <c r="A5" s="60" t="s">
        <v>62</v>
      </c>
      <c r="B5" s="145" t="s">
        <v>63</v>
      </c>
      <c r="C5" s="113" t="s">
        <v>64</v>
      </c>
      <c r="D5" s="114" t="s">
        <v>65</v>
      </c>
    </row>
    <row r="6" ht="48" customHeight="1" spans="1:4">
      <c r="A6" s="25" t="s">
        <v>66</v>
      </c>
      <c r="B6" s="146" t="s">
        <v>63</v>
      </c>
      <c r="C6" s="30" t="s">
        <v>67</v>
      </c>
      <c r="D6" s="115" t="s">
        <v>68</v>
      </c>
    </row>
    <row r="7" ht="48" customHeight="1" spans="1:4">
      <c r="A7" s="25" t="s">
        <v>69</v>
      </c>
      <c r="B7" s="146" t="s">
        <v>63</v>
      </c>
      <c r="C7" s="30" t="s">
        <v>70</v>
      </c>
      <c r="D7" s="115" t="s">
        <v>71</v>
      </c>
    </row>
    <row r="8" ht="48" customHeight="1" spans="1:4">
      <c r="A8" s="25" t="s">
        <v>72</v>
      </c>
      <c r="B8" s="146" t="s">
        <v>63</v>
      </c>
      <c r="C8" s="30" t="s">
        <v>73</v>
      </c>
      <c r="D8" s="115" t="s">
        <v>74</v>
      </c>
    </row>
    <row r="9" ht="48" customHeight="1" spans="1:4">
      <c r="A9" s="25" t="s">
        <v>75</v>
      </c>
      <c r="B9" s="146" t="s">
        <v>63</v>
      </c>
      <c r="C9" s="30" t="s">
        <v>76</v>
      </c>
      <c r="D9" s="115" t="s">
        <v>68</v>
      </c>
    </row>
    <row r="10" ht="48" customHeight="1" spans="1:4">
      <c r="A10" s="25" t="s">
        <v>77</v>
      </c>
      <c r="B10" s="146" t="s">
        <v>63</v>
      </c>
      <c r="C10" s="30" t="s">
        <v>78</v>
      </c>
      <c r="D10" s="115" t="s">
        <v>68</v>
      </c>
    </row>
    <row r="11" ht="48" customHeight="1" spans="1:4">
      <c r="A11" s="25" t="s">
        <v>79</v>
      </c>
      <c r="B11" s="147" t="s">
        <v>80</v>
      </c>
      <c r="C11" s="30" t="s">
        <v>81</v>
      </c>
      <c r="D11" s="115" t="s">
        <v>82</v>
      </c>
    </row>
    <row r="12" ht="48" customHeight="1" spans="1:4">
      <c r="A12" s="25" t="s">
        <v>83</v>
      </c>
      <c r="B12" s="146" t="s">
        <v>63</v>
      </c>
      <c r="C12" s="30" t="s">
        <v>84</v>
      </c>
      <c r="D12" s="115" t="s">
        <v>85</v>
      </c>
    </row>
    <row r="13" ht="48" customHeight="1" spans="1:4">
      <c r="A13" s="25" t="s">
        <v>86</v>
      </c>
      <c r="B13" s="146" t="s">
        <v>63</v>
      </c>
      <c r="C13" s="30" t="s">
        <v>87</v>
      </c>
      <c r="D13" s="115" t="s">
        <v>68</v>
      </c>
    </row>
    <row r="14" ht="48" customHeight="1" spans="1:4">
      <c r="A14" s="25" t="s">
        <v>88</v>
      </c>
      <c r="B14" s="70" t="s">
        <v>89</v>
      </c>
      <c r="C14" s="30" t="s">
        <v>90</v>
      </c>
      <c r="D14" s="115" t="s">
        <v>91</v>
      </c>
    </row>
    <row r="15" ht="48" customHeight="1" spans="1:4">
      <c r="A15" s="25" t="s">
        <v>92</v>
      </c>
      <c r="B15" s="146" t="s">
        <v>63</v>
      </c>
      <c r="C15" s="30" t="s">
        <v>93</v>
      </c>
      <c r="D15" s="115" t="s">
        <v>94</v>
      </c>
    </row>
    <row r="16" ht="48" customHeight="1" spans="1:4">
      <c r="A16" s="25" t="s">
        <v>95</v>
      </c>
      <c r="B16" s="147" t="s">
        <v>80</v>
      </c>
      <c r="C16" s="30" t="s">
        <v>96</v>
      </c>
      <c r="D16" s="115" t="s">
        <v>68</v>
      </c>
    </row>
    <row r="17" ht="48" customHeight="1" spans="1:4">
      <c r="A17" s="25" t="s">
        <v>97</v>
      </c>
      <c r="B17" s="148" t="s">
        <v>98</v>
      </c>
      <c r="C17" s="30" t="s">
        <v>99</v>
      </c>
      <c r="D17" s="115" t="s">
        <v>100</v>
      </c>
    </row>
    <row r="18" ht="48" customHeight="1" spans="1:4">
      <c r="A18" s="25" t="s">
        <v>101</v>
      </c>
      <c r="B18" s="148" t="s">
        <v>102</v>
      </c>
      <c r="C18" s="30" t="s">
        <v>103</v>
      </c>
      <c r="D18" s="115" t="s">
        <v>104</v>
      </c>
    </row>
    <row r="19" ht="48" customHeight="1" spans="1:4">
      <c r="A19" s="33" t="s">
        <v>105</v>
      </c>
      <c r="B19" s="149" t="s">
        <v>106</v>
      </c>
      <c r="C19" s="116" t="s">
        <v>107</v>
      </c>
      <c r="D19" s="117" t="s">
        <v>108</v>
      </c>
    </row>
    <row r="20" spans="1:4">
      <c r="A20" t="s">
        <v>109</v>
      </c>
      <c r="B20" t="s">
        <v>110</v>
      </c>
      <c r="C20" t="s">
        <v>111</v>
      </c>
      <c r="D20" t="s">
        <v>112</v>
      </c>
    </row>
  </sheetData>
  <mergeCells count="2">
    <mergeCell ref="A1:D1"/>
    <mergeCell ref="A2:D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9"/>
  <sheetViews>
    <sheetView workbookViewId="0">
      <selection activeCell="A1" sqref="A1:I1"/>
    </sheetView>
  </sheetViews>
  <sheetFormatPr defaultColWidth="9" defaultRowHeight="14.5"/>
  <cols>
    <col min="1" max="1" width="15" customWidth="1"/>
    <col min="2" max="2" width="18" customWidth="1"/>
    <col min="3" max="3" width="23" customWidth="1"/>
    <col min="4" max="4" width="55" customWidth="1"/>
    <col min="5" max="5" width="48" customWidth="1"/>
    <col min="6" max="6" width="56" customWidth="1"/>
    <col min="7" max="7" width="18" customWidth="1"/>
    <col min="8" max="8" width="34" customWidth="1"/>
    <col min="9" max="9" width="47" customWidth="1"/>
  </cols>
  <sheetData>
    <row r="1" ht="30" customHeight="1" spans="1:9">
      <c r="A1" s="16" t="s">
        <v>113</v>
      </c>
    </row>
    <row r="2" ht="58" customHeight="1" spans="1:9">
      <c r="A2" s="112" t="s">
        <v>114</v>
      </c>
    </row>
    <row r="3" spans="1:9">
      <c r="A3" s="30"/>
      <c r="B3" s="30"/>
      <c r="C3" s="30"/>
      <c r="D3" s="30"/>
      <c r="E3" s="30"/>
      <c r="F3" s="30"/>
      <c r="G3" s="30"/>
      <c r="H3" s="30"/>
      <c r="I3" s="30"/>
    </row>
    <row r="4" ht="30" customHeight="1" spans="1:9">
      <c r="A4" s="18" t="s">
        <v>115</v>
      </c>
    </row>
    <row r="5" ht="34" customHeight="1" spans="1:9">
      <c r="A5" s="20" t="s">
        <v>116</v>
      </c>
      <c r="B5" s="21" t="s">
        <v>117</v>
      </c>
      <c r="C5" s="21" t="s">
        <v>118</v>
      </c>
      <c r="D5" s="21"/>
      <c r="E5" s="21"/>
      <c r="F5" s="21"/>
      <c r="G5" s="21"/>
      <c r="H5" s="21"/>
      <c r="I5" s="22"/>
    </row>
    <row r="6" spans="1:9">
      <c r="A6" s="60" t="s">
        <v>119</v>
      </c>
      <c r="B6" s="113" t="s">
        <v>120</v>
      </c>
      <c r="C6" s="114" t="s">
        <v>121</v>
      </c>
      <c r="D6" s="30"/>
      <c r="E6" s="30"/>
      <c r="F6" s="30"/>
      <c r="G6" s="30"/>
      <c r="H6" s="30"/>
      <c r="I6" s="30"/>
    </row>
    <row r="7" ht="26" spans="1:9">
      <c r="A7" s="25" t="s">
        <v>122</v>
      </c>
      <c r="B7" s="30" t="s">
        <v>123</v>
      </c>
      <c r="C7" s="115" t="s">
        <v>124</v>
      </c>
      <c r="D7" s="30"/>
      <c r="E7" s="30"/>
      <c r="F7" s="30"/>
      <c r="G7" s="30"/>
      <c r="H7" s="30"/>
      <c r="I7" s="30"/>
    </row>
    <row r="8" spans="1:9">
      <c r="A8" s="25" t="s">
        <v>125</v>
      </c>
      <c r="B8" s="30" t="s">
        <v>126</v>
      </c>
      <c r="C8" s="115" t="s">
        <v>127</v>
      </c>
      <c r="D8" s="30"/>
      <c r="E8" s="30"/>
      <c r="F8" s="30"/>
      <c r="G8" s="30"/>
      <c r="H8" s="30"/>
      <c r="I8" s="30"/>
    </row>
    <row r="9" spans="1:9">
      <c r="A9" s="25" t="s">
        <v>128</v>
      </c>
      <c r="B9" s="30" t="s">
        <v>129</v>
      </c>
      <c r="C9" s="115" t="s">
        <v>130</v>
      </c>
      <c r="D9" s="30"/>
      <c r="E9" s="30"/>
      <c r="F9" s="30"/>
      <c r="G9" s="30"/>
      <c r="H9" s="30"/>
      <c r="I9" s="30"/>
    </row>
    <row r="10" ht="26" spans="1:9">
      <c r="A10" s="25" t="s">
        <v>131</v>
      </c>
      <c r="B10" s="30" t="s">
        <v>132</v>
      </c>
      <c r="C10" s="115" t="s">
        <v>133</v>
      </c>
      <c r="D10" s="30"/>
      <c r="E10" s="30"/>
      <c r="F10" s="30"/>
      <c r="G10" s="30"/>
      <c r="H10" s="30"/>
      <c r="I10" s="30"/>
    </row>
    <row r="11" ht="39" spans="1:9">
      <c r="A11" s="33" t="s">
        <v>134</v>
      </c>
      <c r="B11" s="116" t="s">
        <v>135</v>
      </c>
      <c r="C11" s="117" t="s">
        <v>136</v>
      </c>
      <c r="D11" s="30"/>
      <c r="E11" s="30"/>
      <c r="F11" s="30"/>
      <c r="G11" s="30"/>
      <c r="H11" s="30"/>
      <c r="I11" s="30"/>
    </row>
    <row r="12" spans="1:9">
      <c r="A12" s="30"/>
      <c r="B12" s="30"/>
      <c r="C12" s="30"/>
      <c r="D12" s="30"/>
      <c r="E12" s="30"/>
      <c r="F12" s="30"/>
      <c r="G12" s="30"/>
      <c r="H12" s="30"/>
      <c r="I12" s="30"/>
    </row>
    <row r="13" ht="30" customHeight="1" spans="1:9">
      <c r="A13" s="18" t="s">
        <v>137</v>
      </c>
    </row>
    <row r="14" ht="34" customHeight="1" spans="1:9">
      <c r="A14" s="20" t="s">
        <v>138</v>
      </c>
      <c r="B14" s="21" t="s">
        <v>139</v>
      </c>
      <c r="C14" s="21" t="s">
        <v>140</v>
      </c>
      <c r="D14" s="21" t="s">
        <v>141</v>
      </c>
      <c r="E14" s="21" t="s">
        <v>142</v>
      </c>
      <c r="F14" s="21" t="s">
        <v>143</v>
      </c>
      <c r="G14" s="21" t="s">
        <v>144</v>
      </c>
      <c r="H14" s="21" t="s">
        <v>145</v>
      </c>
      <c r="I14" s="22" t="s">
        <v>146</v>
      </c>
    </row>
    <row r="15" ht="62" customHeight="1" spans="1:9">
      <c r="A15" s="118" t="s">
        <v>147</v>
      </c>
      <c r="B15" s="119" t="s">
        <v>148</v>
      </c>
      <c r="C15" s="119" t="s">
        <v>149</v>
      </c>
      <c r="D15" s="119" t="s">
        <v>150</v>
      </c>
      <c r="E15" s="119" t="s">
        <v>151</v>
      </c>
      <c r="F15" s="119" t="s">
        <v>152</v>
      </c>
      <c r="G15" s="119" t="s">
        <v>153</v>
      </c>
      <c r="H15" s="119" t="s">
        <v>154</v>
      </c>
      <c r="I15" s="120" t="s">
        <v>155</v>
      </c>
    </row>
    <row r="16" ht="62" customHeight="1" spans="1:9">
      <c r="A16" s="118" t="s">
        <v>156</v>
      </c>
      <c r="B16" s="119" t="s">
        <v>157</v>
      </c>
      <c r="C16" s="119" t="s">
        <v>158</v>
      </c>
      <c r="D16" s="119" t="s">
        <v>159</v>
      </c>
      <c r="E16" s="119" t="s">
        <v>151</v>
      </c>
      <c r="F16" s="119" t="s">
        <v>160</v>
      </c>
      <c r="G16" s="119" t="s">
        <v>153</v>
      </c>
      <c r="H16" s="119" t="s">
        <v>161</v>
      </c>
      <c r="I16" s="120" t="s">
        <v>162</v>
      </c>
    </row>
    <row r="17" ht="62" customHeight="1" spans="1:9">
      <c r="A17" s="118" t="s">
        <v>163</v>
      </c>
      <c r="B17" s="119" t="s">
        <v>164</v>
      </c>
      <c r="C17" s="119" t="s">
        <v>165</v>
      </c>
      <c r="D17" s="119" t="s">
        <v>166</v>
      </c>
      <c r="E17" s="119" t="s">
        <v>151</v>
      </c>
      <c r="F17" s="119" t="s">
        <v>167</v>
      </c>
      <c r="G17" s="119" t="s">
        <v>153</v>
      </c>
      <c r="H17" s="119" t="s">
        <v>154</v>
      </c>
      <c r="I17" s="120" t="s">
        <v>168</v>
      </c>
    </row>
    <row r="18" ht="62" customHeight="1" spans="1:9">
      <c r="A18" s="104" t="s">
        <v>169</v>
      </c>
      <c r="B18" s="71" t="s">
        <v>170</v>
      </c>
      <c r="C18" s="71" t="s">
        <v>171</v>
      </c>
      <c r="D18" s="71" t="s">
        <v>172</v>
      </c>
      <c r="E18" s="71" t="s">
        <v>151</v>
      </c>
      <c r="F18" s="71" t="s">
        <v>173</v>
      </c>
      <c r="G18" s="71" t="s">
        <v>44</v>
      </c>
      <c r="H18" s="71" t="s">
        <v>174</v>
      </c>
      <c r="I18" s="105" t="s">
        <v>175</v>
      </c>
    </row>
    <row r="19" ht="62" customHeight="1" spans="1:9">
      <c r="A19" s="121" t="s">
        <v>176</v>
      </c>
      <c r="B19" s="122" t="s">
        <v>177</v>
      </c>
      <c r="C19" s="122" t="s">
        <v>178</v>
      </c>
      <c r="D19" s="122" t="s">
        <v>179</v>
      </c>
      <c r="E19" s="122" t="s">
        <v>180</v>
      </c>
      <c r="F19" s="122" t="s">
        <v>181</v>
      </c>
      <c r="G19" s="122" t="s">
        <v>182</v>
      </c>
      <c r="H19" s="122" t="s">
        <v>183</v>
      </c>
      <c r="I19" s="123" t="s">
        <v>184</v>
      </c>
    </row>
    <row r="20" ht="62" customHeight="1" spans="1:9">
      <c r="A20" s="121" t="s">
        <v>185</v>
      </c>
      <c r="B20" s="122" t="s">
        <v>186</v>
      </c>
      <c r="C20" s="122" t="s">
        <v>187</v>
      </c>
      <c r="D20" s="122" t="s">
        <v>188</v>
      </c>
      <c r="E20" s="122" t="s">
        <v>189</v>
      </c>
      <c r="F20" s="122" t="s">
        <v>190</v>
      </c>
      <c r="G20" s="122" t="s">
        <v>182</v>
      </c>
      <c r="H20" s="122" t="s">
        <v>183</v>
      </c>
      <c r="I20" s="123" t="s">
        <v>191</v>
      </c>
    </row>
    <row r="21" ht="62" customHeight="1" spans="1:9">
      <c r="A21" s="118" t="s">
        <v>192</v>
      </c>
      <c r="B21" s="119" t="s">
        <v>193</v>
      </c>
      <c r="C21" s="119" t="s">
        <v>194</v>
      </c>
      <c r="D21" s="119" t="s">
        <v>195</v>
      </c>
      <c r="E21" s="119" t="s">
        <v>151</v>
      </c>
      <c r="F21" s="119" t="s">
        <v>196</v>
      </c>
      <c r="G21" s="119" t="s">
        <v>153</v>
      </c>
      <c r="H21" s="119" t="s">
        <v>154</v>
      </c>
      <c r="I21" s="120" t="s">
        <v>197</v>
      </c>
    </row>
    <row r="22" ht="62" customHeight="1" spans="1:9">
      <c r="A22" s="118" t="s">
        <v>198</v>
      </c>
      <c r="B22" s="119" t="s">
        <v>199</v>
      </c>
      <c r="C22" s="119" t="s">
        <v>200</v>
      </c>
      <c r="D22" s="119" t="s">
        <v>201</v>
      </c>
      <c r="E22" s="119" t="s">
        <v>151</v>
      </c>
      <c r="F22" s="119" t="s">
        <v>202</v>
      </c>
      <c r="G22" s="119" t="s">
        <v>153</v>
      </c>
      <c r="H22" s="119" t="s">
        <v>154</v>
      </c>
      <c r="I22" s="120" t="s">
        <v>203</v>
      </c>
    </row>
    <row r="23" ht="62" customHeight="1" spans="1:9">
      <c r="A23" s="121" t="s">
        <v>204</v>
      </c>
      <c r="B23" s="122" t="s">
        <v>205</v>
      </c>
      <c r="C23" s="122" t="s">
        <v>206</v>
      </c>
      <c r="D23" s="122" t="s">
        <v>207</v>
      </c>
      <c r="E23" s="122" t="s">
        <v>208</v>
      </c>
      <c r="F23" s="122" t="s">
        <v>209</v>
      </c>
      <c r="G23" s="122" t="s">
        <v>182</v>
      </c>
      <c r="H23" s="122" t="s">
        <v>210</v>
      </c>
      <c r="I23" s="123" t="s">
        <v>211</v>
      </c>
    </row>
    <row r="24" ht="62" customHeight="1" spans="1:9">
      <c r="A24" s="121" t="s">
        <v>212</v>
      </c>
      <c r="B24" s="122" t="s">
        <v>213</v>
      </c>
      <c r="C24" s="122" t="s">
        <v>214</v>
      </c>
      <c r="D24" s="122" t="s">
        <v>215</v>
      </c>
      <c r="E24" s="122" t="s">
        <v>216</v>
      </c>
      <c r="F24" s="122" t="s">
        <v>217</v>
      </c>
      <c r="G24" s="122" t="s">
        <v>182</v>
      </c>
      <c r="H24" s="122" t="s">
        <v>210</v>
      </c>
      <c r="I24" s="123" t="s">
        <v>218</v>
      </c>
    </row>
    <row r="25" ht="62" customHeight="1" spans="1:9">
      <c r="A25" s="121" t="s">
        <v>219</v>
      </c>
      <c r="B25" s="122" t="s">
        <v>220</v>
      </c>
      <c r="C25" s="122" t="s">
        <v>221</v>
      </c>
      <c r="D25" s="122" t="s">
        <v>222</v>
      </c>
      <c r="E25" s="122" t="s">
        <v>223</v>
      </c>
      <c r="F25" s="122" t="s">
        <v>224</v>
      </c>
      <c r="G25" s="122" t="s">
        <v>182</v>
      </c>
      <c r="H25" s="122" t="s">
        <v>210</v>
      </c>
      <c r="I25" s="123" t="s">
        <v>225</v>
      </c>
    </row>
    <row r="26" ht="62" customHeight="1" spans="1:9">
      <c r="A26" s="121" t="s">
        <v>226</v>
      </c>
      <c r="B26" s="122" t="s">
        <v>227</v>
      </c>
      <c r="C26" s="122" t="s">
        <v>228</v>
      </c>
      <c r="D26" s="122" t="s">
        <v>229</v>
      </c>
      <c r="E26" s="122" t="s">
        <v>230</v>
      </c>
      <c r="F26" s="122" t="s">
        <v>231</v>
      </c>
      <c r="G26" s="122" t="s">
        <v>182</v>
      </c>
      <c r="H26" s="122" t="s">
        <v>183</v>
      </c>
      <c r="I26" s="123" t="s">
        <v>191</v>
      </c>
    </row>
    <row r="27" ht="62" customHeight="1" spans="1:9">
      <c r="A27" s="118" t="s">
        <v>232</v>
      </c>
      <c r="B27" s="119" t="s">
        <v>233</v>
      </c>
      <c r="C27" s="119" t="s">
        <v>234</v>
      </c>
      <c r="D27" s="119" t="s">
        <v>235</v>
      </c>
      <c r="E27" s="119" t="s">
        <v>151</v>
      </c>
      <c r="F27" s="119" t="s">
        <v>236</v>
      </c>
      <c r="G27" s="119" t="s">
        <v>153</v>
      </c>
      <c r="H27" s="119" t="s">
        <v>154</v>
      </c>
      <c r="I27" s="120" t="s">
        <v>237</v>
      </c>
    </row>
    <row r="28" ht="62" customHeight="1" spans="1:9">
      <c r="A28" s="118" t="s">
        <v>238</v>
      </c>
      <c r="B28" s="119" t="s">
        <v>239</v>
      </c>
      <c r="C28" s="119" t="s">
        <v>240</v>
      </c>
      <c r="D28" s="119" t="s">
        <v>241</v>
      </c>
      <c r="E28" s="119" t="s">
        <v>151</v>
      </c>
      <c r="F28" s="119" t="s">
        <v>242</v>
      </c>
      <c r="G28" s="119" t="s">
        <v>153</v>
      </c>
      <c r="H28" s="119" t="s">
        <v>154</v>
      </c>
      <c r="I28" s="120" t="s">
        <v>243</v>
      </c>
    </row>
    <row r="29" ht="52" spans="1:9">
      <c r="A29" s="124" t="s">
        <v>244</v>
      </c>
      <c r="B29" s="124" t="s">
        <v>245</v>
      </c>
      <c r="C29" s="124" t="s">
        <v>246</v>
      </c>
      <c r="D29" s="124"/>
      <c r="E29" s="124"/>
      <c r="F29" s="124"/>
      <c r="G29" s="124"/>
      <c r="H29" s="124"/>
      <c r="I29" s="124"/>
    </row>
    <row r="30" spans="1:9">
      <c r="A30" s="30"/>
      <c r="B30" s="30"/>
      <c r="C30" s="30"/>
      <c r="D30" s="30"/>
      <c r="E30" s="30"/>
      <c r="F30" s="30"/>
      <c r="G30" s="30"/>
      <c r="H30" s="30"/>
      <c r="I30" s="30"/>
    </row>
    <row r="31" ht="30" customHeight="1" spans="1:9">
      <c r="A31" s="18" t="s">
        <v>247</v>
      </c>
    </row>
    <row r="32" ht="117" spans="1:9">
      <c r="A32" s="125" t="s">
        <v>248</v>
      </c>
      <c r="B32" s="125" t="s">
        <v>249</v>
      </c>
      <c r="C32" s="125" t="s">
        <v>250</v>
      </c>
      <c r="D32" s="125"/>
      <c r="E32" s="125"/>
      <c r="F32" s="125"/>
      <c r="G32" s="125"/>
      <c r="H32" s="125"/>
      <c r="I32" s="125"/>
    </row>
    <row r="33" ht="34" customHeight="1" spans="1:9">
      <c r="A33" s="20" t="s">
        <v>139</v>
      </c>
      <c r="B33" s="21" t="s">
        <v>251</v>
      </c>
      <c r="C33" s="21" t="s">
        <v>142</v>
      </c>
      <c r="D33" s="21" t="s">
        <v>252</v>
      </c>
      <c r="E33" s="21" t="s">
        <v>253</v>
      </c>
      <c r="F33" s="21" t="s">
        <v>254</v>
      </c>
      <c r="G33" s="21"/>
      <c r="H33" s="21"/>
      <c r="I33" s="22"/>
    </row>
    <row r="34" ht="50" customHeight="1" spans="1:9">
      <c r="A34" s="118" t="s">
        <v>255</v>
      </c>
      <c r="B34" s="119" t="s">
        <v>256</v>
      </c>
      <c r="C34" s="119" t="s">
        <v>257</v>
      </c>
      <c r="D34" s="119" t="s">
        <v>258</v>
      </c>
      <c r="E34" s="119" t="s">
        <v>259</v>
      </c>
      <c r="F34" s="120">
        <v>1</v>
      </c>
      <c r="G34" s="30"/>
      <c r="H34" s="30"/>
      <c r="I34" s="30"/>
    </row>
    <row r="35" ht="50" customHeight="1" spans="1:9">
      <c r="A35" s="118" t="s">
        <v>260</v>
      </c>
      <c r="B35" s="119" t="s">
        <v>256</v>
      </c>
      <c r="C35" s="119" t="s">
        <v>261</v>
      </c>
      <c r="D35" s="119" t="s">
        <v>262</v>
      </c>
      <c r="E35" s="119" t="s">
        <v>259</v>
      </c>
      <c r="F35" s="120">
        <v>6</v>
      </c>
      <c r="G35" s="30"/>
      <c r="H35" s="30"/>
      <c r="I35" s="30"/>
    </row>
    <row r="36" ht="50" customHeight="1" spans="1:9">
      <c r="A36" s="118" t="s">
        <v>263</v>
      </c>
      <c r="B36" s="119" t="s">
        <v>256</v>
      </c>
      <c r="C36" s="119" t="s">
        <v>264</v>
      </c>
      <c r="D36" s="119" t="s">
        <v>265</v>
      </c>
      <c r="E36" s="126" t="s">
        <v>266</v>
      </c>
      <c r="F36" s="120">
        <v>10</v>
      </c>
      <c r="G36" s="30"/>
      <c r="H36" s="30"/>
      <c r="I36" s="30"/>
    </row>
    <row r="37" ht="50" customHeight="1" spans="1:9">
      <c r="A37" s="118" t="s">
        <v>267</v>
      </c>
      <c r="B37" s="119" t="s">
        <v>256</v>
      </c>
      <c r="C37" s="119" t="s">
        <v>268</v>
      </c>
      <c r="D37" s="119" t="s">
        <v>269</v>
      </c>
      <c r="E37" s="119" t="s">
        <v>259</v>
      </c>
      <c r="F37" s="120">
        <v>13</v>
      </c>
      <c r="G37" s="30"/>
      <c r="H37" s="30"/>
      <c r="I37" s="30"/>
    </row>
    <row r="38" ht="50" customHeight="1" spans="1:9">
      <c r="A38" s="118" t="s">
        <v>270</v>
      </c>
      <c r="B38" s="119" t="s">
        <v>256</v>
      </c>
      <c r="C38" s="119" t="s">
        <v>271</v>
      </c>
      <c r="D38" s="119" t="s">
        <v>272</v>
      </c>
      <c r="E38" s="126" t="s">
        <v>266</v>
      </c>
      <c r="F38" s="120">
        <v>15</v>
      </c>
      <c r="G38" s="30"/>
      <c r="H38" s="30"/>
      <c r="I38" s="30"/>
    </row>
    <row r="39" ht="50" customHeight="1" spans="1:9">
      <c r="A39" s="118" t="s">
        <v>273</v>
      </c>
      <c r="B39" s="119" t="s">
        <v>256</v>
      </c>
      <c r="C39" s="119" t="s">
        <v>274</v>
      </c>
      <c r="D39" s="119" t="s">
        <v>275</v>
      </c>
      <c r="E39" s="119" t="s">
        <v>259</v>
      </c>
      <c r="F39" s="120">
        <v>19</v>
      </c>
      <c r="G39" s="30"/>
      <c r="H39" s="30"/>
      <c r="I39" s="30"/>
    </row>
    <row r="40" ht="50" customHeight="1" spans="1:9">
      <c r="A40" s="127" t="s">
        <v>276</v>
      </c>
      <c r="B40" s="128" t="s">
        <v>277</v>
      </c>
      <c r="C40" s="128" t="s">
        <v>278</v>
      </c>
      <c r="D40" s="128" t="s">
        <v>279</v>
      </c>
      <c r="E40" s="128" t="s">
        <v>259</v>
      </c>
      <c r="F40" s="129">
        <v>2</v>
      </c>
      <c r="G40" s="30"/>
      <c r="H40" s="30"/>
      <c r="I40" s="30"/>
    </row>
    <row r="41" ht="50" customHeight="1" spans="1:9">
      <c r="A41" s="127" t="s">
        <v>280</v>
      </c>
      <c r="B41" s="128" t="s">
        <v>277</v>
      </c>
      <c r="C41" s="128" t="s">
        <v>281</v>
      </c>
      <c r="D41" s="128" t="s">
        <v>282</v>
      </c>
      <c r="E41" s="126" t="s">
        <v>266</v>
      </c>
      <c r="F41" s="129">
        <v>7</v>
      </c>
      <c r="G41" s="30"/>
      <c r="H41" s="30"/>
      <c r="I41" s="30"/>
    </row>
    <row r="42" ht="50" customHeight="1" spans="1:9">
      <c r="A42" s="127" t="s">
        <v>283</v>
      </c>
      <c r="B42" s="128" t="s">
        <v>277</v>
      </c>
      <c r="C42" s="128" t="s">
        <v>284</v>
      </c>
      <c r="D42" s="128" t="s">
        <v>285</v>
      </c>
      <c r="E42" s="128" t="s">
        <v>259</v>
      </c>
      <c r="F42" s="129">
        <v>11</v>
      </c>
      <c r="G42" s="30"/>
      <c r="H42" s="30"/>
      <c r="I42" s="30"/>
    </row>
    <row r="43" ht="50" customHeight="1" spans="1:9">
      <c r="A43" s="127" t="s">
        <v>286</v>
      </c>
      <c r="B43" s="128" t="s">
        <v>277</v>
      </c>
      <c r="C43" s="128" t="s">
        <v>287</v>
      </c>
      <c r="D43" s="128" t="s">
        <v>288</v>
      </c>
      <c r="E43" s="126" t="s">
        <v>266</v>
      </c>
      <c r="F43" s="129">
        <v>16</v>
      </c>
      <c r="G43" s="30"/>
      <c r="H43" s="30"/>
      <c r="I43" s="30"/>
    </row>
    <row r="44" spans="1:9">
      <c r="A44" s="71" t="s">
        <v>289</v>
      </c>
    </row>
    <row r="45" spans="1:9">
      <c r="A45" s="130" t="s">
        <v>290</v>
      </c>
    </row>
    <row r="46" ht="36" customHeight="1" spans="1:9">
      <c r="A46" s="125" t="s">
        <v>291</v>
      </c>
      <c r="B46" s="125" t="s">
        <v>292</v>
      </c>
      <c r="C46" s="125" t="s">
        <v>293</v>
      </c>
      <c r="D46" s="125"/>
      <c r="E46" s="125"/>
      <c r="F46" s="125"/>
      <c r="G46" s="125"/>
      <c r="H46" s="125"/>
      <c r="I46" s="125"/>
    </row>
    <row r="47" ht="32" customHeight="1" spans="1:9">
      <c r="A47" s="20" t="s">
        <v>139</v>
      </c>
      <c r="B47" s="21" t="s">
        <v>294</v>
      </c>
      <c r="C47" s="22" t="s">
        <v>141</v>
      </c>
      <c r="D47" s="125"/>
      <c r="E47" s="125"/>
      <c r="F47" s="125"/>
      <c r="G47" s="125"/>
      <c r="H47" s="125"/>
      <c r="I47" s="125"/>
    </row>
    <row r="48" ht="42" customHeight="1" spans="1:9">
      <c r="A48" s="131" t="s">
        <v>295</v>
      </c>
      <c r="B48" s="132" t="s">
        <v>296</v>
      </c>
      <c r="C48" s="133" t="s">
        <v>297</v>
      </c>
      <c r="D48" s="30"/>
      <c r="E48" s="30"/>
      <c r="F48" s="30"/>
      <c r="G48" s="30"/>
      <c r="H48" s="30"/>
      <c r="I48" s="30"/>
    </row>
    <row r="49" ht="42" customHeight="1" spans="1:9">
      <c r="A49" s="134" t="s">
        <v>298</v>
      </c>
      <c r="B49" s="135" t="s">
        <v>299</v>
      </c>
      <c r="C49" s="136" t="s">
        <v>300</v>
      </c>
      <c r="D49" s="30"/>
      <c r="E49" s="30"/>
      <c r="F49" s="30"/>
      <c r="G49" s="30"/>
      <c r="H49" s="30"/>
      <c r="I49" s="30"/>
    </row>
    <row r="50" ht="42" customHeight="1" spans="1:9">
      <c r="A50" s="137" t="s">
        <v>301</v>
      </c>
      <c r="B50" s="138" t="s">
        <v>302</v>
      </c>
      <c r="C50" s="139" t="s">
        <v>303</v>
      </c>
      <c r="D50" s="30"/>
      <c r="E50" s="30"/>
      <c r="F50" s="30"/>
      <c r="G50" s="30"/>
      <c r="H50" s="30"/>
      <c r="I50" s="30"/>
    </row>
    <row r="51" spans="1:9">
      <c r="A51" s="30"/>
      <c r="B51" s="30"/>
      <c r="C51" s="30"/>
      <c r="D51" s="30"/>
      <c r="E51" s="30"/>
      <c r="F51" s="30"/>
      <c r="G51" s="30"/>
      <c r="H51" s="30"/>
      <c r="I51" s="30"/>
    </row>
    <row r="52" ht="30" customHeight="1" spans="1:9">
      <c r="A52" s="18" t="s">
        <v>304</v>
      </c>
    </row>
    <row r="53" ht="34" customHeight="1" spans="1:9">
      <c r="A53" s="20" t="s">
        <v>116</v>
      </c>
      <c r="B53" s="21" t="s">
        <v>117</v>
      </c>
      <c r="C53" s="21" t="s">
        <v>305</v>
      </c>
      <c r="D53" s="21" t="s">
        <v>146</v>
      </c>
      <c r="E53" s="21"/>
      <c r="F53" s="21"/>
      <c r="G53" s="21"/>
      <c r="H53" s="21"/>
      <c r="I53" s="22"/>
    </row>
    <row r="54" ht="52" customHeight="1" spans="1:9">
      <c r="A54" s="60" t="s">
        <v>306</v>
      </c>
      <c r="B54" s="62" t="s">
        <v>307</v>
      </c>
      <c r="C54" s="62" t="s">
        <v>308</v>
      </c>
      <c r="D54" s="87" t="s">
        <v>309</v>
      </c>
      <c r="E54" s="30"/>
      <c r="F54" s="30"/>
      <c r="G54" s="30"/>
      <c r="H54" s="30"/>
      <c r="I54" s="30"/>
    </row>
    <row r="55" ht="52" customHeight="1" spans="1:9">
      <c r="A55" s="25" t="s">
        <v>310</v>
      </c>
      <c r="B55" s="70" t="s">
        <v>311</v>
      </c>
      <c r="C55" s="70" t="s">
        <v>312</v>
      </c>
      <c r="D55" s="94" t="s">
        <v>313</v>
      </c>
      <c r="E55" s="30"/>
      <c r="F55" s="30"/>
      <c r="G55" s="30"/>
      <c r="H55" s="30"/>
      <c r="I55" s="30"/>
    </row>
    <row r="56" ht="52" customHeight="1" spans="1:9">
      <c r="A56" s="25" t="s">
        <v>314</v>
      </c>
      <c r="B56" s="70" t="s">
        <v>315</v>
      </c>
      <c r="C56" s="70" t="s">
        <v>308</v>
      </c>
      <c r="D56" s="94" t="s">
        <v>316</v>
      </c>
      <c r="E56" s="30"/>
      <c r="F56" s="30"/>
      <c r="G56" s="30"/>
      <c r="H56" s="30"/>
      <c r="I56" s="30"/>
    </row>
    <row r="57" ht="52" customHeight="1" spans="1:9">
      <c r="A57" s="25" t="s">
        <v>317</v>
      </c>
      <c r="B57" s="70" t="s">
        <v>318</v>
      </c>
      <c r="C57" s="70" t="s">
        <v>319</v>
      </c>
      <c r="D57" s="94" t="s">
        <v>320</v>
      </c>
      <c r="E57" s="30"/>
      <c r="F57" s="30"/>
      <c r="G57" s="30"/>
      <c r="H57" s="30"/>
      <c r="I57" s="30"/>
    </row>
    <row r="58" ht="52" customHeight="1" spans="1:9">
      <c r="A58" s="25" t="s">
        <v>321</v>
      </c>
      <c r="B58" s="70" t="s">
        <v>322</v>
      </c>
      <c r="C58" s="70" t="s">
        <v>323</v>
      </c>
      <c r="D58" s="94" t="s">
        <v>324</v>
      </c>
      <c r="E58" s="30"/>
      <c r="F58" s="30"/>
      <c r="G58" s="30"/>
      <c r="H58" s="30"/>
      <c r="I58" s="30"/>
    </row>
    <row r="59" ht="52" customHeight="1" spans="1:9">
      <c r="A59" s="25" t="s">
        <v>325</v>
      </c>
      <c r="B59" s="70" t="s">
        <v>326</v>
      </c>
      <c r="C59" s="70" t="s">
        <v>323</v>
      </c>
      <c r="D59" s="94" t="s">
        <v>327</v>
      </c>
      <c r="E59" s="30"/>
      <c r="F59" s="30"/>
      <c r="G59" s="30"/>
      <c r="H59" s="30"/>
      <c r="I59" s="30"/>
    </row>
    <row r="60" ht="52" customHeight="1" spans="1:9">
      <c r="A60" s="33" t="s">
        <v>328</v>
      </c>
      <c r="B60" s="97" t="s">
        <v>329</v>
      </c>
      <c r="C60" s="97" t="s">
        <v>330</v>
      </c>
      <c r="D60" s="99" t="s">
        <v>331</v>
      </c>
      <c r="E60" s="30"/>
      <c r="F60" s="30"/>
      <c r="G60" s="30"/>
      <c r="H60" s="30"/>
      <c r="I60" s="30"/>
    </row>
    <row r="61" spans="1:9">
      <c r="A61" s="30"/>
      <c r="B61" s="30"/>
      <c r="C61" s="30"/>
      <c r="D61" s="30"/>
      <c r="E61" s="30"/>
      <c r="F61" s="30"/>
      <c r="G61" s="30"/>
      <c r="H61" s="30"/>
      <c r="I61" s="30"/>
    </row>
    <row r="62" spans="1:9">
      <c r="A62" s="50" t="s">
        <v>332</v>
      </c>
      <c r="B62" s="50"/>
      <c r="C62" s="50"/>
      <c r="D62" s="50"/>
      <c r="E62" s="50"/>
      <c r="F62" s="50"/>
      <c r="G62" s="50"/>
      <c r="H62" s="50"/>
      <c r="I62" s="50"/>
    </row>
    <row r="63" ht="30" customHeight="1" spans="1:9">
      <c r="A63" s="18" t="s">
        <v>333</v>
      </c>
      <c r="B63" t="s">
        <v>245</v>
      </c>
      <c r="C63" t="s">
        <v>334</v>
      </c>
    </row>
    <row r="64" ht="42" customHeight="1" spans="1:9">
      <c r="A64" s="60" t="s">
        <v>335</v>
      </c>
      <c r="B64" s="140" t="s">
        <v>249</v>
      </c>
      <c r="C64" s="141" t="s">
        <v>336</v>
      </c>
      <c r="D64" s="30"/>
      <c r="E64" s="30"/>
      <c r="F64" s="30"/>
      <c r="G64" s="30"/>
      <c r="H64" s="30"/>
      <c r="I64" s="30"/>
    </row>
    <row r="65" ht="42" customHeight="1" spans="1:9">
      <c r="A65" s="25" t="s">
        <v>337</v>
      </c>
      <c r="B65" s="124" t="s">
        <v>292</v>
      </c>
      <c r="C65" s="142" t="s">
        <v>338</v>
      </c>
      <c r="D65" s="30"/>
      <c r="E65" s="30"/>
      <c r="F65" s="30"/>
      <c r="G65" s="30"/>
      <c r="H65" s="30"/>
      <c r="I65" s="30"/>
    </row>
    <row r="66" ht="42" customHeight="1" spans="1:9">
      <c r="A66" s="25" t="s">
        <v>339</v>
      </c>
      <c r="B66" s="124" t="s">
        <v>308</v>
      </c>
      <c r="C66" s="142" t="s">
        <v>340</v>
      </c>
      <c r="D66" s="30"/>
      <c r="E66" s="30"/>
      <c r="F66" s="30"/>
      <c r="G66" s="30"/>
      <c r="H66" s="30"/>
      <c r="I66" s="30"/>
    </row>
    <row r="67" ht="42" customHeight="1" spans="1:9">
      <c r="A67" s="25" t="s">
        <v>341</v>
      </c>
      <c r="B67" s="124" t="s">
        <v>342</v>
      </c>
      <c r="C67" s="142" t="s">
        <v>343</v>
      </c>
      <c r="D67" s="30"/>
      <c r="E67" s="30"/>
      <c r="F67" s="30"/>
      <c r="G67" s="30"/>
      <c r="H67" s="30"/>
      <c r="I67" s="30"/>
    </row>
    <row r="68" ht="42" customHeight="1" spans="1:9">
      <c r="A68" s="25" t="s">
        <v>344</v>
      </c>
      <c r="B68" s="124" t="s">
        <v>319</v>
      </c>
      <c r="C68" s="142" t="s">
        <v>345</v>
      </c>
      <c r="D68" s="30"/>
      <c r="E68" s="30"/>
      <c r="F68" s="30"/>
      <c r="G68" s="30"/>
      <c r="H68" s="30"/>
      <c r="I68" s="30"/>
    </row>
    <row r="69" ht="42" customHeight="1" spans="1:9">
      <c r="A69" s="33" t="s">
        <v>346</v>
      </c>
      <c r="B69" s="143" t="s">
        <v>330</v>
      </c>
      <c r="C69" s="144" t="s">
        <v>347</v>
      </c>
      <c r="D69" s="30"/>
      <c r="E69" s="30"/>
      <c r="F69" s="30"/>
      <c r="G69" s="30"/>
      <c r="H69" s="30"/>
      <c r="I69" s="30"/>
    </row>
  </sheetData>
  <mergeCells count="8">
    <mergeCell ref="A1:I1"/>
    <mergeCell ref="A2:I2"/>
    <mergeCell ref="A4:I4"/>
    <mergeCell ref="A13:I13"/>
    <mergeCell ref="A31:I31"/>
    <mergeCell ref="A44:I44"/>
    <mergeCell ref="A45:I45"/>
    <mergeCell ref="A52:I5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6"/>
  <sheetViews>
    <sheetView topLeftCell="K1" workbookViewId="0">
      <selection activeCell="T3" sqref="T3:U26"/>
    </sheetView>
  </sheetViews>
  <sheetFormatPr defaultColWidth="9" defaultRowHeight="14.5"/>
  <cols>
    <col min="1" max="1" width="14" customWidth="1"/>
    <col min="2" max="2" width="18" customWidth="1"/>
    <col min="3" max="3" width="11" customWidth="1"/>
    <col min="4" max="4" width="10" customWidth="1"/>
    <col min="5" max="7" width="15" customWidth="1"/>
    <col min="8" max="8" width="22" customWidth="1"/>
    <col min="9" max="11" width="18" customWidth="1"/>
    <col min="12" max="12" width="9" customWidth="1"/>
    <col min="13" max="13" width="15" customWidth="1"/>
    <col min="14" max="14" width="14" customWidth="1"/>
    <col min="15" max="15" width="16" customWidth="1"/>
    <col min="16" max="16" width="20" customWidth="1"/>
    <col min="17" max="17" width="22" customWidth="1"/>
    <col min="18" max="18" width="13" customWidth="1"/>
    <col min="19" max="19" width="15" customWidth="1"/>
    <col min="20" max="21" width="20" customWidth="1"/>
    <col min="22" max="22" width="14" customWidth="1"/>
    <col min="23" max="23" width="22" customWidth="1"/>
    <col min="24" max="24" width="34" customWidth="1"/>
  </cols>
  <sheetData>
    <row r="1" ht="32" customHeight="1" spans="1:24">
      <c r="A1" s="16" t="s">
        <v>348</v>
      </c>
    </row>
    <row r="2" ht="42" customHeight="1" spans="1:24">
      <c r="A2" s="20" t="s">
        <v>349</v>
      </c>
      <c r="B2" s="21" t="s">
        <v>350</v>
      </c>
      <c r="C2" s="21" t="s">
        <v>351</v>
      </c>
      <c r="D2" s="21" t="s">
        <v>352</v>
      </c>
      <c r="E2" s="21" t="s">
        <v>353</v>
      </c>
      <c r="F2" s="21" t="s">
        <v>354</v>
      </c>
      <c r="G2" s="21" t="s">
        <v>355</v>
      </c>
      <c r="H2" s="21" t="s">
        <v>356</v>
      </c>
      <c r="I2" s="21" t="s">
        <v>357</v>
      </c>
      <c r="J2" s="21" t="s">
        <v>358</v>
      </c>
      <c r="K2" s="21" t="s">
        <v>359</v>
      </c>
      <c r="L2" s="21" t="s">
        <v>360</v>
      </c>
      <c r="M2" s="21" t="s">
        <v>361</v>
      </c>
      <c r="N2" s="21" t="s">
        <v>362</v>
      </c>
      <c r="O2" s="21" t="s">
        <v>363</v>
      </c>
      <c r="P2" s="21" t="s">
        <v>364</v>
      </c>
      <c r="Q2" s="21" t="s">
        <v>365</v>
      </c>
      <c r="R2" s="21" t="s">
        <v>366</v>
      </c>
      <c r="S2" s="21" t="s">
        <v>367</v>
      </c>
      <c r="T2" s="21" t="s">
        <v>368</v>
      </c>
      <c r="U2" s="21" t="s">
        <v>369</v>
      </c>
      <c r="V2" s="21" t="s">
        <v>370</v>
      </c>
      <c r="W2" s="21" t="s">
        <v>371</v>
      </c>
      <c r="X2" s="22" t="s">
        <v>146</v>
      </c>
    </row>
    <row r="3" ht="27" customHeight="1" spans="1:24">
      <c r="A3" s="60" t="s">
        <v>372</v>
      </c>
      <c r="B3" s="61" t="s">
        <v>373</v>
      </c>
      <c r="C3" s="61">
        <v>1</v>
      </c>
      <c r="D3" s="61" t="s">
        <v>374</v>
      </c>
      <c r="E3" s="61" t="s">
        <v>375</v>
      </c>
      <c r="F3" s="61" t="s">
        <v>376</v>
      </c>
      <c r="G3" s="61" t="s">
        <v>377</v>
      </c>
      <c r="H3" s="61" t="s">
        <v>378</v>
      </c>
      <c r="I3" s="100" t="s">
        <v>379</v>
      </c>
      <c r="J3" s="101" t="s">
        <v>380</v>
      </c>
      <c r="K3" s="61" t="s">
        <v>379</v>
      </c>
      <c r="L3" s="102">
        <v>29</v>
      </c>
      <c r="M3" s="62" t="s">
        <v>381</v>
      </c>
      <c r="N3" s="62" t="s">
        <v>382</v>
      </c>
      <c r="O3" s="62" t="s">
        <v>383</v>
      </c>
      <c r="P3" s="62" t="s">
        <v>384</v>
      </c>
      <c r="Q3" s="62" t="s">
        <v>385</v>
      </c>
      <c r="R3" s="62" t="s">
        <v>266</v>
      </c>
      <c r="S3" s="62" t="s">
        <v>386</v>
      </c>
      <c r="T3" s="103">
        <v>46237.3791666667</v>
      </c>
      <c r="U3" s="103">
        <v>46237.4229230903</v>
      </c>
      <c r="V3" s="62" t="s">
        <v>266</v>
      </c>
      <c r="W3" s="62" t="s">
        <v>386</v>
      </c>
      <c r="X3" s="87" t="s">
        <v>387</v>
      </c>
    </row>
    <row r="4" ht="27" customHeight="1" spans="1:24">
      <c r="A4" s="25" t="s">
        <v>388</v>
      </c>
      <c r="B4" s="26" t="s">
        <v>389</v>
      </c>
      <c r="C4" s="26">
        <v>1</v>
      </c>
      <c r="D4" s="26" t="s">
        <v>390</v>
      </c>
      <c r="E4" s="26" t="s">
        <v>375</v>
      </c>
      <c r="F4" s="26" t="s">
        <v>376</v>
      </c>
      <c r="G4" s="26" t="s">
        <v>377</v>
      </c>
      <c r="H4" s="26" t="s">
        <v>391</v>
      </c>
      <c r="I4" s="104" t="s">
        <v>379</v>
      </c>
      <c r="J4" s="105" t="s">
        <v>380</v>
      </c>
      <c r="K4" s="26" t="s">
        <v>380</v>
      </c>
      <c r="L4" s="106">
        <v>33</v>
      </c>
      <c r="M4" s="70" t="s">
        <v>381</v>
      </c>
      <c r="N4" s="70" t="s">
        <v>382</v>
      </c>
      <c r="O4" s="70" t="s">
        <v>383</v>
      </c>
      <c r="P4" s="70" t="s">
        <v>392</v>
      </c>
      <c r="Q4" s="70" t="s">
        <v>393</v>
      </c>
      <c r="R4" s="70" t="s">
        <v>266</v>
      </c>
      <c r="S4" s="70" t="s">
        <v>386</v>
      </c>
      <c r="T4" s="107">
        <v>46237.44375</v>
      </c>
      <c r="U4" s="107">
        <v>46237.4870990394</v>
      </c>
      <c r="V4" s="70" t="s">
        <v>266</v>
      </c>
      <c r="W4" s="70" t="s">
        <v>386</v>
      </c>
      <c r="X4" s="94" t="s">
        <v>394</v>
      </c>
    </row>
    <row r="5" ht="27" customHeight="1" spans="1:24">
      <c r="A5" s="25" t="s">
        <v>395</v>
      </c>
      <c r="B5" s="26" t="s">
        <v>396</v>
      </c>
      <c r="C5" s="26">
        <v>1</v>
      </c>
      <c r="D5" s="26" t="s">
        <v>390</v>
      </c>
      <c r="E5" s="26" t="s">
        <v>375</v>
      </c>
      <c r="F5" s="26" t="s">
        <v>376</v>
      </c>
      <c r="G5" s="26" t="s">
        <v>377</v>
      </c>
      <c r="H5" s="26" t="s">
        <v>391</v>
      </c>
      <c r="I5" s="104" t="s">
        <v>380</v>
      </c>
      <c r="J5" s="105" t="s">
        <v>379</v>
      </c>
      <c r="K5" s="26" t="s">
        <v>379</v>
      </c>
      <c r="L5" s="106">
        <v>25</v>
      </c>
      <c r="M5" s="70" t="s">
        <v>381</v>
      </c>
      <c r="N5" s="70" t="s">
        <v>382</v>
      </c>
      <c r="O5" s="70" t="s">
        <v>397</v>
      </c>
      <c r="P5" s="70" t="s">
        <v>384</v>
      </c>
      <c r="Q5" s="70" t="s">
        <v>398</v>
      </c>
      <c r="R5" s="70" t="s">
        <v>266</v>
      </c>
      <c r="S5" s="70" t="s">
        <v>386</v>
      </c>
      <c r="T5" s="107">
        <v>46237.5645833333</v>
      </c>
      <c r="U5" s="107">
        <v>46237.602745706</v>
      </c>
      <c r="V5" s="70" t="s">
        <v>266</v>
      </c>
      <c r="W5" s="70" t="s">
        <v>386</v>
      </c>
      <c r="X5" s="94" t="s">
        <v>399</v>
      </c>
    </row>
    <row r="6" ht="27" customHeight="1" spans="1:24">
      <c r="A6" s="78" t="s">
        <v>400</v>
      </c>
      <c r="B6" s="79" t="s">
        <v>401</v>
      </c>
      <c r="C6" s="79">
        <v>1</v>
      </c>
      <c r="D6" s="79" t="s">
        <v>374</v>
      </c>
      <c r="E6" s="79" t="s">
        <v>375</v>
      </c>
      <c r="F6" s="79" t="s">
        <v>376</v>
      </c>
      <c r="G6" s="79" t="s">
        <v>377</v>
      </c>
      <c r="H6" s="79" t="s">
        <v>378</v>
      </c>
      <c r="I6" s="108" t="s">
        <v>380</v>
      </c>
      <c r="J6" s="109" t="s">
        <v>379</v>
      </c>
      <c r="K6" s="79" t="s">
        <v>380</v>
      </c>
      <c r="L6" s="110">
        <v>25</v>
      </c>
      <c r="M6" s="80" t="s">
        <v>402</v>
      </c>
      <c r="N6" s="80" t="s">
        <v>382</v>
      </c>
      <c r="O6" s="80" t="s">
        <v>383</v>
      </c>
      <c r="P6" s="80" t="s">
        <v>392</v>
      </c>
      <c r="Q6" s="80" t="s">
        <v>385</v>
      </c>
      <c r="R6" s="80" t="s">
        <v>266</v>
      </c>
      <c r="S6" s="80" t="s">
        <v>403</v>
      </c>
      <c r="T6" s="111">
        <v>46237.6409722222</v>
      </c>
      <c r="U6" s="111">
        <v>46237.6842593287</v>
      </c>
      <c r="V6" s="80" t="s">
        <v>266</v>
      </c>
      <c r="W6" s="80" t="s">
        <v>386</v>
      </c>
      <c r="X6" s="80" t="s">
        <v>404</v>
      </c>
    </row>
    <row r="7" ht="27" customHeight="1" spans="1:24">
      <c r="A7" s="25" t="s">
        <v>405</v>
      </c>
      <c r="B7" s="26" t="s">
        <v>406</v>
      </c>
      <c r="C7" s="26">
        <v>2</v>
      </c>
      <c r="D7" s="26" t="s">
        <v>374</v>
      </c>
      <c r="E7" s="26" t="s">
        <v>375</v>
      </c>
      <c r="F7" s="26" t="s">
        <v>377</v>
      </c>
      <c r="G7" s="26" t="s">
        <v>376</v>
      </c>
      <c r="H7" s="26" t="s">
        <v>378</v>
      </c>
      <c r="I7" s="104" t="s">
        <v>379</v>
      </c>
      <c r="J7" s="105" t="s">
        <v>380</v>
      </c>
      <c r="K7" s="26" t="s">
        <v>379</v>
      </c>
      <c r="L7" s="106">
        <v>23</v>
      </c>
      <c r="M7" s="70" t="s">
        <v>402</v>
      </c>
      <c r="N7" s="70" t="s">
        <v>382</v>
      </c>
      <c r="O7" s="70" t="s">
        <v>383</v>
      </c>
      <c r="P7" s="70" t="s">
        <v>392</v>
      </c>
      <c r="Q7" s="70" t="s">
        <v>407</v>
      </c>
      <c r="R7" s="70" t="s">
        <v>266</v>
      </c>
      <c r="S7" s="70" t="s">
        <v>386</v>
      </c>
      <c r="T7" s="107">
        <v>46238.3791666667</v>
      </c>
      <c r="U7" s="107">
        <v>46238.4171241204</v>
      </c>
      <c r="V7" s="70" t="s">
        <v>266</v>
      </c>
      <c r="W7" s="70" t="s">
        <v>386</v>
      </c>
      <c r="X7" s="94" t="s">
        <v>408</v>
      </c>
    </row>
    <row r="8" ht="27" customHeight="1" spans="1:24">
      <c r="A8" s="25" t="s">
        <v>409</v>
      </c>
      <c r="B8" s="26" t="s">
        <v>410</v>
      </c>
      <c r="C8" s="26">
        <v>2</v>
      </c>
      <c r="D8" s="26" t="s">
        <v>390</v>
      </c>
      <c r="E8" s="26" t="s">
        <v>375</v>
      </c>
      <c r="F8" s="26" t="s">
        <v>377</v>
      </c>
      <c r="G8" s="26" t="s">
        <v>376</v>
      </c>
      <c r="H8" s="26" t="s">
        <v>391</v>
      </c>
      <c r="I8" s="104" t="s">
        <v>379</v>
      </c>
      <c r="J8" s="105" t="s">
        <v>380</v>
      </c>
      <c r="K8" s="26" t="s">
        <v>380</v>
      </c>
      <c r="L8" s="106">
        <v>27</v>
      </c>
      <c r="M8" s="70" t="s">
        <v>402</v>
      </c>
      <c r="N8" s="70" t="s">
        <v>382</v>
      </c>
      <c r="O8" s="70" t="s">
        <v>397</v>
      </c>
      <c r="P8" s="70" t="s">
        <v>384</v>
      </c>
      <c r="Q8" s="70" t="s">
        <v>407</v>
      </c>
      <c r="R8" s="70" t="s">
        <v>266</v>
      </c>
      <c r="S8" s="70" t="s">
        <v>386</v>
      </c>
      <c r="T8" s="107">
        <v>46238.4458333333</v>
      </c>
      <c r="U8" s="107">
        <v>46238.4909179514</v>
      </c>
      <c r="V8" s="70" t="s">
        <v>266</v>
      </c>
      <c r="W8" s="70" t="s">
        <v>386</v>
      </c>
      <c r="X8" s="94" t="s">
        <v>411</v>
      </c>
    </row>
    <row r="9" ht="27" customHeight="1" spans="1:24">
      <c r="A9" s="25" t="s">
        <v>412</v>
      </c>
      <c r="B9" s="26" t="s">
        <v>413</v>
      </c>
      <c r="C9" s="26">
        <v>2</v>
      </c>
      <c r="D9" s="26" t="s">
        <v>390</v>
      </c>
      <c r="E9" s="26" t="s">
        <v>375</v>
      </c>
      <c r="F9" s="26" t="s">
        <v>377</v>
      </c>
      <c r="G9" s="26" t="s">
        <v>376</v>
      </c>
      <c r="H9" s="26" t="s">
        <v>391</v>
      </c>
      <c r="I9" s="104" t="s">
        <v>380</v>
      </c>
      <c r="J9" s="105" t="s">
        <v>379</v>
      </c>
      <c r="K9" s="26" t="s">
        <v>379</v>
      </c>
      <c r="L9" s="106">
        <v>24</v>
      </c>
      <c r="M9" s="70" t="s">
        <v>381</v>
      </c>
      <c r="N9" s="70" t="s">
        <v>414</v>
      </c>
      <c r="O9" s="70" t="s">
        <v>397</v>
      </c>
      <c r="P9" s="70" t="s">
        <v>415</v>
      </c>
      <c r="Q9" s="70" t="s">
        <v>393</v>
      </c>
      <c r="R9" s="70" t="s">
        <v>266</v>
      </c>
      <c r="S9" s="70" t="s">
        <v>386</v>
      </c>
      <c r="T9" s="107">
        <v>46238.5625</v>
      </c>
      <c r="U9" s="107">
        <v>46238.6095373727</v>
      </c>
      <c r="V9" s="70" t="s">
        <v>266</v>
      </c>
      <c r="W9" s="70" t="s">
        <v>386</v>
      </c>
      <c r="X9" s="94" t="s">
        <v>416</v>
      </c>
    </row>
    <row r="10" ht="27" customHeight="1" spans="1:24">
      <c r="A10" s="78" t="s">
        <v>417</v>
      </c>
      <c r="B10" s="79" t="s">
        <v>418</v>
      </c>
      <c r="C10" s="79">
        <v>2</v>
      </c>
      <c r="D10" s="79" t="s">
        <v>374</v>
      </c>
      <c r="E10" s="79" t="s">
        <v>375</v>
      </c>
      <c r="F10" s="79" t="s">
        <v>377</v>
      </c>
      <c r="G10" s="79" t="s">
        <v>376</v>
      </c>
      <c r="H10" s="79" t="s">
        <v>378</v>
      </c>
      <c r="I10" s="108" t="s">
        <v>380</v>
      </c>
      <c r="J10" s="109" t="s">
        <v>379</v>
      </c>
      <c r="K10" s="79" t="s">
        <v>380</v>
      </c>
      <c r="L10" s="110">
        <v>32</v>
      </c>
      <c r="M10" s="80" t="s">
        <v>402</v>
      </c>
      <c r="N10" s="80" t="s">
        <v>382</v>
      </c>
      <c r="O10" s="80" t="s">
        <v>383</v>
      </c>
      <c r="P10" s="80" t="s">
        <v>384</v>
      </c>
      <c r="Q10" s="80" t="s">
        <v>398</v>
      </c>
      <c r="R10" s="80" t="s">
        <v>266</v>
      </c>
      <c r="S10" s="80" t="s">
        <v>403</v>
      </c>
      <c r="T10" s="111">
        <v>46238.6326388889</v>
      </c>
      <c r="U10" s="111">
        <v>46238.6702595602</v>
      </c>
      <c r="V10" s="80" t="s">
        <v>266</v>
      </c>
      <c r="W10" s="80" t="s">
        <v>386</v>
      </c>
      <c r="X10" s="80" t="s">
        <v>419</v>
      </c>
    </row>
    <row r="11" ht="27" customHeight="1" spans="1:24">
      <c r="A11" s="25" t="s">
        <v>420</v>
      </c>
      <c r="B11" s="26" t="s">
        <v>421</v>
      </c>
      <c r="C11" s="26">
        <v>3</v>
      </c>
      <c r="D11" s="26" t="s">
        <v>374</v>
      </c>
      <c r="E11" s="26" t="s">
        <v>376</v>
      </c>
      <c r="F11" s="26" t="s">
        <v>375</v>
      </c>
      <c r="G11" s="26" t="s">
        <v>377</v>
      </c>
      <c r="H11" s="26" t="s">
        <v>378</v>
      </c>
      <c r="I11" s="104" t="s">
        <v>379</v>
      </c>
      <c r="J11" s="105" t="s">
        <v>380</v>
      </c>
      <c r="K11" s="26" t="s">
        <v>379</v>
      </c>
      <c r="L11" s="106">
        <v>27</v>
      </c>
      <c r="M11" s="70" t="s">
        <v>381</v>
      </c>
      <c r="N11" s="70" t="s">
        <v>382</v>
      </c>
      <c r="O11" s="70" t="s">
        <v>397</v>
      </c>
      <c r="P11" s="70" t="s">
        <v>384</v>
      </c>
      <c r="Q11" s="70" t="s">
        <v>385</v>
      </c>
      <c r="R11" s="70" t="s">
        <v>266</v>
      </c>
      <c r="S11" s="70" t="s">
        <v>386</v>
      </c>
      <c r="T11" s="107">
        <v>46239.375</v>
      </c>
      <c r="U11" s="107">
        <v>46239.4143460069</v>
      </c>
      <c r="V11" s="70" t="s">
        <v>266</v>
      </c>
      <c r="W11" s="70" t="s">
        <v>386</v>
      </c>
      <c r="X11" s="94" t="s">
        <v>422</v>
      </c>
    </row>
    <row r="12" ht="27" customHeight="1" spans="1:24">
      <c r="A12" s="25" t="s">
        <v>423</v>
      </c>
      <c r="B12" s="26" t="s">
        <v>424</v>
      </c>
      <c r="C12" s="26">
        <v>3</v>
      </c>
      <c r="D12" s="26" t="s">
        <v>390</v>
      </c>
      <c r="E12" s="26" t="s">
        <v>376</v>
      </c>
      <c r="F12" s="26" t="s">
        <v>375</v>
      </c>
      <c r="G12" s="26" t="s">
        <v>377</v>
      </c>
      <c r="H12" s="26" t="s">
        <v>391</v>
      </c>
      <c r="I12" s="104" t="s">
        <v>379</v>
      </c>
      <c r="J12" s="105" t="s">
        <v>380</v>
      </c>
      <c r="K12" s="26" t="s">
        <v>380</v>
      </c>
      <c r="L12" s="106">
        <v>33</v>
      </c>
      <c r="M12" s="70" t="s">
        <v>402</v>
      </c>
      <c r="N12" s="70" t="s">
        <v>382</v>
      </c>
      <c r="O12" s="70" t="s">
        <v>397</v>
      </c>
      <c r="P12" s="70" t="s">
        <v>415</v>
      </c>
      <c r="Q12" s="70" t="s">
        <v>385</v>
      </c>
      <c r="R12" s="70" t="s">
        <v>266</v>
      </c>
      <c r="S12" s="70" t="s">
        <v>386</v>
      </c>
      <c r="T12" s="107">
        <v>46239.4472222222</v>
      </c>
      <c r="U12" s="107">
        <v>46239.4864349421</v>
      </c>
      <c r="V12" s="70" t="s">
        <v>266</v>
      </c>
      <c r="W12" s="70" t="s">
        <v>386</v>
      </c>
      <c r="X12" s="94" t="s">
        <v>425</v>
      </c>
    </row>
    <row r="13" ht="27" customHeight="1" spans="1:24">
      <c r="A13" s="25" t="s">
        <v>426</v>
      </c>
      <c r="B13" s="26" t="s">
        <v>427</v>
      </c>
      <c r="C13" s="26">
        <v>3</v>
      </c>
      <c r="D13" s="26" t="s">
        <v>390</v>
      </c>
      <c r="E13" s="26" t="s">
        <v>376</v>
      </c>
      <c r="F13" s="26" t="s">
        <v>375</v>
      </c>
      <c r="G13" s="26" t="s">
        <v>377</v>
      </c>
      <c r="H13" s="26" t="s">
        <v>391</v>
      </c>
      <c r="I13" s="104" t="s">
        <v>380</v>
      </c>
      <c r="J13" s="105" t="s">
        <v>379</v>
      </c>
      <c r="K13" s="26" t="s">
        <v>379</v>
      </c>
      <c r="L13" s="106">
        <v>28</v>
      </c>
      <c r="M13" s="70" t="s">
        <v>402</v>
      </c>
      <c r="N13" s="70" t="s">
        <v>414</v>
      </c>
      <c r="O13" s="70" t="s">
        <v>383</v>
      </c>
      <c r="P13" s="70" t="s">
        <v>415</v>
      </c>
      <c r="Q13" s="70" t="s">
        <v>407</v>
      </c>
      <c r="R13" s="70" t="s">
        <v>266</v>
      </c>
      <c r="S13" s="70" t="s">
        <v>386</v>
      </c>
      <c r="T13" s="107">
        <v>46239.5645833333</v>
      </c>
      <c r="U13" s="107">
        <v>46239.6053405903</v>
      </c>
      <c r="V13" s="70" t="s">
        <v>266</v>
      </c>
      <c r="W13" s="70" t="s">
        <v>386</v>
      </c>
      <c r="X13" s="94" t="s">
        <v>428</v>
      </c>
    </row>
    <row r="14" ht="27" customHeight="1" spans="1:24">
      <c r="A14" s="78" t="s">
        <v>429</v>
      </c>
      <c r="B14" s="79" t="s">
        <v>430</v>
      </c>
      <c r="C14" s="79">
        <v>3</v>
      </c>
      <c r="D14" s="79" t="s">
        <v>374</v>
      </c>
      <c r="E14" s="79" t="s">
        <v>376</v>
      </c>
      <c r="F14" s="79" t="s">
        <v>375</v>
      </c>
      <c r="G14" s="79" t="s">
        <v>377</v>
      </c>
      <c r="H14" s="79" t="s">
        <v>378</v>
      </c>
      <c r="I14" s="108" t="s">
        <v>380</v>
      </c>
      <c r="J14" s="109" t="s">
        <v>379</v>
      </c>
      <c r="K14" s="79" t="s">
        <v>380</v>
      </c>
      <c r="L14" s="110">
        <v>30</v>
      </c>
      <c r="M14" s="80" t="s">
        <v>381</v>
      </c>
      <c r="N14" s="80" t="s">
        <v>382</v>
      </c>
      <c r="O14" s="80" t="s">
        <v>383</v>
      </c>
      <c r="P14" s="80" t="s">
        <v>415</v>
      </c>
      <c r="Q14" s="80" t="s">
        <v>385</v>
      </c>
      <c r="R14" s="80" t="s">
        <v>266</v>
      </c>
      <c r="S14" s="80" t="s">
        <v>386</v>
      </c>
      <c r="T14" s="111">
        <v>46239.6402777778</v>
      </c>
      <c r="U14" s="111">
        <v>46239.6848630903</v>
      </c>
      <c r="V14" s="80" t="s">
        <v>266</v>
      </c>
      <c r="W14" s="80" t="s">
        <v>386</v>
      </c>
      <c r="X14" s="80" t="s">
        <v>431</v>
      </c>
    </row>
    <row r="15" ht="27" customHeight="1" spans="1:24">
      <c r="A15" s="25" t="s">
        <v>432</v>
      </c>
      <c r="B15" s="26" t="s">
        <v>433</v>
      </c>
      <c r="C15" s="26">
        <v>4</v>
      </c>
      <c r="D15" s="26" t="s">
        <v>374</v>
      </c>
      <c r="E15" s="26" t="s">
        <v>376</v>
      </c>
      <c r="F15" s="26" t="s">
        <v>377</v>
      </c>
      <c r="G15" s="26" t="s">
        <v>375</v>
      </c>
      <c r="H15" s="26" t="s">
        <v>378</v>
      </c>
      <c r="I15" s="104" t="s">
        <v>379</v>
      </c>
      <c r="J15" s="105" t="s">
        <v>380</v>
      </c>
      <c r="K15" s="26" t="s">
        <v>379</v>
      </c>
      <c r="L15" s="106">
        <v>26</v>
      </c>
      <c r="M15" s="70" t="s">
        <v>381</v>
      </c>
      <c r="N15" s="70" t="s">
        <v>414</v>
      </c>
      <c r="O15" s="70" t="s">
        <v>397</v>
      </c>
      <c r="P15" s="70" t="s">
        <v>407</v>
      </c>
      <c r="Q15" s="70" t="s">
        <v>385</v>
      </c>
      <c r="R15" s="70" t="s">
        <v>266</v>
      </c>
      <c r="S15" s="70" t="s">
        <v>386</v>
      </c>
      <c r="T15" s="107">
        <v>46240.3701388889</v>
      </c>
      <c r="U15" s="107">
        <v>46240.4217665394</v>
      </c>
      <c r="V15" s="70" t="s">
        <v>266</v>
      </c>
      <c r="W15" s="70" t="s">
        <v>386</v>
      </c>
      <c r="X15" s="94" t="s">
        <v>434</v>
      </c>
    </row>
    <row r="16" ht="27" customHeight="1" spans="1:24">
      <c r="A16" s="25" t="s">
        <v>435</v>
      </c>
      <c r="B16" s="26" t="s">
        <v>436</v>
      </c>
      <c r="C16" s="26">
        <v>4</v>
      </c>
      <c r="D16" s="26" t="s">
        <v>390</v>
      </c>
      <c r="E16" s="26" t="s">
        <v>376</v>
      </c>
      <c r="F16" s="26" t="s">
        <v>377</v>
      </c>
      <c r="G16" s="26" t="s">
        <v>375</v>
      </c>
      <c r="H16" s="26" t="s">
        <v>391</v>
      </c>
      <c r="I16" s="104" t="s">
        <v>379</v>
      </c>
      <c r="J16" s="105" t="s">
        <v>380</v>
      </c>
      <c r="K16" s="26" t="s">
        <v>380</v>
      </c>
      <c r="L16" s="106">
        <v>31</v>
      </c>
      <c r="M16" s="70" t="s">
        <v>402</v>
      </c>
      <c r="N16" s="70" t="s">
        <v>382</v>
      </c>
      <c r="O16" s="70" t="s">
        <v>383</v>
      </c>
      <c r="P16" s="70" t="s">
        <v>415</v>
      </c>
      <c r="Q16" s="70" t="s">
        <v>407</v>
      </c>
      <c r="R16" s="70" t="s">
        <v>266</v>
      </c>
      <c r="S16" s="70" t="s">
        <v>386</v>
      </c>
      <c r="T16" s="107">
        <v>46240.4486111111</v>
      </c>
      <c r="U16" s="107">
        <v>46240.4888343634</v>
      </c>
      <c r="V16" s="70" t="s">
        <v>266</v>
      </c>
      <c r="W16" s="70" t="s">
        <v>386</v>
      </c>
      <c r="X16" s="94" t="s">
        <v>437</v>
      </c>
    </row>
    <row r="17" ht="27" customHeight="1" spans="1:24">
      <c r="A17" s="25" t="s">
        <v>438</v>
      </c>
      <c r="B17" s="26" t="s">
        <v>439</v>
      </c>
      <c r="C17" s="26">
        <v>4</v>
      </c>
      <c r="D17" s="26" t="s">
        <v>390</v>
      </c>
      <c r="E17" s="26" t="s">
        <v>376</v>
      </c>
      <c r="F17" s="26" t="s">
        <v>377</v>
      </c>
      <c r="G17" s="26" t="s">
        <v>375</v>
      </c>
      <c r="H17" s="26" t="s">
        <v>391</v>
      </c>
      <c r="I17" s="104" t="s">
        <v>380</v>
      </c>
      <c r="J17" s="105" t="s">
        <v>379</v>
      </c>
      <c r="K17" s="26" t="s">
        <v>379</v>
      </c>
      <c r="L17" s="106">
        <v>23</v>
      </c>
      <c r="M17" s="70" t="s">
        <v>381</v>
      </c>
      <c r="N17" s="70" t="s">
        <v>382</v>
      </c>
      <c r="O17" s="70" t="s">
        <v>383</v>
      </c>
      <c r="P17" s="70" t="s">
        <v>407</v>
      </c>
      <c r="Q17" s="70" t="s">
        <v>407</v>
      </c>
      <c r="R17" s="70" t="s">
        <v>266</v>
      </c>
      <c r="S17" s="70" t="s">
        <v>386</v>
      </c>
      <c r="T17" s="107">
        <v>46240.5652777778</v>
      </c>
      <c r="U17" s="107">
        <v>46240.6071907755</v>
      </c>
      <c r="V17" s="70" t="s">
        <v>266</v>
      </c>
      <c r="W17" s="70" t="s">
        <v>386</v>
      </c>
      <c r="X17" s="94" t="s">
        <v>440</v>
      </c>
    </row>
    <row r="18" ht="27" customHeight="1" spans="1:24">
      <c r="A18" s="78" t="s">
        <v>441</v>
      </c>
      <c r="B18" s="79" t="s">
        <v>442</v>
      </c>
      <c r="C18" s="79">
        <v>4</v>
      </c>
      <c r="D18" s="79" t="s">
        <v>374</v>
      </c>
      <c r="E18" s="79" t="s">
        <v>376</v>
      </c>
      <c r="F18" s="79" t="s">
        <v>377</v>
      </c>
      <c r="G18" s="79" t="s">
        <v>375</v>
      </c>
      <c r="H18" s="79" t="s">
        <v>378</v>
      </c>
      <c r="I18" s="108" t="s">
        <v>380</v>
      </c>
      <c r="J18" s="109" t="s">
        <v>379</v>
      </c>
      <c r="K18" s="79" t="s">
        <v>380</v>
      </c>
      <c r="L18" s="110">
        <v>28</v>
      </c>
      <c r="M18" s="80" t="s">
        <v>402</v>
      </c>
      <c r="N18" s="80" t="s">
        <v>382</v>
      </c>
      <c r="O18" s="80" t="s">
        <v>397</v>
      </c>
      <c r="P18" s="80" t="s">
        <v>384</v>
      </c>
      <c r="Q18" s="80" t="s">
        <v>385</v>
      </c>
      <c r="R18" s="80" t="s">
        <v>266</v>
      </c>
      <c r="S18" s="80" t="s">
        <v>386</v>
      </c>
      <c r="T18" s="111">
        <v>46240.6340277778</v>
      </c>
      <c r="U18" s="111">
        <v>46240.6792524537</v>
      </c>
      <c r="V18" s="80" t="s">
        <v>266</v>
      </c>
      <c r="W18" s="80" t="s">
        <v>386</v>
      </c>
      <c r="X18" s="80" t="s">
        <v>443</v>
      </c>
    </row>
    <row r="19" ht="27" customHeight="1" spans="1:24">
      <c r="A19" s="25" t="s">
        <v>444</v>
      </c>
      <c r="B19" s="26" t="s">
        <v>445</v>
      </c>
      <c r="C19" s="26">
        <v>5</v>
      </c>
      <c r="D19" s="26" t="s">
        <v>374</v>
      </c>
      <c r="E19" s="26" t="s">
        <v>377</v>
      </c>
      <c r="F19" s="26" t="s">
        <v>375</v>
      </c>
      <c r="G19" s="26" t="s">
        <v>376</v>
      </c>
      <c r="H19" s="26" t="s">
        <v>378</v>
      </c>
      <c r="I19" s="104" t="s">
        <v>379</v>
      </c>
      <c r="J19" s="105" t="s">
        <v>380</v>
      </c>
      <c r="K19" s="26" t="s">
        <v>379</v>
      </c>
      <c r="L19" s="106">
        <v>21</v>
      </c>
      <c r="M19" s="70" t="s">
        <v>402</v>
      </c>
      <c r="N19" s="70" t="s">
        <v>382</v>
      </c>
      <c r="O19" s="70" t="s">
        <v>397</v>
      </c>
      <c r="P19" s="70" t="s">
        <v>415</v>
      </c>
      <c r="Q19" s="70" t="s">
        <v>385</v>
      </c>
      <c r="R19" s="70" t="s">
        <v>266</v>
      </c>
      <c r="S19" s="70" t="s">
        <v>386</v>
      </c>
      <c r="T19" s="107">
        <v>46241.3784722222</v>
      </c>
      <c r="U19" s="107">
        <v>46241.4211202778</v>
      </c>
      <c r="V19" s="70" t="s">
        <v>266</v>
      </c>
      <c r="W19" s="70" t="s">
        <v>386</v>
      </c>
      <c r="X19" s="94" t="s">
        <v>446</v>
      </c>
    </row>
    <row r="20" ht="27" customHeight="1" spans="1:24">
      <c r="A20" s="25" t="s">
        <v>447</v>
      </c>
      <c r="B20" s="26" t="s">
        <v>448</v>
      </c>
      <c r="C20" s="26">
        <v>5</v>
      </c>
      <c r="D20" s="26" t="s">
        <v>390</v>
      </c>
      <c r="E20" s="26" t="s">
        <v>377</v>
      </c>
      <c r="F20" s="26" t="s">
        <v>375</v>
      </c>
      <c r="G20" s="26" t="s">
        <v>376</v>
      </c>
      <c r="H20" s="26" t="s">
        <v>391</v>
      </c>
      <c r="I20" s="104" t="s">
        <v>379</v>
      </c>
      <c r="J20" s="105" t="s">
        <v>380</v>
      </c>
      <c r="K20" s="26" t="s">
        <v>380</v>
      </c>
      <c r="L20" s="106">
        <v>26</v>
      </c>
      <c r="M20" s="70" t="s">
        <v>381</v>
      </c>
      <c r="N20" s="70" t="s">
        <v>382</v>
      </c>
      <c r="O20" s="70" t="s">
        <v>397</v>
      </c>
      <c r="P20" s="70" t="s">
        <v>449</v>
      </c>
      <c r="Q20" s="70" t="s">
        <v>385</v>
      </c>
      <c r="R20" s="70" t="s">
        <v>266</v>
      </c>
      <c r="S20" s="70" t="s">
        <v>386</v>
      </c>
      <c r="T20" s="107">
        <v>46241.4506944444</v>
      </c>
      <c r="U20" s="107">
        <v>46241.4930802778</v>
      </c>
      <c r="V20" s="70" t="s">
        <v>266</v>
      </c>
      <c r="W20" s="70" t="s">
        <v>386</v>
      </c>
      <c r="X20" s="94" t="s">
        <v>450</v>
      </c>
    </row>
    <row r="21" ht="27" customHeight="1" spans="1:24">
      <c r="A21" s="25" t="s">
        <v>451</v>
      </c>
      <c r="B21" s="26" t="s">
        <v>452</v>
      </c>
      <c r="C21" s="26">
        <v>5</v>
      </c>
      <c r="D21" s="26" t="s">
        <v>390</v>
      </c>
      <c r="E21" s="26" t="s">
        <v>377</v>
      </c>
      <c r="F21" s="26" t="s">
        <v>375</v>
      </c>
      <c r="G21" s="26" t="s">
        <v>376</v>
      </c>
      <c r="H21" s="26" t="s">
        <v>391</v>
      </c>
      <c r="I21" s="104" t="s">
        <v>380</v>
      </c>
      <c r="J21" s="105" t="s">
        <v>379</v>
      </c>
      <c r="K21" s="26" t="s">
        <v>379</v>
      </c>
      <c r="L21" s="106">
        <v>26</v>
      </c>
      <c r="M21" s="70" t="s">
        <v>402</v>
      </c>
      <c r="N21" s="70" t="s">
        <v>382</v>
      </c>
      <c r="O21" s="70" t="s">
        <v>383</v>
      </c>
      <c r="P21" s="70" t="s">
        <v>384</v>
      </c>
      <c r="Q21" s="70" t="s">
        <v>385</v>
      </c>
      <c r="R21" s="70" t="s">
        <v>266</v>
      </c>
      <c r="S21" s="70" t="s">
        <v>386</v>
      </c>
      <c r="T21" s="107">
        <v>46241.5673611111</v>
      </c>
      <c r="U21" s="107">
        <v>46241.610947963</v>
      </c>
      <c r="V21" s="70" t="s">
        <v>266</v>
      </c>
      <c r="W21" s="70" t="s">
        <v>386</v>
      </c>
      <c r="X21" s="94" t="s">
        <v>453</v>
      </c>
    </row>
    <row r="22" ht="27" customHeight="1" spans="1:24">
      <c r="A22" s="78" t="s">
        <v>454</v>
      </c>
      <c r="B22" s="79" t="s">
        <v>455</v>
      </c>
      <c r="C22" s="79">
        <v>5</v>
      </c>
      <c r="D22" s="79" t="s">
        <v>374</v>
      </c>
      <c r="E22" s="79" t="s">
        <v>377</v>
      </c>
      <c r="F22" s="79" t="s">
        <v>375</v>
      </c>
      <c r="G22" s="79" t="s">
        <v>376</v>
      </c>
      <c r="H22" s="79" t="s">
        <v>378</v>
      </c>
      <c r="I22" s="108" t="s">
        <v>380</v>
      </c>
      <c r="J22" s="109" t="s">
        <v>379</v>
      </c>
      <c r="K22" s="79" t="s">
        <v>380</v>
      </c>
      <c r="L22" s="110">
        <v>31</v>
      </c>
      <c r="M22" s="80" t="s">
        <v>381</v>
      </c>
      <c r="N22" s="80" t="s">
        <v>382</v>
      </c>
      <c r="O22" s="80" t="s">
        <v>397</v>
      </c>
      <c r="P22" s="80" t="s">
        <v>392</v>
      </c>
      <c r="Q22" s="80" t="s">
        <v>385</v>
      </c>
      <c r="R22" s="80" t="s">
        <v>266</v>
      </c>
      <c r="S22" s="80" t="s">
        <v>386</v>
      </c>
      <c r="T22" s="111">
        <v>46241.6347222222</v>
      </c>
      <c r="U22" s="111">
        <v>46241.6826397685</v>
      </c>
      <c r="V22" s="80" t="s">
        <v>266</v>
      </c>
      <c r="W22" s="80" t="s">
        <v>386</v>
      </c>
      <c r="X22" s="80" t="s">
        <v>456</v>
      </c>
    </row>
    <row r="23" ht="27" customHeight="1" spans="1:24">
      <c r="A23" s="25" t="s">
        <v>457</v>
      </c>
      <c r="B23" s="26" t="s">
        <v>458</v>
      </c>
      <c r="C23" s="26">
        <v>6</v>
      </c>
      <c r="D23" s="26" t="s">
        <v>374</v>
      </c>
      <c r="E23" s="26" t="s">
        <v>377</v>
      </c>
      <c r="F23" s="26" t="s">
        <v>376</v>
      </c>
      <c r="G23" s="26" t="s">
        <v>375</v>
      </c>
      <c r="H23" s="26" t="s">
        <v>378</v>
      </c>
      <c r="I23" s="104" t="s">
        <v>379</v>
      </c>
      <c r="J23" s="105" t="s">
        <v>380</v>
      </c>
      <c r="K23" s="26" t="s">
        <v>379</v>
      </c>
      <c r="L23" s="106">
        <v>20</v>
      </c>
      <c r="M23" s="70" t="s">
        <v>381</v>
      </c>
      <c r="N23" s="70" t="s">
        <v>382</v>
      </c>
      <c r="O23" s="70" t="s">
        <v>397</v>
      </c>
      <c r="P23" s="70" t="s">
        <v>384</v>
      </c>
      <c r="Q23" s="70" t="s">
        <v>385</v>
      </c>
      <c r="R23" s="70" t="s">
        <v>266</v>
      </c>
      <c r="S23" s="70" t="s">
        <v>386</v>
      </c>
      <c r="T23" s="107">
        <v>46242.3756944444</v>
      </c>
      <c r="U23" s="107">
        <v>46242.4205092361</v>
      </c>
      <c r="V23" s="70" t="s">
        <v>266</v>
      </c>
      <c r="W23" s="70" t="s">
        <v>386</v>
      </c>
      <c r="X23" s="94" t="s">
        <v>459</v>
      </c>
    </row>
    <row r="24" ht="27" customHeight="1" spans="1:24">
      <c r="A24" s="25" t="s">
        <v>460</v>
      </c>
      <c r="B24" s="26" t="s">
        <v>461</v>
      </c>
      <c r="C24" s="26">
        <v>6</v>
      </c>
      <c r="D24" s="26" t="s">
        <v>390</v>
      </c>
      <c r="E24" s="26" t="s">
        <v>377</v>
      </c>
      <c r="F24" s="26" t="s">
        <v>376</v>
      </c>
      <c r="G24" s="26" t="s">
        <v>375</v>
      </c>
      <c r="H24" s="26" t="s">
        <v>391</v>
      </c>
      <c r="I24" s="104" t="s">
        <v>379</v>
      </c>
      <c r="J24" s="105" t="s">
        <v>380</v>
      </c>
      <c r="K24" s="26" t="s">
        <v>380</v>
      </c>
      <c r="L24" s="106">
        <v>29</v>
      </c>
      <c r="M24" s="70" t="s">
        <v>381</v>
      </c>
      <c r="N24" s="70" t="s">
        <v>382</v>
      </c>
      <c r="O24" s="70" t="s">
        <v>397</v>
      </c>
      <c r="P24" s="70" t="s">
        <v>392</v>
      </c>
      <c r="Q24" s="70" t="s">
        <v>407</v>
      </c>
      <c r="R24" s="70" t="s">
        <v>266</v>
      </c>
      <c r="S24" s="70" t="s">
        <v>386</v>
      </c>
      <c r="T24" s="107">
        <v>46242.4513888889</v>
      </c>
      <c r="U24" s="107">
        <v>46242.4916510532</v>
      </c>
      <c r="V24" s="70" t="s">
        <v>266</v>
      </c>
      <c r="W24" s="70" t="s">
        <v>386</v>
      </c>
      <c r="X24" s="94" t="s">
        <v>462</v>
      </c>
    </row>
    <row r="25" ht="27" customHeight="1" spans="1:24">
      <c r="A25" s="25" t="s">
        <v>463</v>
      </c>
      <c r="B25" s="26" t="s">
        <v>464</v>
      </c>
      <c r="C25" s="26">
        <v>6</v>
      </c>
      <c r="D25" s="26" t="s">
        <v>390</v>
      </c>
      <c r="E25" s="26" t="s">
        <v>377</v>
      </c>
      <c r="F25" s="26" t="s">
        <v>376</v>
      </c>
      <c r="G25" s="26" t="s">
        <v>375</v>
      </c>
      <c r="H25" s="26" t="s">
        <v>391</v>
      </c>
      <c r="I25" s="104" t="s">
        <v>380</v>
      </c>
      <c r="J25" s="105" t="s">
        <v>379</v>
      </c>
      <c r="K25" s="26" t="s">
        <v>379</v>
      </c>
      <c r="L25" s="106">
        <v>21</v>
      </c>
      <c r="M25" s="70" t="s">
        <v>402</v>
      </c>
      <c r="N25" s="70" t="s">
        <v>465</v>
      </c>
      <c r="O25" s="70" t="s">
        <v>383</v>
      </c>
      <c r="P25" s="70" t="s">
        <v>392</v>
      </c>
      <c r="Q25" s="70" t="s">
        <v>393</v>
      </c>
      <c r="R25" s="70" t="s">
        <v>266</v>
      </c>
      <c r="S25" s="70" t="s">
        <v>386</v>
      </c>
      <c r="T25" s="107">
        <v>46242.5659722222</v>
      </c>
      <c r="U25" s="107">
        <v>46242.6131745833</v>
      </c>
      <c r="V25" s="70" t="s">
        <v>266</v>
      </c>
      <c r="W25" s="70" t="s">
        <v>386</v>
      </c>
      <c r="X25" s="94" t="s">
        <v>466</v>
      </c>
    </row>
    <row r="26" ht="27" customHeight="1" spans="1:24">
      <c r="A26" s="78" t="s">
        <v>467</v>
      </c>
      <c r="B26" s="79" t="s">
        <v>468</v>
      </c>
      <c r="C26" s="79">
        <v>6</v>
      </c>
      <c r="D26" s="79" t="s">
        <v>374</v>
      </c>
      <c r="E26" s="79" t="s">
        <v>377</v>
      </c>
      <c r="F26" s="79" t="s">
        <v>376</v>
      </c>
      <c r="G26" s="79" t="s">
        <v>375</v>
      </c>
      <c r="H26" s="79" t="s">
        <v>378</v>
      </c>
      <c r="I26" s="108" t="s">
        <v>380</v>
      </c>
      <c r="J26" s="109" t="s">
        <v>379</v>
      </c>
      <c r="K26" s="79" t="s">
        <v>380</v>
      </c>
      <c r="L26" s="110">
        <v>30</v>
      </c>
      <c r="M26" s="80" t="s">
        <v>381</v>
      </c>
      <c r="N26" s="80" t="s">
        <v>414</v>
      </c>
      <c r="O26" s="80" t="s">
        <v>397</v>
      </c>
      <c r="P26" s="80" t="s">
        <v>449</v>
      </c>
      <c r="Q26" s="80" t="s">
        <v>393</v>
      </c>
      <c r="R26" s="80" t="s">
        <v>266</v>
      </c>
      <c r="S26" s="80" t="s">
        <v>386</v>
      </c>
      <c r="T26" s="111">
        <v>46242.6361111111</v>
      </c>
      <c r="U26" s="111">
        <v>46242.6803796412</v>
      </c>
      <c r="V26" s="80" t="s">
        <v>266</v>
      </c>
      <c r="W26" s="80" t="s">
        <v>386</v>
      </c>
      <c r="X26" s="80" t="s">
        <v>469</v>
      </c>
    </row>
  </sheetData>
  <mergeCells count="1">
    <mergeCell ref="A1:X1"/>
  </mergeCells>
  <dataValidations count="7">
    <dataValidation type="list" sqref="M3:M26">
      <formula1>"女,男,非二元或其他,不愿透露"</formula1>
    </dataValidation>
    <dataValidation type="list" sqref="N3:N26">
      <formula1>"右手,左手,双手均可"</formula1>
    </dataValidation>
    <dataValidation type="list" sqref="O3:O26">
      <formula1>"正常,矫正后正常,其他"</formula1>
    </dataValidation>
    <dataValidation type="list" sqref="P3:P26">
      <formula1>"从未,1–5 次,6–20 次,超过 20 次,经常使用"</formula1>
    </dataValidation>
    <dataValidation type="list" sqref="Q3:Q26">
      <formula1>"从未,1–2 次,数次,经常"</formula1>
    </dataValidation>
    <dataValidation type="list" sqref="R3:R26 V3:V26">
      <formula1>"是,否"</formula1>
    </dataValidation>
    <dataValidation type="list" sqref="S3:S26">
      <formula1>"无,轻微,中等,明显,因不适中止"</formula1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26"/>
  <sheetViews>
    <sheetView topLeftCell="G1" workbookViewId="0">
      <selection activeCell="K5" sqref="K5:AO148"/>
    </sheetView>
  </sheetViews>
  <sheetFormatPr defaultColWidth="9" defaultRowHeight="14.5"/>
  <cols>
    <col min="1" max="1" width="14" customWidth="1"/>
    <col min="2" max="2" width="10" customWidth="1"/>
    <col min="3" max="3" width="18" customWidth="1"/>
    <col min="4" max="4" width="11" customWidth="1"/>
    <col min="5" max="6" width="15" customWidth="1"/>
    <col min="7" max="7" width="13" customWidth="1"/>
    <col min="8" max="8" width="16" customWidth="1"/>
    <col min="9" max="9" width="11" customWidth="1"/>
    <col min="10" max="10" width="13" customWidth="1"/>
    <col min="11" max="13" width="10" customWidth="1"/>
    <col min="14" max="16" width="12" customWidth="1"/>
    <col min="17" max="18" width="10" customWidth="1"/>
    <col min="19" max="22" width="11" customWidth="1"/>
    <col min="23" max="24" width="10" customWidth="1"/>
    <col min="25" max="26" width="16" customWidth="1"/>
    <col min="27" max="27" width="13" customWidth="1"/>
    <col min="28" max="30" width="12" customWidth="1"/>
    <col min="31" max="31" width="20" customWidth="1"/>
    <col min="32" max="32" width="17" customWidth="1"/>
    <col min="33" max="33" width="15" customWidth="1"/>
    <col min="34" max="34" width="19" customWidth="1"/>
    <col min="35" max="35" width="18" customWidth="1"/>
    <col min="36" max="36" width="15" customWidth="1"/>
    <col min="37" max="37" width="22" customWidth="1"/>
    <col min="38" max="38" width="12" customWidth="1"/>
    <col min="39" max="40" width="18" customWidth="1"/>
    <col min="41" max="41" width="36" customWidth="1"/>
  </cols>
  <sheetData>
    <row r="1" ht="36" customHeight="1" spans="1:41">
      <c r="A1" s="16" t="s">
        <v>470</v>
      </c>
    </row>
    <row r="2" spans="1:41">
      <c r="A2" s="30"/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</row>
    <row r="3" ht="38" customHeight="1" spans="1:41">
      <c r="A3" s="18" t="s">
        <v>471</v>
      </c>
    </row>
    <row r="4" ht="38" customHeight="1" spans="1:41">
      <c r="A4" s="20" t="s">
        <v>349</v>
      </c>
      <c r="B4" s="21" t="s">
        <v>472</v>
      </c>
      <c r="C4" s="21" t="s">
        <v>350</v>
      </c>
      <c r="D4" s="21" t="s">
        <v>473</v>
      </c>
      <c r="E4" s="21" t="s">
        <v>474</v>
      </c>
      <c r="F4" s="21" t="s">
        <v>475</v>
      </c>
      <c r="G4" s="21" t="s">
        <v>476</v>
      </c>
      <c r="H4" s="21" t="s">
        <v>477</v>
      </c>
      <c r="I4" s="21" t="s">
        <v>478</v>
      </c>
      <c r="J4" s="21" t="s">
        <v>479</v>
      </c>
      <c r="K4" s="21" t="s">
        <v>148</v>
      </c>
      <c r="L4" s="21" t="s">
        <v>157</v>
      </c>
      <c r="M4" s="21" t="s">
        <v>164</v>
      </c>
      <c r="N4" s="21" t="s">
        <v>170</v>
      </c>
      <c r="O4" s="21" t="s">
        <v>177</v>
      </c>
      <c r="P4" s="21" t="s">
        <v>186</v>
      </c>
      <c r="Q4" s="21" t="s">
        <v>193</v>
      </c>
      <c r="R4" s="21" t="s">
        <v>199</v>
      </c>
      <c r="S4" s="21" t="s">
        <v>205</v>
      </c>
      <c r="T4" s="21" t="s">
        <v>213</v>
      </c>
      <c r="U4" s="21" t="s">
        <v>220</v>
      </c>
      <c r="V4" s="21" t="s">
        <v>227</v>
      </c>
      <c r="W4" s="21" t="s">
        <v>233</v>
      </c>
      <c r="X4" s="21" t="s">
        <v>239</v>
      </c>
      <c r="Y4" s="21" t="s">
        <v>480</v>
      </c>
      <c r="Z4" s="21" t="s">
        <v>481</v>
      </c>
      <c r="AA4" s="21" t="s">
        <v>482</v>
      </c>
      <c r="AB4" s="21" t="s">
        <v>483</v>
      </c>
      <c r="AC4" s="21" t="s">
        <v>484</v>
      </c>
      <c r="AD4" s="21" t="s">
        <v>485</v>
      </c>
      <c r="AE4" s="21" t="s">
        <v>486</v>
      </c>
      <c r="AF4" s="21" t="s">
        <v>487</v>
      </c>
      <c r="AG4" s="21" t="s">
        <v>488</v>
      </c>
      <c r="AH4" s="21" t="s">
        <v>489</v>
      </c>
      <c r="AI4" s="21" t="s">
        <v>490</v>
      </c>
      <c r="AJ4" s="21" t="s">
        <v>491</v>
      </c>
      <c r="AK4" s="21" t="s">
        <v>492</v>
      </c>
      <c r="AL4" s="21" t="s">
        <v>493</v>
      </c>
      <c r="AM4" s="21" t="s">
        <v>494</v>
      </c>
      <c r="AN4" s="21" t="s">
        <v>495</v>
      </c>
      <c r="AO4" s="22" t="s">
        <v>146</v>
      </c>
    </row>
    <row r="5" ht="24" customHeight="1" spans="1:41">
      <c r="A5" s="60" t="s">
        <v>372</v>
      </c>
      <c r="B5" s="61">
        <v>1</v>
      </c>
      <c r="C5" s="61" t="s">
        <v>373</v>
      </c>
      <c r="D5" s="61">
        <v>1</v>
      </c>
      <c r="E5" s="61" t="s">
        <v>375</v>
      </c>
      <c r="F5" s="61" t="s">
        <v>496</v>
      </c>
      <c r="G5" s="61" t="s">
        <v>497</v>
      </c>
      <c r="H5" s="61" t="s">
        <v>379</v>
      </c>
      <c r="I5" s="61">
        <v>1</v>
      </c>
      <c r="J5" s="61">
        <v>1</v>
      </c>
      <c r="K5" s="62">
        <v>5</v>
      </c>
      <c r="L5" s="62">
        <v>5</v>
      </c>
      <c r="M5" s="62">
        <v>5</v>
      </c>
      <c r="N5" s="63"/>
      <c r="O5" s="62">
        <v>4</v>
      </c>
      <c r="P5" s="62">
        <v>5</v>
      </c>
      <c r="Q5" s="62">
        <v>5</v>
      </c>
      <c r="R5" s="62">
        <v>5</v>
      </c>
      <c r="S5" s="62">
        <v>5</v>
      </c>
      <c r="T5" s="62">
        <v>5</v>
      </c>
      <c r="U5" s="62">
        <v>5</v>
      </c>
      <c r="V5" s="62">
        <v>5</v>
      </c>
      <c r="W5" s="62">
        <v>4</v>
      </c>
      <c r="X5" s="62">
        <v>5</v>
      </c>
      <c r="Y5" s="64">
        <v>46237.3863168287</v>
      </c>
      <c r="Z5" s="64">
        <v>46237.3873675347</v>
      </c>
      <c r="AA5" s="65">
        <v>90.8</v>
      </c>
      <c r="AB5" s="62" t="s">
        <v>266</v>
      </c>
      <c r="AC5" s="62" t="s">
        <v>266</v>
      </c>
      <c r="AD5" s="62" t="s">
        <v>266</v>
      </c>
      <c r="AE5" s="62" t="s">
        <v>386</v>
      </c>
      <c r="AF5" s="66">
        <v>13.08</v>
      </c>
      <c r="AG5" s="66">
        <v>0.859</v>
      </c>
      <c r="AH5" s="66">
        <v>0.871</v>
      </c>
      <c r="AI5" s="66">
        <v>0.985</v>
      </c>
      <c r="AJ5" s="66">
        <v>0.718</v>
      </c>
      <c r="AK5" s="67" t="s">
        <v>498</v>
      </c>
      <c r="AL5" s="67" t="s">
        <v>259</v>
      </c>
      <c r="AM5" s="68">
        <v>0</v>
      </c>
      <c r="AN5" s="68">
        <v>4</v>
      </c>
      <c r="AO5" s="69" t="s">
        <v>191</v>
      </c>
    </row>
    <row r="6" ht="24" customHeight="1" spans="1:41">
      <c r="A6" s="25" t="s">
        <v>372</v>
      </c>
      <c r="B6" s="26">
        <v>2</v>
      </c>
      <c r="C6" s="26" t="s">
        <v>373</v>
      </c>
      <c r="D6" s="26">
        <v>1</v>
      </c>
      <c r="E6" s="26" t="s">
        <v>375</v>
      </c>
      <c r="F6" s="26" t="s">
        <v>496</v>
      </c>
      <c r="G6" s="26" t="s">
        <v>499</v>
      </c>
      <c r="H6" s="26" t="s">
        <v>380</v>
      </c>
      <c r="I6" s="26">
        <v>2</v>
      </c>
      <c r="J6" s="26">
        <v>1</v>
      </c>
      <c r="K6" s="70">
        <v>3</v>
      </c>
      <c r="L6" s="70">
        <v>6</v>
      </c>
      <c r="M6" s="70">
        <v>4</v>
      </c>
      <c r="N6" s="71"/>
      <c r="O6" s="70">
        <v>6</v>
      </c>
      <c r="P6" s="70">
        <v>5</v>
      </c>
      <c r="Q6" s="70">
        <v>4</v>
      </c>
      <c r="R6" s="70">
        <v>5</v>
      </c>
      <c r="S6" s="70">
        <v>5</v>
      </c>
      <c r="T6" s="70">
        <v>4</v>
      </c>
      <c r="U6" s="70">
        <v>5</v>
      </c>
      <c r="V6" s="70">
        <v>5</v>
      </c>
      <c r="W6" s="70">
        <v>3</v>
      </c>
      <c r="X6" s="70">
        <v>4</v>
      </c>
      <c r="Y6" s="72">
        <v>46237.3884768519</v>
      </c>
      <c r="Z6" s="72">
        <v>46237.3894945833</v>
      </c>
      <c r="AA6" s="73">
        <v>87.9</v>
      </c>
      <c r="AB6" s="70" t="s">
        <v>266</v>
      </c>
      <c r="AC6" s="70" t="s">
        <v>266</v>
      </c>
      <c r="AD6" s="70" t="s">
        <v>266</v>
      </c>
      <c r="AE6" s="70" t="s">
        <v>386</v>
      </c>
      <c r="AF6" s="74">
        <v>12.76</v>
      </c>
      <c r="AG6" s="74">
        <v>0.698</v>
      </c>
      <c r="AH6" s="74">
        <v>0.843</v>
      </c>
      <c r="AI6" s="74">
        <v>0.99</v>
      </c>
      <c r="AJ6" s="74">
        <v>0.787</v>
      </c>
      <c r="AK6" s="75" t="s">
        <v>498</v>
      </c>
      <c r="AL6" s="75" t="s">
        <v>259</v>
      </c>
      <c r="AM6" s="76">
        <v>1</v>
      </c>
      <c r="AN6" s="76">
        <v>0</v>
      </c>
      <c r="AO6" s="77" t="s">
        <v>500</v>
      </c>
    </row>
    <row r="7" ht="24" customHeight="1" spans="1:41">
      <c r="A7" s="25" t="s">
        <v>372</v>
      </c>
      <c r="B7" s="26">
        <v>3</v>
      </c>
      <c r="C7" s="26" t="s">
        <v>373</v>
      </c>
      <c r="D7" s="26">
        <v>2</v>
      </c>
      <c r="E7" s="26" t="s">
        <v>376</v>
      </c>
      <c r="F7" s="26" t="s">
        <v>501</v>
      </c>
      <c r="G7" s="26" t="s">
        <v>499</v>
      </c>
      <c r="H7" s="26" t="s">
        <v>380</v>
      </c>
      <c r="I7" s="26">
        <v>1</v>
      </c>
      <c r="J7" s="26">
        <v>2</v>
      </c>
      <c r="K7" s="70">
        <v>4</v>
      </c>
      <c r="L7" s="70">
        <v>4</v>
      </c>
      <c r="M7" s="70">
        <v>3</v>
      </c>
      <c r="N7" s="71"/>
      <c r="O7" s="70">
        <v>5</v>
      </c>
      <c r="P7" s="70">
        <v>5</v>
      </c>
      <c r="Q7" s="70">
        <v>3</v>
      </c>
      <c r="R7" s="70">
        <v>6</v>
      </c>
      <c r="S7" s="70">
        <v>5</v>
      </c>
      <c r="T7" s="70">
        <v>5</v>
      </c>
      <c r="U7" s="70">
        <v>6</v>
      </c>
      <c r="V7" s="70">
        <v>4</v>
      </c>
      <c r="W7" s="70">
        <v>5</v>
      </c>
      <c r="X7" s="70">
        <v>5</v>
      </c>
      <c r="Y7" s="72">
        <v>46237.3905917014</v>
      </c>
      <c r="Z7" s="72">
        <v>46237.3914828125</v>
      </c>
      <c r="AA7" s="73">
        <v>77</v>
      </c>
      <c r="AB7" s="70" t="s">
        <v>266</v>
      </c>
      <c r="AC7" s="70" t="s">
        <v>266</v>
      </c>
      <c r="AD7" s="70" t="s">
        <v>266</v>
      </c>
      <c r="AE7" s="70" t="s">
        <v>386</v>
      </c>
      <c r="AF7" s="74">
        <v>11.85</v>
      </c>
      <c r="AG7" s="74">
        <v>0.797</v>
      </c>
      <c r="AH7" s="74">
        <v>0.891</v>
      </c>
      <c r="AI7" s="74">
        <v>0.992</v>
      </c>
      <c r="AJ7" s="74">
        <v>0.757</v>
      </c>
      <c r="AK7" s="75" t="s">
        <v>498</v>
      </c>
      <c r="AL7" s="75" t="s">
        <v>259</v>
      </c>
      <c r="AM7" s="76">
        <v>1</v>
      </c>
      <c r="AN7" s="76">
        <v>0</v>
      </c>
      <c r="AO7" s="77" t="s">
        <v>502</v>
      </c>
    </row>
    <row r="8" ht="24" customHeight="1" spans="1:41">
      <c r="A8" s="25" t="s">
        <v>372</v>
      </c>
      <c r="B8" s="26">
        <v>4</v>
      </c>
      <c r="C8" s="26" t="s">
        <v>373</v>
      </c>
      <c r="D8" s="26">
        <v>2</v>
      </c>
      <c r="E8" s="26" t="s">
        <v>376</v>
      </c>
      <c r="F8" s="26" t="s">
        <v>501</v>
      </c>
      <c r="G8" s="26" t="s">
        <v>497</v>
      </c>
      <c r="H8" s="26" t="s">
        <v>379</v>
      </c>
      <c r="I8" s="26">
        <v>2</v>
      </c>
      <c r="J8" s="26">
        <v>2</v>
      </c>
      <c r="K8" s="70">
        <v>5</v>
      </c>
      <c r="L8" s="70">
        <v>6</v>
      </c>
      <c r="M8" s="70">
        <v>5</v>
      </c>
      <c r="N8" s="71"/>
      <c r="O8" s="70">
        <v>5</v>
      </c>
      <c r="P8" s="70">
        <v>5</v>
      </c>
      <c r="Q8" s="70">
        <v>6</v>
      </c>
      <c r="R8" s="70">
        <v>6</v>
      </c>
      <c r="S8" s="70">
        <v>7</v>
      </c>
      <c r="T8" s="70">
        <v>5</v>
      </c>
      <c r="U8" s="70">
        <v>4</v>
      </c>
      <c r="V8" s="70">
        <v>5</v>
      </c>
      <c r="W8" s="70">
        <v>6</v>
      </c>
      <c r="X8" s="70">
        <v>4</v>
      </c>
      <c r="Y8" s="72">
        <v>46237.3924568287</v>
      </c>
      <c r="Z8" s="72">
        <v>46237.3934478356</v>
      </c>
      <c r="AA8" s="73">
        <v>85.6</v>
      </c>
      <c r="AB8" s="70" t="s">
        <v>266</v>
      </c>
      <c r="AC8" s="70" t="s">
        <v>266</v>
      </c>
      <c r="AD8" s="70" t="s">
        <v>266</v>
      </c>
      <c r="AE8" s="70" t="s">
        <v>386</v>
      </c>
      <c r="AF8" s="74">
        <v>12.22</v>
      </c>
      <c r="AG8" s="74">
        <v>0.809</v>
      </c>
      <c r="AH8" s="74">
        <v>0.941</v>
      </c>
      <c r="AI8" s="74">
        <v>0.985</v>
      </c>
      <c r="AJ8" s="74">
        <v>0.698</v>
      </c>
      <c r="AK8" s="75" t="s">
        <v>498</v>
      </c>
      <c r="AL8" s="75" t="s">
        <v>259</v>
      </c>
      <c r="AM8" s="76">
        <v>1</v>
      </c>
      <c r="AN8" s="76">
        <v>3</v>
      </c>
      <c r="AO8" s="77" t="s">
        <v>191</v>
      </c>
    </row>
    <row r="9" ht="24" customHeight="1" spans="1:41">
      <c r="A9" s="25" t="s">
        <v>372</v>
      </c>
      <c r="B9" s="26">
        <v>5</v>
      </c>
      <c r="C9" s="26" t="s">
        <v>373</v>
      </c>
      <c r="D9" s="26">
        <v>3</v>
      </c>
      <c r="E9" s="26" t="s">
        <v>377</v>
      </c>
      <c r="F9" s="26" t="s">
        <v>503</v>
      </c>
      <c r="G9" s="26" t="s">
        <v>497</v>
      </c>
      <c r="H9" s="26" t="s">
        <v>379</v>
      </c>
      <c r="I9" s="26">
        <v>1</v>
      </c>
      <c r="J9" s="26">
        <v>3</v>
      </c>
      <c r="K9" s="70">
        <v>5</v>
      </c>
      <c r="L9" s="70">
        <v>5</v>
      </c>
      <c r="M9" s="70">
        <v>4</v>
      </c>
      <c r="N9" s="71"/>
      <c r="O9" s="70">
        <v>4</v>
      </c>
      <c r="P9" s="70">
        <v>5</v>
      </c>
      <c r="Q9" s="70">
        <v>5</v>
      </c>
      <c r="R9" s="70">
        <v>5</v>
      </c>
      <c r="S9" s="70">
        <v>4</v>
      </c>
      <c r="T9" s="70">
        <v>4</v>
      </c>
      <c r="U9" s="70">
        <v>5</v>
      </c>
      <c r="V9" s="70">
        <v>6</v>
      </c>
      <c r="W9" s="70">
        <v>5</v>
      </c>
      <c r="X9" s="70">
        <v>5</v>
      </c>
      <c r="Y9" s="72">
        <v>46237.3944078241</v>
      </c>
      <c r="Z9" s="72">
        <v>46237.3956802778</v>
      </c>
      <c r="AA9" s="73">
        <v>109.9</v>
      </c>
      <c r="AB9" s="70" t="s">
        <v>266</v>
      </c>
      <c r="AC9" s="70" t="s">
        <v>266</v>
      </c>
      <c r="AD9" s="70" t="s">
        <v>266</v>
      </c>
      <c r="AE9" s="70" t="s">
        <v>386</v>
      </c>
      <c r="AF9" s="74">
        <v>13.08</v>
      </c>
      <c r="AG9" s="74">
        <v>0.786</v>
      </c>
      <c r="AH9" s="74">
        <v>0.861</v>
      </c>
      <c r="AI9" s="74">
        <v>0.985</v>
      </c>
      <c r="AJ9" s="74">
        <v>0.786</v>
      </c>
      <c r="AK9" s="75" t="s">
        <v>498</v>
      </c>
      <c r="AL9" s="75" t="s">
        <v>259</v>
      </c>
      <c r="AM9" s="76">
        <v>1</v>
      </c>
      <c r="AN9" s="76">
        <v>4</v>
      </c>
      <c r="AO9" s="77" t="s">
        <v>191</v>
      </c>
    </row>
    <row r="10" ht="24" customHeight="1" spans="1:41">
      <c r="A10" s="78" t="s">
        <v>372</v>
      </c>
      <c r="B10" s="79">
        <v>6</v>
      </c>
      <c r="C10" s="79" t="s">
        <v>373</v>
      </c>
      <c r="D10" s="79">
        <v>3</v>
      </c>
      <c r="E10" s="79" t="s">
        <v>377</v>
      </c>
      <c r="F10" s="79" t="s">
        <v>503</v>
      </c>
      <c r="G10" s="79" t="s">
        <v>499</v>
      </c>
      <c r="H10" s="79" t="s">
        <v>380</v>
      </c>
      <c r="I10" s="79">
        <v>2</v>
      </c>
      <c r="J10" s="79">
        <v>3</v>
      </c>
      <c r="K10" s="80">
        <v>3</v>
      </c>
      <c r="L10" s="80">
        <v>5</v>
      </c>
      <c r="M10" s="80">
        <v>6</v>
      </c>
      <c r="N10" s="81"/>
      <c r="O10" s="80">
        <v>5</v>
      </c>
      <c r="P10" s="80">
        <v>4</v>
      </c>
      <c r="Q10" s="80">
        <v>4</v>
      </c>
      <c r="R10" s="80">
        <v>5</v>
      </c>
      <c r="S10" s="80">
        <v>4</v>
      </c>
      <c r="T10" s="80">
        <v>4</v>
      </c>
      <c r="U10" s="80">
        <v>4</v>
      </c>
      <c r="V10" s="80">
        <v>5</v>
      </c>
      <c r="W10" s="80">
        <v>4</v>
      </c>
      <c r="X10" s="80">
        <v>4</v>
      </c>
      <c r="Y10" s="82">
        <v>46237.3966780324</v>
      </c>
      <c r="Z10" s="82">
        <v>46237.3979467708</v>
      </c>
      <c r="AA10" s="83">
        <v>109.6</v>
      </c>
      <c r="AB10" s="80" t="s">
        <v>266</v>
      </c>
      <c r="AC10" s="80" t="s">
        <v>266</v>
      </c>
      <c r="AD10" s="80" t="s">
        <v>266</v>
      </c>
      <c r="AE10" s="80" t="s">
        <v>504</v>
      </c>
      <c r="AF10" s="84">
        <v>13.15</v>
      </c>
      <c r="AG10" s="84">
        <v>0.798</v>
      </c>
      <c r="AH10" s="84">
        <v>0.904</v>
      </c>
      <c r="AI10" s="84">
        <v>0.972</v>
      </c>
      <c r="AJ10" s="84">
        <v>0.772</v>
      </c>
      <c r="AK10" s="85" t="s">
        <v>498</v>
      </c>
      <c r="AL10" s="85" t="s">
        <v>259</v>
      </c>
      <c r="AM10" s="86">
        <v>1</v>
      </c>
      <c r="AN10" s="86">
        <v>0</v>
      </c>
      <c r="AO10" s="85" t="s">
        <v>505</v>
      </c>
    </row>
    <row r="11" ht="24" customHeight="1" spans="1:41">
      <c r="A11" s="25" t="s">
        <v>388</v>
      </c>
      <c r="B11" s="26">
        <v>1</v>
      </c>
      <c r="C11" s="26" t="s">
        <v>389</v>
      </c>
      <c r="D11" s="26">
        <v>1</v>
      </c>
      <c r="E11" s="26" t="s">
        <v>375</v>
      </c>
      <c r="F11" s="26" t="s">
        <v>496</v>
      </c>
      <c r="G11" s="26" t="s">
        <v>499</v>
      </c>
      <c r="H11" s="26" t="s">
        <v>380</v>
      </c>
      <c r="I11" s="26">
        <v>1</v>
      </c>
      <c r="J11" s="26">
        <v>1</v>
      </c>
      <c r="K11" s="70">
        <v>5</v>
      </c>
      <c r="L11" s="70">
        <v>7</v>
      </c>
      <c r="M11" s="70">
        <v>4</v>
      </c>
      <c r="N11" s="71"/>
      <c r="O11" s="70">
        <v>5</v>
      </c>
      <c r="P11" s="70">
        <v>6</v>
      </c>
      <c r="Q11" s="70">
        <v>6</v>
      </c>
      <c r="R11" s="70">
        <v>5</v>
      </c>
      <c r="S11" s="70">
        <v>5</v>
      </c>
      <c r="T11" s="70">
        <v>6</v>
      </c>
      <c r="U11" s="70">
        <v>5</v>
      </c>
      <c r="V11" s="70">
        <v>6</v>
      </c>
      <c r="W11" s="70">
        <v>4</v>
      </c>
      <c r="X11" s="70">
        <v>6</v>
      </c>
      <c r="Y11" s="72">
        <v>46237.4519482755</v>
      </c>
      <c r="Z11" s="72">
        <v>46237.4531769676</v>
      </c>
      <c r="AA11" s="73">
        <v>106.2</v>
      </c>
      <c r="AB11" s="70" t="s">
        <v>266</v>
      </c>
      <c r="AC11" s="70" t="s">
        <v>266</v>
      </c>
      <c r="AD11" s="70" t="s">
        <v>266</v>
      </c>
      <c r="AE11" s="70" t="s">
        <v>386</v>
      </c>
      <c r="AF11" s="74">
        <v>12.33</v>
      </c>
      <c r="AG11" s="74">
        <v>0.74</v>
      </c>
      <c r="AH11" s="74">
        <v>0.843</v>
      </c>
      <c r="AI11" s="74">
        <v>0.999</v>
      </c>
      <c r="AJ11" s="74">
        <v>0.802</v>
      </c>
      <c r="AK11" s="75" t="s">
        <v>498</v>
      </c>
      <c r="AL11" s="75" t="s">
        <v>259</v>
      </c>
      <c r="AM11" s="76">
        <v>1</v>
      </c>
      <c r="AN11" s="76">
        <v>0</v>
      </c>
      <c r="AO11" s="77" t="s">
        <v>191</v>
      </c>
    </row>
    <row r="12" ht="24" customHeight="1" spans="1:41">
      <c r="A12" s="25" t="s">
        <v>388</v>
      </c>
      <c r="B12" s="26">
        <v>2</v>
      </c>
      <c r="C12" s="26" t="s">
        <v>389</v>
      </c>
      <c r="D12" s="26">
        <v>1</v>
      </c>
      <c r="E12" s="26" t="s">
        <v>375</v>
      </c>
      <c r="F12" s="26" t="s">
        <v>496</v>
      </c>
      <c r="G12" s="26" t="s">
        <v>497</v>
      </c>
      <c r="H12" s="26" t="s">
        <v>379</v>
      </c>
      <c r="I12" s="26">
        <v>2</v>
      </c>
      <c r="J12" s="26">
        <v>1</v>
      </c>
      <c r="K12" s="70">
        <v>5</v>
      </c>
      <c r="L12" s="70">
        <v>7</v>
      </c>
      <c r="M12" s="70">
        <v>6</v>
      </c>
      <c r="N12" s="71"/>
      <c r="O12" s="70">
        <v>5</v>
      </c>
      <c r="P12" s="70">
        <v>4</v>
      </c>
      <c r="Q12" s="70">
        <v>6</v>
      </c>
      <c r="R12" s="70">
        <v>5</v>
      </c>
      <c r="S12" s="70">
        <v>6</v>
      </c>
      <c r="T12" s="70">
        <v>5</v>
      </c>
      <c r="U12" s="70">
        <v>7</v>
      </c>
      <c r="V12" s="70">
        <v>5</v>
      </c>
      <c r="W12" s="70">
        <v>7</v>
      </c>
      <c r="X12" s="70">
        <v>6</v>
      </c>
      <c r="Y12" s="72">
        <v>46237.4541925</v>
      </c>
      <c r="Z12" s="72">
        <v>46237.4556056018</v>
      </c>
      <c r="AA12" s="73">
        <v>122.1</v>
      </c>
      <c r="AB12" s="70" t="s">
        <v>266</v>
      </c>
      <c r="AC12" s="70" t="s">
        <v>266</v>
      </c>
      <c r="AD12" s="70" t="s">
        <v>266</v>
      </c>
      <c r="AE12" s="70" t="s">
        <v>386</v>
      </c>
      <c r="AF12" s="74">
        <v>11.73</v>
      </c>
      <c r="AG12" s="74">
        <v>0.771</v>
      </c>
      <c r="AH12" s="74">
        <v>0.846</v>
      </c>
      <c r="AI12" s="74">
        <v>0.986</v>
      </c>
      <c r="AJ12" s="74">
        <v>0.7</v>
      </c>
      <c r="AK12" s="75" t="s">
        <v>498</v>
      </c>
      <c r="AL12" s="75" t="s">
        <v>259</v>
      </c>
      <c r="AM12" s="76">
        <v>1</v>
      </c>
      <c r="AN12" s="76">
        <v>3</v>
      </c>
      <c r="AO12" s="77" t="s">
        <v>191</v>
      </c>
    </row>
    <row r="13" ht="24" customHeight="1" spans="1:41">
      <c r="A13" s="25" t="s">
        <v>388</v>
      </c>
      <c r="B13" s="26">
        <v>3</v>
      </c>
      <c r="C13" s="26" t="s">
        <v>389</v>
      </c>
      <c r="D13" s="26">
        <v>2</v>
      </c>
      <c r="E13" s="26" t="s">
        <v>376</v>
      </c>
      <c r="F13" s="26" t="s">
        <v>501</v>
      </c>
      <c r="G13" s="26" t="s">
        <v>497</v>
      </c>
      <c r="H13" s="26" t="s">
        <v>379</v>
      </c>
      <c r="I13" s="26">
        <v>1</v>
      </c>
      <c r="J13" s="26">
        <v>2</v>
      </c>
      <c r="K13" s="70">
        <v>5</v>
      </c>
      <c r="L13" s="70">
        <v>5</v>
      </c>
      <c r="M13" s="70">
        <v>6</v>
      </c>
      <c r="N13" s="71"/>
      <c r="O13" s="70">
        <v>5</v>
      </c>
      <c r="P13" s="70">
        <v>7</v>
      </c>
      <c r="Q13" s="70">
        <v>7</v>
      </c>
      <c r="R13" s="70">
        <v>6</v>
      </c>
      <c r="S13" s="70">
        <v>6</v>
      </c>
      <c r="T13" s="70">
        <v>5</v>
      </c>
      <c r="U13" s="70">
        <v>5</v>
      </c>
      <c r="V13" s="70">
        <v>7</v>
      </c>
      <c r="W13" s="70">
        <v>7</v>
      </c>
      <c r="X13" s="70">
        <v>6</v>
      </c>
      <c r="Y13" s="72">
        <v>46237.4564689699</v>
      </c>
      <c r="Z13" s="72">
        <v>46237.457524213</v>
      </c>
      <c r="AA13" s="73">
        <v>91.2</v>
      </c>
      <c r="AB13" s="70" t="s">
        <v>266</v>
      </c>
      <c r="AC13" s="70" t="s">
        <v>266</v>
      </c>
      <c r="AD13" s="70" t="s">
        <v>266</v>
      </c>
      <c r="AE13" s="70" t="s">
        <v>386</v>
      </c>
      <c r="AF13" s="74">
        <v>12.81</v>
      </c>
      <c r="AG13" s="74">
        <v>0.804</v>
      </c>
      <c r="AH13" s="74">
        <v>0.885</v>
      </c>
      <c r="AI13" s="74">
        <v>0.995</v>
      </c>
      <c r="AJ13" s="74">
        <v>0.762</v>
      </c>
      <c r="AK13" s="75" t="s">
        <v>498</v>
      </c>
      <c r="AL13" s="75" t="s">
        <v>259</v>
      </c>
      <c r="AM13" s="76">
        <v>1</v>
      </c>
      <c r="AN13" s="76">
        <v>2</v>
      </c>
      <c r="AO13" s="77" t="s">
        <v>191</v>
      </c>
    </row>
    <row r="14" ht="24" customHeight="1" spans="1:41">
      <c r="A14" s="25" t="s">
        <v>388</v>
      </c>
      <c r="B14" s="26">
        <v>4</v>
      </c>
      <c r="C14" s="26" t="s">
        <v>389</v>
      </c>
      <c r="D14" s="26">
        <v>2</v>
      </c>
      <c r="E14" s="26" t="s">
        <v>376</v>
      </c>
      <c r="F14" s="26" t="s">
        <v>501</v>
      </c>
      <c r="G14" s="26" t="s">
        <v>499</v>
      </c>
      <c r="H14" s="26" t="s">
        <v>380</v>
      </c>
      <c r="I14" s="26">
        <v>2</v>
      </c>
      <c r="J14" s="26">
        <v>2</v>
      </c>
      <c r="K14" s="70">
        <v>5</v>
      </c>
      <c r="L14" s="70">
        <v>7</v>
      </c>
      <c r="M14" s="70">
        <v>5</v>
      </c>
      <c r="N14" s="71"/>
      <c r="O14" s="70">
        <v>7</v>
      </c>
      <c r="P14" s="70">
        <v>6</v>
      </c>
      <c r="Q14" s="70">
        <v>3</v>
      </c>
      <c r="R14" s="70">
        <v>5</v>
      </c>
      <c r="S14" s="70">
        <v>5</v>
      </c>
      <c r="T14" s="70">
        <v>5</v>
      </c>
      <c r="U14" s="70">
        <v>6</v>
      </c>
      <c r="V14" s="70">
        <v>6</v>
      </c>
      <c r="W14" s="70">
        <v>5</v>
      </c>
      <c r="X14" s="70">
        <v>5</v>
      </c>
      <c r="Y14" s="72">
        <v>46237.4584957639</v>
      </c>
      <c r="Z14" s="72">
        <v>46237.4593582523</v>
      </c>
      <c r="AA14" s="73">
        <v>74.5</v>
      </c>
      <c r="AB14" s="70" t="s">
        <v>266</v>
      </c>
      <c r="AC14" s="70" t="s">
        <v>266</v>
      </c>
      <c r="AD14" s="70" t="s">
        <v>266</v>
      </c>
      <c r="AE14" s="70" t="s">
        <v>386</v>
      </c>
      <c r="AF14" s="74">
        <v>12.61</v>
      </c>
      <c r="AG14" s="74">
        <v>0.794</v>
      </c>
      <c r="AH14" s="74">
        <v>0.918</v>
      </c>
      <c r="AI14" s="74">
        <v>0.994</v>
      </c>
      <c r="AJ14" s="74">
        <v>0.785</v>
      </c>
      <c r="AK14" s="75" t="s">
        <v>498</v>
      </c>
      <c r="AL14" s="75" t="s">
        <v>259</v>
      </c>
      <c r="AM14" s="76">
        <v>1</v>
      </c>
      <c r="AN14" s="76">
        <v>0</v>
      </c>
      <c r="AO14" s="77" t="s">
        <v>191</v>
      </c>
    </row>
    <row r="15" ht="24" customHeight="1" spans="1:41">
      <c r="A15" s="25" t="s">
        <v>388</v>
      </c>
      <c r="B15" s="26">
        <v>5</v>
      </c>
      <c r="C15" s="26" t="s">
        <v>389</v>
      </c>
      <c r="D15" s="26">
        <v>3</v>
      </c>
      <c r="E15" s="26" t="s">
        <v>377</v>
      </c>
      <c r="F15" s="26" t="s">
        <v>503</v>
      </c>
      <c r="G15" s="26" t="s">
        <v>499</v>
      </c>
      <c r="H15" s="26" t="s">
        <v>380</v>
      </c>
      <c r="I15" s="26">
        <v>1</v>
      </c>
      <c r="J15" s="26">
        <v>3</v>
      </c>
      <c r="K15" s="70">
        <v>4</v>
      </c>
      <c r="L15" s="70">
        <v>5</v>
      </c>
      <c r="M15" s="70">
        <v>4</v>
      </c>
      <c r="N15" s="71"/>
      <c r="O15" s="70">
        <v>6</v>
      </c>
      <c r="P15" s="70">
        <v>4</v>
      </c>
      <c r="Q15" s="70">
        <v>5</v>
      </c>
      <c r="R15" s="70">
        <v>4</v>
      </c>
      <c r="S15" s="70">
        <v>5</v>
      </c>
      <c r="T15" s="70">
        <v>4</v>
      </c>
      <c r="U15" s="70">
        <v>6</v>
      </c>
      <c r="V15" s="70">
        <v>5</v>
      </c>
      <c r="W15" s="70">
        <v>6</v>
      </c>
      <c r="X15" s="70">
        <v>3</v>
      </c>
      <c r="Y15" s="72">
        <v>46237.4603819329</v>
      </c>
      <c r="Z15" s="72">
        <v>46237.4614683565</v>
      </c>
      <c r="AA15" s="73">
        <v>93.9</v>
      </c>
      <c r="AB15" s="70" t="s">
        <v>266</v>
      </c>
      <c r="AC15" s="70" t="s">
        <v>266</v>
      </c>
      <c r="AD15" s="70" t="s">
        <v>266</v>
      </c>
      <c r="AE15" s="70" t="s">
        <v>386</v>
      </c>
      <c r="AF15" s="74">
        <v>12.61</v>
      </c>
      <c r="AG15" s="74">
        <v>0.729</v>
      </c>
      <c r="AH15" s="74">
        <v>0.852</v>
      </c>
      <c r="AI15" s="74">
        <v>0.988</v>
      </c>
      <c r="AJ15" s="74">
        <v>0.774</v>
      </c>
      <c r="AK15" s="75" t="s">
        <v>498</v>
      </c>
      <c r="AL15" s="75" t="s">
        <v>259</v>
      </c>
      <c r="AM15" s="76">
        <v>1</v>
      </c>
      <c r="AN15" s="76">
        <v>0</v>
      </c>
      <c r="AO15" s="77" t="s">
        <v>502</v>
      </c>
    </row>
    <row r="16" ht="24" customHeight="1" spans="1:41">
      <c r="A16" s="78" t="s">
        <v>388</v>
      </c>
      <c r="B16" s="79">
        <v>6</v>
      </c>
      <c r="C16" s="79" t="s">
        <v>389</v>
      </c>
      <c r="D16" s="79">
        <v>3</v>
      </c>
      <c r="E16" s="79" t="s">
        <v>377</v>
      </c>
      <c r="F16" s="79" t="s">
        <v>503</v>
      </c>
      <c r="G16" s="79" t="s">
        <v>497</v>
      </c>
      <c r="H16" s="79" t="s">
        <v>379</v>
      </c>
      <c r="I16" s="79">
        <v>2</v>
      </c>
      <c r="J16" s="79">
        <v>3</v>
      </c>
      <c r="K16" s="80">
        <v>6</v>
      </c>
      <c r="L16" s="80">
        <v>3</v>
      </c>
      <c r="M16" s="80">
        <v>6</v>
      </c>
      <c r="N16" s="81"/>
      <c r="O16" s="80">
        <v>5</v>
      </c>
      <c r="P16" s="80">
        <v>6</v>
      </c>
      <c r="Q16" s="80">
        <v>6</v>
      </c>
      <c r="R16" s="80">
        <v>7</v>
      </c>
      <c r="S16" s="80">
        <v>6</v>
      </c>
      <c r="T16" s="80">
        <v>5</v>
      </c>
      <c r="U16" s="80">
        <v>6</v>
      </c>
      <c r="V16" s="80">
        <v>6</v>
      </c>
      <c r="W16" s="80">
        <v>6</v>
      </c>
      <c r="X16" s="80">
        <v>4</v>
      </c>
      <c r="Y16" s="82">
        <v>46237.4623893634</v>
      </c>
      <c r="Z16" s="82">
        <v>46237.4635043981</v>
      </c>
      <c r="AA16" s="83">
        <v>96.3</v>
      </c>
      <c r="AB16" s="80" t="s">
        <v>266</v>
      </c>
      <c r="AC16" s="80" t="s">
        <v>266</v>
      </c>
      <c r="AD16" s="80" t="s">
        <v>266</v>
      </c>
      <c r="AE16" s="80" t="s">
        <v>386</v>
      </c>
      <c r="AF16" s="84">
        <v>13.25</v>
      </c>
      <c r="AG16" s="84">
        <v>0.762</v>
      </c>
      <c r="AH16" s="84">
        <v>0.89</v>
      </c>
      <c r="AI16" s="84">
        <v>0.985</v>
      </c>
      <c r="AJ16" s="84">
        <v>0.758</v>
      </c>
      <c r="AK16" s="85" t="s">
        <v>498</v>
      </c>
      <c r="AL16" s="85" t="s">
        <v>259</v>
      </c>
      <c r="AM16" s="86">
        <v>1</v>
      </c>
      <c r="AN16" s="86">
        <v>2</v>
      </c>
      <c r="AO16" s="85" t="s">
        <v>191</v>
      </c>
    </row>
    <row r="17" ht="24" customHeight="1" spans="1:41">
      <c r="A17" s="25" t="s">
        <v>395</v>
      </c>
      <c r="B17" s="26">
        <v>1</v>
      </c>
      <c r="C17" s="26" t="s">
        <v>396</v>
      </c>
      <c r="D17" s="26">
        <v>1</v>
      </c>
      <c r="E17" s="26" t="s">
        <v>375</v>
      </c>
      <c r="F17" s="26" t="s">
        <v>496</v>
      </c>
      <c r="G17" s="26" t="s">
        <v>499</v>
      </c>
      <c r="H17" s="26" t="s">
        <v>379</v>
      </c>
      <c r="I17" s="26">
        <v>1</v>
      </c>
      <c r="J17" s="26">
        <v>1</v>
      </c>
      <c r="K17" s="70">
        <v>5</v>
      </c>
      <c r="L17" s="70">
        <v>4</v>
      </c>
      <c r="M17" s="70">
        <v>5</v>
      </c>
      <c r="N17" s="71"/>
      <c r="O17" s="70">
        <v>5</v>
      </c>
      <c r="P17" s="70">
        <v>5</v>
      </c>
      <c r="Q17" s="70">
        <v>6</v>
      </c>
      <c r="R17" s="70">
        <v>5</v>
      </c>
      <c r="S17" s="70">
        <v>6</v>
      </c>
      <c r="T17" s="70">
        <v>5</v>
      </c>
      <c r="U17" s="70">
        <v>6</v>
      </c>
      <c r="V17" s="70">
        <v>6</v>
      </c>
      <c r="W17" s="70">
        <v>5</v>
      </c>
      <c r="X17" s="70">
        <v>5</v>
      </c>
      <c r="Y17" s="72">
        <v>46237.5744122338</v>
      </c>
      <c r="Z17" s="72">
        <v>46237.5754418866</v>
      </c>
      <c r="AA17" s="73">
        <v>89</v>
      </c>
      <c r="AB17" s="70" t="s">
        <v>266</v>
      </c>
      <c r="AC17" s="70" t="s">
        <v>266</v>
      </c>
      <c r="AD17" s="70" t="s">
        <v>266</v>
      </c>
      <c r="AE17" s="70" t="s">
        <v>386</v>
      </c>
      <c r="AF17" s="74">
        <v>13.88</v>
      </c>
      <c r="AG17" s="74">
        <v>0.803</v>
      </c>
      <c r="AH17" s="74">
        <v>0.888</v>
      </c>
      <c r="AI17" s="74">
        <v>0.987</v>
      </c>
      <c r="AJ17" s="74">
        <v>0.772</v>
      </c>
      <c r="AK17" s="75" t="s">
        <v>498</v>
      </c>
      <c r="AL17" s="75" t="s">
        <v>259</v>
      </c>
      <c r="AM17" s="76">
        <v>1</v>
      </c>
      <c r="AN17" s="76">
        <v>2</v>
      </c>
      <c r="AO17" s="77" t="s">
        <v>191</v>
      </c>
    </row>
    <row r="18" ht="24" customHeight="1" spans="1:41">
      <c r="A18" s="25" t="s">
        <v>395</v>
      </c>
      <c r="B18" s="26">
        <v>2</v>
      </c>
      <c r="C18" s="26" t="s">
        <v>396</v>
      </c>
      <c r="D18" s="26">
        <v>1</v>
      </c>
      <c r="E18" s="26" t="s">
        <v>375</v>
      </c>
      <c r="F18" s="26" t="s">
        <v>496</v>
      </c>
      <c r="G18" s="26" t="s">
        <v>497</v>
      </c>
      <c r="H18" s="26" t="s">
        <v>380</v>
      </c>
      <c r="I18" s="26">
        <v>2</v>
      </c>
      <c r="J18" s="26">
        <v>1</v>
      </c>
      <c r="K18" s="70">
        <v>5</v>
      </c>
      <c r="L18" s="70">
        <v>5</v>
      </c>
      <c r="M18" s="70">
        <v>4</v>
      </c>
      <c r="N18" s="71"/>
      <c r="O18" s="70">
        <v>7</v>
      </c>
      <c r="P18" s="70">
        <v>6</v>
      </c>
      <c r="Q18" s="70">
        <v>5</v>
      </c>
      <c r="R18" s="70">
        <v>5</v>
      </c>
      <c r="S18" s="70">
        <v>4</v>
      </c>
      <c r="T18" s="70">
        <v>5</v>
      </c>
      <c r="U18" s="70">
        <v>5</v>
      </c>
      <c r="V18" s="70">
        <v>5</v>
      </c>
      <c r="W18" s="70">
        <v>4</v>
      </c>
      <c r="X18" s="70">
        <v>6</v>
      </c>
      <c r="Y18" s="72">
        <v>46237.5764540162</v>
      </c>
      <c r="Z18" s="72">
        <v>46237.5776841667</v>
      </c>
      <c r="AA18" s="73">
        <v>106.3</v>
      </c>
      <c r="AB18" s="70" t="s">
        <v>266</v>
      </c>
      <c r="AC18" s="70" t="s">
        <v>266</v>
      </c>
      <c r="AD18" s="70" t="s">
        <v>266</v>
      </c>
      <c r="AE18" s="70" t="s">
        <v>386</v>
      </c>
      <c r="AF18" s="74">
        <v>12.83</v>
      </c>
      <c r="AG18" s="74">
        <v>0.714</v>
      </c>
      <c r="AH18" s="74">
        <v>0.902</v>
      </c>
      <c r="AI18" s="74">
        <v>0.996</v>
      </c>
      <c r="AJ18" s="74">
        <v>0.844</v>
      </c>
      <c r="AK18" s="75" t="s">
        <v>498</v>
      </c>
      <c r="AL18" s="75" t="s">
        <v>259</v>
      </c>
      <c r="AM18" s="76">
        <v>0</v>
      </c>
      <c r="AN18" s="76">
        <v>0</v>
      </c>
      <c r="AO18" s="77" t="s">
        <v>191</v>
      </c>
    </row>
    <row r="19" ht="24" customHeight="1" spans="1:41">
      <c r="A19" s="25" t="s">
        <v>395</v>
      </c>
      <c r="B19" s="26">
        <v>3</v>
      </c>
      <c r="C19" s="26" t="s">
        <v>396</v>
      </c>
      <c r="D19" s="26">
        <v>2</v>
      </c>
      <c r="E19" s="26" t="s">
        <v>376</v>
      </c>
      <c r="F19" s="26" t="s">
        <v>501</v>
      </c>
      <c r="G19" s="26" t="s">
        <v>497</v>
      </c>
      <c r="H19" s="26" t="s">
        <v>380</v>
      </c>
      <c r="I19" s="26">
        <v>1</v>
      </c>
      <c r="J19" s="26">
        <v>2</v>
      </c>
      <c r="K19" s="70">
        <v>4</v>
      </c>
      <c r="L19" s="70">
        <v>3</v>
      </c>
      <c r="M19" s="70">
        <v>4</v>
      </c>
      <c r="N19" s="71"/>
      <c r="O19" s="70">
        <v>4</v>
      </c>
      <c r="P19" s="70">
        <v>5</v>
      </c>
      <c r="Q19" s="70">
        <v>5</v>
      </c>
      <c r="R19" s="70">
        <v>6</v>
      </c>
      <c r="S19" s="70">
        <v>5</v>
      </c>
      <c r="T19" s="70">
        <v>5</v>
      </c>
      <c r="U19" s="70">
        <v>6</v>
      </c>
      <c r="V19" s="70">
        <v>5</v>
      </c>
      <c r="W19" s="70">
        <v>5</v>
      </c>
      <c r="X19" s="70">
        <v>5</v>
      </c>
      <c r="Y19" s="72">
        <v>46237.5786200926</v>
      </c>
      <c r="Z19" s="72">
        <v>46237.5794113542</v>
      </c>
      <c r="AA19" s="73">
        <v>68.4</v>
      </c>
      <c r="AB19" s="70" t="s">
        <v>266</v>
      </c>
      <c r="AC19" s="70" t="s">
        <v>266</v>
      </c>
      <c r="AD19" s="70" t="s">
        <v>266</v>
      </c>
      <c r="AE19" s="70" t="s">
        <v>386</v>
      </c>
      <c r="AF19" s="74">
        <v>12.85</v>
      </c>
      <c r="AG19" s="74">
        <v>0.869</v>
      </c>
      <c r="AH19" s="74">
        <v>0.92</v>
      </c>
      <c r="AI19" s="74">
        <v>0.999</v>
      </c>
      <c r="AJ19" s="74">
        <v>0.732</v>
      </c>
      <c r="AK19" s="75" t="s">
        <v>498</v>
      </c>
      <c r="AL19" s="75" t="s">
        <v>259</v>
      </c>
      <c r="AM19" s="76">
        <v>0</v>
      </c>
      <c r="AN19" s="76">
        <v>0</v>
      </c>
      <c r="AO19" s="77" t="s">
        <v>191</v>
      </c>
    </row>
    <row r="20" ht="24" customHeight="1" spans="1:41">
      <c r="A20" s="25" t="s">
        <v>395</v>
      </c>
      <c r="B20" s="26">
        <v>4</v>
      </c>
      <c r="C20" s="26" t="s">
        <v>396</v>
      </c>
      <c r="D20" s="26">
        <v>2</v>
      </c>
      <c r="E20" s="26" t="s">
        <v>376</v>
      </c>
      <c r="F20" s="26" t="s">
        <v>501</v>
      </c>
      <c r="G20" s="26" t="s">
        <v>499</v>
      </c>
      <c r="H20" s="26" t="s">
        <v>379</v>
      </c>
      <c r="I20" s="26">
        <v>2</v>
      </c>
      <c r="J20" s="26">
        <v>2</v>
      </c>
      <c r="K20" s="70">
        <v>6</v>
      </c>
      <c r="L20" s="70">
        <v>5</v>
      </c>
      <c r="M20" s="70">
        <v>5</v>
      </c>
      <c r="N20" s="71"/>
      <c r="O20" s="70">
        <v>6</v>
      </c>
      <c r="P20" s="70">
        <v>7</v>
      </c>
      <c r="Q20" s="70">
        <v>5</v>
      </c>
      <c r="R20" s="70">
        <v>5</v>
      </c>
      <c r="S20" s="70">
        <v>4</v>
      </c>
      <c r="T20" s="70">
        <v>6</v>
      </c>
      <c r="U20" s="70">
        <v>6</v>
      </c>
      <c r="V20" s="70">
        <v>6</v>
      </c>
      <c r="W20" s="70">
        <v>5</v>
      </c>
      <c r="X20" s="70">
        <v>5</v>
      </c>
      <c r="Y20" s="72">
        <v>46237.5802459954</v>
      </c>
      <c r="Z20" s="72">
        <v>46237.5812435185</v>
      </c>
      <c r="AA20" s="73">
        <v>86.2</v>
      </c>
      <c r="AB20" s="70" t="s">
        <v>266</v>
      </c>
      <c r="AC20" s="70" t="s">
        <v>266</v>
      </c>
      <c r="AD20" s="70" t="s">
        <v>266</v>
      </c>
      <c r="AE20" s="70" t="s">
        <v>386</v>
      </c>
      <c r="AF20" s="74">
        <v>13.18</v>
      </c>
      <c r="AG20" s="74">
        <v>0.837</v>
      </c>
      <c r="AH20" s="74">
        <v>0.878</v>
      </c>
      <c r="AI20" s="74">
        <v>0.993</v>
      </c>
      <c r="AJ20" s="74">
        <v>0.766</v>
      </c>
      <c r="AK20" s="75" t="s">
        <v>498</v>
      </c>
      <c r="AL20" s="75" t="s">
        <v>259</v>
      </c>
      <c r="AM20" s="76">
        <v>1</v>
      </c>
      <c r="AN20" s="76">
        <v>4</v>
      </c>
      <c r="AO20" s="77" t="s">
        <v>191</v>
      </c>
    </row>
    <row r="21" ht="24" customHeight="1" spans="1:41">
      <c r="A21" s="25" t="s">
        <v>395</v>
      </c>
      <c r="B21" s="26">
        <v>5</v>
      </c>
      <c r="C21" s="26" t="s">
        <v>396</v>
      </c>
      <c r="D21" s="26">
        <v>3</v>
      </c>
      <c r="E21" s="26" t="s">
        <v>377</v>
      </c>
      <c r="F21" s="26" t="s">
        <v>503</v>
      </c>
      <c r="G21" s="26" t="s">
        <v>499</v>
      </c>
      <c r="H21" s="26" t="s">
        <v>379</v>
      </c>
      <c r="I21" s="26">
        <v>1</v>
      </c>
      <c r="J21" s="26">
        <v>3</v>
      </c>
      <c r="K21" s="70">
        <v>6</v>
      </c>
      <c r="L21" s="70">
        <v>5</v>
      </c>
      <c r="M21" s="70">
        <v>6</v>
      </c>
      <c r="N21" s="71"/>
      <c r="O21" s="70">
        <v>5</v>
      </c>
      <c r="P21" s="70">
        <v>6</v>
      </c>
      <c r="Q21" s="70">
        <v>6</v>
      </c>
      <c r="R21" s="70">
        <v>5</v>
      </c>
      <c r="S21" s="70">
        <v>6</v>
      </c>
      <c r="T21" s="70">
        <v>6</v>
      </c>
      <c r="U21" s="70">
        <v>6</v>
      </c>
      <c r="V21" s="70">
        <v>6</v>
      </c>
      <c r="W21" s="70">
        <v>6</v>
      </c>
      <c r="X21" s="70">
        <v>5</v>
      </c>
      <c r="Y21" s="72">
        <v>46237.5822112037</v>
      </c>
      <c r="Z21" s="72">
        <v>46237.5834897917</v>
      </c>
      <c r="AA21" s="73">
        <v>110.5</v>
      </c>
      <c r="AB21" s="70" t="s">
        <v>266</v>
      </c>
      <c r="AC21" s="70" t="s">
        <v>266</v>
      </c>
      <c r="AD21" s="70" t="s">
        <v>266</v>
      </c>
      <c r="AE21" s="70" t="s">
        <v>386</v>
      </c>
      <c r="AF21" s="74">
        <v>12.53</v>
      </c>
      <c r="AG21" s="74">
        <v>0.823</v>
      </c>
      <c r="AH21" s="74">
        <v>0.867</v>
      </c>
      <c r="AI21" s="74">
        <v>0.995</v>
      </c>
      <c r="AJ21" s="74">
        <v>0.795</v>
      </c>
      <c r="AK21" s="75" t="s">
        <v>498</v>
      </c>
      <c r="AL21" s="75" t="s">
        <v>259</v>
      </c>
      <c r="AM21" s="76">
        <v>0</v>
      </c>
      <c r="AN21" s="76">
        <v>2</v>
      </c>
      <c r="AO21" s="77" t="s">
        <v>191</v>
      </c>
    </row>
    <row r="22" ht="24" customHeight="1" spans="1:41">
      <c r="A22" s="78" t="s">
        <v>395</v>
      </c>
      <c r="B22" s="79">
        <v>6</v>
      </c>
      <c r="C22" s="79" t="s">
        <v>396</v>
      </c>
      <c r="D22" s="79">
        <v>3</v>
      </c>
      <c r="E22" s="79" t="s">
        <v>377</v>
      </c>
      <c r="F22" s="79" t="s">
        <v>503</v>
      </c>
      <c r="G22" s="79" t="s">
        <v>497</v>
      </c>
      <c r="H22" s="79" t="s">
        <v>380</v>
      </c>
      <c r="I22" s="79">
        <v>2</v>
      </c>
      <c r="J22" s="79">
        <v>3</v>
      </c>
      <c r="K22" s="80">
        <v>5</v>
      </c>
      <c r="L22" s="80">
        <v>7</v>
      </c>
      <c r="M22" s="80">
        <v>5</v>
      </c>
      <c r="N22" s="81"/>
      <c r="O22" s="80">
        <v>6</v>
      </c>
      <c r="P22" s="80">
        <v>5</v>
      </c>
      <c r="Q22" s="80">
        <v>4</v>
      </c>
      <c r="R22" s="80">
        <v>4</v>
      </c>
      <c r="S22" s="80">
        <v>5</v>
      </c>
      <c r="T22" s="80">
        <v>4</v>
      </c>
      <c r="U22" s="80">
        <v>6</v>
      </c>
      <c r="V22" s="80">
        <v>5</v>
      </c>
      <c r="W22" s="80">
        <v>4</v>
      </c>
      <c r="X22" s="80">
        <v>4</v>
      </c>
      <c r="Y22" s="82">
        <v>46237.5844270718</v>
      </c>
      <c r="Z22" s="82">
        <v>46237.5854882407</v>
      </c>
      <c r="AA22" s="83">
        <v>91.7</v>
      </c>
      <c r="AB22" s="80" t="s">
        <v>266</v>
      </c>
      <c r="AC22" s="80" t="s">
        <v>266</v>
      </c>
      <c r="AD22" s="80" t="s">
        <v>266</v>
      </c>
      <c r="AE22" s="80" t="s">
        <v>386</v>
      </c>
      <c r="AF22" s="84">
        <v>12.3</v>
      </c>
      <c r="AG22" s="84">
        <v>0.753</v>
      </c>
      <c r="AH22" s="84">
        <v>0.906</v>
      </c>
      <c r="AI22" s="84">
        <v>0.993</v>
      </c>
      <c r="AJ22" s="84">
        <v>0.692</v>
      </c>
      <c r="AK22" s="85" t="s">
        <v>498</v>
      </c>
      <c r="AL22" s="85" t="s">
        <v>259</v>
      </c>
      <c r="AM22" s="86">
        <v>1</v>
      </c>
      <c r="AN22" s="86">
        <v>0</v>
      </c>
      <c r="AO22" s="85" t="s">
        <v>500</v>
      </c>
    </row>
    <row r="23" ht="24" customHeight="1" spans="1:41">
      <c r="A23" s="25" t="s">
        <v>400</v>
      </c>
      <c r="B23" s="26">
        <v>1</v>
      </c>
      <c r="C23" s="26" t="s">
        <v>401</v>
      </c>
      <c r="D23" s="26">
        <v>1</v>
      </c>
      <c r="E23" s="26" t="s">
        <v>375</v>
      </c>
      <c r="F23" s="26" t="s">
        <v>496</v>
      </c>
      <c r="G23" s="26" t="s">
        <v>497</v>
      </c>
      <c r="H23" s="26" t="s">
        <v>380</v>
      </c>
      <c r="I23" s="26">
        <v>1</v>
      </c>
      <c r="J23" s="26">
        <v>1</v>
      </c>
      <c r="K23" s="70">
        <v>5</v>
      </c>
      <c r="L23" s="70">
        <v>4</v>
      </c>
      <c r="M23" s="70">
        <v>3</v>
      </c>
      <c r="N23" s="71"/>
      <c r="O23" s="70">
        <v>6</v>
      </c>
      <c r="P23" s="70">
        <v>3</v>
      </c>
      <c r="Q23" s="70">
        <v>5</v>
      </c>
      <c r="R23" s="70">
        <v>5</v>
      </c>
      <c r="S23" s="70">
        <v>4</v>
      </c>
      <c r="T23" s="70">
        <v>4</v>
      </c>
      <c r="U23" s="70">
        <v>5</v>
      </c>
      <c r="V23" s="70">
        <v>4</v>
      </c>
      <c r="W23" s="70">
        <v>5</v>
      </c>
      <c r="X23" s="70">
        <v>4</v>
      </c>
      <c r="Y23" s="72">
        <v>46237.6482069792</v>
      </c>
      <c r="Z23" s="72">
        <v>46237.6496709838</v>
      </c>
      <c r="AA23" s="73">
        <v>126.5</v>
      </c>
      <c r="AB23" s="70" t="s">
        <v>266</v>
      </c>
      <c r="AC23" s="70" t="s">
        <v>266</v>
      </c>
      <c r="AD23" s="70" t="s">
        <v>266</v>
      </c>
      <c r="AE23" s="70" t="s">
        <v>386</v>
      </c>
      <c r="AF23" s="74">
        <v>12.42</v>
      </c>
      <c r="AG23" s="74">
        <v>0.722</v>
      </c>
      <c r="AH23" s="74">
        <v>0.849</v>
      </c>
      <c r="AI23" s="74">
        <v>1</v>
      </c>
      <c r="AJ23" s="74">
        <v>0.742</v>
      </c>
      <c r="AK23" s="75" t="s">
        <v>498</v>
      </c>
      <c r="AL23" s="75" t="s">
        <v>259</v>
      </c>
      <c r="AM23" s="76">
        <v>0</v>
      </c>
      <c r="AN23" s="76">
        <v>0</v>
      </c>
      <c r="AO23" s="77" t="s">
        <v>191</v>
      </c>
    </row>
    <row r="24" ht="24" customHeight="1" spans="1:41">
      <c r="A24" s="25" t="s">
        <v>400</v>
      </c>
      <c r="B24" s="26">
        <v>2</v>
      </c>
      <c r="C24" s="26" t="s">
        <v>401</v>
      </c>
      <c r="D24" s="26">
        <v>1</v>
      </c>
      <c r="E24" s="26" t="s">
        <v>375</v>
      </c>
      <c r="F24" s="26" t="s">
        <v>496</v>
      </c>
      <c r="G24" s="26" t="s">
        <v>499</v>
      </c>
      <c r="H24" s="26" t="s">
        <v>379</v>
      </c>
      <c r="I24" s="26">
        <v>2</v>
      </c>
      <c r="J24" s="26">
        <v>1</v>
      </c>
      <c r="K24" s="70">
        <v>4</v>
      </c>
      <c r="L24" s="70">
        <v>5</v>
      </c>
      <c r="M24" s="70">
        <v>4</v>
      </c>
      <c r="N24" s="71"/>
      <c r="O24" s="70">
        <v>4</v>
      </c>
      <c r="P24" s="70">
        <v>5</v>
      </c>
      <c r="Q24" s="70">
        <v>3</v>
      </c>
      <c r="R24" s="70">
        <v>5</v>
      </c>
      <c r="S24" s="70">
        <v>4</v>
      </c>
      <c r="T24" s="70">
        <v>4</v>
      </c>
      <c r="U24" s="70">
        <v>6</v>
      </c>
      <c r="V24" s="70">
        <v>5</v>
      </c>
      <c r="W24" s="70">
        <v>5</v>
      </c>
      <c r="X24" s="70">
        <v>5</v>
      </c>
      <c r="Y24" s="72">
        <v>46237.6505711921</v>
      </c>
      <c r="Z24" s="72">
        <v>46237.6517973958</v>
      </c>
      <c r="AA24" s="73">
        <v>105.9</v>
      </c>
      <c r="AB24" s="70" t="s">
        <v>266</v>
      </c>
      <c r="AC24" s="70" t="s">
        <v>266</v>
      </c>
      <c r="AD24" s="70" t="s">
        <v>266</v>
      </c>
      <c r="AE24" s="70" t="s">
        <v>386</v>
      </c>
      <c r="AF24" s="74">
        <v>13.77</v>
      </c>
      <c r="AG24" s="74">
        <v>0.765</v>
      </c>
      <c r="AH24" s="74">
        <v>0.87</v>
      </c>
      <c r="AI24" s="74">
        <v>0.993</v>
      </c>
      <c r="AJ24" s="74">
        <v>0.737</v>
      </c>
      <c r="AK24" s="75" t="s">
        <v>498</v>
      </c>
      <c r="AL24" s="75" t="s">
        <v>259</v>
      </c>
      <c r="AM24" s="76">
        <v>1</v>
      </c>
      <c r="AN24" s="76">
        <v>3</v>
      </c>
      <c r="AO24" s="77" t="s">
        <v>191</v>
      </c>
    </row>
    <row r="25" ht="24" customHeight="1" spans="1:41">
      <c r="A25" s="25" t="s">
        <v>400</v>
      </c>
      <c r="B25" s="26">
        <v>3</v>
      </c>
      <c r="C25" s="26" t="s">
        <v>401</v>
      </c>
      <c r="D25" s="26">
        <v>2</v>
      </c>
      <c r="E25" s="26" t="s">
        <v>376</v>
      </c>
      <c r="F25" s="26" t="s">
        <v>501</v>
      </c>
      <c r="G25" s="26" t="s">
        <v>499</v>
      </c>
      <c r="H25" s="26" t="s">
        <v>379</v>
      </c>
      <c r="I25" s="26">
        <v>1</v>
      </c>
      <c r="J25" s="26">
        <v>2</v>
      </c>
      <c r="K25" s="70">
        <v>4</v>
      </c>
      <c r="L25" s="70">
        <v>4</v>
      </c>
      <c r="M25" s="70">
        <v>4</v>
      </c>
      <c r="N25" s="71"/>
      <c r="O25" s="70">
        <v>5</v>
      </c>
      <c r="P25" s="70">
        <v>5</v>
      </c>
      <c r="Q25" s="70">
        <v>3</v>
      </c>
      <c r="R25" s="70">
        <v>6</v>
      </c>
      <c r="S25" s="70">
        <v>4</v>
      </c>
      <c r="T25" s="70">
        <v>5</v>
      </c>
      <c r="U25" s="70">
        <v>4</v>
      </c>
      <c r="V25" s="70">
        <v>6</v>
      </c>
      <c r="W25" s="70">
        <v>5</v>
      </c>
      <c r="X25" s="70">
        <v>4</v>
      </c>
      <c r="Y25" s="72">
        <v>46237.6529079514</v>
      </c>
      <c r="Z25" s="72">
        <v>46237.6540518171</v>
      </c>
      <c r="AA25" s="73">
        <v>98.8</v>
      </c>
      <c r="AB25" s="70" t="s">
        <v>266</v>
      </c>
      <c r="AC25" s="70" t="s">
        <v>266</v>
      </c>
      <c r="AD25" s="70" t="s">
        <v>266</v>
      </c>
      <c r="AE25" s="70" t="s">
        <v>386</v>
      </c>
      <c r="AF25" s="74">
        <v>12.87</v>
      </c>
      <c r="AG25" s="74">
        <v>0.796</v>
      </c>
      <c r="AH25" s="74">
        <v>0.894</v>
      </c>
      <c r="AI25" s="74">
        <v>0.989</v>
      </c>
      <c r="AJ25" s="74">
        <v>0.751</v>
      </c>
      <c r="AK25" s="75" t="s">
        <v>498</v>
      </c>
      <c r="AL25" s="75" t="s">
        <v>259</v>
      </c>
      <c r="AM25" s="76">
        <v>2</v>
      </c>
      <c r="AN25" s="76">
        <v>2</v>
      </c>
      <c r="AO25" s="77" t="s">
        <v>500</v>
      </c>
    </row>
    <row r="26" ht="24" customHeight="1" spans="1:41">
      <c r="A26" s="25" t="s">
        <v>400</v>
      </c>
      <c r="B26" s="26">
        <v>4</v>
      </c>
      <c r="C26" s="26" t="s">
        <v>401</v>
      </c>
      <c r="D26" s="26">
        <v>2</v>
      </c>
      <c r="E26" s="26" t="s">
        <v>376</v>
      </c>
      <c r="F26" s="26" t="s">
        <v>501</v>
      </c>
      <c r="G26" s="26" t="s">
        <v>497</v>
      </c>
      <c r="H26" s="26" t="s">
        <v>380</v>
      </c>
      <c r="I26" s="26">
        <v>2</v>
      </c>
      <c r="J26" s="26">
        <v>2</v>
      </c>
      <c r="K26" s="70">
        <v>6</v>
      </c>
      <c r="L26" s="70">
        <v>4</v>
      </c>
      <c r="M26" s="70">
        <v>5</v>
      </c>
      <c r="N26" s="71"/>
      <c r="O26" s="70">
        <v>5</v>
      </c>
      <c r="P26" s="70">
        <v>4</v>
      </c>
      <c r="Q26" s="70">
        <v>5</v>
      </c>
      <c r="R26" s="70">
        <v>4</v>
      </c>
      <c r="S26" s="70">
        <v>4</v>
      </c>
      <c r="T26" s="70">
        <v>4</v>
      </c>
      <c r="U26" s="70">
        <v>5</v>
      </c>
      <c r="V26" s="70">
        <v>5</v>
      </c>
      <c r="W26" s="70">
        <v>3</v>
      </c>
      <c r="X26" s="70">
        <v>3</v>
      </c>
      <c r="Y26" s="72">
        <v>46237.6549005903</v>
      </c>
      <c r="Z26" s="72">
        <v>46237.6561755671</v>
      </c>
      <c r="AA26" s="73">
        <v>110.2</v>
      </c>
      <c r="AB26" s="70" t="s">
        <v>266</v>
      </c>
      <c r="AC26" s="70" t="s">
        <v>266</v>
      </c>
      <c r="AD26" s="70" t="s">
        <v>266</v>
      </c>
      <c r="AE26" s="70" t="s">
        <v>386</v>
      </c>
      <c r="AF26" s="74">
        <v>12.51</v>
      </c>
      <c r="AG26" s="74">
        <v>0.865</v>
      </c>
      <c r="AH26" s="74">
        <v>0.922</v>
      </c>
      <c r="AI26" s="74">
        <v>0.987</v>
      </c>
      <c r="AJ26" s="74">
        <v>0.689</v>
      </c>
      <c r="AK26" s="75" t="s">
        <v>498</v>
      </c>
      <c r="AL26" s="75" t="s">
        <v>259</v>
      </c>
      <c r="AM26" s="76">
        <v>1</v>
      </c>
      <c r="AN26" s="76">
        <v>0</v>
      </c>
      <c r="AO26" s="77" t="s">
        <v>191</v>
      </c>
    </row>
    <row r="27" ht="24" customHeight="1" spans="1:41">
      <c r="A27" s="25" t="s">
        <v>400</v>
      </c>
      <c r="B27" s="26">
        <v>5</v>
      </c>
      <c r="C27" s="26" t="s">
        <v>401</v>
      </c>
      <c r="D27" s="26">
        <v>3</v>
      </c>
      <c r="E27" s="26" t="s">
        <v>377</v>
      </c>
      <c r="F27" s="26" t="s">
        <v>503</v>
      </c>
      <c r="G27" s="26" t="s">
        <v>497</v>
      </c>
      <c r="H27" s="26" t="s">
        <v>380</v>
      </c>
      <c r="I27" s="26">
        <v>1</v>
      </c>
      <c r="J27" s="26">
        <v>3</v>
      </c>
      <c r="K27" s="70">
        <v>5</v>
      </c>
      <c r="L27" s="70">
        <v>4</v>
      </c>
      <c r="M27" s="70">
        <v>4</v>
      </c>
      <c r="N27" s="71"/>
      <c r="O27" s="70">
        <v>4</v>
      </c>
      <c r="P27" s="70">
        <v>5</v>
      </c>
      <c r="Q27" s="70">
        <v>4</v>
      </c>
      <c r="R27" s="70">
        <v>5</v>
      </c>
      <c r="S27" s="70">
        <v>4</v>
      </c>
      <c r="T27" s="70">
        <v>4</v>
      </c>
      <c r="U27" s="70">
        <v>4</v>
      </c>
      <c r="V27" s="70">
        <v>4</v>
      </c>
      <c r="W27" s="70">
        <v>5</v>
      </c>
      <c r="X27" s="70">
        <v>4</v>
      </c>
      <c r="Y27" s="72">
        <v>46237.657158669</v>
      </c>
      <c r="Z27" s="72">
        <v>46237.6583562153</v>
      </c>
      <c r="AA27" s="73">
        <v>103.5</v>
      </c>
      <c r="AB27" s="70" t="s">
        <v>266</v>
      </c>
      <c r="AC27" s="70" t="s">
        <v>266</v>
      </c>
      <c r="AD27" s="70" t="s">
        <v>266</v>
      </c>
      <c r="AE27" s="70" t="s">
        <v>386</v>
      </c>
      <c r="AF27" s="74">
        <v>13.13</v>
      </c>
      <c r="AG27" s="74">
        <v>0.779</v>
      </c>
      <c r="AH27" s="74">
        <v>0.894</v>
      </c>
      <c r="AI27" s="74">
        <v>0.99</v>
      </c>
      <c r="AJ27" s="74">
        <v>0.749</v>
      </c>
      <c r="AK27" s="75" t="s">
        <v>498</v>
      </c>
      <c r="AL27" s="75" t="s">
        <v>259</v>
      </c>
      <c r="AM27" s="76">
        <v>1</v>
      </c>
      <c r="AN27" s="76">
        <v>0</v>
      </c>
      <c r="AO27" s="77" t="s">
        <v>191</v>
      </c>
    </row>
    <row r="28" ht="24" customHeight="1" spans="1:41">
      <c r="A28" s="78" t="s">
        <v>400</v>
      </c>
      <c r="B28" s="79">
        <v>6</v>
      </c>
      <c r="C28" s="79" t="s">
        <v>401</v>
      </c>
      <c r="D28" s="79">
        <v>3</v>
      </c>
      <c r="E28" s="79" t="s">
        <v>377</v>
      </c>
      <c r="F28" s="79" t="s">
        <v>503</v>
      </c>
      <c r="G28" s="79" t="s">
        <v>499</v>
      </c>
      <c r="H28" s="79" t="s">
        <v>379</v>
      </c>
      <c r="I28" s="79">
        <v>2</v>
      </c>
      <c r="J28" s="79">
        <v>3</v>
      </c>
      <c r="K28" s="80">
        <v>5</v>
      </c>
      <c r="L28" s="80">
        <v>4</v>
      </c>
      <c r="M28" s="80">
        <v>6</v>
      </c>
      <c r="N28" s="81"/>
      <c r="O28" s="80">
        <v>3</v>
      </c>
      <c r="P28" s="80">
        <v>5</v>
      </c>
      <c r="Q28" s="80">
        <v>2</v>
      </c>
      <c r="R28" s="80">
        <v>5</v>
      </c>
      <c r="S28" s="80">
        <v>4</v>
      </c>
      <c r="T28" s="80">
        <v>5</v>
      </c>
      <c r="U28" s="80">
        <v>6</v>
      </c>
      <c r="V28" s="80">
        <v>3</v>
      </c>
      <c r="W28" s="80">
        <v>2</v>
      </c>
      <c r="X28" s="80">
        <v>5</v>
      </c>
      <c r="Y28" s="82">
        <v>46237.6594425116</v>
      </c>
      <c r="Z28" s="82">
        <v>46237.6608021875</v>
      </c>
      <c r="AA28" s="83">
        <v>117.5</v>
      </c>
      <c r="AB28" s="80" t="s">
        <v>266</v>
      </c>
      <c r="AC28" s="80" t="s">
        <v>266</v>
      </c>
      <c r="AD28" s="80" t="s">
        <v>266</v>
      </c>
      <c r="AE28" s="80" t="s">
        <v>386</v>
      </c>
      <c r="AF28" s="84">
        <v>13.01</v>
      </c>
      <c r="AG28" s="84">
        <v>0.793</v>
      </c>
      <c r="AH28" s="84">
        <v>0.852</v>
      </c>
      <c r="AI28" s="84">
        <v>0.991</v>
      </c>
      <c r="AJ28" s="84">
        <v>0.742</v>
      </c>
      <c r="AK28" s="85" t="s">
        <v>498</v>
      </c>
      <c r="AL28" s="85" t="s">
        <v>259</v>
      </c>
      <c r="AM28" s="86">
        <v>1</v>
      </c>
      <c r="AN28" s="86">
        <v>2</v>
      </c>
      <c r="AO28" s="85" t="s">
        <v>506</v>
      </c>
    </row>
    <row r="29" ht="24" customHeight="1" spans="1:41">
      <c r="A29" s="25" t="s">
        <v>405</v>
      </c>
      <c r="B29" s="26">
        <v>1</v>
      </c>
      <c r="C29" s="26" t="s">
        <v>406</v>
      </c>
      <c r="D29" s="26">
        <v>1</v>
      </c>
      <c r="E29" s="26" t="s">
        <v>375</v>
      </c>
      <c r="F29" s="26" t="s">
        <v>496</v>
      </c>
      <c r="G29" s="26" t="s">
        <v>497</v>
      </c>
      <c r="H29" s="26" t="s">
        <v>379</v>
      </c>
      <c r="I29" s="26">
        <v>1</v>
      </c>
      <c r="J29" s="26">
        <v>1</v>
      </c>
      <c r="K29" s="70">
        <v>7</v>
      </c>
      <c r="L29" s="70">
        <v>5</v>
      </c>
      <c r="M29" s="70">
        <v>4</v>
      </c>
      <c r="N29" s="71"/>
      <c r="O29" s="70">
        <v>5</v>
      </c>
      <c r="P29" s="70">
        <v>5</v>
      </c>
      <c r="Q29" s="70">
        <v>6</v>
      </c>
      <c r="R29" s="70">
        <v>5</v>
      </c>
      <c r="S29" s="70">
        <v>6</v>
      </c>
      <c r="T29" s="70">
        <v>5</v>
      </c>
      <c r="U29" s="70">
        <v>4</v>
      </c>
      <c r="V29" s="70">
        <v>5</v>
      </c>
      <c r="W29" s="70">
        <v>5</v>
      </c>
      <c r="X29" s="70">
        <v>6</v>
      </c>
      <c r="Y29" s="72">
        <v>46238.386381875</v>
      </c>
      <c r="Z29" s="72">
        <v>46238.3877209838</v>
      </c>
      <c r="AA29" s="73">
        <v>115.7</v>
      </c>
      <c r="AB29" s="70" t="s">
        <v>266</v>
      </c>
      <c r="AC29" s="70" t="s">
        <v>266</v>
      </c>
      <c r="AD29" s="70" t="s">
        <v>266</v>
      </c>
      <c r="AE29" s="70" t="s">
        <v>386</v>
      </c>
      <c r="AF29" s="74">
        <v>12.67</v>
      </c>
      <c r="AG29" s="74">
        <v>0.762</v>
      </c>
      <c r="AH29" s="74">
        <v>0.826</v>
      </c>
      <c r="AI29" s="74">
        <v>0.994</v>
      </c>
      <c r="AJ29" s="74">
        <v>0.767</v>
      </c>
      <c r="AK29" s="75" t="s">
        <v>498</v>
      </c>
      <c r="AL29" s="75" t="s">
        <v>259</v>
      </c>
      <c r="AM29" s="76">
        <v>1</v>
      </c>
      <c r="AN29" s="76">
        <v>4</v>
      </c>
      <c r="AO29" s="77" t="s">
        <v>191</v>
      </c>
    </row>
    <row r="30" ht="24" customHeight="1" spans="1:41">
      <c r="A30" s="25" t="s">
        <v>405</v>
      </c>
      <c r="B30" s="26">
        <v>2</v>
      </c>
      <c r="C30" s="26" t="s">
        <v>406</v>
      </c>
      <c r="D30" s="26">
        <v>1</v>
      </c>
      <c r="E30" s="26" t="s">
        <v>375</v>
      </c>
      <c r="F30" s="26" t="s">
        <v>496</v>
      </c>
      <c r="G30" s="26" t="s">
        <v>499</v>
      </c>
      <c r="H30" s="26" t="s">
        <v>380</v>
      </c>
      <c r="I30" s="26">
        <v>2</v>
      </c>
      <c r="J30" s="26">
        <v>1</v>
      </c>
      <c r="K30" s="70">
        <v>4</v>
      </c>
      <c r="L30" s="70">
        <v>5</v>
      </c>
      <c r="M30" s="70">
        <v>5</v>
      </c>
      <c r="N30" s="71"/>
      <c r="O30" s="70">
        <v>4</v>
      </c>
      <c r="P30" s="70">
        <v>6</v>
      </c>
      <c r="Q30" s="70">
        <v>3</v>
      </c>
      <c r="R30" s="70">
        <v>5</v>
      </c>
      <c r="S30" s="70">
        <v>4</v>
      </c>
      <c r="T30" s="70">
        <v>4</v>
      </c>
      <c r="U30" s="70">
        <v>6</v>
      </c>
      <c r="V30" s="70">
        <v>5</v>
      </c>
      <c r="W30" s="70">
        <v>4</v>
      </c>
      <c r="X30" s="70">
        <v>5</v>
      </c>
      <c r="Y30" s="72">
        <v>46238.3885533333</v>
      </c>
      <c r="Z30" s="72">
        <v>46238.3896777662</v>
      </c>
      <c r="AA30" s="73">
        <v>97.2</v>
      </c>
      <c r="AB30" s="70" t="s">
        <v>266</v>
      </c>
      <c r="AC30" s="70" t="s">
        <v>266</v>
      </c>
      <c r="AD30" s="70" t="s">
        <v>266</v>
      </c>
      <c r="AE30" s="70" t="s">
        <v>504</v>
      </c>
      <c r="AF30" s="74">
        <v>13.83</v>
      </c>
      <c r="AG30" s="74">
        <v>0.728</v>
      </c>
      <c r="AH30" s="74">
        <v>0.897</v>
      </c>
      <c r="AI30" s="74">
        <v>0.973</v>
      </c>
      <c r="AJ30" s="74">
        <v>0.81</v>
      </c>
      <c r="AK30" s="75" t="s">
        <v>498</v>
      </c>
      <c r="AL30" s="75" t="s">
        <v>259</v>
      </c>
      <c r="AM30" s="76">
        <v>1</v>
      </c>
      <c r="AN30" s="76">
        <v>0</v>
      </c>
      <c r="AO30" s="77" t="s">
        <v>505</v>
      </c>
    </row>
    <row r="31" ht="24" customHeight="1" spans="1:41">
      <c r="A31" s="25" t="s">
        <v>405</v>
      </c>
      <c r="B31" s="26">
        <v>3</v>
      </c>
      <c r="C31" s="26" t="s">
        <v>406</v>
      </c>
      <c r="D31" s="26">
        <v>2</v>
      </c>
      <c r="E31" s="26" t="s">
        <v>377</v>
      </c>
      <c r="F31" s="26" t="s">
        <v>503</v>
      </c>
      <c r="G31" s="26" t="s">
        <v>499</v>
      </c>
      <c r="H31" s="26" t="s">
        <v>380</v>
      </c>
      <c r="I31" s="26">
        <v>1</v>
      </c>
      <c r="J31" s="26">
        <v>2</v>
      </c>
      <c r="K31" s="70">
        <v>5</v>
      </c>
      <c r="L31" s="70">
        <v>5</v>
      </c>
      <c r="M31" s="70">
        <v>4</v>
      </c>
      <c r="N31" s="71"/>
      <c r="O31" s="70">
        <v>5</v>
      </c>
      <c r="P31" s="70">
        <v>5</v>
      </c>
      <c r="Q31" s="70">
        <v>4</v>
      </c>
      <c r="R31" s="70">
        <v>4</v>
      </c>
      <c r="S31" s="70">
        <v>5</v>
      </c>
      <c r="T31" s="70">
        <v>5</v>
      </c>
      <c r="U31" s="70">
        <v>6</v>
      </c>
      <c r="V31" s="70">
        <v>6</v>
      </c>
      <c r="W31" s="70">
        <v>5</v>
      </c>
      <c r="X31" s="70">
        <v>5</v>
      </c>
      <c r="Y31" s="72">
        <v>46238.39054375</v>
      </c>
      <c r="Z31" s="72">
        <v>46238.3917083102</v>
      </c>
      <c r="AA31" s="73">
        <v>100.6</v>
      </c>
      <c r="AB31" s="70" t="s">
        <v>266</v>
      </c>
      <c r="AC31" s="70" t="s">
        <v>266</v>
      </c>
      <c r="AD31" s="70" t="s">
        <v>266</v>
      </c>
      <c r="AE31" s="70" t="s">
        <v>386</v>
      </c>
      <c r="AF31" s="74">
        <v>12.23</v>
      </c>
      <c r="AG31" s="74">
        <v>0.79</v>
      </c>
      <c r="AH31" s="74">
        <v>0.897</v>
      </c>
      <c r="AI31" s="74">
        <v>0.995</v>
      </c>
      <c r="AJ31" s="74">
        <v>0.714</v>
      </c>
      <c r="AK31" s="75" t="s">
        <v>498</v>
      </c>
      <c r="AL31" s="75" t="s">
        <v>259</v>
      </c>
      <c r="AM31" s="76">
        <v>1</v>
      </c>
      <c r="AN31" s="76">
        <v>0</v>
      </c>
      <c r="AO31" s="77" t="s">
        <v>191</v>
      </c>
    </row>
    <row r="32" ht="24" customHeight="1" spans="1:41">
      <c r="A32" s="25" t="s">
        <v>405</v>
      </c>
      <c r="B32" s="26">
        <v>4</v>
      </c>
      <c r="C32" s="26" t="s">
        <v>406</v>
      </c>
      <c r="D32" s="26">
        <v>2</v>
      </c>
      <c r="E32" s="26" t="s">
        <v>377</v>
      </c>
      <c r="F32" s="26" t="s">
        <v>503</v>
      </c>
      <c r="G32" s="26" t="s">
        <v>497</v>
      </c>
      <c r="H32" s="26" t="s">
        <v>379</v>
      </c>
      <c r="I32" s="26">
        <v>2</v>
      </c>
      <c r="J32" s="26">
        <v>2</v>
      </c>
      <c r="K32" s="70">
        <v>6</v>
      </c>
      <c r="L32" s="70">
        <v>5</v>
      </c>
      <c r="M32" s="70">
        <v>6</v>
      </c>
      <c r="N32" s="71"/>
      <c r="O32" s="70">
        <v>5</v>
      </c>
      <c r="P32" s="70">
        <v>6</v>
      </c>
      <c r="Q32" s="70">
        <v>6</v>
      </c>
      <c r="R32" s="70">
        <v>7</v>
      </c>
      <c r="S32" s="70">
        <v>5</v>
      </c>
      <c r="T32" s="70">
        <v>6</v>
      </c>
      <c r="U32" s="70">
        <v>6</v>
      </c>
      <c r="V32" s="70">
        <v>5</v>
      </c>
      <c r="W32" s="70">
        <v>4</v>
      </c>
      <c r="X32" s="70">
        <v>5</v>
      </c>
      <c r="Y32" s="72">
        <v>46238.3926858218</v>
      </c>
      <c r="Z32" s="72">
        <v>46238.3935930671</v>
      </c>
      <c r="AA32" s="73">
        <v>78.4</v>
      </c>
      <c r="AB32" s="70" t="s">
        <v>266</v>
      </c>
      <c r="AC32" s="70" t="s">
        <v>266</v>
      </c>
      <c r="AD32" s="70" t="s">
        <v>266</v>
      </c>
      <c r="AE32" s="70" t="s">
        <v>386</v>
      </c>
      <c r="AF32" s="74">
        <v>12.25</v>
      </c>
      <c r="AG32" s="74">
        <v>0.828</v>
      </c>
      <c r="AH32" s="74">
        <v>0.844</v>
      </c>
      <c r="AI32" s="74">
        <v>0.997</v>
      </c>
      <c r="AJ32" s="74">
        <v>0.79</v>
      </c>
      <c r="AK32" s="75" t="s">
        <v>498</v>
      </c>
      <c r="AL32" s="75" t="s">
        <v>259</v>
      </c>
      <c r="AM32" s="76">
        <v>1</v>
      </c>
      <c r="AN32" s="76">
        <v>2</v>
      </c>
      <c r="AO32" s="77" t="s">
        <v>191</v>
      </c>
    </row>
    <row r="33" ht="24" customHeight="1" spans="1:41">
      <c r="A33" s="25" t="s">
        <v>405</v>
      </c>
      <c r="B33" s="26">
        <v>5</v>
      </c>
      <c r="C33" s="26" t="s">
        <v>406</v>
      </c>
      <c r="D33" s="26">
        <v>3</v>
      </c>
      <c r="E33" s="26" t="s">
        <v>376</v>
      </c>
      <c r="F33" s="26" t="s">
        <v>501</v>
      </c>
      <c r="G33" s="26" t="s">
        <v>497</v>
      </c>
      <c r="H33" s="26" t="s">
        <v>379</v>
      </c>
      <c r="I33" s="26">
        <v>1</v>
      </c>
      <c r="J33" s="26">
        <v>3</v>
      </c>
      <c r="K33" s="70">
        <v>6</v>
      </c>
      <c r="L33" s="70">
        <v>6</v>
      </c>
      <c r="M33" s="70">
        <v>6</v>
      </c>
      <c r="N33" s="71"/>
      <c r="O33" s="70">
        <v>5</v>
      </c>
      <c r="P33" s="70">
        <v>4</v>
      </c>
      <c r="Q33" s="70">
        <v>7</v>
      </c>
      <c r="R33" s="70">
        <v>7</v>
      </c>
      <c r="S33" s="70">
        <v>5</v>
      </c>
      <c r="T33" s="70">
        <v>7</v>
      </c>
      <c r="U33" s="70">
        <v>5</v>
      </c>
      <c r="V33" s="70">
        <v>6</v>
      </c>
      <c r="W33" s="70">
        <v>6</v>
      </c>
      <c r="X33" s="70">
        <v>4</v>
      </c>
      <c r="Y33" s="72">
        <v>46238.3945423032</v>
      </c>
      <c r="Z33" s="72">
        <v>46238.3955421875</v>
      </c>
      <c r="AA33" s="73">
        <v>86.4</v>
      </c>
      <c r="AB33" s="70" t="s">
        <v>266</v>
      </c>
      <c r="AC33" s="70" t="s">
        <v>266</v>
      </c>
      <c r="AD33" s="70" t="s">
        <v>266</v>
      </c>
      <c r="AE33" s="70" t="s">
        <v>386</v>
      </c>
      <c r="AF33" s="74">
        <v>12.75</v>
      </c>
      <c r="AG33" s="74">
        <v>0.825</v>
      </c>
      <c r="AH33" s="74">
        <v>0.92</v>
      </c>
      <c r="AI33" s="74">
        <v>0.997</v>
      </c>
      <c r="AJ33" s="74">
        <v>0.748</v>
      </c>
      <c r="AK33" s="75" t="s">
        <v>498</v>
      </c>
      <c r="AL33" s="75" t="s">
        <v>259</v>
      </c>
      <c r="AM33" s="76">
        <v>1</v>
      </c>
      <c r="AN33" s="76">
        <v>3</v>
      </c>
      <c r="AO33" s="77" t="s">
        <v>191</v>
      </c>
    </row>
    <row r="34" ht="24" customHeight="1" spans="1:41">
      <c r="A34" s="78" t="s">
        <v>405</v>
      </c>
      <c r="B34" s="79">
        <v>6</v>
      </c>
      <c r="C34" s="79" t="s">
        <v>406</v>
      </c>
      <c r="D34" s="79">
        <v>3</v>
      </c>
      <c r="E34" s="79" t="s">
        <v>376</v>
      </c>
      <c r="F34" s="79" t="s">
        <v>501</v>
      </c>
      <c r="G34" s="79" t="s">
        <v>499</v>
      </c>
      <c r="H34" s="79" t="s">
        <v>380</v>
      </c>
      <c r="I34" s="79">
        <v>2</v>
      </c>
      <c r="J34" s="79">
        <v>3</v>
      </c>
      <c r="K34" s="80">
        <v>4</v>
      </c>
      <c r="L34" s="80">
        <v>3</v>
      </c>
      <c r="M34" s="80">
        <v>5</v>
      </c>
      <c r="N34" s="81"/>
      <c r="O34" s="80">
        <v>6</v>
      </c>
      <c r="P34" s="80">
        <v>5</v>
      </c>
      <c r="Q34" s="80">
        <v>3</v>
      </c>
      <c r="R34" s="80">
        <v>4</v>
      </c>
      <c r="S34" s="80">
        <v>5</v>
      </c>
      <c r="T34" s="80">
        <v>5</v>
      </c>
      <c r="U34" s="80">
        <v>6</v>
      </c>
      <c r="V34" s="80">
        <v>6</v>
      </c>
      <c r="W34" s="80">
        <v>5</v>
      </c>
      <c r="X34" s="80">
        <v>5</v>
      </c>
      <c r="Y34" s="82">
        <v>46238.3965495833</v>
      </c>
      <c r="Z34" s="82">
        <v>46238.3975496181</v>
      </c>
      <c r="AA34" s="83">
        <v>86.4</v>
      </c>
      <c r="AB34" s="80" t="s">
        <v>266</v>
      </c>
      <c r="AC34" s="80" t="s">
        <v>266</v>
      </c>
      <c r="AD34" s="80" t="s">
        <v>266</v>
      </c>
      <c r="AE34" s="80" t="s">
        <v>386</v>
      </c>
      <c r="AF34" s="84">
        <v>12.86</v>
      </c>
      <c r="AG34" s="84">
        <v>0.8</v>
      </c>
      <c r="AH34" s="84">
        <v>0.916</v>
      </c>
      <c r="AI34" s="84">
        <v>0.991</v>
      </c>
      <c r="AJ34" s="84">
        <v>0.764</v>
      </c>
      <c r="AK34" s="85" t="s">
        <v>498</v>
      </c>
      <c r="AL34" s="85" t="s">
        <v>259</v>
      </c>
      <c r="AM34" s="86">
        <v>1</v>
      </c>
      <c r="AN34" s="86">
        <v>0</v>
      </c>
      <c r="AO34" s="85" t="s">
        <v>191</v>
      </c>
    </row>
    <row r="35" ht="24" customHeight="1" spans="1:41">
      <c r="A35" s="25" t="s">
        <v>409</v>
      </c>
      <c r="B35" s="26">
        <v>1</v>
      </c>
      <c r="C35" s="26" t="s">
        <v>410</v>
      </c>
      <c r="D35" s="26">
        <v>1</v>
      </c>
      <c r="E35" s="26" t="s">
        <v>375</v>
      </c>
      <c r="F35" s="26" t="s">
        <v>496</v>
      </c>
      <c r="G35" s="26" t="s">
        <v>499</v>
      </c>
      <c r="H35" s="26" t="s">
        <v>380</v>
      </c>
      <c r="I35" s="26">
        <v>1</v>
      </c>
      <c r="J35" s="26">
        <v>1</v>
      </c>
      <c r="K35" s="70">
        <v>5</v>
      </c>
      <c r="L35" s="70">
        <v>4</v>
      </c>
      <c r="M35" s="70">
        <v>5</v>
      </c>
      <c r="N35" s="71"/>
      <c r="O35" s="70">
        <v>6</v>
      </c>
      <c r="P35" s="70">
        <v>5</v>
      </c>
      <c r="Q35" s="70">
        <v>4</v>
      </c>
      <c r="R35" s="70">
        <v>5</v>
      </c>
      <c r="S35" s="70">
        <v>5</v>
      </c>
      <c r="T35" s="70">
        <v>5</v>
      </c>
      <c r="U35" s="70">
        <v>5</v>
      </c>
      <c r="V35" s="70">
        <v>6</v>
      </c>
      <c r="W35" s="70">
        <v>4</v>
      </c>
      <c r="X35" s="70">
        <v>4</v>
      </c>
      <c r="Y35" s="72">
        <v>46238.4544341667</v>
      </c>
      <c r="Z35" s="72">
        <v>46238.4555619676</v>
      </c>
      <c r="AA35" s="73">
        <v>97.4</v>
      </c>
      <c r="AB35" s="70" t="s">
        <v>266</v>
      </c>
      <c r="AC35" s="70" t="s">
        <v>266</v>
      </c>
      <c r="AD35" s="70" t="s">
        <v>266</v>
      </c>
      <c r="AE35" s="70" t="s">
        <v>386</v>
      </c>
      <c r="AF35" s="74">
        <v>13.05</v>
      </c>
      <c r="AG35" s="74">
        <v>0.765</v>
      </c>
      <c r="AH35" s="74">
        <v>0.86</v>
      </c>
      <c r="AI35" s="74">
        <v>0.989</v>
      </c>
      <c r="AJ35" s="74">
        <v>0.783</v>
      </c>
      <c r="AK35" s="75" t="s">
        <v>498</v>
      </c>
      <c r="AL35" s="75" t="s">
        <v>259</v>
      </c>
      <c r="AM35" s="76">
        <v>1</v>
      </c>
      <c r="AN35" s="76">
        <v>0</v>
      </c>
      <c r="AO35" s="77" t="s">
        <v>500</v>
      </c>
    </row>
    <row r="36" ht="24" customHeight="1" spans="1:41">
      <c r="A36" s="25" t="s">
        <v>409</v>
      </c>
      <c r="B36" s="26">
        <v>2</v>
      </c>
      <c r="C36" s="26" t="s">
        <v>410</v>
      </c>
      <c r="D36" s="26">
        <v>1</v>
      </c>
      <c r="E36" s="26" t="s">
        <v>375</v>
      </c>
      <c r="F36" s="26" t="s">
        <v>496</v>
      </c>
      <c r="G36" s="26" t="s">
        <v>497</v>
      </c>
      <c r="H36" s="26" t="s">
        <v>379</v>
      </c>
      <c r="I36" s="26">
        <v>2</v>
      </c>
      <c r="J36" s="26">
        <v>1</v>
      </c>
      <c r="K36" s="70">
        <v>4</v>
      </c>
      <c r="L36" s="70">
        <v>5</v>
      </c>
      <c r="M36" s="70">
        <v>3</v>
      </c>
      <c r="N36" s="71"/>
      <c r="O36" s="70">
        <v>4</v>
      </c>
      <c r="P36" s="70">
        <v>5</v>
      </c>
      <c r="Q36" s="70">
        <v>5</v>
      </c>
      <c r="R36" s="70">
        <v>5</v>
      </c>
      <c r="S36" s="70">
        <v>5</v>
      </c>
      <c r="T36" s="70">
        <v>5</v>
      </c>
      <c r="U36" s="70">
        <v>5</v>
      </c>
      <c r="V36" s="70">
        <v>5</v>
      </c>
      <c r="W36" s="70">
        <v>5</v>
      </c>
      <c r="X36" s="70">
        <v>4</v>
      </c>
      <c r="Y36" s="72">
        <v>46238.4565874884</v>
      </c>
      <c r="Z36" s="72">
        <v>46238.4578062153</v>
      </c>
      <c r="AA36" s="73">
        <v>105.3</v>
      </c>
      <c r="AB36" s="70" t="s">
        <v>266</v>
      </c>
      <c r="AC36" s="70" t="s">
        <v>266</v>
      </c>
      <c r="AD36" s="70" t="s">
        <v>266</v>
      </c>
      <c r="AE36" s="70" t="s">
        <v>386</v>
      </c>
      <c r="AF36" s="74">
        <v>13.26</v>
      </c>
      <c r="AG36" s="74">
        <v>0.803</v>
      </c>
      <c r="AH36" s="74">
        <v>0.882</v>
      </c>
      <c r="AI36" s="74">
        <v>0.995</v>
      </c>
      <c r="AJ36" s="74">
        <v>0.812</v>
      </c>
      <c r="AK36" s="75" t="s">
        <v>498</v>
      </c>
      <c r="AL36" s="75" t="s">
        <v>259</v>
      </c>
      <c r="AM36" s="76">
        <v>1</v>
      </c>
      <c r="AN36" s="76">
        <v>2</v>
      </c>
      <c r="AO36" s="77" t="s">
        <v>506</v>
      </c>
    </row>
    <row r="37" ht="24" customHeight="1" spans="1:41">
      <c r="A37" s="25" t="s">
        <v>409</v>
      </c>
      <c r="B37" s="26">
        <v>3</v>
      </c>
      <c r="C37" s="26" t="s">
        <v>410</v>
      </c>
      <c r="D37" s="26">
        <v>2</v>
      </c>
      <c r="E37" s="26" t="s">
        <v>377</v>
      </c>
      <c r="F37" s="26" t="s">
        <v>503</v>
      </c>
      <c r="G37" s="26" t="s">
        <v>497</v>
      </c>
      <c r="H37" s="26" t="s">
        <v>379</v>
      </c>
      <c r="I37" s="26">
        <v>1</v>
      </c>
      <c r="J37" s="26">
        <v>2</v>
      </c>
      <c r="K37" s="70">
        <v>4</v>
      </c>
      <c r="L37" s="70">
        <v>5</v>
      </c>
      <c r="M37" s="70">
        <v>5</v>
      </c>
      <c r="N37" s="71"/>
      <c r="O37" s="70">
        <v>4</v>
      </c>
      <c r="P37" s="70">
        <v>5</v>
      </c>
      <c r="Q37" s="70">
        <v>6</v>
      </c>
      <c r="R37" s="70">
        <v>5</v>
      </c>
      <c r="S37" s="70">
        <v>5</v>
      </c>
      <c r="T37" s="70">
        <v>5</v>
      </c>
      <c r="U37" s="70">
        <v>5</v>
      </c>
      <c r="V37" s="70">
        <v>4</v>
      </c>
      <c r="W37" s="70">
        <v>5</v>
      </c>
      <c r="X37" s="70">
        <v>6</v>
      </c>
      <c r="Y37" s="72">
        <v>46238.4586646759</v>
      </c>
      <c r="Z37" s="72">
        <v>46238.4597959722</v>
      </c>
      <c r="AA37" s="73">
        <v>97.7</v>
      </c>
      <c r="AB37" s="70" t="s">
        <v>266</v>
      </c>
      <c r="AC37" s="70" t="s">
        <v>266</v>
      </c>
      <c r="AD37" s="70" t="s">
        <v>266</v>
      </c>
      <c r="AE37" s="70" t="s">
        <v>386</v>
      </c>
      <c r="AF37" s="74">
        <v>12.72</v>
      </c>
      <c r="AG37" s="74">
        <v>0.749</v>
      </c>
      <c r="AH37" s="74">
        <v>0.863</v>
      </c>
      <c r="AI37" s="74">
        <v>0.988</v>
      </c>
      <c r="AJ37" s="74">
        <v>0.784</v>
      </c>
      <c r="AK37" s="75" t="s">
        <v>498</v>
      </c>
      <c r="AL37" s="75" t="s">
        <v>259</v>
      </c>
      <c r="AM37" s="76">
        <v>1</v>
      </c>
      <c r="AN37" s="76">
        <v>4</v>
      </c>
      <c r="AO37" s="77" t="s">
        <v>506</v>
      </c>
    </row>
    <row r="38" ht="24" customHeight="1" spans="1:41">
      <c r="A38" s="25" t="s">
        <v>409</v>
      </c>
      <c r="B38" s="26">
        <v>4</v>
      </c>
      <c r="C38" s="26" t="s">
        <v>410</v>
      </c>
      <c r="D38" s="26">
        <v>2</v>
      </c>
      <c r="E38" s="26" t="s">
        <v>377</v>
      </c>
      <c r="F38" s="26" t="s">
        <v>503</v>
      </c>
      <c r="G38" s="26" t="s">
        <v>499</v>
      </c>
      <c r="H38" s="26" t="s">
        <v>380</v>
      </c>
      <c r="I38" s="26">
        <v>2</v>
      </c>
      <c r="J38" s="26">
        <v>2</v>
      </c>
      <c r="K38" s="70">
        <v>3</v>
      </c>
      <c r="L38" s="70">
        <v>4</v>
      </c>
      <c r="M38" s="70">
        <v>4</v>
      </c>
      <c r="N38" s="71"/>
      <c r="O38" s="70">
        <v>4</v>
      </c>
      <c r="P38" s="70">
        <v>4</v>
      </c>
      <c r="Q38" s="70">
        <v>3</v>
      </c>
      <c r="R38" s="70">
        <v>6</v>
      </c>
      <c r="S38" s="70">
        <v>5</v>
      </c>
      <c r="T38" s="70">
        <v>5</v>
      </c>
      <c r="U38" s="70">
        <v>5</v>
      </c>
      <c r="V38" s="70">
        <v>5</v>
      </c>
      <c r="W38" s="70">
        <v>4</v>
      </c>
      <c r="X38" s="70">
        <v>5</v>
      </c>
      <c r="Y38" s="72">
        <v>46238.460618669</v>
      </c>
      <c r="Z38" s="72">
        <v>46238.4615914236</v>
      </c>
      <c r="AA38" s="73">
        <v>84</v>
      </c>
      <c r="AB38" s="70" t="s">
        <v>266</v>
      </c>
      <c r="AC38" s="70" t="s">
        <v>266</v>
      </c>
      <c r="AD38" s="70" t="s">
        <v>266</v>
      </c>
      <c r="AE38" s="70" t="s">
        <v>386</v>
      </c>
      <c r="AF38" s="74">
        <v>13.36</v>
      </c>
      <c r="AG38" s="74">
        <v>0.771</v>
      </c>
      <c r="AH38" s="74">
        <v>0.861</v>
      </c>
      <c r="AI38" s="74">
        <v>0.988</v>
      </c>
      <c r="AJ38" s="74">
        <v>0.764</v>
      </c>
      <c r="AK38" s="75" t="s">
        <v>498</v>
      </c>
      <c r="AL38" s="75" t="s">
        <v>259</v>
      </c>
      <c r="AM38" s="76">
        <v>0</v>
      </c>
      <c r="AN38" s="76">
        <v>0</v>
      </c>
      <c r="AO38" s="77" t="s">
        <v>191</v>
      </c>
    </row>
    <row r="39" ht="24" customHeight="1" spans="1:41">
      <c r="A39" s="25" t="s">
        <v>409</v>
      </c>
      <c r="B39" s="26">
        <v>5</v>
      </c>
      <c r="C39" s="26" t="s">
        <v>410</v>
      </c>
      <c r="D39" s="26">
        <v>3</v>
      </c>
      <c r="E39" s="26" t="s">
        <v>376</v>
      </c>
      <c r="F39" s="26" t="s">
        <v>501</v>
      </c>
      <c r="G39" s="26" t="s">
        <v>499</v>
      </c>
      <c r="H39" s="26" t="s">
        <v>380</v>
      </c>
      <c r="I39" s="26">
        <v>1</v>
      </c>
      <c r="J39" s="26">
        <v>3</v>
      </c>
      <c r="K39" s="70">
        <v>3</v>
      </c>
      <c r="L39" s="70">
        <v>4</v>
      </c>
      <c r="M39" s="70">
        <v>5</v>
      </c>
      <c r="N39" s="71"/>
      <c r="O39" s="70">
        <v>6</v>
      </c>
      <c r="P39" s="70">
        <v>4</v>
      </c>
      <c r="Q39" s="70">
        <v>3</v>
      </c>
      <c r="R39" s="70">
        <v>5</v>
      </c>
      <c r="S39" s="70">
        <v>4</v>
      </c>
      <c r="T39" s="70">
        <v>4</v>
      </c>
      <c r="U39" s="70">
        <v>5</v>
      </c>
      <c r="V39" s="70">
        <v>4</v>
      </c>
      <c r="W39" s="70">
        <v>5</v>
      </c>
      <c r="X39" s="70">
        <v>5</v>
      </c>
      <c r="Y39" s="72">
        <v>46238.4624630093</v>
      </c>
      <c r="Z39" s="72">
        <v>46238.4632190625</v>
      </c>
      <c r="AA39" s="73">
        <v>65.3</v>
      </c>
      <c r="AB39" s="70" t="s">
        <v>266</v>
      </c>
      <c r="AC39" s="70" t="s">
        <v>266</v>
      </c>
      <c r="AD39" s="70" t="s">
        <v>266</v>
      </c>
      <c r="AE39" s="70" t="s">
        <v>386</v>
      </c>
      <c r="AF39" s="74">
        <v>12.81</v>
      </c>
      <c r="AG39" s="74">
        <v>0.763</v>
      </c>
      <c r="AH39" s="74">
        <v>0.943</v>
      </c>
      <c r="AI39" s="74">
        <v>0.99</v>
      </c>
      <c r="AJ39" s="74">
        <v>0.752</v>
      </c>
      <c r="AK39" s="75" t="s">
        <v>498</v>
      </c>
      <c r="AL39" s="75" t="s">
        <v>259</v>
      </c>
      <c r="AM39" s="76">
        <v>1</v>
      </c>
      <c r="AN39" s="76">
        <v>0</v>
      </c>
      <c r="AO39" s="77" t="s">
        <v>191</v>
      </c>
    </row>
    <row r="40" ht="24" customHeight="1" spans="1:41">
      <c r="A40" s="78" t="s">
        <v>409</v>
      </c>
      <c r="B40" s="79">
        <v>6</v>
      </c>
      <c r="C40" s="79" t="s">
        <v>410</v>
      </c>
      <c r="D40" s="79">
        <v>3</v>
      </c>
      <c r="E40" s="79" t="s">
        <v>376</v>
      </c>
      <c r="F40" s="79" t="s">
        <v>501</v>
      </c>
      <c r="G40" s="79" t="s">
        <v>497</v>
      </c>
      <c r="H40" s="79" t="s">
        <v>379</v>
      </c>
      <c r="I40" s="79">
        <v>2</v>
      </c>
      <c r="J40" s="79">
        <v>3</v>
      </c>
      <c r="K40" s="80">
        <v>5</v>
      </c>
      <c r="L40" s="80">
        <v>4</v>
      </c>
      <c r="M40" s="80">
        <v>5</v>
      </c>
      <c r="N40" s="81"/>
      <c r="O40" s="80">
        <v>5</v>
      </c>
      <c r="P40" s="80">
        <v>5</v>
      </c>
      <c r="Q40" s="80">
        <v>5</v>
      </c>
      <c r="R40" s="80">
        <v>6</v>
      </c>
      <c r="S40" s="80">
        <v>5</v>
      </c>
      <c r="T40" s="80">
        <v>6</v>
      </c>
      <c r="U40" s="80">
        <v>5</v>
      </c>
      <c r="V40" s="80">
        <v>5</v>
      </c>
      <c r="W40" s="80">
        <v>5</v>
      </c>
      <c r="X40" s="80">
        <v>5</v>
      </c>
      <c r="Y40" s="82">
        <v>46238.464173206</v>
      </c>
      <c r="Z40" s="82">
        <v>46238.4655094676</v>
      </c>
      <c r="AA40" s="83">
        <v>115.5</v>
      </c>
      <c r="AB40" s="80" t="s">
        <v>266</v>
      </c>
      <c r="AC40" s="80" t="s">
        <v>266</v>
      </c>
      <c r="AD40" s="80" t="s">
        <v>266</v>
      </c>
      <c r="AE40" s="80" t="s">
        <v>386</v>
      </c>
      <c r="AF40" s="84">
        <v>12.41</v>
      </c>
      <c r="AG40" s="84">
        <v>0.792</v>
      </c>
      <c r="AH40" s="84">
        <v>0.896</v>
      </c>
      <c r="AI40" s="84">
        <v>0.991</v>
      </c>
      <c r="AJ40" s="84">
        <v>0.752</v>
      </c>
      <c r="AK40" s="85" t="s">
        <v>498</v>
      </c>
      <c r="AL40" s="85" t="s">
        <v>259</v>
      </c>
      <c r="AM40" s="86">
        <v>1</v>
      </c>
      <c r="AN40" s="86">
        <v>2</v>
      </c>
      <c r="AO40" s="85" t="s">
        <v>191</v>
      </c>
    </row>
    <row r="41" ht="24" customHeight="1" spans="1:41">
      <c r="A41" s="25" t="s">
        <v>412</v>
      </c>
      <c r="B41" s="26">
        <v>1</v>
      </c>
      <c r="C41" s="26" t="s">
        <v>413</v>
      </c>
      <c r="D41" s="26">
        <v>1</v>
      </c>
      <c r="E41" s="26" t="s">
        <v>375</v>
      </c>
      <c r="F41" s="26" t="s">
        <v>496</v>
      </c>
      <c r="G41" s="26" t="s">
        <v>499</v>
      </c>
      <c r="H41" s="26" t="s">
        <v>379</v>
      </c>
      <c r="I41" s="26">
        <v>1</v>
      </c>
      <c r="J41" s="26">
        <v>1</v>
      </c>
      <c r="K41" s="70">
        <v>5</v>
      </c>
      <c r="L41" s="70">
        <v>6</v>
      </c>
      <c r="M41" s="70">
        <v>5</v>
      </c>
      <c r="N41" s="71"/>
      <c r="O41" s="70">
        <v>6</v>
      </c>
      <c r="P41" s="70">
        <v>6</v>
      </c>
      <c r="Q41" s="70">
        <v>5</v>
      </c>
      <c r="R41" s="70">
        <v>6</v>
      </c>
      <c r="S41" s="70">
        <v>5</v>
      </c>
      <c r="T41" s="70">
        <v>5</v>
      </c>
      <c r="U41" s="70">
        <v>6</v>
      </c>
      <c r="V41" s="70">
        <v>6</v>
      </c>
      <c r="W41" s="70">
        <v>3</v>
      </c>
      <c r="X41" s="70">
        <v>5</v>
      </c>
      <c r="Y41" s="72">
        <v>46238.570409919</v>
      </c>
      <c r="Z41" s="72">
        <v>46238.5717632755</v>
      </c>
      <c r="AA41" s="73">
        <v>116.9</v>
      </c>
      <c r="AB41" s="70" t="s">
        <v>266</v>
      </c>
      <c r="AC41" s="70" t="s">
        <v>266</v>
      </c>
      <c r="AD41" s="70" t="s">
        <v>266</v>
      </c>
      <c r="AE41" s="70" t="s">
        <v>386</v>
      </c>
      <c r="AF41" s="74">
        <v>12.44</v>
      </c>
      <c r="AG41" s="74">
        <v>0.774</v>
      </c>
      <c r="AH41" s="74">
        <v>0.894</v>
      </c>
      <c r="AI41" s="74">
        <v>0.997</v>
      </c>
      <c r="AJ41" s="74">
        <v>0.762</v>
      </c>
      <c r="AK41" s="75" t="s">
        <v>498</v>
      </c>
      <c r="AL41" s="75" t="s">
        <v>259</v>
      </c>
      <c r="AM41" s="76">
        <v>1</v>
      </c>
      <c r="AN41" s="76">
        <v>2</v>
      </c>
      <c r="AO41" s="77" t="s">
        <v>191</v>
      </c>
    </row>
    <row r="42" ht="24" customHeight="1" spans="1:41">
      <c r="A42" s="25" t="s">
        <v>412</v>
      </c>
      <c r="B42" s="26">
        <v>2</v>
      </c>
      <c r="C42" s="26" t="s">
        <v>413</v>
      </c>
      <c r="D42" s="26">
        <v>1</v>
      </c>
      <c r="E42" s="26" t="s">
        <v>375</v>
      </c>
      <c r="F42" s="26" t="s">
        <v>496</v>
      </c>
      <c r="G42" s="26" t="s">
        <v>497</v>
      </c>
      <c r="H42" s="26" t="s">
        <v>380</v>
      </c>
      <c r="I42" s="26">
        <v>2</v>
      </c>
      <c r="J42" s="26">
        <v>1</v>
      </c>
      <c r="K42" s="70">
        <v>5</v>
      </c>
      <c r="L42" s="70">
        <v>5</v>
      </c>
      <c r="M42" s="70">
        <v>5</v>
      </c>
      <c r="N42" s="71"/>
      <c r="O42" s="70">
        <v>4</v>
      </c>
      <c r="P42" s="70">
        <v>5</v>
      </c>
      <c r="Q42" s="70">
        <v>4</v>
      </c>
      <c r="R42" s="70">
        <v>4</v>
      </c>
      <c r="S42" s="70">
        <v>5</v>
      </c>
      <c r="T42" s="70">
        <v>5</v>
      </c>
      <c r="U42" s="70">
        <v>7</v>
      </c>
      <c r="V42" s="70">
        <v>6</v>
      </c>
      <c r="W42" s="70">
        <v>4</v>
      </c>
      <c r="X42" s="70">
        <v>5</v>
      </c>
      <c r="Y42" s="72">
        <v>46238.572588588</v>
      </c>
      <c r="Z42" s="72">
        <v>46238.5736181944</v>
      </c>
      <c r="AA42" s="73">
        <v>89</v>
      </c>
      <c r="AB42" s="70" t="s">
        <v>266</v>
      </c>
      <c r="AC42" s="70" t="s">
        <v>266</v>
      </c>
      <c r="AD42" s="70" t="s">
        <v>266</v>
      </c>
      <c r="AE42" s="70" t="s">
        <v>386</v>
      </c>
      <c r="AF42" s="74">
        <v>13.37</v>
      </c>
      <c r="AG42" s="74">
        <v>0.808</v>
      </c>
      <c r="AH42" s="74">
        <v>0.886</v>
      </c>
      <c r="AI42" s="74">
        <v>0.986</v>
      </c>
      <c r="AJ42" s="74">
        <v>0.795</v>
      </c>
      <c r="AK42" s="75" t="s">
        <v>498</v>
      </c>
      <c r="AL42" s="75" t="s">
        <v>259</v>
      </c>
      <c r="AM42" s="76">
        <v>1</v>
      </c>
      <c r="AN42" s="76">
        <v>0</v>
      </c>
      <c r="AO42" s="77" t="s">
        <v>500</v>
      </c>
    </row>
    <row r="43" ht="24" customHeight="1" spans="1:41">
      <c r="A43" s="25" t="s">
        <v>412</v>
      </c>
      <c r="B43" s="26">
        <v>3</v>
      </c>
      <c r="C43" s="26" t="s">
        <v>413</v>
      </c>
      <c r="D43" s="26">
        <v>2</v>
      </c>
      <c r="E43" s="26" t="s">
        <v>377</v>
      </c>
      <c r="F43" s="26" t="s">
        <v>503</v>
      </c>
      <c r="G43" s="26" t="s">
        <v>497</v>
      </c>
      <c r="H43" s="26" t="s">
        <v>380</v>
      </c>
      <c r="I43" s="26">
        <v>1</v>
      </c>
      <c r="J43" s="26">
        <v>2</v>
      </c>
      <c r="K43" s="70">
        <v>5</v>
      </c>
      <c r="L43" s="70">
        <v>5</v>
      </c>
      <c r="M43" s="70">
        <v>6</v>
      </c>
      <c r="N43" s="71"/>
      <c r="O43" s="70">
        <v>6</v>
      </c>
      <c r="P43" s="70">
        <v>5</v>
      </c>
      <c r="Q43" s="70">
        <v>4</v>
      </c>
      <c r="R43" s="70">
        <v>4</v>
      </c>
      <c r="S43" s="70">
        <v>4</v>
      </c>
      <c r="T43" s="70">
        <v>4</v>
      </c>
      <c r="U43" s="70">
        <v>5</v>
      </c>
      <c r="V43" s="70">
        <v>6</v>
      </c>
      <c r="W43" s="70">
        <v>3</v>
      </c>
      <c r="X43" s="70">
        <v>4</v>
      </c>
      <c r="Y43" s="72">
        <v>46238.5744041435</v>
      </c>
      <c r="Z43" s="72">
        <v>46238.575327419</v>
      </c>
      <c r="AA43" s="73">
        <v>79.8</v>
      </c>
      <c r="AB43" s="70" t="s">
        <v>266</v>
      </c>
      <c r="AC43" s="70" t="s">
        <v>266</v>
      </c>
      <c r="AD43" s="70" t="s">
        <v>266</v>
      </c>
      <c r="AE43" s="70" t="s">
        <v>386</v>
      </c>
      <c r="AF43" s="74">
        <v>12.63</v>
      </c>
      <c r="AG43" s="74">
        <v>0.812</v>
      </c>
      <c r="AH43" s="74">
        <v>0.859</v>
      </c>
      <c r="AI43" s="74">
        <v>0.99</v>
      </c>
      <c r="AJ43" s="74">
        <v>0.765</v>
      </c>
      <c r="AK43" s="75" t="s">
        <v>498</v>
      </c>
      <c r="AL43" s="75" t="s">
        <v>259</v>
      </c>
      <c r="AM43" s="76">
        <v>2</v>
      </c>
      <c r="AN43" s="76">
        <v>0</v>
      </c>
      <c r="AO43" s="77" t="s">
        <v>191</v>
      </c>
    </row>
    <row r="44" ht="24" customHeight="1" spans="1:41">
      <c r="A44" s="25" t="s">
        <v>412</v>
      </c>
      <c r="B44" s="26">
        <v>4</v>
      </c>
      <c r="C44" s="26" t="s">
        <v>413</v>
      </c>
      <c r="D44" s="26">
        <v>2</v>
      </c>
      <c r="E44" s="26" t="s">
        <v>377</v>
      </c>
      <c r="F44" s="26" t="s">
        <v>503</v>
      </c>
      <c r="G44" s="26" t="s">
        <v>499</v>
      </c>
      <c r="H44" s="26" t="s">
        <v>379</v>
      </c>
      <c r="I44" s="26">
        <v>2</v>
      </c>
      <c r="J44" s="26">
        <v>2</v>
      </c>
      <c r="K44" s="70">
        <v>5</v>
      </c>
      <c r="L44" s="70">
        <v>5</v>
      </c>
      <c r="M44" s="70">
        <v>5</v>
      </c>
      <c r="N44" s="71"/>
      <c r="O44" s="70">
        <v>6</v>
      </c>
      <c r="P44" s="70">
        <v>5</v>
      </c>
      <c r="Q44" s="70">
        <v>5</v>
      </c>
      <c r="R44" s="70">
        <v>4</v>
      </c>
      <c r="S44" s="70">
        <v>5</v>
      </c>
      <c r="T44" s="70">
        <v>5</v>
      </c>
      <c r="U44" s="70">
        <v>5</v>
      </c>
      <c r="V44" s="70">
        <v>5</v>
      </c>
      <c r="W44" s="70">
        <v>5</v>
      </c>
      <c r="X44" s="70">
        <v>5</v>
      </c>
      <c r="Y44" s="72">
        <v>46238.5761921643</v>
      </c>
      <c r="Z44" s="72">
        <v>46238.5771536921</v>
      </c>
      <c r="AA44" s="73">
        <v>83.1</v>
      </c>
      <c r="AB44" s="70" t="s">
        <v>266</v>
      </c>
      <c r="AC44" s="70" t="s">
        <v>266</v>
      </c>
      <c r="AD44" s="70" t="s">
        <v>266</v>
      </c>
      <c r="AE44" s="70" t="s">
        <v>386</v>
      </c>
      <c r="AF44" s="74">
        <v>13.13</v>
      </c>
      <c r="AG44" s="74">
        <v>0.755</v>
      </c>
      <c r="AH44" s="74">
        <v>0.868</v>
      </c>
      <c r="AI44" s="74">
        <v>0.987</v>
      </c>
      <c r="AJ44" s="74">
        <v>0.791</v>
      </c>
      <c r="AK44" s="75" t="s">
        <v>498</v>
      </c>
      <c r="AL44" s="75" t="s">
        <v>259</v>
      </c>
      <c r="AM44" s="76">
        <v>0</v>
      </c>
      <c r="AN44" s="76">
        <v>2</v>
      </c>
      <c r="AO44" s="77" t="s">
        <v>191</v>
      </c>
    </row>
    <row r="45" ht="24" customHeight="1" spans="1:41">
      <c r="A45" s="25" t="s">
        <v>412</v>
      </c>
      <c r="B45" s="26">
        <v>5</v>
      </c>
      <c r="C45" s="26" t="s">
        <v>413</v>
      </c>
      <c r="D45" s="26">
        <v>3</v>
      </c>
      <c r="E45" s="26" t="s">
        <v>376</v>
      </c>
      <c r="F45" s="26" t="s">
        <v>501</v>
      </c>
      <c r="G45" s="26" t="s">
        <v>499</v>
      </c>
      <c r="H45" s="26" t="s">
        <v>379</v>
      </c>
      <c r="I45" s="26">
        <v>1</v>
      </c>
      <c r="J45" s="26">
        <v>3</v>
      </c>
      <c r="K45" s="70">
        <v>5</v>
      </c>
      <c r="L45" s="70">
        <v>5</v>
      </c>
      <c r="M45" s="70">
        <v>6</v>
      </c>
      <c r="N45" s="71"/>
      <c r="O45" s="70">
        <v>5</v>
      </c>
      <c r="P45" s="70">
        <v>5</v>
      </c>
      <c r="Q45" s="70">
        <v>7</v>
      </c>
      <c r="R45" s="70">
        <v>5</v>
      </c>
      <c r="S45" s="70">
        <v>6</v>
      </c>
      <c r="T45" s="70">
        <v>5</v>
      </c>
      <c r="U45" s="70">
        <v>5</v>
      </c>
      <c r="V45" s="70">
        <v>5</v>
      </c>
      <c r="W45" s="70">
        <v>6</v>
      </c>
      <c r="X45" s="70">
        <v>6</v>
      </c>
      <c r="Y45" s="72">
        <v>46238.5780245833</v>
      </c>
      <c r="Z45" s="72">
        <v>46238.5791645023</v>
      </c>
      <c r="AA45" s="73">
        <v>98.5</v>
      </c>
      <c r="AB45" s="70" t="s">
        <v>266</v>
      </c>
      <c r="AC45" s="70" t="s">
        <v>266</v>
      </c>
      <c r="AD45" s="70" t="s">
        <v>266</v>
      </c>
      <c r="AE45" s="70" t="s">
        <v>386</v>
      </c>
      <c r="AF45" s="74">
        <v>13</v>
      </c>
      <c r="AG45" s="74">
        <v>0.823</v>
      </c>
      <c r="AH45" s="74">
        <v>0.933</v>
      </c>
      <c r="AI45" s="74">
        <v>0.989</v>
      </c>
      <c r="AJ45" s="74">
        <v>0.731</v>
      </c>
      <c r="AK45" s="75" t="s">
        <v>498</v>
      </c>
      <c r="AL45" s="75" t="s">
        <v>259</v>
      </c>
      <c r="AM45" s="76">
        <v>1</v>
      </c>
      <c r="AN45" s="76">
        <v>3</v>
      </c>
      <c r="AO45" s="77" t="s">
        <v>191</v>
      </c>
    </row>
    <row r="46" ht="24" customHeight="1" spans="1:41">
      <c r="A46" s="78" t="s">
        <v>412</v>
      </c>
      <c r="B46" s="79">
        <v>6</v>
      </c>
      <c r="C46" s="79" t="s">
        <v>413</v>
      </c>
      <c r="D46" s="79">
        <v>3</v>
      </c>
      <c r="E46" s="79" t="s">
        <v>376</v>
      </c>
      <c r="F46" s="79" t="s">
        <v>501</v>
      </c>
      <c r="G46" s="79" t="s">
        <v>497</v>
      </c>
      <c r="H46" s="79" t="s">
        <v>380</v>
      </c>
      <c r="I46" s="79">
        <v>2</v>
      </c>
      <c r="J46" s="79">
        <v>3</v>
      </c>
      <c r="K46" s="80">
        <v>3</v>
      </c>
      <c r="L46" s="80">
        <v>5</v>
      </c>
      <c r="M46" s="80">
        <v>5</v>
      </c>
      <c r="N46" s="81"/>
      <c r="O46" s="80">
        <v>6</v>
      </c>
      <c r="P46" s="80">
        <v>4</v>
      </c>
      <c r="Q46" s="80">
        <v>5</v>
      </c>
      <c r="R46" s="80">
        <v>4</v>
      </c>
      <c r="S46" s="80">
        <v>5</v>
      </c>
      <c r="T46" s="80">
        <v>5</v>
      </c>
      <c r="U46" s="80">
        <v>6</v>
      </c>
      <c r="V46" s="80">
        <v>5</v>
      </c>
      <c r="W46" s="80">
        <v>4</v>
      </c>
      <c r="X46" s="80">
        <v>5</v>
      </c>
      <c r="Y46" s="82">
        <v>46238.5802659838</v>
      </c>
      <c r="Z46" s="82">
        <v>46238.5817804051</v>
      </c>
      <c r="AA46" s="83">
        <v>130.8</v>
      </c>
      <c r="AB46" s="80" t="s">
        <v>266</v>
      </c>
      <c r="AC46" s="80" t="s">
        <v>266</v>
      </c>
      <c r="AD46" s="80" t="s">
        <v>266</v>
      </c>
      <c r="AE46" s="80" t="s">
        <v>386</v>
      </c>
      <c r="AF46" s="84">
        <v>13.06</v>
      </c>
      <c r="AG46" s="84">
        <v>0.846</v>
      </c>
      <c r="AH46" s="84">
        <v>0.918</v>
      </c>
      <c r="AI46" s="84">
        <v>0.988</v>
      </c>
      <c r="AJ46" s="84">
        <v>0.763</v>
      </c>
      <c r="AK46" s="85" t="s">
        <v>498</v>
      </c>
      <c r="AL46" s="85" t="s">
        <v>259</v>
      </c>
      <c r="AM46" s="86">
        <v>1</v>
      </c>
      <c r="AN46" s="86">
        <v>0</v>
      </c>
      <c r="AO46" s="85" t="s">
        <v>191</v>
      </c>
    </row>
    <row r="47" ht="24" customHeight="1" spans="1:41">
      <c r="A47" s="25" t="s">
        <v>417</v>
      </c>
      <c r="B47" s="26">
        <v>1</v>
      </c>
      <c r="C47" s="26" t="s">
        <v>418</v>
      </c>
      <c r="D47" s="26">
        <v>1</v>
      </c>
      <c r="E47" s="26" t="s">
        <v>375</v>
      </c>
      <c r="F47" s="26" t="s">
        <v>496</v>
      </c>
      <c r="G47" s="26" t="s">
        <v>497</v>
      </c>
      <c r="H47" s="26" t="s">
        <v>380</v>
      </c>
      <c r="I47" s="26">
        <v>1</v>
      </c>
      <c r="J47" s="26">
        <v>1</v>
      </c>
      <c r="K47" s="70">
        <v>4</v>
      </c>
      <c r="L47" s="70">
        <v>4</v>
      </c>
      <c r="M47" s="70">
        <v>5</v>
      </c>
      <c r="N47" s="71"/>
      <c r="O47" s="70">
        <v>6</v>
      </c>
      <c r="P47" s="70">
        <v>4</v>
      </c>
      <c r="Q47" s="70">
        <v>5</v>
      </c>
      <c r="R47" s="70">
        <v>5</v>
      </c>
      <c r="S47" s="70">
        <v>6</v>
      </c>
      <c r="T47" s="70">
        <v>3</v>
      </c>
      <c r="U47" s="70">
        <v>5</v>
      </c>
      <c r="V47" s="70">
        <v>5</v>
      </c>
      <c r="W47" s="70">
        <v>5</v>
      </c>
      <c r="X47" s="70">
        <v>6</v>
      </c>
      <c r="Y47" s="72">
        <v>46238.6400920833</v>
      </c>
      <c r="Z47" s="72">
        <v>46238.6415082986</v>
      </c>
      <c r="AA47" s="73">
        <v>122.4</v>
      </c>
      <c r="AB47" s="70" t="s">
        <v>266</v>
      </c>
      <c r="AC47" s="70" t="s">
        <v>266</v>
      </c>
      <c r="AD47" s="70" t="s">
        <v>266</v>
      </c>
      <c r="AE47" s="70" t="s">
        <v>386</v>
      </c>
      <c r="AF47" s="74">
        <v>12.27</v>
      </c>
      <c r="AG47" s="74">
        <v>0.75</v>
      </c>
      <c r="AH47" s="74">
        <v>0.862</v>
      </c>
      <c r="AI47" s="74">
        <v>0.994</v>
      </c>
      <c r="AJ47" s="74">
        <v>0.803</v>
      </c>
      <c r="AK47" s="75" t="s">
        <v>498</v>
      </c>
      <c r="AL47" s="75" t="s">
        <v>259</v>
      </c>
      <c r="AM47" s="76">
        <v>1</v>
      </c>
      <c r="AN47" s="76">
        <v>0</v>
      </c>
      <c r="AO47" s="77" t="s">
        <v>191</v>
      </c>
    </row>
    <row r="48" ht="24" customHeight="1" spans="1:41">
      <c r="A48" s="25" t="s">
        <v>417</v>
      </c>
      <c r="B48" s="26">
        <v>2</v>
      </c>
      <c r="C48" s="26" t="s">
        <v>418</v>
      </c>
      <c r="D48" s="26">
        <v>1</v>
      </c>
      <c r="E48" s="26" t="s">
        <v>375</v>
      </c>
      <c r="F48" s="26" t="s">
        <v>496</v>
      </c>
      <c r="G48" s="26" t="s">
        <v>499</v>
      </c>
      <c r="H48" s="26" t="s">
        <v>379</v>
      </c>
      <c r="I48" s="26">
        <v>2</v>
      </c>
      <c r="J48" s="26">
        <v>1</v>
      </c>
      <c r="K48" s="70">
        <v>5</v>
      </c>
      <c r="L48" s="70">
        <v>6</v>
      </c>
      <c r="M48" s="70">
        <v>5</v>
      </c>
      <c r="N48" s="71"/>
      <c r="O48" s="70">
        <v>4</v>
      </c>
      <c r="P48" s="70">
        <v>5</v>
      </c>
      <c r="Q48" s="70">
        <v>4</v>
      </c>
      <c r="R48" s="70">
        <v>6</v>
      </c>
      <c r="S48" s="70">
        <v>4</v>
      </c>
      <c r="T48" s="70">
        <v>4</v>
      </c>
      <c r="U48" s="70">
        <v>5</v>
      </c>
      <c r="V48" s="70">
        <v>5</v>
      </c>
      <c r="W48" s="70">
        <v>4</v>
      </c>
      <c r="X48" s="70">
        <v>4</v>
      </c>
      <c r="Y48" s="72">
        <v>46238.6424431713</v>
      </c>
      <c r="Z48" s="72">
        <v>46238.6433605208</v>
      </c>
      <c r="AA48" s="73">
        <v>79.3</v>
      </c>
      <c r="AB48" s="70" t="s">
        <v>266</v>
      </c>
      <c r="AC48" s="70" t="s">
        <v>266</v>
      </c>
      <c r="AD48" s="70" t="s">
        <v>266</v>
      </c>
      <c r="AE48" s="70" t="s">
        <v>386</v>
      </c>
      <c r="AF48" s="74">
        <v>12.15</v>
      </c>
      <c r="AG48" s="74">
        <v>0.741</v>
      </c>
      <c r="AH48" s="74">
        <v>0.848</v>
      </c>
      <c r="AI48" s="74">
        <v>0.991</v>
      </c>
      <c r="AJ48" s="74">
        <v>0.762</v>
      </c>
      <c r="AK48" s="75" t="s">
        <v>498</v>
      </c>
      <c r="AL48" s="75" t="s">
        <v>259</v>
      </c>
      <c r="AM48" s="76">
        <v>1</v>
      </c>
      <c r="AN48" s="76">
        <v>4</v>
      </c>
      <c r="AO48" s="77" t="s">
        <v>506</v>
      </c>
    </row>
    <row r="49" ht="24" customHeight="1" spans="1:41">
      <c r="A49" s="25" t="s">
        <v>417</v>
      </c>
      <c r="B49" s="26">
        <v>3</v>
      </c>
      <c r="C49" s="26" t="s">
        <v>418</v>
      </c>
      <c r="D49" s="26">
        <v>2</v>
      </c>
      <c r="E49" s="26" t="s">
        <v>377</v>
      </c>
      <c r="F49" s="26" t="s">
        <v>503</v>
      </c>
      <c r="G49" s="26" t="s">
        <v>499</v>
      </c>
      <c r="H49" s="26" t="s">
        <v>379</v>
      </c>
      <c r="I49" s="26">
        <v>1</v>
      </c>
      <c r="J49" s="26">
        <v>2</v>
      </c>
      <c r="K49" s="70">
        <v>4</v>
      </c>
      <c r="L49" s="70">
        <v>5</v>
      </c>
      <c r="M49" s="70">
        <v>6</v>
      </c>
      <c r="N49" s="71"/>
      <c r="O49" s="70">
        <v>4</v>
      </c>
      <c r="P49" s="70">
        <v>4</v>
      </c>
      <c r="Q49" s="70">
        <v>3</v>
      </c>
      <c r="R49" s="70">
        <v>5</v>
      </c>
      <c r="S49" s="70">
        <v>4</v>
      </c>
      <c r="T49" s="70">
        <v>4</v>
      </c>
      <c r="U49" s="70">
        <v>4</v>
      </c>
      <c r="V49" s="70">
        <v>5</v>
      </c>
      <c r="W49" s="70">
        <v>3</v>
      </c>
      <c r="X49" s="70">
        <v>5</v>
      </c>
      <c r="Y49" s="72">
        <v>46238.644358125</v>
      </c>
      <c r="Z49" s="72">
        <v>46238.6454066782</v>
      </c>
      <c r="AA49" s="73">
        <v>90.6</v>
      </c>
      <c r="AB49" s="70" t="s">
        <v>266</v>
      </c>
      <c r="AC49" s="70" t="s">
        <v>266</v>
      </c>
      <c r="AD49" s="70" t="s">
        <v>266</v>
      </c>
      <c r="AE49" s="70" t="s">
        <v>386</v>
      </c>
      <c r="AF49" s="74">
        <v>12.26</v>
      </c>
      <c r="AG49" s="74">
        <v>0.8</v>
      </c>
      <c r="AH49" s="74">
        <v>0.871</v>
      </c>
      <c r="AI49" s="74">
        <v>0.991</v>
      </c>
      <c r="AJ49" s="74">
        <v>0.742</v>
      </c>
      <c r="AK49" s="75" t="s">
        <v>498</v>
      </c>
      <c r="AL49" s="75" t="s">
        <v>259</v>
      </c>
      <c r="AM49" s="76">
        <v>0</v>
      </c>
      <c r="AN49" s="76">
        <v>4</v>
      </c>
      <c r="AO49" s="77" t="s">
        <v>506</v>
      </c>
    </row>
    <row r="50" ht="24" customHeight="1" spans="1:41">
      <c r="A50" s="25" t="s">
        <v>417</v>
      </c>
      <c r="B50" s="26">
        <v>4</v>
      </c>
      <c r="C50" s="26" t="s">
        <v>418</v>
      </c>
      <c r="D50" s="26">
        <v>2</v>
      </c>
      <c r="E50" s="26" t="s">
        <v>377</v>
      </c>
      <c r="F50" s="26" t="s">
        <v>503</v>
      </c>
      <c r="G50" s="26" t="s">
        <v>497</v>
      </c>
      <c r="H50" s="26" t="s">
        <v>380</v>
      </c>
      <c r="I50" s="26">
        <v>2</v>
      </c>
      <c r="J50" s="26">
        <v>2</v>
      </c>
      <c r="K50" s="70">
        <v>5</v>
      </c>
      <c r="L50" s="70">
        <v>4</v>
      </c>
      <c r="M50" s="70">
        <v>5</v>
      </c>
      <c r="N50" s="71"/>
      <c r="O50" s="70">
        <v>4</v>
      </c>
      <c r="P50" s="70">
        <v>5</v>
      </c>
      <c r="Q50" s="70">
        <v>4</v>
      </c>
      <c r="R50" s="70">
        <v>5</v>
      </c>
      <c r="S50" s="70">
        <v>5</v>
      </c>
      <c r="T50" s="70">
        <v>4</v>
      </c>
      <c r="U50" s="70">
        <v>6</v>
      </c>
      <c r="V50" s="70">
        <v>4</v>
      </c>
      <c r="W50" s="70">
        <v>4</v>
      </c>
      <c r="X50" s="70">
        <v>4</v>
      </c>
      <c r="Y50" s="72">
        <v>46238.6463911574</v>
      </c>
      <c r="Z50" s="72">
        <v>46238.6475064236</v>
      </c>
      <c r="AA50" s="73">
        <v>96.4</v>
      </c>
      <c r="AB50" s="70" t="s">
        <v>266</v>
      </c>
      <c r="AC50" s="70" t="s">
        <v>266</v>
      </c>
      <c r="AD50" s="70" t="s">
        <v>266</v>
      </c>
      <c r="AE50" s="70" t="s">
        <v>386</v>
      </c>
      <c r="AF50" s="74">
        <v>12.91</v>
      </c>
      <c r="AG50" s="74">
        <v>0.766</v>
      </c>
      <c r="AH50" s="74">
        <v>0.894</v>
      </c>
      <c r="AI50" s="74">
        <v>1</v>
      </c>
      <c r="AJ50" s="74">
        <v>0.783</v>
      </c>
      <c r="AK50" s="75" t="s">
        <v>498</v>
      </c>
      <c r="AL50" s="75" t="s">
        <v>259</v>
      </c>
      <c r="AM50" s="76">
        <v>0</v>
      </c>
      <c r="AN50" s="76">
        <v>0</v>
      </c>
      <c r="AO50" s="77" t="s">
        <v>500</v>
      </c>
    </row>
    <row r="51" ht="24" customHeight="1" spans="1:41">
      <c r="A51" s="25" t="s">
        <v>417</v>
      </c>
      <c r="B51" s="26">
        <v>5</v>
      </c>
      <c r="C51" s="26" t="s">
        <v>418</v>
      </c>
      <c r="D51" s="26">
        <v>3</v>
      </c>
      <c r="E51" s="26" t="s">
        <v>376</v>
      </c>
      <c r="F51" s="26" t="s">
        <v>501</v>
      </c>
      <c r="G51" s="26" t="s">
        <v>497</v>
      </c>
      <c r="H51" s="26" t="s">
        <v>380</v>
      </c>
      <c r="I51" s="26">
        <v>1</v>
      </c>
      <c r="J51" s="26">
        <v>3</v>
      </c>
      <c r="K51" s="70">
        <v>5</v>
      </c>
      <c r="L51" s="70">
        <v>5</v>
      </c>
      <c r="M51" s="70">
        <v>4</v>
      </c>
      <c r="N51" s="71"/>
      <c r="O51" s="70">
        <v>4</v>
      </c>
      <c r="P51" s="70">
        <v>5</v>
      </c>
      <c r="Q51" s="70">
        <v>3</v>
      </c>
      <c r="R51" s="70">
        <v>4</v>
      </c>
      <c r="S51" s="70">
        <v>4</v>
      </c>
      <c r="T51" s="70">
        <v>4</v>
      </c>
      <c r="U51" s="70">
        <v>5</v>
      </c>
      <c r="V51" s="70">
        <v>4</v>
      </c>
      <c r="W51" s="70">
        <v>4</v>
      </c>
      <c r="X51" s="70">
        <v>5</v>
      </c>
      <c r="Y51" s="72">
        <v>46238.6483360648</v>
      </c>
      <c r="Z51" s="72">
        <v>46238.6490922106</v>
      </c>
      <c r="AA51" s="73">
        <v>65.3</v>
      </c>
      <c r="AB51" s="70" t="s">
        <v>266</v>
      </c>
      <c r="AC51" s="70" t="s">
        <v>266</v>
      </c>
      <c r="AD51" s="70" t="s">
        <v>266</v>
      </c>
      <c r="AE51" s="70" t="s">
        <v>386</v>
      </c>
      <c r="AF51" s="74">
        <v>12.75</v>
      </c>
      <c r="AG51" s="74">
        <v>0.854</v>
      </c>
      <c r="AH51" s="74">
        <v>0.914</v>
      </c>
      <c r="AI51" s="74">
        <v>0.993</v>
      </c>
      <c r="AJ51" s="74">
        <v>0.725</v>
      </c>
      <c r="AK51" s="75" t="s">
        <v>498</v>
      </c>
      <c r="AL51" s="75" t="s">
        <v>259</v>
      </c>
      <c r="AM51" s="76">
        <v>1</v>
      </c>
      <c r="AN51" s="76">
        <v>0</v>
      </c>
      <c r="AO51" s="77" t="s">
        <v>500</v>
      </c>
    </row>
    <row r="52" ht="24" customHeight="1" spans="1:41">
      <c r="A52" s="78" t="s">
        <v>417</v>
      </c>
      <c r="B52" s="79">
        <v>6</v>
      </c>
      <c r="C52" s="79" t="s">
        <v>418</v>
      </c>
      <c r="D52" s="79">
        <v>3</v>
      </c>
      <c r="E52" s="79" t="s">
        <v>376</v>
      </c>
      <c r="F52" s="79" t="s">
        <v>501</v>
      </c>
      <c r="G52" s="79" t="s">
        <v>499</v>
      </c>
      <c r="H52" s="79" t="s">
        <v>379</v>
      </c>
      <c r="I52" s="79">
        <v>2</v>
      </c>
      <c r="J52" s="79">
        <v>3</v>
      </c>
      <c r="K52" s="80">
        <v>4</v>
      </c>
      <c r="L52" s="80">
        <v>5</v>
      </c>
      <c r="M52" s="80">
        <v>5</v>
      </c>
      <c r="N52" s="81"/>
      <c r="O52" s="80">
        <v>4</v>
      </c>
      <c r="P52" s="80">
        <v>4</v>
      </c>
      <c r="Q52" s="80">
        <v>5</v>
      </c>
      <c r="R52" s="80">
        <v>4</v>
      </c>
      <c r="S52" s="80">
        <v>5</v>
      </c>
      <c r="T52" s="80">
        <v>5</v>
      </c>
      <c r="U52" s="80">
        <v>4</v>
      </c>
      <c r="V52" s="80">
        <v>4</v>
      </c>
      <c r="W52" s="80">
        <v>4</v>
      </c>
      <c r="X52" s="80">
        <v>5</v>
      </c>
      <c r="Y52" s="82">
        <v>46238.6501123958</v>
      </c>
      <c r="Z52" s="82">
        <v>46238.6513308218</v>
      </c>
      <c r="AA52" s="83">
        <v>105.3</v>
      </c>
      <c r="AB52" s="80" t="s">
        <v>266</v>
      </c>
      <c r="AC52" s="80" t="s">
        <v>266</v>
      </c>
      <c r="AD52" s="80" t="s">
        <v>266</v>
      </c>
      <c r="AE52" s="80" t="s">
        <v>386</v>
      </c>
      <c r="AF52" s="84">
        <v>13.09</v>
      </c>
      <c r="AG52" s="84">
        <v>0.832</v>
      </c>
      <c r="AH52" s="84">
        <v>0.909</v>
      </c>
      <c r="AI52" s="84">
        <v>0.993</v>
      </c>
      <c r="AJ52" s="84">
        <v>0.75</v>
      </c>
      <c r="AK52" s="85" t="s">
        <v>498</v>
      </c>
      <c r="AL52" s="85" t="s">
        <v>259</v>
      </c>
      <c r="AM52" s="86">
        <v>0</v>
      </c>
      <c r="AN52" s="86">
        <v>4</v>
      </c>
      <c r="AO52" s="85" t="s">
        <v>506</v>
      </c>
    </row>
    <row r="53" ht="24" customHeight="1" spans="1:41">
      <c r="A53" s="25" t="s">
        <v>420</v>
      </c>
      <c r="B53" s="26">
        <v>1</v>
      </c>
      <c r="C53" s="26" t="s">
        <v>421</v>
      </c>
      <c r="D53" s="26">
        <v>1</v>
      </c>
      <c r="E53" s="26" t="s">
        <v>376</v>
      </c>
      <c r="F53" s="26" t="s">
        <v>501</v>
      </c>
      <c r="G53" s="26" t="s">
        <v>497</v>
      </c>
      <c r="H53" s="26" t="s">
        <v>379</v>
      </c>
      <c r="I53" s="26">
        <v>1</v>
      </c>
      <c r="J53" s="26">
        <v>1</v>
      </c>
      <c r="K53" s="70">
        <v>5</v>
      </c>
      <c r="L53" s="70">
        <v>5</v>
      </c>
      <c r="M53" s="70">
        <v>5</v>
      </c>
      <c r="N53" s="71"/>
      <c r="O53" s="70">
        <v>2</v>
      </c>
      <c r="P53" s="70">
        <v>3</v>
      </c>
      <c r="Q53" s="70">
        <v>5</v>
      </c>
      <c r="R53" s="70">
        <v>5</v>
      </c>
      <c r="S53" s="70">
        <v>5</v>
      </c>
      <c r="T53" s="70">
        <v>6</v>
      </c>
      <c r="U53" s="70">
        <v>4</v>
      </c>
      <c r="V53" s="70">
        <v>3</v>
      </c>
      <c r="W53" s="70">
        <v>4</v>
      </c>
      <c r="X53" s="70">
        <v>3</v>
      </c>
      <c r="Y53" s="72">
        <v>46239.3834758102</v>
      </c>
      <c r="Z53" s="72">
        <v>46239.3842049768</v>
      </c>
      <c r="AA53" s="73">
        <v>63</v>
      </c>
      <c r="AB53" s="70" t="s">
        <v>266</v>
      </c>
      <c r="AC53" s="70" t="s">
        <v>266</v>
      </c>
      <c r="AD53" s="70" t="s">
        <v>266</v>
      </c>
      <c r="AE53" s="70" t="s">
        <v>386</v>
      </c>
      <c r="AF53" s="74">
        <v>12.56</v>
      </c>
      <c r="AG53" s="74">
        <v>0.833</v>
      </c>
      <c r="AH53" s="74">
        <v>0.892</v>
      </c>
      <c r="AI53" s="74">
        <v>0.99</v>
      </c>
      <c r="AJ53" s="74">
        <v>0.765</v>
      </c>
      <c r="AK53" s="75" t="s">
        <v>498</v>
      </c>
      <c r="AL53" s="75" t="s">
        <v>259</v>
      </c>
      <c r="AM53" s="76">
        <v>1</v>
      </c>
      <c r="AN53" s="76">
        <v>4</v>
      </c>
      <c r="AO53" s="77" t="s">
        <v>506</v>
      </c>
    </row>
    <row r="54" ht="24" customHeight="1" spans="1:41">
      <c r="A54" s="25" t="s">
        <v>420</v>
      </c>
      <c r="B54" s="26">
        <v>2</v>
      </c>
      <c r="C54" s="26" t="s">
        <v>421</v>
      </c>
      <c r="D54" s="26">
        <v>1</v>
      </c>
      <c r="E54" s="26" t="s">
        <v>376</v>
      </c>
      <c r="F54" s="26" t="s">
        <v>501</v>
      </c>
      <c r="G54" s="26" t="s">
        <v>499</v>
      </c>
      <c r="H54" s="26" t="s">
        <v>380</v>
      </c>
      <c r="I54" s="26">
        <v>2</v>
      </c>
      <c r="J54" s="26">
        <v>1</v>
      </c>
      <c r="K54" s="70">
        <v>4</v>
      </c>
      <c r="L54" s="70">
        <v>5</v>
      </c>
      <c r="M54" s="70">
        <v>6</v>
      </c>
      <c r="N54" s="71"/>
      <c r="O54" s="70">
        <v>4</v>
      </c>
      <c r="P54" s="70">
        <v>4</v>
      </c>
      <c r="Q54" s="70">
        <v>3</v>
      </c>
      <c r="R54" s="70">
        <v>4</v>
      </c>
      <c r="S54" s="70">
        <v>5</v>
      </c>
      <c r="T54" s="70">
        <v>2</v>
      </c>
      <c r="U54" s="70">
        <v>5</v>
      </c>
      <c r="V54" s="70">
        <v>5</v>
      </c>
      <c r="W54" s="70">
        <v>4</v>
      </c>
      <c r="X54" s="70">
        <v>4</v>
      </c>
      <c r="Y54" s="72">
        <v>46239.385126331</v>
      </c>
      <c r="Z54" s="72">
        <v>46239.3864856366</v>
      </c>
      <c r="AA54" s="73">
        <v>117.4</v>
      </c>
      <c r="AB54" s="70" t="s">
        <v>266</v>
      </c>
      <c r="AC54" s="70" t="s">
        <v>266</v>
      </c>
      <c r="AD54" s="70" t="s">
        <v>266</v>
      </c>
      <c r="AE54" s="70" t="s">
        <v>386</v>
      </c>
      <c r="AF54" s="74">
        <v>11.97</v>
      </c>
      <c r="AG54" s="74">
        <v>0.801</v>
      </c>
      <c r="AH54" s="74">
        <v>0.915</v>
      </c>
      <c r="AI54" s="74">
        <v>0.979</v>
      </c>
      <c r="AJ54" s="74">
        <v>0.67</v>
      </c>
      <c r="AK54" s="75" t="s">
        <v>498</v>
      </c>
      <c r="AL54" s="75" t="s">
        <v>259</v>
      </c>
      <c r="AM54" s="76">
        <v>1</v>
      </c>
      <c r="AN54" s="76">
        <v>0</v>
      </c>
      <c r="AO54" s="77" t="s">
        <v>191</v>
      </c>
    </row>
    <row r="55" ht="24" customHeight="1" spans="1:41">
      <c r="A55" s="25" t="s">
        <v>420</v>
      </c>
      <c r="B55" s="26">
        <v>3</v>
      </c>
      <c r="C55" s="26" t="s">
        <v>421</v>
      </c>
      <c r="D55" s="26">
        <v>2</v>
      </c>
      <c r="E55" s="26" t="s">
        <v>375</v>
      </c>
      <c r="F55" s="26" t="s">
        <v>496</v>
      </c>
      <c r="G55" s="26" t="s">
        <v>499</v>
      </c>
      <c r="H55" s="26" t="s">
        <v>380</v>
      </c>
      <c r="I55" s="26">
        <v>1</v>
      </c>
      <c r="J55" s="26">
        <v>2</v>
      </c>
      <c r="K55" s="70">
        <v>4</v>
      </c>
      <c r="L55" s="70">
        <v>6</v>
      </c>
      <c r="M55" s="70">
        <v>5</v>
      </c>
      <c r="N55" s="71"/>
      <c r="O55" s="70">
        <v>6</v>
      </c>
      <c r="P55" s="70">
        <v>5</v>
      </c>
      <c r="Q55" s="70">
        <v>4</v>
      </c>
      <c r="R55" s="70">
        <v>4</v>
      </c>
      <c r="S55" s="70">
        <v>4</v>
      </c>
      <c r="T55" s="70">
        <v>4</v>
      </c>
      <c r="U55" s="70">
        <v>4</v>
      </c>
      <c r="V55" s="70">
        <v>5</v>
      </c>
      <c r="W55" s="70">
        <v>4</v>
      </c>
      <c r="X55" s="70">
        <v>4</v>
      </c>
      <c r="Y55" s="72">
        <v>46239.3873834954</v>
      </c>
      <c r="Z55" s="72">
        <v>46239.3888780208</v>
      </c>
      <c r="AA55" s="73">
        <v>129.1</v>
      </c>
      <c r="AB55" s="70" t="s">
        <v>266</v>
      </c>
      <c r="AC55" s="70" t="s">
        <v>266</v>
      </c>
      <c r="AD55" s="70" t="s">
        <v>266</v>
      </c>
      <c r="AE55" s="70" t="s">
        <v>386</v>
      </c>
      <c r="AF55" s="74">
        <v>13.94</v>
      </c>
      <c r="AG55" s="74">
        <v>0.829</v>
      </c>
      <c r="AH55" s="74">
        <v>0.877</v>
      </c>
      <c r="AI55" s="74">
        <v>0.988</v>
      </c>
      <c r="AJ55" s="74">
        <v>0.771</v>
      </c>
      <c r="AK55" s="75" t="s">
        <v>498</v>
      </c>
      <c r="AL55" s="75" t="s">
        <v>259</v>
      </c>
      <c r="AM55" s="76">
        <v>0</v>
      </c>
      <c r="AN55" s="76">
        <v>0</v>
      </c>
      <c r="AO55" s="77" t="s">
        <v>502</v>
      </c>
    </row>
    <row r="56" ht="24" customHeight="1" spans="1:41">
      <c r="A56" s="25" t="s">
        <v>420</v>
      </c>
      <c r="B56" s="26">
        <v>4</v>
      </c>
      <c r="C56" s="26" t="s">
        <v>421</v>
      </c>
      <c r="D56" s="26">
        <v>2</v>
      </c>
      <c r="E56" s="26" t="s">
        <v>375</v>
      </c>
      <c r="F56" s="26" t="s">
        <v>496</v>
      </c>
      <c r="G56" s="26" t="s">
        <v>497</v>
      </c>
      <c r="H56" s="26" t="s">
        <v>379</v>
      </c>
      <c r="I56" s="26">
        <v>2</v>
      </c>
      <c r="J56" s="26">
        <v>2</v>
      </c>
      <c r="K56" s="70">
        <v>4</v>
      </c>
      <c r="L56" s="70">
        <v>5</v>
      </c>
      <c r="M56" s="70">
        <v>5</v>
      </c>
      <c r="N56" s="71"/>
      <c r="O56" s="70">
        <v>4</v>
      </c>
      <c r="P56" s="70">
        <v>5</v>
      </c>
      <c r="Q56" s="70">
        <v>5</v>
      </c>
      <c r="R56" s="70">
        <v>4</v>
      </c>
      <c r="S56" s="70">
        <v>4</v>
      </c>
      <c r="T56" s="70">
        <v>5</v>
      </c>
      <c r="U56" s="70">
        <v>4</v>
      </c>
      <c r="V56" s="70">
        <v>4</v>
      </c>
      <c r="W56" s="70">
        <v>5</v>
      </c>
      <c r="X56" s="70">
        <v>4</v>
      </c>
      <c r="Y56" s="72">
        <v>46239.3897328935</v>
      </c>
      <c r="Z56" s="72">
        <v>46239.3908524074</v>
      </c>
      <c r="AA56" s="73">
        <v>96.7</v>
      </c>
      <c r="AB56" s="70" t="s">
        <v>266</v>
      </c>
      <c r="AC56" s="70" t="s">
        <v>266</v>
      </c>
      <c r="AD56" s="70" t="s">
        <v>266</v>
      </c>
      <c r="AE56" s="70" t="s">
        <v>386</v>
      </c>
      <c r="AF56" s="74">
        <v>13.22</v>
      </c>
      <c r="AG56" s="74">
        <v>0.751</v>
      </c>
      <c r="AH56" s="74">
        <v>0.868</v>
      </c>
      <c r="AI56" s="74">
        <v>0.992</v>
      </c>
      <c r="AJ56" s="74">
        <v>0.717</v>
      </c>
      <c r="AK56" s="75" t="s">
        <v>498</v>
      </c>
      <c r="AL56" s="75" t="s">
        <v>259</v>
      </c>
      <c r="AM56" s="76">
        <v>1</v>
      </c>
      <c r="AN56" s="76">
        <v>4</v>
      </c>
      <c r="AO56" s="77" t="s">
        <v>191</v>
      </c>
    </row>
    <row r="57" ht="24" customHeight="1" spans="1:41">
      <c r="A57" s="25" t="s">
        <v>420</v>
      </c>
      <c r="B57" s="26">
        <v>5</v>
      </c>
      <c r="C57" s="26" t="s">
        <v>421</v>
      </c>
      <c r="D57" s="26">
        <v>3</v>
      </c>
      <c r="E57" s="26" t="s">
        <v>377</v>
      </c>
      <c r="F57" s="26" t="s">
        <v>503</v>
      </c>
      <c r="G57" s="26" t="s">
        <v>497</v>
      </c>
      <c r="H57" s="26" t="s">
        <v>379</v>
      </c>
      <c r="I57" s="26">
        <v>1</v>
      </c>
      <c r="J57" s="26">
        <v>3</v>
      </c>
      <c r="K57" s="70">
        <v>4</v>
      </c>
      <c r="L57" s="70">
        <v>6</v>
      </c>
      <c r="M57" s="70">
        <v>4</v>
      </c>
      <c r="N57" s="71"/>
      <c r="O57" s="70">
        <v>5</v>
      </c>
      <c r="P57" s="70">
        <v>5</v>
      </c>
      <c r="Q57" s="70">
        <v>5</v>
      </c>
      <c r="R57" s="70">
        <v>4</v>
      </c>
      <c r="S57" s="70">
        <v>4</v>
      </c>
      <c r="T57" s="70">
        <v>3</v>
      </c>
      <c r="U57" s="70">
        <v>4</v>
      </c>
      <c r="V57" s="70">
        <v>4</v>
      </c>
      <c r="W57" s="70">
        <v>4</v>
      </c>
      <c r="X57" s="70">
        <v>4</v>
      </c>
      <c r="Y57" s="72">
        <v>46239.3918434606</v>
      </c>
      <c r="Z57" s="72">
        <v>46239.3927141551</v>
      </c>
      <c r="AA57" s="73">
        <v>75.2</v>
      </c>
      <c r="AB57" s="70" t="s">
        <v>266</v>
      </c>
      <c r="AC57" s="70" t="s">
        <v>266</v>
      </c>
      <c r="AD57" s="70" t="s">
        <v>266</v>
      </c>
      <c r="AE57" s="70" t="s">
        <v>386</v>
      </c>
      <c r="AF57" s="74">
        <v>12.88</v>
      </c>
      <c r="AG57" s="74">
        <v>0.793</v>
      </c>
      <c r="AH57" s="74">
        <v>0.85</v>
      </c>
      <c r="AI57" s="74">
        <v>0.998</v>
      </c>
      <c r="AJ57" s="74">
        <v>0.761</v>
      </c>
      <c r="AK57" s="75" t="s">
        <v>498</v>
      </c>
      <c r="AL57" s="75" t="s">
        <v>259</v>
      </c>
      <c r="AM57" s="76">
        <v>0</v>
      </c>
      <c r="AN57" s="76">
        <v>2</v>
      </c>
      <c r="AO57" s="77" t="s">
        <v>191</v>
      </c>
    </row>
    <row r="58" ht="24" customHeight="1" spans="1:41">
      <c r="A58" s="78" t="s">
        <v>420</v>
      </c>
      <c r="B58" s="79">
        <v>6</v>
      </c>
      <c r="C58" s="79" t="s">
        <v>421</v>
      </c>
      <c r="D58" s="79">
        <v>3</v>
      </c>
      <c r="E58" s="79" t="s">
        <v>377</v>
      </c>
      <c r="F58" s="79" t="s">
        <v>503</v>
      </c>
      <c r="G58" s="79" t="s">
        <v>499</v>
      </c>
      <c r="H58" s="79" t="s">
        <v>380</v>
      </c>
      <c r="I58" s="79">
        <v>2</v>
      </c>
      <c r="J58" s="79">
        <v>3</v>
      </c>
      <c r="K58" s="80">
        <v>2</v>
      </c>
      <c r="L58" s="80">
        <v>4</v>
      </c>
      <c r="M58" s="80">
        <v>5</v>
      </c>
      <c r="N58" s="81"/>
      <c r="O58" s="80">
        <v>5</v>
      </c>
      <c r="P58" s="80">
        <v>5</v>
      </c>
      <c r="Q58" s="80">
        <v>5</v>
      </c>
      <c r="R58" s="80">
        <v>3</v>
      </c>
      <c r="S58" s="80">
        <v>3</v>
      </c>
      <c r="T58" s="80">
        <v>3</v>
      </c>
      <c r="U58" s="80">
        <v>5</v>
      </c>
      <c r="V58" s="80">
        <v>5</v>
      </c>
      <c r="W58" s="80">
        <v>4</v>
      </c>
      <c r="X58" s="80">
        <v>3</v>
      </c>
      <c r="Y58" s="82">
        <v>46239.3936342708</v>
      </c>
      <c r="Z58" s="82">
        <v>46239.3949494213</v>
      </c>
      <c r="AA58" s="83">
        <v>113.6</v>
      </c>
      <c r="AB58" s="80" t="s">
        <v>266</v>
      </c>
      <c r="AC58" s="80" t="s">
        <v>266</v>
      </c>
      <c r="AD58" s="80" t="s">
        <v>266</v>
      </c>
      <c r="AE58" s="80" t="s">
        <v>386</v>
      </c>
      <c r="AF58" s="84">
        <v>13.41</v>
      </c>
      <c r="AG58" s="84">
        <v>0.787</v>
      </c>
      <c r="AH58" s="84">
        <v>0.896</v>
      </c>
      <c r="AI58" s="84">
        <v>1</v>
      </c>
      <c r="AJ58" s="84">
        <v>0.782</v>
      </c>
      <c r="AK58" s="85" t="s">
        <v>498</v>
      </c>
      <c r="AL58" s="85" t="s">
        <v>259</v>
      </c>
      <c r="AM58" s="86">
        <v>1</v>
      </c>
      <c r="AN58" s="86">
        <v>0</v>
      </c>
      <c r="AO58" s="85" t="s">
        <v>191</v>
      </c>
    </row>
    <row r="59" ht="24" customHeight="1" spans="1:41">
      <c r="A59" s="25" t="s">
        <v>423</v>
      </c>
      <c r="B59" s="26">
        <v>1</v>
      </c>
      <c r="C59" s="26" t="s">
        <v>424</v>
      </c>
      <c r="D59" s="26">
        <v>1</v>
      </c>
      <c r="E59" s="26" t="s">
        <v>376</v>
      </c>
      <c r="F59" s="26" t="s">
        <v>501</v>
      </c>
      <c r="G59" s="26" t="s">
        <v>499</v>
      </c>
      <c r="H59" s="26" t="s">
        <v>380</v>
      </c>
      <c r="I59" s="26">
        <v>1</v>
      </c>
      <c r="J59" s="26">
        <v>1</v>
      </c>
      <c r="K59" s="70">
        <v>4</v>
      </c>
      <c r="L59" s="70">
        <v>5</v>
      </c>
      <c r="M59" s="70">
        <v>7</v>
      </c>
      <c r="N59" s="71"/>
      <c r="O59" s="70">
        <v>5</v>
      </c>
      <c r="P59" s="70">
        <v>4</v>
      </c>
      <c r="Q59" s="70">
        <v>5</v>
      </c>
      <c r="R59" s="70">
        <v>5</v>
      </c>
      <c r="S59" s="70">
        <v>5</v>
      </c>
      <c r="T59" s="70">
        <v>4</v>
      </c>
      <c r="U59" s="70">
        <v>5</v>
      </c>
      <c r="V59" s="70">
        <v>4</v>
      </c>
      <c r="W59" s="70">
        <v>3</v>
      </c>
      <c r="X59" s="70">
        <v>4</v>
      </c>
      <c r="Y59" s="72">
        <v>46239.4577781134</v>
      </c>
      <c r="Z59" s="72">
        <v>46239.458693588</v>
      </c>
      <c r="AA59" s="73">
        <v>79.1</v>
      </c>
      <c r="AB59" s="70" t="s">
        <v>266</v>
      </c>
      <c r="AC59" s="70" t="s">
        <v>266</v>
      </c>
      <c r="AD59" s="70" t="s">
        <v>266</v>
      </c>
      <c r="AE59" s="70" t="s">
        <v>386</v>
      </c>
      <c r="AF59" s="74">
        <v>13.13</v>
      </c>
      <c r="AG59" s="74">
        <v>0.824</v>
      </c>
      <c r="AH59" s="74">
        <v>0.897</v>
      </c>
      <c r="AI59" s="74">
        <v>0.999</v>
      </c>
      <c r="AJ59" s="74">
        <v>0.781</v>
      </c>
      <c r="AK59" s="75" t="s">
        <v>498</v>
      </c>
      <c r="AL59" s="75" t="s">
        <v>259</v>
      </c>
      <c r="AM59" s="76">
        <v>1</v>
      </c>
      <c r="AN59" s="76">
        <v>0</v>
      </c>
      <c r="AO59" s="77" t="s">
        <v>191</v>
      </c>
    </row>
    <row r="60" ht="24" customHeight="1" spans="1:41">
      <c r="A60" s="25" t="s">
        <v>423</v>
      </c>
      <c r="B60" s="26">
        <v>2</v>
      </c>
      <c r="C60" s="26" t="s">
        <v>424</v>
      </c>
      <c r="D60" s="26">
        <v>1</v>
      </c>
      <c r="E60" s="26" t="s">
        <v>376</v>
      </c>
      <c r="F60" s="26" t="s">
        <v>501</v>
      </c>
      <c r="G60" s="26" t="s">
        <v>497</v>
      </c>
      <c r="H60" s="26" t="s">
        <v>379</v>
      </c>
      <c r="I60" s="26">
        <v>2</v>
      </c>
      <c r="J60" s="26">
        <v>1</v>
      </c>
      <c r="K60" s="70">
        <v>6</v>
      </c>
      <c r="L60" s="70">
        <v>3</v>
      </c>
      <c r="M60" s="70">
        <v>5</v>
      </c>
      <c r="N60" s="71"/>
      <c r="O60" s="70">
        <v>4</v>
      </c>
      <c r="P60" s="70">
        <v>4</v>
      </c>
      <c r="Q60" s="70">
        <v>4</v>
      </c>
      <c r="R60" s="70">
        <v>5</v>
      </c>
      <c r="S60" s="70">
        <v>4</v>
      </c>
      <c r="T60" s="70">
        <v>4</v>
      </c>
      <c r="U60" s="70">
        <v>4</v>
      </c>
      <c r="V60" s="70">
        <v>5</v>
      </c>
      <c r="W60" s="70">
        <v>5</v>
      </c>
      <c r="X60" s="70">
        <v>5</v>
      </c>
      <c r="Y60" s="72">
        <v>46239.4596445949</v>
      </c>
      <c r="Z60" s="72">
        <v>46239.4605519213</v>
      </c>
      <c r="AA60" s="73">
        <v>78.4</v>
      </c>
      <c r="AB60" s="70" t="s">
        <v>266</v>
      </c>
      <c r="AC60" s="70" t="s">
        <v>266</v>
      </c>
      <c r="AD60" s="70" t="s">
        <v>266</v>
      </c>
      <c r="AE60" s="70" t="s">
        <v>386</v>
      </c>
      <c r="AF60" s="74">
        <v>13.35</v>
      </c>
      <c r="AG60" s="74">
        <v>0.83</v>
      </c>
      <c r="AH60" s="74">
        <v>0.897</v>
      </c>
      <c r="AI60" s="74">
        <v>0.987</v>
      </c>
      <c r="AJ60" s="74">
        <v>0.758</v>
      </c>
      <c r="AK60" s="75" t="s">
        <v>498</v>
      </c>
      <c r="AL60" s="75" t="s">
        <v>259</v>
      </c>
      <c r="AM60" s="76">
        <v>0</v>
      </c>
      <c r="AN60" s="76">
        <v>2</v>
      </c>
      <c r="AO60" s="77" t="s">
        <v>191</v>
      </c>
    </row>
    <row r="61" ht="24" customHeight="1" spans="1:41">
      <c r="A61" s="25" t="s">
        <v>423</v>
      </c>
      <c r="B61" s="26">
        <v>3</v>
      </c>
      <c r="C61" s="26" t="s">
        <v>424</v>
      </c>
      <c r="D61" s="26">
        <v>2</v>
      </c>
      <c r="E61" s="26" t="s">
        <v>375</v>
      </c>
      <c r="F61" s="26" t="s">
        <v>496</v>
      </c>
      <c r="G61" s="26" t="s">
        <v>497</v>
      </c>
      <c r="H61" s="26" t="s">
        <v>379</v>
      </c>
      <c r="I61" s="26">
        <v>1</v>
      </c>
      <c r="J61" s="26">
        <v>2</v>
      </c>
      <c r="K61" s="70">
        <v>4</v>
      </c>
      <c r="L61" s="70">
        <v>2</v>
      </c>
      <c r="M61" s="70">
        <v>3</v>
      </c>
      <c r="N61" s="71"/>
      <c r="O61" s="70">
        <v>4</v>
      </c>
      <c r="P61" s="70">
        <v>4</v>
      </c>
      <c r="Q61" s="70">
        <v>4</v>
      </c>
      <c r="R61" s="70">
        <v>4</v>
      </c>
      <c r="S61" s="70">
        <v>5</v>
      </c>
      <c r="T61" s="70">
        <v>4</v>
      </c>
      <c r="U61" s="70">
        <v>5</v>
      </c>
      <c r="V61" s="70">
        <v>4</v>
      </c>
      <c r="W61" s="70">
        <v>5</v>
      </c>
      <c r="X61" s="70">
        <v>3</v>
      </c>
      <c r="Y61" s="72">
        <v>46239.4614653356</v>
      </c>
      <c r="Z61" s="72">
        <v>46239.4625337037</v>
      </c>
      <c r="AA61" s="73">
        <v>92.3</v>
      </c>
      <c r="AB61" s="70" t="s">
        <v>266</v>
      </c>
      <c r="AC61" s="70" t="s">
        <v>266</v>
      </c>
      <c r="AD61" s="70" t="s">
        <v>266</v>
      </c>
      <c r="AE61" s="70" t="s">
        <v>386</v>
      </c>
      <c r="AF61" s="74">
        <v>12.53</v>
      </c>
      <c r="AG61" s="74">
        <v>0.764</v>
      </c>
      <c r="AH61" s="74">
        <v>0.869</v>
      </c>
      <c r="AI61" s="74">
        <v>0.995</v>
      </c>
      <c r="AJ61" s="74">
        <v>0.758</v>
      </c>
      <c r="AK61" s="75" t="s">
        <v>498</v>
      </c>
      <c r="AL61" s="75" t="s">
        <v>259</v>
      </c>
      <c r="AM61" s="76">
        <v>1</v>
      </c>
      <c r="AN61" s="76">
        <v>2</v>
      </c>
      <c r="AO61" s="77" t="s">
        <v>506</v>
      </c>
    </row>
    <row r="62" ht="24" customHeight="1" spans="1:41">
      <c r="A62" s="25" t="s">
        <v>423</v>
      </c>
      <c r="B62" s="26">
        <v>4</v>
      </c>
      <c r="C62" s="26" t="s">
        <v>424</v>
      </c>
      <c r="D62" s="26">
        <v>2</v>
      </c>
      <c r="E62" s="26" t="s">
        <v>375</v>
      </c>
      <c r="F62" s="26" t="s">
        <v>496</v>
      </c>
      <c r="G62" s="26" t="s">
        <v>499</v>
      </c>
      <c r="H62" s="26" t="s">
        <v>380</v>
      </c>
      <c r="I62" s="26">
        <v>2</v>
      </c>
      <c r="J62" s="26">
        <v>2</v>
      </c>
      <c r="K62" s="70">
        <v>4</v>
      </c>
      <c r="L62" s="70">
        <v>5</v>
      </c>
      <c r="M62" s="70">
        <v>4</v>
      </c>
      <c r="N62" s="71"/>
      <c r="O62" s="70">
        <v>5</v>
      </c>
      <c r="P62" s="70">
        <v>5</v>
      </c>
      <c r="Q62" s="70">
        <v>5</v>
      </c>
      <c r="R62" s="70">
        <v>5</v>
      </c>
      <c r="S62" s="70">
        <v>5</v>
      </c>
      <c r="T62" s="70">
        <v>4</v>
      </c>
      <c r="U62" s="70">
        <v>5</v>
      </c>
      <c r="V62" s="70">
        <v>5</v>
      </c>
      <c r="W62" s="70">
        <v>4</v>
      </c>
      <c r="X62" s="70">
        <v>3</v>
      </c>
      <c r="Y62" s="72">
        <v>46239.463381412</v>
      </c>
      <c r="Z62" s="72">
        <v>46239.4641105787</v>
      </c>
      <c r="AA62" s="73">
        <v>63</v>
      </c>
      <c r="AB62" s="70" t="s">
        <v>266</v>
      </c>
      <c r="AC62" s="70" t="s">
        <v>266</v>
      </c>
      <c r="AD62" s="70" t="s">
        <v>266</v>
      </c>
      <c r="AE62" s="70" t="s">
        <v>386</v>
      </c>
      <c r="AF62" s="74">
        <v>13.42</v>
      </c>
      <c r="AG62" s="74">
        <v>0.775</v>
      </c>
      <c r="AH62" s="74">
        <v>0.899</v>
      </c>
      <c r="AI62" s="74">
        <v>0.997</v>
      </c>
      <c r="AJ62" s="74">
        <v>0.763</v>
      </c>
      <c r="AK62" s="75" t="s">
        <v>498</v>
      </c>
      <c r="AL62" s="75" t="s">
        <v>259</v>
      </c>
      <c r="AM62" s="76">
        <v>0</v>
      </c>
      <c r="AN62" s="76">
        <v>0</v>
      </c>
      <c r="AO62" s="77" t="s">
        <v>191</v>
      </c>
    </row>
    <row r="63" ht="24" customHeight="1" spans="1:41">
      <c r="A63" s="25" t="s">
        <v>423</v>
      </c>
      <c r="B63" s="26">
        <v>5</v>
      </c>
      <c r="C63" s="26" t="s">
        <v>424</v>
      </c>
      <c r="D63" s="26">
        <v>3</v>
      </c>
      <c r="E63" s="26" t="s">
        <v>377</v>
      </c>
      <c r="F63" s="26" t="s">
        <v>503</v>
      </c>
      <c r="G63" s="26" t="s">
        <v>499</v>
      </c>
      <c r="H63" s="26" t="s">
        <v>380</v>
      </c>
      <c r="I63" s="26">
        <v>1</v>
      </c>
      <c r="J63" s="26">
        <v>3</v>
      </c>
      <c r="K63" s="70">
        <v>4</v>
      </c>
      <c r="L63" s="70">
        <v>5</v>
      </c>
      <c r="M63" s="70">
        <v>5</v>
      </c>
      <c r="N63" s="71"/>
      <c r="O63" s="70">
        <v>6</v>
      </c>
      <c r="P63" s="70">
        <v>5</v>
      </c>
      <c r="Q63" s="70">
        <v>3</v>
      </c>
      <c r="R63" s="70">
        <v>5</v>
      </c>
      <c r="S63" s="70">
        <v>4</v>
      </c>
      <c r="T63" s="70">
        <v>4</v>
      </c>
      <c r="U63" s="70">
        <v>6</v>
      </c>
      <c r="V63" s="70">
        <v>4</v>
      </c>
      <c r="W63" s="70">
        <v>4</v>
      </c>
      <c r="X63" s="70">
        <v>3</v>
      </c>
      <c r="Y63" s="72">
        <v>46239.4649085185</v>
      </c>
      <c r="Z63" s="72">
        <v>46239.4662443982</v>
      </c>
      <c r="AA63" s="73">
        <v>115.4</v>
      </c>
      <c r="AB63" s="70" t="s">
        <v>266</v>
      </c>
      <c r="AC63" s="70" t="s">
        <v>266</v>
      </c>
      <c r="AD63" s="70" t="s">
        <v>266</v>
      </c>
      <c r="AE63" s="70" t="s">
        <v>386</v>
      </c>
      <c r="AF63" s="74">
        <v>12.7</v>
      </c>
      <c r="AG63" s="74">
        <v>0.75</v>
      </c>
      <c r="AH63" s="74">
        <v>0.872</v>
      </c>
      <c r="AI63" s="74">
        <v>0.992</v>
      </c>
      <c r="AJ63" s="74">
        <v>0.749</v>
      </c>
      <c r="AK63" s="75" t="s">
        <v>498</v>
      </c>
      <c r="AL63" s="75" t="s">
        <v>259</v>
      </c>
      <c r="AM63" s="76">
        <v>1</v>
      </c>
      <c r="AN63" s="76">
        <v>0</v>
      </c>
      <c r="AO63" s="77" t="s">
        <v>500</v>
      </c>
    </row>
    <row r="64" ht="24" customHeight="1" spans="1:41">
      <c r="A64" s="78" t="s">
        <v>423</v>
      </c>
      <c r="B64" s="79">
        <v>6</v>
      </c>
      <c r="C64" s="79" t="s">
        <v>424</v>
      </c>
      <c r="D64" s="79">
        <v>3</v>
      </c>
      <c r="E64" s="79" t="s">
        <v>377</v>
      </c>
      <c r="F64" s="79" t="s">
        <v>503</v>
      </c>
      <c r="G64" s="79" t="s">
        <v>497</v>
      </c>
      <c r="H64" s="79" t="s">
        <v>379</v>
      </c>
      <c r="I64" s="79">
        <v>2</v>
      </c>
      <c r="J64" s="79">
        <v>3</v>
      </c>
      <c r="K64" s="80">
        <v>5</v>
      </c>
      <c r="L64" s="80">
        <v>4</v>
      </c>
      <c r="M64" s="80">
        <v>5</v>
      </c>
      <c r="N64" s="81"/>
      <c r="O64" s="80">
        <v>4</v>
      </c>
      <c r="P64" s="80">
        <v>4</v>
      </c>
      <c r="Q64" s="80">
        <v>4</v>
      </c>
      <c r="R64" s="80">
        <v>4</v>
      </c>
      <c r="S64" s="80">
        <v>4</v>
      </c>
      <c r="T64" s="80">
        <v>4</v>
      </c>
      <c r="U64" s="80">
        <v>5</v>
      </c>
      <c r="V64" s="80">
        <v>4</v>
      </c>
      <c r="W64" s="80">
        <v>6</v>
      </c>
      <c r="X64" s="80">
        <v>5</v>
      </c>
      <c r="Y64" s="82">
        <v>46239.4670427662</v>
      </c>
      <c r="Z64" s="82">
        <v>46239.4682227662</v>
      </c>
      <c r="AA64" s="83">
        <v>102</v>
      </c>
      <c r="AB64" s="80" t="s">
        <v>266</v>
      </c>
      <c r="AC64" s="80" t="s">
        <v>266</v>
      </c>
      <c r="AD64" s="80" t="s">
        <v>266</v>
      </c>
      <c r="AE64" s="80" t="s">
        <v>386</v>
      </c>
      <c r="AF64" s="84">
        <v>13.48</v>
      </c>
      <c r="AG64" s="84">
        <v>0.743</v>
      </c>
      <c r="AH64" s="84">
        <v>0.867</v>
      </c>
      <c r="AI64" s="84">
        <v>0.989</v>
      </c>
      <c r="AJ64" s="84">
        <v>0.761</v>
      </c>
      <c r="AK64" s="85" t="s">
        <v>498</v>
      </c>
      <c r="AL64" s="85" t="s">
        <v>259</v>
      </c>
      <c r="AM64" s="86">
        <v>1</v>
      </c>
      <c r="AN64" s="86">
        <v>4</v>
      </c>
      <c r="AO64" s="85" t="s">
        <v>500</v>
      </c>
    </row>
    <row r="65" ht="24" customHeight="1" spans="1:41">
      <c r="A65" s="25" t="s">
        <v>426</v>
      </c>
      <c r="B65" s="26">
        <v>1</v>
      </c>
      <c r="C65" s="26" t="s">
        <v>427</v>
      </c>
      <c r="D65" s="26">
        <v>1</v>
      </c>
      <c r="E65" s="26" t="s">
        <v>376</v>
      </c>
      <c r="F65" s="26" t="s">
        <v>501</v>
      </c>
      <c r="G65" s="26" t="s">
        <v>499</v>
      </c>
      <c r="H65" s="26" t="s">
        <v>379</v>
      </c>
      <c r="I65" s="26">
        <v>1</v>
      </c>
      <c r="J65" s="26">
        <v>1</v>
      </c>
      <c r="K65" s="70">
        <v>5</v>
      </c>
      <c r="L65" s="70">
        <v>6</v>
      </c>
      <c r="M65" s="70">
        <v>5</v>
      </c>
      <c r="N65" s="71"/>
      <c r="O65" s="70">
        <v>5</v>
      </c>
      <c r="P65" s="70">
        <v>5</v>
      </c>
      <c r="Q65" s="70">
        <v>5</v>
      </c>
      <c r="R65" s="70">
        <v>5</v>
      </c>
      <c r="S65" s="70">
        <v>6</v>
      </c>
      <c r="T65" s="70">
        <v>5</v>
      </c>
      <c r="U65" s="70">
        <v>7</v>
      </c>
      <c r="V65" s="70">
        <v>6</v>
      </c>
      <c r="W65" s="70">
        <v>6</v>
      </c>
      <c r="X65" s="70">
        <v>5</v>
      </c>
      <c r="Y65" s="72">
        <v>46239.573149919</v>
      </c>
      <c r="Z65" s="72">
        <v>46239.573985</v>
      </c>
      <c r="AA65" s="73">
        <v>72.2</v>
      </c>
      <c r="AB65" s="70" t="s">
        <v>266</v>
      </c>
      <c r="AC65" s="70" t="s">
        <v>266</v>
      </c>
      <c r="AD65" s="70" t="s">
        <v>266</v>
      </c>
      <c r="AE65" s="70" t="s">
        <v>386</v>
      </c>
      <c r="AF65" s="74">
        <v>13.11</v>
      </c>
      <c r="AG65" s="74">
        <v>0.827</v>
      </c>
      <c r="AH65" s="74">
        <v>0.91</v>
      </c>
      <c r="AI65" s="74">
        <v>0.993</v>
      </c>
      <c r="AJ65" s="74">
        <v>0.778</v>
      </c>
      <c r="AK65" s="75" t="s">
        <v>498</v>
      </c>
      <c r="AL65" s="75" t="s">
        <v>259</v>
      </c>
      <c r="AM65" s="76">
        <v>0</v>
      </c>
      <c r="AN65" s="76">
        <v>4</v>
      </c>
      <c r="AO65" s="77" t="s">
        <v>191</v>
      </c>
    </row>
    <row r="66" ht="24" customHeight="1" spans="1:41">
      <c r="A66" s="25" t="s">
        <v>426</v>
      </c>
      <c r="B66" s="26">
        <v>2</v>
      </c>
      <c r="C66" s="26" t="s">
        <v>427</v>
      </c>
      <c r="D66" s="26">
        <v>1</v>
      </c>
      <c r="E66" s="26" t="s">
        <v>376</v>
      </c>
      <c r="F66" s="26" t="s">
        <v>501</v>
      </c>
      <c r="G66" s="26" t="s">
        <v>497</v>
      </c>
      <c r="H66" s="26" t="s">
        <v>380</v>
      </c>
      <c r="I66" s="26">
        <v>2</v>
      </c>
      <c r="J66" s="26">
        <v>1</v>
      </c>
      <c r="K66" s="70">
        <v>3</v>
      </c>
      <c r="L66" s="70">
        <v>6</v>
      </c>
      <c r="M66" s="70">
        <v>6</v>
      </c>
      <c r="N66" s="71"/>
      <c r="O66" s="70">
        <v>4</v>
      </c>
      <c r="P66" s="70">
        <v>5</v>
      </c>
      <c r="Q66" s="70">
        <v>4</v>
      </c>
      <c r="R66" s="70">
        <v>5</v>
      </c>
      <c r="S66" s="70">
        <v>5</v>
      </c>
      <c r="T66" s="70">
        <v>4</v>
      </c>
      <c r="U66" s="70">
        <v>6</v>
      </c>
      <c r="V66" s="70">
        <v>5</v>
      </c>
      <c r="W66" s="70">
        <v>5</v>
      </c>
      <c r="X66" s="70">
        <v>4</v>
      </c>
      <c r="Y66" s="72">
        <v>46239.5748345833</v>
      </c>
      <c r="Z66" s="72">
        <v>46239.5757879745</v>
      </c>
      <c r="AA66" s="73">
        <v>82.4</v>
      </c>
      <c r="AB66" s="70" t="s">
        <v>266</v>
      </c>
      <c r="AC66" s="70" t="s">
        <v>266</v>
      </c>
      <c r="AD66" s="70" t="s">
        <v>266</v>
      </c>
      <c r="AE66" s="70" t="s">
        <v>386</v>
      </c>
      <c r="AF66" s="74">
        <v>12.7</v>
      </c>
      <c r="AG66" s="74">
        <v>0.797</v>
      </c>
      <c r="AH66" s="74">
        <v>0.873</v>
      </c>
      <c r="AI66" s="74">
        <v>1</v>
      </c>
      <c r="AJ66" s="74">
        <v>0.727</v>
      </c>
      <c r="AK66" s="75" t="s">
        <v>498</v>
      </c>
      <c r="AL66" s="75" t="s">
        <v>259</v>
      </c>
      <c r="AM66" s="76">
        <v>0</v>
      </c>
      <c r="AN66" s="76">
        <v>0</v>
      </c>
      <c r="AO66" s="77" t="s">
        <v>502</v>
      </c>
    </row>
    <row r="67" ht="24" customHeight="1" spans="1:41">
      <c r="A67" s="25" t="s">
        <v>426</v>
      </c>
      <c r="B67" s="26">
        <v>3</v>
      </c>
      <c r="C67" s="26" t="s">
        <v>427</v>
      </c>
      <c r="D67" s="26">
        <v>2</v>
      </c>
      <c r="E67" s="26" t="s">
        <v>375</v>
      </c>
      <c r="F67" s="26" t="s">
        <v>496</v>
      </c>
      <c r="G67" s="26" t="s">
        <v>497</v>
      </c>
      <c r="H67" s="26" t="s">
        <v>380</v>
      </c>
      <c r="I67" s="26">
        <v>1</v>
      </c>
      <c r="J67" s="26">
        <v>2</v>
      </c>
      <c r="K67" s="70">
        <v>4</v>
      </c>
      <c r="L67" s="70">
        <v>4</v>
      </c>
      <c r="M67" s="70">
        <v>5</v>
      </c>
      <c r="N67" s="71"/>
      <c r="O67" s="70">
        <v>5</v>
      </c>
      <c r="P67" s="70">
        <v>5</v>
      </c>
      <c r="Q67" s="70">
        <v>5</v>
      </c>
      <c r="R67" s="70">
        <v>4</v>
      </c>
      <c r="S67" s="70">
        <v>4</v>
      </c>
      <c r="T67" s="70">
        <v>5</v>
      </c>
      <c r="U67" s="70">
        <v>6</v>
      </c>
      <c r="V67" s="70">
        <v>5</v>
      </c>
      <c r="W67" s="70">
        <v>5</v>
      </c>
      <c r="X67" s="70">
        <v>4</v>
      </c>
      <c r="Y67" s="72">
        <v>46239.5768110417</v>
      </c>
      <c r="Z67" s="72">
        <v>46239.5780345023</v>
      </c>
      <c r="AA67" s="73">
        <v>105.7</v>
      </c>
      <c r="AB67" s="70" t="s">
        <v>266</v>
      </c>
      <c r="AC67" s="70" t="s">
        <v>266</v>
      </c>
      <c r="AD67" s="70" t="s">
        <v>266</v>
      </c>
      <c r="AE67" s="70" t="s">
        <v>386</v>
      </c>
      <c r="AF67" s="74">
        <v>12.5</v>
      </c>
      <c r="AG67" s="74">
        <v>0.708</v>
      </c>
      <c r="AH67" s="74">
        <v>0.857</v>
      </c>
      <c r="AI67" s="74">
        <v>0.997</v>
      </c>
      <c r="AJ67" s="74">
        <v>0.745</v>
      </c>
      <c r="AK67" s="75" t="s">
        <v>498</v>
      </c>
      <c r="AL67" s="75" t="s">
        <v>259</v>
      </c>
      <c r="AM67" s="76">
        <v>1</v>
      </c>
      <c r="AN67" s="76">
        <v>0</v>
      </c>
      <c r="AO67" s="77" t="s">
        <v>191</v>
      </c>
    </row>
    <row r="68" ht="24" customHeight="1" spans="1:41">
      <c r="A68" s="25" t="s">
        <v>426</v>
      </c>
      <c r="B68" s="26">
        <v>4</v>
      </c>
      <c r="C68" s="26" t="s">
        <v>427</v>
      </c>
      <c r="D68" s="26">
        <v>2</v>
      </c>
      <c r="E68" s="26" t="s">
        <v>375</v>
      </c>
      <c r="F68" s="26" t="s">
        <v>496</v>
      </c>
      <c r="G68" s="26" t="s">
        <v>499</v>
      </c>
      <c r="H68" s="26" t="s">
        <v>379</v>
      </c>
      <c r="I68" s="26">
        <v>2</v>
      </c>
      <c r="J68" s="26">
        <v>2</v>
      </c>
      <c r="K68" s="70">
        <v>5</v>
      </c>
      <c r="L68" s="70">
        <v>6</v>
      </c>
      <c r="M68" s="70">
        <v>4</v>
      </c>
      <c r="N68" s="71"/>
      <c r="O68" s="70">
        <v>5</v>
      </c>
      <c r="P68" s="70">
        <v>6</v>
      </c>
      <c r="Q68" s="70">
        <v>4</v>
      </c>
      <c r="R68" s="70">
        <v>5</v>
      </c>
      <c r="S68" s="70">
        <v>5</v>
      </c>
      <c r="T68" s="70">
        <v>5</v>
      </c>
      <c r="U68" s="70">
        <v>5</v>
      </c>
      <c r="V68" s="70">
        <v>5</v>
      </c>
      <c r="W68" s="70">
        <v>5</v>
      </c>
      <c r="X68" s="70">
        <v>5</v>
      </c>
      <c r="Y68" s="72">
        <v>46239.5788087847</v>
      </c>
      <c r="Z68" s="72">
        <v>46239.5797742593</v>
      </c>
      <c r="AA68" s="73">
        <v>83.4</v>
      </c>
      <c r="AB68" s="70" t="s">
        <v>266</v>
      </c>
      <c r="AC68" s="70" t="s">
        <v>266</v>
      </c>
      <c r="AD68" s="70" t="s">
        <v>266</v>
      </c>
      <c r="AE68" s="70" t="s">
        <v>386</v>
      </c>
      <c r="AF68" s="74">
        <v>12.16</v>
      </c>
      <c r="AG68" s="74">
        <v>0.794</v>
      </c>
      <c r="AH68" s="74">
        <v>0.879</v>
      </c>
      <c r="AI68" s="74">
        <v>0.995</v>
      </c>
      <c r="AJ68" s="74">
        <v>0.719</v>
      </c>
      <c r="AK68" s="75" t="s">
        <v>498</v>
      </c>
      <c r="AL68" s="75" t="s">
        <v>259</v>
      </c>
      <c r="AM68" s="76">
        <v>1</v>
      </c>
      <c r="AN68" s="76">
        <v>3</v>
      </c>
      <c r="AO68" s="77" t="s">
        <v>191</v>
      </c>
    </row>
    <row r="69" ht="24" customHeight="1" spans="1:41">
      <c r="A69" s="25" t="s">
        <v>426</v>
      </c>
      <c r="B69" s="26">
        <v>5</v>
      </c>
      <c r="C69" s="26" t="s">
        <v>427</v>
      </c>
      <c r="D69" s="26">
        <v>3</v>
      </c>
      <c r="E69" s="26" t="s">
        <v>377</v>
      </c>
      <c r="F69" s="26" t="s">
        <v>503</v>
      </c>
      <c r="G69" s="26" t="s">
        <v>499</v>
      </c>
      <c r="H69" s="26" t="s">
        <v>379</v>
      </c>
      <c r="I69" s="26">
        <v>1</v>
      </c>
      <c r="J69" s="26">
        <v>3</v>
      </c>
      <c r="K69" s="70">
        <v>5</v>
      </c>
      <c r="L69" s="70">
        <v>6</v>
      </c>
      <c r="M69" s="70">
        <v>5</v>
      </c>
      <c r="N69" s="71"/>
      <c r="O69" s="70">
        <v>6</v>
      </c>
      <c r="P69" s="70">
        <v>4</v>
      </c>
      <c r="Q69" s="70">
        <v>7</v>
      </c>
      <c r="R69" s="70">
        <v>5</v>
      </c>
      <c r="S69" s="70">
        <v>6</v>
      </c>
      <c r="T69" s="70">
        <v>4</v>
      </c>
      <c r="U69" s="70">
        <v>5</v>
      </c>
      <c r="V69" s="70">
        <v>4</v>
      </c>
      <c r="W69" s="70">
        <v>5</v>
      </c>
      <c r="X69" s="70">
        <v>5</v>
      </c>
      <c r="Y69" s="72">
        <v>46239.5807197454</v>
      </c>
      <c r="Z69" s="72">
        <v>46239.5814813889</v>
      </c>
      <c r="AA69" s="73">
        <v>65.8</v>
      </c>
      <c r="AB69" s="70" t="s">
        <v>266</v>
      </c>
      <c r="AC69" s="70" t="s">
        <v>266</v>
      </c>
      <c r="AD69" s="70" t="s">
        <v>266</v>
      </c>
      <c r="AE69" s="70" t="s">
        <v>386</v>
      </c>
      <c r="AF69" s="74">
        <v>13.28</v>
      </c>
      <c r="AG69" s="74">
        <v>0.783</v>
      </c>
      <c r="AH69" s="74">
        <v>0.881</v>
      </c>
      <c r="AI69" s="74">
        <v>0.996</v>
      </c>
      <c r="AJ69" s="74">
        <v>0.777</v>
      </c>
      <c r="AK69" s="75" t="s">
        <v>498</v>
      </c>
      <c r="AL69" s="75" t="s">
        <v>259</v>
      </c>
      <c r="AM69" s="76">
        <v>0</v>
      </c>
      <c r="AN69" s="76">
        <v>4</v>
      </c>
      <c r="AO69" s="77" t="s">
        <v>191</v>
      </c>
    </row>
    <row r="70" ht="24" customHeight="1" spans="1:41">
      <c r="A70" s="78" t="s">
        <v>426</v>
      </c>
      <c r="B70" s="79">
        <v>6</v>
      </c>
      <c r="C70" s="79" t="s">
        <v>427</v>
      </c>
      <c r="D70" s="79">
        <v>3</v>
      </c>
      <c r="E70" s="79" t="s">
        <v>377</v>
      </c>
      <c r="F70" s="79" t="s">
        <v>503</v>
      </c>
      <c r="G70" s="79" t="s">
        <v>497</v>
      </c>
      <c r="H70" s="79" t="s">
        <v>380</v>
      </c>
      <c r="I70" s="79">
        <v>2</v>
      </c>
      <c r="J70" s="79">
        <v>3</v>
      </c>
      <c r="K70" s="80">
        <v>4</v>
      </c>
      <c r="L70" s="80">
        <v>5</v>
      </c>
      <c r="M70" s="80">
        <v>4</v>
      </c>
      <c r="N70" s="81"/>
      <c r="O70" s="80">
        <v>4</v>
      </c>
      <c r="P70" s="80">
        <v>5</v>
      </c>
      <c r="Q70" s="80">
        <v>4</v>
      </c>
      <c r="R70" s="80">
        <v>3</v>
      </c>
      <c r="S70" s="80">
        <v>4</v>
      </c>
      <c r="T70" s="80">
        <v>5</v>
      </c>
      <c r="U70" s="80">
        <v>3</v>
      </c>
      <c r="V70" s="80">
        <v>4</v>
      </c>
      <c r="W70" s="80">
        <v>2</v>
      </c>
      <c r="X70" s="80">
        <v>3</v>
      </c>
      <c r="Y70" s="82">
        <v>46239.5823911574</v>
      </c>
      <c r="Z70" s="82">
        <v>46239.5834893866</v>
      </c>
      <c r="AA70" s="83">
        <v>94.9</v>
      </c>
      <c r="AB70" s="80" t="s">
        <v>266</v>
      </c>
      <c r="AC70" s="80" t="s">
        <v>266</v>
      </c>
      <c r="AD70" s="80" t="s">
        <v>266</v>
      </c>
      <c r="AE70" s="80" t="s">
        <v>386</v>
      </c>
      <c r="AF70" s="84">
        <v>13.5</v>
      </c>
      <c r="AG70" s="84">
        <v>0.754</v>
      </c>
      <c r="AH70" s="84">
        <v>0.848</v>
      </c>
      <c r="AI70" s="84">
        <v>0.99</v>
      </c>
      <c r="AJ70" s="84">
        <v>0.792</v>
      </c>
      <c r="AK70" s="85" t="s">
        <v>498</v>
      </c>
      <c r="AL70" s="85" t="s">
        <v>259</v>
      </c>
      <c r="AM70" s="86">
        <v>1</v>
      </c>
      <c r="AN70" s="86">
        <v>0</v>
      </c>
      <c r="AO70" s="85" t="s">
        <v>500</v>
      </c>
    </row>
    <row r="71" ht="24" customHeight="1" spans="1:41">
      <c r="A71" s="25" t="s">
        <v>429</v>
      </c>
      <c r="B71" s="26">
        <v>1</v>
      </c>
      <c r="C71" s="26" t="s">
        <v>430</v>
      </c>
      <c r="D71" s="26">
        <v>1</v>
      </c>
      <c r="E71" s="26" t="s">
        <v>376</v>
      </c>
      <c r="F71" s="26" t="s">
        <v>501</v>
      </c>
      <c r="G71" s="26" t="s">
        <v>497</v>
      </c>
      <c r="H71" s="26" t="s">
        <v>380</v>
      </c>
      <c r="I71" s="26">
        <v>1</v>
      </c>
      <c r="J71" s="26">
        <v>1</v>
      </c>
      <c r="K71" s="70">
        <v>4</v>
      </c>
      <c r="L71" s="70">
        <v>5</v>
      </c>
      <c r="M71" s="70">
        <v>5</v>
      </c>
      <c r="N71" s="71"/>
      <c r="O71" s="70">
        <v>7</v>
      </c>
      <c r="P71" s="70">
        <v>5</v>
      </c>
      <c r="Q71" s="70">
        <v>4</v>
      </c>
      <c r="R71" s="70">
        <v>6</v>
      </c>
      <c r="S71" s="70">
        <v>6</v>
      </c>
      <c r="T71" s="70">
        <v>5</v>
      </c>
      <c r="U71" s="70">
        <v>7</v>
      </c>
      <c r="V71" s="70">
        <v>5</v>
      </c>
      <c r="W71" s="70">
        <v>5</v>
      </c>
      <c r="X71" s="70">
        <v>5</v>
      </c>
      <c r="Y71" s="72">
        <v>46239.6490823611</v>
      </c>
      <c r="Z71" s="72">
        <v>46239.6501228704</v>
      </c>
      <c r="AA71" s="73">
        <v>89.9</v>
      </c>
      <c r="AB71" s="70" t="s">
        <v>266</v>
      </c>
      <c r="AC71" s="70" t="s">
        <v>266</v>
      </c>
      <c r="AD71" s="70" t="s">
        <v>266</v>
      </c>
      <c r="AE71" s="70" t="s">
        <v>386</v>
      </c>
      <c r="AF71" s="74">
        <v>12.41</v>
      </c>
      <c r="AG71" s="74">
        <v>0.81</v>
      </c>
      <c r="AH71" s="74">
        <v>0.885</v>
      </c>
      <c r="AI71" s="74">
        <v>0.989</v>
      </c>
      <c r="AJ71" s="74">
        <v>0.787</v>
      </c>
      <c r="AK71" s="75" t="s">
        <v>498</v>
      </c>
      <c r="AL71" s="75" t="s">
        <v>259</v>
      </c>
      <c r="AM71" s="76">
        <v>1</v>
      </c>
      <c r="AN71" s="76">
        <v>0</v>
      </c>
      <c r="AO71" s="77" t="s">
        <v>502</v>
      </c>
    </row>
    <row r="72" ht="24" customHeight="1" spans="1:41">
      <c r="A72" s="25" t="s">
        <v>429</v>
      </c>
      <c r="B72" s="26">
        <v>2</v>
      </c>
      <c r="C72" s="26" t="s">
        <v>430</v>
      </c>
      <c r="D72" s="26">
        <v>1</v>
      </c>
      <c r="E72" s="26" t="s">
        <v>376</v>
      </c>
      <c r="F72" s="26" t="s">
        <v>501</v>
      </c>
      <c r="G72" s="26" t="s">
        <v>499</v>
      </c>
      <c r="H72" s="26" t="s">
        <v>379</v>
      </c>
      <c r="I72" s="26">
        <v>2</v>
      </c>
      <c r="J72" s="26">
        <v>1</v>
      </c>
      <c r="K72" s="70">
        <v>6</v>
      </c>
      <c r="L72" s="70">
        <v>5</v>
      </c>
      <c r="M72" s="70">
        <v>7</v>
      </c>
      <c r="N72" s="71"/>
      <c r="O72" s="70">
        <v>6</v>
      </c>
      <c r="P72" s="70">
        <v>5</v>
      </c>
      <c r="Q72" s="70">
        <v>7</v>
      </c>
      <c r="R72" s="70">
        <v>6</v>
      </c>
      <c r="S72" s="70">
        <v>7</v>
      </c>
      <c r="T72" s="70">
        <v>7</v>
      </c>
      <c r="U72" s="70">
        <v>6</v>
      </c>
      <c r="V72" s="70">
        <v>7</v>
      </c>
      <c r="W72" s="70">
        <v>6</v>
      </c>
      <c r="X72" s="70">
        <v>7</v>
      </c>
      <c r="Y72" s="72">
        <v>46239.6509549306</v>
      </c>
      <c r="Z72" s="72">
        <v>46239.6517385069</v>
      </c>
      <c r="AA72" s="73">
        <v>67.7</v>
      </c>
      <c r="AB72" s="70" t="s">
        <v>266</v>
      </c>
      <c r="AC72" s="70" t="s">
        <v>266</v>
      </c>
      <c r="AD72" s="70" t="s">
        <v>266</v>
      </c>
      <c r="AE72" s="70" t="s">
        <v>386</v>
      </c>
      <c r="AF72" s="74">
        <v>13.18</v>
      </c>
      <c r="AG72" s="74">
        <v>0.818</v>
      </c>
      <c r="AH72" s="74">
        <v>0.881</v>
      </c>
      <c r="AI72" s="74">
        <v>0.986</v>
      </c>
      <c r="AJ72" s="74">
        <v>0.754</v>
      </c>
      <c r="AK72" s="75" t="s">
        <v>498</v>
      </c>
      <c r="AL72" s="75" t="s">
        <v>259</v>
      </c>
      <c r="AM72" s="76">
        <v>1</v>
      </c>
      <c r="AN72" s="76">
        <v>3</v>
      </c>
      <c r="AO72" s="77" t="s">
        <v>191</v>
      </c>
    </row>
    <row r="73" ht="24" customHeight="1" spans="1:41">
      <c r="A73" s="25" t="s">
        <v>429</v>
      </c>
      <c r="B73" s="26">
        <v>3</v>
      </c>
      <c r="C73" s="26" t="s">
        <v>430</v>
      </c>
      <c r="D73" s="26">
        <v>2</v>
      </c>
      <c r="E73" s="26" t="s">
        <v>375</v>
      </c>
      <c r="F73" s="26" t="s">
        <v>496</v>
      </c>
      <c r="G73" s="26" t="s">
        <v>499</v>
      </c>
      <c r="H73" s="26" t="s">
        <v>379</v>
      </c>
      <c r="I73" s="26">
        <v>1</v>
      </c>
      <c r="J73" s="26">
        <v>2</v>
      </c>
      <c r="K73" s="70">
        <v>7</v>
      </c>
      <c r="L73" s="70">
        <v>6</v>
      </c>
      <c r="M73" s="70">
        <v>6</v>
      </c>
      <c r="N73" s="71"/>
      <c r="O73" s="70">
        <v>6</v>
      </c>
      <c r="P73" s="70">
        <v>6</v>
      </c>
      <c r="Q73" s="70">
        <v>5</v>
      </c>
      <c r="R73" s="70">
        <v>6</v>
      </c>
      <c r="S73" s="70">
        <v>5</v>
      </c>
      <c r="T73" s="70">
        <v>6</v>
      </c>
      <c r="U73" s="70">
        <v>5</v>
      </c>
      <c r="V73" s="70">
        <v>7</v>
      </c>
      <c r="W73" s="70">
        <v>5</v>
      </c>
      <c r="X73" s="70">
        <v>7</v>
      </c>
      <c r="Y73" s="72">
        <v>46239.6526089005</v>
      </c>
      <c r="Z73" s="72">
        <v>46239.6535916088</v>
      </c>
      <c r="AA73" s="73">
        <v>84.9</v>
      </c>
      <c r="AB73" s="70" t="s">
        <v>266</v>
      </c>
      <c r="AC73" s="70" t="s">
        <v>266</v>
      </c>
      <c r="AD73" s="70" t="s">
        <v>266</v>
      </c>
      <c r="AE73" s="70" t="s">
        <v>386</v>
      </c>
      <c r="AF73" s="74">
        <v>12.58</v>
      </c>
      <c r="AG73" s="74">
        <v>0.757</v>
      </c>
      <c r="AH73" s="74">
        <v>0.859</v>
      </c>
      <c r="AI73" s="74">
        <v>1</v>
      </c>
      <c r="AJ73" s="74">
        <v>0.81</v>
      </c>
      <c r="AK73" s="75" t="s">
        <v>498</v>
      </c>
      <c r="AL73" s="75" t="s">
        <v>259</v>
      </c>
      <c r="AM73" s="76">
        <v>1</v>
      </c>
      <c r="AN73" s="76">
        <v>3</v>
      </c>
      <c r="AO73" s="77" t="s">
        <v>191</v>
      </c>
    </row>
    <row r="74" ht="24" customHeight="1" spans="1:41">
      <c r="A74" s="25" t="s">
        <v>429</v>
      </c>
      <c r="B74" s="26">
        <v>4</v>
      </c>
      <c r="C74" s="26" t="s">
        <v>430</v>
      </c>
      <c r="D74" s="26">
        <v>2</v>
      </c>
      <c r="E74" s="26" t="s">
        <v>375</v>
      </c>
      <c r="F74" s="26" t="s">
        <v>496</v>
      </c>
      <c r="G74" s="26" t="s">
        <v>497</v>
      </c>
      <c r="H74" s="26" t="s">
        <v>380</v>
      </c>
      <c r="I74" s="26">
        <v>2</v>
      </c>
      <c r="J74" s="26">
        <v>2</v>
      </c>
      <c r="K74" s="70">
        <v>6</v>
      </c>
      <c r="L74" s="70">
        <v>6</v>
      </c>
      <c r="M74" s="70">
        <v>5</v>
      </c>
      <c r="N74" s="71"/>
      <c r="O74" s="70">
        <v>5</v>
      </c>
      <c r="P74" s="70">
        <v>6</v>
      </c>
      <c r="Q74" s="70">
        <v>5</v>
      </c>
      <c r="R74" s="70">
        <v>5</v>
      </c>
      <c r="S74" s="70">
        <v>7</v>
      </c>
      <c r="T74" s="70">
        <v>4</v>
      </c>
      <c r="U74" s="70">
        <v>5</v>
      </c>
      <c r="V74" s="70">
        <v>4</v>
      </c>
      <c r="W74" s="70">
        <v>5</v>
      </c>
      <c r="X74" s="70">
        <v>5</v>
      </c>
      <c r="Y74" s="72">
        <v>46239.6544292014</v>
      </c>
      <c r="Z74" s="72">
        <v>46239.6552393519</v>
      </c>
      <c r="AA74" s="73">
        <v>70</v>
      </c>
      <c r="AB74" s="70" t="s">
        <v>266</v>
      </c>
      <c r="AC74" s="70" t="s">
        <v>266</v>
      </c>
      <c r="AD74" s="70" t="s">
        <v>266</v>
      </c>
      <c r="AE74" s="70" t="s">
        <v>386</v>
      </c>
      <c r="AF74" s="74">
        <v>13.65</v>
      </c>
      <c r="AG74" s="74">
        <v>0.724</v>
      </c>
      <c r="AH74" s="74">
        <v>0.833</v>
      </c>
      <c r="AI74" s="74">
        <v>0.992</v>
      </c>
      <c r="AJ74" s="74">
        <v>0.85</v>
      </c>
      <c r="AK74" s="75" t="s">
        <v>498</v>
      </c>
      <c r="AL74" s="75" t="s">
        <v>259</v>
      </c>
      <c r="AM74" s="76">
        <v>1</v>
      </c>
      <c r="AN74" s="76">
        <v>0</v>
      </c>
      <c r="AO74" s="77" t="s">
        <v>191</v>
      </c>
    </row>
    <row r="75" ht="24" customHeight="1" spans="1:41">
      <c r="A75" s="25" t="s">
        <v>429</v>
      </c>
      <c r="B75" s="26">
        <v>5</v>
      </c>
      <c r="C75" s="26" t="s">
        <v>430</v>
      </c>
      <c r="D75" s="26">
        <v>3</v>
      </c>
      <c r="E75" s="26" t="s">
        <v>377</v>
      </c>
      <c r="F75" s="26" t="s">
        <v>503</v>
      </c>
      <c r="G75" s="26" t="s">
        <v>497</v>
      </c>
      <c r="H75" s="26" t="s">
        <v>380</v>
      </c>
      <c r="I75" s="26">
        <v>1</v>
      </c>
      <c r="J75" s="26">
        <v>3</v>
      </c>
      <c r="K75" s="70">
        <v>5</v>
      </c>
      <c r="L75" s="70">
        <v>5</v>
      </c>
      <c r="M75" s="70">
        <v>7</v>
      </c>
      <c r="N75" s="71"/>
      <c r="O75" s="70">
        <v>6</v>
      </c>
      <c r="P75" s="70">
        <v>5</v>
      </c>
      <c r="Q75" s="70">
        <v>4</v>
      </c>
      <c r="R75" s="70">
        <v>5</v>
      </c>
      <c r="S75" s="70">
        <v>5</v>
      </c>
      <c r="T75" s="70">
        <v>5</v>
      </c>
      <c r="U75" s="70">
        <v>5</v>
      </c>
      <c r="V75" s="70">
        <v>6</v>
      </c>
      <c r="W75" s="70">
        <v>5</v>
      </c>
      <c r="X75" s="70">
        <v>4</v>
      </c>
      <c r="Y75" s="72">
        <v>46239.6560525463</v>
      </c>
      <c r="Z75" s="72">
        <v>46239.6569581597</v>
      </c>
      <c r="AA75" s="73">
        <v>78.2</v>
      </c>
      <c r="AB75" s="70" t="s">
        <v>266</v>
      </c>
      <c r="AC75" s="70" t="s">
        <v>266</v>
      </c>
      <c r="AD75" s="70" t="s">
        <v>266</v>
      </c>
      <c r="AE75" s="70" t="s">
        <v>386</v>
      </c>
      <c r="AF75" s="74">
        <v>13.71</v>
      </c>
      <c r="AG75" s="74">
        <v>0.794</v>
      </c>
      <c r="AH75" s="74">
        <v>0.866</v>
      </c>
      <c r="AI75" s="74">
        <v>0.994</v>
      </c>
      <c r="AJ75" s="74">
        <v>0.725</v>
      </c>
      <c r="AK75" s="75" t="s">
        <v>498</v>
      </c>
      <c r="AL75" s="75" t="s">
        <v>259</v>
      </c>
      <c r="AM75" s="76">
        <v>1</v>
      </c>
      <c r="AN75" s="76">
        <v>0</v>
      </c>
      <c r="AO75" s="77" t="s">
        <v>500</v>
      </c>
    </row>
    <row r="76" ht="24" customHeight="1" spans="1:41">
      <c r="A76" s="78" t="s">
        <v>429</v>
      </c>
      <c r="B76" s="79">
        <v>6</v>
      </c>
      <c r="C76" s="79" t="s">
        <v>430</v>
      </c>
      <c r="D76" s="79">
        <v>3</v>
      </c>
      <c r="E76" s="79" t="s">
        <v>377</v>
      </c>
      <c r="F76" s="79" t="s">
        <v>503</v>
      </c>
      <c r="G76" s="79" t="s">
        <v>499</v>
      </c>
      <c r="H76" s="79" t="s">
        <v>379</v>
      </c>
      <c r="I76" s="79">
        <v>2</v>
      </c>
      <c r="J76" s="79">
        <v>3</v>
      </c>
      <c r="K76" s="80">
        <v>7</v>
      </c>
      <c r="L76" s="80">
        <v>6</v>
      </c>
      <c r="M76" s="80">
        <v>6</v>
      </c>
      <c r="N76" s="81"/>
      <c r="O76" s="80">
        <v>6</v>
      </c>
      <c r="P76" s="80">
        <v>7</v>
      </c>
      <c r="Q76" s="80">
        <v>7</v>
      </c>
      <c r="R76" s="80">
        <v>6</v>
      </c>
      <c r="S76" s="80">
        <v>7</v>
      </c>
      <c r="T76" s="80">
        <v>7</v>
      </c>
      <c r="U76" s="80">
        <v>5</v>
      </c>
      <c r="V76" s="80">
        <v>7</v>
      </c>
      <c r="W76" s="80">
        <v>7</v>
      </c>
      <c r="X76" s="80">
        <v>5</v>
      </c>
      <c r="Y76" s="82">
        <v>46239.6578753704</v>
      </c>
      <c r="Z76" s="82">
        <v>46239.658700081</v>
      </c>
      <c r="AA76" s="83">
        <v>71.3</v>
      </c>
      <c r="AB76" s="80" t="s">
        <v>266</v>
      </c>
      <c r="AC76" s="80" t="s">
        <v>266</v>
      </c>
      <c r="AD76" s="80" t="s">
        <v>266</v>
      </c>
      <c r="AE76" s="80" t="s">
        <v>386</v>
      </c>
      <c r="AF76" s="84">
        <v>13.24</v>
      </c>
      <c r="AG76" s="84">
        <v>0.809</v>
      </c>
      <c r="AH76" s="84">
        <v>0.879</v>
      </c>
      <c r="AI76" s="84">
        <v>0.992</v>
      </c>
      <c r="AJ76" s="84">
        <v>0.86</v>
      </c>
      <c r="AK76" s="85" t="s">
        <v>498</v>
      </c>
      <c r="AL76" s="85" t="s">
        <v>259</v>
      </c>
      <c r="AM76" s="86">
        <v>1</v>
      </c>
      <c r="AN76" s="86">
        <v>4</v>
      </c>
      <c r="AO76" s="85" t="s">
        <v>191</v>
      </c>
    </row>
    <row r="77" ht="24" customHeight="1" spans="1:41">
      <c r="A77" s="25" t="s">
        <v>432</v>
      </c>
      <c r="B77" s="26">
        <v>1</v>
      </c>
      <c r="C77" s="26" t="s">
        <v>433</v>
      </c>
      <c r="D77" s="26">
        <v>1</v>
      </c>
      <c r="E77" s="26" t="s">
        <v>376</v>
      </c>
      <c r="F77" s="26" t="s">
        <v>501</v>
      </c>
      <c r="G77" s="26" t="s">
        <v>497</v>
      </c>
      <c r="H77" s="26" t="s">
        <v>379</v>
      </c>
      <c r="I77" s="26">
        <v>1</v>
      </c>
      <c r="J77" s="26">
        <v>1</v>
      </c>
      <c r="K77" s="70">
        <v>4</v>
      </c>
      <c r="L77" s="70">
        <v>5</v>
      </c>
      <c r="M77" s="70">
        <v>4</v>
      </c>
      <c r="N77" s="71"/>
      <c r="O77" s="70">
        <v>4</v>
      </c>
      <c r="P77" s="70">
        <v>6</v>
      </c>
      <c r="Q77" s="70">
        <v>5</v>
      </c>
      <c r="R77" s="70">
        <v>5</v>
      </c>
      <c r="S77" s="70">
        <v>4</v>
      </c>
      <c r="T77" s="70">
        <v>4</v>
      </c>
      <c r="U77" s="70">
        <v>6</v>
      </c>
      <c r="V77" s="70">
        <v>6</v>
      </c>
      <c r="W77" s="70">
        <v>5</v>
      </c>
      <c r="X77" s="70">
        <v>4</v>
      </c>
      <c r="Y77" s="72">
        <v>46240.3800864815</v>
      </c>
      <c r="Z77" s="72">
        <v>46240.381497963</v>
      </c>
      <c r="AA77" s="73">
        <v>122</v>
      </c>
      <c r="AB77" s="70" t="s">
        <v>266</v>
      </c>
      <c r="AC77" s="70" t="s">
        <v>266</v>
      </c>
      <c r="AD77" s="70" t="s">
        <v>266</v>
      </c>
      <c r="AE77" s="70" t="s">
        <v>386</v>
      </c>
      <c r="AF77" s="74">
        <v>12.83</v>
      </c>
      <c r="AG77" s="74">
        <v>0.871</v>
      </c>
      <c r="AH77" s="74">
        <v>0.918</v>
      </c>
      <c r="AI77" s="74">
        <v>0.993</v>
      </c>
      <c r="AJ77" s="74">
        <v>0.71</v>
      </c>
      <c r="AK77" s="75" t="s">
        <v>498</v>
      </c>
      <c r="AL77" s="75" t="s">
        <v>259</v>
      </c>
      <c r="AM77" s="76">
        <v>1</v>
      </c>
      <c r="AN77" s="76">
        <v>2</v>
      </c>
      <c r="AO77" s="77" t="s">
        <v>191</v>
      </c>
    </row>
    <row r="78" ht="24" customHeight="1" spans="1:41">
      <c r="A78" s="25" t="s">
        <v>432</v>
      </c>
      <c r="B78" s="26">
        <v>2</v>
      </c>
      <c r="C78" s="26" t="s">
        <v>433</v>
      </c>
      <c r="D78" s="26">
        <v>1</v>
      </c>
      <c r="E78" s="26" t="s">
        <v>376</v>
      </c>
      <c r="F78" s="26" t="s">
        <v>501</v>
      </c>
      <c r="G78" s="26" t="s">
        <v>499</v>
      </c>
      <c r="H78" s="26" t="s">
        <v>380</v>
      </c>
      <c r="I78" s="26">
        <v>2</v>
      </c>
      <c r="J78" s="26">
        <v>1</v>
      </c>
      <c r="K78" s="70">
        <v>5</v>
      </c>
      <c r="L78" s="70">
        <v>4</v>
      </c>
      <c r="M78" s="70">
        <v>5</v>
      </c>
      <c r="N78" s="71"/>
      <c r="O78" s="70">
        <v>5</v>
      </c>
      <c r="P78" s="70">
        <v>4</v>
      </c>
      <c r="Q78" s="70">
        <v>6</v>
      </c>
      <c r="R78" s="70">
        <v>4</v>
      </c>
      <c r="S78" s="70">
        <v>5</v>
      </c>
      <c r="T78" s="70">
        <v>6</v>
      </c>
      <c r="U78" s="70">
        <v>5</v>
      </c>
      <c r="V78" s="70">
        <v>5</v>
      </c>
      <c r="W78" s="70">
        <v>6</v>
      </c>
      <c r="X78" s="70">
        <v>6</v>
      </c>
      <c r="Y78" s="72">
        <v>46240.3823281134</v>
      </c>
      <c r="Z78" s="72">
        <v>46240.3835735185</v>
      </c>
      <c r="AA78" s="73">
        <v>107.6</v>
      </c>
      <c r="AB78" s="70" t="s">
        <v>266</v>
      </c>
      <c r="AC78" s="70" t="s">
        <v>266</v>
      </c>
      <c r="AD78" s="70" t="s">
        <v>266</v>
      </c>
      <c r="AE78" s="70" t="s">
        <v>386</v>
      </c>
      <c r="AF78" s="74">
        <v>13.27</v>
      </c>
      <c r="AG78" s="74">
        <v>0.78</v>
      </c>
      <c r="AH78" s="74">
        <v>0.901</v>
      </c>
      <c r="AI78" s="74">
        <v>0.993</v>
      </c>
      <c r="AJ78" s="74">
        <v>0.731</v>
      </c>
      <c r="AK78" s="75" t="s">
        <v>498</v>
      </c>
      <c r="AL78" s="75" t="s">
        <v>259</v>
      </c>
      <c r="AM78" s="76">
        <v>1</v>
      </c>
      <c r="AN78" s="76">
        <v>0</v>
      </c>
      <c r="AO78" s="77" t="s">
        <v>191</v>
      </c>
    </row>
    <row r="79" ht="24" customHeight="1" spans="1:41">
      <c r="A79" s="25" t="s">
        <v>432</v>
      </c>
      <c r="B79" s="26">
        <v>3</v>
      </c>
      <c r="C79" s="26" t="s">
        <v>433</v>
      </c>
      <c r="D79" s="26">
        <v>2</v>
      </c>
      <c r="E79" s="26" t="s">
        <v>377</v>
      </c>
      <c r="F79" s="26" t="s">
        <v>503</v>
      </c>
      <c r="G79" s="26" t="s">
        <v>499</v>
      </c>
      <c r="H79" s="26" t="s">
        <v>380</v>
      </c>
      <c r="I79" s="26">
        <v>1</v>
      </c>
      <c r="J79" s="26">
        <v>2</v>
      </c>
      <c r="K79" s="70">
        <v>4</v>
      </c>
      <c r="L79" s="70">
        <v>5</v>
      </c>
      <c r="M79" s="70">
        <v>4</v>
      </c>
      <c r="N79" s="71"/>
      <c r="O79" s="70">
        <v>5</v>
      </c>
      <c r="P79" s="70">
        <v>6</v>
      </c>
      <c r="Q79" s="70">
        <v>4</v>
      </c>
      <c r="R79" s="70">
        <v>5</v>
      </c>
      <c r="S79" s="70">
        <v>4</v>
      </c>
      <c r="T79" s="70">
        <v>5</v>
      </c>
      <c r="U79" s="70">
        <v>5</v>
      </c>
      <c r="V79" s="70">
        <v>5</v>
      </c>
      <c r="W79" s="70">
        <v>4</v>
      </c>
      <c r="X79" s="70">
        <v>4</v>
      </c>
      <c r="Y79" s="72">
        <v>46240.3845599884</v>
      </c>
      <c r="Z79" s="72">
        <v>46240.385512419</v>
      </c>
      <c r="AA79" s="73">
        <v>82.3</v>
      </c>
      <c r="AB79" s="70" t="s">
        <v>266</v>
      </c>
      <c r="AC79" s="70" t="s">
        <v>266</v>
      </c>
      <c r="AD79" s="70" t="s">
        <v>266</v>
      </c>
      <c r="AE79" s="70" t="s">
        <v>386</v>
      </c>
      <c r="AF79" s="74">
        <v>12.72</v>
      </c>
      <c r="AG79" s="74">
        <v>0.774</v>
      </c>
      <c r="AH79" s="74">
        <v>0.937</v>
      </c>
      <c r="AI79" s="74">
        <v>0.99</v>
      </c>
      <c r="AJ79" s="74">
        <v>0.725</v>
      </c>
      <c r="AK79" s="75" t="s">
        <v>498</v>
      </c>
      <c r="AL79" s="75" t="s">
        <v>259</v>
      </c>
      <c r="AM79" s="76">
        <v>0</v>
      </c>
      <c r="AN79" s="76">
        <v>0</v>
      </c>
      <c r="AO79" s="77" t="s">
        <v>191</v>
      </c>
    </row>
    <row r="80" ht="24" customHeight="1" spans="1:41">
      <c r="A80" s="25" t="s">
        <v>432</v>
      </c>
      <c r="B80" s="26">
        <v>4</v>
      </c>
      <c r="C80" s="26" t="s">
        <v>433</v>
      </c>
      <c r="D80" s="26">
        <v>2</v>
      </c>
      <c r="E80" s="26" t="s">
        <v>377</v>
      </c>
      <c r="F80" s="26" t="s">
        <v>503</v>
      </c>
      <c r="G80" s="26" t="s">
        <v>497</v>
      </c>
      <c r="H80" s="26" t="s">
        <v>379</v>
      </c>
      <c r="I80" s="26">
        <v>2</v>
      </c>
      <c r="J80" s="26">
        <v>2</v>
      </c>
      <c r="K80" s="70">
        <v>5</v>
      </c>
      <c r="L80" s="70">
        <v>4</v>
      </c>
      <c r="M80" s="70">
        <v>4</v>
      </c>
      <c r="N80" s="71"/>
      <c r="O80" s="70">
        <v>6</v>
      </c>
      <c r="P80" s="70">
        <v>6</v>
      </c>
      <c r="Q80" s="70">
        <v>4</v>
      </c>
      <c r="R80" s="70">
        <v>5</v>
      </c>
      <c r="S80" s="70">
        <v>5</v>
      </c>
      <c r="T80" s="70">
        <v>4</v>
      </c>
      <c r="U80" s="70">
        <v>5</v>
      </c>
      <c r="V80" s="70">
        <v>5</v>
      </c>
      <c r="W80" s="70">
        <v>5</v>
      </c>
      <c r="X80" s="70">
        <v>5</v>
      </c>
      <c r="Y80" s="72">
        <v>46240.3863672569</v>
      </c>
      <c r="Z80" s="72">
        <v>46240.387536794</v>
      </c>
      <c r="AA80" s="73">
        <v>101</v>
      </c>
      <c r="AB80" s="70" t="s">
        <v>266</v>
      </c>
      <c r="AC80" s="70" t="s">
        <v>266</v>
      </c>
      <c r="AD80" s="70" t="s">
        <v>266</v>
      </c>
      <c r="AE80" s="70" t="s">
        <v>386</v>
      </c>
      <c r="AF80" s="74">
        <v>12.99</v>
      </c>
      <c r="AG80" s="74">
        <v>0.788</v>
      </c>
      <c r="AH80" s="74">
        <v>0.917</v>
      </c>
      <c r="AI80" s="74">
        <v>0.992</v>
      </c>
      <c r="AJ80" s="74">
        <v>0.709</v>
      </c>
      <c r="AK80" s="75" t="s">
        <v>498</v>
      </c>
      <c r="AL80" s="75" t="s">
        <v>259</v>
      </c>
      <c r="AM80" s="76">
        <v>1</v>
      </c>
      <c r="AN80" s="76">
        <v>2</v>
      </c>
      <c r="AO80" s="77" t="s">
        <v>191</v>
      </c>
    </row>
    <row r="81" ht="24" customHeight="1" spans="1:41">
      <c r="A81" s="25" t="s">
        <v>432</v>
      </c>
      <c r="B81" s="26">
        <v>5</v>
      </c>
      <c r="C81" s="26" t="s">
        <v>433</v>
      </c>
      <c r="D81" s="26">
        <v>3</v>
      </c>
      <c r="E81" s="26" t="s">
        <v>375</v>
      </c>
      <c r="F81" s="26" t="s">
        <v>496</v>
      </c>
      <c r="G81" s="26" t="s">
        <v>497</v>
      </c>
      <c r="H81" s="26" t="s">
        <v>379</v>
      </c>
      <c r="I81" s="26">
        <v>1</v>
      </c>
      <c r="J81" s="26">
        <v>3</v>
      </c>
      <c r="K81" s="70">
        <v>6</v>
      </c>
      <c r="L81" s="70">
        <v>4</v>
      </c>
      <c r="M81" s="70">
        <v>4</v>
      </c>
      <c r="N81" s="71"/>
      <c r="O81" s="70">
        <v>4</v>
      </c>
      <c r="P81" s="70">
        <v>5</v>
      </c>
      <c r="Q81" s="70">
        <v>4</v>
      </c>
      <c r="R81" s="70">
        <v>5</v>
      </c>
      <c r="S81" s="70">
        <v>4</v>
      </c>
      <c r="T81" s="70">
        <v>3</v>
      </c>
      <c r="U81" s="70">
        <v>4</v>
      </c>
      <c r="V81" s="70">
        <v>5</v>
      </c>
      <c r="W81" s="70">
        <v>4</v>
      </c>
      <c r="X81" s="70">
        <v>5</v>
      </c>
      <c r="Y81" s="72">
        <v>46240.3883987037</v>
      </c>
      <c r="Z81" s="72">
        <v>46240.3895051736</v>
      </c>
      <c r="AA81" s="73">
        <v>95.6</v>
      </c>
      <c r="AB81" s="70" t="s">
        <v>266</v>
      </c>
      <c r="AC81" s="70" t="s">
        <v>266</v>
      </c>
      <c r="AD81" s="70" t="s">
        <v>266</v>
      </c>
      <c r="AE81" s="70" t="s">
        <v>386</v>
      </c>
      <c r="AF81" s="74">
        <v>13.35</v>
      </c>
      <c r="AG81" s="74">
        <v>0.823</v>
      </c>
      <c r="AH81" s="74">
        <v>0.83</v>
      </c>
      <c r="AI81" s="74">
        <v>0.984</v>
      </c>
      <c r="AJ81" s="74">
        <v>0.753</v>
      </c>
      <c r="AK81" s="75" t="s">
        <v>498</v>
      </c>
      <c r="AL81" s="75" t="s">
        <v>259</v>
      </c>
      <c r="AM81" s="76">
        <v>2</v>
      </c>
      <c r="AN81" s="76">
        <v>3</v>
      </c>
      <c r="AO81" s="77" t="s">
        <v>506</v>
      </c>
    </row>
    <row r="82" ht="24" customHeight="1" spans="1:41">
      <c r="A82" s="78" t="s">
        <v>432</v>
      </c>
      <c r="B82" s="79">
        <v>6</v>
      </c>
      <c r="C82" s="79" t="s">
        <v>433</v>
      </c>
      <c r="D82" s="79">
        <v>3</v>
      </c>
      <c r="E82" s="79" t="s">
        <v>375</v>
      </c>
      <c r="F82" s="79" t="s">
        <v>496</v>
      </c>
      <c r="G82" s="79" t="s">
        <v>499</v>
      </c>
      <c r="H82" s="79" t="s">
        <v>380</v>
      </c>
      <c r="I82" s="79">
        <v>2</v>
      </c>
      <c r="J82" s="79">
        <v>3</v>
      </c>
      <c r="K82" s="80">
        <v>4</v>
      </c>
      <c r="L82" s="80">
        <v>5</v>
      </c>
      <c r="M82" s="80">
        <v>6</v>
      </c>
      <c r="N82" s="81"/>
      <c r="O82" s="80">
        <v>4</v>
      </c>
      <c r="P82" s="80">
        <v>4</v>
      </c>
      <c r="Q82" s="80">
        <v>6</v>
      </c>
      <c r="R82" s="80">
        <v>4</v>
      </c>
      <c r="S82" s="80">
        <v>4</v>
      </c>
      <c r="T82" s="80">
        <v>4</v>
      </c>
      <c r="U82" s="80">
        <v>6</v>
      </c>
      <c r="V82" s="80">
        <v>6</v>
      </c>
      <c r="W82" s="80">
        <v>4</v>
      </c>
      <c r="X82" s="80">
        <v>5</v>
      </c>
      <c r="Y82" s="82">
        <v>46240.3903760417</v>
      </c>
      <c r="Z82" s="82">
        <v>46240.3916892593</v>
      </c>
      <c r="AA82" s="83">
        <v>113.5</v>
      </c>
      <c r="AB82" s="80" t="s">
        <v>266</v>
      </c>
      <c r="AC82" s="80" t="s">
        <v>266</v>
      </c>
      <c r="AD82" s="80" t="s">
        <v>266</v>
      </c>
      <c r="AE82" s="80" t="s">
        <v>386</v>
      </c>
      <c r="AF82" s="84">
        <v>12.22</v>
      </c>
      <c r="AG82" s="84">
        <v>0.745</v>
      </c>
      <c r="AH82" s="84">
        <v>0.887</v>
      </c>
      <c r="AI82" s="84">
        <v>0.988</v>
      </c>
      <c r="AJ82" s="84">
        <v>0.756</v>
      </c>
      <c r="AK82" s="85" t="s">
        <v>498</v>
      </c>
      <c r="AL82" s="85" t="s">
        <v>259</v>
      </c>
      <c r="AM82" s="86">
        <v>1</v>
      </c>
      <c r="AN82" s="86">
        <v>0</v>
      </c>
      <c r="AO82" s="85" t="s">
        <v>502</v>
      </c>
    </row>
    <row r="83" ht="24" customHeight="1" spans="1:41">
      <c r="A83" s="25" t="s">
        <v>435</v>
      </c>
      <c r="B83" s="26">
        <v>1</v>
      </c>
      <c r="C83" s="26" t="s">
        <v>436</v>
      </c>
      <c r="D83" s="26">
        <v>1</v>
      </c>
      <c r="E83" s="26" t="s">
        <v>376</v>
      </c>
      <c r="F83" s="26" t="s">
        <v>501</v>
      </c>
      <c r="G83" s="26" t="s">
        <v>499</v>
      </c>
      <c r="H83" s="26" t="s">
        <v>380</v>
      </c>
      <c r="I83" s="26">
        <v>1</v>
      </c>
      <c r="J83" s="26">
        <v>1</v>
      </c>
      <c r="K83" s="70">
        <v>4</v>
      </c>
      <c r="L83" s="70">
        <v>5</v>
      </c>
      <c r="M83" s="70">
        <v>6</v>
      </c>
      <c r="N83" s="71"/>
      <c r="O83" s="70">
        <v>4</v>
      </c>
      <c r="P83" s="70">
        <v>4</v>
      </c>
      <c r="Q83" s="70">
        <v>4</v>
      </c>
      <c r="R83" s="70">
        <v>5</v>
      </c>
      <c r="S83" s="70">
        <v>6</v>
      </c>
      <c r="T83" s="70">
        <v>4</v>
      </c>
      <c r="U83" s="70">
        <v>5</v>
      </c>
      <c r="V83" s="70">
        <v>5</v>
      </c>
      <c r="W83" s="70">
        <v>4</v>
      </c>
      <c r="X83" s="70">
        <v>4</v>
      </c>
      <c r="Y83" s="72">
        <v>46240.4583476968</v>
      </c>
      <c r="Z83" s="72">
        <v>46240.4593916782</v>
      </c>
      <c r="AA83" s="73">
        <v>90.2</v>
      </c>
      <c r="AB83" s="70" t="s">
        <v>266</v>
      </c>
      <c r="AC83" s="70" t="s">
        <v>266</v>
      </c>
      <c r="AD83" s="70" t="s">
        <v>266</v>
      </c>
      <c r="AE83" s="70" t="s">
        <v>386</v>
      </c>
      <c r="AF83" s="74">
        <v>13.58</v>
      </c>
      <c r="AG83" s="74">
        <v>0.812</v>
      </c>
      <c r="AH83" s="74">
        <v>0.905</v>
      </c>
      <c r="AI83" s="74">
        <v>0.99</v>
      </c>
      <c r="AJ83" s="74">
        <v>0.769</v>
      </c>
      <c r="AK83" s="75" t="s">
        <v>498</v>
      </c>
      <c r="AL83" s="75" t="s">
        <v>259</v>
      </c>
      <c r="AM83" s="76">
        <v>1</v>
      </c>
      <c r="AN83" s="76">
        <v>0</v>
      </c>
      <c r="AO83" s="77" t="s">
        <v>191</v>
      </c>
    </row>
    <row r="84" ht="24" customHeight="1" spans="1:41">
      <c r="A84" s="25" t="s">
        <v>435</v>
      </c>
      <c r="B84" s="26">
        <v>2</v>
      </c>
      <c r="C84" s="26" t="s">
        <v>436</v>
      </c>
      <c r="D84" s="26">
        <v>1</v>
      </c>
      <c r="E84" s="26" t="s">
        <v>376</v>
      </c>
      <c r="F84" s="26" t="s">
        <v>501</v>
      </c>
      <c r="G84" s="26" t="s">
        <v>497</v>
      </c>
      <c r="H84" s="26" t="s">
        <v>379</v>
      </c>
      <c r="I84" s="26">
        <v>2</v>
      </c>
      <c r="J84" s="26">
        <v>1</v>
      </c>
      <c r="K84" s="70">
        <v>4</v>
      </c>
      <c r="L84" s="70">
        <v>4</v>
      </c>
      <c r="M84" s="70">
        <v>5</v>
      </c>
      <c r="N84" s="71"/>
      <c r="O84" s="70">
        <v>5</v>
      </c>
      <c r="P84" s="70">
        <v>5</v>
      </c>
      <c r="Q84" s="70">
        <v>5</v>
      </c>
      <c r="R84" s="70">
        <v>5</v>
      </c>
      <c r="S84" s="70">
        <v>5</v>
      </c>
      <c r="T84" s="70">
        <v>6</v>
      </c>
      <c r="U84" s="70">
        <v>5</v>
      </c>
      <c r="V84" s="70">
        <v>6</v>
      </c>
      <c r="W84" s="70">
        <v>4</v>
      </c>
      <c r="X84" s="70">
        <v>5</v>
      </c>
      <c r="Y84" s="72">
        <v>46240.4603028357</v>
      </c>
      <c r="Z84" s="72">
        <v>46240.4614943171</v>
      </c>
      <c r="AA84" s="73">
        <v>102.9</v>
      </c>
      <c r="AB84" s="70" t="s">
        <v>266</v>
      </c>
      <c r="AC84" s="70" t="s">
        <v>266</v>
      </c>
      <c r="AD84" s="70" t="s">
        <v>266</v>
      </c>
      <c r="AE84" s="70" t="s">
        <v>386</v>
      </c>
      <c r="AF84" s="74">
        <v>13.44</v>
      </c>
      <c r="AG84" s="74">
        <v>0.804</v>
      </c>
      <c r="AH84" s="74">
        <v>0.95</v>
      </c>
      <c r="AI84" s="74">
        <v>0.998</v>
      </c>
      <c r="AJ84" s="74">
        <v>0.732</v>
      </c>
      <c r="AK84" s="75" t="s">
        <v>498</v>
      </c>
      <c r="AL84" s="75" t="s">
        <v>259</v>
      </c>
      <c r="AM84" s="76">
        <v>1</v>
      </c>
      <c r="AN84" s="76">
        <v>4</v>
      </c>
      <c r="AO84" s="77" t="s">
        <v>191</v>
      </c>
    </row>
    <row r="85" ht="24" customHeight="1" spans="1:41">
      <c r="A85" s="25" t="s">
        <v>435</v>
      </c>
      <c r="B85" s="26">
        <v>3</v>
      </c>
      <c r="C85" s="26" t="s">
        <v>436</v>
      </c>
      <c r="D85" s="26">
        <v>2</v>
      </c>
      <c r="E85" s="26" t="s">
        <v>377</v>
      </c>
      <c r="F85" s="26" t="s">
        <v>503</v>
      </c>
      <c r="G85" s="26" t="s">
        <v>497</v>
      </c>
      <c r="H85" s="26" t="s">
        <v>379</v>
      </c>
      <c r="I85" s="26">
        <v>1</v>
      </c>
      <c r="J85" s="26">
        <v>2</v>
      </c>
      <c r="K85" s="70">
        <v>5</v>
      </c>
      <c r="L85" s="70">
        <v>6</v>
      </c>
      <c r="M85" s="70">
        <v>5</v>
      </c>
      <c r="N85" s="71"/>
      <c r="O85" s="70">
        <v>4</v>
      </c>
      <c r="P85" s="70">
        <v>4</v>
      </c>
      <c r="Q85" s="70">
        <v>4</v>
      </c>
      <c r="R85" s="70">
        <v>4</v>
      </c>
      <c r="S85" s="70">
        <v>6</v>
      </c>
      <c r="T85" s="70">
        <v>5</v>
      </c>
      <c r="U85" s="70">
        <v>5</v>
      </c>
      <c r="V85" s="70">
        <v>5</v>
      </c>
      <c r="W85" s="70">
        <v>5</v>
      </c>
      <c r="X85" s="70">
        <v>5</v>
      </c>
      <c r="Y85" s="72">
        <v>46240.4623829398</v>
      </c>
      <c r="Z85" s="72">
        <v>46240.4635887847</v>
      </c>
      <c r="AA85" s="73">
        <v>104.2</v>
      </c>
      <c r="AB85" s="70" t="s">
        <v>266</v>
      </c>
      <c r="AC85" s="70" t="s">
        <v>266</v>
      </c>
      <c r="AD85" s="70" t="s">
        <v>266</v>
      </c>
      <c r="AE85" s="70" t="s">
        <v>386</v>
      </c>
      <c r="AF85" s="74">
        <v>12.31</v>
      </c>
      <c r="AG85" s="74">
        <v>0.818</v>
      </c>
      <c r="AH85" s="74">
        <v>0.923</v>
      </c>
      <c r="AI85" s="74">
        <v>0.994</v>
      </c>
      <c r="AJ85" s="74">
        <v>0.759</v>
      </c>
      <c r="AK85" s="75" t="s">
        <v>498</v>
      </c>
      <c r="AL85" s="75" t="s">
        <v>259</v>
      </c>
      <c r="AM85" s="76">
        <v>1</v>
      </c>
      <c r="AN85" s="76">
        <v>3</v>
      </c>
      <c r="AO85" s="77" t="s">
        <v>506</v>
      </c>
    </row>
    <row r="86" ht="24" customHeight="1" spans="1:41">
      <c r="A86" s="25" t="s">
        <v>435</v>
      </c>
      <c r="B86" s="26">
        <v>4</v>
      </c>
      <c r="C86" s="26" t="s">
        <v>436</v>
      </c>
      <c r="D86" s="26">
        <v>2</v>
      </c>
      <c r="E86" s="26" t="s">
        <v>377</v>
      </c>
      <c r="F86" s="26" t="s">
        <v>503</v>
      </c>
      <c r="G86" s="26" t="s">
        <v>499</v>
      </c>
      <c r="H86" s="26" t="s">
        <v>380</v>
      </c>
      <c r="I86" s="26">
        <v>2</v>
      </c>
      <c r="J86" s="26">
        <v>2</v>
      </c>
      <c r="K86" s="70">
        <v>5</v>
      </c>
      <c r="L86" s="70">
        <v>4</v>
      </c>
      <c r="M86" s="70">
        <v>4</v>
      </c>
      <c r="N86" s="71"/>
      <c r="O86" s="70">
        <v>5</v>
      </c>
      <c r="P86" s="70">
        <v>4</v>
      </c>
      <c r="Q86" s="70">
        <v>4</v>
      </c>
      <c r="R86" s="70">
        <v>4</v>
      </c>
      <c r="S86" s="70">
        <v>4</v>
      </c>
      <c r="T86" s="70">
        <v>4</v>
      </c>
      <c r="U86" s="70">
        <v>5</v>
      </c>
      <c r="V86" s="70">
        <v>4</v>
      </c>
      <c r="W86" s="70">
        <v>4</v>
      </c>
      <c r="X86" s="70">
        <v>5</v>
      </c>
      <c r="Y86" s="72">
        <v>46240.4645153819</v>
      </c>
      <c r="Z86" s="72">
        <v>46240.4658889931</v>
      </c>
      <c r="AA86" s="73">
        <v>118.7</v>
      </c>
      <c r="AB86" s="70" t="s">
        <v>266</v>
      </c>
      <c r="AC86" s="70" t="s">
        <v>266</v>
      </c>
      <c r="AD86" s="70" t="s">
        <v>266</v>
      </c>
      <c r="AE86" s="70" t="s">
        <v>386</v>
      </c>
      <c r="AF86" s="74">
        <v>12.91</v>
      </c>
      <c r="AG86" s="74">
        <v>0.782</v>
      </c>
      <c r="AH86" s="74">
        <v>0.858</v>
      </c>
      <c r="AI86" s="74">
        <v>0.988</v>
      </c>
      <c r="AJ86" s="74">
        <v>0.763</v>
      </c>
      <c r="AK86" s="75" t="s">
        <v>498</v>
      </c>
      <c r="AL86" s="75" t="s">
        <v>259</v>
      </c>
      <c r="AM86" s="76">
        <v>1</v>
      </c>
      <c r="AN86" s="76">
        <v>0</v>
      </c>
      <c r="AO86" s="77" t="s">
        <v>500</v>
      </c>
    </row>
    <row r="87" ht="24" customHeight="1" spans="1:41">
      <c r="A87" s="25" t="s">
        <v>435</v>
      </c>
      <c r="B87" s="26">
        <v>5</v>
      </c>
      <c r="C87" s="26" t="s">
        <v>436</v>
      </c>
      <c r="D87" s="26">
        <v>3</v>
      </c>
      <c r="E87" s="26" t="s">
        <v>375</v>
      </c>
      <c r="F87" s="26" t="s">
        <v>496</v>
      </c>
      <c r="G87" s="26" t="s">
        <v>499</v>
      </c>
      <c r="H87" s="26" t="s">
        <v>380</v>
      </c>
      <c r="I87" s="26">
        <v>1</v>
      </c>
      <c r="J87" s="26">
        <v>3</v>
      </c>
      <c r="K87" s="70">
        <v>5</v>
      </c>
      <c r="L87" s="70">
        <v>4</v>
      </c>
      <c r="M87" s="70">
        <v>6</v>
      </c>
      <c r="N87" s="71"/>
      <c r="O87" s="70">
        <v>5</v>
      </c>
      <c r="P87" s="70">
        <v>6</v>
      </c>
      <c r="Q87" s="70">
        <v>3</v>
      </c>
      <c r="R87" s="70">
        <v>4</v>
      </c>
      <c r="S87" s="70">
        <v>4</v>
      </c>
      <c r="T87" s="70">
        <v>5</v>
      </c>
      <c r="U87" s="70">
        <v>4</v>
      </c>
      <c r="V87" s="70">
        <v>4</v>
      </c>
      <c r="W87" s="70">
        <v>4</v>
      </c>
      <c r="X87" s="70">
        <v>4</v>
      </c>
      <c r="Y87" s="72">
        <v>46240.4667982639</v>
      </c>
      <c r="Z87" s="72">
        <v>46240.4683411574</v>
      </c>
      <c r="AA87" s="73">
        <v>133.3</v>
      </c>
      <c r="AB87" s="70" t="s">
        <v>266</v>
      </c>
      <c r="AC87" s="70" t="s">
        <v>266</v>
      </c>
      <c r="AD87" s="70" t="s">
        <v>266</v>
      </c>
      <c r="AE87" s="70" t="s">
        <v>386</v>
      </c>
      <c r="AF87" s="74">
        <v>12.56</v>
      </c>
      <c r="AG87" s="74">
        <v>0.759</v>
      </c>
      <c r="AH87" s="74">
        <v>0.826</v>
      </c>
      <c r="AI87" s="74">
        <v>0.986</v>
      </c>
      <c r="AJ87" s="74">
        <v>0.73</v>
      </c>
      <c r="AK87" s="75" t="s">
        <v>498</v>
      </c>
      <c r="AL87" s="75" t="s">
        <v>259</v>
      </c>
      <c r="AM87" s="76">
        <v>1</v>
      </c>
      <c r="AN87" s="76">
        <v>0</v>
      </c>
      <c r="AO87" s="77" t="s">
        <v>191</v>
      </c>
    </row>
    <row r="88" ht="24" customHeight="1" spans="1:41">
      <c r="A88" s="78" t="s">
        <v>435</v>
      </c>
      <c r="B88" s="79">
        <v>6</v>
      </c>
      <c r="C88" s="79" t="s">
        <v>436</v>
      </c>
      <c r="D88" s="79">
        <v>3</v>
      </c>
      <c r="E88" s="79" t="s">
        <v>375</v>
      </c>
      <c r="F88" s="79" t="s">
        <v>496</v>
      </c>
      <c r="G88" s="79" t="s">
        <v>497</v>
      </c>
      <c r="H88" s="79" t="s">
        <v>379</v>
      </c>
      <c r="I88" s="79">
        <v>2</v>
      </c>
      <c r="J88" s="79">
        <v>3</v>
      </c>
      <c r="K88" s="80">
        <v>5</v>
      </c>
      <c r="L88" s="80">
        <v>5</v>
      </c>
      <c r="M88" s="80">
        <v>5</v>
      </c>
      <c r="N88" s="81"/>
      <c r="O88" s="80">
        <v>4</v>
      </c>
      <c r="P88" s="80">
        <v>5</v>
      </c>
      <c r="Q88" s="80">
        <v>4</v>
      </c>
      <c r="R88" s="80">
        <v>5</v>
      </c>
      <c r="S88" s="80">
        <v>6</v>
      </c>
      <c r="T88" s="80">
        <v>4</v>
      </c>
      <c r="U88" s="80">
        <v>5</v>
      </c>
      <c r="V88" s="80">
        <v>6</v>
      </c>
      <c r="W88" s="80">
        <v>3</v>
      </c>
      <c r="X88" s="80">
        <v>3</v>
      </c>
      <c r="Y88" s="82">
        <v>46240.4690663889</v>
      </c>
      <c r="Z88" s="82">
        <v>46240.4698778356</v>
      </c>
      <c r="AA88" s="83">
        <v>70.1</v>
      </c>
      <c r="AB88" s="80" t="s">
        <v>266</v>
      </c>
      <c r="AC88" s="80" t="s">
        <v>266</v>
      </c>
      <c r="AD88" s="80" t="s">
        <v>266</v>
      </c>
      <c r="AE88" s="80" t="s">
        <v>386</v>
      </c>
      <c r="AF88" s="84">
        <v>12.64</v>
      </c>
      <c r="AG88" s="84">
        <v>0.815</v>
      </c>
      <c r="AH88" s="84">
        <v>0.875</v>
      </c>
      <c r="AI88" s="84">
        <v>1</v>
      </c>
      <c r="AJ88" s="84">
        <v>0.729</v>
      </c>
      <c r="AK88" s="85" t="s">
        <v>498</v>
      </c>
      <c r="AL88" s="85" t="s">
        <v>259</v>
      </c>
      <c r="AM88" s="86">
        <v>1</v>
      </c>
      <c r="AN88" s="86">
        <v>4</v>
      </c>
      <c r="AO88" s="85" t="s">
        <v>191</v>
      </c>
    </row>
    <row r="89" ht="24" customHeight="1" spans="1:41">
      <c r="A89" s="25" t="s">
        <v>438</v>
      </c>
      <c r="B89" s="26">
        <v>1</v>
      </c>
      <c r="C89" s="26" t="s">
        <v>439</v>
      </c>
      <c r="D89" s="26">
        <v>1</v>
      </c>
      <c r="E89" s="26" t="s">
        <v>376</v>
      </c>
      <c r="F89" s="26" t="s">
        <v>501</v>
      </c>
      <c r="G89" s="26" t="s">
        <v>499</v>
      </c>
      <c r="H89" s="26" t="s">
        <v>379</v>
      </c>
      <c r="I89" s="26">
        <v>1</v>
      </c>
      <c r="J89" s="26">
        <v>1</v>
      </c>
      <c r="K89" s="70">
        <v>6</v>
      </c>
      <c r="L89" s="70">
        <v>6</v>
      </c>
      <c r="M89" s="70">
        <v>6</v>
      </c>
      <c r="N89" s="71"/>
      <c r="O89" s="70">
        <v>6</v>
      </c>
      <c r="P89" s="70">
        <v>6</v>
      </c>
      <c r="Q89" s="70">
        <v>5</v>
      </c>
      <c r="R89" s="70">
        <v>5</v>
      </c>
      <c r="S89" s="70">
        <v>5</v>
      </c>
      <c r="T89" s="70">
        <v>5</v>
      </c>
      <c r="U89" s="70">
        <v>4</v>
      </c>
      <c r="V89" s="70">
        <v>6</v>
      </c>
      <c r="W89" s="70">
        <v>5</v>
      </c>
      <c r="X89" s="70">
        <v>4</v>
      </c>
      <c r="Y89" s="72">
        <v>46240.5742115046</v>
      </c>
      <c r="Z89" s="72">
        <v>46240.5755000116</v>
      </c>
      <c r="AA89" s="73">
        <v>111.3</v>
      </c>
      <c r="AB89" s="70" t="s">
        <v>266</v>
      </c>
      <c r="AC89" s="70" t="s">
        <v>266</v>
      </c>
      <c r="AD89" s="70" t="s">
        <v>266</v>
      </c>
      <c r="AE89" s="70" t="s">
        <v>386</v>
      </c>
      <c r="AF89" s="74">
        <v>13.43</v>
      </c>
      <c r="AG89" s="74">
        <v>0.827</v>
      </c>
      <c r="AH89" s="74">
        <v>0.9</v>
      </c>
      <c r="AI89" s="74">
        <v>0.993</v>
      </c>
      <c r="AJ89" s="74">
        <v>0.822</v>
      </c>
      <c r="AK89" s="75" t="s">
        <v>498</v>
      </c>
      <c r="AL89" s="75" t="s">
        <v>259</v>
      </c>
      <c r="AM89" s="76">
        <v>1</v>
      </c>
      <c r="AN89" s="76">
        <v>3</v>
      </c>
      <c r="AO89" s="77" t="s">
        <v>191</v>
      </c>
    </row>
    <row r="90" ht="24" customHeight="1" spans="1:41">
      <c r="A90" s="25" t="s">
        <v>438</v>
      </c>
      <c r="B90" s="26">
        <v>2</v>
      </c>
      <c r="C90" s="26" t="s">
        <v>439</v>
      </c>
      <c r="D90" s="26">
        <v>1</v>
      </c>
      <c r="E90" s="26" t="s">
        <v>376</v>
      </c>
      <c r="F90" s="26" t="s">
        <v>501</v>
      </c>
      <c r="G90" s="26" t="s">
        <v>497</v>
      </c>
      <c r="H90" s="26" t="s">
        <v>380</v>
      </c>
      <c r="I90" s="26">
        <v>2</v>
      </c>
      <c r="J90" s="26">
        <v>1</v>
      </c>
      <c r="K90" s="70">
        <v>5</v>
      </c>
      <c r="L90" s="70">
        <v>4</v>
      </c>
      <c r="M90" s="70">
        <v>5</v>
      </c>
      <c r="N90" s="71"/>
      <c r="O90" s="70">
        <v>5</v>
      </c>
      <c r="P90" s="70">
        <v>6</v>
      </c>
      <c r="Q90" s="70">
        <v>5</v>
      </c>
      <c r="R90" s="70">
        <v>4</v>
      </c>
      <c r="S90" s="70">
        <v>4</v>
      </c>
      <c r="T90" s="70">
        <v>4</v>
      </c>
      <c r="U90" s="70">
        <v>6</v>
      </c>
      <c r="V90" s="70">
        <v>6</v>
      </c>
      <c r="W90" s="70">
        <v>4</v>
      </c>
      <c r="X90" s="70">
        <v>4</v>
      </c>
      <c r="Y90" s="72">
        <v>46240.5763983681</v>
      </c>
      <c r="Z90" s="72">
        <v>46240.577513669</v>
      </c>
      <c r="AA90" s="73">
        <v>96.4</v>
      </c>
      <c r="AB90" s="70" t="s">
        <v>266</v>
      </c>
      <c r="AC90" s="70" t="s">
        <v>266</v>
      </c>
      <c r="AD90" s="70" t="s">
        <v>266</v>
      </c>
      <c r="AE90" s="70" t="s">
        <v>386</v>
      </c>
      <c r="AF90" s="74">
        <v>14.05</v>
      </c>
      <c r="AG90" s="74">
        <v>0.812</v>
      </c>
      <c r="AH90" s="74">
        <v>0.937</v>
      </c>
      <c r="AI90" s="74">
        <v>0.987</v>
      </c>
      <c r="AJ90" s="74">
        <v>0.748</v>
      </c>
      <c r="AK90" s="75" t="s">
        <v>498</v>
      </c>
      <c r="AL90" s="75" t="s">
        <v>259</v>
      </c>
      <c r="AM90" s="76">
        <v>2</v>
      </c>
      <c r="AN90" s="76">
        <v>0</v>
      </c>
      <c r="AO90" s="77" t="s">
        <v>191</v>
      </c>
    </row>
    <row r="91" ht="24" customHeight="1" spans="1:41">
      <c r="A91" s="25" t="s">
        <v>438</v>
      </c>
      <c r="B91" s="26">
        <v>3</v>
      </c>
      <c r="C91" s="26" t="s">
        <v>439</v>
      </c>
      <c r="D91" s="26">
        <v>2</v>
      </c>
      <c r="E91" s="26" t="s">
        <v>377</v>
      </c>
      <c r="F91" s="26" t="s">
        <v>503</v>
      </c>
      <c r="G91" s="26" t="s">
        <v>497</v>
      </c>
      <c r="H91" s="26" t="s">
        <v>380</v>
      </c>
      <c r="I91" s="26">
        <v>1</v>
      </c>
      <c r="J91" s="26">
        <v>2</v>
      </c>
      <c r="K91" s="70">
        <v>5</v>
      </c>
      <c r="L91" s="70">
        <v>4</v>
      </c>
      <c r="M91" s="70">
        <v>5</v>
      </c>
      <c r="N91" s="71"/>
      <c r="O91" s="70">
        <v>6</v>
      </c>
      <c r="P91" s="70">
        <v>6</v>
      </c>
      <c r="Q91" s="70">
        <v>3</v>
      </c>
      <c r="R91" s="70">
        <v>3</v>
      </c>
      <c r="S91" s="70">
        <v>6</v>
      </c>
      <c r="T91" s="70">
        <v>5</v>
      </c>
      <c r="U91" s="70">
        <v>5</v>
      </c>
      <c r="V91" s="70">
        <v>5</v>
      </c>
      <c r="W91" s="70">
        <v>3</v>
      </c>
      <c r="X91" s="70">
        <v>5</v>
      </c>
      <c r="Y91" s="72">
        <v>46240.5786290046</v>
      </c>
      <c r="Z91" s="72">
        <v>46240.5797040625</v>
      </c>
      <c r="AA91" s="73">
        <v>92.9</v>
      </c>
      <c r="AB91" s="70" t="s">
        <v>266</v>
      </c>
      <c r="AC91" s="70" t="s">
        <v>266</v>
      </c>
      <c r="AD91" s="70" t="s">
        <v>266</v>
      </c>
      <c r="AE91" s="70" t="s">
        <v>386</v>
      </c>
      <c r="AF91" s="74">
        <v>12.8</v>
      </c>
      <c r="AG91" s="74">
        <v>0.794</v>
      </c>
      <c r="AH91" s="74">
        <v>0.938</v>
      </c>
      <c r="AI91" s="74">
        <v>0.993</v>
      </c>
      <c r="AJ91" s="74">
        <v>0.742</v>
      </c>
      <c r="AK91" s="75" t="s">
        <v>498</v>
      </c>
      <c r="AL91" s="75" t="s">
        <v>259</v>
      </c>
      <c r="AM91" s="76">
        <v>1</v>
      </c>
      <c r="AN91" s="76">
        <v>0</v>
      </c>
      <c r="AO91" s="77" t="s">
        <v>191</v>
      </c>
    </row>
    <row r="92" ht="24" customHeight="1" spans="1:41">
      <c r="A92" s="25" t="s">
        <v>438</v>
      </c>
      <c r="B92" s="26">
        <v>4</v>
      </c>
      <c r="C92" s="26" t="s">
        <v>439</v>
      </c>
      <c r="D92" s="26">
        <v>2</v>
      </c>
      <c r="E92" s="26" t="s">
        <v>377</v>
      </c>
      <c r="F92" s="26" t="s">
        <v>503</v>
      </c>
      <c r="G92" s="26" t="s">
        <v>499</v>
      </c>
      <c r="H92" s="26" t="s">
        <v>379</v>
      </c>
      <c r="I92" s="26">
        <v>2</v>
      </c>
      <c r="J92" s="26">
        <v>2</v>
      </c>
      <c r="K92" s="70">
        <v>6</v>
      </c>
      <c r="L92" s="70">
        <v>6</v>
      </c>
      <c r="M92" s="70">
        <v>4</v>
      </c>
      <c r="N92" s="71"/>
      <c r="O92" s="70">
        <v>4</v>
      </c>
      <c r="P92" s="70">
        <v>5</v>
      </c>
      <c r="Q92" s="70">
        <v>4</v>
      </c>
      <c r="R92" s="70">
        <v>7</v>
      </c>
      <c r="S92" s="70">
        <v>6</v>
      </c>
      <c r="T92" s="70">
        <v>5</v>
      </c>
      <c r="U92" s="70">
        <v>6</v>
      </c>
      <c r="V92" s="70">
        <v>4</v>
      </c>
      <c r="W92" s="70">
        <v>5</v>
      </c>
      <c r="X92" s="70">
        <v>5</v>
      </c>
      <c r="Y92" s="72">
        <v>46240.5805403241</v>
      </c>
      <c r="Z92" s="72">
        <v>46240.581806169</v>
      </c>
      <c r="AA92" s="73">
        <v>109.4</v>
      </c>
      <c r="AB92" s="70" t="s">
        <v>266</v>
      </c>
      <c r="AC92" s="70" t="s">
        <v>266</v>
      </c>
      <c r="AD92" s="70" t="s">
        <v>266</v>
      </c>
      <c r="AE92" s="70" t="s">
        <v>386</v>
      </c>
      <c r="AF92" s="74">
        <v>13.34</v>
      </c>
      <c r="AG92" s="74">
        <v>0.822</v>
      </c>
      <c r="AH92" s="74">
        <v>0.871</v>
      </c>
      <c r="AI92" s="74">
        <v>0.984</v>
      </c>
      <c r="AJ92" s="74">
        <v>0.795</v>
      </c>
      <c r="AK92" s="75" t="s">
        <v>498</v>
      </c>
      <c r="AL92" s="75" t="s">
        <v>259</v>
      </c>
      <c r="AM92" s="76">
        <v>0</v>
      </c>
      <c r="AN92" s="76">
        <v>4</v>
      </c>
      <c r="AO92" s="77" t="s">
        <v>506</v>
      </c>
    </row>
    <row r="93" ht="24" customHeight="1" spans="1:41">
      <c r="A93" s="25" t="s">
        <v>438</v>
      </c>
      <c r="B93" s="26">
        <v>5</v>
      </c>
      <c r="C93" s="26" t="s">
        <v>439</v>
      </c>
      <c r="D93" s="26">
        <v>3</v>
      </c>
      <c r="E93" s="26" t="s">
        <v>375</v>
      </c>
      <c r="F93" s="26" t="s">
        <v>496</v>
      </c>
      <c r="G93" s="26" t="s">
        <v>499</v>
      </c>
      <c r="H93" s="26" t="s">
        <v>379</v>
      </c>
      <c r="I93" s="26">
        <v>1</v>
      </c>
      <c r="J93" s="26">
        <v>3</v>
      </c>
      <c r="K93" s="70">
        <v>7</v>
      </c>
      <c r="L93" s="70">
        <v>5</v>
      </c>
      <c r="M93" s="70">
        <v>5</v>
      </c>
      <c r="N93" s="71"/>
      <c r="O93" s="70">
        <v>5</v>
      </c>
      <c r="P93" s="70">
        <v>4</v>
      </c>
      <c r="Q93" s="70">
        <v>5</v>
      </c>
      <c r="R93" s="70">
        <v>6</v>
      </c>
      <c r="S93" s="70">
        <v>6</v>
      </c>
      <c r="T93" s="70">
        <v>4</v>
      </c>
      <c r="U93" s="70">
        <v>3</v>
      </c>
      <c r="V93" s="70">
        <v>6</v>
      </c>
      <c r="W93" s="70">
        <v>5</v>
      </c>
      <c r="X93" s="70">
        <v>5</v>
      </c>
      <c r="Y93" s="72">
        <v>46240.5826666319</v>
      </c>
      <c r="Z93" s="72">
        <v>46240.5836941435</v>
      </c>
      <c r="AA93" s="73">
        <v>88.8</v>
      </c>
      <c r="AB93" s="70" t="s">
        <v>266</v>
      </c>
      <c r="AC93" s="70" t="s">
        <v>266</v>
      </c>
      <c r="AD93" s="70" t="s">
        <v>266</v>
      </c>
      <c r="AE93" s="70" t="s">
        <v>386</v>
      </c>
      <c r="AF93" s="74">
        <v>12.76</v>
      </c>
      <c r="AG93" s="74">
        <v>0.819</v>
      </c>
      <c r="AH93" s="74">
        <v>0.813</v>
      </c>
      <c r="AI93" s="74">
        <v>0.987</v>
      </c>
      <c r="AJ93" s="74">
        <v>0.739</v>
      </c>
      <c r="AK93" s="75" t="s">
        <v>498</v>
      </c>
      <c r="AL93" s="75" t="s">
        <v>259</v>
      </c>
      <c r="AM93" s="76">
        <v>1</v>
      </c>
      <c r="AN93" s="76">
        <v>3</v>
      </c>
      <c r="AO93" s="77" t="s">
        <v>191</v>
      </c>
    </row>
    <row r="94" ht="24" customHeight="1" spans="1:41">
      <c r="A94" s="78" t="s">
        <v>438</v>
      </c>
      <c r="B94" s="79">
        <v>6</v>
      </c>
      <c r="C94" s="79" t="s">
        <v>439</v>
      </c>
      <c r="D94" s="79">
        <v>3</v>
      </c>
      <c r="E94" s="79" t="s">
        <v>375</v>
      </c>
      <c r="F94" s="79" t="s">
        <v>496</v>
      </c>
      <c r="G94" s="79" t="s">
        <v>497</v>
      </c>
      <c r="H94" s="79" t="s">
        <v>380</v>
      </c>
      <c r="I94" s="79">
        <v>2</v>
      </c>
      <c r="J94" s="79">
        <v>3</v>
      </c>
      <c r="K94" s="80">
        <v>4</v>
      </c>
      <c r="L94" s="80">
        <v>5</v>
      </c>
      <c r="M94" s="80">
        <v>4</v>
      </c>
      <c r="N94" s="81"/>
      <c r="O94" s="80">
        <v>5</v>
      </c>
      <c r="P94" s="80">
        <v>5</v>
      </c>
      <c r="Q94" s="80">
        <v>4</v>
      </c>
      <c r="R94" s="80">
        <v>4</v>
      </c>
      <c r="S94" s="80">
        <v>5</v>
      </c>
      <c r="T94" s="80">
        <v>5</v>
      </c>
      <c r="U94" s="80">
        <v>4</v>
      </c>
      <c r="V94" s="80">
        <v>4</v>
      </c>
      <c r="W94" s="80">
        <v>5</v>
      </c>
      <c r="X94" s="80">
        <v>5</v>
      </c>
      <c r="Y94" s="82">
        <v>46240.5845721991</v>
      </c>
      <c r="Z94" s="82">
        <v>46240.5856933333</v>
      </c>
      <c r="AA94" s="83">
        <v>96.9</v>
      </c>
      <c r="AB94" s="80" t="s">
        <v>266</v>
      </c>
      <c r="AC94" s="80" t="s">
        <v>266</v>
      </c>
      <c r="AD94" s="80" t="s">
        <v>266</v>
      </c>
      <c r="AE94" s="80" t="s">
        <v>386</v>
      </c>
      <c r="AF94" s="84">
        <v>12.67</v>
      </c>
      <c r="AG94" s="84">
        <v>0.751</v>
      </c>
      <c r="AH94" s="84">
        <v>0.822</v>
      </c>
      <c r="AI94" s="84">
        <v>0.99</v>
      </c>
      <c r="AJ94" s="84">
        <v>0.726</v>
      </c>
      <c r="AK94" s="85" t="s">
        <v>498</v>
      </c>
      <c r="AL94" s="85" t="s">
        <v>259</v>
      </c>
      <c r="AM94" s="86">
        <v>1</v>
      </c>
      <c r="AN94" s="86">
        <v>0</v>
      </c>
      <c r="AO94" s="85" t="s">
        <v>191</v>
      </c>
    </row>
    <row r="95" ht="24" customHeight="1" spans="1:41">
      <c r="A95" s="25" t="s">
        <v>441</v>
      </c>
      <c r="B95" s="26">
        <v>1</v>
      </c>
      <c r="C95" s="26" t="s">
        <v>442</v>
      </c>
      <c r="D95" s="26">
        <v>1</v>
      </c>
      <c r="E95" s="26" t="s">
        <v>376</v>
      </c>
      <c r="F95" s="26" t="s">
        <v>501</v>
      </c>
      <c r="G95" s="26" t="s">
        <v>497</v>
      </c>
      <c r="H95" s="26" t="s">
        <v>380</v>
      </c>
      <c r="I95" s="26">
        <v>1</v>
      </c>
      <c r="J95" s="26">
        <v>1</v>
      </c>
      <c r="K95" s="70">
        <v>4</v>
      </c>
      <c r="L95" s="70">
        <v>7</v>
      </c>
      <c r="M95" s="70">
        <v>6</v>
      </c>
      <c r="N95" s="71"/>
      <c r="O95" s="70">
        <v>5</v>
      </c>
      <c r="P95" s="70">
        <v>5</v>
      </c>
      <c r="Q95" s="70">
        <v>4</v>
      </c>
      <c r="R95" s="70">
        <v>3</v>
      </c>
      <c r="S95" s="70">
        <v>4</v>
      </c>
      <c r="T95" s="70">
        <v>4</v>
      </c>
      <c r="U95" s="70">
        <v>4</v>
      </c>
      <c r="V95" s="70">
        <v>4</v>
      </c>
      <c r="W95" s="70">
        <v>4</v>
      </c>
      <c r="X95" s="70">
        <v>5</v>
      </c>
      <c r="Y95" s="72">
        <v>46240.6424949884</v>
      </c>
      <c r="Z95" s="72">
        <v>46240.6434024769</v>
      </c>
      <c r="AA95" s="73">
        <v>78.4</v>
      </c>
      <c r="AB95" s="70" t="s">
        <v>266</v>
      </c>
      <c r="AC95" s="70" t="s">
        <v>266</v>
      </c>
      <c r="AD95" s="70" t="s">
        <v>266</v>
      </c>
      <c r="AE95" s="70" t="s">
        <v>386</v>
      </c>
      <c r="AF95" s="74">
        <v>12.19</v>
      </c>
      <c r="AG95" s="74">
        <v>0.84</v>
      </c>
      <c r="AH95" s="74">
        <v>0.94</v>
      </c>
      <c r="AI95" s="74">
        <v>0.994</v>
      </c>
      <c r="AJ95" s="74">
        <v>0.742</v>
      </c>
      <c r="AK95" s="75" t="s">
        <v>498</v>
      </c>
      <c r="AL95" s="75" t="s">
        <v>259</v>
      </c>
      <c r="AM95" s="76">
        <v>0</v>
      </c>
      <c r="AN95" s="76">
        <v>0</v>
      </c>
      <c r="AO95" s="77" t="s">
        <v>502</v>
      </c>
    </row>
    <row r="96" ht="24" customHeight="1" spans="1:41">
      <c r="A96" s="25" t="s">
        <v>441</v>
      </c>
      <c r="B96" s="26">
        <v>2</v>
      </c>
      <c r="C96" s="26" t="s">
        <v>442</v>
      </c>
      <c r="D96" s="26">
        <v>1</v>
      </c>
      <c r="E96" s="26" t="s">
        <v>376</v>
      </c>
      <c r="F96" s="26" t="s">
        <v>501</v>
      </c>
      <c r="G96" s="26" t="s">
        <v>499</v>
      </c>
      <c r="H96" s="26" t="s">
        <v>379</v>
      </c>
      <c r="I96" s="26">
        <v>2</v>
      </c>
      <c r="J96" s="26">
        <v>1</v>
      </c>
      <c r="K96" s="70">
        <v>5</v>
      </c>
      <c r="L96" s="70">
        <v>5</v>
      </c>
      <c r="M96" s="70">
        <v>6</v>
      </c>
      <c r="N96" s="71"/>
      <c r="O96" s="70">
        <v>4</v>
      </c>
      <c r="P96" s="70">
        <v>5</v>
      </c>
      <c r="Q96" s="70">
        <v>5</v>
      </c>
      <c r="R96" s="70">
        <v>5</v>
      </c>
      <c r="S96" s="70">
        <v>6</v>
      </c>
      <c r="T96" s="70">
        <v>5</v>
      </c>
      <c r="U96" s="70">
        <v>6</v>
      </c>
      <c r="V96" s="70">
        <v>5</v>
      </c>
      <c r="W96" s="70">
        <v>5</v>
      </c>
      <c r="X96" s="70">
        <v>5</v>
      </c>
      <c r="Y96" s="72">
        <v>46240.6444540741</v>
      </c>
      <c r="Z96" s="72">
        <v>46240.6456388542</v>
      </c>
      <c r="AA96" s="73">
        <v>102.4</v>
      </c>
      <c r="AB96" s="70" t="s">
        <v>266</v>
      </c>
      <c r="AC96" s="70" t="s">
        <v>266</v>
      </c>
      <c r="AD96" s="70" t="s">
        <v>266</v>
      </c>
      <c r="AE96" s="70" t="s">
        <v>386</v>
      </c>
      <c r="AF96" s="74">
        <v>11.98</v>
      </c>
      <c r="AG96" s="74">
        <v>0.869</v>
      </c>
      <c r="AH96" s="74">
        <v>0.906</v>
      </c>
      <c r="AI96" s="74">
        <v>0.994</v>
      </c>
      <c r="AJ96" s="74">
        <v>0.737</v>
      </c>
      <c r="AK96" s="75" t="s">
        <v>498</v>
      </c>
      <c r="AL96" s="75" t="s">
        <v>259</v>
      </c>
      <c r="AM96" s="76">
        <v>1</v>
      </c>
      <c r="AN96" s="76">
        <v>2</v>
      </c>
      <c r="AO96" s="77" t="s">
        <v>506</v>
      </c>
    </row>
    <row r="97" ht="24" customHeight="1" spans="1:41">
      <c r="A97" s="25" t="s">
        <v>441</v>
      </c>
      <c r="B97" s="26">
        <v>3</v>
      </c>
      <c r="C97" s="26" t="s">
        <v>442</v>
      </c>
      <c r="D97" s="26">
        <v>2</v>
      </c>
      <c r="E97" s="26" t="s">
        <v>377</v>
      </c>
      <c r="F97" s="26" t="s">
        <v>503</v>
      </c>
      <c r="G97" s="26" t="s">
        <v>499</v>
      </c>
      <c r="H97" s="26" t="s">
        <v>379</v>
      </c>
      <c r="I97" s="26">
        <v>1</v>
      </c>
      <c r="J97" s="26">
        <v>2</v>
      </c>
      <c r="K97" s="70">
        <v>5</v>
      </c>
      <c r="L97" s="70">
        <v>6</v>
      </c>
      <c r="M97" s="70">
        <v>4</v>
      </c>
      <c r="N97" s="71"/>
      <c r="O97" s="70">
        <v>5</v>
      </c>
      <c r="P97" s="70">
        <v>6</v>
      </c>
      <c r="Q97" s="70">
        <v>5</v>
      </c>
      <c r="R97" s="70">
        <v>5</v>
      </c>
      <c r="S97" s="70">
        <v>5</v>
      </c>
      <c r="T97" s="70">
        <v>6</v>
      </c>
      <c r="U97" s="70">
        <v>6</v>
      </c>
      <c r="V97" s="70">
        <v>5</v>
      </c>
      <c r="W97" s="70">
        <v>5</v>
      </c>
      <c r="X97" s="70">
        <v>7</v>
      </c>
      <c r="Y97" s="72">
        <v>46240.6466035995</v>
      </c>
      <c r="Z97" s="72">
        <v>46240.6475471528</v>
      </c>
      <c r="AA97" s="73">
        <v>81.5</v>
      </c>
      <c r="AB97" s="70" t="s">
        <v>266</v>
      </c>
      <c r="AC97" s="70" t="s">
        <v>266</v>
      </c>
      <c r="AD97" s="70" t="s">
        <v>266</v>
      </c>
      <c r="AE97" s="70" t="s">
        <v>386</v>
      </c>
      <c r="AF97" s="74">
        <v>12.52</v>
      </c>
      <c r="AG97" s="74">
        <v>0.822</v>
      </c>
      <c r="AH97" s="74">
        <v>0.89</v>
      </c>
      <c r="AI97" s="74">
        <v>0.999</v>
      </c>
      <c r="AJ97" s="74">
        <v>0.705</v>
      </c>
      <c r="AK97" s="75" t="s">
        <v>498</v>
      </c>
      <c r="AL97" s="75" t="s">
        <v>259</v>
      </c>
      <c r="AM97" s="76">
        <v>1</v>
      </c>
      <c r="AN97" s="76">
        <v>4</v>
      </c>
      <c r="AO97" s="77" t="s">
        <v>191</v>
      </c>
    </row>
    <row r="98" ht="24" customHeight="1" spans="1:41">
      <c r="A98" s="25" t="s">
        <v>441</v>
      </c>
      <c r="B98" s="26">
        <v>4</v>
      </c>
      <c r="C98" s="26" t="s">
        <v>442</v>
      </c>
      <c r="D98" s="26">
        <v>2</v>
      </c>
      <c r="E98" s="26" t="s">
        <v>377</v>
      </c>
      <c r="F98" s="26" t="s">
        <v>503</v>
      </c>
      <c r="G98" s="26" t="s">
        <v>497</v>
      </c>
      <c r="H98" s="26" t="s">
        <v>380</v>
      </c>
      <c r="I98" s="26">
        <v>2</v>
      </c>
      <c r="J98" s="26">
        <v>2</v>
      </c>
      <c r="K98" s="70">
        <v>5</v>
      </c>
      <c r="L98" s="70">
        <v>4</v>
      </c>
      <c r="M98" s="70">
        <v>4</v>
      </c>
      <c r="N98" s="71"/>
      <c r="O98" s="70">
        <v>4</v>
      </c>
      <c r="P98" s="70">
        <v>6</v>
      </c>
      <c r="Q98" s="70">
        <v>4</v>
      </c>
      <c r="R98" s="70">
        <v>4</v>
      </c>
      <c r="S98" s="70">
        <v>6</v>
      </c>
      <c r="T98" s="70">
        <v>3</v>
      </c>
      <c r="U98" s="70">
        <v>5</v>
      </c>
      <c r="V98" s="70">
        <v>5</v>
      </c>
      <c r="W98" s="70">
        <v>3</v>
      </c>
      <c r="X98" s="70">
        <v>3</v>
      </c>
      <c r="Y98" s="72">
        <v>46240.6485671528</v>
      </c>
      <c r="Z98" s="72">
        <v>46240.6497468981</v>
      </c>
      <c r="AA98" s="73">
        <v>101.9</v>
      </c>
      <c r="AB98" s="70" t="s">
        <v>266</v>
      </c>
      <c r="AC98" s="70" t="s">
        <v>266</v>
      </c>
      <c r="AD98" s="70" t="s">
        <v>266</v>
      </c>
      <c r="AE98" s="70" t="s">
        <v>386</v>
      </c>
      <c r="AF98" s="74">
        <v>12.24</v>
      </c>
      <c r="AG98" s="74">
        <v>0.782</v>
      </c>
      <c r="AH98" s="74">
        <v>0.855</v>
      </c>
      <c r="AI98" s="74">
        <v>0.992</v>
      </c>
      <c r="AJ98" s="74">
        <v>0.68</v>
      </c>
      <c r="AK98" s="75" t="s">
        <v>498</v>
      </c>
      <c r="AL98" s="75" t="s">
        <v>259</v>
      </c>
      <c r="AM98" s="76">
        <v>1</v>
      </c>
      <c r="AN98" s="76">
        <v>0</v>
      </c>
      <c r="AO98" s="77" t="s">
        <v>191</v>
      </c>
    </row>
    <row r="99" ht="24" customHeight="1" spans="1:41">
      <c r="A99" s="25" t="s">
        <v>441</v>
      </c>
      <c r="B99" s="26">
        <v>5</v>
      </c>
      <c r="C99" s="26" t="s">
        <v>442</v>
      </c>
      <c r="D99" s="26">
        <v>3</v>
      </c>
      <c r="E99" s="26" t="s">
        <v>375</v>
      </c>
      <c r="F99" s="26" t="s">
        <v>496</v>
      </c>
      <c r="G99" s="26" t="s">
        <v>497</v>
      </c>
      <c r="H99" s="26" t="s">
        <v>380</v>
      </c>
      <c r="I99" s="26">
        <v>1</v>
      </c>
      <c r="J99" s="26">
        <v>3</v>
      </c>
      <c r="K99" s="70">
        <v>5</v>
      </c>
      <c r="L99" s="70">
        <v>5</v>
      </c>
      <c r="M99" s="70">
        <v>4</v>
      </c>
      <c r="N99" s="71"/>
      <c r="O99" s="70">
        <v>5</v>
      </c>
      <c r="P99" s="70">
        <v>6</v>
      </c>
      <c r="Q99" s="70">
        <v>5</v>
      </c>
      <c r="R99" s="70">
        <v>4</v>
      </c>
      <c r="S99" s="70">
        <v>4</v>
      </c>
      <c r="T99" s="70">
        <v>5</v>
      </c>
      <c r="U99" s="70">
        <v>4</v>
      </c>
      <c r="V99" s="70">
        <v>5</v>
      </c>
      <c r="W99" s="70">
        <v>4</v>
      </c>
      <c r="X99" s="70">
        <v>5</v>
      </c>
      <c r="Y99" s="72">
        <v>46240.6505513426</v>
      </c>
      <c r="Z99" s="72">
        <v>46240.6514878472</v>
      </c>
      <c r="AA99" s="73">
        <v>80.9</v>
      </c>
      <c r="AB99" s="70" t="s">
        <v>266</v>
      </c>
      <c r="AC99" s="70" t="s">
        <v>266</v>
      </c>
      <c r="AD99" s="70" t="s">
        <v>266</v>
      </c>
      <c r="AE99" s="70" t="s">
        <v>386</v>
      </c>
      <c r="AF99" s="74">
        <v>11.93</v>
      </c>
      <c r="AG99" s="74">
        <v>0.812</v>
      </c>
      <c r="AH99" s="74">
        <v>0.892</v>
      </c>
      <c r="AI99" s="74">
        <v>0.983</v>
      </c>
      <c r="AJ99" s="74">
        <v>0.845</v>
      </c>
      <c r="AK99" s="75" t="s">
        <v>498</v>
      </c>
      <c r="AL99" s="75" t="s">
        <v>259</v>
      </c>
      <c r="AM99" s="76">
        <v>1</v>
      </c>
      <c r="AN99" s="76">
        <v>0</v>
      </c>
      <c r="AO99" s="77" t="s">
        <v>191</v>
      </c>
    </row>
    <row r="100" ht="24" customHeight="1" spans="1:41">
      <c r="A100" s="78" t="s">
        <v>441</v>
      </c>
      <c r="B100" s="79">
        <v>6</v>
      </c>
      <c r="C100" s="79" t="s">
        <v>442</v>
      </c>
      <c r="D100" s="79">
        <v>3</v>
      </c>
      <c r="E100" s="79" t="s">
        <v>375</v>
      </c>
      <c r="F100" s="79" t="s">
        <v>496</v>
      </c>
      <c r="G100" s="79" t="s">
        <v>499</v>
      </c>
      <c r="H100" s="79" t="s">
        <v>379</v>
      </c>
      <c r="I100" s="79">
        <v>2</v>
      </c>
      <c r="J100" s="79">
        <v>3</v>
      </c>
      <c r="K100" s="80">
        <v>3</v>
      </c>
      <c r="L100" s="80">
        <v>5</v>
      </c>
      <c r="M100" s="80">
        <v>6</v>
      </c>
      <c r="N100" s="81"/>
      <c r="O100" s="80">
        <v>5</v>
      </c>
      <c r="P100" s="80">
        <v>6</v>
      </c>
      <c r="Q100" s="80">
        <v>5</v>
      </c>
      <c r="R100" s="80">
        <v>4</v>
      </c>
      <c r="S100" s="80">
        <v>5</v>
      </c>
      <c r="T100" s="80">
        <v>4</v>
      </c>
      <c r="U100" s="80">
        <v>6</v>
      </c>
      <c r="V100" s="80">
        <v>4</v>
      </c>
      <c r="W100" s="80">
        <v>4</v>
      </c>
      <c r="X100" s="80">
        <v>4</v>
      </c>
      <c r="Y100" s="82">
        <v>46240.6524225926</v>
      </c>
      <c r="Z100" s="82">
        <v>46240.6536343866</v>
      </c>
      <c r="AA100" s="83">
        <v>104.7</v>
      </c>
      <c r="AB100" s="80" t="s">
        <v>266</v>
      </c>
      <c r="AC100" s="80" t="s">
        <v>266</v>
      </c>
      <c r="AD100" s="80" t="s">
        <v>266</v>
      </c>
      <c r="AE100" s="80" t="s">
        <v>386</v>
      </c>
      <c r="AF100" s="84">
        <v>12.79</v>
      </c>
      <c r="AG100" s="84">
        <v>0.78</v>
      </c>
      <c r="AH100" s="84">
        <v>0.894</v>
      </c>
      <c r="AI100" s="84">
        <v>0.992</v>
      </c>
      <c r="AJ100" s="84">
        <v>0.771</v>
      </c>
      <c r="AK100" s="85" t="s">
        <v>498</v>
      </c>
      <c r="AL100" s="85" t="s">
        <v>259</v>
      </c>
      <c r="AM100" s="86">
        <v>1</v>
      </c>
      <c r="AN100" s="86">
        <v>3</v>
      </c>
      <c r="AO100" s="85" t="s">
        <v>191</v>
      </c>
    </row>
    <row r="101" ht="24" customHeight="1" spans="1:41">
      <c r="A101" s="25" t="s">
        <v>444</v>
      </c>
      <c r="B101" s="26">
        <v>1</v>
      </c>
      <c r="C101" s="26" t="s">
        <v>445</v>
      </c>
      <c r="D101" s="26">
        <v>1</v>
      </c>
      <c r="E101" s="26" t="s">
        <v>377</v>
      </c>
      <c r="F101" s="26" t="s">
        <v>503</v>
      </c>
      <c r="G101" s="26" t="s">
        <v>497</v>
      </c>
      <c r="H101" s="26" t="s">
        <v>379</v>
      </c>
      <c r="I101" s="26">
        <v>1</v>
      </c>
      <c r="J101" s="26">
        <v>1</v>
      </c>
      <c r="K101" s="70">
        <v>5</v>
      </c>
      <c r="L101" s="70">
        <v>4</v>
      </c>
      <c r="M101" s="70">
        <v>4</v>
      </c>
      <c r="N101" s="71"/>
      <c r="O101" s="70">
        <v>3</v>
      </c>
      <c r="P101" s="70">
        <v>4</v>
      </c>
      <c r="Q101" s="70">
        <v>4</v>
      </c>
      <c r="R101" s="70">
        <v>5</v>
      </c>
      <c r="S101" s="70">
        <v>4</v>
      </c>
      <c r="T101" s="70">
        <v>4</v>
      </c>
      <c r="U101" s="70">
        <v>3</v>
      </c>
      <c r="V101" s="70">
        <v>4</v>
      </c>
      <c r="W101" s="70">
        <v>4</v>
      </c>
      <c r="X101" s="70">
        <v>4</v>
      </c>
      <c r="Y101" s="72">
        <v>46241.3872672801</v>
      </c>
      <c r="Z101" s="72">
        <v>46241.3883297801</v>
      </c>
      <c r="AA101" s="73">
        <v>91.8</v>
      </c>
      <c r="AB101" s="70" t="s">
        <v>266</v>
      </c>
      <c r="AC101" s="70" t="s">
        <v>266</v>
      </c>
      <c r="AD101" s="70" t="s">
        <v>266</v>
      </c>
      <c r="AE101" s="70" t="s">
        <v>386</v>
      </c>
      <c r="AF101" s="74">
        <v>12.23</v>
      </c>
      <c r="AG101" s="74">
        <v>0.776</v>
      </c>
      <c r="AH101" s="74">
        <v>0.89</v>
      </c>
      <c r="AI101" s="74">
        <v>0.992</v>
      </c>
      <c r="AJ101" s="74">
        <v>0.755</v>
      </c>
      <c r="AK101" s="75" t="s">
        <v>498</v>
      </c>
      <c r="AL101" s="75" t="s">
        <v>259</v>
      </c>
      <c r="AM101" s="76">
        <v>1</v>
      </c>
      <c r="AN101" s="76">
        <v>2</v>
      </c>
      <c r="AO101" s="77" t="s">
        <v>191</v>
      </c>
    </row>
    <row r="102" ht="24" customHeight="1" spans="1:41">
      <c r="A102" s="25" t="s">
        <v>444</v>
      </c>
      <c r="B102" s="26">
        <v>2</v>
      </c>
      <c r="C102" s="26" t="s">
        <v>445</v>
      </c>
      <c r="D102" s="26">
        <v>1</v>
      </c>
      <c r="E102" s="26" t="s">
        <v>377</v>
      </c>
      <c r="F102" s="26" t="s">
        <v>503</v>
      </c>
      <c r="G102" s="26" t="s">
        <v>499</v>
      </c>
      <c r="H102" s="26" t="s">
        <v>380</v>
      </c>
      <c r="I102" s="26">
        <v>2</v>
      </c>
      <c r="J102" s="26">
        <v>1</v>
      </c>
      <c r="K102" s="70">
        <v>3</v>
      </c>
      <c r="L102" s="70">
        <v>4</v>
      </c>
      <c r="M102" s="70">
        <v>4</v>
      </c>
      <c r="N102" s="71"/>
      <c r="O102" s="70">
        <v>5</v>
      </c>
      <c r="P102" s="70">
        <v>4</v>
      </c>
      <c r="Q102" s="70">
        <v>4</v>
      </c>
      <c r="R102" s="70">
        <v>3</v>
      </c>
      <c r="S102" s="70">
        <v>4</v>
      </c>
      <c r="T102" s="70">
        <v>3</v>
      </c>
      <c r="U102" s="70">
        <v>4</v>
      </c>
      <c r="V102" s="70">
        <v>5</v>
      </c>
      <c r="W102" s="70">
        <v>3</v>
      </c>
      <c r="X102" s="70">
        <v>4</v>
      </c>
      <c r="Y102" s="72">
        <v>46241.3891915741</v>
      </c>
      <c r="Z102" s="72">
        <v>46241.3900728009</v>
      </c>
      <c r="AA102" s="73">
        <v>76.1</v>
      </c>
      <c r="AB102" s="70" t="s">
        <v>266</v>
      </c>
      <c r="AC102" s="70" t="s">
        <v>266</v>
      </c>
      <c r="AD102" s="70" t="s">
        <v>266</v>
      </c>
      <c r="AE102" s="70" t="s">
        <v>386</v>
      </c>
      <c r="AF102" s="74">
        <v>13.67</v>
      </c>
      <c r="AG102" s="74">
        <v>0.735</v>
      </c>
      <c r="AH102" s="74">
        <v>0.848</v>
      </c>
      <c r="AI102" s="74">
        <v>0.995</v>
      </c>
      <c r="AJ102" s="74">
        <v>0.73</v>
      </c>
      <c r="AK102" s="75" t="s">
        <v>498</v>
      </c>
      <c r="AL102" s="75" t="s">
        <v>259</v>
      </c>
      <c r="AM102" s="76">
        <v>1</v>
      </c>
      <c r="AN102" s="76">
        <v>0</v>
      </c>
      <c r="AO102" s="77" t="s">
        <v>500</v>
      </c>
    </row>
    <row r="103" ht="24" customHeight="1" spans="1:41">
      <c r="A103" s="25" t="s">
        <v>444</v>
      </c>
      <c r="B103" s="26">
        <v>3</v>
      </c>
      <c r="C103" s="26" t="s">
        <v>445</v>
      </c>
      <c r="D103" s="26">
        <v>2</v>
      </c>
      <c r="E103" s="26" t="s">
        <v>375</v>
      </c>
      <c r="F103" s="26" t="s">
        <v>496</v>
      </c>
      <c r="G103" s="26" t="s">
        <v>499</v>
      </c>
      <c r="H103" s="26" t="s">
        <v>380</v>
      </c>
      <c r="I103" s="26">
        <v>1</v>
      </c>
      <c r="J103" s="26">
        <v>2</v>
      </c>
      <c r="K103" s="70">
        <v>3</v>
      </c>
      <c r="L103" s="70">
        <v>4</v>
      </c>
      <c r="M103" s="70">
        <v>5</v>
      </c>
      <c r="N103" s="71"/>
      <c r="O103" s="70">
        <v>4</v>
      </c>
      <c r="P103" s="70">
        <v>3</v>
      </c>
      <c r="Q103" s="70">
        <v>4</v>
      </c>
      <c r="R103" s="70">
        <v>2</v>
      </c>
      <c r="S103" s="70">
        <v>3</v>
      </c>
      <c r="T103" s="70">
        <v>3</v>
      </c>
      <c r="U103" s="70">
        <v>3</v>
      </c>
      <c r="V103" s="70">
        <v>5</v>
      </c>
      <c r="W103" s="70">
        <v>4</v>
      </c>
      <c r="X103" s="70">
        <v>4</v>
      </c>
      <c r="Y103" s="72">
        <v>46241.3908942361</v>
      </c>
      <c r="Z103" s="72">
        <v>46241.391842338</v>
      </c>
      <c r="AA103" s="73">
        <v>81.9</v>
      </c>
      <c r="AB103" s="70" t="s">
        <v>266</v>
      </c>
      <c r="AC103" s="70" t="s">
        <v>266</v>
      </c>
      <c r="AD103" s="70" t="s">
        <v>266</v>
      </c>
      <c r="AE103" s="70" t="s">
        <v>386</v>
      </c>
      <c r="AF103" s="74">
        <v>13.02</v>
      </c>
      <c r="AG103" s="74">
        <v>0.763</v>
      </c>
      <c r="AH103" s="74">
        <v>0.862</v>
      </c>
      <c r="AI103" s="74">
        <v>0.981</v>
      </c>
      <c r="AJ103" s="74">
        <v>0.738</v>
      </c>
      <c r="AK103" s="75" t="s">
        <v>498</v>
      </c>
      <c r="AL103" s="75" t="s">
        <v>259</v>
      </c>
      <c r="AM103" s="76">
        <v>1</v>
      </c>
      <c r="AN103" s="76">
        <v>0</v>
      </c>
      <c r="AO103" s="77" t="s">
        <v>502</v>
      </c>
    </row>
    <row r="104" ht="24" customHeight="1" spans="1:41">
      <c r="A104" s="25" t="s">
        <v>444</v>
      </c>
      <c r="B104" s="26">
        <v>4</v>
      </c>
      <c r="C104" s="26" t="s">
        <v>445</v>
      </c>
      <c r="D104" s="26">
        <v>2</v>
      </c>
      <c r="E104" s="26" t="s">
        <v>375</v>
      </c>
      <c r="F104" s="26" t="s">
        <v>496</v>
      </c>
      <c r="G104" s="26" t="s">
        <v>497</v>
      </c>
      <c r="H104" s="26" t="s">
        <v>379</v>
      </c>
      <c r="I104" s="26">
        <v>2</v>
      </c>
      <c r="J104" s="26">
        <v>2</v>
      </c>
      <c r="K104" s="70">
        <v>4</v>
      </c>
      <c r="L104" s="70">
        <v>4</v>
      </c>
      <c r="M104" s="70">
        <v>5</v>
      </c>
      <c r="N104" s="71"/>
      <c r="O104" s="70">
        <v>4</v>
      </c>
      <c r="P104" s="70">
        <v>5</v>
      </c>
      <c r="Q104" s="70">
        <v>4</v>
      </c>
      <c r="R104" s="70">
        <v>3</v>
      </c>
      <c r="S104" s="70">
        <v>5</v>
      </c>
      <c r="T104" s="70">
        <v>6</v>
      </c>
      <c r="U104" s="70">
        <v>4</v>
      </c>
      <c r="V104" s="70">
        <v>4</v>
      </c>
      <c r="W104" s="70">
        <v>5</v>
      </c>
      <c r="X104" s="70">
        <v>4</v>
      </c>
      <c r="Y104" s="72">
        <v>46241.3926097454</v>
      </c>
      <c r="Z104" s="72">
        <v>46241.3938403588</v>
      </c>
      <c r="AA104" s="73">
        <v>106.3</v>
      </c>
      <c r="AB104" s="70" t="s">
        <v>266</v>
      </c>
      <c r="AC104" s="70" t="s">
        <v>266</v>
      </c>
      <c r="AD104" s="70" t="s">
        <v>266</v>
      </c>
      <c r="AE104" s="70" t="s">
        <v>386</v>
      </c>
      <c r="AF104" s="74">
        <v>12.6</v>
      </c>
      <c r="AG104" s="74">
        <v>0.779</v>
      </c>
      <c r="AH104" s="74">
        <v>0.845</v>
      </c>
      <c r="AI104" s="74">
        <v>0.991</v>
      </c>
      <c r="AJ104" s="74">
        <v>0.735</v>
      </c>
      <c r="AK104" s="75" t="s">
        <v>498</v>
      </c>
      <c r="AL104" s="75" t="s">
        <v>259</v>
      </c>
      <c r="AM104" s="76">
        <v>1</v>
      </c>
      <c r="AN104" s="76">
        <v>2</v>
      </c>
      <c r="AO104" s="77" t="s">
        <v>191</v>
      </c>
    </row>
    <row r="105" ht="24" customHeight="1" spans="1:41">
      <c r="A105" s="25" t="s">
        <v>444</v>
      </c>
      <c r="B105" s="26">
        <v>5</v>
      </c>
      <c r="C105" s="26" t="s">
        <v>445</v>
      </c>
      <c r="D105" s="26">
        <v>3</v>
      </c>
      <c r="E105" s="26" t="s">
        <v>376</v>
      </c>
      <c r="F105" s="26" t="s">
        <v>501</v>
      </c>
      <c r="G105" s="26" t="s">
        <v>497</v>
      </c>
      <c r="H105" s="26" t="s">
        <v>379</v>
      </c>
      <c r="I105" s="26">
        <v>1</v>
      </c>
      <c r="J105" s="26">
        <v>3</v>
      </c>
      <c r="K105" s="70">
        <v>4</v>
      </c>
      <c r="L105" s="70">
        <v>5</v>
      </c>
      <c r="M105" s="70">
        <v>4</v>
      </c>
      <c r="N105" s="71"/>
      <c r="O105" s="70">
        <v>4</v>
      </c>
      <c r="P105" s="70">
        <v>5</v>
      </c>
      <c r="Q105" s="70">
        <v>5</v>
      </c>
      <c r="R105" s="70">
        <v>4</v>
      </c>
      <c r="S105" s="70">
        <v>4</v>
      </c>
      <c r="T105" s="70">
        <v>4</v>
      </c>
      <c r="U105" s="70">
        <v>4</v>
      </c>
      <c r="V105" s="70">
        <v>4</v>
      </c>
      <c r="W105" s="70">
        <v>4</v>
      </c>
      <c r="X105" s="70">
        <v>4</v>
      </c>
      <c r="Y105" s="72">
        <v>46241.3949466319</v>
      </c>
      <c r="Z105" s="72">
        <v>46241.3962293403</v>
      </c>
      <c r="AA105" s="73">
        <v>110.8</v>
      </c>
      <c r="AB105" s="70" t="s">
        <v>266</v>
      </c>
      <c r="AC105" s="70" t="s">
        <v>266</v>
      </c>
      <c r="AD105" s="70" t="s">
        <v>266</v>
      </c>
      <c r="AE105" s="70" t="s">
        <v>386</v>
      </c>
      <c r="AF105" s="74">
        <v>12.94</v>
      </c>
      <c r="AG105" s="74">
        <v>0.855</v>
      </c>
      <c r="AH105" s="74">
        <v>0.86</v>
      </c>
      <c r="AI105" s="74">
        <v>0.981</v>
      </c>
      <c r="AJ105" s="74">
        <v>0.724</v>
      </c>
      <c r="AK105" s="75" t="s">
        <v>498</v>
      </c>
      <c r="AL105" s="75" t="s">
        <v>259</v>
      </c>
      <c r="AM105" s="76">
        <v>0</v>
      </c>
      <c r="AN105" s="76">
        <v>4</v>
      </c>
      <c r="AO105" s="77" t="s">
        <v>506</v>
      </c>
    </row>
    <row r="106" ht="24" customHeight="1" spans="1:41">
      <c r="A106" s="78" t="s">
        <v>444</v>
      </c>
      <c r="B106" s="79">
        <v>6</v>
      </c>
      <c r="C106" s="79" t="s">
        <v>445</v>
      </c>
      <c r="D106" s="79">
        <v>3</v>
      </c>
      <c r="E106" s="79" t="s">
        <v>376</v>
      </c>
      <c r="F106" s="79" t="s">
        <v>501</v>
      </c>
      <c r="G106" s="79" t="s">
        <v>499</v>
      </c>
      <c r="H106" s="79" t="s">
        <v>380</v>
      </c>
      <c r="I106" s="79">
        <v>2</v>
      </c>
      <c r="J106" s="79">
        <v>3</v>
      </c>
      <c r="K106" s="80">
        <v>4</v>
      </c>
      <c r="L106" s="80">
        <v>6</v>
      </c>
      <c r="M106" s="80">
        <v>5</v>
      </c>
      <c r="N106" s="81"/>
      <c r="O106" s="80">
        <v>5</v>
      </c>
      <c r="P106" s="80">
        <v>4</v>
      </c>
      <c r="Q106" s="80">
        <v>3</v>
      </c>
      <c r="R106" s="80">
        <v>4</v>
      </c>
      <c r="S106" s="80">
        <v>4</v>
      </c>
      <c r="T106" s="80">
        <v>4</v>
      </c>
      <c r="U106" s="80">
        <v>3</v>
      </c>
      <c r="V106" s="80">
        <v>4</v>
      </c>
      <c r="W106" s="80">
        <v>3</v>
      </c>
      <c r="X106" s="80">
        <v>4</v>
      </c>
      <c r="Y106" s="82">
        <v>46241.3971876736</v>
      </c>
      <c r="Z106" s="82">
        <v>46241.3981723727</v>
      </c>
      <c r="AA106" s="83">
        <v>85.1</v>
      </c>
      <c r="AB106" s="80" t="s">
        <v>266</v>
      </c>
      <c r="AC106" s="80" t="s">
        <v>266</v>
      </c>
      <c r="AD106" s="80" t="s">
        <v>266</v>
      </c>
      <c r="AE106" s="80" t="s">
        <v>386</v>
      </c>
      <c r="AF106" s="84">
        <v>12.82</v>
      </c>
      <c r="AG106" s="84">
        <v>0.837</v>
      </c>
      <c r="AH106" s="84">
        <v>0.889</v>
      </c>
      <c r="AI106" s="84">
        <v>0.987</v>
      </c>
      <c r="AJ106" s="84">
        <v>0.781</v>
      </c>
      <c r="AK106" s="85" t="s">
        <v>498</v>
      </c>
      <c r="AL106" s="85" t="s">
        <v>259</v>
      </c>
      <c r="AM106" s="86">
        <v>1</v>
      </c>
      <c r="AN106" s="86">
        <v>0</v>
      </c>
      <c r="AO106" s="85" t="s">
        <v>500</v>
      </c>
    </row>
    <row r="107" ht="24" customHeight="1" spans="1:41">
      <c r="A107" s="25" t="s">
        <v>447</v>
      </c>
      <c r="B107" s="26">
        <v>1</v>
      </c>
      <c r="C107" s="26" t="s">
        <v>448</v>
      </c>
      <c r="D107" s="26">
        <v>1</v>
      </c>
      <c r="E107" s="26" t="s">
        <v>377</v>
      </c>
      <c r="F107" s="26" t="s">
        <v>503</v>
      </c>
      <c r="G107" s="26" t="s">
        <v>499</v>
      </c>
      <c r="H107" s="26" t="s">
        <v>380</v>
      </c>
      <c r="I107" s="26">
        <v>1</v>
      </c>
      <c r="J107" s="26">
        <v>1</v>
      </c>
      <c r="K107" s="70">
        <v>4</v>
      </c>
      <c r="L107" s="70">
        <v>5</v>
      </c>
      <c r="M107" s="70">
        <v>4</v>
      </c>
      <c r="N107" s="71"/>
      <c r="O107" s="70">
        <v>5</v>
      </c>
      <c r="P107" s="70">
        <v>4</v>
      </c>
      <c r="Q107" s="70">
        <v>4</v>
      </c>
      <c r="R107" s="70">
        <v>3</v>
      </c>
      <c r="S107" s="70">
        <v>6</v>
      </c>
      <c r="T107" s="70">
        <v>5</v>
      </c>
      <c r="U107" s="70">
        <v>4</v>
      </c>
      <c r="V107" s="70">
        <v>4</v>
      </c>
      <c r="W107" s="70">
        <v>5</v>
      </c>
      <c r="X107" s="70">
        <v>4</v>
      </c>
      <c r="Y107" s="72">
        <v>46241.4594787037</v>
      </c>
      <c r="Z107" s="72">
        <v>46241.4604376157</v>
      </c>
      <c r="AA107" s="73">
        <v>82.8</v>
      </c>
      <c r="AB107" s="70" t="s">
        <v>266</v>
      </c>
      <c r="AC107" s="70" t="s">
        <v>266</v>
      </c>
      <c r="AD107" s="70" t="s">
        <v>266</v>
      </c>
      <c r="AE107" s="70" t="s">
        <v>386</v>
      </c>
      <c r="AF107" s="74">
        <v>14.11</v>
      </c>
      <c r="AG107" s="74">
        <v>0.774</v>
      </c>
      <c r="AH107" s="74">
        <v>0.876</v>
      </c>
      <c r="AI107" s="74">
        <v>0.986</v>
      </c>
      <c r="AJ107" s="74">
        <v>0.74</v>
      </c>
      <c r="AK107" s="75" t="s">
        <v>498</v>
      </c>
      <c r="AL107" s="75" t="s">
        <v>259</v>
      </c>
      <c r="AM107" s="76">
        <v>1</v>
      </c>
      <c r="AN107" s="76">
        <v>0</v>
      </c>
      <c r="AO107" s="77" t="s">
        <v>502</v>
      </c>
    </row>
    <row r="108" ht="24" customHeight="1" spans="1:41">
      <c r="A108" s="25" t="s">
        <v>447</v>
      </c>
      <c r="B108" s="26">
        <v>2</v>
      </c>
      <c r="C108" s="26" t="s">
        <v>448</v>
      </c>
      <c r="D108" s="26">
        <v>1</v>
      </c>
      <c r="E108" s="26" t="s">
        <v>377</v>
      </c>
      <c r="F108" s="26" t="s">
        <v>503</v>
      </c>
      <c r="G108" s="26" t="s">
        <v>497</v>
      </c>
      <c r="H108" s="26" t="s">
        <v>379</v>
      </c>
      <c r="I108" s="26">
        <v>2</v>
      </c>
      <c r="J108" s="26">
        <v>1</v>
      </c>
      <c r="K108" s="70">
        <v>6</v>
      </c>
      <c r="L108" s="70">
        <v>4</v>
      </c>
      <c r="M108" s="70">
        <v>4</v>
      </c>
      <c r="N108" s="71"/>
      <c r="O108" s="70">
        <v>5</v>
      </c>
      <c r="P108" s="70">
        <v>6</v>
      </c>
      <c r="Q108" s="70">
        <v>5</v>
      </c>
      <c r="R108" s="70">
        <v>5</v>
      </c>
      <c r="S108" s="70">
        <v>4</v>
      </c>
      <c r="T108" s="70">
        <v>4</v>
      </c>
      <c r="U108" s="70">
        <v>5</v>
      </c>
      <c r="V108" s="70">
        <v>5</v>
      </c>
      <c r="W108" s="70">
        <v>6</v>
      </c>
      <c r="X108" s="70">
        <v>6</v>
      </c>
      <c r="Y108" s="72">
        <v>46241.4614565393</v>
      </c>
      <c r="Z108" s="72">
        <v>46241.4623201852</v>
      </c>
      <c r="AA108" s="73">
        <v>74.6</v>
      </c>
      <c r="AB108" s="70" t="s">
        <v>266</v>
      </c>
      <c r="AC108" s="70" t="s">
        <v>266</v>
      </c>
      <c r="AD108" s="70" t="s">
        <v>266</v>
      </c>
      <c r="AE108" s="70" t="s">
        <v>386</v>
      </c>
      <c r="AF108" s="74">
        <v>12.56</v>
      </c>
      <c r="AG108" s="74">
        <v>0.785</v>
      </c>
      <c r="AH108" s="74">
        <v>0.906</v>
      </c>
      <c r="AI108" s="74">
        <v>0.989</v>
      </c>
      <c r="AJ108" s="74">
        <v>0.754</v>
      </c>
      <c r="AK108" s="75" t="s">
        <v>498</v>
      </c>
      <c r="AL108" s="75" t="s">
        <v>259</v>
      </c>
      <c r="AM108" s="76">
        <v>1</v>
      </c>
      <c r="AN108" s="76">
        <v>3</v>
      </c>
      <c r="AO108" s="77" t="s">
        <v>191</v>
      </c>
    </row>
    <row r="109" ht="24" customHeight="1" spans="1:41">
      <c r="A109" s="25" t="s">
        <v>447</v>
      </c>
      <c r="B109" s="26">
        <v>3</v>
      </c>
      <c r="C109" s="26" t="s">
        <v>448</v>
      </c>
      <c r="D109" s="26">
        <v>2</v>
      </c>
      <c r="E109" s="26" t="s">
        <v>375</v>
      </c>
      <c r="F109" s="26" t="s">
        <v>496</v>
      </c>
      <c r="G109" s="26" t="s">
        <v>497</v>
      </c>
      <c r="H109" s="26" t="s">
        <v>379</v>
      </c>
      <c r="I109" s="26">
        <v>1</v>
      </c>
      <c r="J109" s="26">
        <v>2</v>
      </c>
      <c r="K109" s="70">
        <v>5</v>
      </c>
      <c r="L109" s="70">
        <v>5</v>
      </c>
      <c r="M109" s="70">
        <v>5</v>
      </c>
      <c r="N109" s="71"/>
      <c r="O109" s="70">
        <v>4</v>
      </c>
      <c r="P109" s="70">
        <v>6</v>
      </c>
      <c r="Q109" s="70">
        <v>6</v>
      </c>
      <c r="R109" s="70">
        <v>5</v>
      </c>
      <c r="S109" s="70">
        <v>4</v>
      </c>
      <c r="T109" s="70">
        <v>6</v>
      </c>
      <c r="U109" s="70">
        <v>5</v>
      </c>
      <c r="V109" s="70">
        <v>5</v>
      </c>
      <c r="W109" s="70">
        <v>5</v>
      </c>
      <c r="X109" s="70">
        <v>4</v>
      </c>
      <c r="Y109" s="72">
        <v>46241.4632553125</v>
      </c>
      <c r="Z109" s="72">
        <v>46241.4641827431</v>
      </c>
      <c r="AA109" s="73">
        <v>80.1</v>
      </c>
      <c r="AB109" s="70" t="s">
        <v>266</v>
      </c>
      <c r="AC109" s="70" t="s">
        <v>266</v>
      </c>
      <c r="AD109" s="70" t="s">
        <v>266</v>
      </c>
      <c r="AE109" s="70" t="s">
        <v>386</v>
      </c>
      <c r="AF109" s="74">
        <v>13.34</v>
      </c>
      <c r="AG109" s="74">
        <v>0.753</v>
      </c>
      <c r="AH109" s="74">
        <v>0.848</v>
      </c>
      <c r="AI109" s="74">
        <v>0.996</v>
      </c>
      <c r="AJ109" s="74">
        <v>0.855</v>
      </c>
      <c r="AK109" s="75" t="s">
        <v>498</v>
      </c>
      <c r="AL109" s="75" t="s">
        <v>259</v>
      </c>
      <c r="AM109" s="76">
        <v>1</v>
      </c>
      <c r="AN109" s="76">
        <v>2</v>
      </c>
      <c r="AO109" s="77" t="s">
        <v>191</v>
      </c>
    </row>
    <row r="110" ht="24" customHeight="1" spans="1:41">
      <c r="A110" s="25" t="s">
        <v>447</v>
      </c>
      <c r="B110" s="26">
        <v>4</v>
      </c>
      <c r="C110" s="26" t="s">
        <v>448</v>
      </c>
      <c r="D110" s="26">
        <v>2</v>
      </c>
      <c r="E110" s="26" t="s">
        <v>375</v>
      </c>
      <c r="F110" s="26" t="s">
        <v>496</v>
      </c>
      <c r="G110" s="26" t="s">
        <v>499</v>
      </c>
      <c r="H110" s="26" t="s">
        <v>380</v>
      </c>
      <c r="I110" s="26">
        <v>2</v>
      </c>
      <c r="J110" s="26">
        <v>2</v>
      </c>
      <c r="K110" s="70">
        <v>5</v>
      </c>
      <c r="L110" s="70">
        <v>4</v>
      </c>
      <c r="M110" s="70">
        <v>4</v>
      </c>
      <c r="N110" s="71"/>
      <c r="O110" s="70">
        <v>5</v>
      </c>
      <c r="P110" s="70">
        <v>4</v>
      </c>
      <c r="Q110" s="70">
        <v>3</v>
      </c>
      <c r="R110" s="70">
        <v>5</v>
      </c>
      <c r="S110" s="70">
        <v>5</v>
      </c>
      <c r="T110" s="70">
        <v>4</v>
      </c>
      <c r="U110" s="70">
        <v>6</v>
      </c>
      <c r="V110" s="70">
        <v>4</v>
      </c>
      <c r="W110" s="70">
        <v>3</v>
      </c>
      <c r="X110" s="70">
        <v>5</v>
      </c>
      <c r="Y110" s="72">
        <v>46241.4651679745</v>
      </c>
      <c r="Z110" s="72">
        <v>46241.4659942477</v>
      </c>
      <c r="AA110" s="73">
        <v>71.4</v>
      </c>
      <c r="AB110" s="70" t="s">
        <v>266</v>
      </c>
      <c r="AC110" s="70" t="s">
        <v>266</v>
      </c>
      <c r="AD110" s="70" t="s">
        <v>266</v>
      </c>
      <c r="AE110" s="70" t="s">
        <v>386</v>
      </c>
      <c r="AF110" s="74">
        <v>13.24</v>
      </c>
      <c r="AG110" s="74">
        <v>0.756</v>
      </c>
      <c r="AH110" s="74">
        <v>0.866</v>
      </c>
      <c r="AI110" s="74">
        <v>0.99</v>
      </c>
      <c r="AJ110" s="74">
        <v>0.818</v>
      </c>
      <c r="AK110" s="75" t="s">
        <v>498</v>
      </c>
      <c r="AL110" s="75" t="s">
        <v>259</v>
      </c>
      <c r="AM110" s="76">
        <v>0</v>
      </c>
      <c r="AN110" s="76">
        <v>0</v>
      </c>
      <c r="AO110" s="77" t="s">
        <v>191</v>
      </c>
    </row>
    <row r="111" ht="24" customHeight="1" spans="1:41">
      <c r="A111" s="25" t="s">
        <v>447</v>
      </c>
      <c r="B111" s="26">
        <v>5</v>
      </c>
      <c r="C111" s="26" t="s">
        <v>448</v>
      </c>
      <c r="D111" s="26">
        <v>3</v>
      </c>
      <c r="E111" s="26" t="s">
        <v>376</v>
      </c>
      <c r="F111" s="26" t="s">
        <v>501</v>
      </c>
      <c r="G111" s="26" t="s">
        <v>499</v>
      </c>
      <c r="H111" s="26" t="s">
        <v>380</v>
      </c>
      <c r="I111" s="26">
        <v>1</v>
      </c>
      <c r="J111" s="26">
        <v>3</v>
      </c>
      <c r="K111" s="70">
        <v>4</v>
      </c>
      <c r="L111" s="70">
        <v>5</v>
      </c>
      <c r="M111" s="70">
        <v>6</v>
      </c>
      <c r="N111" s="71"/>
      <c r="O111" s="70">
        <v>4</v>
      </c>
      <c r="P111" s="70">
        <v>4</v>
      </c>
      <c r="Q111" s="70">
        <v>4</v>
      </c>
      <c r="R111" s="70">
        <v>4</v>
      </c>
      <c r="S111" s="70">
        <v>5</v>
      </c>
      <c r="T111" s="70">
        <v>5</v>
      </c>
      <c r="U111" s="70">
        <v>4</v>
      </c>
      <c r="V111" s="70">
        <v>5</v>
      </c>
      <c r="W111" s="70">
        <v>4</v>
      </c>
      <c r="X111" s="70">
        <v>4</v>
      </c>
      <c r="Y111" s="72">
        <v>46241.4669856481</v>
      </c>
      <c r="Z111" s="72">
        <v>46241.4681523032</v>
      </c>
      <c r="AA111" s="73">
        <v>100.8</v>
      </c>
      <c r="AB111" s="70" t="s">
        <v>266</v>
      </c>
      <c r="AC111" s="70" t="s">
        <v>266</v>
      </c>
      <c r="AD111" s="70" t="s">
        <v>266</v>
      </c>
      <c r="AE111" s="70" t="s">
        <v>504</v>
      </c>
      <c r="AF111" s="74">
        <v>13</v>
      </c>
      <c r="AG111" s="74">
        <v>0.785</v>
      </c>
      <c r="AH111" s="74">
        <v>0.907</v>
      </c>
      <c r="AI111" s="74">
        <v>0.975</v>
      </c>
      <c r="AJ111" s="74">
        <v>0.732</v>
      </c>
      <c r="AK111" s="75" t="s">
        <v>498</v>
      </c>
      <c r="AL111" s="75" t="s">
        <v>259</v>
      </c>
      <c r="AM111" s="76">
        <v>1</v>
      </c>
      <c r="AN111" s="76">
        <v>0</v>
      </c>
      <c r="AO111" s="77" t="s">
        <v>505</v>
      </c>
    </row>
    <row r="112" ht="24" customHeight="1" spans="1:41">
      <c r="A112" s="78" t="s">
        <v>447</v>
      </c>
      <c r="B112" s="79">
        <v>6</v>
      </c>
      <c r="C112" s="79" t="s">
        <v>448</v>
      </c>
      <c r="D112" s="79">
        <v>3</v>
      </c>
      <c r="E112" s="79" t="s">
        <v>376</v>
      </c>
      <c r="F112" s="79" t="s">
        <v>501</v>
      </c>
      <c r="G112" s="79" t="s">
        <v>497</v>
      </c>
      <c r="H112" s="79" t="s">
        <v>379</v>
      </c>
      <c r="I112" s="79">
        <v>2</v>
      </c>
      <c r="J112" s="79">
        <v>3</v>
      </c>
      <c r="K112" s="80">
        <v>6</v>
      </c>
      <c r="L112" s="80">
        <v>5</v>
      </c>
      <c r="M112" s="80">
        <v>4</v>
      </c>
      <c r="N112" s="81"/>
      <c r="O112" s="80">
        <v>4</v>
      </c>
      <c r="P112" s="80">
        <v>4</v>
      </c>
      <c r="Q112" s="80">
        <v>5</v>
      </c>
      <c r="R112" s="80">
        <v>4</v>
      </c>
      <c r="S112" s="80">
        <v>3</v>
      </c>
      <c r="T112" s="80">
        <v>5</v>
      </c>
      <c r="U112" s="80">
        <v>5</v>
      </c>
      <c r="V112" s="80">
        <v>5</v>
      </c>
      <c r="W112" s="80">
        <v>5</v>
      </c>
      <c r="X112" s="80">
        <v>3</v>
      </c>
      <c r="Y112" s="82">
        <v>46241.4691127778</v>
      </c>
      <c r="Z112" s="82">
        <v>46241.4701943866</v>
      </c>
      <c r="AA112" s="83">
        <v>93.5</v>
      </c>
      <c r="AB112" s="80" t="s">
        <v>266</v>
      </c>
      <c r="AC112" s="80" t="s">
        <v>266</v>
      </c>
      <c r="AD112" s="80" t="s">
        <v>266</v>
      </c>
      <c r="AE112" s="80" t="s">
        <v>386</v>
      </c>
      <c r="AF112" s="84">
        <v>13.14</v>
      </c>
      <c r="AG112" s="84">
        <v>0.799</v>
      </c>
      <c r="AH112" s="84">
        <v>0.9</v>
      </c>
      <c r="AI112" s="84">
        <v>0.993</v>
      </c>
      <c r="AJ112" s="84">
        <v>0.777</v>
      </c>
      <c r="AK112" s="85" t="s">
        <v>498</v>
      </c>
      <c r="AL112" s="85" t="s">
        <v>259</v>
      </c>
      <c r="AM112" s="86">
        <v>0</v>
      </c>
      <c r="AN112" s="86">
        <v>3</v>
      </c>
      <c r="AO112" s="85" t="s">
        <v>191</v>
      </c>
    </row>
    <row r="113" ht="24" customHeight="1" spans="1:41">
      <c r="A113" s="25" t="s">
        <v>451</v>
      </c>
      <c r="B113" s="26">
        <v>1</v>
      </c>
      <c r="C113" s="26" t="s">
        <v>452</v>
      </c>
      <c r="D113" s="26">
        <v>1</v>
      </c>
      <c r="E113" s="26" t="s">
        <v>377</v>
      </c>
      <c r="F113" s="26" t="s">
        <v>503</v>
      </c>
      <c r="G113" s="26" t="s">
        <v>499</v>
      </c>
      <c r="H113" s="26" t="s">
        <v>379</v>
      </c>
      <c r="I113" s="26">
        <v>1</v>
      </c>
      <c r="J113" s="26">
        <v>1</v>
      </c>
      <c r="K113" s="70">
        <v>5</v>
      </c>
      <c r="L113" s="70">
        <v>5</v>
      </c>
      <c r="M113" s="70">
        <v>3</v>
      </c>
      <c r="N113" s="71"/>
      <c r="O113" s="70">
        <v>5</v>
      </c>
      <c r="P113" s="70">
        <v>5</v>
      </c>
      <c r="Q113" s="70">
        <v>4</v>
      </c>
      <c r="R113" s="70">
        <v>4</v>
      </c>
      <c r="S113" s="70">
        <v>5</v>
      </c>
      <c r="T113" s="70">
        <v>4</v>
      </c>
      <c r="U113" s="70">
        <v>4</v>
      </c>
      <c r="V113" s="70">
        <v>5</v>
      </c>
      <c r="W113" s="70">
        <v>5</v>
      </c>
      <c r="X113" s="70">
        <v>4</v>
      </c>
      <c r="Y113" s="72">
        <v>46241.5776438542</v>
      </c>
      <c r="Z113" s="72">
        <v>46241.5788041204</v>
      </c>
      <c r="AA113" s="73">
        <v>100.2</v>
      </c>
      <c r="AB113" s="70" t="s">
        <v>266</v>
      </c>
      <c r="AC113" s="70" t="s">
        <v>266</v>
      </c>
      <c r="AD113" s="70" t="s">
        <v>266</v>
      </c>
      <c r="AE113" s="70" t="s">
        <v>386</v>
      </c>
      <c r="AF113" s="74">
        <v>12.56</v>
      </c>
      <c r="AG113" s="74">
        <v>0.773</v>
      </c>
      <c r="AH113" s="74">
        <v>0.89</v>
      </c>
      <c r="AI113" s="74">
        <v>0.987</v>
      </c>
      <c r="AJ113" s="74">
        <v>0.692</v>
      </c>
      <c r="AK113" s="75" t="s">
        <v>498</v>
      </c>
      <c r="AL113" s="75" t="s">
        <v>259</v>
      </c>
      <c r="AM113" s="76">
        <v>1</v>
      </c>
      <c r="AN113" s="76">
        <v>3</v>
      </c>
      <c r="AO113" s="77" t="s">
        <v>191</v>
      </c>
    </row>
    <row r="114" ht="24" customHeight="1" spans="1:41">
      <c r="A114" s="25" t="s">
        <v>451</v>
      </c>
      <c r="B114" s="26">
        <v>2</v>
      </c>
      <c r="C114" s="26" t="s">
        <v>452</v>
      </c>
      <c r="D114" s="26">
        <v>1</v>
      </c>
      <c r="E114" s="26" t="s">
        <v>377</v>
      </c>
      <c r="F114" s="26" t="s">
        <v>503</v>
      </c>
      <c r="G114" s="26" t="s">
        <v>497</v>
      </c>
      <c r="H114" s="26" t="s">
        <v>380</v>
      </c>
      <c r="I114" s="26">
        <v>2</v>
      </c>
      <c r="J114" s="26">
        <v>1</v>
      </c>
      <c r="K114" s="70">
        <v>3</v>
      </c>
      <c r="L114" s="70">
        <v>5</v>
      </c>
      <c r="M114" s="70">
        <v>5</v>
      </c>
      <c r="N114" s="71"/>
      <c r="O114" s="70">
        <v>4</v>
      </c>
      <c r="P114" s="70">
        <v>4</v>
      </c>
      <c r="Q114" s="70">
        <v>4</v>
      </c>
      <c r="R114" s="70">
        <v>5</v>
      </c>
      <c r="S114" s="70">
        <v>4</v>
      </c>
      <c r="T114" s="70">
        <v>4</v>
      </c>
      <c r="U114" s="70">
        <v>5</v>
      </c>
      <c r="V114" s="70">
        <v>5</v>
      </c>
      <c r="W114" s="70">
        <v>2</v>
      </c>
      <c r="X114" s="70">
        <v>4</v>
      </c>
      <c r="Y114" s="72">
        <v>46241.5797044676</v>
      </c>
      <c r="Z114" s="72">
        <v>46241.5806617245</v>
      </c>
      <c r="AA114" s="73">
        <v>82.7</v>
      </c>
      <c r="AB114" s="70" t="s">
        <v>266</v>
      </c>
      <c r="AC114" s="70" t="s">
        <v>266</v>
      </c>
      <c r="AD114" s="70" t="s">
        <v>266</v>
      </c>
      <c r="AE114" s="70" t="s">
        <v>386</v>
      </c>
      <c r="AF114" s="74">
        <v>12.5</v>
      </c>
      <c r="AG114" s="74">
        <v>0.82</v>
      </c>
      <c r="AH114" s="74">
        <v>0.919</v>
      </c>
      <c r="AI114" s="74">
        <v>0.99</v>
      </c>
      <c r="AJ114" s="74">
        <v>0.678</v>
      </c>
      <c r="AK114" s="75" t="s">
        <v>498</v>
      </c>
      <c r="AL114" s="75" t="s">
        <v>259</v>
      </c>
      <c r="AM114" s="76">
        <v>1</v>
      </c>
      <c r="AN114" s="76">
        <v>0</v>
      </c>
      <c r="AO114" s="77" t="s">
        <v>191</v>
      </c>
    </row>
    <row r="115" ht="24" customHeight="1" spans="1:41">
      <c r="A115" s="25" t="s">
        <v>451</v>
      </c>
      <c r="B115" s="26">
        <v>3</v>
      </c>
      <c r="C115" s="26" t="s">
        <v>452</v>
      </c>
      <c r="D115" s="26">
        <v>2</v>
      </c>
      <c r="E115" s="26" t="s">
        <v>375</v>
      </c>
      <c r="F115" s="26" t="s">
        <v>496</v>
      </c>
      <c r="G115" s="26" t="s">
        <v>497</v>
      </c>
      <c r="H115" s="26" t="s">
        <v>380</v>
      </c>
      <c r="I115" s="26">
        <v>1</v>
      </c>
      <c r="J115" s="26">
        <v>2</v>
      </c>
      <c r="K115" s="70">
        <v>4</v>
      </c>
      <c r="L115" s="70">
        <v>3</v>
      </c>
      <c r="M115" s="70">
        <v>4</v>
      </c>
      <c r="N115" s="71"/>
      <c r="O115" s="70">
        <v>4</v>
      </c>
      <c r="P115" s="70">
        <v>5</v>
      </c>
      <c r="Q115" s="70">
        <v>4</v>
      </c>
      <c r="R115" s="70">
        <v>4</v>
      </c>
      <c r="S115" s="70">
        <v>3</v>
      </c>
      <c r="T115" s="70">
        <v>3</v>
      </c>
      <c r="U115" s="70">
        <v>4</v>
      </c>
      <c r="V115" s="70">
        <v>6</v>
      </c>
      <c r="W115" s="70">
        <v>5</v>
      </c>
      <c r="X115" s="70">
        <v>4</v>
      </c>
      <c r="Y115" s="72">
        <v>46241.5814989005</v>
      </c>
      <c r="Z115" s="72">
        <v>46241.5826628935</v>
      </c>
      <c r="AA115" s="73">
        <v>100.6</v>
      </c>
      <c r="AB115" s="70" t="s">
        <v>266</v>
      </c>
      <c r="AC115" s="70" t="s">
        <v>266</v>
      </c>
      <c r="AD115" s="70" t="s">
        <v>266</v>
      </c>
      <c r="AE115" s="70" t="s">
        <v>386</v>
      </c>
      <c r="AF115" s="74">
        <v>12.44</v>
      </c>
      <c r="AG115" s="74">
        <v>0.743</v>
      </c>
      <c r="AH115" s="74">
        <v>0.88</v>
      </c>
      <c r="AI115" s="74">
        <v>0.992</v>
      </c>
      <c r="AJ115" s="74">
        <v>0.791</v>
      </c>
      <c r="AK115" s="75" t="s">
        <v>498</v>
      </c>
      <c r="AL115" s="75" t="s">
        <v>259</v>
      </c>
      <c r="AM115" s="76">
        <v>0</v>
      </c>
      <c r="AN115" s="76">
        <v>0</v>
      </c>
      <c r="AO115" s="77" t="s">
        <v>502</v>
      </c>
    </row>
    <row r="116" ht="24" customHeight="1" spans="1:41">
      <c r="A116" s="25" t="s">
        <v>451</v>
      </c>
      <c r="B116" s="26">
        <v>4</v>
      </c>
      <c r="C116" s="26" t="s">
        <v>452</v>
      </c>
      <c r="D116" s="26">
        <v>2</v>
      </c>
      <c r="E116" s="26" t="s">
        <v>375</v>
      </c>
      <c r="F116" s="26" t="s">
        <v>496</v>
      </c>
      <c r="G116" s="26" t="s">
        <v>499</v>
      </c>
      <c r="H116" s="26" t="s">
        <v>379</v>
      </c>
      <c r="I116" s="26">
        <v>2</v>
      </c>
      <c r="J116" s="26">
        <v>2</v>
      </c>
      <c r="K116" s="70">
        <v>5</v>
      </c>
      <c r="L116" s="70">
        <v>4</v>
      </c>
      <c r="M116" s="70">
        <v>5</v>
      </c>
      <c r="N116" s="71"/>
      <c r="O116" s="70">
        <v>3</v>
      </c>
      <c r="P116" s="70">
        <v>4</v>
      </c>
      <c r="Q116" s="70">
        <v>4</v>
      </c>
      <c r="R116" s="70">
        <v>4</v>
      </c>
      <c r="S116" s="70">
        <v>4</v>
      </c>
      <c r="T116" s="70">
        <v>3</v>
      </c>
      <c r="U116" s="70">
        <v>4</v>
      </c>
      <c r="V116" s="70">
        <v>3</v>
      </c>
      <c r="W116" s="70">
        <v>5</v>
      </c>
      <c r="X116" s="70">
        <v>4</v>
      </c>
      <c r="Y116" s="72">
        <v>46241.5834923264</v>
      </c>
      <c r="Z116" s="72">
        <v>46241.5844241435</v>
      </c>
      <c r="AA116" s="73">
        <v>80.5</v>
      </c>
      <c r="AB116" s="70" t="s">
        <v>266</v>
      </c>
      <c r="AC116" s="70" t="s">
        <v>266</v>
      </c>
      <c r="AD116" s="70" t="s">
        <v>266</v>
      </c>
      <c r="AE116" s="70" t="s">
        <v>386</v>
      </c>
      <c r="AF116" s="74">
        <v>12.64</v>
      </c>
      <c r="AG116" s="74">
        <v>0.777</v>
      </c>
      <c r="AH116" s="74">
        <v>0.882</v>
      </c>
      <c r="AI116" s="74">
        <v>0.988</v>
      </c>
      <c r="AJ116" s="74">
        <v>0.753</v>
      </c>
      <c r="AK116" s="75" t="s">
        <v>498</v>
      </c>
      <c r="AL116" s="75" t="s">
        <v>259</v>
      </c>
      <c r="AM116" s="76">
        <v>1</v>
      </c>
      <c r="AN116" s="76">
        <v>2</v>
      </c>
      <c r="AO116" s="77" t="s">
        <v>506</v>
      </c>
    </row>
    <row r="117" ht="24" customHeight="1" spans="1:41">
      <c r="A117" s="25" t="s">
        <v>451</v>
      </c>
      <c r="B117" s="26">
        <v>5</v>
      </c>
      <c r="C117" s="26" t="s">
        <v>452</v>
      </c>
      <c r="D117" s="26">
        <v>3</v>
      </c>
      <c r="E117" s="26" t="s">
        <v>376</v>
      </c>
      <c r="F117" s="26" t="s">
        <v>501</v>
      </c>
      <c r="G117" s="26" t="s">
        <v>499</v>
      </c>
      <c r="H117" s="26" t="s">
        <v>379</v>
      </c>
      <c r="I117" s="26">
        <v>1</v>
      </c>
      <c r="J117" s="26">
        <v>3</v>
      </c>
      <c r="K117" s="70">
        <v>5</v>
      </c>
      <c r="L117" s="70">
        <v>4</v>
      </c>
      <c r="M117" s="70">
        <v>5</v>
      </c>
      <c r="N117" s="71"/>
      <c r="O117" s="70">
        <v>3</v>
      </c>
      <c r="P117" s="70">
        <v>4</v>
      </c>
      <c r="Q117" s="70">
        <v>3</v>
      </c>
      <c r="R117" s="70">
        <v>4</v>
      </c>
      <c r="S117" s="70">
        <v>4</v>
      </c>
      <c r="T117" s="70">
        <v>5</v>
      </c>
      <c r="U117" s="70">
        <v>4</v>
      </c>
      <c r="V117" s="70">
        <v>3</v>
      </c>
      <c r="W117" s="70">
        <v>3</v>
      </c>
      <c r="X117" s="70">
        <v>3</v>
      </c>
      <c r="Y117" s="72">
        <v>46241.5852449653</v>
      </c>
      <c r="Z117" s="72">
        <v>46241.5861743171</v>
      </c>
      <c r="AA117" s="73">
        <v>80.3</v>
      </c>
      <c r="AB117" s="70" t="s">
        <v>266</v>
      </c>
      <c r="AC117" s="70" t="s">
        <v>266</v>
      </c>
      <c r="AD117" s="70" t="s">
        <v>266</v>
      </c>
      <c r="AE117" s="70" t="s">
        <v>386</v>
      </c>
      <c r="AF117" s="74">
        <v>13.19</v>
      </c>
      <c r="AG117" s="74">
        <v>0.873</v>
      </c>
      <c r="AH117" s="74">
        <v>0.939</v>
      </c>
      <c r="AI117" s="74">
        <v>0.984</v>
      </c>
      <c r="AJ117" s="74">
        <v>0.717</v>
      </c>
      <c r="AK117" s="75" t="s">
        <v>498</v>
      </c>
      <c r="AL117" s="75" t="s">
        <v>259</v>
      </c>
      <c r="AM117" s="76">
        <v>1</v>
      </c>
      <c r="AN117" s="76">
        <v>2</v>
      </c>
      <c r="AO117" s="77" t="s">
        <v>191</v>
      </c>
    </row>
    <row r="118" ht="24" customHeight="1" spans="1:41">
      <c r="A118" s="78" t="s">
        <v>451</v>
      </c>
      <c r="B118" s="79">
        <v>6</v>
      </c>
      <c r="C118" s="79" t="s">
        <v>452</v>
      </c>
      <c r="D118" s="79">
        <v>3</v>
      </c>
      <c r="E118" s="79" t="s">
        <v>376</v>
      </c>
      <c r="F118" s="79" t="s">
        <v>501</v>
      </c>
      <c r="G118" s="79" t="s">
        <v>497</v>
      </c>
      <c r="H118" s="79" t="s">
        <v>380</v>
      </c>
      <c r="I118" s="79">
        <v>2</v>
      </c>
      <c r="J118" s="79">
        <v>3</v>
      </c>
      <c r="K118" s="80">
        <v>4</v>
      </c>
      <c r="L118" s="80">
        <v>5</v>
      </c>
      <c r="M118" s="80">
        <v>5</v>
      </c>
      <c r="N118" s="81"/>
      <c r="O118" s="80">
        <v>4</v>
      </c>
      <c r="P118" s="80">
        <v>4</v>
      </c>
      <c r="Q118" s="80">
        <v>4</v>
      </c>
      <c r="R118" s="80">
        <v>5</v>
      </c>
      <c r="S118" s="80">
        <v>5</v>
      </c>
      <c r="T118" s="80">
        <v>4</v>
      </c>
      <c r="U118" s="80">
        <v>5</v>
      </c>
      <c r="V118" s="80">
        <v>5</v>
      </c>
      <c r="W118" s="80">
        <v>4</v>
      </c>
      <c r="X118" s="80">
        <v>3</v>
      </c>
      <c r="Y118" s="82">
        <v>46241.587179375</v>
      </c>
      <c r="Z118" s="82">
        <v>46241.5885807176</v>
      </c>
      <c r="AA118" s="83">
        <v>121.1</v>
      </c>
      <c r="AB118" s="80" t="s">
        <v>266</v>
      </c>
      <c r="AC118" s="80" t="s">
        <v>266</v>
      </c>
      <c r="AD118" s="80" t="s">
        <v>266</v>
      </c>
      <c r="AE118" s="80" t="s">
        <v>386</v>
      </c>
      <c r="AF118" s="84">
        <v>13.18</v>
      </c>
      <c r="AG118" s="84">
        <v>0.831</v>
      </c>
      <c r="AH118" s="84">
        <v>0.932</v>
      </c>
      <c r="AI118" s="84">
        <v>1</v>
      </c>
      <c r="AJ118" s="84">
        <v>0.73</v>
      </c>
      <c r="AK118" s="85" t="s">
        <v>498</v>
      </c>
      <c r="AL118" s="85" t="s">
        <v>259</v>
      </c>
      <c r="AM118" s="86">
        <v>1</v>
      </c>
      <c r="AN118" s="86">
        <v>0</v>
      </c>
      <c r="AO118" s="85" t="s">
        <v>191</v>
      </c>
    </row>
    <row r="119" ht="24" customHeight="1" spans="1:41">
      <c r="A119" s="25" t="s">
        <v>454</v>
      </c>
      <c r="B119" s="26">
        <v>1</v>
      </c>
      <c r="C119" s="26" t="s">
        <v>455</v>
      </c>
      <c r="D119" s="26">
        <v>1</v>
      </c>
      <c r="E119" s="26" t="s">
        <v>377</v>
      </c>
      <c r="F119" s="26" t="s">
        <v>503</v>
      </c>
      <c r="G119" s="26" t="s">
        <v>497</v>
      </c>
      <c r="H119" s="26" t="s">
        <v>380</v>
      </c>
      <c r="I119" s="26">
        <v>1</v>
      </c>
      <c r="J119" s="26">
        <v>1</v>
      </c>
      <c r="K119" s="70">
        <v>5</v>
      </c>
      <c r="L119" s="70">
        <v>4</v>
      </c>
      <c r="M119" s="70">
        <v>4</v>
      </c>
      <c r="N119" s="71"/>
      <c r="O119" s="70">
        <v>6</v>
      </c>
      <c r="P119" s="70">
        <v>3</v>
      </c>
      <c r="Q119" s="70">
        <v>4</v>
      </c>
      <c r="R119" s="70">
        <v>4</v>
      </c>
      <c r="S119" s="70">
        <v>5</v>
      </c>
      <c r="T119" s="70">
        <v>4</v>
      </c>
      <c r="U119" s="70">
        <v>4</v>
      </c>
      <c r="V119" s="70">
        <v>5</v>
      </c>
      <c r="W119" s="70">
        <v>4</v>
      </c>
      <c r="X119" s="70">
        <v>5</v>
      </c>
      <c r="Y119" s="72">
        <v>46241.6445153009</v>
      </c>
      <c r="Z119" s="72">
        <v>46241.6459706829</v>
      </c>
      <c r="AA119" s="73">
        <v>125.7</v>
      </c>
      <c r="AB119" s="70" t="s">
        <v>266</v>
      </c>
      <c r="AC119" s="70" t="s">
        <v>266</v>
      </c>
      <c r="AD119" s="70" t="s">
        <v>266</v>
      </c>
      <c r="AE119" s="70" t="s">
        <v>386</v>
      </c>
      <c r="AF119" s="74">
        <v>12.37</v>
      </c>
      <c r="AG119" s="74">
        <v>0.841</v>
      </c>
      <c r="AH119" s="74">
        <v>0.9</v>
      </c>
      <c r="AI119" s="74">
        <v>1</v>
      </c>
      <c r="AJ119" s="74">
        <v>0.749</v>
      </c>
      <c r="AK119" s="75" t="s">
        <v>498</v>
      </c>
      <c r="AL119" s="75" t="s">
        <v>259</v>
      </c>
      <c r="AM119" s="76">
        <v>1</v>
      </c>
      <c r="AN119" s="76">
        <v>0</v>
      </c>
      <c r="AO119" s="77" t="s">
        <v>500</v>
      </c>
    </row>
    <row r="120" ht="24" customHeight="1" spans="1:41">
      <c r="A120" s="25" t="s">
        <v>454</v>
      </c>
      <c r="B120" s="26">
        <v>2</v>
      </c>
      <c r="C120" s="26" t="s">
        <v>455</v>
      </c>
      <c r="D120" s="26">
        <v>1</v>
      </c>
      <c r="E120" s="26" t="s">
        <v>377</v>
      </c>
      <c r="F120" s="26" t="s">
        <v>503</v>
      </c>
      <c r="G120" s="26" t="s">
        <v>499</v>
      </c>
      <c r="H120" s="26" t="s">
        <v>379</v>
      </c>
      <c r="I120" s="26">
        <v>2</v>
      </c>
      <c r="J120" s="26">
        <v>1</v>
      </c>
      <c r="K120" s="70">
        <v>6</v>
      </c>
      <c r="L120" s="70">
        <v>5</v>
      </c>
      <c r="M120" s="70">
        <v>5</v>
      </c>
      <c r="N120" s="71"/>
      <c r="O120" s="70">
        <v>5</v>
      </c>
      <c r="P120" s="70">
        <v>5</v>
      </c>
      <c r="Q120" s="70">
        <v>3</v>
      </c>
      <c r="R120" s="70">
        <v>4</v>
      </c>
      <c r="S120" s="70">
        <v>4</v>
      </c>
      <c r="T120" s="70">
        <v>5</v>
      </c>
      <c r="U120" s="70">
        <v>5</v>
      </c>
      <c r="V120" s="70">
        <v>5</v>
      </c>
      <c r="W120" s="70">
        <v>4</v>
      </c>
      <c r="X120" s="70">
        <v>5</v>
      </c>
      <c r="Y120" s="72">
        <v>46241.6469106366</v>
      </c>
      <c r="Z120" s="72">
        <v>46241.6486016898</v>
      </c>
      <c r="AA120" s="73">
        <v>146.1</v>
      </c>
      <c r="AB120" s="70" t="s">
        <v>266</v>
      </c>
      <c r="AC120" s="70" t="s">
        <v>266</v>
      </c>
      <c r="AD120" s="70" t="s">
        <v>266</v>
      </c>
      <c r="AE120" s="70" t="s">
        <v>386</v>
      </c>
      <c r="AF120" s="74">
        <v>13.23</v>
      </c>
      <c r="AG120" s="74">
        <v>0.843</v>
      </c>
      <c r="AH120" s="74">
        <v>0.873</v>
      </c>
      <c r="AI120" s="74">
        <v>0.986</v>
      </c>
      <c r="AJ120" s="74">
        <v>0.752</v>
      </c>
      <c r="AK120" s="75" t="s">
        <v>498</v>
      </c>
      <c r="AL120" s="75" t="s">
        <v>259</v>
      </c>
      <c r="AM120" s="76">
        <v>2</v>
      </c>
      <c r="AN120" s="76">
        <v>2</v>
      </c>
      <c r="AO120" s="77" t="s">
        <v>191</v>
      </c>
    </row>
    <row r="121" ht="24" customHeight="1" spans="1:41">
      <c r="A121" s="25" t="s">
        <v>454</v>
      </c>
      <c r="B121" s="26">
        <v>3</v>
      </c>
      <c r="C121" s="26" t="s">
        <v>455</v>
      </c>
      <c r="D121" s="26">
        <v>2</v>
      </c>
      <c r="E121" s="26" t="s">
        <v>375</v>
      </c>
      <c r="F121" s="26" t="s">
        <v>496</v>
      </c>
      <c r="G121" s="26" t="s">
        <v>499</v>
      </c>
      <c r="H121" s="26" t="s">
        <v>379</v>
      </c>
      <c r="I121" s="26">
        <v>1</v>
      </c>
      <c r="J121" s="26">
        <v>2</v>
      </c>
      <c r="K121" s="70">
        <v>4</v>
      </c>
      <c r="L121" s="70">
        <v>4</v>
      </c>
      <c r="M121" s="70">
        <v>5</v>
      </c>
      <c r="N121" s="71"/>
      <c r="O121" s="70">
        <v>3</v>
      </c>
      <c r="P121" s="70">
        <v>5</v>
      </c>
      <c r="Q121" s="70">
        <v>6</v>
      </c>
      <c r="R121" s="70">
        <v>4</v>
      </c>
      <c r="S121" s="70">
        <v>5</v>
      </c>
      <c r="T121" s="70">
        <v>5</v>
      </c>
      <c r="U121" s="70">
        <v>4</v>
      </c>
      <c r="V121" s="70">
        <v>5</v>
      </c>
      <c r="W121" s="70">
        <v>3</v>
      </c>
      <c r="X121" s="70">
        <v>4</v>
      </c>
      <c r="Y121" s="72">
        <v>46241.6495551389</v>
      </c>
      <c r="Z121" s="72">
        <v>46241.6502913194</v>
      </c>
      <c r="AA121" s="73">
        <v>63.6</v>
      </c>
      <c r="AB121" s="70" t="s">
        <v>266</v>
      </c>
      <c r="AC121" s="70" t="s">
        <v>266</v>
      </c>
      <c r="AD121" s="70" t="s">
        <v>266</v>
      </c>
      <c r="AE121" s="70" t="s">
        <v>386</v>
      </c>
      <c r="AF121" s="74">
        <v>13.12</v>
      </c>
      <c r="AG121" s="74">
        <v>0.738</v>
      </c>
      <c r="AH121" s="74">
        <v>0.854</v>
      </c>
      <c r="AI121" s="74">
        <v>0.996</v>
      </c>
      <c r="AJ121" s="74">
        <v>0.76</v>
      </c>
      <c r="AK121" s="75" t="s">
        <v>498</v>
      </c>
      <c r="AL121" s="75" t="s">
        <v>259</v>
      </c>
      <c r="AM121" s="76">
        <v>1</v>
      </c>
      <c r="AN121" s="76">
        <v>3</v>
      </c>
      <c r="AO121" s="77" t="s">
        <v>191</v>
      </c>
    </row>
    <row r="122" ht="24" customHeight="1" spans="1:41">
      <c r="A122" s="25" t="s">
        <v>454</v>
      </c>
      <c r="B122" s="26">
        <v>4</v>
      </c>
      <c r="C122" s="26" t="s">
        <v>455</v>
      </c>
      <c r="D122" s="26">
        <v>2</v>
      </c>
      <c r="E122" s="26" t="s">
        <v>375</v>
      </c>
      <c r="F122" s="26" t="s">
        <v>496</v>
      </c>
      <c r="G122" s="26" t="s">
        <v>497</v>
      </c>
      <c r="H122" s="26" t="s">
        <v>380</v>
      </c>
      <c r="I122" s="26">
        <v>2</v>
      </c>
      <c r="J122" s="26">
        <v>2</v>
      </c>
      <c r="K122" s="70">
        <v>4</v>
      </c>
      <c r="L122" s="70">
        <v>4</v>
      </c>
      <c r="M122" s="70">
        <v>5</v>
      </c>
      <c r="N122" s="71"/>
      <c r="O122" s="70">
        <v>4</v>
      </c>
      <c r="P122" s="70">
        <v>5</v>
      </c>
      <c r="Q122" s="70">
        <v>4</v>
      </c>
      <c r="R122" s="70">
        <v>4</v>
      </c>
      <c r="S122" s="70">
        <v>3</v>
      </c>
      <c r="T122" s="70">
        <v>3</v>
      </c>
      <c r="U122" s="70">
        <v>5</v>
      </c>
      <c r="V122" s="70">
        <v>4</v>
      </c>
      <c r="W122" s="70">
        <v>4</v>
      </c>
      <c r="X122" s="70">
        <v>5</v>
      </c>
      <c r="Y122" s="72">
        <v>46241.6511767593</v>
      </c>
      <c r="Z122" s="72">
        <v>46241.6521247685</v>
      </c>
      <c r="AA122" s="73">
        <v>81.9</v>
      </c>
      <c r="AB122" s="70" t="s">
        <v>266</v>
      </c>
      <c r="AC122" s="70" t="s">
        <v>266</v>
      </c>
      <c r="AD122" s="70" t="s">
        <v>266</v>
      </c>
      <c r="AE122" s="70" t="s">
        <v>386</v>
      </c>
      <c r="AF122" s="74">
        <v>12.78</v>
      </c>
      <c r="AG122" s="74">
        <v>0.736</v>
      </c>
      <c r="AH122" s="74">
        <v>0.917</v>
      </c>
      <c r="AI122" s="74">
        <v>0.99</v>
      </c>
      <c r="AJ122" s="74">
        <v>0.823</v>
      </c>
      <c r="AK122" s="75" t="s">
        <v>498</v>
      </c>
      <c r="AL122" s="75" t="s">
        <v>259</v>
      </c>
      <c r="AM122" s="76">
        <v>1</v>
      </c>
      <c r="AN122" s="76">
        <v>0</v>
      </c>
      <c r="AO122" s="77" t="s">
        <v>500</v>
      </c>
    </row>
    <row r="123" ht="24" customHeight="1" spans="1:41">
      <c r="A123" s="25" t="s">
        <v>454</v>
      </c>
      <c r="B123" s="26">
        <v>5</v>
      </c>
      <c r="C123" s="26" t="s">
        <v>455</v>
      </c>
      <c r="D123" s="26">
        <v>3</v>
      </c>
      <c r="E123" s="26" t="s">
        <v>376</v>
      </c>
      <c r="F123" s="26" t="s">
        <v>501</v>
      </c>
      <c r="G123" s="26" t="s">
        <v>497</v>
      </c>
      <c r="H123" s="26" t="s">
        <v>380</v>
      </c>
      <c r="I123" s="26">
        <v>1</v>
      </c>
      <c r="J123" s="26">
        <v>3</v>
      </c>
      <c r="K123" s="70">
        <v>3</v>
      </c>
      <c r="L123" s="70">
        <v>5</v>
      </c>
      <c r="M123" s="70">
        <v>5</v>
      </c>
      <c r="N123" s="71"/>
      <c r="O123" s="70">
        <v>5</v>
      </c>
      <c r="P123" s="70">
        <v>5</v>
      </c>
      <c r="Q123" s="70">
        <v>5</v>
      </c>
      <c r="R123" s="70">
        <v>4</v>
      </c>
      <c r="S123" s="70">
        <v>5</v>
      </c>
      <c r="T123" s="70">
        <v>4</v>
      </c>
      <c r="U123" s="70">
        <v>5</v>
      </c>
      <c r="V123" s="70">
        <v>5</v>
      </c>
      <c r="W123" s="70">
        <v>5</v>
      </c>
      <c r="X123" s="70">
        <v>4</v>
      </c>
      <c r="Y123" s="72">
        <v>46241.6531146991</v>
      </c>
      <c r="Z123" s="72">
        <v>46241.6543893982</v>
      </c>
      <c r="AA123" s="73">
        <v>110.1</v>
      </c>
      <c r="AB123" s="70" t="s">
        <v>266</v>
      </c>
      <c r="AC123" s="70" t="s">
        <v>266</v>
      </c>
      <c r="AD123" s="70" t="s">
        <v>266</v>
      </c>
      <c r="AE123" s="70" t="s">
        <v>386</v>
      </c>
      <c r="AF123" s="74">
        <v>13.14</v>
      </c>
      <c r="AG123" s="74">
        <v>0.82</v>
      </c>
      <c r="AH123" s="74">
        <v>0.899</v>
      </c>
      <c r="AI123" s="74">
        <v>0.989</v>
      </c>
      <c r="AJ123" s="74">
        <v>0.757</v>
      </c>
      <c r="AK123" s="75" t="s">
        <v>498</v>
      </c>
      <c r="AL123" s="75" t="s">
        <v>259</v>
      </c>
      <c r="AM123" s="76">
        <v>0</v>
      </c>
      <c r="AN123" s="76">
        <v>0</v>
      </c>
      <c r="AO123" s="77" t="s">
        <v>191</v>
      </c>
    </row>
    <row r="124" ht="24" customHeight="1" spans="1:41">
      <c r="A124" s="78" t="s">
        <v>454</v>
      </c>
      <c r="B124" s="79">
        <v>6</v>
      </c>
      <c r="C124" s="79" t="s">
        <v>455</v>
      </c>
      <c r="D124" s="79">
        <v>3</v>
      </c>
      <c r="E124" s="79" t="s">
        <v>376</v>
      </c>
      <c r="F124" s="79" t="s">
        <v>501</v>
      </c>
      <c r="G124" s="79" t="s">
        <v>499</v>
      </c>
      <c r="H124" s="79" t="s">
        <v>379</v>
      </c>
      <c r="I124" s="79">
        <v>2</v>
      </c>
      <c r="J124" s="79">
        <v>3</v>
      </c>
      <c r="K124" s="80">
        <v>4</v>
      </c>
      <c r="L124" s="80">
        <v>4</v>
      </c>
      <c r="M124" s="80">
        <v>5</v>
      </c>
      <c r="N124" s="81"/>
      <c r="O124" s="80">
        <v>4</v>
      </c>
      <c r="P124" s="80">
        <v>4</v>
      </c>
      <c r="Q124" s="80">
        <v>4</v>
      </c>
      <c r="R124" s="80">
        <v>4</v>
      </c>
      <c r="S124" s="80">
        <v>4</v>
      </c>
      <c r="T124" s="80">
        <v>5</v>
      </c>
      <c r="U124" s="80">
        <v>5</v>
      </c>
      <c r="V124" s="80">
        <v>3</v>
      </c>
      <c r="W124" s="80">
        <v>4</v>
      </c>
      <c r="X124" s="80">
        <v>5</v>
      </c>
      <c r="Y124" s="82">
        <v>46241.6552723958</v>
      </c>
      <c r="Z124" s="82">
        <v>46241.6564336227</v>
      </c>
      <c r="AA124" s="83">
        <v>100.3</v>
      </c>
      <c r="AB124" s="80" t="s">
        <v>266</v>
      </c>
      <c r="AC124" s="80" t="s">
        <v>266</v>
      </c>
      <c r="AD124" s="80" t="s">
        <v>266</v>
      </c>
      <c r="AE124" s="80" t="s">
        <v>386</v>
      </c>
      <c r="AF124" s="84">
        <v>12.87</v>
      </c>
      <c r="AG124" s="84">
        <v>0.844</v>
      </c>
      <c r="AH124" s="84">
        <v>0.901</v>
      </c>
      <c r="AI124" s="84">
        <v>0.989</v>
      </c>
      <c r="AJ124" s="84">
        <v>0.71</v>
      </c>
      <c r="AK124" s="85" t="s">
        <v>498</v>
      </c>
      <c r="AL124" s="85" t="s">
        <v>259</v>
      </c>
      <c r="AM124" s="86">
        <v>1</v>
      </c>
      <c r="AN124" s="86">
        <v>4</v>
      </c>
      <c r="AO124" s="85" t="s">
        <v>191</v>
      </c>
    </row>
    <row r="125" ht="24" customHeight="1" spans="1:41">
      <c r="A125" s="25" t="s">
        <v>457</v>
      </c>
      <c r="B125" s="26">
        <v>1</v>
      </c>
      <c r="C125" s="26" t="s">
        <v>458</v>
      </c>
      <c r="D125" s="26">
        <v>1</v>
      </c>
      <c r="E125" s="26" t="s">
        <v>377</v>
      </c>
      <c r="F125" s="26" t="s">
        <v>503</v>
      </c>
      <c r="G125" s="26" t="s">
        <v>497</v>
      </c>
      <c r="H125" s="26" t="s">
        <v>379</v>
      </c>
      <c r="I125" s="26">
        <v>1</v>
      </c>
      <c r="J125" s="26">
        <v>1</v>
      </c>
      <c r="K125" s="70">
        <v>6</v>
      </c>
      <c r="L125" s="70">
        <v>6</v>
      </c>
      <c r="M125" s="70">
        <v>5</v>
      </c>
      <c r="N125" s="71"/>
      <c r="O125" s="70">
        <v>4</v>
      </c>
      <c r="P125" s="70">
        <v>5</v>
      </c>
      <c r="Q125" s="70">
        <v>4</v>
      </c>
      <c r="R125" s="70">
        <v>5</v>
      </c>
      <c r="S125" s="70">
        <v>5</v>
      </c>
      <c r="T125" s="70">
        <v>5</v>
      </c>
      <c r="U125" s="70">
        <v>5</v>
      </c>
      <c r="V125" s="70">
        <v>5</v>
      </c>
      <c r="W125" s="70">
        <v>5</v>
      </c>
      <c r="X125" s="70">
        <v>5</v>
      </c>
      <c r="Y125" s="72">
        <v>46242.3845886343</v>
      </c>
      <c r="Z125" s="72">
        <v>46242.3853476736</v>
      </c>
      <c r="AA125" s="73">
        <v>65.6</v>
      </c>
      <c r="AB125" s="70" t="s">
        <v>266</v>
      </c>
      <c r="AC125" s="70" t="s">
        <v>266</v>
      </c>
      <c r="AD125" s="70" t="s">
        <v>266</v>
      </c>
      <c r="AE125" s="70" t="s">
        <v>386</v>
      </c>
      <c r="AF125" s="74">
        <v>13.34</v>
      </c>
      <c r="AG125" s="74">
        <v>0.786</v>
      </c>
      <c r="AH125" s="74">
        <v>0.855</v>
      </c>
      <c r="AI125" s="74">
        <v>0.987</v>
      </c>
      <c r="AJ125" s="74">
        <v>0.75</v>
      </c>
      <c r="AK125" s="75" t="s">
        <v>498</v>
      </c>
      <c r="AL125" s="75" t="s">
        <v>259</v>
      </c>
      <c r="AM125" s="76">
        <v>1</v>
      </c>
      <c r="AN125" s="76">
        <v>4</v>
      </c>
      <c r="AO125" s="77" t="s">
        <v>191</v>
      </c>
    </row>
    <row r="126" ht="24" customHeight="1" spans="1:41">
      <c r="A126" s="25" t="s">
        <v>457</v>
      </c>
      <c r="B126" s="26">
        <v>2</v>
      </c>
      <c r="C126" s="26" t="s">
        <v>458</v>
      </c>
      <c r="D126" s="26">
        <v>1</v>
      </c>
      <c r="E126" s="26" t="s">
        <v>377</v>
      </c>
      <c r="F126" s="26" t="s">
        <v>503</v>
      </c>
      <c r="G126" s="26" t="s">
        <v>499</v>
      </c>
      <c r="H126" s="26" t="s">
        <v>380</v>
      </c>
      <c r="I126" s="26">
        <v>2</v>
      </c>
      <c r="J126" s="26">
        <v>1</v>
      </c>
      <c r="K126" s="70">
        <v>5</v>
      </c>
      <c r="L126" s="70">
        <v>6</v>
      </c>
      <c r="M126" s="70">
        <v>5</v>
      </c>
      <c r="N126" s="71"/>
      <c r="O126" s="70">
        <v>4</v>
      </c>
      <c r="P126" s="70">
        <v>6</v>
      </c>
      <c r="Q126" s="70">
        <v>4</v>
      </c>
      <c r="R126" s="70">
        <v>5</v>
      </c>
      <c r="S126" s="70">
        <v>4</v>
      </c>
      <c r="T126" s="70">
        <v>5</v>
      </c>
      <c r="U126" s="70">
        <v>5</v>
      </c>
      <c r="V126" s="70">
        <v>5</v>
      </c>
      <c r="W126" s="70">
        <v>4</v>
      </c>
      <c r="X126" s="70">
        <v>6</v>
      </c>
      <c r="Y126" s="72">
        <v>46242.3862596065</v>
      </c>
      <c r="Z126" s="72">
        <v>46242.3875290741</v>
      </c>
      <c r="AA126" s="73">
        <v>109.7</v>
      </c>
      <c r="AB126" s="70" t="s">
        <v>266</v>
      </c>
      <c r="AC126" s="70" t="s">
        <v>266</v>
      </c>
      <c r="AD126" s="70" t="s">
        <v>266</v>
      </c>
      <c r="AE126" s="70" t="s">
        <v>386</v>
      </c>
      <c r="AF126" s="74">
        <v>13.56</v>
      </c>
      <c r="AG126" s="74">
        <v>0.873</v>
      </c>
      <c r="AH126" s="74">
        <v>0.892</v>
      </c>
      <c r="AI126" s="74">
        <v>0.991</v>
      </c>
      <c r="AJ126" s="74">
        <v>0.779</v>
      </c>
      <c r="AK126" s="75" t="s">
        <v>498</v>
      </c>
      <c r="AL126" s="75" t="s">
        <v>259</v>
      </c>
      <c r="AM126" s="76">
        <v>1</v>
      </c>
      <c r="AN126" s="76">
        <v>0</v>
      </c>
      <c r="AO126" s="77" t="s">
        <v>191</v>
      </c>
    </row>
    <row r="127" ht="24" customHeight="1" spans="1:41">
      <c r="A127" s="25" t="s">
        <v>457</v>
      </c>
      <c r="B127" s="26">
        <v>3</v>
      </c>
      <c r="C127" s="26" t="s">
        <v>458</v>
      </c>
      <c r="D127" s="26">
        <v>2</v>
      </c>
      <c r="E127" s="26" t="s">
        <v>376</v>
      </c>
      <c r="F127" s="26" t="s">
        <v>501</v>
      </c>
      <c r="G127" s="26" t="s">
        <v>499</v>
      </c>
      <c r="H127" s="26" t="s">
        <v>380</v>
      </c>
      <c r="I127" s="26">
        <v>1</v>
      </c>
      <c r="J127" s="26">
        <v>2</v>
      </c>
      <c r="K127" s="70">
        <v>4</v>
      </c>
      <c r="L127" s="70">
        <v>5</v>
      </c>
      <c r="M127" s="70">
        <v>5</v>
      </c>
      <c r="N127" s="71"/>
      <c r="O127" s="70">
        <v>7</v>
      </c>
      <c r="P127" s="70">
        <v>5</v>
      </c>
      <c r="Q127" s="70">
        <v>5</v>
      </c>
      <c r="R127" s="70">
        <v>6</v>
      </c>
      <c r="S127" s="70">
        <v>4</v>
      </c>
      <c r="T127" s="70">
        <v>5</v>
      </c>
      <c r="U127" s="70">
        <v>6</v>
      </c>
      <c r="V127" s="70">
        <v>4</v>
      </c>
      <c r="W127" s="70">
        <v>3</v>
      </c>
      <c r="X127" s="70">
        <v>5</v>
      </c>
      <c r="Y127" s="72">
        <v>46242.388446331</v>
      </c>
      <c r="Z127" s="72">
        <v>46242.3898247917</v>
      </c>
      <c r="AA127" s="73">
        <v>119.1</v>
      </c>
      <c r="AB127" s="70" t="s">
        <v>266</v>
      </c>
      <c r="AC127" s="70" t="s">
        <v>266</v>
      </c>
      <c r="AD127" s="70" t="s">
        <v>266</v>
      </c>
      <c r="AE127" s="70" t="s">
        <v>386</v>
      </c>
      <c r="AF127" s="74">
        <v>12.69</v>
      </c>
      <c r="AG127" s="74">
        <v>0.784</v>
      </c>
      <c r="AH127" s="74">
        <v>0.88</v>
      </c>
      <c r="AI127" s="74">
        <v>0.995</v>
      </c>
      <c r="AJ127" s="74">
        <v>0.766</v>
      </c>
      <c r="AK127" s="75" t="s">
        <v>498</v>
      </c>
      <c r="AL127" s="75" t="s">
        <v>259</v>
      </c>
      <c r="AM127" s="76">
        <v>1</v>
      </c>
      <c r="AN127" s="76">
        <v>0</v>
      </c>
      <c r="AO127" s="77" t="s">
        <v>191</v>
      </c>
    </row>
    <row r="128" ht="24" customHeight="1" spans="1:41">
      <c r="A128" s="25" t="s">
        <v>457</v>
      </c>
      <c r="B128" s="26">
        <v>4</v>
      </c>
      <c r="C128" s="26" t="s">
        <v>458</v>
      </c>
      <c r="D128" s="26">
        <v>2</v>
      </c>
      <c r="E128" s="26" t="s">
        <v>376</v>
      </c>
      <c r="F128" s="26" t="s">
        <v>501</v>
      </c>
      <c r="G128" s="26" t="s">
        <v>497</v>
      </c>
      <c r="H128" s="26" t="s">
        <v>379</v>
      </c>
      <c r="I128" s="26">
        <v>2</v>
      </c>
      <c r="J128" s="26">
        <v>2</v>
      </c>
      <c r="K128" s="70">
        <v>7</v>
      </c>
      <c r="L128" s="70">
        <v>5</v>
      </c>
      <c r="M128" s="70">
        <v>5</v>
      </c>
      <c r="N128" s="71"/>
      <c r="O128" s="70">
        <v>4</v>
      </c>
      <c r="P128" s="70">
        <v>6</v>
      </c>
      <c r="Q128" s="70">
        <v>5</v>
      </c>
      <c r="R128" s="70">
        <v>7</v>
      </c>
      <c r="S128" s="70">
        <v>6</v>
      </c>
      <c r="T128" s="70">
        <v>6</v>
      </c>
      <c r="U128" s="70">
        <v>6</v>
      </c>
      <c r="V128" s="70">
        <v>6</v>
      </c>
      <c r="W128" s="70">
        <v>6</v>
      </c>
      <c r="X128" s="70">
        <v>5</v>
      </c>
      <c r="Y128" s="72">
        <v>46242.3906527083</v>
      </c>
      <c r="Z128" s="72">
        <v>46242.3920957639</v>
      </c>
      <c r="AA128" s="73">
        <v>124.7</v>
      </c>
      <c r="AB128" s="70" t="s">
        <v>266</v>
      </c>
      <c r="AC128" s="70" t="s">
        <v>266</v>
      </c>
      <c r="AD128" s="70" t="s">
        <v>266</v>
      </c>
      <c r="AE128" s="70" t="s">
        <v>386</v>
      </c>
      <c r="AF128" s="74">
        <v>12.83</v>
      </c>
      <c r="AG128" s="74">
        <v>0.8</v>
      </c>
      <c r="AH128" s="74">
        <v>0.92</v>
      </c>
      <c r="AI128" s="74">
        <v>0.998</v>
      </c>
      <c r="AJ128" s="74">
        <v>0.817</v>
      </c>
      <c r="AK128" s="75" t="s">
        <v>498</v>
      </c>
      <c r="AL128" s="75" t="s">
        <v>259</v>
      </c>
      <c r="AM128" s="76">
        <v>1</v>
      </c>
      <c r="AN128" s="76">
        <v>2</v>
      </c>
      <c r="AO128" s="77" t="s">
        <v>191</v>
      </c>
    </row>
    <row r="129" ht="24" customHeight="1" spans="1:41">
      <c r="A129" s="25" t="s">
        <v>457</v>
      </c>
      <c r="B129" s="26">
        <v>5</v>
      </c>
      <c r="C129" s="26" t="s">
        <v>458</v>
      </c>
      <c r="D129" s="26">
        <v>3</v>
      </c>
      <c r="E129" s="26" t="s">
        <v>375</v>
      </c>
      <c r="F129" s="26" t="s">
        <v>496</v>
      </c>
      <c r="G129" s="26" t="s">
        <v>497</v>
      </c>
      <c r="H129" s="26" t="s">
        <v>379</v>
      </c>
      <c r="I129" s="26">
        <v>1</v>
      </c>
      <c r="J129" s="26">
        <v>3</v>
      </c>
      <c r="K129" s="70">
        <v>7</v>
      </c>
      <c r="L129" s="70">
        <v>5</v>
      </c>
      <c r="M129" s="70">
        <v>5</v>
      </c>
      <c r="N129" s="71"/>
      <c r="O129" s="70">
        <v>6</v>
      </c>
      <c r="P129" s="70">
        <v>5</v>
      </c>
      <c r="Q129" s="70">
        <v>6</v>
      </c>
      <c r="R129" s="70">
        <v>5</v>
      </c>
      <c r="S129" s="70">
        <v>6</v>
      </c>
      <c r="T129" s="70">
        <v>6</v>
      </c>
      <c r="U129" s="70">
        <v>5</v>
      </c>
      <c r="V129" s="70">
        <v>6</v>
      </c>
      <c r="W129" s="70">
        <v>6</v>
      </c>
      <c r="X129" s="70">
        <v>7</v>
      </c>
      <c r="Y129" s="72">
        <v>46242.3930753125</v>
      </c>
      <c r="Z129" s="72">
        <v>46242.3942690625</v>
      </c>
      <c r="AA129" s="73">
        <v>103.1</v>
      </c>
      <c r="AB129" s="70" t="s">
        <v>266</v>
      </c>
      <c r="AC129" s="70" t="s">
        <v>266</v>
      </c>
      <c r="AD129" s="70" t="s">
        <v>266</v>
      </c>
      <c r="AE129" s="70" t="s">
        <v>386</v>
      </c>
      <c r="AF129" s="74">
        <v>13.02</v>
      </c>
      <c r="AG129" s="74">
        <v>0.759</v>
      </c>
      <c r="AH129" s="74">
        <v>0.844</v>
      </c>
      <c r="AI129" s="74">
        <v>0.986</v>
      </c>
      <c r="AJ129" s="74">
        <v>0.704</v>
      </c>
      <c r="AK129" s="75" t="s">
        <v>498</v>
      </c>
      <c r="AL129" s="75" t="s">
        <v>259</v>
      </c>
      <c r="AM129" s="76">
        <v>1</v>
      </c>
      <c r="AN129" s="76">
        <v>3</v>
      </c>
      <c r="AO129" s="77" t="s">
        <v>191</v>
      </c>
    </row>
    <row r="130" ht="24" customHeight="1" spans="1:41">
      <c r="A130" s="78" t="s">
        <v>457</v>
      </c>
      <c r="B130" s="79">
        <v>6</v>
      </c>
      <c r="C130" s="79" t="s">
        <v>458</v>
      </c>
      <c r="D130" s="79">
        <v>3</v>
      </c>
      <c r="E130" s="79" t="s">
        <v>375</v>
      </c>
      <c r="F130" s="79" t="s">
        <v>496</v>
      </c>
      <c r="G130" s="79" t="s">
        <v>499</v>
      </c>
      <c r="H130" s="79" t="s">
        <v>380</v>
      </c>
      <c r="I130" s="79">
        <v>2</v>
      </c>
      <c r="J130" s="79">
        <v>3</v>
      </c>
      <c r="K130" s="80">
        <v>5</v>
      </c>
      <c r="L130" s="80">
        <v>5</v>
      </c>
      <c r="M130" s="80">
        <v>6</v>
      </c>
      <c r="N130" s="81"/>
      <c r="O130" s="80">
        <v>4</v>
      </c>
      <c r="P130" s="80">
        <v>5</v>
      </c>
      <c r="Q130" s="80">
        <v>4</v>
      </c>
      <c r="R130" s="80">
        <v>5</v>
      </c>
      <c r="S130" s="80">
        <v>4</v>
      </c>
      <c r="T130" s="80">
        <v>5</v>
      </c>
      <c r="U130" s="80">
        <v>5</v>
      </c>
      <c r="V130" s="80">
        <v>5</v>
      </c>
      <c r="W130" s="80">
        <v>5</v>
      </c>
      <c r="X130" s="80">
        <v>5</v>
      </c>
      <c r="Y130" s="82">
        <v>46242.3952875694</v>
      </c>
      <c r="Z130" s="82">
        <v>46242.39630125</v>
      </c>
      <c r="AA130" s="83">
        <v>87.6</v>
      </c>
      <c r="AB130" s="80" t="s">
        <v>266</v>
      </c>
      <c r="AC130" s="80" t="s">
        <v>266</v>
      </c>
      <c r="AD130" s="80" t="s">
        <v>266</v>
      </c>
      <c r="AE130" s="80" t="s">
        <v>386</v>
      </c>
      <c r="AF130" s="84">
        <v>14.1</v>
      </c>
      <c r="AG130" s="84">
        <v>0.779</v>
      </c>
      <c r="AH130" s="84">
        <v>0.864</v>
      </c>
      <c r="AI130" s="84">
        <v>1</v>
      </c>
      <c r="AJ130" s="84">
        <v>0.736</v>
      </c>
      <c r="AK130" s="85" t="s">
        <v>498</v>
      </c>
      <c r="AL130" s="85" t="s">
        <v>259</v>
      </c>
      <c r="AM130" s="86">
        <v>1</v>
      </c>
      <c r="AN130" s="86">
        <v>0</v>
      </c>
      <c r="AO130" s="85" t="s">
        <v>500</v>
      </c>
    </row>
    <row r="131" ht="24" customHeight="1" spans="1:41">
      <c r="A131" s="25" t="s">
        <v>460</v>
      </c>
      <c r="B131" s="26">
        <v>1</v>
      </c>
      <c r="C131" s="26" t="s">
        <v>461</v>
      </c>
      <c r="D131" s="26">
        <v>1</v>
      </c>
      <c r="E131" s="26" t="s">
        <v>377</v>
      </c>
      <c r="F131" s="26" t="s">
        <v>503</v>
      </c>
      <c r="G131" s="26" t="s">
        <v>499</v>
      </c>
      <c r="H131" s="26" t="s">
        <v>380</v>
      </c>
      <c r="I131" s="26">
        <v>1</v>
      </c>
      <c r="J131" s="26">
        <v>1</v>
      </c>
      <c r="K131" s="70">
        <v>5</v>
      </c>
      <c r="L131" s="70">
        <v>5</v>
      </c>
      <c r="M131" s="70">
        <v>5</v>
      </c>
      <c r="N131" s="71"/>
      <c r="O131" s="70">
        <v>5</v>
      </c>
      <c r="P131" s="70">
        <v>4</v>
      </c>
      <c r="Q131" s="70">
        <v>3</v>
      </c>
      <c r="R131" s="70">
        <v>5</v>
      </c>
      <c r="S131" s="70">
        <v>6</v>
      </c>
      <c r="T131" s="70">
        <v>3</v>
      </c>
      <c r="U131" s="70">
        <v>5</v>
      </c>
      <c r="V131" s="70">
        <v>4</v>
      </c>
      <c r="W131" s="70">
        <v>4</v>
      </c>
      <c r="X131" s="70">
        <v>4</v>
      </c>
      <c r="Y131" s="72">
        <v>46242.461943125</v>
      </c>
      <c r="Z131" s="72">
        <v>46242.4632018056</v>
      </c>
      <c r="AA131" s="73">
        <v>108.8</v>
      </c>
      <c r="AB131" s="70" t="s">
        <v>266</v>
      </c>
      <c r="AC131" s="70" t="s">
        <v>266</v>
      </c>
      <c r="AD131" s="70" t="s">
        <v>266</v>
      </c>
      <c r="AE131" s="70" t="s">
        <v>386</v>
      </c>
      <c r="AF131" s="74">
        <v>12.87</v>
      </c>
      <c r="AG131" s="74">
        <v>0.757</v>
      </c>
      <c r="AH131" s="74">
        <v>0.87</v>
      </c>
      <c r="AI131" s="74">
        <v>0.989</v>
      </c>
      <c r="AJ131" s="74">
        <v>0.779</v>
      </c>
      <c r="AK131" s="75" t="s">
        <v>498</v>
      </c>
      <c r="AL131" s="75" t="s">
        <v>259</v>
      </c>
      <c r="AM131" s="76">
        <v>1</v>
      </c>
      <c r="AN131" s="76">
        <v>0</v>
      </c>
      <c r="AO131" s="77" t="s">
        <v>191</v>
      </c>
    </row>
    <row r="132" ht="24" customHeight="1" spans="1:41">
      <c r="A132" s="25" t="s">
        <v>460</v>
      </c>
      <c r="B132" s="26">
        <v>2</v>
      </c>
      <c r="C132" s="26" t="s">
        <v>461</v>
      </c>
      <c r="D132" s="26">
        <v>1</v>
      </c>
      <c r="E132" s="26" t="s">
        <v>377</v>
      </c>
      <c r="F132" s="26" t="s">
        <v>503</v>
      </c>
      <c r="G132" s="26" t="s">
        <v>497</v>
      </c>
      <c r="H132" s="26" t="s">
        <v>379</v>
      </c>
      <c r="I132" s="26">
        <v>2</v>
      </c>
      <c r="J132" s="26">
        <v>1</v>
      </c>
      <c r="K132" s="70">
        <v>6</v>
      </c>
      <c r="L132" s="70">
        <v>6</v>
      </c>
      <c r="M132" s="70">
        <v>6</v>
      </c>
      <c r="N132" s="71"/>
      <c r="O132" s="70">
        <v>7</v>
      </c>
      <c r="P132" s="70">
        <v>5</v>
      </c>
      <c r="Q132" s="70">
        <v>6</v>
      </c>
      <c r="R132" s="70">
        <v>7</v>
      </c>
      <c r="S132" s="70">
        <v>5</v>
      </c>
      <c r="T132" s="70">
        <v>5</v>
      </c>
      <c r="U132" s="70">
        <v>6</v>
      </c>
      <c r="V132" s="70">
        <v>6</v>
      </c>
      <c r="W132" s="70">
        <v>5</v>
      </c>
      <c r="X132" s="70">
        <v>6</v>
      </c>
      <c r="Y132" s="72">
        <v>46242.4640948264</v>
      </c>
      <c r="Z132" s="72">
        <v>46242.465221331</v>
      </c>
      <c r="AA132" s="73">
        <v>97.3</v>
      </c>
      <c r="AB132" s="70" t="s">
        <v>266</v>
      </c>
      <c r="AC132" s="70" t="s">
        <v>266</v>
      </c>
      <c r="AD132" s="70" t="s">
        <v>266</v>
      </c>
      <c r="AE132" s="70" t="s">
        <v>386</v>
      </c>
      <c r="AF132" s="74">
        <v>13.56</v>
      </c>
      <c r="AG132" s="74">
        <v>0.824</v>
      </c>
      <c r="AH132" s="74">
        <v>0.842</v>
      </c>
      <c r="AI132" s="74">
        <v>0.984</v>
      </c>
      <c r="AJ132" s="74">
        <v>0.74</v>
      </c>
      <c r="AK132" s="75" t="s">
        <v>498</v>
      </c>
      <c r="AL132" s="75" t="s">
        <v>259</v>
      </c>
      <c r="AM132" s="76">
        <v>0</v>
      </c>
      <c r="AN132" s="76">
        <v>3</v>
      </c>
      <c r="AO132" s="77" t="s">
        <v>191</v>
      </c>
    </row>
    <row r="133" ht="24" customHeight="1" spans="1:41">
      <c r="A133" s="25" t="s">
        <v>460</v>
      </c>
      <c r="B133" s="26">
        <v>3</v>
      </c>
      <c r="C133" s="26" t="s">
        <v>461</v>
      </c>
      <c r="D133" s="26">
        <v>2</v>
      </c>
      <c r="E133" s="26" t="s">
        <v>376</v>
      </c>
      <c r="F133" s="26" t="s">
        <v>501</v>
      </c>
      <c r="G133" s="26" t="s">
        <v>497</v>
      </c>
      <c r="H133" s="26" t="s">
        <v>379</v>
      </c>
      <c r="I133" s="26">
        <v>1</v>
      </c>
      <c r="J133" s="26">
        <v>2</v>
      </c>
      <c r="K133" s="70">
        <v>6</v>
      </c>
      <c r="L133" s="70">
        <v>6</v>
      </c>
      <c r="M133" s="70">
        <v>6</v>
      </c>
      <c r="N133" s="71"/>
      <c r="O133" s="70">
        <v>4</v>
      </c>
      <c r="P133" s="70">
        <v>7</v>
      </c>
      <c r="Q133" s="70">
        <v>5</v>
      </c>
      <c r="R133" s="70">
        <v>7</v>
      </c>
      <c r="S133" s="70">
        <v>5</v>
      </c>
      <c r="T133" s="70">
        <v>6</v>
      </c>
      <c r="U133" s="70">
        <v>6</v>
      </c>
      <c r="V133" s="70">
        <v>5</v>
      </c>
      <c r="W133" s="70">
        <v>5</v>
      </c>
      <c r="X133" s="70">
        <v>6</v>
      </c>
      <c r="Y133" s="72">
        <v>46242.4661935417</v>
      </c>
      <c r="Z133" s="72">
        <v>46242.4674855671</v>
      </c>
      <c r="AA133" s="73">
        <v>111.6</v>
      </c>
      <c r="AB133" s="70" t="s">
        <v>266</v>
      </c>
      <c r="AC133" s="70" t="s">
        <v>266</v>
      </c>
      <c r="AD133" s="70" t="s">
        <v>266</v>
      </c>
      <c r="AE133" s="70" t="s">
        <v>386</v>
      </c>
      <c r="AF133" s="74">
        <v>12.63</v>
      </c>
      <c r="AG133" s="74">
        <v>0.756</v>
      </c>
      <c r="AH133" s="74">
        <v>0.917</v>
      </c>
      <c r="AI133" s="74">
        <v>0.99</v>
      </c>
      <c r="AJ133" s="74">
        <v>0.736</v>
      </c>
      <c r="AK133" s="75" t="s">
        <v>498</v>
      </c>
      <c r="AL133" s="75" t="s">
        <v>259</v>
      </c>
      <c r="AM133" s="76">
        <v>1</v>
      </c>
      <c r="AN133" s="76">
        <v>2</v>
      </c>
      <c r="AO133" s="77" t="s">
        <v>191</v>
      </c>
    </row>
    <row r="134" ht="24" customHeight="1" spans="1:41">
      <c r="A134" s="25" t="s">
        <v>460</v>
      </c>
      <c r="B134" s="26">
        <v>4</v>
      </c>
      <c r="C134" s="26" t="s">
        <v>461</v>
      </c>
      <c r="D134" s="26">
        <v>2</v>
      </c>
      <c r="E134" s="26" t="s">
        <v>376</v>
      </c>
      <c r="F134" s="26" t="s">
        <v>501</v>
      </c>
      <c r="G134" s="26" t="s">
        <v>499</v>
      </c>
      <c r="H134" s="26" t="s">
        <v>380</v>
      </c>
      <c r="I134" s="26">
        <v>2</v>
      </c>
      <c r="J134" s="26">
        <v>2</v>
      </c>
      <c r="K134" s="70">
        <v>4</v>
      </c>
      <c r="L134" s="70">
        <v>6</v>
      </c>
      <c r="M134" s="70">
        <v>4</v>
      </c>
      <c r="N134" s="71"/>
      <c r="O134" s="70">
        <v>5</v>
      </c>
      <c r="P134" s="70">
        <v>7</v>
      </c>
      <c r="Q134" s="70">
        <v>5</v>
      </c>
      <c r="R134" s="70">
        <v>4</v>
      </c>
      <c r="S134" s="70">
        <v>6</v>
      </c>
      <c r="T134" s="70">
        <v>5</v>
      </c>
      <c r="U134" s="70">
        <v>5</v>
      </c>
      <c r="V134" s="70">
        <v>5</v>
      </c>
      <c r="W134" s="70">
        <v>5</v>
      </c>
      <c r="X134" s="70">
        <v>5</v>
      </c>
      <c r="Y134" s="72">
        <v>46242.4685644444</v>
      </c>
      <c r="Z134" s="72">
        <v>46242.4694423611</v>
      </c>
      <c r="AA134" s="73">
        <v>75.9</v>
      </c>
      <c r="AB134" s="70" t="s">
        <v>266</v>
      </c>
      <c r="AC134" s="70" t="s">
        <v>266</v>
      </c>
      <c r="AD134" s="70" t="s">
        <v>266</v>
      </c>
      <c r="AE134" s="70" t="s">
        <v>386</v>
      </c>
      <c r="AF134" s="74">
        <v>11.97</v>
      </c>
      <c r="AG134" s="74">
        <v>0.826</v>
      </c>
      <c r="AH134" s="74">
        <v>0.895</v>
      </c>
      <c r="AI134" s="74">
        <v>0.994</v>
      </c>
      <c r="AJ134" s="74">
        <v>0.802</v>
      </c>
      <c r="AK134" s="75" t="s">
        <v>498</v>
      </c>
      <c r="AL134" s="75" t="s">
        <v>259</v>
      </c>
      <c r="AM134" s="76">
        <v>1</v>
      </c>
      <c r="AN134" s="76">
        <v>0</v>
      </c>
      <c r="AO134" s="77" t="s">
        <v>191</v>
      </c>
    </row>
    <row r="135" ht="24" customHeight="1" spans="1:41">
      <c r="A135" s="25" t="s">
        <v>460</v>
      </c>
      <c r="B135" s="26">
        <v>5</v>
      </c>
      <c r="C135" s="26" t="s">
        <v>461</v>
      </c>
      <c r="D135" s="26">
        <v>3</v>
      </c>
      <c r="E135" s="26" t="s">
        <v>375</v>
      </c>
      <c r="F135" s="26" t="s">
        <v>496</v>
      </c>
      <c r="G135" s="26" t="s">
        <v>499</v>
      </c>
      <c r="H135" s="26" t="s">
        <v>380</v>
      </c>
      <c r="I135" s="26">
        <v>1</v>
      </c>
      <c r="J135" s="26">
        <v>3</v>
      </c>
      <c r="K135" s="70">
        <v>4</v>
      </c>
      <c r="L135" s="70">
        <v>6</v>
      </c>
      <c r="M135" s="70">
        <v>5</v>
      </c>
      <c r="N135" s="71"/>
      <c r="O135" s="70">
        <v>5</v>
      </c>
      <c r="P135" s="70">
        <v>6</v>
      </c>
      <c r="Q135" s="70">
        <v>4</v>
      </c>
      <c r="R135" s="70">
        <v>5</v>
      </c>
      <c r="S135" s="70">
        <v>5</v>
      </c>
      <c r="T135" s="70">
        <v>5</v>
      </c>
      <c r="U135" s="70">
        <v>6</v>
      </c>
      <c r="V135" s="70">
        <v>5</v>
      </c>
      <c r="W135" s="70">
        <v>4</v>
      </c>
      <c r="X135" s="70">
        <v>4</v>
      </c>
      <c r="Y135" s="72">
        <v>46242.4703221644</v>
      </c>
      <c r="Z135" s="72">
        <v>46242.4714786921</v>
      </c>
      <c r="AA135" s="73">
        <v>99.9</v>
      </c>
      <c r="AB135" s="70" t="s">
        <v>266</v>
      </c>
      <c r="AC135" s="70" t="s">
        <v>266</v>
      </c>
      <c r="AD135" s="70" t="s">
        <v>266</v>
      </c>
      <c r="AE135" s="70" t="s">
        <v>386</v>
      </c>
      <c r="AF135" s="74">
        <v>11.37</v>
      </c>
      <c r="AG135" s="74">
        <v>0.787</v>
      </c>
      <c r="AH135" s="74">
        <v>0.85</v>
      </c>
      <c r="AI135" s="74">
        <v>0.985</v>
      </c>
      <c r="AJ135" s="74">
        <v>0.774</v>
      </c>
      <c r="AK135" s="75" t="s">
        <v>498</v>
      </c>
      <c r="AL135" s="75" t="s">
        <v>259</v>
      </c>
      <c r="AM135" s="76">
        <v>1</v>
      </c>
      <c r="AN135" s="76">
        <v>0</v>
      </c>
      <c r="AO135" s="77" t="s">
        <v>500</v>
      </c>
    </row>
    <row r="136" ht="24" customHeight="1" spans="1:41">
      <c r="A136" s="78" t="s">
        <v>460</v>
      </c>
      <c r="B136" s="79">
        <v>6</v>
      </c>
      <c r="C136" s="79" t="s">
        <v>461</v>
      </c>
      <c r="D136" s="79">
        <v>3</v>
      </c>
      <c r="E136" s="79" t="s">
        <v>375</v>
      </c>
      <c r="F136" s="79" t="s">
        <v>496</v>
      </c>
      <c r="G136" s="79" t="s">
        <v>497</v>
      </c>
      <c r="H136" s="79" t="s">
        <v>379</v>
      </c>
      <c r="I136" s="79">
        <v>2</v>
      </c>
      <c r="J136" s="79">
        <v>3</v>
      </c>
      <c r="K136" s="80">
        <v>4</v>
      </c>
      <c r="L136" s="80">
        <v>6</v>
      </c>
      <c r="M136" s="80">
        <v>5</v>
      </c>
      <c r="N136" s="81"/>
      <c r="O136" s="80">
        <v>6</v>
      </c>
      <c r="P136" s="80">
        <v>6</v>
      </c>
      <c r="Q136" s="80">
        <v>4</v>
      </c>
      <c r="R136" s="80">
        <v>6</v>
      </c>
      <c r="S136" s="80">
        <v>5</v>
      </c>
      <c r="T136" s="80">
        <v>6</v>
      </c>
      <c r="U136" s="80">
        <v>6</v>
      </c>
      <c r="V136" s="80">
        <v>5</v>
      </c>
      <c r="W136" s="80">
        <v>5</v>
      </c>
      <c r="X136" s="80">
        <v>5</v>
      </c>
      <c r="Y136" s="82">
        <v>46242.4725512384</v>
      </c>
      <c r="Z136" s="82">
        <v>46242.4738859259</v>
      </c>
      <c r="AA136" s="83">
        <v>115.3</v>
      </c>
      <c r="AB136" s="80" t="s">
        <v>266</v>
      </c>
      <c r="AC136" s="80" t="s">
        <v>266</v>
      </c>
      <c r="AD136" s="80" t="s">
        <v>266</v>
      </c>
      <c r="AE136" s="80" t="s">
        <v>386</v>
      </c>
      <c r="AF136" s="84">
        <v>13.13</v>
      </c>
      <c r="AG136" s="84">
        <v>0.785</v>
      </c>
      <c r="AH136" s="84">
        <v>0.893</v>
      </c>
      <c r="AI136" s="84">
        <v>0.99</v>
      </c>
      <c r="AJ136" s="84">
        <v>0.794</v>
      </c>
      <c r="AK136" s="85" t="s">
        <v>498</v>
      </c>
      <c r="AL136" s="85" t="s">
        <v>259</v>
      </c>
      <c r="AM136" s="86">
        <v>1</v>
      </c>
      <c r="AN136" s="86">
        <v>2</v>
      </c>
      <c r="AO136" s="85" t="s">
        <v>500</v>
      </c>
    </row>
    <row r="137" ht="24" customHeight="1" spans="1:41">
      <c r="A137" s="25" t="s">
        <v>463</v>
      </c>
      <c r="B137" s="26">
        <v>1</v>
      </c>
      <c r="C137" s="26" t="s">
        <v>464</v>
      </c>
      <c r="D137" s="26">
        <v>1</v>
      </c>
      <c r="E137" s="26" t="s">
        <v>377</v>
      </c>
      <c r="F137" s="26" t="s">
        <v>503</v>
      </c>
      <c r="G137" s="26" t="s">
        <v>499</v>
      </c>
      <c r="H137" s="26" t="s">
        <v>379</v>
      </c>
      <c r="I137" s="26">
        <v>1</v>
      </c>
      <c r="J137" s="26">
        <v>1</v>
      </c>
      <c r="K137" s="70">
        <v>6</v>
      </c>
      <c r="L137" s="70">
        <v>4</v>
      </c>
      <c r="M137" s="70">
        <v>6</v>
      </c>
      <c r="N137" s="71"/>
      <c r="O137" s="70">
        <v>5</v>
      </c>
      <c r="P137" s="70">
        <v>6</v>
      </c>
      <c r="Q137" s="70">
        <v>6</v>
      </c>
      <c r="R137" s="70">
        <v>6</v>
      </c>
      <c r="S137" s="70">
        <v>4</v>
      </c>
      <c r="T137" s="70">
        <v>5</v>
      </c>
      <c r="U137" s="70">
        <v>7</v>
      </c>
      <c r="V137" s="70">
        <v>6</v>
      </c>
      <c r="W137" s="70">
        <v>6</v>
      </c>
      <c r="X137" s="70">
        <v>6</v>
      </c>
      <c r="Y137" s="72">
        <v>46242.5727409491</v>
      </c>
      <c r="Z137" s="72">
        <v>46242.574032662</v>
      </c>
      <c r="AA137" s="73">
        <v>111.6</v>
      </c>
      <c r="AB137" s="70" t="s">
        <v>266</v>
      </c>
      <c r="AC137" s="70" t="s">
        <v>266</v>
      </c>
      <c r="AD137" s="70" t="s">
        <v>266</v>
      </c>
      <c r="AE137" s="70" t="s">
        <v>386</v>
      </c>
      <c r="AF137" s="74">
        <v>12.05</v>
      </c>
      <c r="AG137" s="74">
        <v>0.79</v>
      </c>
      <c r="AH137" s="74">
        <v>0.9</v>
      </c>
      <c r="AI137" s="74">
        <v>0.99</v>
      </c>
      <c r="AJ137" s="74">
        <v>0.783</v>
      </c>
      <c r="AK137" s="75" t="s">
        <v>498</v>
      </c>
      <c r="AL137" s="75" t="s">
        <v>259</v>
      </c>
      <c r="AM137" s="76">
        <v>1</v>
      </c>
      <c r="AN137" s="76">
        <v>2</v>
      </c>
      <c r="AO137" s="77" t="s">
        <v>191</v>
      </c>
    </row>
    <row r="138" ht="24" customHeight="1" spans="1:41">
      <c r="A138" s="25" t="s">
        <v>463</v>
      </c>
      <c r="B138" s="26">
        <v>2</v>
      </c>
      <c r="C138" s="26" t="s">
        <v>464</v>
      </c>
      <c r="D138" s="26">
        <v>1</v>
      </c>
      <c r="E138" s="26" t="s">
        <v>377</v>
      </c>
      <c r="F138" s="26" t="s">
        <v>503</v>
      </c>
      <c r="G138" s="26" t="s">
        <v>497</v>
      </c>
      <c r="H138" s="26" t="s">
        <v>380</v>
      </c>
      <c r="I138" s="26">
        <v>2</v>
      </c>
      <c r="J138" s="26">
        <v>1</v>
      </c>
      <c r="K138" s="70">
        <v>4</v>
      </c>
      <c r="L138" s="70">
        <v>6</v>
      </c>
      <c r="M138" s="70">
        <v>7</v>
      </c>
      <c r="N138" s="71"/>
      <c r="O138" s="70">
        <v>7</v>
      </c>
      <c r="P138" s="70">
        <v>4</v>
      </c>
      <c r="Q138" s="70">
        <v>5</v>
      </c>
      <c r="R138" s="70">
        <v>5</v>
      </c>
      <c r="S138" s="70">
        <v>5</v>
      </c>
      <c r="T138" s="70">
        <v>5</v>
      </c>
      <c r="U138" s="70">
        <v>6</v>
      </c>
      <c r="V138" s="70">
        <v>4</v>
      </c>
      <c r="W138" s="70">
        <v>5</v>
      </c>
      <c r="X138" s="70">
        <v>5</v>
      </c>
      <c r="Y138" s="72">
        <v>46242.5748764236</v>
      </c>
      <c r="Z138" s="72">
        <v>46242.5760291898</v>
      </c>
      <c r="AA138" s="73">
        <v>99.6</v>
      </c>
      <c r="AB138" s="70" t="s">
        <v>266</v>
      </c>
      <c r="AC138" s="70" t="s">
        <v>266</v>
      </c>
      <c r="AD138" s="70" t="s">
        <v>266</v>
      </c>
      <c r="AE138" s="70" t="s">
        <v>386</v>
      </c>
      <c r="AF138" s="74">
        <v>13.34</v>
      </c>
      <c r="AG138" s="74">
        <v>0.82</v>
      </c>
      <c r="AH138" s="74">
        <v>0.862</v>
      </c>
      <c r="AI138" s="74">
        <v>0.993</v>
      </c>
      <c r="AJ138" s="74">
        <v>0.754</v>
      </c>
      <c r="AK138" s="75" t="s">
        <v>498</v>
      </c>
      <c r="AL138" s="75" t="s">
        <v>259</v>
      </c>
      <c r="AM138" s="76">
        <v>1</v>
      </c>
      <c r="AN138" s="76">
        <v>0</v>
      </c>
      <c r="AO138" s="77" t="s">
        <v>191</v>
      </c>
    </row>
    <row r="139" ht="24" customHeight="1" spans="1:41">
      <c r="A139" s="25" t="s">
        <v>463</v>
      </c>
      <c r="B139" s="26">
        <v>3</v>
      </c>
      <c r="C139" s="26" t="s">
        <v>464</v>
      </c>
      <c r="D139" s="26">
        <v>2</v>
      </c>
      <c r="E139" s="26" t="s">
        <v>376</v>
      </c>
      <c r="F139" s="26" t="s">
        <v>501</v>
      </c>
      <c r="G139" s="26" t="s">
        <v>497</v>
      </c>
      <c r="H139" s="26" t="s">
        <v>380</v>
      </c>
      <c r="I139" s="26">
        <v>1</v>
      </c>
      <c r="J139" s="26">
        <v>2</v>
      </c>
      <c r="K139" s="70">
        <v>4</v>
      </c>
      <c r="L139" s="70">
        <v>6</v>
      </c>
      <c r="M139" s="70">
        <v>7</v>
      </c>
      <c r="N139" s="71"/>
      <c r="O139" s="70">
        <v>5</v>
      </c>
      <c r="P139" s="70">
        <v>4</v>
      </c>
      <c r="Q139" s="70">
        <v>3</v>
      </c>
      <c r="R139" s="70">
        <v>4</v>
      </c>
      <c r="S139" s="70">
        <v>4</v>
      </c>
      <c r="T139" s="70">
        <v>3</v>
      </c>
      <c r="U139" s="70">
        <v>5</v>
      </c>
      <c r="V139" s="70">
        <v>4</v>
      </c>
      <c r="W139" s="70">
        <v>4</v>
      </c>
      <c r="X139" s="70">
        <v>3</v>
      </c>
      <c r="Y139" s="72">
        <v>46242.5770009028</v>
      </c>
      <c r="Z139" s="72">
        <v>46242.5782757986</v>
      </c>
      <c r="AA139" s="73">
        <v>110.2</v>
      </c>
      <c r="AB139" s="70" t="s">
        <v>266</v>
      </c>
      <c r="AC139" s="70" t="s">
        <v>266</v>
      </c>
      <c r="AD139" s="70" t="s">
        <v>266</v>
      </c>
      <c r="AE139" s="70" t="s">
        <v>386</v>
      </c>
      <c r="AF139" s="74">
        <v>12.97</v>
      </c>
      <c r="AG139" s="74">
        <v>0.843</v>
      </c>
      <c r="AH139" s="74">
        <v>0.915</v>
      </c>
      <c r="AI139" s="74">
        <v>0.987</v>
      </c>
      <c r="AJ139" s="74">
        <v>0.71</v>
      </c>
      <c r="AK139" s="75" t="s">
        <v>498</v>
      </c>
      <c r="AL139" s="75" t="s">
        <v>259</v>
      </c>
      <c r="AM139" s="76">
        <v>1</v>
      </c>
      <c r="AN139" s="76">
        <v>0</v>
      </c>
      <c r="AO139" s="77" t="s">
        <v>191</v>
      </c>
    </row>
    <row r="140" ht="24" customHeight="1" spans="1:41">
      <c r="A140" s="25" t="s">
        <v>463</v>
      </c>
      <c r="B140" s="26">
        <v>4</v>
      </c>
      <c r="C140" s="26" t="s">
        <v>464</v>
      </c>
      <c r="D140" s="26">
        <v>2</v>
      </c>
      <c r="E140" s="26" t="s">
        <v>376</v>
      </c>
      <c r="F140" s="26" t="s">
        <v>501</v>
      </c>
      <c r="G140" s="26" t="s">
        <v>499</v>
      </c>
      <c r="H140" s="26" t="s">
        <v>379</v>
      </c>
      <c r="I140" s="26">
        <v>2</v>
      </c>
      <c r="J140" s="26">
        <v>2</v>
      </c>
      <c r="K140" s="70">
        <v>5</v>
      </c>
      <c r="L140" s="70">
        <v>5</v>
      </c>
      <c r="M140" s="70">
        <v>5</v>
      </c>
      <c r="N140" s="71"/>
      <c r="O140" s="70">
        <v>6</v>
      </c>
      <c r="P140" s="70">
        <v>7</v>
      </c>
      <c r="Q140" s="70">
        <v>5</v>
      </c>
      <c r="R140" s="70">
        <v>4</v>
      </c>
      <c r="S140" s="70">
        <v>7</v>
      </c>
      <c r="T140" s="70">
        <v>5</v>
      </c>
      <c r="U140" s="70">
        <v>7</v>
      </c>
      <c r="V140" s="70">
        <v>5</v>
      </c>
      <c r="W140" s="70">
        <v>3</v>
      </c>
      <c r="X140" s="70">
        <v>5</v>
      </c>
      <c r="Y140" s="72">
        <v>46242.5793289352</v>
      </c>
      <c r="Z140" s="72">
        <v>46242.5805808218</v>
      </c>
      <c r="AA140" s="73">
        <v>108.2</v>
      </c>
      <c r="AB140" s="70" t="s">
        <v>266</v>
      </c>
      <c r="AC140" s="70" t="s">
        <v>266</v>
      </c>
      <c r="AD140" s="70" t="s">
        <v>266</v>
      </c>
      <c r="AE140" s="70" t="s">
        <v>504</v>
      </c>
      <c r="AF140" s="74">
        <v>13.74</v>
      </c>
      <c r="AG140" s="74">
        <v>0.784</v>
      </c>
      <c r="AH140" s="74">
        <v>0.859</v>
      </c>
      <c r="AI140" s="74">
        <v>0.97</v>
      </c>
      <c r="AJ140" s="74">
        <v>0.781</v>
      </c>
      <c r="AK140" s="75" t="s">
        <v>498</v>
      </c>
      <c r="AL140" s="75" t="s">
        <v>259</v>
      </c>
      <c r="AM140" s="76">
        <v>2</v>
      </c>
      <c r="AN140" s="76">
        <v>3</v>
      </c>
      <c r="AO140" s="77" t="s">
        <v>505</v>
      </c>
    </row>
    <row r="141" ht="24" customHeight="1" spans="1:41">
      <c r="A141" s="25" t="s">
        <v>463</v>
      </c>
      <c r="B141" s="26">
        <v>5</v>
      </c>
      <c r="C141" s="26" t="s">
        <v>464</v>
      </c>
      <c r="D141" s="26">
        <v>3</v>
      </c>
      <c r="E141" s="26" t="s">
        <v>375</v>
      </c>
      <c r="F141" s="26" t="s">
        <v>496</v>
      </c>
      <c r="G141" s="26" t="s">
        <v>499</v>
      </c>
      <c r="H141" s="26" t="s">
        <v>379</v>
      </c>
      <c r="I141" s="26">
        <v>1</v>
      </c>
      <c r="J141" s="26">
        <v>3</v>
      </c>
      <c r="K141" s="70">
        <v>5</v>
      </c>
      <c r="L141" s="70">
        <v>6</v>
      </c>
      <c r="M141" s="70">
        <v>5</v>
      </c>
      <c r="N141" s="71"/>
      <c r="O141" s="70">
        <v>4</v>
      </c>
      <c r="P141" s="70">
        <v>5</v>
      </c>
      <c r="Q141" s="70">
        <v>6</v>
      </c>
      <c r="R141" s="70">
        <v>5</v>
      </c>
      <c r="S141" s="70">
        <v>6</v>
      </c>
      <c r="T141" s="70">
        <v>6</v>
      </c>
      <c r="U141" s="70">
        <v>6</v>
      </c>
      <c r="V141" s="70">
        <v>4</v>
      </c>
      <c r="W141" s="70">
        <v>4</v>
      </c>
      <c r="X141" s="70">
        <v>5</v>
      </c>
      <c r="Y141" s="72">
        <v>46242.5813185417</v>
      </c>
      <c r="Z141" s="72">
        <v>46242.5826937731</v>
      </c>
      <c r="AA141" s="73">
        <v>118.8</v>
      </c>
      <c r="AB141" s="70" t="s">
        <v>266</v>
      </c>
      <c r="AC141" s="70" t="s">
        <v>266</v>
      </c>
      <c r="AD141" s="70" t="s">
        <v>266</v>
      </c>
      <c r="AE141" s="70" t="s">
        <v>386</v>
      </c>
      <c r="AF141" s="74">
        <v>12</v>
      </c>
      <c r="AG141" s="74">
        <v>0.737</v>
      </c>
      <c r="AH141" s="74">
        <v>0.893</v>
      </c>
      <c r="AI141" s="74">
        <v>0.987</v>
      </c>
      <c r="AJ141" s="74">
        <v>0.716</v>
      </c>
      <c r="AK141" s="75" t="s">
        <v>498</v>
      </c>
      <c r="AL141" s="75" t="s">
        <v>259</v>
      </c>
      <c r="AM141" s="76">
        <v>1</v>
      </c>
      <c r="AN141" s="76">
        <v>4</v>
      </c>
      <c r="AO141" s="77" t="s">
        <v>191</v>
      </c>
    </row>
    <row r="142" ht="24" customHeight="1" spans="1:41">
      <c r="A142" s="78" t="s">
        <v>463</v>
      </c>
      <c r="B142" s="79">
        <v>6</v>
      </c>
      <c r="C142" s="79" t="s">
        <v>464</v>
      </c>
      <c r="D142" s="79">
        <v>3</v>
      </c>
      <c r="E142" s="79" t="s">
        <v>375</v>
      </c>
      <c r="F142" s="79" t="s">
        <v>496</v>
      </c>
      <c r="G142" s="79" t="s">
        <v>497</v>
      </c>
      <c r="H142" s="79" t="s">
        <v>380</v>
      </c>
      <c r="I142" s="79">
        <v>2</v>
      </c>
      <c r="J142" s="79">
        <v>3</v>
      </c>
      <c r="K142" s="80">
        <v>4</v>
      </c>
      <c r="L142" s="80">
        <v>6</v>
      </c>
      <c r="M142" s="80">
        <v>6</v>
      </c>
      <c r="N142" s="81"/>
      <c r="O142" s="80">
        <v>6</v>
      </c>
      <c r="P142" s="80">
        <v>5</v>
      </c>
      <c r="Q142" s="80">
        <v>4</v>
      </c>
      <c r="R142" s="80">
        <v>5</v>
      </c>
      <c r="S142" s="80">
        <v>5</v>
      </c>
      <c r="T142" s="80">
        <v>5</v>
      </c>
      <c r="U142" s="80">
        <v>5</v>
      </c>
      <c r="V142" s="80">
        <v>5</v>
      </c>
      <c r="W142" s="80">
        <v>3</v>
      </c>
      <c r="X142" s="80">
        <v>5</v>
      </c>
      <c r="Y142" s="82">
        <v>46242.5834681944</v>
      </c>
      <c r="Z142" s="82">
        <v>46242.5844810301</v>
      </c>
      <c r="AA142" s="83">
        <v>87.5</v>
      </c>
      <c r="AB142" s="80" t="s">
        <v>266</v>
      </c>
      <c r="AC142" s="80" t="s">
        <v>266</v>
      </c>
      <c r="AD142" s="80" t="s">
        <v>266</v>
      </c>
      <c r="AE142" s="80" t="s">
        <v>386</v>
      </c>
      <c r="AF142" s="84">
        <v>13.07</v>
      </c>
      <c r="AG142" s="84">
        <v>0.749</v>
      </c>
      <c r="AH142" s="84">
        <v>0.856</v>
      </c>
      <c r="AI142" s="84">
        <v>0.996</v>
      </c>
      <c r="AJ142" s="84">
        <v>0.766</v>
      </c>
      <c r="AK142" s="85" t="s">
        <v>498</v>
      </c>
      <c r="AL142" s="85" t="s">
        <v>259</v>
      </c>
      <c r="AM142" s="86">
        <v>1</v>
      </c>
      <c r="AN142" s="86">
        <v>0</v>
      </c>
      <c r="AO142" s="85" t="s">
        <v>191</v>
      </c>
    </row>
    <row r="143" ht="24" customHeight="1" spans="1:41">
      <c r="A143" s="25" t="s">
        <v>467</v>
      </c>
      <c r="B143" s="26">
        <v>1</v>
      </c>
      <c r="C143" s="26" t="s">
        <v>468</v>
      </c>
      <c r="D143" s="26">
        <v>1</v>
      </c>
      <c r="E143" s="26" t="s">
        <v>377</v>
      </c>
      <c r="F143" s="26" t="s">
        <v>503</v>
      </c>
      <c r="G143" s="26" t="s">
        <v>497</v>
      </c>
      <c r="H143" s="26" t="s">
        <v>380</v>
      </c>
      <c r="I143" s="26">
        <v>1</v>
      </c>
      <c r="J143" s="26">
        <v>1</v>
      </c>
      <c r="K143" s="70">
        <v>5</v>
      </c>
      <c r="L143" s="70">
        <v>5</v>
      </c>
      <c r="M143" s="70">
        <v>4</v>
      </c>
      <c r="N143" s="71"/>
      <c r="O143" s="70">
        <v>6</v>
      </c>
      <c r="P143" s="70">
        <v>5</v>
      </c>
      <c r="Q143" s="70">
        <v>5</v>
      </c>
      <c r="R143" s="70">
        <v>5</v>
      </c>
      <c r="S143" s="70">
        <v>5</v>
      </c>
      <c r="T143" s="70">
        <v>6</v>
      </c>
      <c r="U143" s="70">
        <v>5</v>
      </c>
      <c r="V143" s="70">
        <v>6</v>
      </c>
      <c r="W143" s="70">
        <v>4</v>
      </c>
      <c r="X143" s="70">
        <v>4</v>
      </c>
      <c r="Y143" s="72">
        <v>46242.6457860069</v>
      </c>
      <c r="Z143" s="72">
        <v>46242.6467945949</v>
      </c>
      <c r="AA143" s="73">
        <v>87.1</v>
      </c>
      <c r="AB143" s="70" t="s">
        <v>266</v>
      </c>
      <c r="AC143" s="70" t="s">
        <v>266</v>
      </c>
      <c r="AD143" s="70" t="s">
        <v>266</v>
      </c>
      <c r="AE143" s="70" t="s">
        <v>386</v>
      </c>
      <c r="AF143" s="74">
        <v>12.39</v>
      </c>
      <c r="AG143" s="74">
        <v>0.75</v>
      </c>
      <c r="AH143" s="74">
        <v>0.859</v>
      </c>
      <c r="AI143" s="74">
        <v>0.988</v>
      </c>
      <c r="AJ143" s="74">
        <v>0.773</v>
      </c>
      <c r="AK143" s="75" t="s">
        <v>498</v>
      </c>
      <c r="AL143" s="75" t="s">
        <v>259</v>
      </c>
      <c r="AM143" s="76">
        <v>1</v>
      </c>
      <c r="AN143" s="76">
        <v>0</v>
      </c>
      <c r="AO143" s="77" t="s">
        <v>191</v>
      </c>
    </row>
    <row r="144" ht="24" customHeight="1" spans="1:41">
      <c r="A144" s="25" t="s">
        <v>467</v>
      </c>
      <c r="B144" s="26">
        <v>2</v>
      </c>
      <c r="C144" s="26" t="s">
        <v>468</v>
      </c>
      <c r="D144" s="26">
        <v>1</v>
      </c>
      <c r="E144" s="26" t="s">
        <v>377</v>
      </c>
      <c r="F144" s="26" t="s">
        <v>503</v>
      </c>
      <c r="G144" s="26" t="s">
        <v>499</v>
      </c>
      <c r="H144" s="26" t="s">
        <v>379</v>
      </c>
      <c r="I144" s="26">
        <v>2</v>
      </c>
      <c r="J144" s="26">
        <v>1</v>
      </c>
      <c r="K144" s="70">
        <v>7</v>
      </c>
      <c r="L144" s="70">
        <v>5</v>
      </c>
      <c r="M144" s="70">
        <v>6</v>
      </c>
      <c r="N144" s="71"/>
      <c r="O144" s="70">
        <v>4</v>
      </c>
      <c r="P144" s="70">
        <v>6</v>
      </c>
      <c r="Q144" s="70">
        <v>5</v>
      </c>
      <c r="R144" s="70">
        <v>6</v>
      </c>
      <c r="S144" s="70">
        <v>6</v>
      </c>
      <c r="T144" s="70">
        <v>5</v>
      </c>
      <c r="U144" s="70">
        <v>5</v>
      </c>
      <c r="V144" s="70">
        <v>5</v>
      </c>
      <c r="W144" s="70">
        <v>6</v>
      </c>
      <c r="X144" s="70">
        <v>6</v>
      </c>
      <c r="Y144" s="72">
        <v>46242.6478467014</v>
      </c>
      <c r="Z144" s="72">
        <v>46242.6490361921</v>
      </c>
      <c r="AA144" s="73">
        <v>102.8</v>
      </c>
      <c r="AB144" s="70" t="s">
        <v>266</v>
      </c>
      <c r="AC144" s="70" t="s">
        <v>266</v>
      </c>
      <c r="AD144" s="70" t="s">
        <v>266</v>
      </c>
      <c r="AE144" s="70" t="s">
        <v>386</v>
      </c>
      <c r="AF144" s="74">
        <v>12.75</v>
      </c>
      <c r="AG144" s="74">
        <v>0.779</v>
      </c>
      <c r="AH144" s="74">
        <v>0.881</v>
      </c>
      <c r="AI144" s="74">
        <v>0.988</v>
      </c>
      <c r="AJ144" s="74">
        <v>0.777</v>
      </c>
      <c r="AK144" s="75" t="s">
        <v>498</v>
      </c>
      <c r="AL144" s="75" t="s">
        <v>259</v>
      </c>
      <c r="AM144" s="76">
        <v>1</v>
      </c>
      <c r="AN144" s="76">
        <v>3</v>
      </c>
      <c r="AO144" s="77" t="s">
        <v>191</v>
      </c>
    </row>
    <row r="145" ht="24" customHeight="1" spans="1:41">
      <c r="A145" s="25" t="s">
        <v>467</v>
      </c>
      <c r="B145" s="26">
        <v>3</v>
      </c>
      <c r="C145" s="26" t="s">
        <v>468</v>
      </c>
      <c r="D145" s="26">
        <v>2</v>
      </c>
      <c r="E145" s="26" t="s">
        <v>376</v>
      </c>
      <c r="F145" s="26" t="s">
        <v>501</v>
      </c>
      <c r="G145" s="26" t="s">
        <v>499</v>
      </c>
      <c r="H145" s="26" t="s">
        <v>379</v>
      </c>
      <c r="I145" s="26">
        <v>1</v>
      </c>
      <c r="J145" s="26">
        <v>2</v>
      </c>
      <c r="K145" s="70">
        <v>6</v>
      </c>
      <c r="L145" s="70">
        <v>5</v>
      </c>
      <c r="M145" s="70">
        <v>6</v>
      </c>
      <c r="N145" s="71"/>
      <c r="O145" s="70">
        <v>6</v>
      </c>
      <c r="P145" s="70">
        <v>6</v>
      </c>
      <c r="Q145" s="70">
        <v>6</v>
      </c>
      <c r="R145" s="70">
        <v>7</v>
      </c>
      <c r="S145" s="70">
        <v>5</v>
      </c>
      <c r="T145" s="70">
        <v>6</v>
      </c>
      <c r="U145" s="70">
        <v>5</v>
      </c>
      <c r="V145" s="70">
        <v>5</v>
      </c>
      <c r="W145" s="70">
        <v>6</v>
      </c>
      <c r="X145" s="70">
        <v>7</v>
      </c>
      <c r="Y145" s="72">
        <v>46242.6499717477</v>
      </c>
      <c r="Z145" s="72">
        <v>46242.6509443287</v>
      </c>
      <c r="AA145" s="73">
        <v>84</v>
      </c>
      <c r="AB145" s="70" t="s">
        <v>266</v>
      </c>
      <c r="AC145" s="70" t="s">
        <v>266</v>
      </c>
      <c r="AD145" s="70" t="s">
        <v>266</v>
      </c>
      <c r="AE145" s="70" t="s">
        <v>386</v>
      </c>
      <c r="AF145" s="74">
        <v>13.3</v>
      </c>
      <c r="AG145" s="74">
        <v>0.811</v>
      </c>
      <c r="AH145" s="74">
        <v>0.946</v>
      </c>
      <c r="AI145" s="74">
        <v>0.988</v>
      </c>
      <c r="AJ145" s="74">
        <v>0.76</v>
      </c>
      <c r="AK145" s="75" t="s">
        <v>498</v>
      </c>
      <c r="AL145" s="75" t="s">
        <v>259</v>
      </c>
      <c r="AM145" s="76">
        <v>1</v>
      </c>
      <c r="AN145" s="76">
        <v>4</v>
      </c>
      <c r="AO145" s="77" t="s">
        <v>191</v>
      </c>
    </row>
    <row r="146" ht="24" customHeight="1" spans="1:41">
      <c r="A146" s="25" t="s">
        <v>467</v>
      </c>
      <c r="B146" s="26">
        <v>4</v>
      </c>
      <c r="C146" s="26" t="s">
        <v>468</v>
      </c>
      <c r="D146" s="26">
        <v>2</v>
      </c>
      <c r="E146" s="26" t="s">
        <v>376</v>
      </c>
      <c r="F146" s="26" t="s">
        <v>501</v>
      </c>
      <c r="G146" s="26" t="s">
        <v>497</v>
      </c>
      <c r="H146" s="26" t="s">
        <v>380</v>
      </c>
      <c r="I146" s="26">
        <v>2</v>
      </c>
      <c r="J146" s="26">
        <v>2</v>
      </c>
      <c r="K146" s="70">
        <v>4</v>
      </c>
      <c r="L146" s="70">
        <v>5</v>
      </c>
      <c r="M146" s="70">
        <v>6</v>
      </c>
      <c r="N146" s="71"/>
      <c r="O146" s="70">
        <v>5</v>
      </c>
      <c r="P146" s="70">
        <v>4</v>
      </c>
      <c r="Q146" s="70">
        <v>5</v>
      </c>
      <c r="R146" s="70">
        <v>5</v>
      </c>
      <c r="S146" s="70">
        <v>6</v>
      </c>
      <c r="T146" s="70">
        <v>6</v>
      </c>
      <c r="U146" s="70">
        <v>6</v>
      </c>
      <c r="V146" s="70">
        <v>4</v>
      </c>
      <c r="W146" s="70">
        <v>4</v>
      </c>
      <c r="X146" s="70">
        <v>6</v>
      </c>
      <c r="Y146" s="72">
        <v>46242.6519380208</v>
      </c>
      <c r="Z146" s="72">
        <v>46242.6532700116</v>
      </c>
      <c r="AA146" s="73">
        <v>115.1</v>
      </c>
      <c r="AB146" s="70" t="s">
        <v>266</v>
      </c>
      <c r="AC146" s="70" t="s">
        <v>266</v>
      </c>
      <c r="AD146" s="70" t="s">
        <v>266</v>
      </c>
      <c r="AE146" s="70" t="s">
        <v>386</v>
      </c>
      <c r="AF146" s="74">
        <v>12.49</v>
      </c>
      <c r="AG146" s="74">
        <v>0.822</v>
      </c>
      <c r="AH146" s="74">
        <v>0.907</v>
      </c>
      <c r="AI146" s="74">
        <v>0.999</v>
      </c>
      <c r="AJ146" s="74">
        <v>0.752</v>
      </c>
      <c r="AK146" s="75" t="s">
        <v>498</v>
      </c>
      <c r="AL146" s="75" t="s">
        <v>259</v>
      </c>
      <c r="AM146" s="76">
        <v>1</v>
      </c>
      <c r="AN146" s="76">
        <v>0</v>
      </c>
      <c r="AO146" s="77" t="s">
        <v>502</v>
      </c>
    </row>
    <row r="147" ht="24" customHeight="1" spans="1:41">
      <c r="A147" s="25" t="s">
        <v>467</v>
      </c>
      <c r="B147" s="26">
        <v>5</v>
      </c>
      <c r="C147" s="26" t="s">
        <v>468</v>
      </c>
      <c r="D147" s="26">
        <v>3</v>
      </c>
      <c r="E147" s="26" t="s">
        <v>375</v>
      </c>
      <c r="F147" s="26" t="s">
        <v>496</v>
      </c>
      <c r="G147" s="26" t="s">
        <v>497</v>
      </c>
      <c r="H147" s="26" t="s">
        <v>380</v>
      </c>
      <c r="I147" s="26">
        <v>1</v>
      </c>
      <c r="J147" s="26">
        <v>3</v>
      </c>
      <c r="K147" s="70">
        <v>4</v>
      </c>
      <c r="L147" s="70">
        <v>5</v>
      </c>
      <c r="M147" s="70">
        <v>4</v>
      </c>
      <c r="N147" s="71"/>
      <c r="O147" s="70">
        <v>4</v>
      </c>
      <c r="P147" s="70">
        <v>4</v>
      </c>
      <c r="Q147" s="70">
        <v>4</v>
      </c>
      <c r="R147" s="70">
        <v>5</v>
      </c>
      <c r="S147" s="70">
        <v>5</v>
      </c>
      <c r="T147" s="70">
        <v>4</v>
      </c>
      <c r="U147" s="70">
        <v>5</v>
      </c>
      <c r="V147" s="70">
        <v>4</v>
      </c>
      <c r="W147" s="70">
        <v>5</v>
      </c>
      <c r="X147" s="70">
        <v>5</v>
      </c>
      <c r="Y147" s="72">
        <v>46242.654193044</v>
      </c>
      <c r="Z147" s="72">
        <v>46242.6551364931</v>
      </c>
      <c r="AA147" s="73">
        <v>81.5</v>
      </c>
      <c r="AB147" s="70" t="s">
        <v>266</v>
      </c>
      <c r="AC147" s="70" t="s">
        <v>266</v>
      </c>
      <c r="AD147" s="70" t="s">
        <v>266</v>
      </c>
      <c r="AE147" s="70" t="s">
        <v>386</v>
      </c>
      <c r="AF147" s="74">
        <v>11.7</v>
      </c>
      <c r="AG147" s="74">
        <v>0.783</v>
      </c>
      <c r="AH147" s="74">
        <v>0.888</v>
      </c>
      <c r="AI147" s="74">
        <v>0.991</v>
      </c>
      <c r="AJ147" s="74">
        <v>0.726</v>
      </c>
      <c r="AK147" s="75" t="s">
        <v>498</v>
      </c>
      <c r="AL147" s="75" t="s">
        <v>259</v>
      </c>
      <c r="AM147" s="76">
        <v>1</v>
      </c>
      <c r="AN147" s="76">
        <v>0</v>
      </c>
      <c r="AO147" s="77" t="s">
        <v>191</v>
      </c>
    </row>
    <row r="148" ht="24" customHeight="1" spans="1:41">
      <c r="A148" s="78" t="s">
        <v>467</v>
      </c>
      <c r="B148" s="79">
        <v>6</v>
      </c>
      <c r="C148" s="79" t="s">
        <v>468</v>
      </c>
      <c r="D148" s="79">
        <v>3</v>
      </c>
      <c r="E148" s="79" t="s">
        <v>375</v>
      </c>
      <c r="F148" s="79" t="s">
        <v>496</v>
      </c>
      <c r="G148" s="79" t="s">
        <v>499</v>
      </c>
      <c r="H148" s="79" t="s">
        <v>379</v>
      </c>
      <c r="I148" s="79">
        <v>2</v>
      </c>
      <c r="J148" s="79">
        <v>3</v>
      </c>
      <c r="K148" s="80">
        <v>5</v>
      </c>
      <c r="L148" s="80">
        <v>6</v>
      </c>
      <c r="M148" s="80">
        <v>4</v>
      </c>
      <c r="N148" s="81"/>
      <c r="O148" s="80">
        <v>5</v>
      </c>
      <c r="P148" s="80">
        <v>6</v>
      </c>
      <c r="Q148" s="80">
        <v>5</v>
      </c>
      <c r="R148" s="80">
        <v>7</v>
      </c>
      <c r="S148" s="80">
        <v>5</v>
      </c>
      <c r="T148" s="80">
        <v>6</v>
      </c>
      <c r="U148" s="80">
        <v>6</v>
      </c>
      <c r="V148" s="80">
        <v>5</v>
      </c>
      <c r="W148" s="80">
        <v>6</v>
      </c>
      <c r="X148" s="80">
        <v>6</v>
      </c>
      <c r="Y148" s="82">
        <v>46242.6560597917</v>
      </c>
      <c r="Z148" s="82">
        <v>46242.6572237963</v>
      </c>
      <c r="AA148" s="83">
        <v>100.6</v>
      </c>
      <c r="AB148" s="80" t="s">
        <v>266</v>
      </c>
      <c r="AC148" s="80" t="s">
        <v>266</v>
      </c>
      <c r="AD148" s="80" t="s">
        <v>266</v>
      </c>
      <c r="AE148" s="80" t="s">
        <v>386</v>
      </c>
      <c r="AF148" s="84">
        <v>11.71</v>
      </c>
      <c r="AG148" s="84">
        <v>0.779</v>
      </c>
      <c r="AH148" s="84">
        <v>0.851</v>
      </c>
      <c r="AI148" s="84">
        <v>0.989</v>
      </c>
      <c r="AJ148" s="84">
        <v>0.785</v>
      </c>
      <c r="AK148" s="85" t="s">
        <v>498</v>
      </c>
      <c r="AL148" s="85" t="s">
        <v>259</v>
      </c>
      <c r="AM148" s="86">
        <v>0</v>
      </c>
      <c r="AN148" s="86">
        <v>3</v>
      </c>
      <c r="AO148" s="85" t="s">
        <v>191</v>
      </c>
    </row>
    <row r="149" spans="1:41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</row>
    <row r="150" ht="38" customHeight="1" spans="1:41">
      <c r="A150" s="18" t="s">
        <v>507</v>
      </c>
    </row>
    <row r="151" ht="38" customHeight="1" spans="1:41">
      <c r="A151" s="20" t="s">
        <v>349</v>
      </c>
      <c r="B151" s="21" t="s">
        <v>508</v>
      </c>
      <c r="C151" s="21" t="s">
        <v>476</v>
      </c>
      <c r="D151" s="21" t="s">
        <v>477</v>
      </c>
      <c r="E151" s="21" t="s">
        <v>255</v>
      </c>
      <c r="F151" s="21" t="s">
        <v>260</v>
      </c>
      <c r="G151" s="21" t="s">
        <v>509</v>
      </c>
      <c r="H151" s="21" t="s">
        <v>267</v>
      </c>
      <c r="I151" s="21" t="s">
        <v>510</v>
      </c>
      <c r="J151" s="21" t="s">
        <v>273</v>
      </c>
      <c r="K151" s="21" t="s">
        <v>276</v>
      </c>
      <c r="L151" s="21" t="s">
        <v>511</v>
      </c>
      <c r="M151" s="21" t="s">
        <v>283</v>
      </c>
      <c r="N151" s="21" t="s">
        <v>512</v>
      </c>
      <c r="O151" s="21" t="s">
        <v>295</v>
      </c>
      <c r="P151" s="21" t="s">
        <v>298</v>
      </c>
      <c r="Q151" s="21" t="s">
        <v>301</v>
      </c>
      <c r="R151" s="21" t="s">
        <v>513</v>
      </c>
      <c r="S151" s="21" t="s">
        <v>480</v>
      </c>
      <c r="T151" s="21" t="s">
        <v>481</v>
      </c>
      <c r="U151" s="21" t="s">
        <v>514</v>
      </c>
      <c r="V151" s="21" t="s">
        <v>486</v>
      </c>
      <c r="W151" s="22" t="s">
        <v>146</v>
      </c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</row>
    <row r="152" ht="24" customHeight="1" spans="1:41">
      <c r="A152" s="60" t="s">
        <v>372</v>
      </c>
      <c r="B152" s="61">
        <v>1</v>
      </c>
      <c r="C152" s="61" t="s">
        <v>497</v>
      </c>
      <c r="D152" s="61" t="s">
        <v>379</v>
      </c>
      <c r="E152" s="62">
        <v>5</v>
      </c>
      <c r="F152" s="62">
        <v>5</v>
      </c>
      <c r="G152" s="63">
        <v>1</v>
      </c>
      <c r="H152" s="62">
        <v>5</v>
      </c>
      <c r="I152" s="63">
        <v>1</v>
      </c>
      <c r="J152" s="62">
        <v>5</v>
      </c>
      <c r="K152" s="62">
        <v>4</v>
      </c>
      <c r="L152" s="63">
        <v>2</v>
      </c>
      <c r="M152" s="62">
        <v>5</v>
      </c>
      <c r="N152" s="63">
        <v>1</v>
      </c>
      <c r="O152" s="62">
        <v>6</v>
      </c>
      <c r="P152" s="62">
        <v>6</v>
      </c>
      <c r="Q152" s="62">
        <v>6</v>
      </c>
      <c r="R152" s="62" t="s">
        <v>266</v>
      </c>
      <c r="S152" s="64">
        <v>46237.3997595023</v>
      </c>
      <c r="T152" s="64">
        <v>46237.4011685069</v>
      </c>
      <c r="U152" s="65">
        <v>121.7</v>
      </c>
      <c r="V152" s="62" t="s">
        <v>386</v>
      </c>
      <c r="W152" s="87" t="s">
        <v>191</v>
      </c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</row>
    <row r="153" ht="24" customHeight="1" spans="1:41">
      <c r="A153" s="88" t="s">
        <v>372</v>
      </c>
      <c r="B153" s="89">
        <v>2</v>
      </c>
      <c r="C153" s="89" t="s">
        <v>499</v>
      </c>
      <c r="D153" s="89" t="s">
        <v>380</v>
      </c>
      <c r="E153" s="90">
        <v>4</v>
      </c>
      <c r="F153" s="90">
        <v>4</v>
      </c>
      <c r="G153" s="91">
        <v>3</v>
      </c>
      <c r="H153" s="90">
        <v>3</v>
      </c>
      <c r="I153" s="91">
        <v>3</v>
      </c>
      <c r="J153" s="90">
        <v>4</v>
      </c>
      <c r="K153" s="90">
        <v>4</v>
      </c>
      <c r="L153" s="91">
        <v>3</v>
      </c>
      <c r="M153" s="90">
        <v>3</v>
      </c>
      <c r="N153" s="91">
        <v>3</v>
      </c>
      <c r="O153" s="90">
        <v>5</v>
      </c>
      <c r="P153" s="90">
        <v>4</v>
      </c>
      <c r="Q153" s="90">
        <v>4</v>
      </c>
      <c r="R153" s="90" t="s">
        <v>266</v>
      </c>
      <c r="S153" s="92">
        <v>46237.4015219329</v>
      </c>
      <c r="T153" s="92">
        <v>46237.4031404167</v>
      </c>
      <c r="U153" s="93">
        <v>139.8</v>
      </c>
      <c r="V153" s="90" t="s">
        <v>386</v>
      </c>
      <c r="W153" s="90" t="s">
        <v>191</v>
      </c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</row>
    <row r="154" ht="24" customHeight="1" spans="1:41">
      <c r="A154" s="25" t="s">
        <v>388</v>
      </c>
      <c r="B154" s="26">
        <v>1</v>
      </c>
      <c r="C154" s="26" t="s">
        <v>499</v>
      </c>
      <c r="D154" s="26" t="s">
        <v>380</v>
      </c>
      <c r="E154" s="70">
        <v>5</v>
      </c>
      <c r="F154" s="70">
        <v>5</v>
      </c>
      <c r="G154" s="71">
        <v>1</v>
      </c>
      <c r="H154" s="70">
        <v>4</v>
      </c>
      <c r="I154" s="71">
        <v>1</v>
      </c>
      <c r="J154" s="70">
        <v>4</v>
      </c>
      <c r="K154" s="70">
        <v>4</v>
      </c>
      <c r="L154" s="71">
        <v>2</v>
      </c>
      <c r="M154" s="70">
        <v>4</v>
      </c>
      <c r="N154" s="71">
        <v>2</v>
      </c>
      <c r="O154" s="70">
        <v>6</v>
      </c>
      <c r="P154" s="70">
        <v>6</v>
      </c>
      <c r="Q154" s="70">
        <v>5</v>
      </c>
      <c r="R154" s="70" t="s">
        <v>266</v>
      </c>
      <c r="S154" s="72">
        <v>46237.4653014005</v>
      </c>
      <c r="T154" s="72">
        <v>46237.4668079861</v>
      </c>
      <c r="U154" s="73">
        <v>130.2</v>
      </c>
      <c r="V154" s="70" t="s">
        <v>386</v>
      </c>
      <c r="W154" s="94" t="s">
        <v>191</v>
      </c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</row>
    <row r="155" ht="24" customHeight="1" spans="1:41">
      <c r="A155" s="88" t="s">
        <v>388</v>
      </c>
      <c r="B155" s="89">
        <v>2</v>
      </c>
      <c r="C155" s="89" t="s">
        <v>497</v>
      </c>
      <c r="D155" s="89" t="s">
        <v>379</v>
      </c>
      <c r="E155" s="90">
        <v>5</v>
      </c>
      <c r="F155" s="90">
        <v>5</v>
      </c>
      <c r="G155" s="91">
        <v>1</v>
      </c>
      <c r="H155" s="90">
        <v>5</v>
      </c>
      <c r="I155" s="91">
        <v>1</v>
      </c>
      <c r="J155" s="90">
        <v>4</v>
      </c>
      <c r="K155" s="90">
        <v>5</v>
      </c>
      <c r="L155" s="91">
        <v>1</v>
      </c>
      <c r="M155" s="90">
        <v>4</v>
      </c>
      <c r="N155" s="91">
        <v>1</v>
      </c>
      <c r="O155" s="90">
        <v>6</v>
      </c>
      <c r="P155" s="90">
        <v>7</v>
      </c>
      <c r="Q155" s="90">
        <v>7</v>
      </c>
      <c r="R155" s="90" t="s">
        <v>266</v>
      </c>
      <c r="S155" s="92">
        <v>46237.4671477431</v>
      </c>
      <c r="T155" s="92">
        <v>46237.468722338</v>
      </c>
      <c r="U155" s="93">
        <v>136</v>
      </c>
      <c r="V155" s="90" t="s">
        <v>386</v>
      </c>
      <c r="W155" s="90" t="s">
        <v>191</v>
      </c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</row>
    <row r="156" ht="24" customHeight="1" spans="1:41">
      <c r="A156" s="25" t="s">
        <v>395</v>
      </c>
      <c r="B156" s="26">
        <v>1</v>
      </c>
      <c r="C156" s="26" t="s">
        <v>499</v>
      </c>
      <c r="D156" s="26" t="s">
        <v>379</v>
      </c>
      <c r="E156" s="70">
        <v>5</v>
      </c>
      <c r="F156" s="70">
        <v>5</v>
      </c>
      <c r="G156" s="71">
        <v>1</v>
      </c>
      <c r="H156" s="70">
        <v>5</v>
      </c>
      <c r="I156" s="71">
        <v>1</v>
      </c>
      <c r="J156" s="70">
        <v>5</v>
      </c>
      <c r="K156" s="70">
        <v>5</v>
      </c>
      <c r="L156" s="71">
        <v>1</v>
      </c>
      <c r="M156" s="70">
        <v>5</v>
      </c>
      <c r="N156" s="71">
        <v>1</v>
      </c>
      <c r="O156" s="70">
        <v>7</v>
      </c>
      <c r="P156" s="70">
        <v>7</v>
      </c>
      <c r="Q156" s="70">
        <v>7</v>
      </c>
      <c r="R156" s="70" t="s">
        <v>266</v>
      </c>
      <c r="S156" s="72">
        <v>46237.5872392708</v>
      </c>
      <c r="T156" s="72">
        <v>46237.5887684491</v>
      </c>
      <c r="U156" s="73">
        <v>132.1</v>
      </c>
      <c r="V156" s="70" t="s">
        <v>386</v>
      </c>
      <c r="W156" s="94" t="s">
        <v>191</v>
      </c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</row>
    <row r="157" ht="24" customHeight="1" spans="1:41">
      <c r="A157" s="88" t="s">
        <v>395</v>
      </c>
      <c r="B157" s="89">
        <v>2</v>
      </c>
      <c r="C157" s="89" t="s">
        <v>497</v>
      </c>
      <c r="D157" s="89" t="s">
        <v>380</v>
      </c>
      <c r="E157" s="90">
        <v>5</v>
      </c>
      <c r="F157" s="90">
        <v>5</v>
      </c>
      <c r="G157" s="91">
        <v>1</v>
      </c>
      <c r="H157" s="90">
        <v>5</v>
      </c>
      <c r="I157" s="91">
        <v>1</v>
      </c>
      <c r="J157" s="90">
        <v>5</v>
      </c>
      <c r="K157" s="90">
        <v>4</v>
      </c>
      <c r="L157" s="91">
        <v>1</v>
      </c>
      <c r="M157" s="90">
        <v>4</v>
      </c>
      <c r="N157" s="91">
        <v>2</v>
      </c>
      <c r="O157" s="90">
        <v>7</v>
      </c>
      <c r="P157" s="90">
        <v>5</v>
      </c>
      <c r="Q157" s="90">
        <v>5</v>
      </c>
      <c r="R157" s="90" t="s">
        <v>266</v>
      </c>
      <c r="S157" s="92">
        <v>46237.5892509491</v>
      </c>
      <c r="T157" s="92">
        <v>46237.5908150579</v>
      </c>
      <c r="U157" s="93">
        <v>135.1</v>
      </c>
      <c r="V157" s="90" t="s">
        <v>386</v>
      </c>
      <c r="W157" s="90" t="s">
        <v>191</v>
      </c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</row>
    <row r="158" ht="24" customHeight="1" spans="1:41">
      <c r="A158" s="25" t="s">
        <v>400</v>
      </c>
      <c r="B158" s="26">
        <v>1</v>
      </c>
      <c r="C158" s="26" t="s">
        <v>497</v>
      </c>
      <c r="D158" s="26" t="s">
        <v>380</v>
      </c>
      <c r="E158" s="70">
        <v>5</v>
      </c>
      <c r="F158" s="70">
        <v>4</v>
      </c>
      <c r="G158" s="71">
        <v>1</v>
      </c>
      <c r="H158" s="70">
        <v>4</v>
      </c>
      <c r="I158" s="71">
        <v>1</v>
      </c>
      <c r="J158" s="70">
        <v>4</v>
      </c>
      <c r="K158" s="70">
        <v>4</v>
      </c>
      <c r="L158" s="71">
        <v>2</v>
      </c>
      <c r="M158" s="70">
        <v>4</v>
      </c>
      <c r="N158" s="71">
        <v>2</v>
      </c>
      <c r="O158" s="70">
        <v>5</v>
      </c>
      <c r="P158" s="70">
        <v>5</v>
      </c>
      <c r="Q158" s="70">
        <v>5</v>
      </c>
      <c r="R158" s="70" t="s">
        <v>266</v>
      </c>
      <c r="S158" s="72">
        <v>46237.6625948843</v>
      </c>
      <c r="T158" s="72">
        <v>46237.6642358681</v>
      </c>
      <c r="U158" s="73">
        <v>141.8</v>
      </c>
      <c r="V158" s="70" t="s">
        <v>386</v>
      </c>
      <c r="W158" s="94" t="s">
        <v>191</v>
      </c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</row>
    <row r="159" ht="24" customHeight="1" spans="1:41">
      <c r="A159" s="88" t="s">
        <v>400</v>
      </c>
      <c r="B159" s="89">
        <v>2</v>
      </c>
      <c r="C159" s="89" t="s">
        <v>499</v>
      </c>
      <c r="D159" s="89" t="s">
        <v>379</v>
      </c>
      <c r="E159" s="90">
        <v>4</v>
      </c>
      <c r="F159" s="90">
        <v>5</v>
      </c>
      <c r="G159" s="91">
        <v>1</v>
      </c>
      <c r="H159" s="90">
        <v>5</v>
      </c>
      <c r="I159" s="91">
        <v>2</v>
      </c>
      <c r="J159" s="90">
        <v>4</v>
      </c>
      <c r="K159" s="90">
        <v>4</v>
      </c>
      <c r="L159" s="91">
        <v>2</v>
      </c>
      <c r="M159" s="90">
        <v>4</v>
      </c>
      <c r="N159" s="91">
        <v>2</v>
      </c>
      <c r="O159" s="90">
        <v>5</v>
      </c>
      <c r="P159" s="90">
        <v>6</v>
      </c>
      <c r="Q159" s="90">
        <v>4</v>
      </c>
      <c r="R159" s="90" t="s">
        <v>266</v>
      </c>
      <c r="S159" s="92">
        <v>46237.6647229977</v>
      </c>
      <c r="T159" s="92">
        <v>46237.6664560764</v>
      </c>
      <c r="U159" s="93">
        <v>149.7</v>
      </c>
      <c r="V159" s="90" t="s">
        <v>386</v>
      </c>
      <c r="W159" s="90" t="s">
        <v>191</v>
      </c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</row>
    <row r="160" ht="24" customHeight="1" spans="1:41">
      <c r="A160" s="25" t="s">
        <v>405</v>
      </c>
      <c r="B160" s="26">
        <v>1</v>
      </c>
      <c r="C160" s="26" t="s">
        <v>497</v>
      </c>
      <c r="D160" s="26" t="s">
        <v>379</v>
      </c>
      <c r="E160" s="70">
        <v>5</v>
      </c>
      <c r="F160" s="70">
        <v>4</v>
      </c>
      <c r="G160" s="71">
        <v>1</v>
      </c>
      <c r="H160" s="70">
        <v>4</v>
      </c>
      <c r="I160" s="71">
        <v>2</v>
      </c>
      <c r="J160" s="70">
        <v>5</v>
      </c>
      <c r="K160" s="70">
        <v>5</v>
      </c>
      <c r="L160" s="71">
        <v>1</v>
      </c>
      <c r="M160" s="70">
        <v>5</v>
      </c>
      <c r="N160" s="71">
        <v>1</v>
      </c>
      <c r="O160" s="70">
        <v>5</v>
      </c>
      <c r="P160" s="70">
        <v>7</v>
      </c>
      <c r="Q160" s="70">
        <v>5</v>
      </c>
      <c r="R160" s="70" t="s">
        <v>266</v>
      </c>
      <c r="S160" s="72">
        <v>46238.3993121644</v>
      </c>
      <c r="T160" s="72">
        <v>46238.4006789468</v>
      </c>
      <c r="U160" s="73">
        <v>118.1</v>
      </c>
      <c r="V160" s="70" t="s">
        <v>386</v>
      </c>
      <c r="W160" s="94" t="s">
        <v>191</v>
      </c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</row>
    <row r="161" ht="24" customHeight="1" spans="1:41">
      <c r="A161" s="88" t="s">
        <v>405</v>
      </c>
      <c r="B161" s="89">
        <v>2</v>
      </c>
      <c r="C161" s="89" t="s">
        <v>499</v>
      </c>
      <c r="D161" s="89" t="s">
        <v>380</v>
      </c>
      <c r="E161" s="90">
        <v>3</v>
      </c>
      <c r="F161" s="90">
        <v>4</v>
      </c>
      <c r="G161" s="91">
        <v>2</v>
      </c>
      <c r="H161" s="90">
        <v>3</v>
      </c>
      <c r="I161" s="91">
        <v>3</v>
      </c>
      <c r="J161" s="90">
        <v>4</v>
      </c>
      <c r="K161" s="90">
        <v>4</v>
      </c>
      <c r="L161" s="91">
        <v>2</v>
      </c>
      <c r="M161" s="90">
        <v>4</v>
      </c>
      <c r="N161" s="91">
        <v>2</v>
      </c>
      <c r="O161" s="90">
        <v>4</v>
      </c>
      <c r="P161" s="90">
        <v>5</v>
      </c>
      <c r="Q161" s="90">
        <v>5</v>
      </c>
      <c r="R161" s="90" t="s">
        <v>266</v>
      </c>
      <c r="S161" s="92">
        <v>46238.4011242477</v>
      </c>
      <c r="T161" s="92">
        <v>46238.4023562153</v>
      </c>
      <c r="U161" s="93">
        <v>106.4</v>
      </c>
      <c r="V161" s="90" t="s">
        <v>386</v>
      </c>
      <c r="W161" s="90" t="s">
        <v>191</v>
      </c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</row>
    <row r="162" ht="24" customHeight="1" spans="1:41">
      <c r="A162" s="25" t="s">
        <v>409</v>
      </c>
      <c r="B162" s="26">
        <v>1</v>
      </c>
      <c r="C162" s="26" t="s">
        <v>499</v>
      </c>
      <c r="D162" s="26" t="s">
        <v>380</v>
      </c>
      <c r="E162" s="70">
        <v>3</v>
      </c>
      <c r="F162" s="70">
        <v>4</v>
      </c>
      <c r="G162" s="71">
        <v>2</v>
      </c>
      <c r="H162" s="70">
        <v>4</v>
      </c>
      <c r="I162" s="71">
        <v>2</v>
      </c>
      <c r="J162" s="70">
        <v>3</v>
      </c>
      <c r="K162" s="70">
        <v>3</v>
      </c>
      <c r="L162" s="71">
        <v>3</v>
      </c>
      <c r="M162" s="70">
        <v>4</v>
      </c>
      <c r="N162" s="71">
        <v>3</v>
      </c>
      <c r="O162" s="70">
        <v>4</v>
      </c>
      <c r="P162" s="70">
        <v>5</v>
      </c>
      <c r="Q162" s="70">
        <v>5</v>
      </c>
      <c r="R162" s="70" t="s">
        <v>266</v>
      </c>
      <c r="S162" s="72">
        <v>46238.4672588657</v>
      </c>
      <c r="T162" s="72">
        <v>46238.4685704167</v>
      </c>
      <c r="U162" s="73">
        <v>113.3</v>
      </c>
      <c r="V162" s="70" t="s">
        <v>386</v>
      </c>
      <c r="W162" s="94" t="s">
        <v>191</v>
      </c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</row>
    <row r="163" ht="24" customHeight="1" spans="1:41">
      <c r="A163" s="88" t="s">
        <v>409</v>
      </c>
      <c r="B163" s="89">
        <v>2</v>
      </c>
      <c r="C163" s="89" t="s">
        <v>497</v>
      </c>
      <c r="D163" s="89" t="s">
        <v>379</v>
      </c>
      <c r="E163" s="90">
        <v>4</v>
      </c>
      <c r="F163" s="90">
        <v>4</v>
      </c>
      <c r="G163" s="91">
        <v>2</v>
      </c>
      <c r="H163" s="90">
        <v>3</v>
      </c>
      <c r="I163" s="91">
        <v>2</v>
      </c>
      <c r="J163" s="90">
        <v>4</v>
      </c>
      <c r="K163" s="90">
        <v>3</v>
      </c>
      <c r="L163" s="91">
        <v>2</v>
      </c>
      <c r="M163" s="90">
        <v>4</v>
      </c>
      <c r="N163" s="91">
        <v>2</v>
      </c>
      <c r="O163" s="90">
        <v>4</v>
      </c>
      <c r="P163" s="90">
        <v>5</v>
      </c>
      <c r="Q163" s="90">
        <v>5</v>
      </c>
      <c r="R163" s="90" t="s">
        <v>266</v>
      </c>
      <c r="S163" s="92">
        <v>46238.4690865741</v>
      </c>
      <c r="T163" s="92">
        <v>46238.4702817824</v>
      </c>
      <c r="U163" s="93">
        <v>103.3</v>
      </c>
      <c r="V163" s="90" t="s">
        <v>386</v>
      </c>
      <c r="W163" s="90" t="s">
        <v>191</v>
      </c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</row>
    <row r="164" ht="24" customHeight="1" spans="1:41">
      <c r="A164" s="25" t="s">
        <v>412</v>
      </c>
      <c r="B164" s="26">
        <v>1</v>
      </c>
      <c r="C164" s="26" t="s">
        <v>499</v>
      </c>
      <c r="D164" s="26" t="s">
        <v>379</v>
      </c>
      <c r="E164" s="70">
        <v>5</v>
      </c>
      <c r="F164" s="70">
        <v>5</v>
      </c>
      <c r="G164" s="71">
        <v>1</v>
      </c>
      <c r="H164" s="70">
        <v>5</v>
      </c>
      <c r="I164" s="71">
        <v>1</v>
      </c>
      <c r="J164" s="70">
        <v>4</v>
      </c>
      <c r="K164" s="70">
        <v>4</v>
      </c>
      <c r="L164" s="71">
        <v>2</v>
      </c>
      <c r="M164" s="70">
        <v>4</v>
      </c>
      <c r="N164" s="71">
        <v>2</v>
      </c>
      <c r="O164" s="70">
        <v>5</v>
      </c>
      <c r="P164" s="70">
        <v>6</v>
      </c>
      <c r="Q164" s="70">
        <v>6</v>
      </c>
      <c r="R164" s="70" t="s">
        <v>266</v>
      </c>
      <c r="S164" s="72">
        <v>46238.5836866204</v>
      </c>
      <c r="T164" s="72">
        <v>46238.585013125</v>
      </c>
      <c r="U164" s="73">
        <v>114.6</v>
      </c>
      <c r="V164" s="70" t="s">
        <v>386</v>
      </c>
      <c r="W164" s="94" t="s">
        <v>191</v>
      </c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</row>
    <row r="165" ht="24" customHeight="1" spans="1:41">
      <c r="A165" s="88" t="s">
        <v>412</v>
      </c>
      <c r="B165" s="89">
        <v>2</v>
      </c>
      <c r="C165" s="89" t="s">
        <v>497</v>
      </c>
      <c r="D165" s="89" t="s">
        <v>380</v>
      </c>
      <c r="E165" s="90">
        <v>4</v>
      </c>
      <c r="F165" s="90">
        <v>4</v>
      </c>
      <c r="G165" s="91">
        <v>2</v>
      </c>
      <c r="H165" s="90">
        <v>4</v>
      </c>
      <c r="I165" s="91">
        <v>2</v>
      </c>
      <c r="J165" s="90">
        <v>5</v>
      </c>
      <c r="K165" s="90">
        <v>4</v>
      </c>
      <c r="L165" s="91">
        <v>2</v>
      </c>
      <c r="M165" s="90">
        <v>5</v>
      </c>
      <c r="N165" s="91">
        <v>2</v>
      </c>
      <c r="O165" s="90">
        <v>4</v>
      </c>
      <c r="P165" s="90">
        <v>5</v>
      </c>
      <c r="Q165" s="90">
        <v>6</v>
      </c>
      <c r="R165" s="90" t="s">
        <v>266</v>
      </c>
      <c r="S165" s="92">
        <v>46238.585483125</v>
      </c>
      <c r="T165" s="92">
        <v>46238.5871700232</v>
      </c>
      <c r="U165" s="93">
        <v>145.7</v>
      </c>
      <c r="V165" s="90" t="s">
        <v>386</v>
      </c>
      <c r="W165" s="90" t="s">
        <v>191</v>
      </c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</row>
    <row r="166" ht="24" customHeight="1" spans="1:41">
      <c r="A166" s="25" t="s">
        <v>417</v>
      </c>
      <c r="B166" s="26">
        <v>1</v>
      </c>
      <c r="C166" s="26" t="s">
        <v>497</v>
      </c>
      <c r="D166" s="26" t="s">
        <v>380</v>
      </c>
      <c r="E166" s="70">
        <v>5</v>
      </c>
      <c r="F166" s="70">
        <v>5</v>
      </c>
      <c r="G166" s="71">
        <v>1</v>
      </c>
      <c r="H166" s="70">
        <v>4</v>
      </c>
      <c r="I166" s="71">
        <v>2</v>
      </c>
      <c r="J166" s="70">
        <v>5</v>
      </c>
      <c r="K166" s="70">
        <v>4</v>
      </c>
      <c r="L166" s="71">
        <v>1</v>
      </c>
      <c r="M166" s="70">
        <v>4</v>
      </c>
      <c r="N166" s="71">
        <v>2</v>
      </c>
      <c r="O166" s="70">
        <v>6</v>
      </c>
      <c r="P166" s="70">
        <v>7</v>
      </c>
      <c r="Q166" s="70">
        <v>6</v>
      </c>
      <c r="R166" s="70" t="s">
        <v>266</v>
      </c>
      <c r="S166" s="72">
        <v>46238.6532809375</v>
      </c>
      <c r="T166" s="72">
        <v>46238.6546924537</v>
      </c>
      <c r="U166" s="73">
        <v>122</v>
      </c>
      <c r="V166" s="70" t="s">
        <v>386</v>
      </c>
      <c r="W166" s="94" t="s">
        <v>191</v>
      </c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</row>
    <row r="167" ht="24" customHeight="1" spans="1:41">
      <c r="A167" s="88" t="s">
        <v>417</v>
      </c>
      <c r="B167" s="89">
        <v>2</v>
      </c>
      <c r="C167" s="89" t="s">
        <v>499</v>
      </c>
      <c r="D167" s="89" t="s">
        <v>379</v>
      </c>
      <c r="E167" s="90">
        <v>5</v>
      </c>
      <c r="F167" s="90">
        <v>5</v>
      </c>
      <c r="G167" s="91">
        <v>2</v>
      </c>
      <c r="H167" s="90">
        <v>5</v>
      </c>
      <c r="I167" s="91">
        <v>1</v>
      </c>
      <c r="J167" s="90">
        <v>5</v>
      </c>
      <c r="K167" s="90">
        <v>4</v>
      </c>
      <c r="L167" s="91">
        <v>2</v>
      </c>
      <c r="M167" s="90">
        <v>5</v>
      </c>
      <c r="N167" s="91">
        <v>1</v>
      </c>
      <c r="O167" s="90">
        <v>7</v>
      </c>
      <c r="P167" s="90">
        <v>7</v>
      </c>
      <c r="Q167" s="90">
        <v>7</v>
      </c>
      <c r="R167" s="90" t="s">
        <v>266</v>
      </c>
      <c r="S167" s="92">
        <v>46238.6550291435</v>
      </c>
      <c r="T167" s="92">
        <v>46238.656269456</v>
      </c>
      <c r="U167" s="93">
        <v>107.2</v>
      </c>
      <c r="V167" s="90" t="s">
        <v>386</v>
      </c>
      <c r="W167" s="90" t="s">
        <v>191</v>
      </c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</row>
    <row r="168" ht="24" customHeight="1" spans="1:41">
      <c r="A168" s="25" t="s">
        <v>420</v>
      </c>
      <c r="B168" s="26">
        <v>1</v>
      </c>
      <c r="C168" s="26" t="s">
        <v>497</v>
      </c>
      <c r="D168" s="26" t="s">
        <v>379</v>
      </c>
      <c r="E168" s="70">
        <v>4</v>
      </c>
      <c r="F168" s="70">
        <v>4</v>
      </c>
      <c r="G168" s="71">
        <v>2</v>
      </c>
      <c r="H168" s="70">
        <v>3</v>
      </c>
      <c r="I168" s="71">
        <v>2</v>
      </c>
      <c r="J168" s="70">
        <v>4</v>
      </c>
      <c r="K168" s="70">
        <v>4</v>
      </c>
      <c r="L168" s="71">
        <v>1</v>
      </c>
      <c r="M168" s="70">
        <v>4</v>
      </c>
      <c r="N168" s="71">
        <v>2</v>
      </c>
      <c r="O168" s="70">
        <v>5</v>
      </c>
      <c r="P168" s="70">
        <v>5</v>
      </c>
      <c r="Q168" s="70">
        <v>5</v>
      </c>
      <c r="R168" s="70" t="s">
        <v>266</v>
      </c>
      <c r="S168" s="72">
        <v>46239.3967297338</v>
      </c>
      <c r="T168" s="72">
        <v>46239.3980445718</v>
      </c>
      <c r="U168" s="73">
        <v>113.6</v>
      </c>
      <c r="V168" s="70" t="s">
        <v>386</v>
      </c>
      <c r="W168" s="94" t="s">
        <v>191</v>
      </c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</row>
    <row r="169" ht="24" customHeight="1" spans="1:41">
      <c r="A169" s="88" t="s">
        <v>420</v>
      </c>
      <c r="B169" s="89">
        <v>2</v>
      </c>
      <c r="C169" s="89" t="s">
        <v>499</v>
      </c>
      <c r="D169" s="89" t="s">
        <v>380</v>
      </c>
      <c r="E169" s="90">
        <v>3</v>
      </c>
      <c r="F169" s="90">
        <v>3</v>
      </c>
      <c r="G169" s="91">
        <v>3</v>
      </c>
      <c r="H169" s="90">
        <v>3</v>
      </c>
      <c r="I169" s="91">
        <v>2</v>
      </c>
      <c r="J169" s="90">
        <v>3</v>
      </c>
      <c r="K169" s="90">
        <v>4</v>
      </c>
      <c r="L169" s="91">
        <v>2</v>
      </c>
      <c r="M169" s="90">
        <v>4</v>
      </c>
      <c r="N169" s="91">
        <v>3</v>
      </c>
      <c r="O169" s="90">
        <v>4</v>
      </c>
      <c r="P169" s="90">
        <v>5</v>
      </c>
      <c r="Q169" s="90">
        <v>5</v>
      </c>
      <c r="R169" s="90" t="s">
        <v>266</v>
      </c>
      <c r="S169" s="92">
        <v>46239.3983828241</v>
      </c>
      <c r="T169" s="92">
        <v>46239.3999655208</v>
      </c>
      <c r="U169" s="93">
        <v>136.7</v>
      </c>
      <c r="V169" s="90" t="s">
        <v>386</v>
      </c>
      <c r="W169" s="90" t="s">
        <v>191</v>
      </c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</row>
    <row r="170" ht="24" customHeight="1" spans="1:41">
      <c r="A170" s="25" t="s">
        <v>423</v>
      </c>
      <c r="B170" s="26">
        <v>1</v>
      </c>
      <c r="C170" s="26" t="s">
        <v>499</v>
      </c>
      <c r="D170" s="26" t="s">
        <v>380</v>
      </c>
      <c r="E170" s="70">
        <v>5</v>
      </c>
      <c r="F170" s="70">
        <v>4</v>
      </c>
      <c r="G170" s="71">
        <v>2</v>
      </c>
      <c r="H170" s="70">
        <v>4</v>
      </c>
      <c r="I170" s="71">
        <v>1</v>
      </c>
      <c r="J170" s="70">
        <v>4</v>
      </c>
      <c r="K170" s="70">
        <v>3</v>
      </c>
      <c r="L170" s="71">
        <v>2</v>
      </c>
      <c r="M170" s="70">
        <v>4</v>
      </c>
      <c r="N170" s="71">
        <v>2</v>
      </c>
      <c r="O170" s="70">
        <v>6</v>
      </c>
      <c r="P170" s="70">
        <v>6</v>
      </c>
      <c r="Q170" s="70">
        <v>6</v>
      </c>
      <c r="R170" s="70" t="s">
        <v>266</v>
      </c>
      <c r="S170" s="72">
        <v>46239.4700808912</v>
      </c>
      <c r="T170" s="72">
        <v>46239.4717581829</v>
      </c>
      <c r="U170" s="73">
        <v>144.9</v>
      </c>
      <c r="V170" s="70" t="s">
        <v>386</v>
      </c>
      <c r="W170" s="94" t="s">
        <v>191</v>
      </c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</row>
    <row r="171" ht="24" customHeight="1" spans="1:41">
      <c r="A171" s="88" t="s">
        <v>423</v>
      </c>
      <c r="B171" s="89">
        <v>2</v>
      </c>
      <c r="C171" s="89" t="s">
        <v>497</v>
      </c>
      <c r="D171" s="89" t="s">
        <v>379</v>
      </c>
      <c r="E171" s="90">
        <v>5</v>
      </c>
      <c r="F171" s="90">
        <v>5</v>
      </c>
      <c r="G171" s="91">
        <v>2</v>
      </c>
      <c r="H171" s="90">
        <v>4</v>
      </c>
      <c r="I171" s="91">
        <v>1</v>
      </c>
      <c r="J171" s="90">
        <v>5</v>
      </c>
      <c r="K171" s="90">
        <v>4</v>
      </c>
      <c r="L171" s="91">
        <v>1</v>
      </c>
      <c r="M171" s="90">
        <v>4</v>
      </c>
      <c r="N171" s="91">
        <v>2</v>
      </c>
      <c r="O171" s="90">
        <v>6</v>
      </c>
      <c r="P171" s="90">
        <v>6</v>
      </c>
      <c r="Q171" s="90">
        <v>5</v>
      </c>
      <c r="R171" s="90" t="s">
        <v>266</v>
      </c>
      <c r="S171" s="92">
        <v>46239.4722208796</v>
      </c>
      <c r="T171" s="92">
        <v>46239.4735026157</v>
      </c>
      <c r="U171" s="93">
        <v>110.7</v>
      </c>
      <c r="V171" s="90" t="s">
        <v>386</v>
      </c>
      <c r="W171" s="90" t="s">
        <v>191</v>
      </c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</row>
    <row r="172" ht="24" customHeight="1" spans="1:41">
      <c r="A172" s="25" t="s">
        <v>426</v>
      </c>
      <c r="B172" s="26">
        <v>1</v>
      </c>
      <c r="C172" s="26" t="s">
        <v>499</v>
      </c>
      <c r="D172" s="26" t="s">
        <v>379</v>
      </c>
      <c r="E172" s="70">
        <v>4</v>
      </c>
      <c r="F172" s="70">
        <v>5</v>
      </c>
      <c r="G172" s="71">
        <v>2</v>
      </c>
      <c r="H172" s="70">
        <v>4</v>
      </c>
      <c r="I172" s="71">
        <v>2</v>
      </c>
      <c r="J172" s="70">
        <v>4</v>
      </c>
      <c r="K172" s="70">
        <v>4</v>
      </c>
      <c r="L172" s="71">
        <v>1</v>
      </c>
      <c r="M172" s="70">
        <v>3</v>
      </c>
      <c r="N172" s="71">
        <v>2</v>
      </c>
      <c r="O172" s="70">
        <v>5</v>
      </c>
      <c r="P172" s="70">
        <v>6</v>
      </c>
      <c r="Q172" s="70">
        <v>5</v>
      </c>
      <c r="R172" s="70" t="s">
        <v>266</v>
      </c>
      <c r="S172" s="72">
        <v>46239.5852398611</v>
      </c>
      <c r="T172" s="72">
        <v>46239.5865185301</v>
      </c>
      <c r="U172" s="73">
        <v>110.5</v>
      </c>
      <c r="V172" s="70" t="s">
        <v>386</v>
      </c>
      <c r="W172" s="94" t="s">
        <v>191</v>
      </c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</row>
    <row r="173" ht="24" customHeight="1" spans="1:41">
      <c r="A173" s="88" t="s">
        <v>426</v>
      </c>
      <c r="B173" s="89">
        <v>2</v>
      </c>
      <c r="C173" s="89" t="s">
        <v>497</v>
      </c>
      <c r="D173" s="89" t="s">
        <v>380</v>
      </c>
      <c r="E173" s="90">
        <v>4</v>
      </c>
      <c r="F173" s="90">
        <v>4</v>
      </c>
      <c r="G173" s="91">
        <v>2</v>
      </c>
      <c r="H173" s="90">
        <v>4</v>
      </c>
      <c r="I173" s="91">
        <v>2</v>
      </c>
      <c r="J173" s="90">
        <v>3</v>
      </c>
      <c r="K173" s="90">
        <v>4</v>
      </c>
      <c r="L173" s="91">
        <v>2</v>
      </c>
      <c r="M173" s="90">
        <v>4</v>
      </c>
      <c r="N173" s="91">
        <v>1</v>
      </c>
      <c r="O173" s="90">
        <v>5</v>
      </c>
      <c r="P173" s="90">
        <v>6</v>
      </c>
      <c r="Q173" s="90">
        <v>5</v>
      </c>
      <c r="R173" s="90" t="s">
        <v>266</v>
      </c>
      <c r="S173" s="92">
        <v>46239.5869537731</v>
      </c>
      <c r="T173" s="92">
        <v>46239.5884330556</v>
      </c>
      <c r="U173" s="93">
        <v>127.8</v>
      </c>
      <c r="V173" s="90" t="s">
        <v>386</v>
      </c>
      <c r="W173" s="90" t="s">
        <v>191</v>
      </c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</row>
    <row r="174" ht="24" customHeight="1" spans="1:41">
      <c r="A174" s="25" t="s">
        <v>429</v>
      </c>
      <c r="B174" s="26">
        <v>1</v>
      </c>
      <c r="C174" s="26" t="s">
        <v>497</v>
      </c>
      <c r="D174" s="26" t="s">
        <v>380</v>
      </c>
      <c r="E174" s="70">
        <v>4</v>
      </c>
      <c r="F174" s="70">
        <v>5</v>
      </c>
      <c r="G174" s="71">
        <v>2</v>
      </c>
      <c r="H174" s="70">
        <v>4</v>
      </c>
      <c r="I174" s="71">
        <v>2</v>
      </c>
      <c r="J174" s="70">
        <v>5</v>
      </c>
      <c r="K174" s="70">
        <v>4</v>
      </c>
      <c r="L174" s="71">
        <v>1</v>
      </c>
      <c r="M174" s="70">
        <v>4</v>
      </c>
      <c r="N174" s="71">
        <v>3</v>
      </c>
      <c r="O174" s="70">
        <v>6</v>
      </c>
      <c r="P174" s="70">
        <v>5</v>
      </c>
      <c r="Q174" s="70">
        <v>5</v>
      </c>
      <c r="R174" s="70" t="s">
        <v>266</v>
      </c>
      <c r="S174" s="72">
        <v>46239.6604600116</v>
      </c>
      <c r="T174" s="72">
        <v>46239.6619085532</v>
      </c>
      <c r="U174" s="73">
        <v>125.2</v>
      </c>
      <c r="V174" s="70" t="s">
        <v>386</v>
      </c>
      <c r="W174" s="94" t="s">
        <v>191</v>
      </c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</row>
    <row r="175" ht="24" customHeight="1" spans="1:41">
      <c r="A175" s="88" t="s">
        <v>429</v>
      </c>
      <c r="B175" s="89">
        <v>2</v>
      </c>
      <c r="C175" s="89" t="s">
        <v>499</v>
      </c>
      <c r="D175" s="89" t="s">
        <v>379</v>
      </c>
      <c r="E175" s="90">
        <v>5</v>
      </c>
      <c r="F175" s="90">
        <v>5</v>
      </c>
      <c r="G175" s="91">
        <v>1</v>
      </c>
      <c r="H175" s="90">
        <v>5</v>
      </c>
      <c r="I175" s="91">
        <v>1</v>
      </c>
      <c r="J175" s="90">
        <v>5</v>
      </c>
      <c r="K175" s="90">
        <v>5</v>
      </c>
      <c r="L175" s="91">
        <v>1</v>
      </c>
      <c r="M175" s="90">
        <v>5</v>
      </c>
      <c r="N175" s="91">
        <v>1</v>
      </c>
      <c r="O175" s="90">
        <v>6</v>
      </c>
      <c r="P175" s="90">
        <v>6</v>
      </c>
      <c r="Q175" s="90">
        <v>7</v>
      </c>
      <c r="R175" s="90" t="s">
        <v>266</v>
      </c>
      <c r="S175" s="92">
        <v>46239.6623556019</v>
      </c>
      <c r="T175" s="92">
        <v>46239.6634903241</v>
      </c>
      <c r="U175" s="93">
        <v>98</v>
      </c>
      <c r="V175" s="90" t="s">
        <v>386</v>
      </c>
      <c r="W175" s="90" t="s">
        <v>191</v>
      </c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</row>
    <row r="176" ht="24" customHeight="1" spans="1:41">
      <c r="A176" s="25" t="s">
        <v>432</v>
      </c>
      <c r="B176" s="26">
        <v>1</v>
      </c>
      <c r="C176" s="26" t="s">
        <v>497</v>
      </c>
      <c r="D176" s="26" t="s">
        <v>379</v>
      </c>
      <c r="E176" s="70">
        <v>5</v>
      </c>
      <c r="F176" s="70">
        <v>5</v>
      </c>
      <c r="G176" s="71">
        <v>2</v>
      </c>
      <c r="H176" s="70">
        <v>4</v>
      </c>
      <c r="I176" s="71">
        <v>1</v>
      </c>
      <c r="J176" s="70">
        <v>4</v>
      </c>
      <c r="K176" s="70">
        <v>4</v>
      </c>
      <c r="L176" s="71">
        <v>2</v>
      </c>
      <c r="M176" s="70">
        <v>4</v>
      </c>
      <c r="N176" s="71">
        <v>2</v>
      </c>
      <c r="O176" s="70">
        <v>6</v>
      </c>
      <c r="P176" s="70">
        <v>6</v>
      </c>
      <c r="Q176" s="70">
        <v>5</v>
      </c>
      <c r="R176" s="70" t="s">
        <v>266</v>
      </c>
      <c r="S176" s="72">
        <v>46240.3934832407</v>
      </c>
      <c r="T176" s="72">
        <v>46240.3946826042</v>
      </c>
      <c r="U176" s="73">
        <v>103.6</v>
      </c>
      <c r="V176" s="70" t="s">
        <v>386</v>
      </c>
      <c r="W176" s="94" t="s">
        <v>191</v>
      </c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</row>
    <row r="177" ht="24" customHeight="1" spans="1:41">
      <c r="A177" s="88" t="s">
        <v>432</v>
      </c>
      <c r="B177" s="89">
        <v>2</v>
      </c>
      <c r="C177" s="89" t="s">
        <v>499</v>
      </c>
      <c r="D177" s="89" t="s">
        <v>380</v>
      </c>
      <c r="E177" s="90">
        <v>4</v>
      </c>
      <c r="F177" s="90">
        <v>4</v>
      </c>
      <c r="G177" s="91">
        <v>1</v>
      </c>
      <c r="H177" s="90">
        <v>3</v>
      </c>
      <c r="I177" s="91">
        <v>2</v>
      </c>
      <c r="J177" s="90">
        <v>3</v>
      </c>
      <c r="K177" s="90">
        <v>5</v>
      </c>
      <c r="L177" s="91">
        <v>2</v>
      </c>
      <c r="M177" s="90">
        <v>5</v>
      </c>
      <c r="N177" s="91">
        <v>2</v>
      </c>
      <c r="O177" s="90">
        <v>5</v>
      </c>
      <c r="P177" s="90">
        <v>5</v>
      </c>
      <c r="Q177" s="90">
        <v>5</v>
      </c>
      <c r="R177" s="90" t="s">
        <v>266</v>
      </c>
      <c r="S177" s="92">
        <v>46240.3952016204</v>
      </c>
      <c r="T177" s="92">
        <v>46240.3966624074</v>
      </c>
      <c r="U177" s="93">
        <v>126.2</v>
      </c>
      <c r="V177" s="90" t="s">
        <v>386</v>
      </c>
      <c r="W177" s="90" t="s">
        <v>191</v>
      </c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</row>
    <row r="178" ht="24" customHeight="1" spans="1:41">
      <c r="A178" s="25" t="s">
        <v>435</v>
      </c>
      <c r="B178" s="26">
        <v>1</v>
      </c>
      <c r="C178" s="26" t="s">
        <v>499</v>
      </c>
      <c r="D178" s="26" t="s">
        <v>380</v>
      </c>
      <c r="E178" s="70">
        <v>5</v>
      </c>
      <c r="F178" s="70">
        <v>5</v>
      </c>
      <c r="G178" s="71">
        <v>1</v>
      </c>
      <c r="H178" s="70">
        <v>4</v>
      </c>
      <c r="I178" s="71">
        <v>2</v>
      </c>
      <c r="J178" s="70">
        <v>4</v>
      </c>
      <c r="K178" s="70">
        <v>5</v>
      </c>
      <c r="L178" s="71">
        <v>2</v>
      </c>
      <c r="M178" s="70">
        <v>4</v>
      </c>
      <c r="N178" s="71">
        <v>3</v>
      </c>
      <c r="O178" s="70">
        <v>6</v>
      </c>
      <c r="P178" s="70">
        <v>6</v>
      </c>
      <c r="Q178" s="70">
        <v>6</v>
      </c>
      <c r="R178" s="70" t="s">
        <v>266</v>
      </c>
      <c r="S178" s="72">
        <v>46240.4717187732</v>
      </c>
      <c r="T178" s="72">
        <v>46240.4728572454</v>
      </c>
      <c r="U178" s="73">
        <v>98.4</v>
      </c>
      <c r="V178" s="70" t="s">
        <v>386</v>
      </c>
      <c r="W178" s="94" t="s">
        <v>191</v>
      </c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</row>
    <row r="179" ht="24" customHeight="1" spans="1:41">
      <c r="A179" s="88" t="s">
        <v>435</v>
      </c>
      <c r="B179" s="89">
        <v>2</v>
      </c>
      <c r="C179" s="89" t="s">
        <v>497</v>
      </c>
      <c r="D179" s="89" t="s">
        <v>379</v>
      </c>
      <c r="E179" s="90">
        <v>5</v>
      </c>
      <c r="F179" s="90">
        <v>4</v>
      </c>
      <c r="G179" s="91">
        <v>1</v>
      </c>
      <c r="H179" s="90">
        <v>4</v>
      </c>
      <c r="I179" s="91">
        <v>1</v>
      </c>
      <c r="J179" s="90">
        <v>5</v>
      </c>
      <c r="K179" s="90">
        <v>5</v>
      </c>
      <c r="L179" s="91">
        <v>1</v>
      </c>
      <c r="M179" s="90">
        <v>4</v>
      </c>
      <c r="N179" s="91">
        <v>3</v>
      </c>
      <c r="O179" s="90">
        <v>6</v>
      </c>
      <c r="P179" s="90">
        <v>5</v>
      </c>
      <c r="Q179" s="90">
        <v>6</v>
      </c>
      <c r="R179" s="90" t="s">
        <v>266</v>
      </c>
      <c r="S179" s="92">
        <v>46240.4732650347</v>
      </c>
      <c r="T179" s="92">
        <v>46240.4748841319</v>
      </c>
      <c r="U179" s="93">
        <v>139.9</v>
      </c>
      <c r="V179" s="90" t="s">
        <v>386</v>
      </c>
      <c r="W179" s="90" t="s">
        <v>191</v>
      </c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</row>
    <row r="180" ht="24" customHeight="1" spans="1:41">
      <c r="A180" s="25" t="s">
        <v>438</v>
      </c>
      <c r="B180" s="26">
        <v>1</v>
      </c>
      <c r="C180" s="26" t="s">
        <v>499</v>
      </c>
      <c r="D180" s="26" t="s">
        <v>379</v>
      </c>
      <c r="E180" s="70">
        <v>4</v>
      </c>
      <c r="F180" s="70">
        <v>5</v>
      </c>
      <c r="G180" s="71">
        <v>2</v>
      </c>
      <c r="H180" s="70">
        <v>4</v>
      </c>
      <c r="I180" s="71">
        <v>1</v>
      </c>
      <c r="J180" s="70">
        <v>5</v>
      </c>
      <c r="K180" s="70">
        <v>5</v>
      </c>
      <c r="L180" s="71">
        <v>1</v>
      </c>
      <c r="M180" s="70">
        <v>5</v>
      </c>
      <c r="N180" s="71">
        <v>1</v>
      </c>
      <c r="O180" s="70">
        <v>7</v>
      </c>
      <c r="P180" s="70">
        <v>5</v>
      </c>
      <c r="Q180" s="70">
        <v>6</v>
      </c>
      <c r="R180" s="70" t="s">
        <v>266</v>
      </c>
      <c r="S180" s="72">
        <v>46240.587470081</v>
      </c>
      <c r="T180" s="72">
        <v>46240.5889796528</v>
      </c>
      <c r="U180" s="73">
        <v>130.4</v>
      </c>
      <c r="V180" s="70" t="s">
        <v>386</v>
      </c>
      <c r="W180" s="94" t="s">
        <v>191</v>
      </c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</row>
    <row r="181" ht="24" customHeight="1" spans="1:41">
      <c r="A181" s="88" t="s">
        <v>438</v>
      </c>
      <c r="B181" s="89">
        <v>2</v>
      </c>
      <c r="C181" s="89" t="s">
        <v>497</v>
      </c>
      <c r="D181" s="89" t="s">
        <v>380</v>
      </c>
      <c r="E181" s="90">
        <v>4</v>
      </c>
      <c r="F181" s="90">
        <v>5</v>
      </c>
      <c r="G181" s="91">
        <v>1</v>
      </c>
      <c r="H181" s="90">
        <v>4</v>
      </c>
      <c r="I181" s="91">
        <v>1</v>
      </c>
      <c r="J181" s="90">
        <v>4</v>
      </c>
      <c r="K181" s="90">
        <v>4</v>
      </c>
      <c r="L181" s="91">
        <v>2</v>
      </c>
      <c r="M181" s="90">
        <v>4</v>
      </c>
      <c r="N181" s="91">
        <v>2</v>
      </c>
      <c r="O181" s="90">
        <v>6</v>
      </c>
      <c r="P181" s="90">
        <v>6</v>
      </c>
      <c r="Q181" s="90">
        <v>6</v>
      </c>
      <c r="R181" s="90" t="s">
        <v>266</v>
      </c>
      <c r="S181" s="92">
        <v>46240.5894780671</v>
      </c>
      <c r="T181" s="92">
        <v>46240.5911743866</v>
      </c>
      <c r="U181" s="93">
        <v>146.6</v>
      </c>
      <c r="V181" s="90" t="s">
        <v>386</v>
      </c>
      <c r="W181" s="90" t="s">
        <v>191</v>
      </c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</row>
    <row r="182" ht="24" customHeight="1" spans="1:41">
      <c r="A182" s="25" t="s">
        <v>441</v>
      </c>
      <c r="B182" s="26">
        <v>1</v>
      </c>
      <c r="C182" s="26" t="s">
        <v>497</v>
      </c>
      <c r="D182" s="26" t="s">
        <v>380</v>
      </c>
      <c r="E182" s="70">
        <v>4</v>
      </c>
      <c r="F182" s="70">
        <v>4</v>
      </c>
      <c r="G182" s="71">
        <v>2</v>
      </c>
      <c r="H182" s="70">
        <v>4</v>
      </c>
      <c r="I182" s="71">
        <v>1</v>
      </c>
      <c r="J182" s="70">
        <v>4</v>
      </c>
      <c r="K182" s="70">
        <v>5</v>
      </c>
      <c r="L182" s="71">
        <v>1</v>
      </c>
      <c r="M182" s="70">
        <v>5</v>
      </c>
      <c r="N182" s="71">
        <v>1</v>
      </c>
      <c r="O182" s="70">
        <v>5</v>
      </c>
      <c r="P182" s="70">
        <v>5</v>
      </c>
      <c r="Q182" s="70">
        <v>5</v>
      </c>
      <c r="R182" s="70" t="s">
        <v>266</v>
      </c>
      <c r="S182" s="72">
        <v>46240.6553766782</v>
      </c>
      <c r="T182" s="72">
        <v>46240.6571860417</v>
      </c>
      <c r="U182" s="73">
        <v>156.3</v>
      </c>
      <c r="V182" s="70" t="s">
        <v>386</v>
      </c>
      <c r="W182" s="94" t="s">
        <v>191</v>
      </c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</row>
    <row r="183" ht="24" customHeight="1" spans="1:41">
      <c r="A183" s="88" t="s">
        <v>441</v>
      </c>
      <c r="B183" s="89">
        <v>2</v>
      </c>
      <c r="C183" s="89" t="s">
        <v>499</v>
      </c>
      <c r="D183" s="89" t="s">
        <v>379</v>
      </c>
      <c r="E183" s="90">
        <v>5</v>
      </c>
      <c r="F183" s="90">
        <v>5</v>
      </c>
      <c r="G183" s="91">
        <v>1</v>
      </c>
      <c r="H183" s="90">
        <v>5</v>
      </c>
      <c r="I183" s="91">
        <v>2</v>
      </c>
      <c r="J183" s="90">
        <v>5</v>
      </c>
      <c r="K183" s="90">
        <v>5</v>
      </c>
      <c r="L183" s="91">
        <v>1</v>
      </c>
      <c r="M183" s="90">
        <v>5</v>
      </c>
      <c r="N183" s="91">
        <v>1</v>
      </c>
      <c r="O183" s="90">
        <v>7</v>
      </c>
      <c r="P183" s="90">
        <v>6</v>
      </c>
      <c r="Q183" s="90">
        <v>7</v>
      </c>
      <c r="R183" s="90" t="s">
        <v>266</v>
      </c>
      <c r="S183" s="92">
        <v>46240.6575465046</v>
      </c>
      <c r="T183" s="92">
        <v>46240.6589062616</v>
      </c>
      <c r="U183" s="93">
        <v>117.5</v>
      </c>
      <c r="V183" s="90" t="s">
        <v>386</v>
      </c>
      <c r="W183" s="90" t="s">
        <v>191</v>
      </c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</row>
    <row r="184" ht="24" customHeight="1" spans="1:41">
      <c r="A184" s="25" t="s">
        <v>444</v>
      </c>
      <c r="B184" s="26">
        <v>1</v>
      </c>
      <c r="C184" s="26" t="s">
        <v>497</v>
      </c>
      <c r="D184" s="26" t="s">
        <v>379</v>
      </c>
      <c r="E184" s="70">
        <v>4</v>
      </c>
      <c r="F184" s="70">
        <v>5</v>
      </c>
      <c r="G184" s="71">
        <v>2</v>
      </c>
      <c r="H184" s="70">
        <v>3</v>
      </c>
      <c r="I184" s="71">
        <v>2</v>
      </c>
      <c r="J184" s="70">
        <v>4</v>
      </c>
      <c r="K184" s="70">
        <v>4</v>
      </c>
      <c r="L184" s="71">
        <v>2</v>
      </c>
      <c r="M184" s="70">
        <v>5</v>
      </c>
      <c r="N184" s="71">
        <v>2</v>
      </c>
      <c r="O184" s="70">
        <v>6</v>
      </c>
      <c r="P184" s="70">
        <v>5</v>
      </c>
      <c r="Q184" s="70">
        <v>5</v>
      </c>
      <c r="R184" s="70" t="s">
        <v>266</v>
      </c>
      <c r="S184" s="72">
        <v>46241.3999779861</v>
      </c>
      <c r="T184" s="72">
        <v>46241.4013013657</v>
      </c>
      <c r="U184" s="73">
        <v>114.3</v>
      </c>
      <c r="V184" s="70" t="s">
        <v>386</v>
      </c>
      <c r="W184" s="94" t="s">
        <v>191</v>
      </c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</row>
    <row r="185" ht="24" customHeight="1" spans="1:41">
      <c r="A185" s="88" t="s">
        <v>444</v>
      </c>
      <c r="B185" s="89">
        <v>2</v>
      </c>
      <c r="C185" s="89" t="s">
        <v>499</v>
      </c>
      <c r="D185" s="89" t="s">
        <v>380</v>
      </c>
      <c r="E185" s="90">
        <v>4</v>
      </c>
      <c r="F185" s="90">
        <v>3</v>
      </c>
      <c r="G185" s="91">
        <v>2</v>
      </c>
      <c r="H185" s="90">
        <v>4</v>
      </c>
      <c r="I185" s="91">
        <v>1</v>
      </c>
      <c r="J185" s="90">
        <v>4</v>
      </c>
      <c r="K185" s="90">
        <v>4</v>
      </c>
      <c r="L185" s="91">
        <v>2</v>
      </c>
      <c r="M185" s="90">
        <v>4</v>
      </c>
      <c r="N185" s="91">
        <v>2</v>
      </c>
      <c r="O185" s="90">
        <v>6</v>
      </c>
      <c r="P185" s="90">
        <v>6</v>
      </c>
      <c r="Q185" s="90">
        <v>6</v>
      </c>
      <c r="R185" s="90" t="s">
        <v>266</v>
      </c>
      <c r="S185" s="92">
        <v>46241.4016124074</v>
      </c>
      <c r="T185" s="92">
        <v>46241.4030911343</v>
      </c>
      <c r="U185" s="93">
        <v>127.8</v>
      </c>
      <c r="V185" s="90" t="s">
        <v>386</v>
      </c>
      <c r="W185" s="90" t="s">
        <v>191</v>
      </c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</row>
    <row r="186" ht="24" customHeight="1" spans="1:41">
      <c r="A186" s="25" t="s">
        <v>447</v>
      </c>
      <c r="B186" s="26">
        <v>1</v>
      </c>
      <c r="C186" s="26" t="s">
        <v>499</v>
      </c>
      <c r="D186" s="26" t="s">
        <v>380</v>
      </c>
      <c r="E186" s="70">
        <v>4</v>
      </c>
      <c r="F186" s="70">
        <v>4</v>
      </c>
      <c r="G186" s="71">
        <v>2</v>
      </c>
      <c r="H186" s="70">
        <v>5</v>
      </c>
      <c r="I186" s="71">
        <v>2</v>
      </c>
      <c r="J186" s="70">
        <v>5</v>
      </c>
      <c r="K186" s="70">
        <v>5</v>
      </c>
      <c r="L186" s="71">
        <v>1</v>
      </c>
      <c r="M186" s="70">
        <v>4</v>
      </c>
      <c r="N186" s="71">
        <v>2</v>
      </c>
      <c r="O186" s="70">
        <v>6</v>
      </c>
      <c r="P186" s="70">
        <v>5</v>
      </c>
      <c r="Q186" s="70">
        <v>6</v>
      </c>
      <c r="R186" s="70" t="s">
        <v>266</v>
      </c>
      <c r="S186" s="72">
        <v>46241.4720548032</v>
      </c>
      <c r="T186" s="72">
        <v>46241.4731922107</v>
      </c>
      <c r="U186" s="73">
        <v>98.3</v>
      </c>
      <c r="V186" s="70" t="s">
        <v>386</v>
      </c>
      <c r="W186" s="94" t="s">
        <v>191</v>
      </c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</row>
    <row r="187" ht="24" customHeight="1" spans="1:41">
      <c r="A187" s="88" t="s">
        <v>447</v>
      </c>
      <c r="B187" s="89">
        <v>2</v>
      </c>
      <c r="C187" s="89" t="s">
        <v>497</v>
      </c>
      <c r="D187" s="89" t="s">
        <v>379</v>
      </c>
      <c r="E187" s="90">
        <v>5</v>
      </c>
      <c r="F187" s="90">
        <v>5</v>
      </c>
      <c r="G187" s="91">
        <v>1</v>
      </c>
      <c r="H187" s="90">
        <v>4</v>
      </c>
      <c r="I187" s="91">
        <v>2</v>
      </c>
      <c r="J187" s="90">
        <v>5</v>
      </c>
      <c r="K187" s="90">
        <v>5</v>
      </c>
      <c r="L187" s="91">
        <v>1</v>
      </c>
      <c r="M187" s="90">
        <v>4</v>
      </c>
      <c r="N187" s="91">
        <v>1</v>
      </c>
      <c r="O187" s="90">
        <v>5</v>
      </c>
      <c r="P187" s="90">
        <v>6</v>
      </c>
      <c r="Q187" s="90">
        <v>5</v>
      </c>
      <c r="R187" s="90" t="s">
        <v>266</v>
      </c>
      <c r="S187" s="92">
        <v>46241.4736559028</v>
      </c>
      <c r="T187" s="92">
        <v>46241.4747000463</v>
      </c>
      <c r="U187" s="93">
        <v>90.2</v>
      </c>
      <c r="V187" s="90" t="s">
        <v>386</v>
      </c>
      <c r="W187" s="90" t="s">
        <v>191</v>
      </c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</row>
    <row r="188" ht="24" customHeight="1" spans="1:41">
      <c r="A188" s="25" t="s">
        <v>451</v>
      </c>
      <c r="B188" s="26">
        <v>1</v>
      </c>
      <c r="C188" s="26" t="s">
        <v>499</v>
      </c>
      <c r="D188" s="26" t="s">
        <v>379</v>
      </c>
      <c r="E188" s="70">
        <v>4</v>
      </c>
      <c r="F188" s="70">
        <v>4</v>
      </c>
      <c r="G188" s="71">
        <v>2</v>
      </c>
      <c r="H188" s="70">
        <v>4</v>
      </c>
      <c r="I188" s="71">
        <v>1</v>
      </c>
      <c r="J188" s="70">
        <v>5</v>
      </c>
      <c r="K188" s="70">
        <v>4</v>
      </c>
      <c r="L188" s="71">
        <v>2</v>
      </c>
      <c r="M188" s="70">
        <v>3</v>
      </c>
      <c r="N188" s="71">
        <v>3</v>
      </c>
      <c r="O188" s="70">
        <v>5</v>
      </c>
      <c r="P188" s="70">
        <v>5</v>
      </c>
      <c r="Q188" s="70">
        <v>6</v>
      </c>
      <c r="R188" s="70" t="s">
        <v>266</v>
      </c>
      <c r="S188" s="72">
        <v>46241.5903132292</v>
      </c>
      <c r="T188" s="72">
        <v>46241.5920396875</v>
      </c>
      <c r="U188" s="73">
        <v>149.2</v>
      </c>
      <c r="V188" s="70" t="s">
        <v>386</v>
      </c>
      <c r="W188" s="94" t="s">
        <v>191</v>
      </c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</row>
    <row r="189" ht="24" customHeight="1" spans="1:41">
      <c r="A189" s="88" t="s">
        <v>451</v>
      </c>
      <c r="B189" s="89">
        <v>2</v>
      </c>
      <c r="C189" s="89" t="s">
        <v>497</v>
      </c>
      <c r="D189" s="89" t="s">
        <v>380</v>
      </c>
      <c r="E189" s="90">
        <v>4</v>
      </c>
      <c r="F189" s="90">
        <v>4</v>
      </c>
      <c r="G189" s="91">
        <v>2</v>
      </c>
      <c r="H189" s="90">
        <v>4</v>
      </c>
      <c r="I189" s="91">
        <v>2</v>
      </c>
      <c r="J189" s="90">
        <v>4</v>
      </c>
      <c r="K189" s="90">
        <v>4</v>
      </c>
      <c r="L189" s="91">
        <v>2</v>
      </c>
      <c r="M189" s="90">
        <v>4</v>
      </c>
      <c r="N189" s="91">
        <v>2</v>
      </c>
      <c r="O189" s="90">
        <v>5</v>
      </c>
      <c r="P189" s="90">
        <v>5</v>
      </c>
      <c r="Q189" s="90">
        <v>5</v>
      </c>
      <c r="R189" s="90" t="s">
        <v>266</v>
      </c>
      <c r="S189" s="92">
        <v>46241.5924703125</v>
      </c>
      <c r="T189" s="92">
        <v>46241.593709213</v>
      </c>
      <c r="U189" s="93">
        <v>107</v>
      </c>
      <c r="V189" s="90" t="s">
        <v>386</v>
      </c>
      <c r="W189" s="90" t="s">
        <v>191</v>
      </c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</row>
    <row r="190" ht="24" customHeight="1" spans="1:41">
      <c r="A190" s="25" t="s">
        <v>454</v>
      </c>
      <c r="B190" s="26">
        <v>1</v>
      </c>
      <c r="C190" s="26" t="s">
        <v>497</v>
      </c>
      <c r="D190" s="26" t="s">
        <v>380</v>
      </c>
      <c r="E190" s="70">
        <v>4</v>
      </c>
      <c r="F190" s="70">
        <v>4</v>
      </c>
      <c r="G190" s="71">
        <v>2</v>
      </c>
      <c r="H190" s="70">
        <v>4</v>
      </c>
      <c r="I190" s="71">
        <v>2</v>
      </c>
      <c r="J190" s="70">
        <v>4</v>
      </c>
      <c r="K190" s="70">
        <v>4</v>
      </c>
      <c r="L190" s="71">
        <v>2</v>
      </c>
      <c r="M190" s="70">
        <v>3</v>
      </c>
      <c r="N190" s="71">
        <v>2</v>
      </c>
      <c r="O190" s="70">
        <v>5</v>
      </c>
      <c r="P190" s="70">
        <v>4</v>
      </c>
      <c r="Q190" s="70">
        <v>5</v>
      </c>
      <c r="R190" s="70" t="s">
        <v>266</v>
      </c>
      <c r="S190" s="72">
        <v>46241.6583988542</v>
      </c>
      <c r="T190" s="72">
        <v>46241.6597306134</v>
      </c>
      <c r="U190" s="73">
        <v>115.1</v>
      </c>
      <c r="V190" s="70" t="s">
        <v>386</v>
      </c>
      <c r="W190" s="94" t="s">
        <v>191</v>
      </c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</row>
    <row r="191" ht="24" customHeight="1" spans="1:41">
      <c r="A191" s="88" t="s">
        <v>454</v>
      </c>
      <c r="B191" s="89">
        <v>2</v>
      </c>
      <c r="C191" s="89" t="s">
        <v>499</v>
      </c>
      <c r="D191" s="89" t="s">
        <v>379</v>
      </c>
      <c r="E191" s="90">
        <v>4</v>
      </c>
      <c r="F191" s="90">
        <v>4</v>
      </c>
      <c r="G191" s="91">
        <v>2</v>
      </c>
      <c r="H191" s="90">
        <v>4</v>
      </c>
      <c r="I191" s="91">
        <v>3</v>
      </c>
      <c r="J191" s="90">
        <v>5</v>
      </c>
      <c r="K191" s="90">
        <v>4</v>
      </c>
      <c r="L191" s="91">
        <v>2</v>
      </c>
      <c r="M191" s="90">
        <v>4</v>
      </c>
      <c r="N191" s="91">
        <v>1</v>
      </c>
      <c r="O191" s="90">
        <v>6</v>
      </c>
      <c r="P191" s="90">
        <v>6</v>
      </c>
      <c r="Q191" s="90">
        <v>5</v>
      </c>
      <c r="R191" s="90" t="s">
        <v>266</v>
      </c>
      <c r="S191" s="92">
        <v>46241.6601781597</v>
      </c>
      <c r="T191" s="92">
        <v>46241.6619413889</v>
      </c>
      <c r="U191" s="93">
        <v>152.3</v>
      </c>
      <c r="V191" s="90" t="s">
        <v>386</v>
      </c>
      <c r="W191" s="90" t="s">
        <v>191</v>
      </c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</row>
    <row r="192" ht="24" customHeight="1" spans="1:41">
      <c r="A192" s="25" t="s">
        <v>457</v>
      </c>
      <c r="B192" s="26">
        <v>1</v>
      </c>
      <c r="C192" s="26" t="s">
        <v>497</v>
      </c>
      <c r="D192" s="26" t="s">
        <v>379</v>
      </c>
      <c r="E192" s="70">
        <v>4</v>
      </c>
      <c r="F192" s="70">
        <v>5</v>
      </c>
      <c r="G192" s="71">
        <v>2</v>
      </c>
      <c r="H192" s="70">
        <v>4</v>
      </c>
      <c r="I192" s="71">
        <v>1</v>
      </c>
      <c r="J192" s="70">
        <v>5</v>
      </c>
      <c r="K192" s="70">
        <v>5</v>
      </c>
      <c r="L192" s="71">
        <v>1</v>
      </c>
      <c r="M192" s="70">
        <v>5</v>
      </c>
      <c r="N192" s="71">
        <v>1</v>
      </c>
      <c r="O192" s="70">
        <v>6</v>
      </c>
      <c r="P192" s="70">
        <v>6</v>
      </c>
      <c r="Q192" s="70">
        <v>6</v>
      </c>
      <c r="R192" s="70" t="s">
        <v>266</v>
      </c>
      <c r="S192" s="72">
        <v>46242.3982440856</v>
      </c>
      <c r="T192" s="72">
        <v>46242.3994846065</v>
      </c>
      <c r="U192" s="73">
        <v>107.2</v>
      </c>
      <c r="V192" s="70" t="s">
        <v>386</v>
      </c>
      <c r="W192" s="94" t="s">
        <v>191</v>
      </c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</row>
    <row r="193" ht="24" customHeight="1" spans="1:41">
      <c r="A193" s="88" t="s">
        <v>457</v>
      </c>
      <c r="B193" s="89">
        <v>2</v>
      </c>
      <c r="C193" s="89" t="s">
        <v>499</v>
      </c>
      <c r="D193" s="89" t="s">
        <v>380</v>
      </c>
      <c r="E193" s="90">
        <v>5</v>
      </c>
      <c r="F193" s="90">
        <v>4</v>
      </c>
      <c r="G193" s="91">
        <v>2</v>
      </c>
      <c r="H193" s="90">
        <v>4</v>
      </c>
      <c r="I193" s="91">
        <v>2</v>
      </c>
      <c r="J193" s="90">
        <v>4</v>
      </c>
      <c r="K193" s="90">
        <v>4</v>
      </c>
      <c r="L193" s="91">
        <v>1</v>
      </c>
      <c r="M193" s="90">
        <v>5</v>
      </c>
      <c r="N193" s="91">
        <v>3</v>
      </c>
      <c r="O193" s="90">
        <v>6</v>
      </c>
      <c r="P193" s="90">
        <v>6</v>
      </c>
      <c r="Q193" s="90">
        <v>5</v>
      </c>
      <c r="R193" s="90" t="s">
        <v>266</v>
      </c>
      <c r="S193" s="92">
        <v>46242.3998545139</v>
      </c>
      <c r="T193" s="92">
        <v>46242.4013421991</v>
      </c>
      <c r="U193" s="93">
        <v>128.5</v>
      </c>
      <c r="V193" s="90" t="s">
        <v>386</v>
      </c>
      <c r="W193" s="90" t="s">
        <v>191</v>
      </c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</row>
    <row r="194" ht="24" customHeight="1" spans="1:41">
      <c r="A194" s="25" t="s">
        <v>460</v>
      </c>
      <c r="B194" s="26">
        <v>1</v>
      </c>
      <c r="C194" s="26" t="s">
        <v>499</v>
      </c>
      <c r="D194" s="26" t="s">
        <v>380</v>
      </c>
      <c r="E194" s="70">
        <v>4</v>
      </c>
      <c r="F194" s="70">
        <v>4</v>
      </c>
      <c r="G194" s="71">
        <v>1</v>
      </c>
      <c r="H194" s="70">
        <v>4</v>
      </c>
      <c r="I194" s="71">
        <v>1</v>
      </c>
      <c r="J194" s="70">
        <v>5</v>
      </c>
      <c r="K194" s="70">
        <v>4</v>
      </c>
      <c r="L194" s="71">
        <v>2</v>
      </c>
      <c r="M194" s="70">
        <v>4</v>
      </c>
      <c r="N194" s="71">
        <v>1</v>
      </c>
      <c r="O194" s="70">
        <v>5</v>
      </c>
      <c r="P194" s="70">
        <v>5</v>
      </c>
      <c r="Q194" s="70">
        <v>6</v>
      </c>
      <c r="R194" s="70" t="s">
        <v>266</v>
      </c>
      <c r="S194" s="72">
        <v>46242.4756799537</v>
      </c>
      <c r="T194" s="72">
        <v>46242.4772772338</v>
      </c>
      <c r="U194" s="73">
        <v>138</v>
      </c>
      <c r="V194" s="70" t="s">
        <v>386</v>
      </c>
      <c r="W194" s="94" t="s">
        <v>191</v>
      </c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</row>
    <row r="195" ht="24" customHeight="1" spans="1:41">
      <c r="A195" s="88" t="s">
        <v>460</v>
      </c>
      <c r="B195" s="89">
        <v>2</v>
      </c>
      <c r="C195" s="89" t="s">
        <v>497</v>
      </c>
      <c r="D195" s="89" t="s">
        <v>379</v>
      </c>
      <c r="E195" s="90">
        <v>5</v>
      </c>
      <c r="F195" s="90">
        <v>5</v>
      </c>
      <c r="G195" s="91">
        <v>1</v>
      </c>
      <c r="H195" s="90">
        <v>5</v>
      </c>
      <c r="I195" s="91">
        <v>2</v>
      </c>
      <c r="J195" s="90">
        <v>5</v>
      </c>
      <c r="K195" s="90">
        <v>5</v>
      </c>
      <c r="L195" s="91">
        <v>2</v>
      </c>
      <c r="M195" s="90">
        <v>5</v>
      </c>
      <c r="N195" s="91">
        <v>2</v>
      </c>
      <c r="O195" s="90">
        <v>6</v>
      </c>
      <c r="P195" s="90">
        <v>6</v>
      </c>
      <c r="Q195" s="90">
        <v>6</v>
      </c>
      <c r="R195" s="90" t="s">
        <v>266</v>
      </c>
      <c r="S195" s="92">
        <v>46242.477777581</v>
      </c>
      <c r="T195" s="92">
        <v>46242.4790911458</v>
      </c>
      <c r="U195" s="93">
        <v>113.5</v>
      </c>
      <c r="V195" s="90" t="s">
        <v>386</v>
      </c>
      <c r="W195" s="90" t="s">
        <v>191</v>
      </c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</row>
    <row r="196" ht="24" customHeight="1" spans="1:41">
      <c r="A196" s="25" t="s">
        <v>463</v>
      </c>
      <c r="B196" s="26">
        <v>1</v>
      </c>
      <c r="C196" s="26" t="s">
        <v>499</v>
      </c>
      <c r="D196" s="26" t="s">
        <v>379</v>
      </c>
      <c r="E196" s="70">
        <v>4</v>
      </c>
      <c r="F196" s="70">
        <v>5</v>
      </c>
      <c r="G196" s="71">
        <v>2</v>
      </c>
      <c r="H196" s="70">
        <v>4</v>
      </c>
      <c r="I196" s="71">
        <v>3</v>
      </c>
      <c r="J196" s="70">
        <v>4</v>
      </c>
      <c r="K196" s="70">
        <v>4</v>
      </c>
      <c r="L196" s="71">
        <v>2</v>
      </c>
      <c r="M196" s="70">
        <v>4</v>
      </c>
      <c r="N196" s="71">
        <v>2</v>
      </c>
      <c r="O196" s="70">
        <v>6</v>
      </c>
      <c r="P196" s="70">
        <v>5</v>
      </c>
      <c r="Q196" s="70">
        <v>5</v>
      </c>
      <c r="R196" s="70" t="s">
        <v>266</v>
      </c>
      <c r="S196" s="72">
        <v>46242.5862254282</v>
      </c>
      <c r="T196" s="72">
        <v>46242.587522662</v>
      </c>
      <c r="U196" s="73">
        <v>112.1</v>
      </c>
      <c r="V196" s="70" t="s">
        <v>386</v>
      </c>
      <c r="W196" s="94" t="s">
        <v>191</v>
      </c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</row>
    <row r="197" ht="24" customHeight="1" spans="1:41">
      <c r="A197" s="88" t="s">
        <v>463</v>
      </c>
      <c r="B197" s="89">
        <v>2</v>
      </c>
      <c r="C197" s="89" t="s">
        <v>497</v>
      </c>
      <c r="D197" s="89" t="s">
        <v>380</v>
      </c>
      <c r="E197" s="90">
        <v>4</v>
      </c>
      <c r="F197" s="90">
        <v>3</v>
      </c>
      <c r="G197" s="91">
        <v>2</v>
      </c>
      <c r="H197" s="90">
        <v>4</v>
      </c>
      <c r="I197" s="91">
        <v>3</v>
      </c>
      <c r="J197" s="90">
        <v>4</v>
      </c>
      <c r="K197" s="90">
        <v>4</v>
      </c>
      <c r="L197" s="91">
        <v>2</v>
      </c>
      <c r="M197" s="90">
        <v>3</v>
      </c>
      <c r="N197" s="91">
        <v>2</v>
      </c>
      <c r="O197" s="90">
        <v>4</v>
      </c>
      <c r="P197" s="90">
        <v>5</v>
      </c>
      <c r="Q197" s="90">
        <v>5</v>
      </c>
      <c r="R197" s="90" t="s">
        <v>266</v>
      </c>
      <c r="S197" s="92">
        <v>46242.5879797685</v>
      </c>
      <c r="T197" s="92">
        <v>46242.5897481597</v>
      </c>
      <c r="U197" s="93">
        <v>152.8</v>
      </c>
      <c r="V197" s="90" t="s">
        <v>386</v>
      </c>
      <c r="W197" s="90" t="s">
        <v>191</v>
      </c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</row>
    <row r="198" ht="24" customHeight="1" spans="1:41">
      <c r="A198" s="25" t="s">
        <v>467</v>
      </c>
      <c r="B198" s="26">
        <v>1</v>
      </c>
      <c r="C198" s="26" t="s">
        <v>497</v>
      </c>
      <c r="D198" s="26" t="s">
        <v>380</v>
      </c>
      <c r="E198" s="70">
        <v>4</v>
      </c>
      <c r="F198" s="70">
        <v>4</v>
      </c>
      <c r="G198" s="71">
        <v>1</v>
      </c>
      <c r="H198" s="70">
        <v>4</v>
      </c>
      <c r="I198" s="71">
        <v>3</v>
      </c>
      <c r="J198" s="70">
        <v>4</v>
      </c>
      <c r="K198" s="70">
        <v>4</v>
      </c>
      <c r="L198" s="71">
        <v>2</v>
      </c>
      <c r="M198" s="70">
        <v>4</v>
      </c>
      <c r="N198" s="71">
        <v>1</v>
      </c>
      <c r="O198" s="70">
        <v>6</v>
      </c>
      <c r="P198" s="70">
        <v>6</v>
      </c>
      <c r="Q198" s="70">
        <v>5</v>
      </c>
      <c r="R198" s="70" t="s">
        <v>266</v>
      </c>
      <c r="S198" s="72">
        <v>46242.6591742708</v>
      </c>
      <c r="T198" s="72">
        <v>46242.6606197569</v>
      </c>
      <c r="U198" s="73">
        <v>124.9</v>
      </c>
      <c r="V198" s="70" t="s">
        <v>386</v>
      </c>
      <c r="W198" s="94" t="s">
        <v>191</v>
      </c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</row>
    <row r="199" ht="24" customHeight="1" spans="1:41">
      <c r="A199" s="88" t="s">
        <v>467</v>
      </c>
      <c r="B199" s="89">
        <v>2</v>
      </c>
      <c r="C199" s="89" t="s">
        <v>499</v>
      </c>
      <c r="D199" s="89" t="s">
        <v>379</v>
      </c>
      <c r="E199" s="90">
        <v>4</v>
      </c>
      <c r="F199" s="90">
        <v>5</v>
      </c>
      <c r="G199" s="91">
        <v>1</v>
      </c>
      <c r="H199" s="90">
        <v>5</v>
      </c>
      <c r="I199" s="91">
        <v>2</v>
      </c>
      <c r="J199" s="90">
        <v>5</v>
      </c>
      <c r="K199" s="90">
        <v>5</v>
      </c>
      <c r="L199" s="91">
        <v>1</v>
      </c>
      <c r="M199" s="90">
        <v>5</v>
      </c>
      <c r="N199" s="91">
        <v>1</v>
      </c>
      <c r="O199" s="90">
        <v>6</v>
      </c>
      <c r="P199" s="90">
        <v>6</v>
      </c>
      <c r="Q199" s="90">
        <v>6</v>
      </c>
      <c r="R199" s="90" t="s">
        <v>266</v>
      </c>
      <c r="S199" s="92">
        <v>46242.6610741435</v>
      </c>
      <c r="T199" s="92">
        <v>46242.6622663542</v>
      </c>
      <c r="U199" s="93">
        <v>103</v>
      </c>
      <c r="V199" s="90" t="s">
        <v>386</v>
      </c>
      <c r="W199" s="90" t="s">
        <v>191</v>
      </c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</row>
    <row r="200" spans="1:41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</row>
    <row r="201" ht="38" customHeight="1" spans="1:41">
      <c r="A201" s="18" t="s">
        <v>515</v>
      </c>
    </row>
    <row r="202" ht="38" customHeight="1" spans="1:41">
      <c r="A202" s="20" t="s">
        <v>349</v>
      </c>
      <c r="B202" s="21" t="s">
        <v>516</v>
      </c>
      <c r="C202" s="21" t="s">
        <v>517</v>
      </c>
      <c r="D202" s="21" t="s">
        <v>518</v>
      </c>
      <c r="E202" s="21" t="s">
        <v>519</v>
      </c>
      <c r="F202" s="21" t="s">
        <v>520</v>
      </c>
      <c r="G202" s="21" t="s">
        <v>521</v>
      </c>
      <c r="H202" s="21" t="s">
        <v>522</v>
      </c>
      <c r="I202" s="21" t="s">
        <v>523</v>
      </c>
      <c r="J202" s="21" t="s">
        <v>524</v>
      </c>
      <c r="K202" s="22" t="s">
        <v>525</v>
      </c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</row>
    <row r="203" ht="30" customHeight="1" spans="1:41">
      <c r="A203" s="60" t="s">
        <v>372</v>
      </c>
      <c r="B203" s="62" t="s">
        <v>526</v>
      </c>
      <c r="C203" s="62"/>
      <c r="D203" s="62" t="s">
        <v>497</v>
      </c>
      <c r="E203" s="62">
        <v>4</v>
      </c>
      <c r="F203" s="62" t="s">
        <v>527</v>
      </c>
      <c r="G203" s="62" t="s">
        <v>528</v>
      </c>
      <c r="H203" s="62" t="s">
        <v>386</v>
      </c>
      <c r="I203" s="95" t="s">
        <v>526</v>
      </c>
      <c r="J203" s="95" t="s">
        <v>379</v>
      </c>
      <c r="K203" s="87" t="s">
        <v>529</v>
      </c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</row>
    <row r="204" ht="30" customHeight="1" spans="1:41">
      <c r="A204" s="25" t="s">
        <v>388</v>
      </c>
      <c r="B204" s="70" t="s">
        <v>497</v>
      </c>
      <c r="C204" s="70">
        <v>4</v>
      </c>
      <c r="D204" s="70" t="s">
        <v>497</v>
      </c>
      <c r="E204" s="70">
        <v>5</v>
      </c>
      <c r="F204" s="70" t="s">
        <v>530</v>
      </c>
      <c r="G204" s="70" t="s">
        <v>528</v>
      </c>
      <c r="H204" s="70" t="s">
        <v>386</v>
      </c>
      <c r="I204" s="96" t="s">
        <v>379</v>
      </c>
      <c r="J204" s="96" t="s">
        <v>379</v>
      </c>
      <c r="K204" s="94" t="s">
        <v>531</v>
      </c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</row>
    <row r="205" ht="30" customHeight="1" spans="1:41">
      <c r="A205" s="25" t="s">
        <v>395</v>
      </c>
      <c r="B205" s="70" t="s">
        <v>499</v>
      </c>
      <c r="C205" s="70">
        <v>3</v>
      </c>
      <c r="D205" s="70" t="s">
        <v>499</v>
      </c>
      <c r="E205" s="70">
        <v>7</v>
      </c>
      <c r="F205" s="70" t="s">
        <v>532</v>
      </c>
      <c r="G205" s="70" t="s">
        <v>533</v>
      </c>
      <c r="H205" s="70" t="s">
        <v>403</v>
      </c>
      <c r="I205" s="96" t="s">
        <v>379</v>
      </c>
      <c r="J205" s="96" t="s">
        <v>379</v>
      </c>
      <c r="K205" s="94" t="s">
        <v>534</v>
      </c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</row>
    <row r="206" ht="30" customHeight="1" spans="1:41">
      <c r="A206" s="25" t="s">
        <v>400</v>
      </c>
      <c r="B206" s="70" t="s">
        <v>497</v>
      </c>
      <c r="C206" s="70">
        <v>2</v>
      </c>
      <c r="D206" s="70" t="s">
        <v>497</v>
      </c>
      <c r="E206" s="70">
        <v>5</v>
      </c>
      <c r="F206" s="70" t="s">
        <v>535</v>
      </c>
      <c r="G206" s="70" t="s">
        <v>536</v>
      </c>
      <c r="H206" s="70" t="s">
        <v>386</v>
      </c>
      <c r="I206" s="96" t="s">
        <v>380</v>
      </c>
      <c r="J206" s="96" t="s">
        <v>380</v>
      </c>
      <c r="K206" s="94" t="s">
        <v>537</v>
      </c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</row>
    <row r="207" ht="30" customHeight="1" spans="1:41">
      <c r="A207" s="25" t="s">
        <v>405</v>
      </c>
      <c r="B207" s="70" t="s">
        <v>497</v>
      </c>
      <c r="C207" s="70">
        <v>6</v>
      </c>
      <c r="D207" s="70" t="s">
        <v>497</v>
      </c>
      <c r="E207" s="70">
        <v>7</v>
      </c>
      <c r="F207" s="70" t="s">
        <v>530</v>
      </c>
      <c r="G207" s="70" t="s">
        <v>533</v>
      </c>
      <c r="H207" s="70" t="s">
        <v>386</v>
      </c>
      <c r="I207" s="96" t="s">
        <v>379</v>
      </c>
      <c r="J207" s="96" t="s">
        <v>379</v>
      </c>
      <c r="K207" s="94" t="s">
        <v>538</v>
      </c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</row>
    <row r="208" ht="30" customHeight="1" spans="1:41">
      <c r="A208" s="25" t="s">
        <v>409</v>
      </c>
      <c r="B208" s="70" t="s">
        <v>526</v>
      </c>
      <c r="C208" s="70"/>
      <c r="D208" s="70" t="s">
        <v>497</v>
      </c>
      <c r="E208" s="70">
        <v>5</v>
      </c>
      <c r="F208" s="70" t="s">
        <v>527</v>
      </c>
      <c r="G208" s="70" t="s">
        <v>528</v>
      </c>
      <c r="H208" s="70" t="s">
        <v>386</v>
      </c>
      <c r="I208" s="96" t="s">
        <v>526</v>
      </c>
      <c r="J208" s="96" t="s">
        <v>379</v>
      </c>
      <c r="K208" s="94" t="s">
        <v>539</v>
      </c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</row>
    <row r="209" ht="30" customHeight="1" spans="1:41">
      <c r="A209" s="25" t="s">
        <v>412</v>
      </c>
      <c r="B209" s="70" t="s">
        <v>499</v>
      </c>
      <c r="C209" s="70">
        <v>5</v>
      </c>
      <c r="D209" s="70" t="s">
        <v>499</v>
      </c>
      <c r="E209" s="70">
        <v>6</v>
      </c>
      <c r="F209" s="70" t="s">
        <v>532</v>
      </c>
      <c r="G209" s="70" t="s">
        <v>540</v>
      </c>
      <c r="H209" s="70" t="s">
        <v>386</v>
      </c>
      <c r="I209" s="96" t="s">
        <v>379</v>
      </c>
      <c r="J209" s="96" t="s">
        <v>379</v>
      </c>
      <c r="K209" s="94" t="s">
        <v>541</v>
      </c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</row>
    <row r="210" ht="30" customHeight="1" spans="1:41">
      <c r="A210" s="25" t="s">
        <v>417</v>
      </c>
      <c r="B210" s="70" t="s">
        <v>526</v>
      </c>
      <c r="C210" s="70"/>
      <c r="D210" s="70" t="s">
        <v>526</v>
      </c>
      <c r="E210" s="70">
        <v>5</v>
      </c>
      <c r="F210" s="70" t="s">
        <v>527</v>
      </c>
      <c r="G210" s="70" t="s">
        <v>536</v>
      </c>
      <c r="H210" s="70" t="s">
        <v>386</v>
      </c>
      <c r="I210" s="96" t="s">
        <v>526</v>
      </c>
      <c r="J210" s="96" t="s">
        <v>526</v>
      </c>
      <c r="K210" s="94" t="s">
        <v>542</v>
      </c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</row>
    <row r="211" ht="30" customHeight="1" spans="1:41">
      <c r="A211" s="25" t="s">
        <v>420</v>
      </c>
      <c r="B211" s="70" t="s">
        <v>499</v>
      </c>
      <c r="C211" s="70">
        <v>2</v>
      </c>
      <c r="D211" s="70" t="s">
        <v>497</v>
      </c>
      <c r="E211" s="70">
        <v>6</v>
      </c>
      <c r="F211" s="70" t="s">
        <v>543</v>
      </c>
      <c r="G211" s="70" t="s">
        <v>528</v>
      </c>
      <c r="H211" s="70" t="s">
        <v>386</v>
      </c>
      <c r="I211" s="96" t="s">
        <v>380</v>
      </c>
      <c r="J211" s="96" t="s">
        <v>379</v>
      </c>
      <c r="K211" s="94" t="s">
        <v>544</v>
      </c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</row>
    <row r="212" ht="30" customHeight="1" spans="1:41">
      <c r="A212" s="25" t="s">
        <v>423</v>
      </c>
      <c r="B212" s="70" t="s">
        <v>499</v>
      </c>
      <c r="C212" s="70">
        <v>4</v>
      </c>
      <c r="D212" s="70" t="s">
        <v>526</v>
      </c>
      <c r="E212" s="70">
        <v>6</v>
      </c>
      <c r="F212" s="70" t="s">
        <v>543</v>
      </c>
      <c r="G212" s="70" t="s">
        <v>533</v>
      </c>
      <c r="H212" s="70" t="s">
        <v>386</v>
      </c>
      <c r="I212" s="96" t="s">
        <v>380</v>
      </c>
      <c r="J212" s="96" t="s">
        <v>526</v>
      </c>
      <c r="K212" s="94" t="s">
        <v>545</v>
      </c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</row>
    <row r="213" ht="30" customHeight="1" spans="1:41">
      <c r="A213" s="25" t="s">
        <v>426</v>
      </c>
      <c r="B213" s="70" t="s">
        <v>499</v>
      </c>
      <c r="C213" s="70">
        <v>5</v>
      </c>
      <c r="D213" s="70" t="s">
        <v>499</v>
      </c>
      <c r="E213" s="70">
        <v>7</v>
      </c>
      <c r="F213" s="70" t="s">
        <v>532</v>
      </c>
      <c r="G213" s="70" t="s">
        <v>528</v>
      </c>
      <c r="H213" s="70" t="s">
        <v>386</v>
      </c>
      <c r="I213" s="96" t="s">
        <v>379</v>
      </c>
      <c r="J213" s="96" t="s">
        <v>379</v>
      </c>
      <c r="K213" s="94" t="s">
        <v>546</v>
      </c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</row>
    <row r="214" ht="30" customHeight="1" spans="1:41">
      <c r="A214" s="25" t="s">
        <v>429</v>
      </c>
      <c r="B214" s="70" t="s">
        <v>499</v>
      </c>
      <c r="C214" s="70">
        <v>6</v>
      </c>
      <c r="D214" s="70" t="s">
        <v>499</v>
      </c>
      <c r="E214" s="70">
        <v>6</v>
      </c>
      <c r="F214" s="70" t="s">
        <v>532</v>
      </c>
      <c r="G214" s="70" t="s">
        <v>536</v>
      </c>
      <c r="H214" s="70" t="s">
        <v>386</v>
      </c>
      <c r="I214" s="96" t="s">
        <v>379</v>
      </c>
      <c r="J214" s="96" t="s">
        <v>379</v>
      </c>
      <c r="K214" s="94" t="s">
        <v>547</v>
      </c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</row>
    <row r="215" ht="30" customHeight="1" spans="1:41">
      <c r="A215" s="25" t="s">
        <v>432</v>
      </c>
      <c r="B215" s="70" t="s">
        <v>526</v>
      </c>
      <c r="C215" s="70"/>
      <c r="D215" s="70" t="s">
        <v>526</v>
      </c>
      <c r="E215" s="70">
        <v>2</v>
      </c>
      <c r="F215" s="70" t="s">
        <v>527</v>
      </c>
      <c r="G215" s="70" t="s">
        <v>533</v>
      </c>
      <c r="H215" s="70" t="s">
        <v>386</v>
      </c>
      <c r="I215" s="96" t="s">
        <v>526</v>
      </c>
      <c r="J215" s="96" t="s">
        <v>526</v>
      </c>
      <c r="K215" s="94" t="s">
        <v>548</v>
      </c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</row>
    <row r="216" ht="30" customHeight="1" spans="1:41">
      <c r="A216" s="25" t="s">
        <v>435</v>
      </c>
      <c r="B216" s="70" t="s">
        <v>497</v>
      </c>
      <c r="C216" s="70">
        <v>5</v>
      </c>
      <c r="D216" s="70" t="s">
        <v>526</v>
      </c>
      <c r="E216" s="70">
        <v>7</v>
      </c>
      <c r="F216" s="70" t="s">
        <v>530</v>
      </c>
      <c r="G216" s="70" t="s">
        <v>536</v>
      </c>
      <c r="H216" s="70" t="s">
        <v>386</v>
      </c>
      <c r="I216" s="96" t="s">
        <v>379</v>
      </c>
      <c r="J216" s="96" t="s">
        <v>526</v>
      </c>
      <c r="K216" s="94" t="s">
        <v>549</v>
      </c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</row>
    <row r="217" ht="30" customHeight="1" spans="1:41">
      <c r="A217" s="25" t="s">
        <v>438</v>
      </c>
      <c r="B217" s="70" t="s">
        <v>499</v>
      </c>
      <c r="C217" s="70">
        <v>3</v>
      </c>
      <c r="D217" s="70" t="s">
        <v>499</v>
      </c>
      <c r="E217" s="70">
        <v>6</v>
      </c>
      <c r="F217" s="70" t="s">
        <v>532</v>
      </c>
      <c r="G217" s="70" t="s">
        <v>536</v>
      </c>
      <c r="H217" s="70" t="s">
        <v>386</v>
      </c>
      <c r="I217" s="96" t="s">
        <v>379</v>
      </c>
      <c r="J217" s="96" t="s">
        <v>379</v>
      </c>
      <c r="K217" s="94" t="s">
        <v>550</v>
      </c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</row>
    <row r="218" ht="30" customHeight="1" spans="1:41">
      <c r="A218" s="25" t="s">
        <v>441</v>
      </c>
      <c r="B218" s="70" t="s">
        <v>499</v>
      </c>
      <c r="C218" s="70">
        <v>3</v>
      </c>
      <c r="D218" s="70" t="s">
        <v>499</v>
      </c>
      <c r="E218" s="70">
        <v>6</v>
      </c>
      <c r="F218" s="70" t="s">
        <v>532</v>
      </c>
      <c r="G218" s="70" t="s">
        <v>536</v>
      </c>
      <c r="H218" s="70" t="s">
        <v>551</v>
      </c>
      <c r="I218" s="96" t="s">
        <v>379</v>
      </c>
      <c r="J218" s="96" t="s">
        <v>379</v>
      </c>
      <c r="K218" s="94" t="s">
        <v>552</v>
      </c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</row>
    <row r="219" ht="30" customHeight="1" spans="1:41">
      <c r="A219" s="25" t="s">
        <v>444</v>
      </c>
      <c r="B219" s="70" t="s">
        <v>497</v>
      </c>
      <c r="C219" s="70">
        <v>3</v>
      </c>
      <c r="D219" s="70" t="s">
        <v>497</v>
      </c>
      <c r="E219" s="70">
        <v>6</v>
      </c>
      <c r="F219" s="70" t="s">
        <v>530</v>
      </c>
      <c r="G219" s="70" t="s">
        <v>536</v>
      </c>
      <c r="H219" s="70" t="s">
        <v>386</v>
      </c>
      <c r="I219" s="96" t="s">
        <v>379</v>
      </c>
      <c r="J219" s="96" t="s">
        <v>379</v>
      </c>
      <c r="K219" s="94" t="s">
        <v>553</v>
      </c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</row>
    <row r="220" ht="30" customHeight="1" spans="1:41">
      <c r="A220" s="25" t="s">
        <v>447</v>
      </c>
      <c r="B220" s="70" t="s">
        <v>497</v>
      </c>
      <c r="C220" s="70">
        <v>5</v>
      </c>
      <c r="D220" s="70" t="s">
        <v>497</v>
      </c>
      <c r="E220" s="70">
        <v>7</v>
      </c>
      <c r="F220" s="70" t="s">
        <v>530</v>
      </c>
      <c r="G220" s="70" t="s">
        <v>528</v>
      </c>
      <c r="H220" s="70" t="s">
        <v>386</v>
      </c>
      <c r="I220" s="96" t="s">
        <v>379</v>
      </c>
      <c r="J220" s="96" t="s">
        <v>379</v>
      </c>
      <c r="K220" s="94" t="s">
        <v>554</v>
      </c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</row>
    <row r="221" ht="30" customHeight="1" spans="1:41">
      <c r="A221" s="25" t="s">
        <v>451</v>
      </c>
      <c r="B221" s="70" t="s">
        <v>526</v>
      </c>
      <c r="C221" s="70"/>
      <c r="D221" s="70" t="s">
        <v>499</v>
      </c>
      <c r="E221" s="70">
        <v>5</v>
      </c>
      <c r="F221" s="70" t="s">
        <v>527</v>
      </c>
      <c r="G221" s="70" t="s">
        <v>536</v>
      </c>
      <c r="H221" s="70" t="s">
        <v>386</v>
      </c>
      <c r="I221" s="96" t="s">
        <v>526</v>
      </c>
      <c r="J221" s="96" t="s">
        <v>379</v>
      </c>
      <c r="K221" s="94" t="s">
        <v>555</v>
      </c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</row>
    <row r="222" ht="30" customHeight="1" spans="1:41">
      <c r="A222" s="25" t="s">
        <v>454</v>
      </c>
      <c r="B222" s="70" t="s">
        <v>497</v>
      </c>
      <c r="C222" s="70">
        <v>4</v>
      </c>
      <c r="D222" s="70" t="s">
        <v>526</v>
      </c>
      <c r="E222" s="70">
        <v>4</v>
      </c>
      <c r="F222" s="70" t="s">
        <v>535</v>
      </c>
      <c r="G222" s="70" t="s">
        <v>533</v>
      </c>
      <c r="H222" s="70" t="s">
        <v>386</v>
      </c>
      <c r="I222" s="96" t="s">
        <v>380</v>
      </c>
      <c r="J222" s="96" t="s">
        <v>526</v>
      </c>
      <c r="K222" s="94" t="s">
        <v>556</v>
      </c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</row>
    <row r="223" ht="30" customHeight="1" spans="1:41">
      <c r="A223" s="25" t="s">
        <v>457</v>
      </c>
      <c r="B223" s="70" t="s">
        <v>497</v>
      </c>
      <c r="C223" s="70">
        <v>5</v>
      </c>
      <c r="D223" s="70" t="s">
        <v>497</v>
      </c>
      <c r="E223" s="70">
        <v>6</v>
      </c>
      <c r="F223" s="70" t="s">
        <v>530</v>
      </c>
      <c r="G223" s="70" t="s">
        <v>536</v>
      </c>
      <c r="H223" s="70" t="s">
        <v>386</v>
      </c>
      <c r="I223" s="96" t="s">
        <v>379</v>
      </c>
      <c r="J223" s="96" t="s">
        <v>379</v>
      </c>
      <c r="K223" s="94" t="s">
        <v>557</v>
      </c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</row>
    <row r="224" ht="30" customHeight="1" spans="1:41">
      <c r="A224" s="25" t="s">
        <v>460</v>
      </c>
      <c r="B224" s="70" t="s">
        <v>497</v>
      </c>
      <c r="C224" s="70">
        <v>5</v>
      </c>
      <c r="D224" s="70" t="s">
        <v>497</v>
      </c>
      <c r="E224" s="70">
        <v>7</v>
      </c>
      <c r="F224" s="70" t="s">
        <v>530</v>
      </c>
      <c r="G224" s="70" t="s">
        <v>536</v>
      </c>
      <c r="H224" s="70" t="s">
        <v>403</v>
      </c>
      <c r="I224" s="96" t="s">
        <v>379</v>
      </c>
      <c r="J224" s="96" t="s">
        <v>379</v>
      </c>
      <c r="K224" s="94" t="s">
        <v>558</v>
      </c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</row>
    <row r="225" ht="30" customHeight="1" spans="1:41">
      <c r="A225" s="25" t="s">
        <v>463</v>
      </c>
      <c r="B225" s="70" t="s">
        <v>499</v>
      </c>
      <c r="C225" s="70">
        <v>4</v>
      </c>
      <c r="D225" s="70" t="s">
        <v>499</v>
      </c>
      <c r="E225" s="70">
        <v>6</v>
      </c>
      <c r="F225" s="70" t="s">
        <v>532</v>
      </c>
      <c r="G225" s="70" t="s">
        <v>528</v>
      </c>
      <c r="H225" s="70" t="s">
        <v>386</v>
      </c>
      <c r="I225" s="96" t="s">
        <v>379</v>
      </c>
      <c r="J225" s="96" t="s">
        <v>379</v>
      </c>
      <c r="K225" s="94" t="s">
        <v>559</v>
      </c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</row>
    <row r="226" ht="30" customHeight="1" spans="1:41">
      <c r="A226" s="33" t="s">
        <v>467</v>
      </c>
      <c r="B226" s="97" t="s">
        <v>499</v>
      </c>
      <c r="C226" s="97">
        <v>6</v>
      </c>
      <c r="D226" s="97" t="s">
        <v>499</v>
      </c>
      <c r="E226" s="97">
        <v>7</v>
      </c>
      <c r="F226" s="97" t="s">
        <v>532</v>
      </c>
      <c r="G226" s="97" t="s">
        <v>536</v>
      </c>
      <c r="H226" s="97" t="s">
        <v>551</v>
      </c>
      <c r="I226" s="98" t="s">
        <v>379</v>
      </c>
      <c r="J226" s="98" t="s">
        <v>379</v>
      </c>
      <c r="K226" s="99" t="s">
        <v>560</v>
      </c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</row>
  </sheetData>
  <mergeCells count="4">
    <mergeCell ref="A1:AO1"/>
    <mergeCell ref="A3:AO3"/>
    <mergeCell ref="A150:AO150"/>
    <mergeCell ref="A201:AO201"/>
  </mergeCells>
  <conditionalFormatting sqref="R152:R199">
    <cfRule type="expression" dxfId="0" priority="3">
      <formula>R152="是"</formula>
    </cfRule>
    <cfRule type="expression" dxfId="1" priority="4">
      <formula>R152="否"</formula>
    </cfRule>
  </conditionalFormatting>
  <conditionalFormatting sqref="AB5:AD148">
    <cfRule type="expression" dxfId="0" priority="1">
      <formula>AB5="是"</formula>
    </cfRule>
    <cfRule type="expression" dxfId="1" priority="2">
      <formula>AB5="否"</formula>
    </cfRule>
  </conditionalFormatting>
  <dataValidations count="6">
    <dataValidation type="list" sqref="B203:B226 D203:D226">
      <formula1>"方法A,方法B,无明显偏好"</formula1>
    </dataValidation>
    <dataValidation type="list" sqref="C203:C226 E203:E226 K5:X148 O152:Q199">
      <formula1>"1,2,3,4,5,6,7"</formula1>
    </dataValidation>
    <dataValidation type="list" sqref="H203:H226">
      <formula1>"无,轻微,中等,明显,因不适中止"</formula1>
    </dataValidation>
    <dataValidation type="list" sqref="R152:R199 AL5:AL148 AB5:AD148">
      <formula1>"是,否"</formula1>
    </dataValidation>
    <dataValidation type="list" sqref="AK5:AK148">
      <formula1>"Tracking,FrozenCertain,FrozenUncertain,Lost"</formula1>
    </dataValidation>
    <dataValidation type="list" sqref="E152:N199">
      <formula1>"1,2,3,4,5"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8"/>
  <sheetViews>
    <sheetView tabSelected="1" workbookViewId="0">
      <selection activeCell="I28" sqref="I28"/>
    </sheetView>
  </sheetViews>
  <sheetFormatPr defaultColWidth="9" defaultRowHeight="14.5"/>
  <cols>
    <col min="1" max="1" width="18" customWidth="1"/>
    <col min="2" max="2" width="24" customWidth="1"/>
    <col min="3" max="4" width="20" customWidth="1"/>
    <col min="5" max="5" width="12" customWidth="1"/>
    <col min="6" max="6" width="10" customWidth="1"/>
    <col min="7" max="8" width="12" customWidth="1"/>
    <col min="9" max="9" width="13" customWidth="1"/>
    <col min="10" max="10" width="15" customWidth="1"/>
    <col min="11" max="11" width="32" customWidth="1"/>
    <col min="12" max="12" width="12" customWidth="1"/>
    <col min="13" max="13" width="24" customWidth="1"/>
    <col min="14" max="15" width="13" customWidth="1"/>
    <col min="16" max="16" width="12" customWidth="1"/>
    <col min="17" max="18" width="26" customWidth="1"/>
    <col min="19" max="19" width="34" customWidth="1"/>
    <col min="20" max="21" width="10" customWidth="1"/>
  </cols>
  <sheetData>
    <row r="1" ht="32" customHeight="1" spans="1:19">
      <c r="A1" s="16" t="s">
        <v>561</v>
      </c>
    </row>
    <row r="2" ht="32" customHeight="1" spans="1:19">
      <c r="A2" s="17" t="s">
        <v>562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</row>
    <row r="3" ht="30" customHeight="1" spans="1:19">
      <c r="A3" s="18" t="s">
        <v>563</v>
      </c>
      <c r="M3" s="19" t="s">
        <v>564</v>
      </c>
      <c r="N3" s="19" t="s">
        <v>565</v>
      </c>
      <c r="O3" s="19" t="s">
        <v>566</v>
      </c>
      <c r="P3" s="19" t="s">
        <v>567</v>
      </c>
    </row>
    <row r="4" ht="38" customHeight="1" spans="1:19">
      <c r="A4" s="20" t="s">
        <v>568</v>
      </c>
      <c r="B4" s="21" t="s">
        <v>140</v>
      </c>
      <c r="C4" s="21" t="s">
        <v>569</v>
      </c>
      <c r="D4" s="21" t="s">
        <v>570</v>
      </c>
      <c r="E4" s="21" t="s">
        <v>571</v>
      </c>
      <c r="F4" s="21" t="s">
        <v>572</v>
      </c>
      <c r="G4" s="21" t="s">
        <v>573</v>
      </c>
      <c r="H4" s="21" t="s">
        <v>574</v>
      </c>
      <c r="I4" s="21" t="s">
        <v>575</v>
      </c>
      <c r="J4" s="21" t="s">
        <v>576</v>
      </c>
      <c r="K4" s="22" t="s">
        <v>577</v>
      </c>
      <c r="L4" s="21"/>
      <c r="M4" s="23" t="s">
        <v>578</v>
      </c>
      <c r="N4" s="24">
        <v>4.25</v>
      </c>
      <c r="O4" s="24">
        <v>5.19444444444444</v>
      </c>
      <c r="P4" s="24">
        <v>0.944444444444445</v>
      </c>
      <c r="Q4" s="21"/>
      <c r="R4" s="21"/>
      <c r="S4" s="22"/>
    </row>
    <row r="5" ht="26" customHeight="1" spans="1:19">
      <c r="A5" s="25" t="s">
        <v>148</v>
      </c>
      <c r="B5" s="26" t="s">
        <v>149</v>
      </c>
      <c r="C5" s="27" t="s">
        <v>579</v>
      </c>
      <c r="D5" s="27" t="s">
        <v>580</v>
      </c>
      <c r="E5" s="28">
        <v>1</v>
      </c>
      <c r="F5" s="28">
        <v>14.5</v>
      </c>
      <c r="G5" s="28">
        <v>0.000169655547595619</v>
      </c>
      <c r="H5" s="28">
        <v>0.00118758883316934</v>
      </c>
      <c r="I5" s="28">
        <v>0.894927536231884</v>
      </c>
      <c r="J5" s="28" t="s">
        <v>581</v>
      </c>
      <c r="K5" s="29" t="s">
        <v>582</v>
      </c>
      <c r="L5" s="30"/>
      <c r="M5" s="31" t="s">
        <v>583</v>
      </c>
      <c r="N5" s="32">
        <v>4.47222222222222</v>
      </c>
      <c r="O5" s="32">
        <v>5.16666666666667</v>
      </c>
      <c r="P5" s="32">
        <v>0.694444444444445</v>
      </c>
      <c r="Q5" s="30"/>
      <c r="R5" s="30"/>
      <c r="S5" s="30"/>
    </row>
    <row r="6" ht="26" customHeight="1" spans="1:19">
      <c r="A6" s="25" t="s">
        <v>199</v>
      </c>
      <c r="B6" s="26" t="s">
        <v>200</v>
      </c>
      <c r="C6" s="27" t="s">
        <v>584</v>
      </c>
      <c r="D6" s="27" t="s">
        <v>585</v>
      </c>
      <c r="E6" s="28">
        <v>0.666666666666667</v>
      </c>
      <c r="F6" s="28">
        <v>18</v>
      </c>
      <c r="G6" s="28">
        <v>0.00113149772806017</v>
      </c>
      <c r="H6" s="28">
        <v>0.00565748864030084</v>
      </c>
      <c r="I6" s="28">
        <v>0.828571428571429</v>
      </c>
      <c r="J6" s="28" t="s">
        <v>586</v>
      </c>
      <c r="K6" s="29" t="s">
        <v>582</v>
      </c>
      <c r="L6" s="30"/>
      <c r="M6" s="31" t="s">
        <v>587</v>
      </c>
      <c r="N6" s="32">
        <v>4.875</v>
      </c>
      <c r="O6" s="32">
        <v>4.98611111111111</v>
      </c>
      <c r="P6" s="32">
        <v>0.111111111111111</v>
      </c>
      <c r="Q6" s="30"/>
      <c r="R6" s="30"/>
      <c r="S6" s="30"/>
    </row>
    <row r="7" ht="26" customHeight="1" spans="1:19">
      <c r="A7" s="25" t="s">
        <v>157</v>
      </c>
      <c r="B7" s="26" t="s">
        <v>158</v>
      </c>
      <c r="C7" s="27" t="s">
        <v>588</v>
      </c>
      <c r="D7" s="27" t="s">
        <v>589</v>
      </c>
      <c r="E7" s="28">
        <v>0.333333333333333</v>
      </c>
      <c r="F7" s="28">
        <v>72.5</v>
      </c>
      <c r="G7" s="28">
        <v>0.361754583215946</v>
      </c>
      <c r="H7" s="28">
        <v>0.723509166431892</v>
      </c>
      <c r="I7" s="28">
        <v>0.236842105263158</v>
      </c>
      <c r="J7" s="28" t="s">
        <v>590</v>
      </c>
      <c r="K7" s="29" t="s">
        <v>591</v>
      </c>
      <c r="L7" s="30"/>
      <c r="M7" s="31" t="s">
        <v>592</v>
      </c>
      <c r="N7" s="32">
        <v>4.88888888888889</v>
      </c>
      <c r="O7" s="32">
        <v>4.98611111111111</v>
      </c>
      <c r="P7" s="32">
        <v>0.0972222222222221</v>
      </c>
      <c r="Q7" s="30"/>
      <c r="R7" s="30"/>
      <c r="S7" s="30"/>
    </row>
    <row r="8" ht="26" customHeight="1" spans="1:19">
      <c r="A8" s="25" t="s">
        <v>164</v>
      </c>
      <c r="B8" s="26" t="s">
        <v>165</v>
      </c>
      <c r="C8" s="27" t="s">
        <v>593</v>
      </c>
      <c r="D8" s="27" t="s">
        <v>594</v>
      </c>
      <c r="E8" s="28">
        <v>0.166666666666667</v>
      </c>
      <c r="F8" s="28">
        <v>115.5</v>
      </c>
      <c r="G8" s="28">
        <v>0.491626245315632</v>
      </c>
      <c r="H8" s="28">
        <v>0.723509166431892</v>
      </c>
      <c r="I8" s="28">
        <v>0.16304347826087</v>
      </c>
      <c r="J8" s="28" t="s">
        <v>595</v>
      </c>
      <c r="K8" s="29" t="s">
        <v>591</v>
      </c>
      <c r="L8" s="30"/>
      <c r="M8" s="31" t="s">
        <v>596</v>
      </c>
      <c r="N8" s="32">
        <v>4.15277777777778</v>
      </c>
      <c r="O8" s="32">
        <v>4.95833333333333</v>
      </c>
      <c r="P8" s="32">
        <v>0.805555555555555</v>
      </c>
      <c r="Q8" s="30"/>
      <c r="R8" s="30"/>
      <c r="S8" s="30"/>
    </row>
    <row r="9" ht="26" customHeight="1" spans="1:19">
      <c r="A9" s="25" t="s">
        <v>193</v>
      </c>
      <c r="B9" s="26" t="s">
        <v>194</v>
      </c>
      <c r="C9" s="27" t="s">
        <v>597</v>
      </c>
      <c r="D9" s="27" t="s">
        <v>598</v>
      </c>
      <c r="E9" s="28">
        <v>0.833333333333333</v>
      </c>
      <c r="F9" s="28">
        <v>35</v>
      </c>
      <c r="G9" s="28">
        <v>0.00292312947559666</v>
      </c>
      <c r="H9" s="28">
        <v>0.00876938842678997</v>
      </c>
      <c r="I9" s="28">
        <v>0.723320158102767</v>
      </c>
      <c r="J9" s="28" t="s">
        <v>599</v>
      </c>
      <c r="K9" s="29" t="s">
        <v>582</v>
      </c>
      <c r="L9" s="30"/>
      <c r="M9" s="31" t="s">
        <v>600</v>
      </c>
      <c r="N9" s="32">
        <v>4.15277777777778</v>
      </c>
      <c r="O9" s="32">
        <v>4.88888888888889</v>
      </c>
      <c r="P9" s="32">
        <v>0.736111111111111</v>
      </c>
      <c r="Q9" s="30"/>
      <c r="R9" s="30"/>
      <c r="S9" s="30"/>
    </row>
    <row r="10" ht="26" customHeight="1" spans="1:19">
      <c r="A10" s="25" t="s">
        <v>233</v>
      </c>
      <c r="B10" s="26" t="s">
        <v>234</v>
      </c>
      <c r="C10" s="27" t="s">
        <v>601</v>
      </c>
      <c r="D10" s="27" t="s">
        <v>602</v>
      </c>
      <c r="E10" s="28">
        <v>1</v>
      </c>
      <c r="F10" s="28">
        <v>14.5</v>
      </c>
      <c r="G10" s="28">
        <v>0.000268849813472428</v>
      </c>
      <c r="H10" s="28">
        <v>0.00161309888083457</v>
      </c>
      <c r="I10" s="28">
        <v>0.885375494071146</v>
      </c>
      <c r="J10" s="28" t="s">
        <v>603</v>
      </c>
      <c r="K10" s="29" t="s">
        <v>582</v>
      </c>
      <c r="L10" s="30"/>
      <c r="M10" s="31" t="s">
        <v>604</v>
      </c>
      <c r="N10" s="32">
        <v>4.43055555555556</v>
      </c>
      <c r="O10" s="32">
        <v>4.90277777777778</v>
      </c>
      <c r="P10" s="32">
        <v>0.472222222222222</v>
      </c>
      <c r="Q10" s="30"/>
      <c r="R10" s="30"/>
      <c r="S10" s="30"/>
    </row>
    <row r="11" ht="26" customHeight="1" spans="1:19">
      <c r="A11" s="33" t="s">
        <v>239</v>
      </c>
      <c r="B11" s="34" t="s">
        <v>240</v>
      </c>
      <c r="C11" s="35" t="s">
        <v>605</v>
      </c>
      <c r="D11" s="35" t="s">
        <v>606</v>
      </c>
      <c r="E11" s="36">
        <v>0.333333333333333</v>
      </c>
      <c r="F11" s="36">
        <v>4</v>
      </c>
      <c r="G11" s="36">
        <v>0.00144711732866837</v>
      </c>
      <c r="H11" s="36">
        <v>0.00578846931467347</v>
      </c>
      <c r="I11" s="36">
        <v>0.933333333333333</v>
      </c>
      <c r="J11" s="36" t="s">
        <v>607</v>
      </c>
      <c r="K11" s="37" t="s">
        <v>582</v>
      </c>
      <c r="L11" s="30"/>
      <c r="M11" s="30"/>
      <c r="N11" s="30"/>
      <c r="O11" s="30"/>
      <c r="P11" s="30"/>
      <c r="Q11" s="30"/>
      <c r="R11" s="30"/>
      <c r="S11" s="30"/>
    </row>
    <row r="12" ht="26" customHeight="1" spans="1:19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</row>
    <row r="13" ht="26" customHeight="1" spans="1:19">
      <c r="A13" s="18" t="s">
        <v>608</v>
      </c>
    </row>
    <row r="14" ht="26" customHeight="1" spans="1:19">
      <c r="A14" s="20" t="s">
        <v>609</v>
      </c>
      <c r="B14" s="21" t="s">
        <v>610</v>
      </c>
      <c r="C14" s="21" t="s">
        <v>611</v>
      </c>
      <c r="D14" s="21" t="s">
        <v>571</v>
      </c>
      <c r="E14" s="21" t="s">
        <v>572</v>
      </c>
      <c r="F14" s="21" t="s">
        <v>573</v>
      </c>
      <c r="G14" s="21" t="s">
        <v>574</v>
      </c>
      <c r="H14" s="21" t="s">
        <v>612</v>
      </c>
      <c r="I14" s="21" t="s">
        <v>613</v>
      </c>
      <c r="J14" s="21" t="s">
        <v>614</v>
      </c>
      <c r="K14" s="21" t="s">
        <v>615</v>
      </c>
      <c r="L14" s="21" t="s">
        <v>616</v>
      </c>
      <c r="M14" s="22" t="s">
        <v>577</v>
      </c>
      <c r="N14" s="21"/>
      <c r="O14" s="21"/>
      <c r="P14" s="21"/>
      <c r="Q14" s="21"/>
      <c r="R14" s="21"/>
      <c r="S14" s="22"/>
    </row>
    <row r="15" ht="26" customHeight="1" spans="1:19">
      <c r="A15" s="25" t="s">
        <v>617</v>
      </c>
      <c r="B15" s="27" t="s">
        <v>618</v>
      </c>
      <c r="C15" s="27" t="s">
        <v>619</v>
      </c>
      <c r="D15" s="28">
        <v>0.444444444444444</v>
      </c>
      <c r="E15" s="28">
        <v>32.5</v>
      </c>
      <c r="F15" s="28">
        <v>0.00226278668619542</v>
      </c>
      <c r="G15" s="28">
        <v>0.00786607220253303</v>
      </c>
      <c r="H15" s="28">
        <v>0.743083003952569</v>
      </c>
      <c r="I15" s="28">
        <v>0.768062356350554</v>
      </c>
      <c r="J15" s="28">
        <v>0.768751217611533</v>
      </c>
      <c r="K15" s="28">
        <v>0.866003055706323</v>
      </c>
      <c r="L15" s="28">
        <v>0.867241947513769</v>
      </c>
      <c r="M15" s="29" t="s">
        <v>582</v>
      </c>
      <c r="N15" s="30"/>
      <c r="O15" s="30"/>
      <c r="P15" s="30"/>
      <c r="Q15" s="30"/>
      <c r="R15" s="30"/>
      <c r="S15" s="30"/>
    </row>
    <row r="16" ht="26" customHeight="1" spans="1:19">
      <c r="A16" s="25" t="s">
        <v>620</v>
      </c>
      <c r="B16" s="27" t="s">
        <v>621</v>
      </c>
      <c r="C16" s="27" t="s">
        <v>622</v>
      </c>
      <c r="D16" s="28">
        <v>0.0555555555555558</v>
      </c>
      <c r="E16" s="28">
        <v>104.5</v>
      </c>
      <c r="F16" s="28">
        <v>0.474405798191784</v>
      </c>
      <c r="G16" s="28">
        <v>0.474405798191784</v>
      </c>
      <c r="H16" s="28">
        <v>0.173913043478261</v>
      </c>
      <c r="I16" s="28">
        <v>0.504201680672269</v>
      </c>
      <c r="J16" s="28">
        <v>0.892364517804582</v>
      </c>
      <c r="K16" s="28">
        <v>0.751749922269662</v>
      </c>
      <c r="L16" s="28">
        <v>0.935616492883797</v>
      </c>
      <c r="M16" s="29" t="s">
        <v>591</v>
      </c>
      <c r="N16" s="30"/>
      <c r="O16" s="30"/>
      <c r="P16" s="30"/>
      <c r="Q16" s="30"/>
      <c r="R16" s="30"/>
      <c r="S16" s="30"/>
    </row>
    <row r="17" ht="26" customHeight="1" spans="1:19">
      <c r="A17" s="25" t="s">
        <v>623</v>
      </c>
      <c r="B17" s="27" t="s">
        <v>624</v>
      </c>
      <c r="C17" s="27" t="s">
        <v>625</v>
      </c>
      <c r="D17" s="28">
        <v>0.333333333333333</v>
      </c>
      <c r="E17" s="28">
        <v>0</v>
      </c>
      <c r="F17" s="28">
        <v>0.000129163834859716</v>
      </c>
      <c r="G17" s="28">
        <v>0.00064581917429858</v>
      </c>
      <c r="H17" s="28">
        <v>1</v>
      </c>
      <c r="I17" s="28">
        <v>0.79179810725552</v>
      </c>
      <c r="J17" s="28">
        <v>0.751145038167939</v>
      </c>
      <c r="K17" s="28">
        <v>0.856695051956457</v>
      </c>
      <c r="L17" s="28">
        <v>0.830034783533331</v>
      </c>
      <c r="M17" s="29" t="s">
        <v>582</v>
      </c>
      <c r="N17" s="30"/>
      <c r="O17" s="30"/>
      <c r="P17" s="30"/>
      <c r="Q17" s="30"/>
      <c r="R17" s="30"/>
      <c r="S17" s="30"/>
    </row>
    <row r="18" ht="26" customHeight="1" spans="1:19">
      <c r="A18" s="25" t="s">
        <v>626</v>
      </c>
      <c r="B18" s="27" t="s">
        <v>627</v>
      </c>
      <c r="C18" s="27" t="s">
        <v>628</v>
      </c>
      <c r="D18" s="28">
        <v>0.375</v>
      </c>
      <c r="E18" s="28">
        <v>32</v>
      </c>
      <c r="F18" s="28">
        <v>0.00196651805063326</v>
      </c>
      <c r="G18" s="28">
        <v>0.00786607220253303</v>
      </c>
      <c r="H18" s="28">
        <v>0.74703557312253</v>
      </c>
      <c r="I18" s="28">
        <v>0.564554931836407</v>
      </c>
      <c r="J18" s="28">
        <v>0.768577494692144</v>
      </c>
      <c r="K18" s="28">
        <v>0.760176547860483</v>
      </c>
      <c r="L18" s="28">
        <v>0.853240605975014</v>
      </c>
      <c r="M18" s="29" t="s">
        <v>582</v>
      </c>
      <c r="N18" s="30"/>
      <c r="O18" s="30"/>
      <c r="P18" s="30"/>
      <c r="Q18" s="30"/>
      <c r="R18" s="30"/>
      <c r="S18" s="30"/>
    </row>
    <row r="19" ht="26" customHeight="1" spans="1:19">
      <c r="A19" s="33" t="s">
        <v>629</v>
      </c>
      <c r="B19" s="35" t="s">
        <v>630</v>
      </c>
      <c r="C19" s="35" t="s">
        <v>631</v>
      </c>
      <c r="D19" s="36">
        <v>0.5</v>
      </c>
      <c r="E19" s="36">
        <v>25</v>
      </c>
      <c r="F19" s="36">
        <v>0.00266513567360131</v>
      </c>
      <c r="G19" s="36">
        <v>0.00786607220253303</v>
      </c>
      <c r="H19" s="36">
        <v>0.761904761904762</v>
      </c>
      <c r="I19" s="36">
        <v>0.671671018276762</v>
      </c>
      <c r="J19" s="36">
        <v>0.697262479871176</v>
      </c>
      <c r="K19" s="36">
        <v>0.82971470899613</v>
      </c>
      <c r="L19" s="36">
        <v>0.830283271910657</v>
      </c>
      <c r="M19" s="37" t="s">
        <v>582</v>
      </c>
      <c r="N19" s="30"/>
      <c r="O19" s="30"/>
      <c r="P19" s="30"/>
      <c r="Q19" s="30"/>
      <c r="R19" s="30"/>
      <c r="S19" s="30"/>
    </row>
    <row r="20" spans="1:19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ht="30" customHeight="1" spans="1:19">
      <c r="A21" s="18" t="s">
        <v>632</v>
      </c>
    </row>
    <row r="22" ht="38" customHeight="1" spans="1:19">
      <c r="A22" s="20" t="s">
        <v>633</v>
      </c>
      <c r="B22" s="21" t="s">
        <v>634</v>
      </c>
      <c r="C22" s="21" t="s">
        <v>635</v>
      </c>
      <c r="D22" s="21" t="s">
        <v>636</v>
      </c>
      <c r="E22" s="21" t="s">
        <v>637</v>
      </c>
      <c r="F22" s="22" t="s">
        <v>146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2"/>
    </row>
    <row r="23" ht="27" customHeight="1" spans="1:19">
      <c r="A23" s="38" t="s">
        <v>148</v>
      </c>
      <c r="B23" s="27" t="s">
        <v>638</v>
      </c>
      <c r="C23" s="27" t="s">
        <v>639</v>
      </c>
      <c r="D23" s="27" t="s">
        <v>640</v>
      </c>
      <c r="E23" s="27" t="s">
        <v>641</v>
      </c>
      <c r="F23" s="29" t="s">
        <v>642</v>
      </c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</row>
    <row r="24" ht="27" customHeight="1" spans="1:19">
      <c r="A24" s="38" t="s">
        <v>199</v>
      </c>
      <c r="B24" s="27" t="s">
        <v>638</v>
      </c>
      <c r="C24" s="27" t="s">
        <v>643</v>
      </c>
      <c r="D24" s="27" t="s">
        <v>644</v>
      </c>
      <c r="E24" s="27" t="s">
        <v>645</v>
      </c>
      <c r="F24" s="29" t="s">
        <v>642</v>
      </c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</row>
    <row r="25" ht="27" customHeight="1" spans="1:19">
      <c r="A25" s="38" t="s">
        <v>157</v>
      </c>
      <c r="B25" s="27" t="s">
        <v>638</v>
      </c>
      <c r="C25" s="27" t="s">
        <v>646</v>
      </c>
      <c r="D25" s="27" t="s">
        <v>647</v>
      </c>
      <c r="E25" s="27" t="s">
        <v>648</v>
      </c>
      <c r="F25" s="29" t="s">
        <v>642</v>
      </c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</row>
    <row r="26" ht="27" customHeight="1" spans="1:19">
      <c r="A26" s="38" t="s">
        <v>164</v>
      </c>
      <c r="B26" s="27" t="s">
        <v>638</v>
      </c>
      <c r="C26" s="27" t="s">
        <v>649</v>
      </c>
      <c r="D26" s="27" t="s">
        <v>650</v>
      </c>
      <c r="E26" s="27" t="s">
        <v>651</v>
      </c>
      <c r="F26" s="29" t="s">
        <v>642</v>
      </c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</row>
    <row r="27" ht="27" customHeight="1" spans="1:19">
      <c r="A27" s="38" t="s">
        <v>193</v>
      </c>
      <c r="B27" s="27" t="s">
        <v>638</v>
      </c>
      <c r="C27" s="27" t="s">
        <v>652</v>
      </c>
      <c r="D27" s="27" t="s">
        <v>653</v>
      </c>
      <c r="E27" s="27" t="s">
        <v>654</v>
      </c>
      <c r="F27" s="29" t="s">
        <v>642</v>
      </c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</row>
    <row r="28" ht="27" customHeight="1" spans="1:19">
      <c r="A28" s="38" t="s">
        <v>233</v>
      </c>
      <c r="B28" s="27" t="s">
        <v>638</v>
      </c>
      <c r="C28" s="27" t="s">
        <v>655</v>
      </c>
      <c r="D28" s="27" t="s">
        <v>656</v>
      </c>
      <c r="E28" s="27" t="s">
        <v>657</v>
      </c>
      <c r="F28" s="29" t="s">
        <v>642</v>
      </c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</row>
    <row r="29" ht="27" customHeight="1" spans="1:19">
      <c r="A29" s="38" t="s">
        <v>239</v>
      </c>
      <c r="B29" s="27" t="s">
        <v>638</v>
      </c>
      <c r="C29" s="27" t="s">
        <v>658</v>
      </c>
      <c r="D29" s="27" t="s">
        <v>659</v>
      </c>
      <c r="E29" s="27" t="s">
        <v>660</v>
      </c>
      <c r="F29" s="29" t="s">
        <v>642</v>
      </c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</row>
    <row r="30" ht="27" customHeight="1" spans="1:19">
      <c r="A30" s="38" t="s">
        <v>661</v>
      </c>
      <c r="B30" s="27" t="s">
        <v>662</v>
      </c>
      <c r="C30" s="27"/>
      <c r="D30" s="27"/>
      <c r="E30" s="27"/>
      <c r="F30" s="29" t="s">
        <v>663</v>
      </c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</row>
    <row r="31" ht="27" customHeight="1" spans="1:19">
      <c r="A31" s="39"/>
      <c r="B31" s="40"/>
      <c r="C31" s="40"/>
      <c r="D31" s="40"/>
      <c r="E31" s="40"/>
      <c r="F31" s="41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</row>
    <row r="32" ht="27" customHeight="1" spans="1:19">
      <c r="A32" s="39"/>
      <c r="B32" s="40"/>
      <c r="C32" s="40"/>
      <c r="D32" s="40"/>
      <c r="E32" s="40"/>
      <c r="F32" s="4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</row>
    <row r="33" ht="27" customHeight="1" spans="1:19">
      <c r="A33" s="39"/>
      <c r="B33" s="40"/>
      <c r="C33" s="40"/>
      <c r="D33" s="40"/>
      <c r="E33" s="40"/>
      <c r="F33" s="4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</row>
    <row r="34" ht="27" customHeight="1" spans="1:19">
      <c r="A34" s="39"/>
      <c r="B34" s="40"/>
      <c r="C34" s="40"/>
      <c r="D34" s="40"/>
      <c r="E34" s="40"/>
      <c r="F34" s="41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</row>
    <row r="35" ht="27" customHeight="1" spans="1:19">
      <c r="A35" s="39"/>
      <c r="B35" s="40"/>
      <c r="C35" s="40"/>
      <c r="D35" s="40"/>
      <c r="E35" s="40"/>
      <c r="F35" s="4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</row>
    <row r="36" ht="27" customHeight="1" spans="1:19">
      <c r="A36" s="39"/>
      <c r="B36" s="40"/>
      <c r="C36" s="40"/>
      <c r="D36" s="40"/>
      <c r="E36" s="40"/>
      <c r="F36" s="4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</row>
    <row r="37" ht="27" customHeight="1" spans="1:19">
      <c r="A37" s="39"/>
      <c r="B37" s="40"/>
      <c r="C37" s="40"/>
      <c r="D37" s="40"/>
      <c r="E37" s="40"/>
      <c r="F37" s="4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</row>
    <row r="38" ht="27" customHeight="1" spans="1:19">
      <c r="A38" s="42"/>
      <c r="B38" s="43"/>
      <c r="C38" s="43"/>
      <c r="D38" s="43"/>
      <c r="E38" s="43"/>
      <c r="F38" s="44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</row>
    <row r="39" spans="1:1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</row>
    <row r="40" ht="30" customHeight="1" spans="1:19">
      <c r="A40" s="18" t="s">
        <v>664</v>
      </c>
    </row>
    <row r="41" ht="38" customHeight="1" spans="1:19">
      <c r="A41" s="20" t="s">
        <v>633</v>
      </c>
      <c r="B41" s="21" t="s">
        <v>474</v>
      </c>
      <c r="C41" s="21" t="s">
        <v>565</v>
      </c>
      <c r="D41" s="21" t="s">
        <v>566</v>
      </c>
      <c r="E41" s="21" t="s">
        <v>665</v>
      </c>
      <c r="F41" s="21" t="s">
        <v>666</v>
      </c>
      <c r="G41" s="22" t="s">
        <v>146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2"/>
    </row>
    <row r="42" ht="24" customHeight="1" spans="1:19">
      <c r="A42" s="25" t="s">
        <v>148</v>
      </c>
      <c r="B42" s="26" t="s">
        <v>375</v>
      </c>
      <c r="C42" s="45">
        <v>4.375</v>
      </c>
      <c r="D42" s="45">
        <v>5</v>
      </c>
      <c r="E42" s="45">
        <v>0.625</v>
      </c>
      <c r="F42" s="40" t="s">
        <v>667</v>
      </c>
      <c r="G42" s="29" t="s">
        <v>668</v>
      </c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</row>
    <row r="43" ht="24" customHeight="1" spans="1:19">
      <c r="A43" s="25" t="s">
        <v>148</v>
      </c>
      <c r="B43" s="26" t="s">
        <v>376</v>
      </c>
      <c r="C43" s="45">
        <v>4.08333333333333</v>
      </c>
      <c r="D43" s="45">
        <v>5.16666666666667</v>
      </c>
      <c r="E43" s="45">
        <v>1.08333333333333</v>
      </c>
      <c r="F43" s="40" t="s">
        <v>667</v>
      </c>
      <c r="G43" s="29" t="s">
        <v>668</v>
      </c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</row>
    <row r="44" ht="24" customHeight="1" spans="1:19">
      <c r="A44" s="25" t="s">
        <v>148</v>
      </c>
      <c r="B44" s="26" t="s">
        <v>377</v>
      </c>
      <c r="C44" s="45">
        <v>4.29166666666667</v>
      </c>
      <c r="D44" s="45">
        <v>5.41666666666667</v>
      </c>
      <c r="E44" s="45">
        <v>1.125</v>
      </c>
      <c r="F44" s="40" t="s">
        <v>667</v>
      </c>
      <c r="G44" s="29" t="s">
        <v>668</v>
      </c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</row>
    <row r="45" ht="24" customHeight="1" spans="1:19">
      <c r="A45" s="25" t="s">
        <v>157</v>
      </c>
      <c r="B45" s="26" t="s">
        <v>375</v>
      </c>
      <c r="C45" s="45">
        <v>4.875</v>
      </c>
      <c r="D45" s="45">
        <v>5.04166666666667</v>
      </c>
      <c r="E45" s="45">
        <v>0.166666666666667</v>
      </c>
      <c r="F45" s="40" t="s">
        <v>667</v>
      </c>
      <c r="G45" s="29" t="s">
        <v>668</v>
      </c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</row>
    <row r="46" ht="24" customHeight="1" spans="1:19">
      <c r="A46" s="25" t="s">
        <v>157</v>
      </c>
      <c r="B46" s="26" t="s">
        <v>376</v>
      </c>
      <c r="C46" s="45">
        <v>4.95833333333333</v>
      </c>
      <c r="D46" s="45">
        <v>4.91666666666667</v>
      </c>
      <c r="E46" s="45">
        <v>-0.0416666666666661</v>
      </c>
      <c r="F46" s="40" t="s">
        <v>669</v>
      </c>
      <c r="G46" s="29" t="s">
        <v>668</v>
      </c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</row>
    <row r="47" ht="24" customHeight="1" spans="1:19">
      <c r="A47" s="25" t="s">
        <v>157</v>
      </c>
      <c r="B47" s="26" t="s">
        <v>377</v>
      </c>
      <c r="C47" s="45">
        <v>4.79166666666667</v>
      </c>
      <c r="D47" s="45">
        <v>5</v>
      </c>
      <c r="E47" s="45">
        <v>0.208333333333333</v>
      </c>
      <c r="F47" s="40" t="s">
        <v>667</v>
      </c>
      <c r="G47" s="29" t="s">
        <v>668</v>
      </c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</row>
    <row r="48" ht="24" customHeight="1" spans="1:19">
      <c r="A48" s="25" t="s">
        <v>164</v>
      </c>
      <c r="B48" s="26" t="s">
        <v>375</v>
      </c>
      <c r="C48" s="45">
        <v>4.70833333333333</v>
      </c>
      <c r="D48" s="45">
        <v>4.75</v>
      </c>
      <c r="E48" s="45">
        <v>0.041666666666667</v>
      </c>
      <c r="F48" s="40" t="s">
        <v>669</v>
      </c>
      <c r="G48" s="29" t="s">
        <v>668</v>
      </c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</row>
    <row r="49" ht="24" customHeight="1" spans="1:19">
      <c r="A49" s="25" t="s">
        <v>164</v>
      </c>
      <c r="B49" s="26" t="s">
        <v>376</v>
      </c>
      <c r="C49" s="45">
        <v>5.20833333333333</v>
      </c>
      <c r="D49" s="45">
        <v>5.20833333333333</v>
      </c>
      <c r="E49" s="45">
        <v>0</v>
      </c>
      <c r="F49" s="40" t="s">
        <v>669</v>
      </c>
      <c r="G49" s="29" t="s">
        <v>668</v>
      </c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</row>
    <row r="50" ht="24" customHeight="1" spans="1:19">
      <c r="A50" s="25" t="s">
        <v>164</v>
      </c>
      <c r="B50" s="26" t="s">
        <v>377</v>
      </c>
      <c r="C50" s="45">
        <v>4.75</v>
      </c>
      <c r="D50" s="45">
        <v>5</v>
      </c>
      <c r="E50" s="45">
        <v>0.25</v>
      </c>
      <c r="F50" s="40" t="s">
        <v>667</v>
      </c>
      <c r="G50" s="29" t="s">
        <v>668</v>
      </c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</row>
    <row r="51" ht="24" customHeight="1" spans="1:19">
      <c r="A51" s="25" t="s">
        <v>170</v>
      </c>
      <c r="B51" s="26" t="s">
        <v>375</v>
      </c>
      <c r="C51" s="45"/>
      <c r="D51" s="45"/>
      <c r="E51" s="45"/>
      <c r="F51" s="40" t="s">
        <v>670</v>
      </c>
      <c r="G51" s="29" t="s">
        <v>671</v>
      </c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</row>
    <row r="52" ht="24" customHeight="1" spans="1:19">
      <c r="A52" s="25" t="s">
        <v>170</v>
      </c>
      <c r="B52" s="26" t="s">
        <v>376</v>
      </c>
      <c r="C52" s="45"/>
      <c r="D52" s="45"/>
      <c r="E52" s="45"/>
      <c r="F52" s="40" t="s">
        <v>670</v>
      </c>
      <c r="G52" s="29" t="s">
        <v>671</v>
      </c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</row>
    <row r="53" ht="24" customHeight="1" spans="1:19">
      <c r="A53" s="25" t="s">
        <v>170</v>
      </c>
      <c r="B53" s="26" t="s">
        <v>377</v>
      </c>
      <c r="C53" s="45"/>
      <c r="D53" s="45"/>
      <c r="E53" s="45"/>
      <c r="F53" s="40" t="s">
        <v>670</v>
      </c>
      <c r="G53" s="29" t="s">
        <v>671</v>
      </c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</row>
    <row r="54" ht="24" customHeight="1" spans="1:19">
      <c r="A54" s="25" t="s">
        <v>193</v>
      </c>
      <c r="B54" s="26" t="s">
        <v>375</v>
      </c>
      <c r="C54" s="45">
        <v>4.33333333333333</v>
      </c>
      <c r="D54" s="45">
        <v>4.875</v>
      </c>
      <c r="E54" s="45">
        <v>0.541666666666667</v>
      </c>
      <c r="F54" s="40" t="s">
        <v>667</v>
      </c>
      <c r="G54" s="29" t="s">
        <v>668</v>
      </c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</row>
    <row r="55" ht="24" customHeight="1" spans="1:19">
      <c r="A55" s="25" t="s">
        <v>193</v>
      </c>
      <c r="B55" s="26" t="s">
        <v>376</v>
      </c>
      <c r="C55" s="45">
        <v>4.125</v>
      </c>
      <c r="D55" s="45">
        <v>5.16666666666667</v>
      </c>
      <c r="E55" s="45">
        <v>1.04166666666667</v>
      </c>
      <c r="F55" s="40" t="s">
        <v>667</v>
      </c>
      <c r="G55" s="29" t="s">
        <v>668</v>
      </c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</row>
    <row r="56" ht="24" customHeight="1" spans="1:19">
      <c r="A56" s="25" t="s">
        <v>193</v>
      </c>
      <c r="B56" s="26" t="s">
        <v>377</v>
      </c>
      <c r="C56" s="45">
        <v>4</v>
      </c>
      <c r="D56" s="45">
        <v>4.83333333333333</v>
      </c>
      <c r="E56" s="45">
        <v>0.833333333333333</v>
      </c>
      <c r="F56" s="40" t="s">
        <v>667</v>
      </c>
      <c r="G56" s="29" t="s">
        <v>668</v>
      </c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</row>
    <row r="57" ht="24" customHeight="1" spans="1:19">
      <c r="A57" s="25" t="s">
        <v>199</v>
      </c>
      <c r="B57" s="26" t="s">
        <v>375</v>
      </c>
      <c r="C57" s="45">
        <v>4.5</v>
      </c>
      <c r="D57" s="45">
        <v>5</v>
      </c>
      <c r="E57" s="45">
        <v>0.5</v>
      </c>
      <c r="F57" s="40" t="s">
        <v>667</v>
      </c>
      <c r="G57" s="29" t="s">
        <v>668</v>
      </c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</row>
    <row r="58" ht="24" customHeight="1" spans="1:19">
      <c r="A58" s="25" t="s">
        <v>199</v>
      </c>
      <c r="B58" s="26" t="s">
        <v>376</v>
      </c>
      <c r="C58" s="45">
        <v>4.58333333333333</v>
      </c>
      <c r="D58" s="45">
        <v>5.29166666666667</v>
      </c>
      <c r="E58" s="45">
        <v>0.708333333333334</v>
      </c>
      <c r="F58" s="40" t="s">
        <v>667</v>
      </c>
      <c r="G58" s="29" t="s">
        <v>668</v>
      </c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</row>
    <row r="59" ht="24" customHeight="1" spans="1:19">
      <c r="A59" s="25" t="s">
        <v>199</v>
      </c>
      <c r="B59" s="26" t="s">
        <v>377</v>
      </c>
      <c r="C59" s="45">
        <v>4.33333333333333</v>
      </c>
      <c r="D59" s="45">
        <v>5.20833333333333</v>
      </c>
      <c r="E59" s="45">
        <v>0.875</v>
      </c>
      <c r="F59" s="40" t="s">
        <v>667</v>
      </c>
      <c r="G59" s="29" t="s">
        <v>668</v>
      </c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</row>
    <row r="60" ht="24" customHeight="1" spans="1:19">
      <c r="A60" s="25" t="s">
        <v>233</v>
      </c>
      <c r="B60" s="26" t="s">
        <v>375</v>
      </c>
      <c r="C60" s="45">
        <v>4.20833333333333</v>
      </c>
      <c r="D60" s="45">
        <v>4.70833333333333</v>
      </c>
      <c r="E60" s="45">
        <v>0.5</v>
      </c>
      <c r="F60" s="40" t="s">
        <v>667</v>
      </c>
      <c r="G60" s="29" t="s">
        <v>668</v>
      </c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</row>
    <row r="61" ht="24" customHeight="1" spans="1:19">
      <c r="A61" s="25" t="s">
        <v>233</v>
      </c>
      <c r="B61" s="26" t="s">
        <v>376</v>
      </c>
      <c r="C61" s="45">
        <v>4.29166666666667</v>
      </c>
      <c r="D61" s="45">
        <v>5</v>
      </c>
      <c r="E61" s="45">
        <v>0.708333333333333</v>
      </c>
      <c r="F61" s="40" t="s">
        <v>667</v>
      </c>
      <c r="G61" s="29" t="s">
        <v>668</v>
      </c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</row>
    <row r="62" ht="24" customHeight="1" spans="1:19">
      <c r="A62" s="25" t="s">
        <v>233</v>
      </c>
      <c r="B62" s="26" t="s">
        <v>377</v>
      </c>
      <c r="C62" s="45">
        <v>3.95833333333333</v>
      </c>
      <c r="D62" s="45">
        <v>4.95833333333333</v>
      </c>
      <c r="E62" s="45">
        <v>1</v>
      </c>
      <c r="F62" s="40" t="s">
        <v>667</v>
      </c>
      <c r="G62" s="29" t="s">
        <v>668</v>
      </c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</row>
    <row r="63" ht="24" customHeight="1" spans="1:19">
      <c r="A63" s="25" t="s">
        <v>239</v>
      </c>
      <c r="B63" s="26" t="s">
        <v>375</v>
      </c>
      <c r="C63" s="45">
        <v>4.66666666666667</v>
      </c>
      <c r="D63" s="45">
        <v>4.79166666666667</v>
      </c>
      <c r="E63" s="45">
        <v>0.125</v>
      </c>
      <c r="F63" s="40" t="s">
        <v>667</v>
      </c>
      <c r="G63" s="29" t="s">
        <v>668</v>
      </c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</row>
    <row r="64" ht="24" customHeight="1" spans="1:19">
      <c r="A64" s="25" t="s">
        <v>239</v>
      </c>
      <c r="B64" s="26" t="s">
        <v>376</v>
      </c>
      <c r="C64" s="45">
        <v>4.5</v>
      </c>
      <c r="D64" s="45">
        <v>4.79166666666667</v>
      </c>
      <c r="E64" s="45">
        <v>0.291666666666667</v>
      </c>
      <c r="F64" s="40" t="s">
        <v>667</v>
      </c>
      <c r="G64" s="29" t="s">
        <v>668</v>
      </c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</row>
    <row r="65" ht="24" customHeight="1" spans="1:19">
      <c r="A65" s="25" t="s">
        <v>239</v>
      </c>
      <c r="B65" s="26" t="s">
        <v>377</v>
      </c>
      <c r="C65" s="45">
        <v>4.125</v>
      </c>
      <c r="D65" s="45">
        <v>5.125</v>
      </c>
      <c r="E65" s="45">
        <v>1</v>
      </c>
      <c r="F65" s="40" t="s">
        <v>667</v>
      </c>
      <c r="G65" s="29" t="s">
        <v>668</v>
      </c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</row>
    <row r="66" ht="24" customHeight="1" spans="1:19">
      <c r="A66" s="25" t="s">
        <v>672</v>
      </c>
      <c r="B66" s="26" t="s">
        <v>375</v>
      </c>
      <c r="C66" s="45">
        <v>4.61111111111111</v>
      </c>
      <c r="D66" s="45">
        <v>4.98611111111111</v>
      </c>
      <c r="E66" s="45">
        <v>0.375</v>
      </c>
      <c r="F66" s="40" t="s">
        <v>667</v>
      </c>
      <c r="G66" s="29" t="s">
        <v>668</v>
      </c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</row>
    <row r="67" ht="24" customHeight="1" spans="1:19">
      <c r="A67" s="25" t="s">
        <v>672</v>
      </c>
      <c r="B67" s="26" t="s">
        <v>376</v>
      </c>
      <c r="C67" s="45">
        <v>4.84722222222222</v>
      </c>
      <c r="D67" s="45">
        <v>5.16666666666667</v>
      </c>
      <c r="E67" s="45">
        <v>0.319444444444446</v>
      </c>
      <c r="F67" s="40" t="s">
        <v>667</v>
      </c>
      <c r="G67" s="29" t="s">
        <v>668</v>
      </c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</row>
    <row r="68" ht="24" customHeight="1" spans="1:19">
      <c r="A68" s="25" t="s">
        <v>672</v>
      </c>
      <c r="B68" s="26" t="s">
        <v>377</v>
      </c>
      <c r="C68" s="45">
        <v>4.63888888888889</v>
      </c>
      <c r="D68" s="45">
        <v>4.97222222222222</v>
      </c>
      <c r="E68" s="45">
        <v>0.333333333333333</v>
      </c>
      <c r="F68" s="40" t="s">
        <v>667</v>
      </c>
      <c r="G68" s="29" t="s">
        <v>668</v>
      </c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</row>
    <row r="69" ht="24" customHeight="1" spans="1:19">
      <c r="A69" s="25" t="s">
        <v>673</v>
      </c>
      <c r="B69" s="26" t="s">
        <v>375</v>
      </c>
      <c r="C69" s="45">
        <v>4.95833333333333</v>
      </c>
      <c r="D69" s="45">
        <v>4.88888888888889</v>
      </c>
      <c r="E69" s="45">
        <v>-0.0694444444444446</v>
      </c>
      <c r="F69" s="40" t="s">
        <v>674</v>
      </c>
      <c r="G69" s="29" t="s">
        <v>668</v>
      </c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</row>
    <row r="70" ht="24" customHeight="1" spans="1:19">
      <c r="A70" s="25" t="s">
        <v>673</v>
      </c>
      <c r="B70" s="26" t="s">
        <v>376</v>
      </c>
      <c r="C70" s="45">
        <v>4.83333333333333</v>
      </c>
      <c r="D70" s="45">
        <v>4.98611111111111</v>
      </c>
      <c r="E70" s="45">
        <v>0.152777777777778</v>
      </c>
      <c r="F70" s="40" t="s">
        <v>667</v>
      </c>
      <c r="G70" s="29" t="s">
        <v>668</v>
      </c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</row>
    <row r="71" ht="24" customHeight="1" spans="1:19">
      <c r="A71" s="25" t="s">
        <v>673</v>
      </c>
      <c r="B71" s="26" t="s">
        <v>377</v>
      </c>
      <c r="C71" s="45">
        <v>4.88888888888889</v>
      </c>
      <c r="D71" s="45">
        <v>4.97222222222222</v>
      </c>
      <c r="E71" s="45">
        <v>0.083333333333333</v>
      </c>
      <c r="F71" s="40" t="s">
        <v>667</v>
      </c>
      <c r="G71" s="29" t="s">
        <v>668</v>
      </c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</row>
    <row r="72" ht="24" customHeight="1" spans="1:19">
      <c r="A72" s="25"/>
      <c r="B72" s="26"/>
      <c r="C72" s="40"/>
      <c r="D72" s="40"/>
      <c r="E72" s="40"/>
      <c r="F72" s="40"/>
      <c r="G72" s="41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</row>
    <row r="73" ht="24" customHeight="1" spans="1:19">
      <c r="A73" s="46" t="s">
        <v>675</v>
      </c>
      <c r="B73" s="47"/>
      <c r="C73" s="48"/>
      <c r="D73" s="48"/>
      <c r="E73" s="48"/>
      <c r="F73" s="48"/>
      <c r="G73" s="49"/>
      <c r="H73" s="50"/>
      <c r="I73" s="50"/>
      <c r="J73" s="50"/>
      <c r="K73" s="50"/>
      <c r="L73" s="50"/>
      <c r="M73" s="50"/>
      <c r="N73" s="30"/>
      <c r="O73" s="30"/>
      <c r="P73" s="30"/>
      <c r="Q73" s="30"/>
      <c r="R73" s="30"/>
      <c r="S73" s="30"/>
    </row>
    <row r="74" ht="24" customHeight="1" spans="1:19">
      <c r="A74" s="46" t="s">
        <v>676</v>
      </c>
      <c r="B74" s="47" t="s">
        <v>380</v>
      </c>
      <c r="C74" s="48" t="s">
        <v>379</v>
      </c>
      <c r="D74" s="48" t="s">
        <v>677</v>
      </c>
      <c r="E74" s="48" t="s">
        <v>678</v>
      </c>
      <c r="F74" s="48" t="s">
        <v>679</v>
      </c>
      <c r="G74" s="49" t="s">
        <v>680</v>
      </c>
      <c r="H74" s="50" t="s">
        <v>146</v>
      </c>
      <c r="I74" s="50"/>
      <c r="J74" s="50"/>
      <c r="K74" s="50"/>
      <c r="L74" s="50"/>
      <c r="M74" s="50"/>
      <c r="N74" s="30"/>
      <c r="O74" s="30"/>
      <c r="P74" s="30"/>
      <c r="Q74" s="30"/>
      <c r="R74" s="30"/>
      <c r="S74" s="30"/>
    </row>
    <row r="75" ht="24" customHeight="1" spans="1:19">
      <c r="A75" s="25" t="s">
        <v>681</v>
      </c>
      <c r="B75" s="51" t="s">
        <v>682</v>
      </c>
      <c r="C75" s="27" t="s">
        <v>683</v>
      </c>
      <c r="D75" s="27" t="s">
        <v>684</v>
      </c>
      <c r="E75" s="27" t="s">
        <v>685</v>
      </c>
      <c r="F75" s="27" t="s">
        <v>686</v>
      </c>
      <c r="G75" s="29" t="s">
        <v>687</v>
      </c>
      <c r="H75" s="52" t="s">
        <v>688</v>
      </c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</row>
    <row r="76" ht="24" customHeight="1" spans="1:19">
      <c r="A76" s="33" t="s">
        <v>689</v>
      </c>
      <c r="B76" s="53" t="s">
        <v>690</v>
      </c>
      <c r="C76" s="35" t="s">
        <v>691</v>
      </c>
      <c r="D76" s="35" t="s">
        <v>692</v>
      </c>
      <c r="E76" s="35" t="s">
        <v>685</v>
      </c>
      <c r="F76" s="35" t="s">
        <v>686</v>
      </c>
      <c r="G76" s="37" t="s">
        <v>687</v>
      </c>
      <c r="H76" s="52" t="s">
        <v>688</v>
      </c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</row>
    <row r="77" ht="52" spans="1:19">
      <c r="A77" s="30" t="s">
        <v>693</v>
      </c>
      <c r="B77" s="52" t="s">
        <v>694</v>
      </c>
      <c r="C77" s="52" t="s">
        <v>695</v>
      </c>
      <c r="D77" s="52" t="s">
        <v>696</v>
      </c>
      <c r="E77" s="52" t="s">
        <v>685</v>
      </c>
      <c r="F77" s="52" t="s">
        <v>686</v>
      </c>
      <c r="G77" s="52" t="s">
        <v>687</v>
      </c>
      <c r="H77" s="52" t="s">
        <v>688</v>
      </c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</row>
    <row r="78" ht="30" customHeight="1" spans="1:19">
      <c r="A78" s="18" t="s">
        <v>697</v>
      </c>
      <c r="B78" s="54" t="s">
        <v>698</v>
      </c>
      <c r="C78" s="54" t="s">
        <v>699</v>
      </c>
      <c r="D78" s="54" t="s">
        <v>700</v>
      </c>
      <c r="E78" s="54" t="s">
        <v>685</v>
      </c>
      <c r="F78" s="54" t="s">
        <v>686</v>
      </c>
      <c r="G78" s="54" t="s">
        <v>687</v>
      </c>
      <c r="H78" s="54" t="s">
        <v>688</v>
      </c>
    </row>
    <row r="79" ht="38" customHeight="1" spans="1:19">
      <c r="A79" s="20" t="s">
        <v>701</v>
      </c>
      <c r="B79" s="55" t="s">
        <v>702</v>
      </c>
      <c r="C79" s="55" t="s">
        <v>703</v>
      </c>
      <c r="D79" s="55" t="s">
        <v>704</v>
      </c>
      <c r="E79" s="55" t="s">
        <v>685</v>
      </c>
      <c r="F79" s="55" t="s">
        <v>686</v>
      </c>
      <c r="G79" s="55" t="s">
        <v>687</v>
      </c>
      <c r="H79" s="56" t="s">
        <v>688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2"/>
    </row>
    <row r="80" ht="26" customHeight="1" spans="1:19">
      <c r="A80" s="25" t="s">
        <v>705</v>
      </c>
      <c r="B80" s="27" t="s">
        <v>706</v>
      </c>
      <c r="C80" s="27" t="s">
        <v>706</v>
      </c>
      <c r="D80" s="27" t="s">
        <v>707</v>
      </c>
      <c r="E80" s="27" t="s">
        <v>685</v>
      </c>
      <c r="F80" s="27" t="s">
        <v>686</v>
      </c>
      <c r="G80" s="27" t="s">
        <v>687</v>
      </c>
      <c r="H80" s="29" t="s">
        <v>708</v>
      </c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</row>
    <row r="81" ht="26" customHeight="1" spans="1:19">
      <c r="A81" s="25" t="s">
        <v>709</v>
      </c>
      <c r="B81" s="27" t="s">
        <v>710</v>
      </c>
      <c r="C81" s="27" t="s">
        <v>710</v>
      </c>
      <c r="D81" s="27" t="s">
        <v>707</v>
      </c>
      <c r="E81" s="27" t="s">
        <v>685</v>
      </c>
      <c r="F81" s="27" t="s">
        <v>686</v>
      </c>
      <c r="G81" s="27" t="s">
        <v>687</v>
      </c>
      <c r="H81" s="29" t="s">
        <v>711</v>
      </c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</row>
    <row r="82" ht="26" customHeight="1" spans="1:19">
      <c r="A82" s="33" t="s">
        <v>494</v>
      </c>
      <c r="B82" s="35" t="s">
        <v>712</v>
      </c>
      <c r="C82" s="35" t="s">
        <v>713</v>
      </c>
      <c r="D82" s="35" t="s">
        <v>714</v>
      </c>
      <c r="E82" s="35" t="s">
        <v>685</v>
      </c>
      <c r="F82" s="35" t="s">
        <v>686</v>
      </c>
      <c r="G82" s="35" t="s">
        <v>687</v>
      </c>
      <c r="H82" s="37" t="s">
        <v>47</v>
      </c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</row>
    <row r="83" ht="26" customHeight="1" spans="1:19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</row>
    <row r="84" ht="26" customHeight="1" spans="1:19">
      <c r="A84" s="18" t="s">
        <v>715</v>
      </c>
    </row>
    <row r="85" ht="26" customHeight="1" spans="1:19">
      <c r="A85" s="20" t="s">
        <v>716</v>
      </c>
      <c r="B85" s="21" t="s">
        <v>717</v>
      </c>
      <c r="C85" s="21" t="s">
        <v>718</v>
      </c>
      <c r="D85" s="21" t="s">
        <v>719</v>
      </c>
      <c r="E85" s="21" t="s">
        <v>720</v>
      </c>
      <c r="F85" s="21" t="s">
        <v>721</v>
      </c>
      <c r="G85" s="22" t="s">
        <v>146</v>
      </c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2"/>
    </row>
    <row r="86" ht="26" customHeight="1" spans="1:19">
      <c r="A86" s="25" t="s">
        <v>722</v>
      </c>
      <c r="B86" s="40" t="s">
        <v>191</v>
      </c>
      <c r="C86" s="40" t="s">
        <v>191</v>
      </c>
      <c r="D86" s="40" t="s">
        <v>191</v>
      </c>
      <c r="E86" s="40" t="s">
        <v>191</v>
      </c>
      <c r="F86" s="40" t="s">
        <v>191</v>
      </c>
      <c r="G86" s="41" t="s">
        <v>191</v>
      </c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</row>
    <row r="87" ht="26" customHeight="1" spans="1:19">
      <c r="A87" s="25" t="s">
        <v>723</v>
      </c>
      <c r="B87" s="40">
        <v>9</v>
      </c>
      <c r="C87" s="40">
        <v>10</v>
      </c>
      <c r="D87" s="40">
        <v>5</v>
      </c>
      <c r="E87" s="40">
        <v>15</v>
      </c>
      <c r="F87" s="40">
        <v>4</v>
      </c>
      <c r="G87" s="41" t="s">
        <v>724</v>
      </c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</row>
    <row r="88" ht="26" customHeight="1" spans="1:19">
      <c r="A88" s="25" t="s">
        <v>725</v>
      </c>
      <c r="B88" s="40">
        <v>10</v>
      </c>
      <c r="C88" s="40">
        <v>9</v>
      </c>
      <c r="D88" s="40">
        <v>5</v>
      </c>
      <c r="E88" s="40">
        <v>18</v>
      </c>
      <c r="F88" s="40">
        <v>1</v>
      </c>
      <c r="G88" s="41" t="s">
        <v>724</v>
      </c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</row>
    <row r="89" ht="26" customHeight="1" spans="1:19">
      <c r="A89" s="25" t="s">
        <v>726</v>
      </c>
      <c r="B89" s="40" t="s">
        <v>727</v>
      </c>
      <c r="C89" s="40"/>
      <c r="D89" s="40" t="s">
        <v>728</v>
      </c>
      <c r="E89" s="40"/>
      <c r="F89" s="40"/>
      <c r="G89" s="41" t="s">
        <v>729</v>
      </c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</row>
    <row r="90" ht="26" customHeight="1" spans="1:19">
      <c r="A90" s="33" t="s">
        <v>730</v>
      </c>
      <c r="B90" s="43" t="s">
        <v>731</v>
      </c>
      <c r="C90" s="43"/>
      <c r="D90" s="43"/>
      <c r="E90" s="43"/>
      <c r="F90" s="43"/>
      <c r="G90" s="44" t="s">
        <v>732</v>
      </c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</row>
    <row r="91" ht="52" spans="1:19">
      <c r="A91" s="30" t="s">
        <v>733</v>
      </c>
      <c r="B91" s="30">
        <v>7</v>
      </c>
      <c r="C91" s="30"/>
      <c r="D91" s="30"/>
      <c r="E91" s="30"/>
      <c r="F91" s="30"/>
      <c r="G91" s="30" t="s">
        <v>734</v>
      </c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</row>
    <row r="92" ht="30" customHeight="1" spans="1:19">
      <c r="A92" s="18"/>
      <c r="B92" t="s">
        <v>735</v>
      </c>
      <c r="C92" t="s">
        <v>736</v>
      </c>
      <c r="D92" t="s">
        <v>737</v>
      </c>
      <c r="G92" t="s">
        <v>738</v>
      </c>
    </row>
    <row r="93" ht="38" customHeight="1" spans="1:19">
      <c r="A93" s="20" t="s">
        <v>739</v>
      </c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2"/>
    </row>
    <row r="94" ht="30" customHeight="1" spans="1:19">
      <c r="A94" s="46" t="s">
        <v>349</v>
      </c>
      <c r="B94" s="48" t="s">
        <v>740</v>
      </c>
      <c r="C94" s="48" t="s">
        <v>741</v>
      </c>
      <c r="D94" s="48" t="s">
        <v>742</v>
      </c>
      <c r="E94" s="48" t="s">
        <v>743</v>
      </c>
      <c r="F94" s="48" t="s">
        <v>744</v>
      </c>
      <c r="G94" s="48" t="s">
        <v>745</v>
      </c>
      <c r="H94" s="48" t="s">
        <v>746</v>
      </c>
      <c r="I94" s="48" t="s">
        <v>747</v>
      </c>
      <c r="J94" s="48" t="s">
        <v>748</v>
      </c>
      <c r="K94" s="48" t="s">
        <v>749</v>
      </c>
      <c r="L94" s="48" t="s">
        <v>750</v>
      </c>
      <c r="M94" s="48" t="s">
        <v>751</v>
      </c>
      <c r="N94" s="48" t="s">
        <v>752</v>
      </c>
      <c r="O94" s="48" t="s">
        <v>753</v>
      </c>
      <c r="P94" s="48" t="s">
        <v>754</v>
      </c>
      <c r="Q94" s="48" t="s">
        <v>755</v>
      </c>
      <c r="R94" s="48" t="s">
        <v>756</v>
      </c>
      <c r="S94" s="49" t="s">
        <v>757</v>
      </c>
    </row>
    <row r="95" ht="30" customHeight="1" spans="1:19">
      <c r="A95" s="25" t="s">
        <v>372</v>
      </c>
      <c r="B95" s="27" t="s">
        <v>527</v>
      </c>
      <c r="C95" s="27" t="s">
        <v>528</v>
      </c>
      <c r="D95" s="57">
        <v>1</v>
      </c>
      <c r="E95" s="57">
        <v>1</v>
      </c>
      <c r="F95" s="57">
        <v>0</v>
      </c>
      <c r="G95" s="57">
        <v>1</v>
      </c>
      <c r="H95" s="57">
        <v>0</v>
      </c>
      <c r="I95" s="57">
        <v>0</v>
      </c>
      <c r="J95" s="57">
        <v>0</v>
      </c>
      <c r="K95" s="57">
        <v>1</v>
      </c>
      <c r="L95" s="57">
        <v>0</v>
      </c>
      <c r="M95" s="57">
        <v>0</v>
      </c>
      <c r="N95" s="57">
        <v>0</v>
      </c>
      <c r="O95" s="57">
        <v>0</v>
      </c>
      <c r="P95" s="57">
        <v>0</v>
      </c>
      <c r="Q95" s="27" t="s">
        <v>758</v>
      </c>
      <c r="R95" s="27" t="s">
        <v>759</v>
      </c>
      <c r="S95" s="29" t="s">
        <v>760</v>
      </c>
    </row>
    <row r="96" ht="30" customHeight="1" spans="1:19">
      <c r="A96" s="25" t="s">
        <v>388</v>
      </c>
      <c r="B96" s="27" t="s">
        <v>530</v>
      </c>
      <c r="C96" s="27" t="s">
        <v>528</v>
      </c>
      <c r="D96" s="57">
        <v>1</v>
      </c>
      <c r="E96" s="57">
        <v>1</v>
      </c>
      <c r="F96" s="57">
        <v>0</v>
      </c>
      <c r="G96" s="57">
        <v>0</v>
      </c>
      <c r="H96" s="57">
        <v>1</v>
      </c>
      <c r="I96" s="57">
        <v>0</v>
      </c>
      <c r="J96" s="57">
        <v>0</v>
      </c>
      <c r="K96" s="57">
        <v>1</v>
      </c>
      <c r="L96" s="57">
        <v>0</v>
      </c>
      <c r="M96" s="57">
        <v>0</v>
      </c>
      <c r="N96" s="57">
        <v>1</v>
      </c>
      <c r="O96" s="57">
        <v>0</v>
      </c>
      <c r="P96" s="57">
        <v>0</v>
      </c>
      <c r="Q96" s="27" t="s">
        <v>761</v>
      </c>
      <c r="R96" s="27" t="s">
        <v>761</v>
      </c>
      <c r="S96" s="29" t="s">
        <v>762</v>
      </c>
    </row>
    <row r="97" ht="30" customHeight="1" spans="1:19">
      <c r="A97" s="25" t="s">
        <v>395</v>
      </c>
      <c r="B97" s="27" t="s">
        <v>532</v>
      </c>
      <c r="C97" s="27" t="s">
        <v>533</v>
      </c>
      <c r="D97" s="57">
        <v>1</v>
      </c>
      <c r="E97" s="57">
        <v>0</v>
      </c>
      <c r="F97" s="57">
        <v>1</v>
      </c>
      <c r="G97" s="57">
        <v>0</v>
      </c>
      <c r="H97" s="57">
        <v>1</v>
      </c>
      <c r="I97" s="57">
        <v>1</v>
      </c>
      <c r="J97" s="57">
        <v>0</v>
      </c>
      <c r="K97" s="57">
        <v>1</v>
      </c>
      <c r="L97" s="57">
        <v>0</v>
      </c>
      <c r="M97" s="57">
        <v>0</v>
      </c>
      <c r="N97" s="57">
        <v>1</v>
      </c>
      <c r="O97" s="57">
        <v>0</v>
      </c>
      <c r="P97" s="57">
        <v>0</v>
      </c>
      <c r="Q97" s="27" t="s">
        <v>763</v>
      </c>
      <c r="R97" s="27" t="s">
        <v>763</v>
      </c>
      <c r="S97" s="29" t="s">
        <v>762</v>
      </c>
    </row>
    <row r="98" ht="30" customHeight="1" spans="1:19">
      <c r="A98" s="25" t="s">
        <v>400</v>
      </c>
      <c r="B98" s="27" t="s">
        <v>535</v>
      </c>
      <c r="C98" s="27" t="s">
        <v>536</v>
      </c>
      <c r="D98" s="57">
        <v>0</v>
      </c>
      <c r="E98" s="57">
        <v>0</v>
      </c>
      <c r="F98" s="57">
        <v>1</v>
      </c>
      <c r="G98" s="57">
        <v>1</v>
      </c>
      <c r="H98" s="57">
        <v>0</v>
      </c>
      <c r="I98" s="57">
        <v>1</v>
      </c>
      <c r="J98" s="57">
        <v>0</v>
      </c>
      <c r="K98" s="57">
        <v>1</v>
      </c>
      <c r="L98" s="57">
        <v>1</v>
      </c>
      <c r="M98" s="57">
        <v>1</v>
      </c>
      <c r="N98" s="57">
        <v>0</v>
      </c>
      <c r="O98" s="57">
        <v>0</v>
      </c>
      <c r="P98" s="57">
        <v>0</v>
      </c>
      <c r="Q98" s="27" t="s">
        <v>764</v>
      </c>
      <c r="R98" s="27" t="s">
        <v>765</v>
      </c>
      <c r="S98" s="29" t="s">
        <v>766</v>
      </c>
    </row>
    <row r="99" ht="30" customHeight="1" spans="1:19">
      <c r="A99" s="25" t="s">
        <v>405</v>
      </c>
      <c r="B99" s="27" t="s">
        <v>530</v>
      </c>
      <c r="C99" s="27" t="s">
        <v>533</v>
      </c>
      <c r="D99" s="57">
        <v>1</v>
      </c>
      <c r="E99" s="57">
        <v>0</v>
      </c>
      <c r="F99" s="57">
        <v>1</v>
      </c>
      <c r="G99" s="57">
        <v>0</v>
      </c>
      <c r="H99" s="57">
        <v>1</v>
      </c>
      <c r="I99" s="57">
        <v>1</v>
      </c>
      <c r="J99" s="57">
        <v>0</v>
      </c>
      <c r="K99" s="57">
        <v>1</v>
      </c>
      <c r="L99" s="57">
        <v>0</v>
      </c>
      <c r="M99" s="57">
        <v>0</v>
      </c>
      <c r="N99" s="57">
        <v>1</v>
      </c>
      <c r="O99" s="57">
        <v>0</v>
      </c>
      <c r="P99" s="57">
        <v>0</v>
      </c>
      <c r="Q99" s="27" t="s">
        <v>763</v>
      </c>
      <c r="R99" s="27" t="s">
        <v>763</v>
      </c>
      <c r="S99" s="29" t="s">
        <v>762</v>
      </c>
    </row>
    <row r="100" ht="30" customHeight="1" spans="1:19">
      <c r="A100" s="25" t="s">
        <v>409</v>
      </c>
      <c r="B100" s="27" t="s">
        <v>527</v>
      </c>
      <c r="C100" s="27" t="s">
        <v>528</v>
      </c>
      <c r="D100" s="57">
        <v>1</v>
      </c>
      <c r="E100" s="57">
        <v>1</v>
      </c>
      <c r="F100" s="57">
        <v>0</v>
      </c>
      <c r="G100" s="57">
        <v>1</v>
      </c>
      <c r="H100" s="57">
        <v>0</v>
      </c>
      <c r="I100" s="57">
        <v>0</v>
      </c>
      <c r="J100" s="57">
        <v>0</v>
      </c>
      <c r="K100" s="57">
        <v>1</v>
      </c>
      <c r="L100" s="57">
        <v>0</v>
      </c>
      <c r="M100" s="57">
        <v>0</v>
      </c>
      <c r="N100" s="57">
        <v>0</v>
      </c>
      <c r="O100" s="57">
        <v>0</v>
      </c>
      <c r="P100" s="57">
        <v>0</v>
      </c>
      <c r="Q100" s="27" t="s">
        <v>758</v>
      </c>
      <c r="R100" s="27" t="s">
        <v>759</v>
      </c>
      <c r="S100" s="29" t="s">
        <v>760</v>
      </c>
    </row>
    <row r="101" ht="30" customHeight="1" spans="1:19">
      <c r="A101" s="25" t="s">
        <v>412</v>
      </c>
      <c r="B101" s="27" t="s">
        <v>532</v>
      </c>
      <c r="C101" s="27" t="s">
        <v>540</v>
      </c>
      <c r="D101" s="57">
        <v>1</v>
      </c>
      <c r="E101" s="57">
        <v>0</v>
      </c>
      <c r="F101" s="57">
        <v>0</v>
      </c>
      <c r="G101" s="57">
        <v>1</v>
      </c>
      <c r="H101" s="57">
        <v>1</v>
      </c>
      <c r="I101" s="57">
        <v>0</v>
      </c>
      <c r="J101" s="57">
        <v>0</v>
      </c>
      <c r="K101" s="57">
        <v>1</v>
      </c>
      <c r="L101" s="57">
        <v>0</v>
      </c>
      <c r="M101" s="57">
        <v>1</v>
      </c>
      <c r="N101" s="57">
        <v>1</v>
      </c>
      <c r="O101" s="57">
        <v>0</v>
      </c>
      <c r="P101" s="57">
        <v>0</v>
      </c>
      <c r="Q101" s="27" t="s">
        <v>767</v>
      </c>
      <c r="R101" s="27" t="s">
        <v>767</v>
      </c>
      <c r="S101" s="29" t="s">
        <v>762</v>
      </c>
    </row>
    <row r="102" ht="30" customHeight="1" spans="1:19">
      <c r="A102" s="25" t="s">
        <v>417</v>
      </c>
      <c r="B102" s="27" t="s">
        <v>527</v>
      </c>
      <c r="C102" s="27" t="s">
        <v>536</v>
      </c>
      <c r="D102" s="57">
        <v>0</v>
      </c>
      <c r="E102" s="57">
        <v>0</v>
      </c>
      <c r="F102" s="57">
        <v>1</v>
      </c>
      <c r="G102" s="57">
        <v>1</v>
      </c>
      <c r="H102" s="57">
        <v>0</v>
      </c>
      <c r="I102" s="57">
        <v>0</v>
      </c>
      <c r="J102" s="57">
        <v>0</v>
      </c>
      <c r="K102" s="57">
        <v>1</v>
      </c>
      <c r="L102" s="57">
        <v>1</v>
      </c>
      <c r="M102" s="57">
        <v>1</v>
      </c>
      <c r="N102" s="57">
        <v>0</v>
      </c>
      <c r="O102" s="57">
        <v>0</v>
      </c>
      <c r="P102" s="57">
        <v>0</v>
      </c>
      <c r="Q102" s="27" t="s">
        <v>768</v>
      </c>
      <c r="R102" s="27" t="s">
        <v>769</v>
      </c>
      <c r="S102" s="29" t="s">
        <v>770</v>
      </c>
    </row>
    <row r="103" ht="30" customHeight="1" spans="1:19">
      <c r="A103" s="25" t="s">
        <v>420</v>
      </c>
      <c r="B103" s="27" t="s">
        <v>543</v>
      </c>
      <c r="C103" s="27" t="s">
        <v>528</v>
      </c>
      <c r="D103" s="57">
        <v>1</v>
      </c>
      <c r="E103" s="57">
        <v>1</v>
      </c>
      <c r="F103" s="57">
        <v>0</v>
      </c>
      <c r="G103" s="57">
        <v>1</v>
      </c>
      <c r="H103" s="57">
        <v>0</v>
      </c>
      <c r="I103" s="57">
        <v>1</v>
      </c>
      <c r="J103" s="57">
        <v>0</v>
      </c>
      <c r="K103" s="57">
        <v>0</v>
      </c>
      <c r="L103" s="57">
        <v>0</v>
      </c>
      <c r="M103" s="57">
        <v>0</v>
      </c>
      <c r="N103" s="57">
        <v>0</v>
      </c>
      <c r="O103" s="57">
        <v>0</v>
      </c>
      <c r="P103" s="57">
        <v>0</v>
      </c>
      <c r="Q103" s="27" t="s">
        <v>759</v>
      </c>
      <c r="R103" s="27" t="s">
        <v>771</v>
      </c>
      <c r="S103" s="29" t="s">
        <v>772</v>
      </c>
    </row>
    <row r="104" ht="30" customHeight="1" spans="1:19">
      <c r="A104" s="25" t="s">
        <v>423</v>
      </c>
      <c r="B104" s="27" t="s">
        <v>543</v>
      </c>
      <c r="C104" s="27" t="s">
        <v>533</v>
      </c>
      <c r="D104" s="57">
        <v>0</v>
      </c>
      <c r="E104" s="57">
        <v>0</v>
      </c>
      <c r="F104" s="57">
        <v>1</v>
      </c>
      <c r="G104" s="57">
        <v>1</v>
      </c>
      <c r="H104" s="57">
        <v>1</v>
      </c>
      <c r="I104" s="57">
        <v>1</v>
      </c>
      <c r="J104" s="57">
        <v>0</v>
      </c>
      <c r="K104" s="57">
        <v>0</v>
      </c>
      <c r="L104" s="57">
        <v>0</v>
      </c>
      <c r="M104" s="57">
        <v>0</v>
      </c>
      <c r="N104" s="57">
        <v>1</v>
      </c>
      <c r="O104" s="57">
        <v>0</v>
      </c>
      <c r="P104" s="57">
        <v>0</v>
      </c>
      <c r="Q104" s="27" t="s">
        <v>773</v>
      </c>
      <c r="R104" s="27" t="s">
        <v>774</v>
      </c>
      <c r="S104" s="29" t="s">
        <v>775</v>
      </c>
    </row>
    <row r="105" ht="30" customHeight="1" spans="1:19">
      <c r="A105" s="25" t="s">
        <v>426</v>
      </c>
      <c r="B105" s="27" t="s">
        <v>532</v>
      </c>
      <c r="C105" s="27" t="s">
        <v>528</v>
      </c>
      <c r="D105" s="57">
        <v>1</v>
      </c>
      <c r="E105" s="57">
        <v>1</v>
      </c>
      <c r="F105" s="57">
        <v>0</v>
      </c>
      <c r="G105" s="57">
        <v>0</v>
      </c>
      <c r="H105" s="57">
        <v>1</v>
      </c>
      <c r="I105" s="57">
        <v>0</v>
      </c>
      <c r="J105" s="57">
        <v>0</v>
      </c>
      <c r="K105" s="57">
        <v>1</v>
      </c>
      <c r="L105" s="57">
        <v>0</v>
      </c>
      <c r="M105" s="57">
        <v>0</v>
      </c>
      <c r="N105" s="57">
        <v>1</v>
      </c>
      <c r="O105" s="57">
        <v>0</v>
      </c>
      <c r="P105" s="57">
        <v>0</v>
      </c>
      <c r="Q105" s="27" t="s">
        <v>761</v>
      </c>
      <c r="R105" s="27" t="s">
        <v>761</v>
      </c>
      <c r="S105" s="29" t="s">
        <v>762</v>
      </c>
    </row>
    <row r="106" ht="30" customHeight="1" spans="1:19">
      <c r="A106" s="25" t="s">
        <v>429</v>
      </c>
      <c r="B106" s="27" t="s">
        <v>532</v>
      </c>
      <c r="C106" s="27" t="s">
        <v>536</v>
      </c>
      <c r="D106" s="57">
        <v>1</v>
      </c>
      <c r="E106" s="57">
        <v>0</v>
      </c>
      <c r="F106" s="57">
        <v>1</v>
      </c>
      <c r="G106" s="57">
        <v>0</v>
      </c>
      <c r="H106" s="57">
        <v>1</v>
      </c>
      <c r="I106" s="57">
        <v>0</v>
      </c>
      <c r="J106" s="57">
        <v>0</v>
      </c>
      <c r="K106" s="57">
        <v>1</v>
      </c>
      <c r="L106" s="57">
        <v>1</v>
      </c>
      <c r="M106" s="57">
        <v>1</v>
      </c>
      <c r="N106" s="57">
        <v>1</v>
      </c>
      <c r="O106" s="57">
        <v>0</v>
      </c>
      <c r="P106" s="57">
        <v>0</v>
      </c>
      <c r="Q106" s="27" t="s">
        <v>776</v>
      </c>
      <c r="R106" s="27" t="s">
        <v>777</v>
      </c>
      <c r="S106" s="29" t="s">
        <v>778</v>
      </c>
    </row>
    <row r="107" ht="30" customHeight="1" spans="1:19">
      <c r="A107" s="25" t="s">
        <v>432</v>
      </c>
      <c r="B107" s="27" t="s">
        <v>527</v>
      </c>
      <c r="C107" s="27" t="s">
        <v>533</v>
      </c>
      <c r="D107" s="57">
        <v>0</v>
      </c>
      <c r="E107" s="57">
        <v>0</v>
      </c>
      <c r="F107" s="57">
        <v>1</v>
      </c>
      <c r="G107" s="57">
        <v>1</v>
      </c>
      <c r="H107" s="57">
        <v>1</v>
      </c>
      <c r="I107" s="57">
        <v>1</v>
      </c>
      <c r="J107" s="57">
        <v>0</v>
      </c>
      <c r="K107" s="57">
        <v>1</v>
      </c>
      <c r="L107" s="57">
        <v>0</v>
      </c>
      <c r="M107" s="57">
        <v>0</v>
      </c>
      <c r="N107" s="57">
        <v>1</v>
      </c>
      <c r="O107" s="57">
        <v>0</v>
      </c>
      <c r="P107" s="57">
        <v>0</v>
      </c>
      <c r="Q107" s="27" t="s">
        <v>779</v>
      </c>
      <c r="R107" s="27" t="s">
        <v>774</v>
      </c>
      <c r="S107" s="29" t="s">
        <v>780</v>
      </c>
    </row>
    <row r="108" ht="30" customHeight="1" spans="1:19">
      <c r="A108" s="25" t="s">
        <v>435</v>
      </c>
      <c r="B108" s="27" t="s">
        <v>530</v>
      </c>
      <c r="C108" s="27" t="s">
        <v>536</v>
      </c>
      <c r="D108" s="57">
        <v>1</v>
      </c>
      <c r="E108" s="57">
        <v>0</v>
      </c>
      <c r="F108" s="57">
        <v>1</v>
      </c>
      <c r="G108" s="57">
        <v>0</v>
      </c>
      <c r="H108" s="57">
        <v>1</v>
      </c>
      <c r="I108" s="57">
        <v>0</v>
      </c>
      <c r="J108" s="57">
        <v>0</v>
      </c>
      <c r="K108" s="57">
        <v>1</v>
      </c>
      <c r="L108" s="57">
        <v>1</v>
      </c>
      <c r="M108" s="57">
        <v>1</v>
      </c>
      <c r="N108" s="57">
        <v>1</v>
      </c>
      <c r="O108" s="57">
        <v>0</v>
      </c>
      <c r="P108" s="57">
        <v>0</v>
      </c>
      <c r="Q108" s="27" t="s">
        <v>776</v>
      </c>
      <c r="R108" s="27" t="s">
        <v>777</v>
      </c>
      <c r="S108" s="29" t="s">
        <v>778</v>
      </c>
    </row>
    <row r="109" ht="30" customHeight="1" spans="1:19">
      <c r="A109" s="25" t="s">
        <v>438</v>
      </c>
      <c r="B109" s="27" t="s">
        <v>532</v>
      </c>
      <c r="C109" s="27" t="s">
        <v>536</v>
      </c>
      <c r="D109" s="57">
        <v>1</v>
      </c>
      <c r="E109" s="57">
        <v>0</v>
      </c>
      <c r="F109" s="57">
        <v>1</v>
      </c>
      <c r="G109" s="57">
        <v>0</v>
      </c>
      <c r="H109" s="57">
        <v>1</v>
      </c>
      <c r="I109" s="57">
        <v>0</v>
      </c>
      <c r="J109" s="57">
        <v>0</v>
      </c>
      <c r="K109" s="57">
        <v>1</v>
      </c>
      <c r="L109" s="57">
        <v>1</v>
      </c>
      <c r="M109" s="57">
        <v>1</v>
      </c>
      <c r="N109" s="57">
        <v>1</v>
      </c>
      <c r="O109" s="57">
        <v>0</v>
      </c>
      <c r="P109" s="57">
        <v>0</v>
      </c>
      <c r="Q109" s="27" t="s">
        <v>776</v>
      </c>
      <c r="R109" s="27" t="s">
        <v>777</v>
      </c>
      <c r="S109" s="29" t="s">
        <v>778</v>
      </c>
    </row>
    <row r="110" ht="30" customHeight="1" spans="1:19">
      <c r="A110" s="25" t="s">
        <v>441</v>
      </c>
      <c r="B110" s="27" t="s">
        <v>532</v>
      </c>
      <c r="C110" s="27" t="s">
        <v>536</v>
      </c>
      <c r="D110" s="57">
        <v>1</v>
      </c>
      <c r="E110" s="57">
        <v>0</v>
      </c>
      <c r="F110" s="57">
        <v>1</v>
      </c>
      <c r="G110" s="57">
        <v>0</v>
      </c>
      <c r="H110" s="57">
        <v>1</v>
      </c>
      <c r="I110" s="57">
        <v>0</v>
      </c>
      <c r="J110" s="57">
        <v>0</v>
      </c>
      <c r="K110" s="57">
        <v>1</v>
      </c>
      <c r="L110" s="57">
        <v>1</v>
      </c>
      <c r="M110" s="57">
        <v>1</v>
      </c>
      <c r="N110" s="57">
        <v>1</v>
      </c>
      <c r="O110" s="57">
        <v>0</v>
      </c>
      <c r="P110" s="57">
        <v>0</v>
      </c>
      <c r="Q110" s="27" t="s">
        <v>776</v>
      </c>
      <c r="R110" s="27" t="s">
        <v>777</v>
      </c>
      <c r="S110" s="29" t="s">
        <v>778</v>
      </c>
    </row>
    <row r="111" ht="30" customHeight="1" spans="1:19">
      <c r="A111" s="25" t="s">
        <v>444</v>
      </c>
      <c r="B111" s="27" t="s">
        <v>530</v>
      </c>
      <c r="C111" s="27" t="s">
        <v>536</v>
      </c>
      <c r="D111" s="57">
        <v>1</v>
      </c>
      <c r="E111" s="57">
        <v>0</v>
      </c>
      <c r="F111" s="57">
        <v>1</v>
      </c>
      <c r="G111" s="57">
        <v>0</v>
      </c>
      <c r="H111" s="57">
        <v>1</v>
      </c>
      <c r="I111" s="57">
        <v>0</v>
      </c>
      <c r="J111" s="57">
        <v>0</v>
      </c>
      <c r="K111" s="57">
        <v>1</v>
      </c>
      <c r="L111" s="57">
        <v>1</v>
      </c>
      <c r="M111" s="57">
        <v>1</v>
      </c>
      <c r="N111" s="57">
        <v>1</v>
      </c>
      <c r="O111" s="57">
        <v>0</v>
      </c>
      <c r="P111" s="57">
        <v>0</v>
      </c>
      <c r="Q111" s="27" t="s">
        <v>776</v>
      </c>
      <c r="R111" s="27" t="s">
        <v>777</v>
      </c>
      <c r="S111" s="29" t="s">
        <v>778</v>
      </c>
    </row>
    <row r="112" ht="30" customHeight="1" spans="1:19">
      <c r="A112" s="25" t="s">
        <v>447</v>
      </c>
      <c r="B112" s="27" t="s">
        <v>530</v>
      </c>
      <c r="C112" s="27" t="s">
        <v>528</v>
      </c>
      <c r="D112" s="57">
        <v>1</v>
      </c>
      <c r="E112" s="57">
        <v>1</v>
      </c>
      <c r="F112" s="57">
        <v>0</v>
      </c>
      <c r="G112" s="57">
        <v>0</v>
      </c>
      <c r="H112" s="57">
        <v>1</v>
      </c>
      <c r="I112" s="57">
        <v>0</v>
      </c>
      <c r="J112" s="57">
        <v>0</v>
      </c>
      <c r="K112" s="57">
        <v>1</v>
      </c>
      <c r="L112" s="57">
        <v>0</v>
      </c>
      <c r="M112" s="57">
        <v>0</v>
      </c>
      <c r="N112" s="57">
        <v>1</v>
      </c>
      <c r="O112" s="57">
        <v>0</v>
      </c>
      <c r="P112" s="57">
        <v>0</v>
      </c>
      <c r="Q112" s="27" t="s">
        <v>761</v>
      </c>
      <c r="R112" s="27" t="s">
        <v>761</v>
      </c>
      <c r="S112" s="29" t="s">
        <v>762</v>
      </c>
    </row>
    <row r="113" ht="30" customHeight="1" spans="1:19">
      <c r="A113" s="25" t="s">
        <v>451</v>
      </c>
      <c r="B113" s="27" t="s">
        <v>527</v>
      </c>
      <c r="C113" s="27" t="s">
        <v>536</v>
      </c>
      <c r="D113" s="57">
        <v>0</v>
      </c>
      <c r="E113" s="57">
        <v>0</v>
      </c>
      <c r="F113" s="57">
        <v>1</v>
      </c>
      <c r="G113" s="57">
        <v>1</v>
      </c>
      <c r="H113" s="57">
        <v>0</v>
      </c>
      <c r="I113" s="57">
        <v>0</v>
      </c>
      <c r="J113" s="57">
        <v>0</v>
      </c>
      <c r="K113" s="57">
        <v>1</v>
      </c>
      <c r="L113" s="57">
        <v>1</v>
      </c>
      <c r="M113" s="57">
        <v>1</v>
      </c>
      <c r="N113" s="57">
        <v>0</v>
      </c>
      <c r="O113" s="57">
        <v>0</v>
      </c>
      <c r="P113" s="57">
        <v>0</v>
      </c>
      <c r="Q113" s="27" t="s">
        <v>768</v>
      </c>
      <c r="R113" s="27" t="s">
        <v>769</v>
      </c>
      <c r="S113" s="29" t="s">
        <v>770</v>
      </c>
    </row>
    <row r="114" ht="30" customHeight="1" spans="1:19">
      <c r="A114" s="25" t="s">
        <v>454</v>
      </c>
      <c r="B114" s="27" t="s">
        <v>535</v>
      </c>
      <c r="C114" s="27" t="s">
        <v>533</v>
      </c>
      <c r="D114" s="57">
        <v>0</v>
      </c>
      <c r="E114" s="57">
        <v>0</v>
      </c>
      <c r="F114" s="57">
        <v>1</v>
      </c>
      <c r="G114" s="57">
        <v>1</v>
      </c>
      <c r="H114" s="57">
        <v>1</v>
      </c>
      <c r="I114" s="57">
        <v>1</v>
      </c>
      <c r="J114" s="57">
        <v>0</v>
      </c>
      <c r="K114" s="57">
        <v>0</v>
      </c>
      <c r="L114" s="57">
        <v>0</v>
      </c>
      <c r="M114" s="57">
        <v>0</v>
      </c>
      <c r="N114" s="57">
        <v>1</v>
      </c>
      <c r="O114" s="57">
        <v>0</v>
      </c>
      <c r="P114" s="57">
        <v>0</v>
      </c>
      <c r="Q114" s="27" t="s">
        <v>773</v>
      </c>
      <c r="R114" s="27" t="s">
        <v>774</v>
      </c>
      <c r="S114" s="29" t="s">
        <v>775</v>
      </c>
    </row>
    <row r="115" ht="30" customHeight="1" spans="1:19">
      <c r="A115" s="25" t="s">
        <v>457</v>
      </c>
      <c r="B115" s="27" t="s">
        <v>530</v>
      </c>
      <c r="C115" s="27" t="s">
        <v>536</v>
      </c>
      <c r="D115" s="57">
        <v>1</v>
      </c>
      <c r="E115" s="57">
        <v>0</v>
      </c>
      <c r="F115" s="57">
        <v>1</v>
      </c>
      <c r="G115" s="57">
        <v>0</v>
      </c>
      <c r="H115" s="57">
        <v>1</v>
      </c>
      <c r="I115" s="57">
        <v>0</v>
      </c>
      <c r="J115" s="57">
        <v>0</v>
      </c>
      <c r="K115" s="57">
        <v>1</v>
      </c>
      <c r="L115" s="57">
        <v>1</v>
      </c>
      <c r="M115" s="57">
        <v>1</v>
      </c>
      <c r="N115" s="57">
        <v>1</v>
      </c>
      <c r="O115" s="57">
        <v>0</v>
      </c>
      <c r="P115" s="57">
        <v>0</v>
      </c>
      <c r="Q115" s="27" t="s">
        <v>776</v>
      </c>
      <c r="R115" s="27" t="s">
        <v>777</v>
      </c>
      <c r="S115" s="29" t="s">
        <v>778</v>
      </c>
    </row>
    <row r="116" ht="30" customHeight="1" spans="1:19">
      <c r="A116" s="25" t="s">
        <v>460</v>
      </c>
      <c r="B116" s="27" t="s">
        <v>530</v>
      </c>
      <c r="C116" s="27" t="s">
        <v>536</v>
      </c>
      <c r="D116" s="57">
        <v>1</v>
      </c>
      <c r="E116" s="57">
        <v>0</v>
      </c>
      <c r="F116" s="57">
        <v>1</v>
      </c>
      <c r="G116" s="57">
        <v>0</v>
      </c>
      <c r="H116" s="57">
        <v>1</v>
      </c>
      <c r="I116" s="57">
        <v>0</v>
      </c>
      <c r="J116" s="57">
        <v>0</v>
      </c>
      <c r="K116" s="57">
        <v>1</v>
      </c>
      <c r="L116" s="57">
        <v>1</v>
      </c>
      <c r="M116" s="57">
        <v>1</v>
      </c>
      <c r="N116" s="57">
        <v>1</v>
      </c>
      <c r="O116" s="57">
        <v>0</v>
      </c>
      <c r="P116" s="57">
        <v>0</v>
      </c>
      <c r="Q116" s="27" t="s">
        <v>776</v>
      </c>
      <c r="R116" s="27" t="s">
        <v>777</v>
      </c>
      <c r="S116" s="29" t="s">
        <v>778</v>
      </c>
    </row>
    <row r="117" ht="30" customHeight="1" spans="1:19">
      <c r="A117" s="33" t="s">
        <v>463</v>
      </c>
      <c r="B117" s="35" t="s">
        <v>532</v>
      </c>
      <c r="C117" s="35" t="s">
        <v>528</v>
      </c>
      <c r="D117" s="58">
        <v>1</v>
      </c>
      <c r="E117" s="58">
        <v>1</v>
      </c>
      <c r="F117" s="58">
        <v>0</v>
      </c>
      <c r="G117" s="58">
        <v>0</v>
      </c>
      <c r="H117" s="58">
        <v>1</v>
      </c>
      <c r="I117" s="58">
        <v>0</v>
      </c>
      <c r="J117" s="58">
        <v>0</v>
      </c>
      <c r="K117" s="58">
        <v>1</v>
      </c>
      <c r="L117" s="58">
        <v>0</v>
      </c>
      <c r="M117" s="58">
        <v>0</v>
      </c>
      <c r="N117" s="58">
        <v>1</v>
      </c>
      <c r="O117" s="58">
        <v>0</v>
      </c>
      <c r="P117" s="58">
        <v>0</v>
      </c>
      <c r="Q117" s="35" t="s">
        <v>761</v>
      </c>
      <c r="R117" s="35" t="s">
        <v>761</v>
      </c>
      <c r="S117" s="37" t="s">
        <v>762</v>
      </c>
    </row>
    <row r="118" ht="78" spans="1:19">
      <c r="A118" s="30" t="s">
        <v>467</v>
      </c>
      <c r="B118" s="52" t="s">
        <v>532</v>
      </c>
      <c r="C118" s="52" t="s">
        <v>536</v>
      </c>
      <c r="D118" s="59">
        <v>1</v>
      </c>
      <c r="E118" s="59">
        <v>0</v>
      </c>
      <c r="F118" s="59">
        <v>1</v>
      </c>
      <c r="G118" s="59">
        <v>0</v>
      </c>
      <c r="H118" s="59">
        <v>1</v>
      </c>
      <c r="I118" s="59">
        <v>0</v>
      </c>
      <c r="J118" s="59">
        <v>0</v>
      </c>
      <c r="K118" s="59">
        <v>1</v>
      </c>
      <c r="L118" s="59">
        <v>1</v>
      </c>
      <c r="M118" s="59">
        <v>1</v>
      </c>
      <c r="N118" s="59">
        <v>1</v>
      </c>
      <c r="O118" s="59">
        <v>0</v>
      </c>
      <c r="P118" s="59">
        <v>0</v>
      </c>
      <c r="Q118" s="52" t="s">
        <v>776</v>
      </c>
      <c r="R118" s="52" t="s">
        <v>777</v>
      </c>
      <c r="S118" s="52" t="s">
        <v>778</v>
      </c>
    </row>
  </sheetData>
  <mergeCells count="9">
    <mergeCell ref="A1:S1"/>
    <mergeCell ref="A2:S2"/>
    <mergeCell ref="A3:S3"/>
    <mergeCell ref="A13:S13"/>
    <mergeCell ref="A21:S21"/>
    <mergeCell ref="A40:S40"/>
    <mergeCell ref="A78:S78"/>
    <mergeCell ref="A84:S84"/>
    <mergeCell ref="A92:S92"/>
  </mergeCells>
  <conditionalFormatting sqref="P4:P10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type="list" sqref="D94:P117">
      <formula1>"0,1"</formula1>
    </dataValidation>
  </dataValidations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" sqref="A1:H1"/>
    </sheetView>
  </sheetViews>
  <sheetFormatPr defaultColWidth="9" defaultRowHeight="14.5" outlineLevelCol="7"/>
  <cols>
    <col min="1" max="1" width="20" customWidth="1"/>
    <col min="2" max="2" width="88" customWidth="1"/>
  </cols>
  <sheetData>
    <row r="1" ht="21" spans="1:8">
      <c r="A1" s="12" t="s">
        <v>781</v>
      </c>
      <c r="B1" s="12"/>
      <c r="C1" s="12"/>
      <c r="D1" s="12"/>
      <c r="E1" s="12"/>
      <c r="F1" s="12"/>
      <c r="G1" s="12"/>
      <c r="H1" s="12"/>
    </row>
    <row r="2" spans="1:8">
      <c r="A2" s="3"/>
      <c r="B2" s="3"/>
      <c r="C2" s="3"/>
      <c r="D2" s="3"/>
      <c r="E2" s="3"/>
      <c r="F2" s="3"/>
      <c r="G2" s="3"/>
      <c r="H2" s="3"/>
    </row>
    <row r="3" spans="1:8">
      <c r="A3" s="13" t="s">
        <v>782</v>
      </c>
      <c r="B3" s="13" t="s">
        <v>5</v>
      </c>
      <c r="C3" s="3"/>
      <c r="D3" s="3"/>
      <c r="E3" s="3"/>
      <c r="F3" s="3"/>
      <c r="G3" s="3"/>
      <c r="H3" s="3"/>
    </row>
    <row r="4" spans="1:8">
      <c r="A4" s="14" t="s">
        <v>783</v>
      </c>
      <c r="B4" s="14" t="s">
        <v>784</v>
      </c>
      <c r="C4" s="3"/>
      <c r="D4" s="3"/>
      <c r="E4" s="3"/>
      <c r="F4" s="3"/>
      <c r="G4" s="3"/>
      <c r="H4" s="3"/>
    </row>
    <row r="5" spans="1:8">
      <c r="A5" s="14" t="s">
        <v>785</v>
      </c>
      <c r="B5" s="14" t="s">
        <v>786</v>
      </c>
      <c r="C5" s="3"/>
      <c r="D5" s="3"/>
      <c r="E5" s="3"/>
      <c r="F5" s="3"/>
      <c r="G5" s="3"/>
      <c r="H5" s="3"/>
    </row>
    <row r="6" spans="1:8">
      <c r="A6" s="14" t="s">
        <v>787</v>
      </c>
      <c r="B6" s="14" t="s">
        <v>788</v>
      </c>
      <c r="C6" s="3"/>
      <c r="D6" s="3"/>
      <c r="E6" s="3"/>
      <c r="F6" s="3"/>
      <c r="G6" s="3"/>
      <c r="H6" s="3"/>
    </row>
    <row r="7" spans="1:8">
      <c r="A7" s="14" t="s">
        <v>789</v>
      </c>
      <c r="B7" s="14">
        <v>560327</v>
      </c>
      <c r="C7" s="3"/>
      <c r="D7" s="3"/>
      <c r="E7" s="3"/>
      <c r="F7" s="3"/>
      <c r="G7" s="3"/>
      <c r="H7" s="3"/>
    </row>
    <row r="8" spans="1:8">
      <c r="A8" s="14" t="s">
        <v>790</v>
      </c>
      <c r="B8" s="14" t="s">
        <v>791</v>
      </c>
      <c r="C8" s="3"/>
      <c r="D8" s="3"/>
      <c r="E8" s="3"/>
      <c r="F8" s="3"/>
      <c r="G8" s="3"/>
      <c r="H8" s="3"/>
    </row>
    <row r="9" ht="28.5" spans="1:8">
      <c r="A9" s="14" t="s">
        <v>792</v>
      </c>
      <c r="B9" s="14" t="s">
        <v>793</v>
      </c>
      <c r="C9" s="3"/>
      <c r="D9" s="3"/>
      <c r="E9" s="3"/>
      <c r="F9" s="3"/>
      <c r="G9" s="3"/>
      <c r="H9" s="3"/>
    </row>
    <row r="10" spans="1:8">
      <c r="A10" s="14" t="s">
        <v>794</v>
      </c>
      <c r="B10" s="14" t="s">
        <v>795</v>
      </c>
      <c r="C10" s="3"/>
      <c r="D10" s="3"/>
      <c r="E10" s="3"/>
      <c r="F10" s="3"/>
      <c r="G10" s="3"/>
      <c r="H10" s="3"/>
    </row>
    <row r="11" spans="1:8">
      <c r="A11" s="14" t="s">
        <v>796</v>
      </c>
      <c r="B11" s="14" t="s">
        <v>797</v>
      </c>
      <c r="C11" s="3"/>
      <c r="D11" s="3"/>
      <c r="E11" s="3"/>
      <c r="F11" s="3"/>
      <c r="G11" s="3"/>
      <c r="H11" s="3"/>
    </row>
    <row r="12" ht="28" spans="1:8">
      <c r="A12" s="14" t="s">
        <v>798</v>
      </c>
      <c r="B12" s="14" t="s">
        <v>799</v>
      </c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ht="28" customHeight="1" spans="1:8">
      <c r="A14" s="15" t="s">
        <v>800</v>
      </c>
      <c r="B14" s="15"/>
      <c r="C14" s="15"/>
      <c r="D14" s="15"/>
      <c r="E14" s="15"/>
      <c r="F14" s="15"/>
      <c r="G14" s="15"/>
      <c r="H14" s="15"/>
    </row>
    <row r="15" ht="28" customHeight="1" spans="1:8">
      <c r="A15" s="15"/>
      <c r="B15" s="15"/>
      <c r="C15" s="15"/>
      <c r="D15" s="15"/>
      <c r="E15" s="15"/>
      <c r="F15" s="15"/>
      <c r="G15" s="15"/>
      <c r="H15" s="15"/>
    </row>
    <row r="16" ht="28" customHeight="1" spans="1:8">
      <c r="A16" s="15"/>
      <c r="B16" s="15"/>
      <c r="C16" s="15"/>
      <c r="D16" s="15"/>
      <c r="E16" s="15"/>
      <c r="F16" s="15"/>
      <c r="G16" s="15"/>
      <c r="H16" s="15"/>
    </row>
    <row r="17" ht="28" customHeight="1" spans="1:8">
      <c r="A17" s="15"/>
      <c r="B17" s="15"/>
      <c r="C17" s="15"/>
      <c r="D17" s="15"/>
      <c r="E17" s="15"/>
      <c r="F17" s="15"/>
      <c r="G17" s="15"/>
      <c r="H17" s="15"/>
    </row>
    <row r="18" ht="28" customHeight="1" spans="1:8">
      <c r="A18" s="15"/>
      <c r="B18" s="15"/>
      <c r="C18" s="15"/>
      <c r="D18" s="15"/>
      <c r="E18" s="15"/>
      <c r="F18" s="15"/>
      <c r="G18" s="15"/>
      <c r="H18" s="15"/>
    </row>
  </sheetData>
  <mergeCells count="2">
    <mergeCell ref="A1:H1"/>
    <mergeCell ref="A14:H18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2"/>
  <sheetViews>
    <sheetView workbookViewId="0">
      <selection activeCell="A1" sqref="A1:P1"/>
    </sheetView>
  </sheetViews>
  <sheetFormatPr defaultColWidth="9" defaultRowHeight="14.5"/>
  <cols>
    <col min="1" max="1" width="16" customWidth="1"/>
    <col min="2" max="5" width="14" customWidth="1"/>
    <col min="6" max="14" width="12" customWidth="1"/>
    <col min="15" max="15" width="13" customWidth="1"/>
    <col min="16" max="16" width="12" customWidth="1"/>
    <col min="17" max="20" width="20" customWidth="1"/>
    <col min="21" max="22" width="18" customWidth="1"/>
  </cols>
  <sheetData>
    <row r="1" ht="19.5" spans="1:22">
      <c r="A1" s="1" t="s">
        <v>801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3"/>
      <c r="R1" s="3"/>
      <c r="S1" s="3"/>
      <c r="T1" s="3"/>
      <c r="U1" s="3"/>
      <c r="V1" s="3"/>
    </row>
    <row r="2" spans="1:22">
      <c r="A2" s="8" t="s">
        <v>802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3"/>
      <c r="R2" s="3"/>
      <c r="S2" s="3"/>
      <c r="T2" s="3"/>
      <c r="U2" s="3"/>
      <c r="V2" s="3"/>
    </row>
    <row r="3" spans="1:2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29" spans="1:22">
      <c r="A4" s="9" t="s">
        <v>349</v>
      </c>
      <c r="B4" s="9" t="s">
        <v>472</v>
      </c>
      <c r="C4" s="9" t="s">
        <v>474</v>
      </c>
      <c r="D4" s="9" t="s">
        <v>476</v>
      </c>
      <c r="E4" s="9" t="s">
        <v>803</v>
      </c>
      <c r="F4" s="9" t="s">
        <v>148</v>
      </c>
      <c r="G4" s="9" t="s">
        <v>199</v>
      </c>
      <c r="H4" s="9" t="s">
        <v>157</v>
      </c>
      <c r="I4" s="9" t="s">
        <v>164</v>
      </c>
      <c r="J4" s="9" t="s">
        <v>193</v>
      </c>
      <c r="K4" s="9" t="s">
        <v>233</v>
      </c>
      <c r="L4" s="9" t="s">
        <v>239</v>
      </c>
      <c r="M4" s="9" t="s">
        <v>804</v>
      </c>
      <c r="N4" s="9" t="s">
        <v>805</v>
      </c>
      <c r="O4" s="9" t="s">
        <v>806</v>
      </c>
      <c r="P4" s="9" t="s">
        <v>807</v>
      </c>
      <c r="Q4" s="3"/>
      <c r="R4" s="3"/>
      <c r="S4" s="3"/>
      <c r="T4" s="3"/>
      <c r="U4" s="3"/>
      <c r="V4" s="3"/>
    </row>
    <row r="5" spans="1:22">
      <c r="A5" s="3" t="str">
        <f>Records!A5</f>
        <v>P001</v>
      </c>
      <c r="B5" s="3">
        <f>Records!B5</f>
        <v>1</v>
      </c>
      <c r="C5" s="3" t="str">
        <f>Records!E5</f>
        <v>鼠标</v>
      </c>
      <c r="D5" s="3" t="str">
        <f>Records!G5</f>
        <v>方法A</v>
      </c>
      <c r="E5" s="3" t="str">
        <f>Records!H5</f>
        <v>EgoAnchor</v>
      </c>
      <c r="F5" s="5">
        <f>Records!K5</f>
        <v>5</v>
      </c>
      <c r="G5" s="5">
        <f>Records!R5</f>
        <v>5</v>
      </c>
      <c r="H5" s="5">
        <f>Records!L5</f>
        <v>5</v>
      </c>
      <c r="I5" s="5">
        <f>Records!M5</f>
        <v>5</v>
      </c>
      <c r="J5" s="5">
        <f>Records!Q5</f>
        <v>5</v>
      </c>
      <c r="K5" s="5">
        <f>Records!W5</f>
        <v>4</v>
      </c>
      <c r="L5" s="5">
        <f>Records!X5</f>
        <v>5</v>
      </c>
      <c r="M5" s="5">
        <f>IF(COUNT(Records!S5:U5)=0,"",AVERAGE(Records!S5:U5))</f>
        <v>5</v>
      </c>
      <c r="N5" s="5">
        <f>IF(COUNT(Records!O5,Records!P5,Records!V5)=0,"",AVERAGE(Records!O5,Records!P5,Records!V5))</f>
        <v>4.66666666666667</v>
      </c>
      <c r="O5" s="3" t="str">
        <f>Records!AD5</f>
        <v>是</v>
      </c>
      <c r="P5" s="10">
        <f>5</f>
        <v>5</v>
      </c>
      <c r="Q5" s="3"/>
      <c r="R5" s="3"/>
      <c r="S5" s="3"/>
      <c r="T5" s="3"/>
      <c r="U5" s="3"/>
      <c r="V5" s="3"/>
    </row>
    <row r="6" spans="1:22">
      <c r="A6" s="3" t="str">
        <f>Records!A6</f>
        <v>P001</v>
      </c>
      <c r="B6" s="3">
        <f>Records!B6</f>
        <v>2</v>
      </c>
      <c r="C6" s="3" t="str">
        <f>Records!E6</f>
        <v>鼠标</v>
      </c>
      <c r="D6" s="3" t="str">
        <f>Records!G6</f>
        <v>方法B</v>
      </c>
      <c r="E6" s="3" t="str">
        <f>Records!H6</f>
        <v>One-Euro</v>
      </c>
      <c r="F6" s="5">
        <f>Records!K6</f>
        <v>3</v>
      </c>
      <c r="G6" s="5">
        <f>Records!R6</f>
        <v>5</v>
      </c>
      <c r="H6" s="5">
        <f>Records!L6</f>
        <v>6</v>
      </c>
      <c r="I6" s="5">
        <f>Records!M6</f>
        <v>4</v>
      </c>
      <c r="J6" s="5">
        <f>Records!Q6</f>
        <v>4</v>
      </c>
      <c r="K6" s="5">
        <f>Records!W6</f>
        <v>3</v>
      </c>
      <c r="L6" s="5">
        <f>Records!X6</f>
        <v>4</v>
      </c>
      <c r="M6" s="5">
        <f>IF(COUNT(Records!S6:U6)=0,"",AVERAGE(Records!S6:U6))</f>
        <v>4.66666666666667</v>
      </c>
      <c r="N6" s="5">
        <f>IF(COUNT(Records!O6,Records!P6,Records!V6)=0,"",AVERAGE(Records!O6,Records!P6,Records!V6))</f>
        <v>5.33333333333333</v>
      </c>
      <c r="O6" s="3" t="str">
        <f>Records!AD6</f>
        <v>是</v>
      </c>
      <c r="P6" s="10">
        <f>6</f>
        <v>6</v>
      </c>
      <c r="Q6" s="3"/>
      <c r="R6" s="3"/>
      <c r="S6" s="3"/>
      <c r="T6" s="3"/>
      <c r="U6" s="3"/>
      <c r="V6" s="3"/>
    </row>
    <row r="7" spans="1:22">
      <c r="A7" s="3" t="str">
        <f>Records!A7</f>
        <v>P001</v>
      </c>
      <c r="B7" s="3">
        <f>Records!B7</f>
        <v>3</v>
      </c>
      <c r="C7" s="3" t="str">
        <f>Records!E7</f>
        <v>固定订书机</v>
      </c>
      <c r="D7" s="3" t="str">
        <f>Records!G7</f>
        <v>方法B</v>
      </c>
      <c r="E7" s="3" t="str">
        <f>Records!H7</f>
        <v>One-Euro</v>
      </c>
      <c r="F7" s="5">
        <f>Records!K7</f>
        <v>4</v>
      </c>
      <c r="G7" s="5">
        <f>Records!R7</f>
        <v>6</v>
      </c>
      <c r="H7" s="5">
        <f>Records!L7</f>
        <v>4</v>
      </c>
      <c r="I7" s="5">
        <f>Records!M7</f>
        <v>3</v>
      </c>
      <c r="J7" s="5">
        <f>Records!Q7</f>
        <v>3</v>
      </c>
      <c r="K7" s="5">
        <f>Records!W7</f>
        <v>5</v>
      </c>
      <c r="L7" s="5">
        <f>Records!X7</f>
        <v>5</v>
      </c>
      <c r="M7" s="5">
        <f>IF(COUNT(Records!S7:U7)=0,"",AVERAGE(Records!S7:U7))</f>
        <v>5.33333333333333</v>
      </c>
      <c r="N7" s="5">
        <f>IF(COUNT(Records!O7,Records!P7,Records!V7)=0,"",AVERAGE(Records!O7,Records!P7,Records!V7))</f>
        <v>4.66666666666667</v>
      </c>
      <c r="O7" s="3" t="str">
        <f>Records!AD7</f>
        <v>是</v>
      </c>
      <c r="P7" s="10">
        <f>7</f>
        <v>7</v>
      </c>
      <c r="Q7" s="3"/>
      <c r="R7" s="3"/>
      <c r="S7" s="3"/>
      <c r="T7" s="3"/>
      <c r="U7" s="3"/>
      <c r="V7" s="3"/>
    </row>
    <row r="8" spans="1:22">
      <c r="A8" s="3" t="str">
        <f>Records!A8</f>
        <v>P001</v>
      </c>
      <c r="B8" s="3">
        <f>Records!B8</f>
        <v>4</v>
      </c>
      <c r="C8" s="3" t="str">
        <f>Records!E8</f>
        <v>固定订书机</v>
      </c>
      <c r="D8" s="3" t="str">
        <f>Records!G8</f>
        <v>方法A</v>
      </c>
      <c r="E8" s="3" t="str">
        <f>Records!H8</f>
        <v>EgoAnchor</v>
      </c>
      <c r="F8" s="5">
        <f>Records!K8</f>
        <v>5</v>
      </c>
      <c r="G8" s="5">
        <f>Records!R8</f>
        <v>6</v>
      </c>
      <c r="H8" s="5">
        <f>Records!L8</f>
        <v>6</v>
      </c>
      <c r="I8" s="5">
        <f>Records!M8</f>
        <v>5</v>
      </c>
      <c r="J8" s="5">
        <f>Records!Q8</f>
        <v>6</v>
      </c>
      <c r="K8" s="5">
        <f>Records!W8</f>
        <v>6</v>
      </c>
      <c r="L8" s="5">
        <f>Records!X8</f>
        <v>4</v>
      </c>
      <c r="M8" s="5">
        <f>IF(COUNT(Records!S8:U8)=0,"",AVERAGE(Records!S8:U8))</f>
        <v>5.33333333333333</v>
      </c>
      <c r="N8" s="5">
        <f>IF(COUNT(Records!O8,Records!P8,Records!V8)=0,"",AVERAGE(Records!O8,Records!P8,Records!V8))</f>
        <v>5</v>
      </c>
      <c r="O8" s="3" t="str">
        <f>Records!AD8</f>
        <v>是</v>
      </c>
      <c r="P8" s="10">
        <f>8</f>
        <v>8</v>
      </c>
      <c r="Q8" s="3"/>
      <c r="R8" s="3"/>
      <c r="S8" s="3"/>
      <c r="T8" s="3"/>
      <c r="U8" s="3"/>
      <c r="V8" s="3"/>
    </row>
    <row r="9" spans="1:22">
      <c r="A9" s="3" t="str">
        <f>Records!A9</f>
        <v>P001</v>
      </c>
      <c r="B9" s="3">
        <f>Records!B9</f>
        <v>5</v>
      </c>
      <c r="C9" s="3" t="str">
        <f>Records!E9</f>
        <v>游戏手柄</v>
      </c>
      <c r="D9" s="3" t="str">
        <f>Records!G9</f>
        <v>方法A</v>
      </c>
      <c r="E9" s="3" t="str">
        <f>Records!H9</f>
        <v>EgoAnchor</v>
      </c>
      <c r="F9" s="5">
        <f>Records!K9</f>
        <v>5</v>
      </c>
      <c r="G9" s="5">
        <f>Records!R9</f>
        <v>5</v>
      </c>
      <c r="H9" s="5">
        <f>Records!L9</f>
        <v>5</v>
      </c>
      <c r="I9" s="5">
        <f>Records!M9</f>
        <v>4</v>
      </c>
      <c r="J9" s="5">
        <f>Records!Q9</f>
        <v>5</v>
      </c>
      <c r="K9" s="5">
        <f>Records!W9</f>
        <v>5</v>
      </c>
      <c r="L9" s="5">
        <f>Records!X9</f>
        <v>5</v>
      </c>
      <c r="M9" s="5">
        <f>IF(COUNT(Records!S9:U9)=0,"",AVERAGE(Records!S9:U9))</f>
        <v>4.33333333333333</v>
      </c>
      <c r="N9" s="5">
        <f>IF(COUNT(Records!O9,Records!P9,Records!V9)=0,"",AVERAGE(Records!O9,Records!P9,Records!V9))</f>
        <v>5</v>
      </c>
      <c r="O9" s="3" t="str">
        <f>Records!AD9</f>
        <v>是</v>
      </c>
      <c r="P9" s="10">
        <f>9</f>
        <v>9</v>
      </c>
      <c r="Q9" s="3"/>
      <c r="R9" s="3"/>
      <c r="S9" s="3"/>
      <c r="T9" s="3"/>
      <c r="U9" s="3"/>
      <c r="V9" s="3"/>
    </row>
    <row r="10" spans="1:22">
      <c r="A10" s="3" t="str">
        <f>Records!A10</f>
        <v>P001</v>
      </c>
      <c r="B10" s="3">
        <f>Records!B10</f>
        <v>6</v>
      </c>
      <c r="C10" s="3" t="str">
        <f>Records!E10</f>
        <v>游戏手柄</v>
      </c>
      <c r="D10" s="3" t="str">
        <f>Records!G10</f>
        <v>方法B</v>
      </c>
      <c r="E10" s="3" t="str">
        <f>Records!H10</f>
        <v>One-Euro</v>
      </c>
      <c r="F10" s="5">
        <f>Records!K10</f>
        <v>3</v>
      </c>
      <c r="G10" s="5">
        <f>Records!R10</f>
        <v>5</v>
      </c>
      <c r="H10" s="5">
        <f>Records!L10</f>
        <v>5</v>
      </c>
      <c r="I10" s="5">
        <f>Records!M10</f>
        <v>6</v>
      </c>
      <c r="J10" s="5">
        <f>Records!Q10</f>
        <v>4</v>
      </c>
      <c r="K10" s="5">
        <f>Records!W10</f>
        <v>4</v>
      </c>
      <c r="L10" s="5">
        <f>Records!X10</f>
        <v>4</v>
      </c>
      <c r="M10" s="5">
        <f>IF(COUNT(Records!S10:U10)=0,"",AVERAGE(Records!S10:U10))</f>
        <v>4</v>
      </c>
      <c r="N10" s="5">
        <f>IF(COUNT(Records!O10,Records!P10,Records!V10)=0,"",AVERAGE(Records!O10,Records!P10,Records!V10))</f>
        <v>4.66666666666667</v>
      </c>
      <c r="O10" s="3" t="str">
        <f>Records!AD10</f>
        <v>是</v>
      </c>
      <c r="P10" s="10">
        <f>10</f>
        <v>10</v>
      </c>
      <c r="Q10" s="3"/>
      <c r="R10" s="3"/>
      <c r="S10" s="3"/>
      <c r="T10" s="3"/>
      <c r="U10" s="3"/>
      <c r="V10" s="3"/>
    </row>
    <row r="11" spans="1:22">
      <c r="A11" s="3" t="str">
        <f>Records!A11</f>
        <v>P002</v>
      </c>
      <c r="B11" s="3">
        <f>Records!B11</f>
        <v>1</v>
      </c>
      <c r="C11" s="3" t="str">
        <f>Records!E11</f>
        <v>鼠标</v>
      </c>
      <c r="D11" s="3" t="str">
        <f>Records!G11</f>
        <v>方法B</v>
      </c>
      <c r="E11" s="3" t="str">
        <f>Records!H11</f>
        <v>One-Euro</v>
      </c>
      <c r="F11" s="5">
        <f>Records!K11</f>
        <v>5</v>
      </c>
      <c r="G11" s="5">
        <f>Records!R11</f>
        <v>5</v>
      </c>
      <c r="H11" s="5">
        <f>Records!L11</f>
        <v>7</v>
      </c>
      <c r="I11" s="5">
        <f>Records!M11</f>
        <v>4</v>
      </c>
      <c r="J11" s="5">
        <f>Records!Q11</f>
        <v>6</v>
      </c>
      <c r="K11" s="5">
        <f>Records!W11</f>
        <v>4</v>
      </c>
      <c r="L11" s="5">
        <f>Records!X11</f>
        <v>6</v>
      </c>
      <c r="M11" s="5">
        <f>IF(COUNT(Records!S11:U11)=0,"",AVERAGE(Records!S11:U11))</f>
        <v>5.33333333333333</v>
      </c>
      <c r="N11" s="5">
        <f>IF(COUNT(Records!O11,Records!P11,Records!V11)=0,"",AVERAGE(Records!O11,Records!P11,Records!V11))</f>
        <v>5.66666666666667</v>
      </c>
      <c r="O11" s="3" t="str">
        <f>Records!AD11</f>
        <v>是</v>
      </c>
      <c r="P11" s="10">
        <f>11</f>
        <v>11</v>
      </c>
      <c r="Q11" s="3"/>
      <c r="R11" s="3"/>
      <c r="S11" s="3"/>
      <c r="T11" s="3"/>
      <c r="U11" s="3"/>
      <c r="V11" s="3"/>
    </row>
    <row r="12" spans="1:22">
      <c r="A12" s="3" t="str">
        <f>Records!A12</f>
        <v>P002</v>
      </c>
      <c r="B12" s="3">
        <f>Records!B12</f>
        <v>2</v>
      </c>
      <c r="C12" s="3" t="str">
        <f>Records!E12</f>
        <v>鼠标</v>
      </c>
      <c r="D12" s="3" t="str">
        <f>Records!G12</f>
        <v>方法A</v>
      </c>
      <c r="E12" s="3" t="str">
        <f>Records!H12</f>
        <v>EgoAnchor</v>
      </c>
      <c r="F12" s="5">
        <f>Records!K12</f>
        <v>5</v>
      </c>
      <c r="G12" s="5">
        <f>Records!R12</f>
        <v>5</v>
      </c>
      <c r="H12" s="5">
        <f>Records!L12</f>
        <v>7</v>
      </c>
      <c r="I12" s="5">
        <f>Records!M12</f>
        <v>6</v>
      </c>
      <c r="J12" s="5">
        <f>Records!Q12</f>
        <v>6</v>
      </c>
      <c r="K12" s="5">
        <f>Records!W12</f>
        <v>7</v>
      </c>
      <c r="L12" s="5">
        <f>Records!X12</f>
        <v>6</v>
      </c>
      <c r="M12" s="5">
        <f>IF(COUNT(Records!S12:U12)=0,"",AVERAGE(Records!S12:U12))</f>
        <v>6</v>
      </c>
      <c r="N12" s="5">
        <f>IF(COUNT(Records!O12,Records!P12,Records!V12)=0,"",AVERAGE(Records!O12,Records!P12,Records!V12))</f>
        <v>4.66666666666667</v>
      </c>
      <c r="O12" s="3" t="str">
        <f>Records!AD12</f>
        <v>是</v>
      </c>
      <c r="P12" s="10">
        <f>12</f>
        <v>12</v>
      </c>
      <c r="Q12" s="3"/>
      <c r="R12" s="3"/>
      <c r="S12" s="3"/>
      <c r="T12" s="3"/>
      <c r="U12" s="3"/>
      <c r="V12" s="3"/>
    </row>
    <row r="13" spans="1:22">
      <c r="A13" s="3" t="str">
        <f>Records!A13</f>
        <v>P002</v>
      </c>
      <c r="B13" s="3">
        <f>Records!B13</f>
        <v>3</v>
      </c>
      <c r="C13" s="3" t="str">
        <f>Records!E13</f>
        <v>固定订书机</v>
      </c>
      <c r="D13" s="3" t="str">
        <f>Records!G13</f>
        <v>方法A</v>
      </c>
      <c r="E13" s="3" t="str">
        <f>Records!H13</f>
        <v>EgoAnchor</v>
      </c>
      <c r="F13" s="5">
        <f>Records!K13</f>
        <v>5</v>
      </c>
      <c r="G13" s="5">
        <f>Records!R13</f>
        <v>6</v>
      </c>
      <c r="H13" s="5">
        <f>Records!L13</f>
        <v>5</v>
      </c>
      <c r="I13" s="5">
        <f>Records!M13</f>
        <v>6</v>
      </c>
      <c r="J13" s="5">
        <f>Records!Q13</f>
        <v>7</v>
      </c>
      <c r="K13" s="5">
        <f>Records!W13</f>
        <v>7</v>
      </c>
      <c r="L13" s="5">
        <f>Records!X13</f>
        <v>6</v>
      </c>
      <c r="M13" s="5">
        <f>IF(COUNT(Records!S13:U13)=0,"",AVERAGE(Records!S13:U13))</f>
        <v>5.33333333333333</v>
      </c>
      <c r="N13" s="5">
        <f>IF(COUNT(Records!O13,Records!P13,Records!V13)=0,"",AVERAGE(Records!O13,Records!P13,Records!V13))</f>
        <v>6.33333333333333</v>
      </c>
      <c r="O13" s="3" t="str">
        <f>Records!AD13</f>
        <v>是</v>
      </c>
      <c r="P13" s="10">
        <f>13</f>
        <v>13</v>
      </c>
      <c r="Q13" s="3"/>
      <c r="R13" s="3"/>
      <c r="S13" s="3"/>
      <c r="T13" s="3"/>
      <c r="U13" s="3"/>
      <c r="V13" s="3"/>
    </row>
    <row r="14" spans="1:22">
      <c r="A14" s="3" t="str">
        <f>Records!A14</f>
        <v>P002</v>
      </c>
      <c r="B14" s="3">
        <f>Records!B14</f>
        <v>4</v>
      </c>
      <c r="C14" s="3" t="str">
        <f>Records!E14</f>
        <v>固定订书机</v>
      </c>
      <c r="D14" s="3" t="str">
        <f>Records!G14</f>
        <v>方法B</v>
      </c>
      <c r="E14" s="3" t="str">
        <f>Records!H14</f>
        <v>One-Euro</v>
      </c>
      <c r="F14" s="5">
        <f>Records!K14</f>
        <v>5</v>
      </c>
      <c r="G14" s="5">
        <f>Records!R14</f>
        <v>5</v>
      </c>
      <c r="H14" s="5">
        <f>Records!L14</f>
        <v>7</v>
      </c>
      <c r="I14" s="5">
        <f>Records!M14</f>
        <v>5</v>
      </c>
      <c r="J14" s="5">
        <f>Records!Q14</f>
        <v>3</v>
      </c>
      <c r="K14" s="5">
        <f>Records!W14</f>
        <v>5</v>
      </c>
      <c r="L14" s="5">
        <f>Records!X14</f>
        <v>5</v>
      </c>
      <c r="M14" s="5">
        <f>IF(COUNT(Records!S14:U14)=0,"",AVERAGE(Records!S14:U14))</f>
        <v>5.33333333333333</v>
      </c>
      <c r="N14" s="5">
        <f>IF(COUNT(Records!O14,Records!P14,Records!V14)=0,"",AVERAGE(Records!O14,Records!P14,Records!V14))</f>
        <v>6.33333333333333</v>
      </c>
      <c r="O14" s="3" t="str">
        <f>Records!AD14</f>
        <v>是</v>
      </c>
      <c r="P14" s="10">
        <f>14</f>
        <v>14</v>
      </c>
      <c r="Q14" s="3"/>
      <c r="R14" s="3"/>
      <c r="S14" s="3"/>
      <c r="T14" s="3"/>
      <c r="U14" s="3"/>
      <c r="V14" s="3"/>
    </row>
    <row r="15" spans="1:22">
      <c r="A15" s="3" t="str">
        <f>Records!A15</f>
        <v>P002</v>
      </c>
      <c r="B15" s="3">
        <f>Records!B15</f>
        <v>5</v>
      </c>
      <c r="C15" s="3" t="str">
        <f>Records!E15</f>
        <v>游戏手柄</v>
      </c>
      <c r="D15" s="3" t="str">
        <f>Records!G15</f>
        <v>方法B</v>
      </c>
      <c r="E15" s="3" t="str">
        <f>Records!H15</f>
        <v>One-Euro</v>
      </c>
      <c r="F15" s="5">
        <f>Records!K15</f>
        <v>4</v>
      </c>
      <c r="G15" s="5">
        <f>Records!R15</f>
        <v>4</v>
      </c>
      <c r="H15" s="5">
        <f>Records!L15</f>
        <v>5</v>
      </c>
      <c r="I15" s="5">
        <f>Records!M15</f>
        <v>4</v>
      </c>
      <c r="J15" s="5">
        <f>Records!Q15</f>
        <v>5</v>
      </c>
      <c r="K15" s="5">
        <f>Records!W15</f>
        <v>6</v>
      </c>
      <c r="L15" s="5">
        <f>Records!X15</f>
        <v>3</v>
      </c>
      <c r="M15" s="5">
        <f>IF(COUNT(Records!S15:U15)=0,"",AVERAGE(Records!S15:U15))</f>
        <v>5</v>
      </c>
      <c r="N15" s="5">
        <f>IF(COUNT(Records!O15,Records!P15,Records!V15)=0,"",AVERAGE(Records!O15,Records!P15,Records!V15))</f>
        <v>5</v>
      </c>
      <c r="O15" s="3" t="str">
        <f>Records!AD15</f>
        <v>是</v>
      </c>
      <c r="P15" s="10">
        <f>15</f>
        <v>15</v>
      </c>
      <c r="Q15" s="3"/>
      <c r="R15" s="3"/>
      <c r="S15" s="3"/>
      <c r="T15" s="3"/>
      <c r="U15" s="3"/>
      <c r="V15" s="3"/>
    </row>
    <row r="16" spans="1:22">
      <c r="A16" s="3" t="str">
        <f>Records!A16</f>
        <v>P002</v>
      </c>
      <c r="B16" s="3">
        <f>Records!B16</f>
        <v>6</v>
      </c>
      <c r="C16" s="3" t="str">
        <f>Records!E16</f>
        <v>游戏手柄</v>
      </c>
      <c r="D16" s="3" t="str">
        <f>Records!G16</f>
        <v>方法A</v>
      </c>
      <c r="E16" s="3" t="str">
        <f>Records!H16</f>
        <v>EgoAnchor</v>
      </c>
      <c r="F16" s="5">
        <f>Records!K16</f>
        <v>6</v>
      </c>
      <c r="G16" s="5">
        <f>Records!R16</f>
        <v>7</v>
      </c>
      <c r="H16" s="5">
        <f>Records!L16</f>
        <v>3</v>
      </c>
      <c r="I16" s="5">
        <f>Records!M16</f>
        <v>6</v>
      </c>
      <c r="J16" s="5">
        <f>Records!Q16</f>
        <v>6</v>
      </c>
      <c r="K16" s="5">
        <f>Records!W16</f>
        <v>6</v>
      </c>
      <c r="L16" s="5">
        <f>Records!X16</f>
        <v>4</v>
      </c>
      <c r="M16" s="5">
        <f>IF(COUNT(Records!S16:U16)=0,"",AVERAGE(Records!S16:U16))</f>
        <v>5.66666666666667</v>
      </c>
      <c r="N16" s="5">
        <f>IF(COUNT(Records!O16,Records!P16,Records!V16)=0,"",AVERAGE(Records!O16,Records!P16,Records!V16))</f>
        <v>5.66666666666667</v>
      </c>
      <c r="O16" s="3" t="str">
        <f>Records!AD16</f>
        <v>是</v>
      </c>
      <c r="P16" s="10">
        <f>16</f>
        <v>16</v>
      </c>
      <c r="Q16" s="3"/>
      <c r="R16" s="3"/>
      <c r="S16" s="3"/>
      <c r="T16" s="3"/>
      <c r="U16" s="3"/>
      <c r="V16" s="3"/>
    </row>
    <row r="17" spans="1:22">
      <c r="A17" s="3" t="str">
        <f>Records!A17</f>
        <v>P003</v>
      </c>
      <c r="B17" s="3">
        <f>Records!B17</f>
        <v>1</v>
      </c>
      <c r="C17" s="3" t="str">
        <f>Records!E17</f>
        <v>鼠标</v>
      </c>
      <c r="D17" s="3" t="str">
        <f>Records!G17</f>
        <v>方法B</v>
      </c>
      <c r="E17" s="3" t="str">
        <f>Records!H17</f>
        <v>EgoAnchor</v>
      </c>
      <c r="F17" s="5">
        <f>Records!K17</f>
        <v>5</v>
      </c>
      <c r="G17" s="5">
        <f>Records!R17</f>
        <v>5</v>
      </c>
      <c r="H17" s="5">
        <f>Records!L17</f>
        <v>4</v>
      </c>
      <c r="I17" s="5">
        <f>Records!M17</f>
        <v>5</v>
      </c>
      <c r="J17" s="5">
        <f>Records!Q17</f>
        <v>6</v>
      </c>
      <c r="K17" s="5">
        <f>Records!W17</f>
        <v>5</v>
      </c>
      <c r="L17" s="5">
        <f>Records!X17</f>
        <v>5</v>
      </c>
      <c r="M17" s="5">
        <f>IF(COUNT(Records!S17:U17)=0,"",AVERAGE(Records!S17:U17))</f>
        <v>5.66666666666667</v>
      </c>
      <c r="N17" s="5">
        <f>IF(COUNT(Records!O17,Records!P17,Records!V17)=0,"",AVERAGE(Records!O17,Records!P17,Records!V17))</f>
        <v>5.33333333333333</v>
      </c>
      <c r="O17" s="3" t="str">
        <f>Records!AD17</f>
        <v>是</v>
      </c>
      <c r="P17" s="10">
        <f>17</f>
        <v>17</v>
      </c>
      <c r="Q17" s="3"/>
      <c r="R17" s="3"/>
      <c r="S17" s="3"/>
      <c r="T17" s="3"/>
      <c r="U17" s="3"/>
      <c r="V17" s="3"/>
    </row>
    <row r="18" spans="1:22">
      <c r="A18" s="3" t="str">
        <f>Records!A18</f>
        <v>P003</v>
      </c>
      <c r="B18" s="3">
        <f>Records!B18</f>
        <v>2</v>
      </c>
      <c r="C18" s="3" t="str">
        <f>Records!E18</f>
        <v>鼠标</v>
      </c>
      <c r="D18" s="3" t="str">
        <f>Records!G18</f>
        <v>方法A</v>
      </c>
      <c r="E18" s="3" t="str">
        <f>Records!H18</f>
        <v>One-Euro</v>
      </c>
      <c r="F18" s="5">
        <f>Records!K18</f>
        <v>5</v>
      </c>
      <c r="G18" s="5">
        <f>Records!R18</f>
        <v>5</v>
      </c>
      <c r="H18" s="5">
        <f>Records!L18</f>
        <v>5</v>
      </c>
      <c r="I18" s="5">
        <f>Records!M18</f>
        <v>4</v>
      </c>
      <c r="J18" s="5">
        <f>Records!Q18</f>
        <v>5</v>
      </c>
      <c r="K18" s="5">
        <f>Records!W18</f>
        <v>4</v>
      </c>
      <c r="L18" s="5">
        <f>Records!X18</f>
        <v>6</v>
      </c>
      <c r="M18" s="5">
        <f>IF(COUNT(Records!S18:U18)=0,"",AVERAGE(Records!S18:U18))</f>
        <v>4.66666666666667</v>
      </c>
      <c r="N18" s="5">
        <f>IF(COUNT(Records!O18,Records!P18,Records!V18)=0,"",AVERAGE(Records!O18,Records!P18,Records!V18))</f>
        <v>6</v>
      </c>
      <c r="O18" s="3" t="str">
        <f>Records!AD18</f>
        <v>是</v>
      </c>
      <c r="P18" s="10">
        <f>18</f>
        <v>18</v>
      </c>
      <c r="Q18" s="3"/>
      <c r="R18" s="3"/>
      <c r="S18" s="3"/>
      <c r="T18" s="3"/>
      <c r="U18" s="3"/>
      <c r="V18" s="3"/>
    </row>
    <row r="19" spans="1:22">
      <c r="A19" s="3" t="str">
        <f>Records!A19</f>
        <v>P003</v>
      </c>
      <c r="B19" s="3">
        <f>Records!B19</f>
        <v>3</v>
      </c>
      <c r="C19" s="3" t="str">
        <f>Records!E19</f>
        <v>固定订书机</v>
      </c>
      <c r="D19" s="3" t="str">
        <f>Records!G19</f>
        <v>方法A</v>
      </c>
      <c r="E19" s="3" t="str">
        <f>Records!H19</f>
        <v>One-Euro</v>
      </c>
      <c r="F19" s="5">
        <f>Records!K19</f>
        <v>4</v>
      </c>
      <c r="G19" s="5">
        <f>Records!R19</f>
        <v>6</v>
      </c>
      <c r="H19" s="5">
        <f>Records!L19</f>
        <v>3</v>
      </c>
      <c r="I19" s="5">
        <f>Records!M19</f>
        <v>4</v>
      </c>
      <c r="J19" s="5">
        <f>Records!Q19</f>
        <v>5</v>
      </c>
      <c r="K19" s="5">
        <f>Records!W19</f>
        <v>5</v>
      </c>
      <c r="L19" s="5">
        <f>Records!X19</f>
        <v>5</v>
      </c>
      <c r="M19" s="5">
        <f>IF(COUNT(Records!S19:U19)=0,"",AVERAGE(Records!S19:U19))</f>
        <v>5.33333333333333</v>
      </c>
      <c r="N19" s="5">
        <f>IF(COUNT(Records!O19,Records!P19,Records!V19)=0,"",AVERAGE(Records!O19,Records!P19,Records!V19))</f>
        <v>4.66666666666667</v>
      </c>
      <c r="O19" s="3" t="str">
        <f>Records!AD19</f>
        <v>是</v>
      </c>
      <c r="P19" s="10">
        <f>19</f>
        <v>19</v>
      </c>
      <c r="Q19" s="3"/>
      <c r="R19" s="3"/>
      <c r="S19" s="3"/>
      <c r="T19" s="3"/>
      <c r="U19" s="3"/>
      <c r="V19" s="3"/>
    </row>
    <row r="20" spans="1:22">
      <c r="A20" s="3" t="str">
        <f>Records!A20</f>
        <v>P003</v>
      </c>
      <c r="B20" s="3">
        <f>Records!B20</f>
        <v>4</v>
      </c>
      <c r="C20" s="3" t="str">
        <f>Records!E20</f>
        <v>固定订书机</v>
      </c>
      <c r="D20" s="3" t="str">
        <f>Records!G20</f>
        <v>方法B</v>
      </c>
      <c r="E20" s="3" t="str">
        <f>Records!H20</f>
        <v>EgoAnchor</v>
      </c>
      <c r="F20" s="5">
        <f>Records!K20</f>
        <v>6</v>
      </c>
      <c r="G20" s="5">
        <f>Records!R20</f>
        <v>5</v>
      </c>
      <c r="H20" s="5">
        <f>Records!L20</f>
        <v>5</v>
      </c>
      <c r="I20" s="5">
        <f>Records!M20</f>
        <v>5</v>
      </c>
      <c r="J20" s="5">
        <f>Records!Q20</f>
        <v>5</v>
      </c>
      <c r="K20" s="5">
        <f>Records!W20</f>
        <v>5</v>
      </c>
      <c r="L20" s="5">
        <f>Records!X20</f>
        <v>5</v>
      </c>
      <c r="M20" s="5">
        <f>IF(COUNT(Records!S20:U20)=0,"",AVERAGE(Records!S20:U20))</f>
        <v>5.33333333333333</v>
      </c>
      <c r="N20" s="5">
        <f>IF(COUNT(Records!O20,Records!P20,Records!V20)=0,"",AVERAGE(Records!O20,Records!P20,Records!V20))</f>
        <v>6.33333333333333</v>
      </c>
      <c r="O20" s="3" t="str">
        <f>Records!AD20</f>
        <v>是</v>
      </c>
      <c r="P20" s="10">
        <f>20</f>
        <v>20</v>
      </c>
      <c r="Q20" s="3"/>
      <c r="R20" s="3"/>
      <c r="S20" s="3"/>
      <c r="T20" s="3"/>
      <c r="U20" s="3"/>
      <c r="V20" s="3"/>
    </row>
    <row r="21" spans="1:22">
      <c r="A21" s="3" t="str">
        <f>Records!A21</f>
        <v>P003</v>
      </c>
      <c r="B21" s="3">
        <f>Records!B21</f>
        <v>5</v>
      </c>
      <c r="C21" s="3" t="str">
        <f>Records!E21</f>
        <v>游戏手柄</v>
      </c>
      <c r="D21" s="3" t="str">
        <f>Records!G21</f>
        <v>方法B</v>
      </c>
      <c r="E21" s="3" t="str">
        <f>Records!H21</f>
        <v>EgoAnchor</v>
      </c>
      <c r="F21" s="5">
        <f>Records!K21</f>
        <v>6</v>
      </c>
      <c r="G21" s="5">
        <f>Records!R21</f>
        <v>5</v>
      </c>
      <c r="H21" s="5">
        <f>Records!L21</f>
        <v>5</v>
      </c>
      <c r="I21" s="5">
        <f>Records!M21</f>
        <v>6</v>
      </c>
      <c r="J21" s="5">
        <f>Records!Q21</f>
        <v>6</v>
      </c>
      <c r="K21" s="5">
        <f>Records!W21</f>
        <v>6</v>
      </c>
      <c r="L21" s="5">
        <f>Records!X21</f>
        <v>5</v>
      </c>
      <c r="M21" s="5">
        <f>IF(COUNT(Records!S21:U21)=0,"",AVERAGE(Records!S21:U21))</f>
        <v>6</v>
      </c>
      <c r="N21" s="5">
        <f>IF(COUNT(Records!O21,Records!P21,Records!V21)=0,"",AVERAGE(Records!O21,Records!P21,Records!V21))</f>
        <v>5.66666666666667</v>
      </c>
      <c r="O21" s="3" t="str">
        <f>Records!AD21</f>
        <v>是</v>
      </c>
      <c r="P21" s="10">
        <f>21</f>
        <v>21</v>
      </c>
      <c r="Q21" s="3"/>
      <c r="R21" s="3"/>
      <c r="S21" s="3"/>
      <c r="T21" s="3"/>
      <c r="U21" s="3"/>
      <c r="V21" s="3"/>
    </row>
    <row r="22" spans="1:22">
      <c r="A22" s="3" t="str">
        <f>Records!A22</f>
        <v>P003</v>
      </c>
      <c r="B22" s="3">
        <f>Records!B22</f>
        <v>6</v>
      </c>
      <c r="C22" s="3" t="str">
        <f>Records!E22</f>
        <v>游戏手柄</v>
      </c>
      <c r="D22" s="3" t="str">
        <f>Records!G22</f>
        <v>方法A</v>
      </c>
      <c r="E22" s="3" t="str">
        <f>Records!H22</f>
        <v>One-Euro</v>
      </c>
      <c r="F22" s="5">
        <f>Records!K22</f>
        <v>5</v>
      </c>
      <c r="G22" s="5">
        <f>Records!R22</f>
        <v>4</v>
      </c>
      <c r="H22" s="5">
        <f>Records!L22</f>
        <v>7</v>
      </c>
      <c r="I22" s="5">
        <f>Records!M22</f>
        <v>5</v>
      </c>
      <c r="J22" s="5">
        <f>Records!Q22</f>
        <v>4</v>
      </c>
      <c r="K22" s="5">
        <f>Records!W22</f>
        <v>4</v>
      </c>
      <c r="L22" s="5">
        <f>Records!X22</f>
        <v>4</v>
      </c>
      <c r="M22" s="5">
        <f>IF(COUNT(Records!S22:U22)=0,"",AVERAGE(Records!S22:U22))</f>
        <v>5</v>
      </c>
      <c r="N22" s="5">
        <f>IF(COUNT(Records!O22,Records!P22,Records!V22)=0,"",AVERAGE(Records!O22,Records!P22,Records!V22))</f>
        <v>5.33333333333333</v>
      </c>
      <c r="O22" s="3" t="str">
        <f>Records!AD22</f>
        <v>是</v>
      </c>
      <c r="P22" s="10">
        <f>22</f>
        <v>22</v>
      </c>
      <c r="Q22" s="3"/>
      <c r="R22" s="3"/>
      <c r="S22" s="3"/>
      <c r="T22" s="3"/>
      <c r="U22" s="3"/>
      <c r="V22" s="3"/>
    </row>
    <row r="23" spans="1:22">
      <c r="A23" s="3" t="str">
        <f>Records!A23</f>
        <v>P004</v>
      </c>
      <c r="B23" s="3">
        <f>Records!B23</f>
        <v>1</v>
      </c>
      <c r="C23" s="3" t="str">
        <f>Records!E23</f>
        <v>鼠标</v>
      </c>
      <c r="D23" s="3" t="str">
        <f>Records!G23</f>
        <v>方法A</v>
      </c>
      <c r="E23" s="3" t="str">
        <f>Records!H23</f>
        <v>One-Euro</v>
      </c>
      <c r="F23" s="5">
        <f>Records!K23</f>
        <v>5</v>
      </c>
      <c r="G23" s="5">
        <f>Records!R23</f>
        <v>5</v>
      </c>
      <c r="H23" s="5">
        <f>Records!L23</f>
        <v>4</v>
      </c>
      <c r="I23" s="5">
        <f>Records!M23</f>
        <v>3</v>
      </c>
      <c r="J23" s="5">
        <f>Records!Q23</f>
        <v>5</v>
      </c>
      <c r="K23" s="5">
        <f>Records!W23</f>
        <v>5</v>
      </c>
      <c r="L23" s="5">
        <f>Records!X23</f>
        <v>4</v>
      </c>
      <c r="M23" s="5">
        <f>IF(COUNT(Records!S23:U23)=0,"",AVERAGE(Records!S23:U23))</f>
        <v>4.33333333333333</v>
      </c>
      <c r="N23" s="5">
        <f>IF(COUNT(Records!O23,Records!P23,Records!V23)=0,"",AVERAGE(Records!O23,Records!P23,Records!V23))</f>
        <v>4.33333333333333</v>
      </c>
      <c r="O23" s="3" t="str">
        <f>Records!AD23</f>
        <v>是</v>
      </c>
      <c r="P23" s="10">
        <f>23</f>
        <v>23</v>
      </c>
      <c r="Q23" s="3"/>
      <c r="R23" s="3"/>
      <c r="S23" s="3"/>
      <c r="T23" s="3"/>
      <c r="U23" s="3"/>
      <c r="V23" s="3"/>
    </row>
    <row r="24" spans="1:22">
      <c r="A24" s="3" t="str">
        <f>Records!A24</f>
        <v>P004</v>
      </c>
      <c r="B24" s="3">
        <f>Records!B24</f>
        <v>2</v>
      </c>
      <c r="C24" s="3" t="str">
        <f>Records!E24</f>
        <v>鼠标</v>
      </c>
      <c r="D24" s="3" t="str">
        <f>Records!G24</f>
        <v>方法B</v>
      </c>
      <c r="E24" s="3" t="str">
        <f>Records!H24</f>
        <v>EgoAnchor</v>
      </c>
      <c r="F24" s="5">
        <f>Records!K24</f>
        <v>4</v>
      </c>
      <c r="G24" s="5">
        <f>Records!R24</f>
        <v>5</v>
      </c>
      <c r="H24" s="5">
        <f>Records!L24</f>
        <v>5</v>
      </c>
      <c r="I24" s="5">
        <f>Records!M24</f>
        <v>4</v>
      </c>
      <c r="J24" s="5">
        <f>Records!Q24</f>
        <v>3</v>
      </c>
      <c r="K24" s="5">
        <f>Records!W24</f>
        <v>5</v>
      </c>
      <c r="L24" s="5">
        <f>Records!X24</f>
        <v>5</v>
      </c>
      <c r="M24" s="5">
        <f>IF(COUNT(Records!S24:U24)=0,"",AVERAGE(Records!S24:U24))</f>
        <v>4.66666666666667</v>
      </c>
      <c r="N24" s="5">
        <f>IF(COUNT(Records!O24,Records!P24,Records!V24)=0,"",AVERAGE(Records!O24,Records!P24,Records!V24))</f>
        <v>4.66666666666667</v>
      </c>
      <c r="O24" s="3" t="str">
        <f>Records!AD24</f>
        <v>是</v>
      </c>
      <c r="P24" s="10">
        <f>24</f>
        <v>24</v>
      </c>
      <c r="Q24" s="3"/>
      <c r="R24" s="3"/>
      <c r="S24" s="3"/>
      <c r="T24" s="3"/>
      <c r="U24" s="3"/>
      <c r="V24" s="3"/>
    </row>
    <row r="25" spans="1:22">
      <c r="A25" s="3" t="str">
        <f>Records!A25</f>
        <v>P004</v>
      </c>
      <c r="B25" s="3">
        <f>Records!B25</f>
        <v>3</v>
      </c>
      <c r="C25" s="3" t="str">
        <f>Records!E25</f>
        <v>固定订书机</v>
      </c>
      <c r="D25" s="3" t="str">
        <f>Records!G25</f>
        <v>方法B</v>
      </c>
      <c r="E25" s="3" t="str">
        <f>Records!H25</f>
        <v>EgoAnchor</v>
      </c>
      <c r="F25" s="5">
        <f>Records!K25</f>
        <v>4</v>
      </c>
      <c r="G25" s="5">
        <f>Records!R25</f>
        <v>6</v>
      </c>
      <c r="H25" s="5">
        <f>Records!L25</f>
        <v>4</v>
      </c>
      <c r="I25" s="5">
        <f>Records!M25</f>
        <v>4</v>
      </c>
      <c r="J25" s="5">
        <f>Records!Q25</f>
        <v>3</v>
      </c>
      <c r="K25" s="5">
        <f>Records!W25</f>
        <v>5</v>
      </c>
      <c r="L25" s="5">
        <f>Records!X25</f>
        <v>4</v>
      </c>
      <c r="M25" s="5">
        <f>IF(COUNT(Records!S25:U25)=0,"",AVERAGE(Records!S25:U25))</f>
        <v>4.33333333333333</v>
      </c>
      <c r="N25" s="5">
        <f>IF(COUNT(Records!O25,Records!P25,Records!V25)=0,"",AVERAGE(Records!O25,Records!P25,Records!V25))</f>
        <v>5.33333333333333</v>
      </c>
      <c r="O25" s="3" t="str">
        <f>Records!AD25</f>
        <v>是</v>
      </c>
      <c r="P25" s="10">
        <f>25</f>
        <v>25</v>
      </c>
      <c r="Q25" s="3"/>
      <c r="R25" s="3"/>
      <c r="S25" s="3"/>
      <c r="T25" s="3"/>
      <c r="U25" s="3"/>
      <c r="V25" s="3"/>
    </row>
    <row r="26" spans="1:22">
      <c r="A26" s="3" t="str">
        <f>Records!A26</f>
        <v>P004</v>
      </c>
      <c r="B26" s="3">
        <f>Records!B26</f>
        <v>4</v>
      </c>
      <c r="C26" s="3" t="str">
        <f>Records!E26</f>
        <v>固定订书机</v>
      </c>
      <c r="D26" s="3" t="str">
        <f>Records!G26</f>
        <v>方法A</v>
      </c>
      <c r="E26" s="3" t="str">
        <f>Records!H26</f>
        <v>One-Euro</v>
      </c>
      <c r="F26" s="5">
        <f>Records!K26</f>
        <v>6</v>
      </c>
      <c r="G26" s="5">
        <f>Records!R26</f>
        <v>4</v>
      </c>
      <c r="H26" s="5">
        <f>Records!L26</f>
        <v>4</v>
      </c>
      <c r="I26" s="5">
        <f>Records!M26</f>
        <v>5</v>
      </c>
      <c r="J26" s="5">
        <f>Records!Q26</f>
        <v>5</v>
      </c>
      <c r="K26" s="5">
        <f>Records!W26</f>
        <v>3</v>
      </c>
      <c r="L26" s="5">
        <f>Records!X26</f>
        <v>3</v>
      </c>
      <c r="M26" s="5">
        <f>IF(COUNT(Records!S26:U26)=0,"",AVERAGE(Records!S26:U26))</f>
        <v>4.33333333333333</v>
      </c>
      <c r="N26" s="5">
        <f>IF(COUNT(Records!O26,Records!P26,Records!V26)=0,"",AVERAGE(Records!O26,Records!P26,Records!V26))</f>
        <v>4.66666666666667</v>
      </c>
      <c r="O26" s="3" t="str">
        <f>Records!AD26</f>
        <v>是</v>
      </c>
      <c r="P26" s="10">
        <f>26</f>
        <v>26</v>
      </c>
      <c r="Q26" s="3"/>
      <c r="R26" s="3"/>
      <c r="S26" s="3"/>
      <c r="T26" s="3"/>
      <c r="U26" s="3"/>
      <c r="V26" s="3"/>
    </row>
    <row r="27" spans="1:22">
      <c r="A27" s="3" t="str">
        <f>Records!A27</f>
        <v>P004</v>
      </c>
      <c r="B27" s="3">
        <f>Records!B27</f>
        <v>5</v>
      </c>
      <c r="C27" s="3" t="str">
        <f>Records!E27</f>
        <v>游戏手柄</v>
      </c>
      <c r="D27" s="3" t="str">
        <f>Records!G27</f>
        <v>方法A</v>
      </c>
      <c r="E27" s="3" t="str">
        <f>Records!H27</f>
        <v>One-Euro</v>
      </c>
      <c r="F27" s="5">
        <f>Records!K27</f>
        <v>5</v>
      </c>
      <c r="G27" s="5">
        <f>Records!R27</f>
        <v>5</v>
      </c>
      <c r="H27" s="5">
        <f>Records!L27</f>
        <v>4</v>
      </c>
      <c r="I27" s="5">
        <f>Records!M27</f>
        <v>4</v>
      </c>
      <c r="J27" s="5">
        <f>Records!Q27</f>
        <v>4</v>
      </c>
      <c r="K27" s="5">
        <f>Records!W27</f>
        <v>5</v>
      </c>
      <c r="L27" s="5">
        <f>Records!X27</f>
        <v>4</v>
      </c>
      <c r="M27" s="5">
        <f>IF(COUNT(Records!S27:U27)=0,"",AVERAGE(Records!S27:U27))</f>
        <v>4</v>
      </c>
      <c r="N27" s="5">
        <f>IF(COUNT(Records!O27,Records!P27,Records!V27)=0,"",AVERAGE(Records!O27,Records!P27,Records!V27))</f>
        <v>4.33333333333333</v>
      </c>
      <c r="O27" s="3" t="str">
        <f>Records!AD27</f>
        <v>是</v>
      </c>
      <c r="P27" s="10">
        <f>27</f>
        <v>27</v>
      </c>
      <c r="Q27" s="3"/>
      <c r="R27" s="3"/>
      <c r="S27" s="3"/>
      <c r="T27" s="3"/>
      <c r="U27" s="3"/>
      <c r="V27" s="3"/>
    </row>
    <row r="28" spans="1:22">
      <c r="A28" s="3" t="str">
        <f>Records!A28</f>
        <v>P004</v>
      </c>
      <c r="B28" s="3">
        <f>Records!B28</f>
        <v>6</v>
      </c>
      <c r="C28" s="3" t="str">
        <f>Records!E28</f>
        <v>游戏手柄</v>
      </c>
      <c r="D28" s="3" t="str">
        <f>Records!G28</f>
        <v>方法B</v>
      </c>
      <c r="E28" s="3" t="str">
        <f>Records!H28</f>
        <v>EgoAnchor</v>
      </c>
      <c r="F28" s="5">
        <f>Records!K28</f>
        <v>5</v>
      </c>
      <c r="G28" s="5">
        <f>Records!R28</f>
        <v>5</v>
      </c>
      <c r="H28" s="5">
        <f>Records!L28</f>
        <v>4</v>
      </c>
      <c r="I28" s="5">
        <f>Records!M28</f>
        <v>6</v>
      </c>
      <c r="J28" s="5">
        <f>Records!Q28</f>
        <v>2</v>
      </c>
      <c r="K28" s="5">
        <f>Records!W28</f>
        <v>2</v>
      </c>
      <c r="L28" s="5">
        <f>Records!X28</f>
        <v>5</v>
      </c>
      <c r="M28" s="5">
        <f>IF(COUNT(Records!S28:U28)=0,"",AVERAGE(Records!S28:U28))</f>
        <v>5</v>
      </c>
      <c r="N28" s="5">
        <f>IF(COUNT(Records!O28,Records!P28,Records!V28)=0,"",AVERAGE(Records!O28,Records!P28,Records!V28))</f>
        <v>3.66666666666667</v>
      </c>
      <c r="O28" s="3" t="str">
        <f>Records!AD28</f>
        <v>是</v>
      </c>
      <c r="P28" s="10">
        <f>28</f>
        <v>28</v>
      </c>
      <c r="Q28" s="3"/>
      <c r="R28" s="3"/>
      <c r="S28" s="3"/>
      <c r="T28" s="3"/>
      <c r="U28" s="3"/>
      <c r="V28" s="3"/>
    </row>
    <row r="29" spans="1:22">
      <c r="A29" s="3" t="str">
        <f>Records!A29</f>
        <v>P005</v>
      </c>
      <c r="B29" s="3">
        <f>Records!B29</f>
        <v>1</v>
      </c>
      <c r="C29" s="3" t="str">
        <f>Records!E29</f>
        <v>鼠标</v>
      </c>
      <c r="D29" s="3" t="str">
        <f>Records!G29</f>
        <v>方法A</v>
      </c>
      <c r="E29" s="3" t="str">
        <f>Records!H29</f>
        <v>EgoAnchor</v>
      </c>
      <c r="F29" s="5">
        <f>Records!K29</f>
        <v>7</v>
      </c>
      <c r="G29" s="5">
        <f>Records!R29</f>
        <v>5</v>
      </c>
      <c r="H29" s="5">
        <f>Records!L29</f>
        <v>5</v>
      </c>
      <c r="I29" s="5">
        <f>Records!M29</f>
        <v>4</v>
      </c>
      <c r="J29" s="5">
        <f>Records!Q29</f>
        <v>6</v>
      </c>
      <c r="K29" s="5">
        <f>Records!W29</f>
        <v>5</v>
      </c>
      <c r="L29" s="5">
        <f>Records!X29</f>
        <v>6</v>
      </c>
      <c r="M29" s="5">
        <f>IF(COUNT(Records!S29:U29)=0,"",AVERAGE(Records!S29:U29))</f>
        <v>5</v>
      </c>
      <c r="N29" s="5">
        <f>IF(COUNT(Records!O29,Records!P29,Records!V29)=0,"",AVERAGE(Records!O29,Records!P29,Records!V29))</f>
        <v>5</v>
      </c>
      <c r="O29" s="3" t="str">
        <f>Records!AD29</f>
        <v>是</v>
      </c>
      <c r="P29" s="10">
        <f>29</f>
        <v>29</v>
      </c>
      <c r="Q29" s="3"/>
      <c r="R29" s="3"/>
      <c r="S29" s="3"/>
      <c r="T29" s="3"/>
      <c r="U29" s="3"/>
      <c r="V29" s="3"/>
    </row>
    <row r="30" spans="1:22">
      <c r="A30" s="3" t="str">
        <f>Records!A30</f>
        <v>P005</v>
      </c>
      <c r="B30" s="3">
        <f>Records!B30</f>
        <v>2</v>
      </c>
      <c r="C30" s="3" t="str">
        <f>Records!E30</f>
        <v>鼠标</v>
      </c>
      <c r="D30" s="3" t="str">
        <f>Records!G30</f>
        <v>方法B</v>
      </c>
      <c r="E30" s="3" t="str">
        <f>Records!H30</f>
        <v>One-Euro</v>
      </c>
      <c r="F30" s="5">
        <f>Records!K30</f>
        <v>4</v>
      </c>
      <c r="G30" s="5">
        <f>Records!R30</f>
        <v>5</v>
      </c>
      <c r="H30" s="5">
        <f>Records!L30</f>
        <v>5</v>
      </c>
      <c r="I30" s="5">
        <f>Records!M30</f>
        <v>5</v>
      </c>
      <c r="J30" s="5">
        <f>Records!Q30</f>
        <v>3</v>
      </c>
      <c r="K30" s="5">
        <f>Records!W30</f>
        <v>4</v>
      </c>
      <c r="L30" s="5">
        <f>Records!X30</f>
        <v>5</v>
      </c>
      <c r="M30" s="5">
        <f>IF(COUNT(Records!S30:U30)=0,"",AVERAGE(Records!S30:U30))</f>
        <v>4.66666666666667</v>
      </c>
      <c r="N30" s="5">
        <f>IF(COUNT(Records!O30,Records!P30,Records!V30)=0,"",AVERAGE(Records!O30,Records!P30,Records!V30))</f>
        <v>5</v>
      </c>
      <c r="O30" s="3" t="str">
        <f>Records!AD30</f>
        <v>是</v>
      </c>
      <c r="P30" s="10">
        <f>30</f>
        <v>30</v>
      </c>
      <c r="Q30" s="3"/>
      <c r="R30" s="3"/>
      <c r="S30" s="3"/>
      <c r="T30" s="3"/>
      <c r="U30" s="3"/>
      <c r="V30" s="3"/>
    </row>
    <row r="31" spans="1:22">
      <c r="A31" s="3" t="str">
        <f>Records!A31</f>
        <v>P005</v>
      </c>
      <c r="B31" s="3">
        <f>Records!B31</f>
        <v>3</v>
      </c>
      <c r="C31" s="3" t="str">
        <f>Records!E31</f>
        <v>游戏手柄</v>
      </c>
      <c r="D31" s="3" t="str">
        <f>Records!G31</f>
        <v>方法B</v>
      </c>
      <c r="E31" s="3" t="str">
        <f>Records!H31</f>
        <v>One-Euro</v>
      </c>
      <c r="F31" s="5">
        <f>Records!K31</f>
        <v>5</v>
      </c>
      <c r="G31" s="5">
        <f>Records!R31</f>
        <v>4</v>
      </c>
      <c r="H31" s="5">
        <f>Records!L31</f>
        <v>5</v>
      </c>
      <c r="I31" s="5">
        <f>Records!M31</f>
        <v>4</v>
      </c>
      <c r="J31" s="5">
        <f>Records!Q31</f>
        <v>4</v>
      </c>
      <c r="K31" s="5">
        <f>Records!W31</f>
        <v>5</v>
      </c>
      <c r="L31" s="5">
        <f>Records!X31</f>
        <v>5</v>
      </c>
      <c r="M31" s="5">
        <f>IF(COUNT(Records!S31:U31)=0,"",AVERAGE(Records!S31:U31))</f>
        <v>5.33333333333333</v>
      </c>
      <c r="N31" s="5">
        <f>IF(COUNT(Records!O31,Records!P31,Records!V31)=0,"",AVERAGE(Records!O31,Records!P31,Records!V31))</f>
        <v>5.33333333333333</v>
      </c>
      <c r="O31" s="3" t="str">
        <f>Records!AD31</f>
        <v>是</v>
      </c>
      <c r="P31" s="10">
        <f>31</f>
        <v>31</v>
      </c>
      <c r="Q31" s="3"/>
      <c r="R31" s="3"/>
      <c r="S31" s="3"/>
      <c r="T31" s="3"/>
      <c r="U31" s="3"/>
      <c r="V31" s="3"/>
    </row>
    <row r="32" spans="1:22">
      <c r="A32" s="3" t="str">
        <f>Records!A32</f>
        <v>P005</v>
      </c>
      <c r="B32" s="3">
        <f>Records!B32</f>
        <v>4</v>
      </c>
      <c r="C32" s="3" t="str">
        <f>Records!E32</f>
        <v>游戏手柄</v>
      </c>
      <c r="D32" s="3" t="str">
        <f>Records!G32</f>
        <v>方法A</v>
      </c>
      <c r="E32" s="3" t="str">
        <f>Records!H32</f>
        <v>EgoAnchor</v>
      </c>
      <c r="F32" s="5">
        <f>Records!K32</f>
        <v>6</v>
      </c>
      <c r="G32" s="5">
        <f>Records!R32</f>
        <v>7</v>
      </c>
      <c r="H32" s="5">
        <f>Records!L32</f>
        <v>5</v>
      </c>
      <c r="I32" s="5">
        <f>Records!M32</f>
        <v>6</v>
      </c>
      <c r="J32" s="5">
        <f>Records!Q32</f>
        <v>6</v>
      </c>
      <c r="K32" s="5">
        <f>Records!W32</f>
        <v>4</v>
      </c>
      <c r="L32" s="5">
        <f>Records!X32</f>
        <v>5</v>
      </c>
      <c r="M32" s="5">
        <f>IF(COUNT(Records!S32:U32)=0,"",AVERAGE(Records!S32:U32))</f>
        <v>5.66666666666667</v>
      </c>
      <c r="N32" s="5">
        <f>IF(COUNT(Records!O32,Records!P32,Records!V32)=0,"",AVERAGE(Records!O32,Records!P32,Records!V32))</f>
        <v>5.33333333333333</v>
      </c>
      <c r="O32" s="3" t="str">
        <f>Records!AD32</f>
        <v>是</v>
      </c>
      <c r="P32" s="10">
        <f>32</f>
        <v>32</v>
      </c>
      <c r="Q32" s="3"/>
      <c r="R32" s="3"/>
      <c r="S32" s="3"/>
      <c r="T32" s="3"/>
      <c r="U32" s="3"/>
      <c r="V32" s="3"/>
    </row>
    <row r="33" spans="1:22">
      <c r="A33" s="3" t="str">
        <f>Records!A33</f>
        <v>P005</v>
      </c>
      <c r="B33" s="3">
        <f>Records!B33</f>
        <v>5</v>
      </c>
      <c r="C33" s="3" t="str">
        <f>Records!E33</f>
        <v>固定订书机</v>
      </c>
      <c r="D33" s="3" t="str">
        <f>Records!G33</f>
        <v>方法A</v>
      </c>
      <c r="E33" s="3" t="str">
        <f>Records!H33</f>
        <v>EgoAnchor</v>
      </c>
      <c r="F33" s="5">
        <f>Records!K33</f>
        <v>6</v>
      </c>
      <c r="G33" s="5">
        <f>Records!R33</f>
        <v>7</v>
      </c>
      <c r="H33" s="5">
        <f>Records!L33</f>
        <v>6</v>
      </c>
      <c r="I33" s="5">
        <f>Records!M33</f>
        <v>6</v>
      </c>
      <c r="J33" s="5">
        <f>Records!Q33</f>
        <v>7</v>
      </c>
      <c r="K33" s="5">
        <f>Records!W33</f>
        <v>6</v>
      </c>
      <c r="L33" s="5">
        <f>Records!X33</f>
        <v>4</v>
      </c>
      <c r="M33" s="5">
        <f>IF(COUNT(Records!S33:U33)=0,"",AVERAGE(Records!S33:U33))</f>
        <v>5.66666666666667</v>
      </c>
      <c r="N33" s="5">
        <f>IF(COUNT(Records!O33,Records!P33,Records!V33)=0,"",AVERAGE(Records!O33,Records!P33,Records!V33))</f>
        <v>5</v>
      </c>
      <c r="O33" s="3" t="str">
        <f>Records!AD33</f>
        <v>是</v>
      </c>
      <c r="P33" s="10">
        <f>33</f>
        <v>33</v>
      </c>
      <c r="Q33" s="3"/>
      <c r="R33" s="3"/>
      <c r="S33" s="3"/>
      <c r="T33" s="3"/>
      <c r="U33" s="3"/>
      <c r="V33" s="3"/>
    </row>
    <row r="34" spans="1:22">
      <c r="A34" s="3" t="str">
        <f>Records!A34</f>
        <v>P005</v>
      </c>
      <c r="B34" s="3">
        <f>Records!B34</f>
        <v>6</v>
      </c>
      <c r="C34" s="3" t="str">
        <f>Records!E34</f>
        <v>固定订书机</v>
      </c>
      <c r="D34" s="3" t="str">
        <f>Records!G34</f>
        <v>方法B</v>
      </c>
      <c r="E34" s="3" t="str">
        <f>Records!H34</f>
        <v>One-Euro</v>
      </c>
      <c r="F34" s="5">
        <f>Records!K34</f>
        <v>4</v>
      </c>
      <c r="G34" s="5">
        <f>Records!R34</f>
        <v>4</v>
      </c>
      <c r="H34" s="5">
        <f>Records!L34</f>
        <v>3</v>
      </c>
      <c r="I34" s="5">
        <f>Records!M34</f>
        <v>5</v>
      </c>
      <c r="J34" s="5">
        <f>Records!Q34</f>
        <v>3</v>
      </c>
      <c r="K34" s="5">
        <f>Records!W34</f>
        <v>5</v>
      </c>
      <c r="L34" s="5">
        <f>Records!X34</f>
        <v>5</v>
      </c>
      <c r="M34" s="5">
        <f>IF(COUNT(Records!S34:U34)=0,"",AVERAGE(Records!S34:U34))</f>
        <v>5.33333333333333</v>
      </c>
      <c r="N34" s="5">
        <f>IF(COUNT(Records!O34,Records!P34,Records!V34)=0,"",AVERAGE(Records!O34,Records!P34,Records!V34))</f>
        <v>5.66666666666667</v>
      </c>
      <c r="O34" s="3" t="str">
        <f>Records!AD34</f>
        <v>是</v>
      </c>
      <c r="P34" s="10">
        <f>34</f>
        <v>34</v>
      </c>
      <c r="Q34" s="3"/>
      <c r="R34" s="3"/>
      <c r="S34" s="3"/>
      <c r="T34" s="3"/>
      <c r="U34" s="3"/>
      <c r="V34" s="3"/>
    </row>
    <row r="35" spans="1:22">
      <c r="A35" s="3" t="str">
        <f>Records!A35</f>
        <v>P006</v>
      </c>
      <c r="B35" s="3">
        <f>Records!B35</f>
        <v>1</v>
      </c>
      <c r="C35" s="3" t="str">
        <f>Records!E35</f>
        <v>鼠标</v>
      </c>
      <c r="D35" s="3" t="str">
        <f>Records!G35</f>
        <v>方法B</v>
      </c>
      <c r="E35" s="3" t="str">
        <f>Records!H35</f>
        <v>One-Euro</v>
      </c>
      <c r="F35" s="5">
        <f>Records!K35</f>
        <v>5</v>
      </c>
      <c r="G35" s="5">
        <f>Records!R35</f>
        <v>5</v>
      </c>
      <c r="H35" s="5">
        <f>Records!L35</f>
        <v>4</v>
      </c>
      <c r="I35" s="5">
        <f>Records!M35</f>
        <v>5</v>
      </c>
      <c r="J35" s="5">
        <f>Records!Q35</f>
        <v>4</v>
      </c>
      <c r="K35" s="5">
        <f>Records!W35</f>
        <v>4</v>
      </c>
      <c r="L35" s="5">
        <f>Records!X35</f>
        <v>4</v>
      </c>
      <c r="M35" s="5">
        <f>IF(COUNT(Records!S35:U35)=0,"",AVERAGE(Records!S35:U35))</f>
        <v>5</v>
      </c>
      <c r="N35" s="5">
        <f>IF(COUNT(Records!O35,Records!P35,Records!V35)=0,"",AVERAGE(Records!O35,Records!P35,Records!V35))</f>
        <v>5.66666666666667</v>
      </c>
      <c r="O35" s="3" t="str">
        <f>Records!AD35</f>
        <v>是</v>
      </c>
      <c r="P35" s="10">
        <f>35</f>
        <v>35</v>
      </c>
      <c r="Q35" s="3"/>
      <c r="R35" s="3"/>
      <c r="S35" s="3"/>
      <c r="T35" s="3"/>
      <c r="U35" s="3"/>
      <c r="V35" s="3"/>
    </row>
    <row r="36" spans="1:22">
      <c r="A36" s="3" t="str">
        <f>Records!A36</f>
        <v>P006</v>
      </c>
      <c r="B36" s="3">
        <f>Records!B36</f>
        <v>2</v>
      </c>
      <c r="C36" s="3" t="str">
        <f>Records!E36</f>
        <v>鼠标</v>
      </c>
      <c r="D36" s="3" t="str">
        <f>Records!G36</f>
        <v>方法A</v>
      </c>
      <c r="E36" s="3" t="str">
        <f>Records!H36</f>
        <v>EgoAnchor</v>
      </c>
      <c r="F36" s="5">
        <f>Records!K36</f>
        <v>4</v>
      </c>
      <c r="G36" s="5">
        <f>Records!R36</f>
        <v>5</v>
      </c>
      <c r="H36" s="5">
        <f>Records!L36</f>
        <v>5</v>
      </c>
      <c r="I36" s="5">
        <f>Records!M36</f>
        <v>3</v>
      </c>
      <c r="J36" s="5">
        <f>Records!Q36</f>
        <v>5</v>
      </c>
      <c r="K36" s="5">
        <f>Records!W36</f>
        <v>5</v>
      </c>
      <c r="L36" s="5">
        <f>Records!X36</f>
        <v>4</v>
      </c>
      <c r="M36" s="5">
        <f>IF(COUNT(Records!S36:U36)=0,"",AVERAGE(Records!S36:U36))</f>
        <v>5</v>
      </c>
      <c r="N36" s="5">
        <f>IF(COUNT(Records!O36,Records!P36,Records!V36)=0,"",AVERAGE(Records!O36,Records!P36,Records!V36))</f>
        <v>4.66666666666667</v>
      </c>
      <c r="O36" s="3" t="str">
        <f>Records!AD36</f>
        <v>是</v>
      </c>
      <c r="P36" s="10">
        <f>36</f>
        <v>36</v>
      </c>
      <c r="Q36" s="3"/>
      <c r="R36" s="3"/>
      <c r="S36" s="3"/>
      <c r="T36" s="3"/>
      <c r="U36" s="3"/>
      <c r="V36" s="3"/>
    </row>
    <row r="37" spans="1:22">
      <c r="A37" s="3" t="str">
        <f>Records!A37</f>
        <v>P006</v>
      </c>
      <c r="B37" s="3">
        <f>Records!B37</f>
        <v>3</v>
      </c>
      <c r="C37" s="3" t="str">
        <f>Records!E37</f>
        <v>游戏手柄</v>
      </c>
      <c r="D37" s="3" t="str">
        <f>Records!G37</f>
        <v>方法A</v>
      </c>
      <c r="E37" s="3" t="str">
        <f>Records!H37</f>
        <v>EgoAnchor</v>
      </c>
      <c r="F37" s="5">
        <f>Records!K37</f>
        <v>4</v>
      </c>
      <c r="G37" s="5">
        <f>Records!R37</f>
        <v>5</v>
      </c>
      <c r="H37" s="5">
        <f>Records!L37</f>
        <v>5</v>
      </c>
      <c r="I37" s="5">
        <f>Records!M37</f>
        <v>5</v>
      </c>
      <c r="J37" s="5">
        <f>Records!Q37</f>
        <v>6</v>
      </c>
      <c r="K37" s="5">
        <f>Records!W37</f>
        <v>5</v>
      </c>
      <c r="L37" s="5">
        <f>Records!X37</f>
        <v>6</v>
      </c>
      <c r="M37" s="5">
        <f>IF(COUNT(Records!S37:U37)=0,"",AVERAGE(Records!S37:U37))</f>
        <v>5</v>
      </c>
      <c r="N37" s="5">
        <f>IF(COUNT(Records!O37,Records!P37,Records!V37)=0,"",AVERAGE(Records!O37,Records!P37,Records!V37))</f>
        <v>4.33333333333333</v>
      </c>
      <c r="O37" s="3" t="str">
        <f>Records!AD37</f>
        <v>是</v>
      </c>
      <c r="P37" s="10">
        <f>37</f>
        <v>37</v>
      </c>
      <c r="Q37" s="3"/>
      <c r="R37" s="3"/>
      <c r="S37" s="3"/>
      <c r="T37" s="3"/>
      <c r="U37" s="3"/>
      <c r="V37" s="3"/>
    </row>
    <row r="38" spans="1:22">
      <c r="A38" s="3" t="str">
        <f>Records!A38</f>
        <v>P006</v>
      </c>
      <c r="B38" s="3">
        <f>Records!B38</f>
        <v>4</v>
      </c>
      <c r="C38" s="3" t="str">
        <f>Records!E38</f>
        <v>游戏手柄</v>
      </c>
      <c r="D38" s="3" t="str">
        <f>Records!G38</f>
        <v>方法B</v>
      </c>
      <c r="E38" s="3" t="str">
        <f>Records!H38</f>
        <v>One-Euro</v>
      </c>
      <c r="F38" s="5">
        <f>Records!K38</f>
        <v>3</v>
      </c>
      <c r="G38" s="5">
        <f>Records!R38</f>
        <v>6</v>
      </c>
      <c r="H38" s="5">
        <f>Records!L38</f>
        <v>4</v>
      </c>
      <c r="I38" s="5">
        <f>Records!M38</f>
        <v>4</v>
      </c>
      <c r="J38" s="5">
        <f>Records!Q38</f>
        <v>3</v>
      </c>
      <c r="K38" s="5">
        <f>Records!W38</f>
        <v>4</v>
      </c>
      <c r="L38" s="5">
        <f>Records!X38</f>
        <v>5</v>
      </c>
      <c r="M38" s="5">
        <f>IF(COUNT(Records!S38:U38)=0,"",AVERAGE(Records!S38:U38))</f>
        <v>5</v>
      </c>
      <c r="N38" s="5">
        <f>IF(COUNT(Records!O38,Records!P38,Records!V38)=0,"",AVERAGE(Records!O38,Records!P38,Records!V38))</f>
        <v>4.33333333333333</v>
      </c>
      <c r="O38" s="3" t="str">
        <f>Records!AD38</f>
        <v>是</v>
      </c>
      <c r="P38" s="10">
        <f>38</f>
        <v>38</v>
      </c>
      <c r="Q38" s="3"/>
      <c r="R38" s="3"/>
      <c r="S38" s="3"/>
      <c r="T38" s="3"/>
      <c r="U38" s="3"/>
      <c r="V38" s="3"/>
    </row>
    <row r="39" spans="1:22">
      <c r="A39" s="3" t="str">
        <f>Records!A39</f>
        <v>P006</v>
      </c>
      <c r="B39" s="3">
        <f>Records!B39</f>
        <v>5</v>
      </c>
      <c r="C39" s="3" t="str">
        <f>Records!E39</f>
        <v>固定订书机</v>
      </c>
      <c r="D39" s="3" t="str">
        <f>Records!G39</f>
        <v>方法B</v>
      </c>
      <c r="E39" s="3" t="str">
        <f>Records!H39</f>
        <v>One-Euro</v>
      </c>
      <c r="F39" s="5">
        <f>Records!K39</f>
        <v>3</v>
      </c>
      <c r="G39" s="5">
        <f>Records!R39</f>
        <v>5</v>
      </c>
      <c r="H39" s="5">
        <f>Records!L39</f>
        <v>4</v>
      </c>
      <c r="I39" s="5">
        <f>Records!M39</f>
        <v>5</v>
      </c>
      <c r="J39" s="5">
        <f>Records!Q39</f>
        <v>3</v>
      </c>
      <c r="K39" s="5">
        <f>Records!W39</f>
        <v>5</v>
      </c>
      <c r="L39" s="5">
        <f>Records!X39</f>
        <v>5</v>
      </c>
      <c r="M39" s="5">
        <f>IF(COUNT(Records!S39:U39)=0,"",AVERAGE(Records!S39:U39))</f>
        <v>4.33333333333333</v>
      </c>
      <c r="N39" s="5">
        <f>IF(COUNT(Records!O39,Records!P39,Records!V39)=0,"",AVERAGE(Records!O39,Records!P39,Records!V39))</f>
        <v>4.66666666666667</v>
      </c>
      <c r="O39" s="3" t="str">
        <f>Records!AD39</f>
        <v>是</v>
      </c>
      <c r="P39" s="10">
        <f>39</f>
        <v>39</v>
      </c>
      <c r="Q39" s="3"/>
      <c r="R39" s="3"/>
      <c r="S39" s="3"/>
      <c r="T39" s="3"/>
      <c r="U39" s="3"/>
      <c r="V39" s="3"/>
    </row>
    <row r="40" spans="1:22">
      <c r="A40" s="3" t="str">
        <f>Records!A40</f>
        <v>P006</v>
      </c>
      <c r="B40" s="3">
        <f>Records!B40</f>
        <v>6</v>
      </c>
      <c r="C40" s="3" t="str">
        <f>Records!E40</f>
        <v>固定订书机</v>
      </c>
      <c r="D40" s="3" t="str">
        <f>Records!G40</f>
        <v>方法A</v>
      </c>
      <c r="E40" s="3" t="str">
        <f>Records!H40</f>
        <v>EgoAnchor</v>
      </c>
      <c r="F40" s="5">
        <f>Records!K40</f>
        <v>5</v>
      </c>
      <c r="G40" s="5">
        <f>Records!R40</f>
        <v>6</v>
      </c>
      <c r="H40" s="5">
        <f>Records!L40</f>
        <v>4</v>
      </c>
      <c r="I40" s="5">
        <f>Records!M40</f>
        <v>5</v>
      </c>
      <c r="J40" s="5">
        <f>Records!Q40</f>
        <v>5</v>
      </c>
      <c r="K40" s="5">
        <f>Records!W40</f>
        <v>5</v>
      </c>
      <c r="L40" s="5">
        <f>Records!X40</f>
        <v>5</v>
      </c>
      <c r="M40" s="5">
        <f>IF(COUNT(Records!S40:U40)=0,"",AVERAGE(Records!S40:U40))</f>
        <v>5.33333333333333</v>
      </c>
      <c r="N40" s="5">
        <f>IF(COUNT(Records!O40,Records!P40,Records!V40)=0,"",AVERAGE(Records!O40,Records!P40,Records!V40))</f>
        <v>5</v>
      </c>
      <c r="O40" s="3" t="str">
        <f>Records!AD40</f>
        <v>是</v>
      </c>
      <c r="P40" s="10">
        <f>40</f>
        <v>40</v>
      </c>
      <c r="Q40" s="3"/>
      <c r="R40" s="3"/>
      <c r="S40" s="3"/>
      <c r="T40" s="3"/>
      <c r="U40" s="3"/>
      <c r="V40" s="3"/>
    </row>
    <row r="41" spans="1:22">
      <c r="A41" s="3" t="str">
        <f>Records!A41</f>
        <v>P007</v>
      </c>
      <c r="B41" s="3">
        <f>Records!B41</f>
        <v>1</v>
      </c>
      <c r="C41" s="3" t="str">
        <f>Records!E41</f>
        <v>鼠标</v>
      </c>
      <c r="D41" s="3" t="str">
        <f>Records!G41</f>
        <v>方法B</v>
      </c>
      <c r="E41" s="3" t="str">
        <f>Records!H41</f>
        <v>EgoAnchor</v>
      </c>
      <c r="F41" s="5">
        <f>Records!K41</f>
        <v>5</v>
      </c>
      <c r="G41" s="5">
        <f>Records!R41</f>
        <v>6</v>
      </c>
      <c r="H41" s="5">
        <f>Records!L41</f>
        <v>6</v>
      </c>
      <c r="I41" s="5">
        <f>Records!M41</f>
        <v>5</v>
      </c>
      <c r="J41" s="5">
        <f>Records!Q41</f>
        <v>5</v>
      </c>
      <c r="K41" s="5">
        <f>Records!W41</f>
        <v>3</v>
      </c>
      <c r="L41" s="5">
        <f>Records!X41</f>
        <v>5</v>
      </c>
      <c r="M41" s="5">
        <f>IF(COUNT(Records!S41:U41)=0,"",AVERAGE(Records!S41:U41))</f>
        <v>5.33333333333333</v>
      </c>
      <c r="N41" s="5">
        <f>IF(COUNT(Records!O41,Records!P41,Records!V41)=0,"",AVERAGE(Records!O41,Records!P41,Records!V41))</f>
        <v>6</v>
      </c>
      <c r="O41" s="3" t="str">
        <f>Records!AD41</f>
        <v>是</v>
      </c>
      <c r="P41" s="10">
        <f>41</f>
        <v>41</v>
      </c>
      <c r="Q41" s="3"/>
      <c r="R41" s="3"/>
      <c r="S41" s="3"/>
      <c r="T41" s="3"/>
      <c r="U41" s="3"/>
      <c r="V41" s="3"/>
    </row>
    <row r="42" spans="1:22">
      <c r="A42" s="3" t="str">
        <f>Records!A42</f>
        <v>P007</v>
      </c>
      <c r="B42" s="3">
        <f>Records!B42</f>
        <v>2</v>
      </c>
      <c r="C42" s="3" t="str">
        <f>Records!E42</f>
        <v>鼠标</v>
      </c>
      <c r="D42" s="3" t="str">
        <f>Records!G42</f>
        <v>方法A</v>
      </c>
      <c r="E42" s="3" t="str">
        <f>Records!H42</f>
        <v>One-Euro</v>
      </c>
      <c r="F42" s="5">
        <f>Records!K42</f>
        <v>5</v>
      </c>
      <c r="G42" s="5">
        <f>Records!R42</f>
        <v>4</v>
      </c>
      <c r="H42" s="5">
        <f>Records!L42</f>
        <v>5</v>
      </c>
      <c r="I42" s="5">
        <f>Records!M42</f>
        <v>5</v>
      </c>
      <c r="J42" s="5">
        <f>Records!Q42</f>
        <v>4</v>
      </c>
      <c r="K42" s="5">
        <f>Records!W42</f>
        <v>4</v>
      </c>
      <c r="L42" s="5">
        <f>Records!X42</f>
        <v>5</v>
      </c>
      <c r="M42" s="5">
        <f>IF(COUNT(Records!S42:U42)=0,"",AVERAGE(Records!S42:U42))</f>
        <v>5.66666666666667</v>
      </c>
      <c r="N42" s="5">
        <f>IF(COUNT(Records!O42,Records!P42,Records!V42)=0,"",AVERAGE(Records!O42,Records!P42,Records!V42))</f>
        <v>5</v>
      </c>
      <c r="O42" s="3" t="str">
        <f>Records!AD42</f>
        <v>是</v>
      </c>
      <c r="P42" s="10">
        <f>42</f>
        <v>42</v>
      </c>
      <c r="Q42" s="3"/>
      <c r="R42" s="3"/>
      <c r="S42" s="3"/>
      <c r="T42" s="3"/>
      <c r="U42" s="3"/>
      <c r="V42" s="3"/>
    </row>
    <row r="43" spans="1:22">
      <c r="A43" s="3" t="str">
        <f>Records!A43</f>
        <v>P007</v>
      </c>
      <c r="B43" s="3">
        <f>Records!B43</f>
        <v>3</v>
      </c>
      <c r="C43" s="3" t="str">
        <f>Records!E43</f>
        <v>游戏手柄</v>
      </c>
      <c r="D43" s="3" t="str">
        <f>Records!G43</f>
        <v>方法A</v>
      </c>
      <c r="E43" s="3" t="str">
        <f>Records!H43</f>
        <v>One-Euro</v>
      </c>
      <c r="F43" s="5">
        <f>Records!K43</f>
        <v>5</v>
      </c>
      <c r="G43" s="5">
        <f>Records!R43</f>
        <v>4</v>
      </c>
      <c r="H43" s="5">
        <f>Records!L43</f>
        <v>5</v>
      </c>
      <c r="I43" s="5">
        <f>Records!M43</f>
        <v>6</v>
      </c>
      <c r="J43" s="5">
        <f>Records!Q43</f>
        <v>4</v>
      </c>
      <c r="K43" s="5">
        <f>Records!W43</f>
        <v>3</v>
      </c>
      <c r="L43" s="5">
        <f>Records!X43</f>
        <v>4</v>
      </c>
      <c r="M43" s="5">
        <f>IF(COUNT(Records!S43:U43)=0,"",AVERAGE(Records!S43:U43))</f>
        <v>4.33333333333333</v>
      </c>
      <c r="N43" s="5">
        <f>IF(COUNT(Records!O43,Records!P43,Records!V43)=0,"",AVERAGE(Records!O43,Records!P43,Records!V43))</f>
        <v>5.66666666666667</v>
      </c>
      <c r="O43" s="3" t="str">
        <f>Records!AD43</f>
        <v>是</v>
      </c>
      <c r="P43" s="10">
        <f>43</f>
        <v>43</v>
      </c>
      <c r="Q43" s="3"/>
      <c r="R43" s="3"/>
      <c r="S43" s="3"/>
      <c r="T43" s="3"/>
      <c r="U43" s="3"/>
      <c r="V43" s="3"/>
    </row>
    <row r="44" spans="1:22">
      <c r="A44" s="3" t="str">
        <f>Records!A44</f>
        <v>P007</v>
      </c>
      <c r="B44" s="3">
        <f>Records!B44</f>
        <v>4</v>
      </c>
      <c r="C44" s="3" t="str">
        <f>Records!E44</f>
        <v>游戏手柄</v>
      </c>
      <c r="D44" s="3" t="str">
        <f>Records!G44</f>
        <v>方法B</v>
      </c>
      <c r="E44" s="3" t="str">
        <f>Records!H44</f>
        <v>EgoAnchor</v>
      </c>
      <c r="F44" s="5">
        <f>Records!K44</f>
        <v>5</v>
      </c>
      <c r="G44" s="5">
        <f>Records!R44</f>
        <v>4</v>
      </c>
      <c r="H44" s="5">
        <f>Records!L44</f>
        <v>5</v>
      </c>
      <c r="I44" s="5">
        <f>Records!M44</f>
        <v>5</v>
      </c>
      <c r="J44" s="5">
        <f>Records!Q44</f>
        <v>5</v>
      </c>
      <c r="K44" s="5">
        <f>Records!W44</f>
        <v>5</v>
      </c>
      <c r="L44" s="5">
        <f>Records!X44</f>
        <v>5</v>
      </c>
      <c r="M44" s="5">
        <f>IF(COUNT(Records!S44:U44)=0,"",AVERAGE(Records!S44:U44))</f>
        <v>5</v>
      </c>
      <c r="N44" s="5">
        <f>IF(COUNT(Records!O44,Records!P44,Records!V44)=0,"",AVERAGE(Records!O44,Records!P44,Records!V44))</f>
        <v>5.33333333333333</v>
      </c>
      <c r="O44" s="3" t="str">
        <f>Records!AD44</f>
        <v>是</v>
      </c>
      <c r="P44" s="10">
        <f>44</f>
        <v>44</v>
      </c>
      <c r="Q44" s="3"/>
      <c r="R44" s="3"/>
      <c r="S44" s="3"/>
      <c r="T44" s="3"/>
      <c r="U44" s="3"/>
      <c r="V44" s="3"/>
    </row>
    <row r="45" spans="1:22">
      <c r="A45" s="3" t="str">
        <f>Records!A45</f>
        <v>P007</v>
      </c>
      <c r="B45" s="3">
        <f>Records!B45</f>
        <v>5</v>
      </c>
      <c r="C45" s="3" t="str">
        <f>Records!E45</f>
        <v>固定订书机</v>
      </c>
      <c r="D45" s="3" t="str">
        <f>Records!G45</f>
        <v>方法B</v>
      </c>
      <c r="E45" s="3" t="str">
        <f>Records!H45</f>
        <v>EgoAnchor</v>
      </c>
      <c r="F45" s="5">
        <f>Records!K45</f>
        <v>5</v>
      </c>
      <c r="G45" s="5">
        <f>Records!R45</f>
        <v>5</v>
      </c>
      <c r="H45" s="5">
        <f>Records!L45</f>
        <v>5</v>
      </c>
      <c r="I45" s="5">
        <f>Records!M45</f>
        <v>6</v>
      </c>
      <c r="J45" s="5">
        <f>Records!Q45</f>
        <v>7</v>
      </c>
      <c r="K45" s="5">
        <f>Records!W45</f>
        <v>6</v>
      </c>
      <c r="L45" s="5">
        <f>Records!X45</f>
        <v>6</v>
      </c>
      <c r="M45" s="5">
        <f>IF(COUNT(Records!S45:U45)=0,"",AVERAGE(Records!S45:U45))</f>
        <v>5.33333333333333</v>
      </c>
      <c r="N45" s="5">
        <f>IF(COUNT(Records!O45,Records!P45,Records!V45)=0,"",AVERAGE(Records!O45,Records!P45,Records!V45))</f>
        <v>5</v>
      </c>
      <c r="O45" s="3" t="str">
        <f>Records!AD45</f>
        <v>是</v>
      </c>
      <c r="P45" s="10">
        <f>45</f>
        <v>45</v>
      </c>
      <c r="Q45" s="3"/>
      <c r="R45" s="3"/>
      <c r="S45" s="3"/>
      <c r="T45" s="3"/>
      <c r="U45" s="3"/>
      <c r="V45" s="3"/>
    </row>
    <row r="46" spans="1:22">
      <c r="A46" s="3" t="str">
        <f>Records!A46</f>
        <v>P007</v>
      </c>
      <c r="B46" s="3">
        <f>Records!B46</f>
        <v>6</v>
      </c>
      <c r="C46" s="3" t="str">
        <f>Records!E46</f>
        <v>固定订书机</v>
      </c>
      <c r="D46" s="3" t="str">
        <f>Records!G46</f>
        <v>方法A</v>
      </c>
      <c r="E46" s="3" t="str">
        <f>Records!H46</f>
        <v>One-Euro</v>
      </c>
      <c r="F46" s="5">
        <f>Records!K46</f>
        <v>3</v>
      </c>
      <c r="G46" s="5">
        <f>Records!R46</f>
        <v>4</v>
      </c>
      <c r="H46" s="5">
        <f>Records!L46</f>
        <v>5</v>
      </c>
      <c r="I46" s="5">
        <f>Records!M46</f>
        <v>5</v>
      </c>
      <c r="J46" s="5">
        <f>Records!Q46</f>
        <v>5</v>
      </c>
      <c r="K46" s="5">
        <f>Records!W46</f>
        <v>4</v>
      </c>
      <c r="L46" s="5">
        <f>Records!X46</f>
        <v>5</v>
      </c>
      <c r="M46" s="5">
        <f>IF(COUNT(Records!S46:U46)=0,"",AVERAGE(Records!S46:U46))</f>
        <v>5.33333333333333</v>
      </c>
      <c r="N46" s="5">
        <f>IF(COUNT(Records!O46,Records!P46,Records!V46)=0,"",AVERAGE(Records!O46,Records!P46,Records!V46))</f>
        <v>5</v>
      </c>
      <c r="O46" s="3" t="str">
        <f>Records!AD46</f>
        <v>是</v>
      </c>
      <c r="P46" s="10">
        <f>46</f>
        <v>46</v>
      </c>
      <c r="Q46" s="3"/>
      <c r="R46" s="3"/>
      <c r="S46" s="3"/>
      <c r="T46" s="3"/>
      <c r="U46" s="3"/>
      <c r="V46" s="3"/>
    </row>
    <row r="47" spans="1:22">
      <c r="A47" s="3" t="str">
        <f>Records!A47</f>
        <v>P008</v>
      </c>
      <c r="B47" s="3">
        <f>Records!B47</f>
        <v>1</v>
      </c>
      <c r="C47" s="3" t="str">
        <f>Records!E47</f>
        <v>鼠标</v>
      </c>
      <c r="D47" s="3" t="str">
        <f>Records!G47</f>
        <v>方法A</v>
      </c>
      <c r="E47" s="3" t="str">
        <f>Records!H47</f>
        <v>One-Euro</v>
      </c>
      <c r="F47" s="5">
        <f>Records!K47</f>
        <v>4</v>
      </c>
      <c r="G47" s="5">
        <f>Records!R47</f>
        <v>5</v>
      </c>
      <c r="H47" s="5">
        <f>Records!L47</f>
        <v>4</v>
      </c>
      <c r="I47" s="5">
        <f>Records!M47</f>
        <v>5</v>
      </c>
      <c r="J47" s="5">
        <f>Records!Q47</f>
        <v>5</v>
      </c>
      <c r="K47" s="5">
        <f>Records!W47</f>
        <v>5</v>
      </c>
      <c r="L47" s="5">
        <f>Records!X47</f>
        <v>6</v>
      </c>
      <c r="M47" s="5">
        <f>IF(COUNT(Records!S47:U47)=0,"",AVERAGE(Records!S47:U47))</f>
        <v>4.66666666666667</v>
      </c>
      <c r="N47" s="5">
        <f>IF(COUNT(Records!O47,Records!P47,Records!V47)=0,"",AVERAGE(Records!O47,Records!P47,Records!V47))</f>
        <v>5</v>
      </c>
      <c r="O47" s="3" t="str">
        <f>Records!AD47</f>
        <v>是</v>
      </c>
      <c r="P47" s="10">
        <f>47</f>
        <v>47</v>
      </c>
      <c r="Q47" s="3"/>
      <c r="R47" s="3"/>
      <c r="S47" s="3"/>
      <c r="T47" s="3"/>
      <c r="U47" s="3"/>
      <c r="V47" s="3"/>
    </row>
    <row r="48" spans="1:22">
      <c r="A48" s="3" t="str">
        <f>Records!A48</f>
        <v>P008</v>
      </c>
      <c r="B48" s="3">
        <f>Records!B48</f>
        <v>2</v>
      </c>
      <c r="C48" s="3" t="str">
        <f>Records!E48</f>
        <v>鼠标</v>
      </c>
      <c r="D48" s="3" t="str">
        <f>Records!G48</f>
        <v>方法B</v>
      </c>
      <c r="E48" s="3" t="str">
        <f>Records!H48</f>
        <v>EgoAnchor</v>
      </c>
      <c r="F48" s="5">
        <f>Records!K48</f>
        <v>5</v>
      </c>
      <c r="G48" s="5">
        <f>Records!R48</f>
        <v>6</v>
      </c>
      <c r="H48" s="5">
        <f>Records!L48</f>
        <v>6</v>
      </c>
      <c r="I48" s="5">
        <f>Records!M48</f>
        <v>5</v>
      </c>
      <c r="J48" s="5">
        <f>Records!Q48</f>
        <v>4</v>
      </c>
      <c r="K48" s="5">
        <f>Records!W48</f>
        <v>4</v>
      </c>
      <c r="L48" s="5">
        <f>Records!X48</f>
        <v>4</v>
      </c>
      <c r="M48" s="5">
        <f>IF(COUNT(Records!S48:U48)=0,"",AVERAGE(Records!S48:U48))</f>
        <v>4.33333333333333</v>
      </c>
      <c r="N48" s="5">
        <f>IF(COUNT(Records!O48,Records!P48,Records!V48)=0,"",AVERAGE(Records!O48,Records!P48,Records!V48))</f>
        <v>4.66666666666667</v>
      </c>
      <c r="O48" s="3" t="str">
        <f>Records!AD48</f>
        <v>是</v>
      </c>
      <c r="P48" s="10">
        <f>48</f>
        <v>48</v>
      </c>
      <c r="Q48" s="3"/>
      <c r="R48" s="3"/>
      <c r="S48" s="3"/>
      <c r="T48" s="3"/>
      <c r="U48" s="3"/>
      <c r="V48" s="3"/>
    </row>
    <row r="49" spans="1:22">
      <c r="A49" s="3" t="str">
        <f>Records!A49</f>
        <v>P008</v>
      </c>
      <c r="B49" s="3">
        <f>Records!B49</f>
        <v>3</v>
      </c>
      <c r="C49" s="3" t="str">
        <f>Records!E49</f>
        <v>游戏手柄</v>
      </c>
      <c r="D49" s="3" t="str">
        <f>Records!G49</f>
        <v>方法B</v>
      </c>
      <c r="E49" s="3" t="str">
        <f>Records!H49</f>
        <v>EgoAnchor</v>
      </c>
      <c r="F49" s="5">
        <f>Records!K49</f>
        <v>4</v>
      </c>
      <c r="G49" s="5">
        <f>Records!R49</f>
        <v>5</v>
      </c>
      <c r="H49" s="5">
        <f>Records!L49</f>
        <v>5</v>
      </c>
      <c r="I49" s="5">
        <f>Records!M49</f>
        <v>6</v>
      </c>
      <c r="J49" s="5">
        <f>Records!Q49</f>
        <v>3</v>
      </c>
      <c r="K49" s="5">
        <f>Records!W49</f>
        <v>3</v>
      </c>
      <c r="L49" s="5">
        <f>Records!X49</f>
        <v>5</v>
      </c>
      <c r="M49" s="5">
        <f>IF(COUNT(Records!S49:U49)=0,"",AVERAGE(Records!S49:U49))</f>
        <v>4</v>
      </c>
      <c r="N49" s="5">
        <f>IF(COUNT(Records!O49,Records!P49,Records!V49)=0,"",AVERAGE(Records!O49,Records!P49,Records!V49))</f>
        <v>4.33333333333333</v>
      </c>
      <c r="O49" s="3" t="str">
        <f>Records!AD49</f>
        <v>是</v>
      </c>
      <c r="P49" s="10">
        <f>49</f>
        <v>49</v>
      </c>
      <c r="Q49" s="3"/>
      <c r="R49" s="3"/>
      <c r="S49" s="3"/>
      <c r="T49" s="3"/>
      <c r="U49" s="3"/>
      <c r="V49" s="3"/>
    </row>
    <row r="50" spans="1:22">
      <c r="A50" s="3" t="str">
        <f>Records!A50</f>
        <v>P008</v>
      </c>
      <c r="B50" s="3">
        <f>Records!B50</f>
        <v>4</v>
      </c>
      <c r="C50" s="3" t="str">
        <f>Records!E50</f>
        <v>游戏手柄</v>
      </c>
      <c r="D50" s="3" t="str">
        <f>Records!G50</f>
        <v>方法A</v>
      </c>
      <c r="E50" s="3" t="str">
        <f>Records!H50</f>
        <v>One-Euro</v>
      </c>
      <c r="F50" s="5">
        <f>Records!K50</f>
        <v>5</v>
      </c>
      <c r="G50" s="5">
        <f>Records!R50</f>
        <v>5</v>
      </c>
      <c r="H50" s="5">
        <f>Records!L50</f>
        <v>4</v>
      </c>
      <c r="I50" s="5">
        <f>Records!M50</f>
        <v>5</v>
      </c>
      <c r="J50" s="5">
        <f>Records!Q50</f>
        <v>4</v>
      </c>
      <c r="K50" s="5">
        <f>Records!W50</f>
        <v>4</v>
      </c>
      <c r="L50" s="5">
        <f>Records!X50</f>
        <v>4</v>
      </c>
      <c r="M50" s="5">
        <f>IF(COUNT(Records!S50:U50)=0,"",AVERAGE(Records!S50:U50))</f>
        <v>5</v>
      </c>
      <c r="N50" s="5">
        <f>IF(COUNT(Records!O50,Records!P50,Records!V50)=0,"",AVERAGE(Records!O50,Records!P50,Records!V50))</f>
        <v>4.33333333333333</v>
      </c>
      <c r="O50" s="3" t="str">
        <f>Records!AD50</f>
        <v>是</v>
      </c>
      <c r="P50" s="10">
        <f>50</f>
        <v>50</v>
      </c>
      <c r="Q50" s="3"/>
      <c r="R50" s="3"/>
      <c r="S50" s="3"/>
      <c r="T50" s="3"/>
      <c r="U50" s="3"/>
      <c r="V50" s="3"/>
    </row>
    <row r="51" spans="1:22">
      <c r="A51" s="3" t="str">
        <f>Records!A51</f>
        <v>P008</v>
      </c>
      <c r="B51" s="3">
        <f>Records!B51</f>
        <v>5</v>
      </c>
      <c r="C51" s="3" t="str">
        <f>Records!E51</f>
        <v>固定订书机</v>
      </c>
      <c r="D51" s="3" t="str">
        <f>Records!G51</f>
        <v>方法A</v>
      </c>
      <c r="E51" s="3" t="str">
        <f>Records!H51</f>
        <v>One-Euro</v>
      </c>
      <c r="F51" s="5">
        <f>Records!K51</f>
        <v>5</v>
      </c>
      <c r="G51" s="5">
        <f>Records!R51</f>
        <v>4</v>
      </c>
      <c r="H51" s="5">
        <f>Records!L51</f>
        <v>5</v>
      </c>
      <c r="I51" s="5">
        <f>Records!M51</f>
        <v>4</v>
      </c>
      <c r="J51" s="5">
        <f>Records!Q51</f>
        <v>3</v>
      </c>
      <c r="K51" s="5">
        <f>Records!W51</f>
        <v>4</v>
      </c>
      <c r="L51" s="5">
        <f>Records!X51</f>
        <v>5</v>
      </c>
      <c r="M51" s="5">
        <f>IF(COUNT(Records!S51:U51)=0,"",AVERAGE(Records!S51:U51))</f>
        <v>4.33333333333333</v>
      </c>
      <c r="N51" s="5">
        <f>IF(COUNT(Records!O51,Records!P51,Records!V51)=0,"",AVERAGE(Records!O51,Records!P51,Records!V51))</f>
        <v>4.33333333333333</v>
      </c>
      <c r="O51" s="3" t="str">
        <f>Records!AD51</f>
        <v>是</v>
      </c>
      <c r="P51" s="10">
        <f>51</f>
        <v>51</v>
      </c>
      <c r="Q51" s="3"/>
      <c r="R51" s="3"/>
      <c r="S51" s="3"/>
      <c r="T51" s="3"/>
      <c r="U51" s="3"/>
      <c r="V51" s="3"/>
    </row>
    <row r="52" spans="1:22">
      <c r="A52" s="3" t="str">
        <f>Records!A52</f>
        <v>P008</v>
      </c>
      <c r="B52" s="3">
        <f>Records!B52</f>
        <v>6</v>
      </c>
      <c r="C52" s="3" t="str">
        <f>Records!E52</f>
        <v>固定订书机</v>
      </c>
      <c r="D52" s="3" t="str">
        <f>Records!G52</f>
        <v>方法B</v>
      </c>
      <c r="E52" s="3" t="str">
        <f>Records!H52</f>
        <v>EgoAnchor</v>
      </c>
      <c r="F52" s="5">
        <f>Records!K52</f>
        <v>4</v>
      </c>
      <c r="G52" s="5">
        <f>Records!R52</f>
        <v>4</v>
      </c>
      <c r="H52" s="5">
        <f>Records!L52</f>
        <v>5</v>
      </c>
      <c r="I52" s="5">
        <f>Records!M52</f>
        <v>5</v>
      </c>
      <c r="J52" s="5">
        <f>Records!Q52</f>
        <v>5</v>
      </c>
      <c r="K52" s="5">
        <f>Records!W52</f>
        <v>4</v>
      </c>
      <c r="L52" s="5">
        <f>Records!X52</f>
        <v>5</v>
      </c>
      <c r="M52" s="5">
        <f>IF(COUNT(Records!S52:U52)=0,"",AVERAGE(Records!S52:U52))</f>
        <v>4.66666666666667</v>
      </c>
      <c r="N52" s="5">
        <f>IF(COUNT(Records!O52,Records!P52,Records!V52)=0,"",AVERAGE(Records!O52,Records!P52,Records!V52))</f>
        <v>4</v>
      </c>
      <c r="O52" s="3" t="str">
        <f>Records!AD52</f>
        <v>是</v>
      </c>
      <c r="P52" s="10">
        <f>52</f>
        <v>52</v>
      </c>
      <c r="Q52" s="3"/>
      <c r="R52" s="3"/>
      <c r="S52" s="3"/>
      <c r="T52" s="3"/>
      <c r="U52" s="3"/>
      <c r="V52" s="3"/>
    </row>
    <row r="53" spans="1:22">
      <c r="A53" s="3" t="str">
        <f>Records!A53</f>
        <v>P009</v>
      </c>
      <c r="B53" s="3">
        <f>Records!B53</f>
        <v>1</v>
      </c>
      <c r="C53" s="3" t="str">
        <f>Records!E53</f>
        <v>固定订书机</v>
      </c>
      <c r="D53" s="3" t="str">
        <f>Records!G53</f>
        <v>方法A</v>
      </c>
      <c r="E53" s="3" t="str">
        <f>Records!H53</f>
        <v>EgoAnchor</v>
      </c>
      <c r="F53" s="5">
        <f>Records!K53</f>
        <v>5</v>
      </c>
      <c r="G53" s="5">
        <f>Records!R53</f>
        <v>5</v>
      </c>
      <c r="H53" s="5">
        <f>Records!L53</f>
        <v>5</v>
      </c>
      <c r="I53" s="5">
        <f>Records!M53</f>
        <v>5</v>
      </c>
      <c r="J53" s="5">
        <f>Records!Q53</f>
        <v>5</v>
      </c>
      <c r="K53" s="5">
        <f>Records!W53</f>
        <v>4</v>
      </c>
      <c r="L53" s="5">
        <f>Records!X53</f>
        <v>3</v>
      </c>
      <c r="M53" s="5">
        <f>IF(COUNT(Records!S53:U53)=0,"",AVERAGE(Records!S53:U53))</f>
        <v>5</v>
      </c>
      <c r="N53" s="5">
        <f>IF(COUNT(Records!O53,Records!P53,Records!V53)=0,"",AVERAGE(Records!O53,Records!P53,Records!V53))</f>
        <v>2.66666666666667</v>
      </c>
      <c r="O53" s="3" t="str">
        <f>Records!AD53</f>
        <v>是</v>
      </c>
      <c r="P53" s="10">
        <f>53</f>
        <v>53</v>
      </c>
      <c r="Q53" s="3"/>
      <c r="R53" s="3"/>
      <c r="S53" s="3"/>
      <c r="T53" s="3"/>
      <c r="U53" s="3"/>
      <c r="V53" s="3"/>
    </row>
    <row r="54" spans="1:22">
      <c r="A54" s="3" t="str">
        <f>Records!A54</f>
        <v>P009</v>
      </c>
      <c r="B54" s="3">
        <f>Records!B54</f>
        <v>2</v>
      </c>
      <c r="C54" s="3" t="str">
        <f>Records!E54</f>
        <v>固定订书机</v>
      </c>
      <c r="D54" s="3" t="str">
        <f>Records!G54</f>
        <v>方法B</v>
      </c>
      <c r="E54" s="3" t="str">
        <f>Records!H54</f>
        <v>One-Euro</v>
      </c>
      <c r="F54" s="5">
        <f>Records!K54</f>
        <v>4</v>
      </c>
      <c r="G54" s="5">
        <f>Records!R54</f>
        <v>4</v>
      </c>
      <c r="H54" s="5">
        <f>Records!L54</f>
        <v>5</v>
      </c>
      <c r="I54" s="5">
        <f>Records!M54</f>
        <v>6</v>
      </c>
      <c r="J54" s="5">
        <f>Records!Q54</f>
        <v>3</v>
      </c>
      <c r="K54" s="5">
        <f>Records!W54</f>
        <v>4</v>
      </c>
      <c r="L54" s="5">
        <f>Records!X54</f>
        <v>4</v>
      </c>
      <c r="M54" s="5">
        <f>IF(COUNT(Records!S54:U54)=0,"",AVERAGE(Records!S54:U54))</f>
        <v>4</v>
      </c>
      <c r="N54" s="5">
        <f>IF(COUNT(Records!O54,Records!P54,Records!V54)=0,"",AVERAGE(Records!O54,Records!P54,Records!V54))</f>
        <v>4.33333333333333</v>
      </c>
      <c r="O54" s="3" t="str">
        <f>Records!AD54</f>
        <v>是</v>
      </c>
      <c r="P54" s="10">
        <f>54</f>
        <v>54</v>
      </c>
      <c r="Q54" s="3"/>
      <c r="R54" s="3"/>
      <c r="S54" s="3"/>
      <c r="T54" s="3"/>
      <c r="U54" s="3"/>
      <c r="V54" s="3"/>
    </row>
    <row r="55" spans="1:22">
      <c r="A55" s="3" t="str">
        <f>Records!A55</f>
        <v>P009</v>
      </c>
      <c r="B55" s="3">
        <f>Records!B55</f>
        <v>3</v>
      </c>
      <c r="C55" s="3" t="str">
        <f>Records!E55</f>
        <v>鼠标</v>
      </c>
      <c r="D55" s="3" t="str">
        <f>Records!G55</f>
        <v>方法B</v>
      </c>
      <c r="E55" s="3" t="str">
        <f>Records!H55</f>
        <v>One-Euro</v>
      </c>
      <c r="F55" s="5">
        <f>Records!K55</f>
        <v>4</v>
      </c>
      <c r="G55" s="5">
        <f>Records!R55</f>
        <v>4</v>
      </c>
      <c r="H55" s="5">
        <f>Records!L55</f>
        <v>6</v>
      </c>
      <c r="I55" s="5">
        <f>Records!M55</f>
        <v>5</v>
      </c>
      <c r="J55" s="5">
        <f>Records!Q55</f>
        <v>4</v>
      </c>
      <c r="K55" s="5">
        <f>Records!W55</f>
        <v>4</v>
      </c>
      <c r="L55" s="5">
        <f>Records!X55</f>
        <v>4</v>
      </c>
      <c r="M55" s="5">
        <f>IF(COUNT(Records!S55:U55)=0,"",AVERAGE(Records!S55:U55))</f>
        <v>4</v>
      </c>
      <c r="N55" s="5">
        <f>IF(COUNT(Records!O55,Records!P55,Records!V55)=0,"",AVERAGE(Records!O55,Records!P55,Records!V55))</f>
        <v>5.33333333333333</v>
      </c>
      <c r="O55" s="3" t="str">
        <f>Records!AD55</f>
        <v>是</v>
      </c>
      <c r="P55" s="10">
        <f>55</f>
        <v>55</v>
      </c>
      <c r="Q55" s="3"/>
      <c r="R55" s="3"/>
      <c r="S55" s="3"/>
      <c r="T55" s="3"/>
      <c r="U55" s="3"/>
      <c r="V55" s="3"/>
    </row>
    <row r="56" spans="1:22">
      <c r="A56" s="3" t="str">
        <f>Records!A56</f>
        <v>P009</v>
      </c>
      <c r="B56" s="3">
        <f>Records!B56</f>
        <v>4</v>
      </c>
      <c r="C56" s="3" t="str">
        <f>Records!E56</f>
        <v>鼠标</v>
      </c>
      <c r="D56" s="3" t="str">
        <f>Records!G56</f>
        <v>方法A</v>
      </c>
      <c r="E56" s="3" t="str">
        <f>Records!H56</f>
        <v>EgoAnchor</v>
      </c>
      <c r="F56" s="5">
        <f>Records!K56</f>
        <v>4</v>
      </c>
      <c r="G56" s="5">
        <f>Records!R56</f>
        <v>4</v>
      </c>
      <c r="H56" s="5">
        <f>Records!L56</f>
        <v>5</v>
      </c>
      <c r="I56" s="5">
        <f>Records!M56</f>
        <v>5</v>
      </c>
      <c r="J56" s="5">
        <f>Records!Q56</f>
        <v>5</v>
      </c>
      <c r="K56" s="5">
        <f>Records!W56</f>
        <v>5</v>
      </c>
      <c r="L56" s="5">
        <f>Records!X56</f>
        <v>4</v>
      </c>
      <c r="M56" s="5">
        <f>IF(COUNT(Records!S56:U56)=0,"",AVERAGE(Records!S56:U56))</f>
        <v>4.33333333333333</v>
      </c>
      <c r="N56" s="5">
        <f>IF(COUNT(Records!O56,Records!P56,Records!V56)=0,"",AVERAGE(Records!O56,Records!P56,Records!V56))</f>
        <v>4.33333333333333</v>
      </c>
      <c r="O56" s="3" t="str">
        <f>Records!AD56</f>
        <v>是</v>
      </c>
      <c r="P56" s="10">
        <f>56</f>
        <v>56</v>
      </c>
      <c r="Q56" s="3"/>
      <c r="R56" s="3"/>
      <c r="S56" s="3"/>
      <c r="T56" s="3"/>
      <c r="U56" s="3"/>
      <c r="V56" s="3"/>
    </row>
    <row r="57" spans="1:22">
      <c r="A57" s="3" t="str">
        <f>Records!A57</f>
        <v>P009</v>
      </c>
      <c r="B57" s="3">
        <f>Records!B57</f>
        <v>5</v>
      </c>
      <c r="C57" s="3" t="str">
        <f>Records!E57</f>
        <v>游戏手柄</v>
      </c>
      <c r="D57" s="3" t="str">
        <f>Records!G57</f>
        <v>方法A</v>
      </c>
      <c r="E57" s="3" t="str">
        <f>Records!H57</f>
        <v>EgoAnchor</v>
      </c>
      <c r="F57" s="5">
        <f>Records!K57</f>
        <v>4</v>
      </c>
      <c r="G57" s="5">
        <f>Records!R57</f>
        <v>4</v>
      </c>
      <c r="H57" s="5">
        <f>Records!L57</f>
        <v>6</v>
      </c>
      <c r="I57" s="5">
        <f>Records!M57</f>
        <v>4</v>
      </c>
      <c r="J57" s="5">
        <f>Records!Q57</f>
        <v>5</v>
      </c>
      <c r="K57" s="5">
        <f>Records!W57</f>
        <v>4</v>
      </c>
      <c r="L57" s="5">
        <f>Records!X57</f>
        <v>4</v>
      </c>
      <c r="M57" s="5">
        <f>IF(COUNT(Records!S57:U57)=0,"",AVERAGE(Records!S57:U57))</f>
        <v>3.66666666666667</v>
      </c>
      <c r="N57" s="5">
        <f>IF(COUNT(Records!O57,Records!P57,Records!V57)=0,"",AVERAGE(Records!O57,Records!P57,Records!V57))</f>
        <v>4.66666666666667</v>
      </c>
      <c r="O57" s="3" t="str">
        <f>Records!AD57</f>
        <v>是</v>
      </c>
      <c r="P57" s="10">
        <f>57</f>
        <v>57</v>
      </c>
      <c r="Q57" s="3"/>
      <c r="R57" s="3"/>
      <c r="S57" s="3"/>
      <c r="T57" s="3"/>
      <c r="U57" s="3"/>
      <c r="V57" s="3"/>
    </row>
    <row r="58" spans="1:22">
      <c r="A58" s="3" t="str">
        <f>Records!A58</f>
        <v>P009</v>
      </c>
      <c r="B58" s="3">
        <f>Records!B58</f>
        <v>6</v>
      </c>
      <c r="C58" s="3" t="str">
        <f>Records!E58</f>
        <v>游戏手柄</v>
      </c>
      <c r="D58" s="3" t="str">
        <f>Records!G58</f>
        <v>方法B</v>
      </c>
      <c r="E58" s="3" t="str">
        <f>Records!H58</f>
        <v>One-Euro</v>
      </c>
      <c r="F58" s="5">
        <f>Records!K58</f>
        <v>2</v>
      </c>
      <c r="G58" s="5">
        <f>Records!R58</f>
        <v>3</v>
      </c>
      <c r="H58" s="5">
        <f>Records!L58</f>
        <v>4</v>
      </c>
      <c r="I58" s="5">
        <f>Records!M58</f>
        <v>5</v>
      </c>
      <c r="J58" s="5">
        <f>Records!Q58</f>
        <v>5</v>
      </c>
      <c r="K58" s="5">
        <f>Records!W58</f>
        <v>4</v>
      </c>
      <c r="L58" s="5">
        <f>Records!X58</f>
        <v>3</v>
      </c>
      <c r="M58" s="5">
        <f>IF(COUNT(Records!S58:U58)=0,"",AVERAGE(Records!S58:U58))</f>
        <v>3.66666666666667</v>
      </c>
      <c r="N58" s="5">
        <f>IF(COUNT(Records!O58,Records!P58,Records!V58)=0,"",AVERAGE(Records!O58,Records!P58,Records!V58))</f>
        <v>5</v>
      </c>
      <c r="O58" s="3" t="str">
        <f>Records!AD58</f>
        <v>是</v>
      </c>
      <c r="P58" s="10">
        <f>58</f>
        <v>58</v>
      </c>
      <c r="Q58" s="3"/>
      <c r="R58" s="3"/>
      <c r="S58" s="3"/>
      <c r="T58" s="3"/>
      <c r="U58" s="3"/>
      <c r="V58" s="3"/>
    </row>
    <row r="59" spans="1:22">
      <c r="A59" s="3" t="str">
        <f>Records!A59</f>
        <v>P010</v>
      </c>
      <c r="B59" s="3">
        <f>Records!B59</f>
        <v>1</v>
      </c>
      <c r="C59" s="3" t="str">
        <f>Records!E59</f>
        <v>固定订书机</v>
      </c>
      <c r="D59" s="3" t="str">
        <f>Records!G59</f>
        <v>方法B</v>
      </c>
      <c r="E59" s="3" t="str">
        <f>Records!H59</f>
        <v>One-Euro</v>
      </c>
      <c r="F59" s="5">
        <f>Records!K59</f>
        <v>4</v>
      </c>
      <c r="G59" s="5">
        <f>Records!R59</f>
        <v>5</v>
      </c>
      <c r="H59" s="5">
        <f>Records!L59</f>
        <v>5</v>
      </c>
      <c r="I59" s="5">
        <f>Records!M59</f>
        <v>7</v>
      </c>
      <c r="J59" s="5">
        <f>Records!Q59</f>
        <v>5</v>
      </c>
      <c r="K59" s="5">
        <f>Records!W59</f>
        <v>3</v>
      </c>
      <c r="L59" s="5">
        <f>Records!X59</f>
        <v>4</v>
      </c>
      <c r="M59" s="5">
        <f>IF(COUNT(Records!S59:U59)=0,"",AVERAGE(Records!S59:U59))</f>
        <v>4.66666666666667</v>
      </c>
      <c r="N59" s="5">
        <f>IF(COUNT(Records!O59,Records!P59,Records!V59)=0,"",AVERAGE(Records!O59,Records!P59,Records!V59))</f>
        <v>4.33333333333333</v>
      </c>
      <c r="O59" s="3" t="str">
        <f>Records!AD59</f>
        <v>是</v>
      </c>
      <c r="P59" s="10">
        <f>59</f>
        <v>59</v>
      </c>
      <c r="Q59" s="3"/>
      <c r="R59" s="3"/>
      <c r="S59" s="3"/>
      <c r="T59" s="3"/>
      <c r="U59" s="3"/>
      <c r="V59" s="3"/>
    </row>
    <row r="60" spans="1:22">
      <c r="A60" s="3" t="str">
        <f>Records!A60</f>
        <v>P010</v>
      </c>
      <c r="B60" s="3">
        <f>Records!B60</f>
        <v>2</v>
      </c>
      <c r="C60" s="3" t="str">
        <f>Records!E60</f>
        <v>固定订书机</v>
      </c>
      <c r="D60" s="3" t="str">
        <f>Records!G60</f>
        <v>方法A</v>
      </c>
      <c r="E60" s="3" t="str">
        <f>Records!H60</f>
        <v>EgoAnchor</v>
      </c>
      <c r="F60" s="5">
        <f>Records!K60</f>
        <v>6</v>
      </c>
      <c r="G60" s="5">
        <f>Records!R60</f>
        <v>5</v>
      </c>
      <c r="H60" s="5">
        <f>Records!L60</f>
        <v>3</v>
      </c>
      <c r="I60" s="5">
        <f>Records!M60</f>
        <v>5</v>
      </c>
      <c r="J60" s="5">
        <f>Records!Q60</f>
        <v>4</v>
      </c>
      <c r="K60" s="5">
        <f>Records!W60</f>
        <v>5</v>
      </c>
      <c r="L60" s="5">
        <f>Records!X60</f>
        <v>5</v>
      </c>
      <c r="M60" s="5">
        <f>IF(COUNT(Records!S60:U60)=0,"",AVERAGE(Records!S60:U60))</f>
        <v>4</v>
      </c>
      <c r="N60" s="5">
        <f>IF(COUNT(Records!O60,Records!P60,Records!V60)=0,"",AVERAGE(Records!O60,Records!P60,Records!V60))</f>
        <v>4.33333333333333</v>
      </c>
      <c r="O60" s="3" t="str">
        <f>Records!AD60</f>
        <v>是</v>
      </c>
      <c r="P60" s="10">
        <f>60</f>
        <v>60</v>
      </c>
      <c r="Q60" s="3"/>
      <c r="R60" s="3"/>
      <c r="S60" s="3"/>
      <c r="T60" s="3"/>
      <c r="U60" s="3"/>
      <c r="V60" s="3"/>
    </row>
    <row r="61" spans="1:22">
      <c r="A61" s="3" t="str">
        <f>Records!A61</f>
        <v>P010</v>
      </c>
      <c r="B61" s="3">
        <f>Records!B61</f>
        <v>3</v>
      </c>
      <c r="C61" s="3" t="str">
        <f>Records!E61</f>
        <v>鼠标</v>
      </c>
      <c r="D61" s="3" t="str">
        <f>Records!G61</f>
        <v>方法A</v>
      </c>
      <c r="E61" s="3" t="str">
        <f>Records!H61</f>
        <v>EgoAnchor</v>
      </c>
      <c r="F61" s="5">
        <f>Records!K61</f>
        <v>4</v>
      </c>
      <c r="G61" s="5">
        <f>Records!R61</f>
        <v>4</v>
      </c>
      <c r="H61" s="5">
        <f>Records!L61</f>
        <v>2</v>
      </c>
      <c r="I61" s="5">
        <f>Records!M61</f>
        <v>3</v>
      </c>
      <c r="J61" s="5">
        <f>Records!Q61</f>
        <v>4</v>
      </c>
      <c r="K61" s="5">
        <f>Records!W61</f>
        <v>5</v>
      </c>
      <c r="L61" s="5">
        <f>Records!X61</f>
        <v>3</v>
      </c>
      <c r="M61" s="5">
        <f>IF(COUNT(Records!S61:U61)=0,"",AVERAGE(Records!S61:U61))</f>
        <v>4.66666666666667</v>
      </c>
      <c r="N61" s="5">
        <f>IF(COUNT(Records!O61,Records!P61,Records!V61)=0,"",AVERAGE(Records!O61,Records!P61,Records!V61))</f>
        <v>4</v>
      </c>
      <c r="O61" s="3" t="str">
        <f>Records!AD61</f>
        <v>是</v>
      </c>
      <c r="P61" s="10">
        <f>61</f>
        <v>61</v>
      </c>
      <c r="Q61" s="3"/>
      <c r="R61" s="3"/>
      <c r="S61" s="3"/>
      <c r="T61" s="3"/>
      <c r="U61" s="3"/>
      <c r="V61" s="3"/>
    </row>
    <row r="62" spans="1:22">
      <c r="A62" s="3" t="str">
        <f>Records!A62</f>
        <v>P010</v>
      </c>
      <c r="B62" s="3">
        <f>Records!B62</f>
        <v>4</v>
      </c>
      <c r="C62" s="3" t="str">
        <f>Records!E62</f>
        <v>鼠标</v>
      </c>
      <c r="D62" s="3" t="str">
        <f>Records!G62</f>
        <v>方法B</v>
      </c>
      <c r="E62" s="3" t="str">
        <f>Records!H62</f>
        <v>One-Euro</v>
      </c>
      <c r="F62" s="5">
        <f>Records!K62</f>
        <v>4</v>
      </c>
      <c r="G62" s="5">
        <f>Records!R62</f>
        <v>5</v>
      </c>
      <c r="H62" s="5">
        <f>Records!L62</f>
        <v>5</v>
      </c>
      <c r="I62" s="5">
        <f>Records!M62</f>
        <v>4</v>
      </c>
      <c r="J62" s="5">
        <f>Records!Q62</f>
        <v>5</v>
      </c>
      <c r="K62" s="5">
        <f>Records!W62</f>
        <v>4</v>
      </c>
      <c r="L62" s="5">
        <f>Records!X62</f>
        <v>3</v>
      </c>
      <c r="M62" s="5">
        <f>IF(COUNT(Records!S62:U62)=0,"",AVERAGE(Records!S62:U62))</f>
        <v>4.66666666666667</v>
      </c>
      <c r="N62" s="5">
        <f>IF(COUNT(Records!O62,Records!P62,Records!V62)=0,"",AVERAGE(Records!O62,Records!P62,Records!V62))</f>
        <v>5</v>
      </c>
      <c r="O62" s="3" t="str">
        <f>Records!AD62</f>
        <v>是</v>
      </c>
      <c r="P62" s="10">
        <f>62</f>
        <v>62</v>
      </c>
      <c r="Q62" s="3"/>
      <c r="R62" s="3"/>
      <c r="S62" s="3"/>
      <c r="T62" s="3"/>
      <c r="U62" s="3"/>
      <c r="V62" s="3"/>
    </row>
    <row r="63" spans="1:22">
      <c r="A63" s="3" t="str">
        <f>Records!A63</f>
        <v>P010</v>
      </c>
      <c r="B63" s="3">
        <f>Records!B63</f>
        <v>5</v>
      </c>
      <c r="C63" s="3" t="str">
        <f>Records!E63</f>
        <v>游戏手柄</v>
      </c>
      <c r="D63" s="3" t="str">
        <f>Records!G63</f>
        <v>方法B</v>
      </c>
      <c r="E63" s="3" t="str">
        <f>Records!H63</f>
        <v>One-Euro</v>
      </c>
      <c r="F63" s="5">
        <f>Records!K63</f>
        <v>4</v>
      </c>
      <c r="G63" s="5">
        <f>Records!R63</f>
        <v>5</v>
      </c>
      <c r="H63" s="5">
        <f>Records!L63</f>
        <v>5</v>
      </c>
      <c r="I63" s="5">
        <f>Records!M63</f>
        <v>5</v>
      </c>
      <c r="J63" s="5">
        <f>Records!Q63</f>
        <v>3</v>
      </c>
      <c r="K63" s="5">
        <f>Records!W63</f>
        <v>4</v>
      </c>
      <c r="L63" s="5">
        <f>Records!X63</f>
        <v>3</v>
      </c>
      <c r="M63" s="5">
        <f>IF(COUNT(Records!S63:U63)=0,"",AVERAGE(Records!S63:U63))</f>
        <v>4.66666666666667</v>
      </c>
      <c r="N63" s="5">
        <f>IF(COUNT(Records!O63,Records!P63,Records!V63)=0,"",AVERAGE(Records!O63,Records!P63,Records!V63))</f>
        <v>5</v>
      </c>
      <c r="O63" s="3" t="str">
        <f>Records!AD63</f>
        <v>是</v>
      </c>
      <c r="P63" s="10">
        <f>63</f>
        <v>63</v>
      </c>
      <c r="Q63" s="3"/>
      <c r="R63" s="3"/>
      <c r="S63" s="3"/>
      <c r="T63" s="3"/>
      <c r="U63" s="3"/>
      <c r="V63" s="3"/>
    </row>
    <row r="64" spans="1:22">
      <c r="A64" s="3" t="str">
        <f>Records!A64</f>
        <v>P010</v>
      </c>
      <c r="B64" s="3">
        <f>Records!B64</f>
        <v>6</v>
      </c>
      <c r="C64" s="3" t="str">
        <f>Records!E64</f>
        <v>游戏手柄</v>
      </c>
      <c r="D64" s="3" t="str">
        <f>Records!G64</f>
        <v>方法A</v>
      </c>
      <c r="E64" s="3" t="str">
        <f>Records!H64</f>
        <v>EgoAnchor</v>
      </c>
      <c r="F64" s="5">
        <f>Records!K64</f>
        <v>5</v>
      </c>
      <c r="G64" s="5">
        <f>Records!R64</f>
        <v>4</v>
      </c>
      <c r="H64" s="5">
        <f>Records!L64</f>
        <v>4</v>
      </c>
      <c r="I64" s="5">
        <f>Records!M64</f>
        <v>5</v>
      </c>
      <c r="J64" s="5">
        <f>Records!Q64</f>
        <v>4</v>
      </c>
      <c r="K64" s="5">
        <f>Records!W64</f>
        <v>6</v>
      </c>
      <c r="L64" s="5">
        <f>Records!X64</f>
        <v>5</v>
      </c>
      <c r="M64" s="5">
        <f>IF(COUNT(Records!S64:U64)=0,"",AVERAGE(Records!S64:U64))</f>
        <v>4.33333333333333</v>
      </c>
      <c r="N64" s="5">
        <f>IF(COUNT(Records!O64,Records!P64,Records!V64)=0,"",AVERAGE(Records!O64,Records!P64,Records!V64))</f>
        <v>4</v>
      </c>
      <c r="O64" s="3" t="str">
        <f>Records!AD64</f>
        <v>是</v>
      </c>
      <c r="P64" s="10">
        <f>64</f>
        <v>64</v>
      </c>
      <c r="Q64" s="3"/>
      <c r="R64" s="3"/>
      <c r="S64" s="3"/>
      <c r="T64" s="3"/>
      <c r="U64" s="3"/>
      <c r="V64" s="3"/>
    </row>
    <row r="65" spans="1:22">
      <c r="A65" s="3" t="str">
        <f>Records!A65</f>
        <v>P011</v>
      </c>
      <c r="B65" s="3">
        <f>Records!B65</f>
        <v>1</v>
      </c>
      <c r="C65" s="3" t="str">
        <f>Records!E65</f>
        <v>固定订书机</v>
      </c>
      <c r="D65" s="3" t="str">
        <f>Records!G65</f>
        <v>方法B</v>
      </c>
      <c r="E65" s="3" t="str">
        <f>Records!H65</f>
        <v>EgoAnchor</v>
      </c>
      <c r="F65" s="5">
        <f>Records!K65</f>
        <v>5</v>
      </c>
      <c r="G65" s="5">
        <f>Records!R65</f>
        <v>5</v>
      </c>
      <c r="H65" s="5">
        <f>Records!L65</f>
        <v>6</v>
      </c>
      <c r="I65" s="5">
        <f>Records!M65</f>
        <v>5</v>
      </c>
      <c r="J65" s="5">
        <f>Records!Q65</f>
        <v>5</v>
      </c>
      <c r="K65" s="5">
        <f>Records!W65</f>
        <v>6</v>
      </c>
      <c r="L65" s="5">
        <f>Records!X65</f>
        <v>5</v>
      </c>
      <c r="M65" s="5">
        <f>IF(COUNT(Records!S65:U65)=0,"",AVERAGE(Records!S65:U65))</f>
        <v>6</v>
      </c>
      <c r="N65" s="5">
        <f>IF(COUNT(Records!O65,Records!P65,Records!V65)=0,"",AVERAGE(Records!O65,Records!P65,Records!V65))</f>
        <v>5.33333333333333</v>
      </c>
      <c r="O65" s="3" t="str">
        <f>Records!AD65</f>
        <v>是</v>
      </c>
      <c r="P65" s="10">
        <f>65</f>
        <v>65</v>
      </c>
      <c r="Q65" s="3"/>
      <c r="R65" s="3"/>
      <c r="S65" s="3"/>
      <c r="T65" s="3"/>
      <c r="U65" s="3"/>
      <c r="V65" s="3"/>
    </row>
    <row r="66" spans="1:22">
      <c r="A66" s="3" t="str">
        <f>Records!A66</f>
        <v>P011</v>
      </c>
      <c r="B66" s="3">
        <f>Records!B66</f>
        <v>2</v>
      </c>
      <c r="C66" s="3" t="str">
        <f>Records!E66</f>
        <v>固定订书机</v>
      </c>
      <c r="D66" s="3" t="str">
        <f>Records!G66</f>
        <v>方法A</v>
      </c>
      <c r="E66" s="3" t="str">
        <f>Records!H66</f>
        <v>One-Euro</v>
      </c>
      <c r="F66" s="5">
        <f>Records!K66</f>
        <v>3</v>
      </c>
      <c r="G66" s="5">
        <f>Records!R66</f>
        <v>5</v>
      </c>
      <c r="H66" s="5">
        <f>Records!L66</f>
        <v>6</v>
      </c>
      <c r="I66" s="5">
        <f>Records!M66</f>
        <v>6</v>
      </c>
      <c r="J66" s="5">
        <f>Records!Q66</f>
        <v>4</v>
      </c>
      <c r="K66" s="5">
        <f>Records!W66</f>
        <v>5</v>
      </c>
      <c r="L66" s="5">
        <f>Records!X66</f>
        <v>4</v>
      </c>
      <c r="M66" s="5">
        <f>IF(COUNT(Records!S66:U66)=0,"",AVERAGE(Records!S66:U66))</f>
        <v>5</v>
      </c>
      <c r="N66" s="5">
        <f>IF(COUNT(Records!O66,Records!P66,Records!V66)=0,"",AVERAGE(Records!O66,Records!P66,Records!V66))</f>
        <v>4.66666666666667</v>
      </c>
      <c r="O66" s="3" t="str">
        <f>Records!AD66</f>
        <v>是</v>
      </c>
      <c r="P66" s="10">
        <f>66</f>
        <v>66</v>
      </c>
      <c r="Q66" s="3"/>
      <c r="R66" s="3"/>
      <c r="S66" s="3"/>
      <c r="T66" s="3"/>
      <c r="U66" s="3"/>
      <c r="V66" s="3"/>
    </row>
    <row r="67" spans="1:22">
      <c r="A67" s="3" t="str">
        <f>Records!A67</f>
        <v>P011</v>
      </c>
      <c r="B67" s="3">
        <f>Records!B67</f>
        <v>3</v>
      </c>
      <c r="C67" s="3" t="str">
        <f>Records!E67</f>
        <v>鼠标</v>
      </c>
      <c r="D67" s="3" t="str">
        <f>Records!G67</f>
        <v>方法A</v>
      </c>
      <c r="E67" s="3" t="str">
        <f>Records!H67</f>
        <v>One-Euro</v>
      </c>
      <c r="F67" s="5">
        <f>Records!K67</f>
        <v>4</v>
      </c>
      <c r="G67" s="5">
        <f>Records!R67</f>
        <v>4</v>
      </c>
      <c r="H67" s="5">
        <f>Records!L67</f>
        <v>4</v>
      </c>
      <c r="I67" s="5">
        <f>Records!M67</f>
        <v>5</v>
      </c>
      <c r="J67" s="5">
        <f>Records!Q67</f>
        <v>5</v>
      </c>
      <c r="K67" s="5">
        <f>Records!W67</f>
        <v>5</v>
      </c>
      <c r="L67" s="5">
        <f>Records!X67</f>
        <v>4</v>
      </c>
      <c r="M67" s="5">
        <f>IF(COUNT(Records!S67:U67)=0,"",AVERAGE(Records!S67:U67))</f>
        <v>5</v>
      </c>
      <c r="N67" s="5">
        <f>IF(COUNT(Records!O67,Records!P67,Records!V67)=0,"",AVERAGE(Records!O67,Records!P67,Records!V67))</f>
        <v>5</v>
      </c>
      <c r="O67" s="3" t="str">
        <f>Records!AD67</f>
        <v>是</v>
      </c>
      <c r="P67" s="10">
        <f>67</f>
        <v>67</v>
      </c>
      <c r="Q67" s="3"/>
      <c r="R67" s="3"/>
      <c r="S67" s="3"/>
      <c r="T67" s="3"/>
      <c r="U67" s="3"/>
      <c r="V67" s="3"/>
    </row>
    <row r="68" spans="1:22">
      <c r="A68" s="3" t="str">
        <f>Records!A68</f>
        <v>P011</v>
      </c>
      <c r="B68" s="3">
        <f>Records!B68</f>
        <v>4</v>
      </c>
      <c r="C68" s="3" t="str">
        <f>Records!E68</f>
        <v>鼠标</v>
      </c>
      <c r="D68" s="3" t="str">
        <f>Records!G68</f>
        <v>方法B</v>
      </c>
      <c r="E68" s="3" t="str">
        <f>Records!H68</f>
        <v>EgoAnchor</v>
      </c>
      <c r="F68" s="5">
        <f>Records!K68</f>
        <v>5</v>
      </c>
      <c r="G68" s="5">
        <f>Records!R68</f>
        <v>5</v>
      </c>
      <c r="H68" s="5">
        <f>Records!L68</f>
        <v>6</v>
      </c>
      <c r="I68" s="5">
        <f>Records!M68</f>
        <v>4</v>
      </c>
      <c r="J68" s="5">
        <f>Records!Q68</f>
        <v>4</v>
      </c>
      <c r="K68" s="5">
        <f>Records!W68</f>
        <v>5</v>
      </c>
      <c r="L68" s="5">
        <f>Records!X68</f>
        <v>5</v>
      </c>
      <c r="M68" s="5">
        <f>IF(COUNT(Records!S68:U68)=0,"",AVERAGE(Records!S68:U68))</f>
        <v>5</v>
      </c>
      <c r="N68" s="5">
        <f>IF(COUNT(Records!O68,Records!P68,Records!V68)=0,"",AVERAGE(Records!O68,Records!P68,Records!V68))</f>
        <v>5.33333333333333</v>
      </c>
      <c r="O68" s="3" t="str">
        <f>Records!AD68</f>
        <v>是</v>
      </c>
      <c r="P68" s="10">
        <f>68</f>
        <v>68</v>
      </c>
      <c r="Q68" s="3"/>
      <c r="R68" s="3"/>
      <c r="S68" s="3"/>
      <c r="T68" s="3"/>
      <c r="U68" s="3"/>
      <c r="V68" s="3"/>
    </row>
    <row r="69" spans="1:22">
      <c r="A69" s="3" t="str">
        <f>Records!A69</f>
        <v>P011</v>
      </c>
      <c r="B69" s="3">
        <f>Records!B69</f>
        <v>5</v>
      </c>
      <c r="C69" s="3" t="str">
        <f>Records!E69</f>
        <v>游戏手柄</v>
      </c>
      <c r="D69" s="3" t="str">
        <f>Records!G69</f>
        <v>方法B</v>
      </c>
      <c r="E69" s="3" t="str">
        <f>Records!H69</f>
        <v>EgoAnchor</v>
      </c>
      <c r="F69" s="5">
        <f>Records!K69</f>
        <v>5</v>
      </c>
      <c r="G69" s="5">
        <f>Records!R69</f>
        <v>5</v>
      </c>
      <c r="H69" s="5">
        <f>Records!L69</f>
        <v>6</v>
      </c>
      <c r="I69" s="5">
        <f>Records!M69</f>
        <v>5</v>
      </c>
      <c r="J69" s="5">
        <f>Records!Q69</f>
        <v>7</v>
      </c>
      <c r="K69" s="5">
        <f>Records!W69</f>
        <v>5</v>
      </c>
      <c r="L69" s="5">
        <f>Records!X69</f>
        <v>5</v>
      </c>
      <c r="M69" s="5">
        <f>IF(COUNT(Records!S69:U69)=0,"",AVERAGE(Records!S69:U69))</f>
        <v>5</v>
      </c>
      <c r="N69" s="5">
        <f>IF(COUNT(Records!O69,Records!P69,Records!V69)=0,"",AVERAGE(Records!O69,Records!P69,Records!V69))</f>
        <v>4.66666666666667</v>
      </c>
      <c r="O69" s="3" t="str">
        <f>Records!AD69</f>
        <v>是</v>
      </c>
      <c r="P69" s="10">
        <f>69</f>
        <v>69</v>
      </c>
      <c r="Q69" s="3"/>
      <c r="R69" s="3"/>
      <c r="S69" s="3"/>
      <c r="T69" s="3"/>
      <c r="U69" s="3"/>
      <c r="V69" s="3"/>
    </row>
    <row r="70" spans="1:22">
      <c r="A70" s="3" t="str">
        <f>Records!A70</f>
        <v>P011</v>
      </c>
      <c r="B70" s="3">
        <f>Records!B70</f>
        <v>6</v>
      </c>
      <c r="C70" s="3" t="str">
        <f>Records!E70</f>
        <v>游戏手柄</v>
      </c>
      <c r="D70" s="3" t="str">
        <f>Records!G70</f>
        <v>方法A</v>
      </c>
      <c r="E70" s="3" t="str">
        <f>Records!H70</f>
        <v>One-Euro</v>
      </c>
      <c r="F70" s="5">
        <f>Records!K70</f>
        <v>4</v>
      </c>
      <c r="G70" s="5">
        <f>Records!R70</f>
        <v>3</v>
      </c>
      <c r="H70" s="5">
        <f>Records!L70</f>
        <v>5</v>
      </c>
      <c r="I70" s="5">
        <f>Records!M70</f>
        <v>4</v>
      </c>
      <c r="J70" s="5">
        <f>Records!Q70</f>
        <v>4</v>
      </c>
      <c r="K70" s="5">
        <f>Records!W70</f>
        <v>2</v>
      </c>
      <c r="L70" s="5">
        <f>Records!X70</f>
        <v>3</v>
      </c>
      <c r="M70" s="5">
        <f>IF(COUNT(Records!S70:U70)=0,"",AVERAGE(Records!S70:U70))</f>
        <v>4</v>
      </c>
      <c r="N70" s="5">
        <f>IF(COUNT(Records!O70,Records!P70,Records!V70)=0,"",AVERAGE(Records!O70,Records!P70,Records!V70))</f>
        <v>4.33333333333333</v>
      </c>
      <c r="O70" s="3" t="str">
        <f>Records!AD70</f>
        <v>是</v>
      </c>
      <c r="P70" s="10">
        <f>70</f>
        <v>70</v>
      </c>
      <c r="Q70" s="3"/>
      <c r="R70" s="3"/>
      <c r="S70" s="3"/>
      <c r="T70" s="3"/>
      <c r="U70" s="3"/>
      <c r="V70" s="3"/>
    </row>
    <row r="71" spans="1:22">
      <c r="A71" s="3" t="str">
        <f>Records!A71</f>
        <v>P012</v>
      </c>
      <c r="B71" s="3">
        <f>Records!B71</f>
        <v>1</v>
      </c>
      <c r="C71" s="3" t="str">
        <f>Records!E71</f>
        <v>固定订书机</v>
      </c>
      <c r="D71" s="3" t="str">
        <f>Records!G71</f>
        <v>方法A</v>
      </c>
      <c r="E71" s="3" t="str">
        <f>Records!H71</f>
        <v>One-Euro</v>
      </c>
      <c r="F71" s="5">
        <f>Records!K71</f>
        <v>4</v>
      </c>
      <c r="G71" s="5">
        <f>Records!R71</f>
        <v>6</v>
      </c>
      <c r="H71" s="5">
        <f>Records!L71</f>
        <v>5</v>
      </c>
      <c r="I71" s="5">
        <f>Records!M71</f>
        <v>5</v>
      </c>
      <c r="J71" s="5">
        <f>Records!Q71</f>
        <v>4</v>
      </c>
      <c r="K71" s="5">
        <f>Records!W71</f>
        <v>5</v>
      </c>
      <c r="L71" s="5">
        <f>Records!X71</f>
        <v>5</v>
      </c>
      <c r="M71" s="5">
        <f>IF(COUNT(Records!S71:U71)=0,"",AVERAGE(Records!S71:U71))</f>
        <v>6</v>
      </c>
      <c r="N71" s="5">
        <f>IF(COUNT(Records!O71,Records!P71,Records!V71)=0,"",AVERAGE(Records!O71,Records!P71,Records!V71))</f>
        <v>5.66666666666667</v>
      </c>
      <c r="O71" s="3" t="str">
        <f>Records!AD71</f>
        <v>是</v>
      </c>
      <c r="P71" s="10">
        <f>71</f>
        <v>71</v>
      </c>
      <c r="Q71" s="3"/>
      <c r="R71" s="3"/>
      <c r="S71" s="3"/>
      <c r="T71" s="3"/>
      <c r="U71" s="3"/>
      <c r="V71" s="3"/>
    </row>
    <row r="72" spans="1:22">
      <c r="A72" s="3" t="str">
        <f>Records!A72</f>
        <v>P012</v>
      </c>
      <c r="B72" s="3">
        <f>Records!B72</f>
        <v>2</v>
      </c>
      <c r="C72" s="3" t="str">
        <f>Records!E72</f>
        <v>固定订书机</v>
      </c>
      <c r="D72" s="3" t="str">
        <f>Records!G72</f>
        <v>方法B</v>
      </c>
      <c r="E72" s="3" t="str">
        <f>Records!H72</f>
        <v>EgoAnchor</v>
      </c>
      <c r="F72" s="5">
        <f>Records!K72</f>
        <v>6</v>
      </c>
      <c r="G72" s="5">
        <f>Records!R72</f>
        <v>6</v>
      </c>
      <c r="H72" s="5">
        <f>Records!L72</f>
        <v>5</v>
      </c>
      <c r="I72" s="5">
        <f>Records!M72</f>
        <v>7</v>
      </c>
      <c r="J72" s="5">
        <f>Records!Q72</f>
        <v>7</v>
      </c>
      <c r="K72" s="5">
        <f>Records!W72</f>
        <v>6</v>
      </c>
      <c r="L72" s="5">
        <f>Records!X72</f>
        <v>7</v>
      </c>
      <c r="M72" s="5">
        <f>IF(COUNT(Records!S72:U72)=0,"",AVERAGE(Records!S72:U72))</f>
        <v>6.66666666666667</v>
      </c>
      <c r="N72" s="5">
        <f>IF(COUNT(Records!O72,Records!P72,Records!V72)=0,"",AVERAGE(Records!O72,Records!P72,Records!V72))</f>
        <v>6</v>
      </c>
      <c r="O72" s="3" t="str">
        <f>Records!AD72</f>
        <v>是</v>
      </c>
      <c r="P72" s="10">
        <f>72</f>
        <v>72</v>
      </c>
      <c r="Q72" s="3"/>
      <c r="R72" s="3"/>
      <c r="S72" s="3"/>
      <c r="T72" s="3"/>
      <c r="U72" s="3"/>
      <c r="V72" s="3"/>
    </row>
    <row r="73" spans="1:22">
      <c r="A73" s="3" t="str">
        <f>Records!A73</f>
        <v>P012</v>
      </c>
      <c r="B73" s="3">
        <f>Records!B73</f>
        <v>3</v>
      </c>
      <c r="C73" s="3" t="str">
        <f>Records!E73</f>
        <v>鼠标</v>
      </c>
      <c r="D73" s="3" t="str">
        <f>Records!G73</f>
        <v>方法B</v>
      </c>
      <c r="E73" s="3" t="str">
        <f>Records!H73</f>
        <v>EgoAnchor</v>
      </c>
      <c r="F73" s="5">
        <f>Records!K73</f>
        <v>7</v>
      </c>
      <c r="G73" s="5">
        <f>Records!R73</f>
        <v>6</v>
      </c>
      <c r="H73" s="5">
        <f>Records!L73</f>
        <v>6</v>
      </c>
      <c r="I73" s="5">
        <f>Records!M73</f>
        <v>6</v>
      </c>
      <c r="J73" s="5">
        <f>Records!Q73</f>
        <v>5</v>
      </c>
      <c r="K73" s="5">
        <f>Records!W73</f>
        <v>5</v>
      </c>
      <c r="L73" s="5">
        <f>Records!X73</f>
        <v>7</v>
      </c>
      <c r="M73" s="5">
        <f>IF(COUNT(Records!S73:U73)=0,"",AVERAGE(Records!S73:U73))</f>
        <v>5.33333333333333</v>
      </c>
      <c r="N73" s="5">
        <f>IF(COUNT(Records!O73,Records!P73,Records!V73)=0,"",AVERAGE(Records!O73,Records!P73,Records!V73))</f>
        <v>6.33333333333333</v>
      </c>
      <c r="O73" s="3" t="str">
        <f>Records!AD73</f>
        <v>是</v>
      </c>
      <c r="P73" s="10">
        <f>73</f>
        <v>73</v>
      </c>
      <c r="Q73" s="3"/>
      <c r="R73" s="3"/>
      <c r="S73" s="3"/>
      <c r="T73" s="3"/>
      <c r="U73" s="3"/>
      <c r="V73" s="3"/>
    </row>
    <row r="74" spans="1:22">
      <c r="A74" s="3" t="str">
        <f>Records!A74</f>
        <v>P012</v>
      </c>
      <c r="B74" s="3">
        <f>Records!B74</f>
        <v>4</v>
      </c>
      <c r="C74" s="3" t="str">
        <f>Records!E74</f>
        <v>鼠标</v>
      </c>
      <c r="D74" s="3" t="str">
        <f>Records!G74</f>
        <v>方法A</v>
      </c>
      <c r="E74" s="3" t="str">
        <f>Records!H74</f>
        <v>One-Euro</v>
      </c>
      <c r="F74" s="5">
        <f>Records!K74</f>
        <v>6</v>
      </c>
      <c r="G74" s="5">
        <f>Records!R74</f>
        <v>5</v>
      </c>
      <c r="H74" s="5">
        <f>Records!L74</f>
        <v>6</v>
      </c>
      <c r="I74" s="5">
        <f>Records!M74</f>
        <v>5</v>
      </c>
      <c r="J74" s="5">
        <f>Records!Q74</f>
        <v>5</v>
      </c>
      <c r="K74" s="5">
        <f>Records!W74</f>
        <v>5</v>
      </c>
      <c r="L74" s="5">
        <f>Records!X74</f>
        <v>5</v>
      </c>
      <c r="M74" s="5">
        <f>IF(COUNT(Records!S74:U74)=0,"",AVERAGE(Records!S74:U74))</f>
        <v>5.33333333333333</v>
      </c>
      <c r="N74" s="5">
        <f>IF(COUNT(Records!O74,Records!P74,Records!V74)=0,"",AVERAGE(Records!O74,Records!P74,Records!V74))</f>
        <v>5</v>
      </c>
      <c r="O74" s="3" t="str">
        <f>Records!AD74</f>
        <v>是</v>
      </c>
      <c r="P74" s="10">
        <f>74</f>
        <v>74</v>
      </c>
      <c r="Q74" s="3"/>
      <c r="R74" s="3"/>
      <c r="S74" s="3"/>
      <c r="T74" s="3"/>
      <c r="U74" s="3"/>
      <c r="V74" s="3"/>
    </row>
    <row r="75" spans="1:22">
      <c r="A75" s="3" t="str">
        <f>Records!A75</f>
        <v>P012</v>
      </c>
      <c r="B75" s="3">
        <f>Records!B75</f>
        <v>5</v>
      </c>
      <c r="C75" s="3" t="str">
        <f>Records!E75</f>
        <v>游戏手柄</v>
      </c>
      <c r="D75" s="3" t="str">
        <f>Records!G75</f>
        <v>方法A</v>
      </c>
      <c r="E75" s="3" t="str">
        <f>Records!H75</f>
        <v>One-Euro</v>
      </c>
      <c r="F75" s="5">
        <f>Records!K75</f>
        <v>5</v>
      </c>
      <c r="G75" s="5">
        <f>Records!R75</f>
        <v>5</v>
      </c>
      <c r="H75" s="5">
        <f>Records!L75</f>
        <v>5</v>
      </c>
      <c r="I75" s="5">
        <f>Records!M75</f>
        <v>7</v>
      </c>
      <c r="J75" s="5">
        <f>Records!Q75</f>
        <v>4</v>
      </c>
      <c r="K75" s="5">
        <f>Records!W75</f>
        <v>5</v>
      </c>
      <c r="L75" s="5">
        <f>Records!X75</f>
        <v>4</v>
      </c>
      <c r="M75" s="5">
        <f>IF(COUNT(Records!S75:U75)=0,"",AVERAGE(Records!S75:U75))</f>
        <v>5</v>
      </c>
      <c r="N75" s="5">
        <f>IF(COUNT(Records!O75,Records!P75,Records!V75)=0,"",AVERAGE(Records!O75,Records!P75,Records!V75))</f>
        <v>5.66666666666667</v>
      </c>
      <c r="O75" s="3" t="str">
        <f>Records!AD75</f>
        <v>是</v>
      </c>
      <c r="P75" s="10">
        <f>75</f>
        <v>75</v>
      </c>
      <c r="Q75" s="3"/>
      <c r="R75" s="3"/>
      <c r="S75" s="3"/>
      <c r="T75" s="3"/>
      <c r="U75" s="3"/>
      <c r="V75" s="3"/>
    </row>
    <row r="76" spans="1:22">
      <c r="A76" s="3" t="str">
        <f>Records!A76</f>
        <v>P012</v>
      </c>
      <c r="B76" s="3">
        <f>Records!B76</f>
        <v>6</v>
      </c>
      <c r="C76" s="3" t="str">
        <f>Records!E76</f>
        <v>游戏手柄</v>
      </c>
      <c r="D76" s="3" t="str">
        <f>Records!G76</f>
        <v>方法B</v>
      </c>
      <c r="E76" s="3" t="str">
        <f>Records!H76</f>
        <v>EgoAnchor</v>
      </c>
      <c r="F76" s="5">
        <f>Records!K76</f>
        <v>7</v>
      </c>
      <c r="G76" s="5">
        <f>Records!R76</f>
        <v>6</v>
      </c>
      <c r="H76" s="5">
        <f>Records!L76</f>
        <v>6</v>
      </c>
      <c r="I76" s="5">
        <f>Records!M76</f>
        <v>6</v>
      </c>
      <c r="J76" s="5">
        <f>Records!Q76</f>
        <v>7</v>
      </c>
      <c r="K76" s="5">
        <f>Records!W76</f>
        <v>7</v>
      </c>
      <c r="L76" s="5">
        <f>Records!X76</f>
        <v>5</v>
      </c>
      <c r="M76" s="5">
        <f>IF(COUNT(Records!S76:U76)=0,"",AVERAGE(Records!S76:U76))</f>
        <v>6.33333333333333</v>
      </c>
      <c r="N76" s="5">
        <f>IF(COUNT(Records!O76,Records!P76,Records!V76)=0,"",AVERAGE(Records!O76,Records!P76,Records!V76))</f>
        <v>6.66666666666667</v>
      </c>
      <c r="O76" s="3" t="str">
        <f>Records!AD76</f>
        <v>是</v>
      </c>
      <c r="P76" s="10">
        <f>76</f>
        <v>76</v>
      </c>
      <c r="Q76" s="3"/>
      <c r="R76" s="3"/>
      <c r="S76" s="3"/>
      <c r="T76" s="3"/>
      <c r="U76" s="3"/>
      <c r="V76" s="3"/>
    </row>
    <row r="77" spans="1:22">
      <c r="A77" s="3" t="str">
        <f>Records!A77</f>
        <v>P013</v>
      </c>
      <c r="B77" s="3">
        <f>Records!B77</f>
        <v>1</v>
      </c>
      <c r="C77" s="3" t="str">
        <f>Records!E77</f>
        <v>固定订书机</v>
      </c>
      <c r="D77" s="3" t="str">
        <f>Records!G77</f>
        <v>方法A</v>
      </c>
      <c r="E77" s="3" t="str">
        <f>Records!H77</f>
        <v>EgoAnchor</v>
      </c>
      <c r="F77" s="5">
        <f>Records!K77</f>
        <v>4</v>
      </c>
      <c r="G77" s="5">
        <f>Records!R77</f>
        <v>5</v>
      </c>
      <c r="H77" s="5">
        <f>Records!L77</f>
        <v>5</v>
      </c>
      <c r="I77" s="5">
        <f>Records!M77</f>
        <v>4</v>
      </c>
      <c r="J77" s="5">
        <f>Records!Q77</f>
        <v>5</v>
      </c>
      <c r="K77" s="5">
        <f>Records!W77</f>
        <v>5</v>
      </c>
      <c r="L77" s="5">
        <f>Records!X77</f>
        <v>4</v>
      </c>
      <c r="M77" s="5">
        <f>IF(COUNT(Records!S77:U77)=0,"",AVERAGE(Records!S77:U77))</f>
        <v>4.66666666666667</v>
      </c>
      <c r="N77" s="5">
        <f>IF(COUNT(Records!O77,Records!P77,Records!V77)=0,"",AVERAGE(Records!O77,Records!P77,Records!V77))</f>
        <v>5.33333333333333</v>
      </c>
      <c r="O77" s="3" t="str">
        <f>Records!AD77</f>
        <v>是</v>
      </c>
      <c r="P77" s="10">
        <f>77</f>
        <v>77</v>
      </c>
      <c r="Q77" s="3"/>
      <c r="R77" s="3"/>
      <c r="S77" s="3"/>
      <c r="T77" s="3"/>
      <c r="U77" s="3"/>
      <c r="V77" s="3"/>
    </row>
    <row r="78" spans="1:22">
      <c r="A78" s="3" t="str">
        <f>Records!A78</f>
        <v>P013</v>
      </c>
      <c r="B78" s="3">
        <f>Records!B78</f>
        <v>2</v>
      </c>
      <c r="C78" s="3" t="str">
        <f>Records!E78</f>
        <v>固定订书机</v>
      </c>
      <c r="D78" s="3" t="str">
        <f>Records!G78</f>
        <v>方法B</v>
      </c>
      <c r="E78" s="3" t="str">
        <f>Records!H78</f>
        <v>One-Euro</v>
      </c>
      <c r="F78" s="5">
        <f>Records!K78</f>
        <v>5</v>
      </c>
      <c r="G78" s="5">
        <f>Records!R78</f>
        <v>4</v>
      </c>
      <c r="H78" s="5">
        <f>Records!L78</f>
        <v>4</v>
      </c>
      <c r="I78" s="5">
        <f>Records!M78</f>
        <v>5</v>
      </c>
      <c r="J78" s="5">
        <f>Records!Q78</f>
        <v>6</v>
      </c>
      <c r="K78" s="5">
        <f>Records!W78</f>
        <v>6</v>
      </c>
      <c r="L78" s="5">
        <f>Records!X78</f>
        <v>6</v>
      </c>
      <c r="M78" s="5">
        <f>IF(COUNT(Records!S78:U78)=0,"",AVERAGE(Records!S78:U78))</f>
        <v>5.33333333333333</v>
      </c>
      <c r="N78" s="5">
        <f>IF(COUNT(Records!O78,Records!P78,Records!V78)=0,"",AVERAGE(Records!O78,Records!P78,Records!V78))</f>
        <v>4.66666666666667</v>
      </c>
      <c r="O78" s="3" t="str">
        <f>Records!AD78</f>
        <v>是</v>
      </c>
      <c r="P78" s="10">
        <f>78</f>
        <v>78</v>
      </c>
      <c r="Q78" s="3"/>
      <c r="R78" s="3"/>
      <c r="S78" s="3"/>
      <c r="T78" s="3"/>
      <c r="U78" s="3"/>
      <c r="V78" s="3"/>
    </row>
    <row r="79" spans="1:22">
      <c r="A79" s="3" t="str">
        <f>Records!A79</f>
        <v>P013</v>
      </c>
      <c r="B79" s="3">
        <f>Records!B79</f>
        <v>3</v>
      </c>
      <c r="C79" s="3" t="str">
        <f>Records!E79</f>
        <v>游戏手柄</v>
      </c>
      <c r="D79" s="3" t="str">
        <f>Records!G79</f>
        <v>方法B</v>
      </c>
      <c r="E79" s="3" t="str">
        <f>Records!H79</f>
        <v>One-Euro</v>
      </c>
      <c r="F79" s="5">
        <f>Records!K79</f>
        <v>4</v>
      </c>
      <c r="G79" s="5">
        <f>Records!R79</f>
        <v>5</v>
      </c>
      <c r="H79" s="5">
        <f>Records!L79</f>
        <v>5</v>
      </c>
      <c r="I79" s="5">
        <f>Records!M79</f>
        <v>4</v>
      </c>
      <c r="J79" s="5">
        <f>Records!Q79</f>
        <v>4</v>
      </c>
      <c r="K79" s="5">
        <f>Records!W79</f>
        <v>4</v>
      </c>
      <c r="L79" s="5">
        <f>Records!X79</f>
        <v>4</v>
      </c>
      <c r="M79" s="5">
        <f>IF(COUNT(Records!S79:U79)=0,"",AVERAGE(Records!S79:U79))</f>
        <v>4.66666666666667</v>
      </c>
      <c r="N79" s="5">
        <f>IF(COUNT(Records!O79,Records!P79,Records!V79)=0,"",AVERAGE(Records!O79,Records!P79,Records!V79))</f>
        <v>5.33333333333333</v>
      </c>
      <c r="O79" s="3" t="str">
        <f>Records!AD79</f>
        <v>是</v>
      </c>
      <c r="P79" s="10">
        <f>79</f>
        <v>79</v>
      </c>
      <c r="Q79" s="3"/>
      <c r="R79" s="3"/>
      <c r="S79" s="3"/>
      <c r="T79" s="3"/>
      <c r="U79" s="3"/>
      <c r="V79" s="3"/>
    </row>
    <row r="80" spans="1:22">
      <c r="A80" s="3" t="str">
        <f>Records!A80</f>
        <v>P013</v>
      </c>
      <c r="B80" s="3">
        <f>Records!B80</f>
        <v>4</v>
      </c>
      <c r="C80" s="3" t="str">
        <f>Records!E80</f>
        <v>游戏手柄</v>
      </c>
      <c r="D80" s="3" t="str">
        <f>Records!G80</f>
        <v>方法A</v>
      </c>
      <c r="E80" s="3" t="str">
        <f>Records!H80</f>
        <v>EgoAnchor</v>
      </c>
      <c r="F80" s="5">
        <f>Records!K80</f>
        <v>5</v>
      </c>
      <c r="G80" s="5">
        <f>Records!R80</f>
        <v>5</v>
      </c>
      <c r="H80" s="5">
        <f>Records!L80</f>
        <v>4</v>
      </c>
      <c r="I80" s="5">
        <f>Records!M80</f>
        <v>4</v>
      </c>
      <c r="J80" s="5">
        <f>Records!Q80</f>
        <v>4</v>
      </c>
      <c r="K80" s="5">
        <f>Records!W80</f>
        <v>5</v>
      </c>
      <c r="L80" s="5">
        <f>Records!X80</f>
        <v>5</v>
      </c>
      <c r="M80" s="5">
        <f>IF(COUNT(Records!S80:U80)=0,"",AVERAGE(Records!S80:U80))</f>
        <v>4.66666666666667</v>
      </c>
      <c r="N80" s="5">
        <f>IF(COUNT(Records!O80,Records!P80,Records!V80)=0,"",AVERAGE(Records!O80,Records!P80,Records!V80))</f>
        <v>5.66666666666667</v>
      </c>
      <c r="O80" s="3" t="str">
        <f>Records!AD80</f>
        <v>是</v>
      </c>
      <c r="P80" s="10">
        <f>80</f>
        <v>80</v>
      </c>
      <c r="Q80" s="3"/>
      <c r="R80" s="3"/>
      <c r="S80" s="3"/>
      <c r="T80" s="3"/>
      <c r="U80" s="3"/>
      <c r="V80" s="3"/>
    </row>
    <row r="81" spans="1:22">
      <c r="A81" s="3" t="str">
        <f>Records!A81</f>
        <v>P013</v>
      </c>
      <c r="B81" s="3">
        <f>Records!B81</f>
        <v>5</v>
      </c>
      <c r="C81" s="3" t="str">
        <f>Records!E81</f>
        <v>鼠标</v>
      </c>
      <c r="D81" s="3" t="str">
        <f>Records!G81</f>
        <v>方法A</v>
      </c>
      <c r="E81" s="3" t="str">
        <f>Records!H81</f>
        <v>EgoAnchor</v>
      </c>
      <c r="F81" s="5">
        <f>Records!K81</f>
        <v>6</v>
      </c>
      <c r="G81" s="5">
        <f>Records!R81</f>
        <v>5</v>
      </c>
      <c r="H81" s="5">
        <f>Records!L81</f>
        <v>4</v>
      </c>
      <c r="I81" s="5">
        <f>Records!M81</f>
        <v>4</v>
      </c>
      <c r="J81" s="5">
        <f>Records!Q81</f>
        <v>4</v>
      </c>
      <c r="K81" s="5">
        <f>Records!W81</f>
        <v>4</v>
      </c>
      <c r="L81" s="5">
        <f>Records!X81</f>
        <v>5</v>
      </c>
      <c r="M81" s="5">
        <f>IF(COUNT(Records!S81:U81)=0,"",AVERAGE(Records!S81:U81))</f>
        <v>3.66666666666667</v>
      </c>
      <c r="N81" s="5">
        <f>IF(COUNT(Records!O81,Records!P81,Records!V81)=0,"",AVERAGE(Records!O81,Records!P81,Records!V81))</f>
        <v>4.66666666666667</v>
      </c>
      <c r="O81" s="3" t="str">
        <f>Records!AD81</f>
        <v>是</v>
      </c>
      <c r="P81" s="10">
        <f>81</f>
        <v>81</v>
      </c>
      <c r="Q81" s="3"/>
      <c r="R81" s="3"/>
      <c r="S81" s="3"/>
      <c r="T81" s="3"/>
      <c r="U81" s="3"/>
      <c r="V81" s="3"/>
    </row>
    <row r="82" spans="1:22">
      <c r="A82" s="3" t="str">
        <f>Records!A82</f>
        <v>P013</v>
      </c>
      <c r="B82" s="3">
        <f>Records!B82</f>
        <v>6</v>
      </c>
      <c r="C82" s="3" t="str">
        <f>Records!E82</f>
        <v>鼠标</v>
      </c>
      <c r="D82" s="3" t="str">
        <f>Records!G82</f>
        <v>方法B</v>
      </c>
      <c r="E82" s="3" t="str">
        <f>Records!H82</f>
        <v>One-Euro</v>
      </c>
      <c r="F82" s="5">
        <f>Records!K82</f>
        <v>4</v>
      </c>
      <c r="G82" s="5">
        <f>Records!R82</f>
        <v>4</v>
      </c>
      <c r="H82" s="5">
        <f>Records!L82</f>
        <v>5</v>
      </c>
      <c r="I82" s="5">
        <f>Records!M82</f>
        <v>6</v>
      </c>
      <c r="J82" s="5">
        <f>Records!Q82</f>
        <v>6</v>
      </c>
      <c r="K82" s="5">
        <f>Records!W82</f>
        <v>4</v>
      </c>
      <c r="L82" s="5">
        <f>Records!X82</f>
        <v>5</v>
      </c>
      <c r="M82" s="5">
        <f>IF(COUNT(Records!S82:U82)=0,"",AVERAGE(Records!S82:U82))</f>
        <v>4.66666666666667</v>
      </c>
      <c r="N82" s="5">
        <f>IF(COUNT(Records!O82,Records!P82,Records!V82)=0,"",AVERAGE(Records!O82,Records!P82,Records!V82))</f>
        <v>4.66666666666667</v>
      </c>
      <c r="O82" s="3" t="str">
        <f>Records!AD82</f>
        <v>是</v>
      </c>
      <c r="P82" s="10">
        <f>82</f>
        <v>82</v>
      </c>
      <c r="Q82" s="3"/>
      <c r="R82" s="3"/>
      <c r="S82" s="3"/>
      <c r="T82" s="3"/>
      <c r="U82" s="3"/>
      <c r="V82" s="3"/>
    </row>
    <row r="83" spans="1:22">
      <c r="A83" s="3" t="str">
        <f>Records!A83</f>
        <v>P014</v>
      </c>
      <c r="B83" s="3">
        <f>Records!B83</f>
        <v>1</v>
      </c>
      <c r="C83" s="3" t="str">
        <f>Records!E83</f>
        <v>固定订书机</v>
      </c>
      <c r="D83" s="3" t="str">
        <f>Records!G83</f>
        <v>方法B</v>
      </c>
      <c r="E83" s="3" t="str">
        <f>Records!H83</f>
        <v>One-Euro</v>
      </c>
      <c r="F83" s="5">
        <f>Records!K83</f>
        <v>4</v>
      </c>
      <c r="G83" s="5">
        <f>Records!R83</f>
        <v>5</v>
      </c>
      <c r="H83" s="5">
        <f>Records!L83</f>
        <v>5</v>
      </c>
      <c r="I83" s="5">
        <f>Records!M83</f>
        <v>6</v>
      </c>
      <c r="J83" s="5">
        <f>Records!Q83</f>
        <v>4</v>
      </c>
      <c r="K83" s="5">
        <f>Records!W83</f>
        <v>4</v>
      </c>
      <c r="L83" s="5">
        <f>Records!X83</f>
        <v>4</v>
      </c>
      <c r="M83" s="5">
        <f>IF(COUNT(Records!S83:U83)=0,"",AVERAGE(Records!S83:U83))</f>
        <v>5</v>
      </c>
      <c r="N83" s="5">
        <f>IF(COUNT(Records!O83,Records!P83,Records!V83)=0,"",AVERAGE(Records!O83,Records!P83,Records!V83))</f>
        <v>4.33333333333333</v>
      </c>
      <c r="O83" s="3" t="str">
        <f>Records!AD83</f>
        <v>是</v>
      </c>
      <c r="P83" s="10">
        <f>83</f>
        <v>83</v>
      </c>
      <c r="Q83" s="3"/>
      <c r="R83" s="3"/>
      <c r="S83" s="3"/>
      <c r="T83" s="3"/>
      <c r="U83" s="3"/>
      <c r="V83" s="3"/>
    </row>
    <row r="84" spans="1:22">
      <c r="A84" s="3" t="str">
        <f>Records!A84</f>
        <v>P014</v>
      </c>
      <c r="B84" s="3">
        <f>Records!B84</f>
        <v>2</v>
      </c>
      <c r="C84" s="3" t="str">
        <f>Records!E84</f>
        <v>固定订书机</v>
      </c>
      <c r="D84" s="3" t="str">
        <f>Records!G84</f>
        <v>方法A</v>
      </c>
      <c r="E84" s="3" t="str">
        <f>Records!H84</f>
        <v>EgoAnchor</v>
      </c>
      <c r="F84" s="5">
        <f>Records!K84</f>
        <v>4</v>
      </c>
      <c r="G84" s="5">
        <f>Records!R84</f>
        <v>5</v>
      </c>
      <c r="H84" s="5">
        <f>Records!L84</f>
        <v>4</v>
      </c>
      <c r="I84" s="5">
        <f>Records!M84</f>
        <v>5</v>
      </c>
      <c r="J84" s="5">
        <f>Records!Q84</f>
        <v>5</v>
      </c>
      <c r="K84" s="5">
        <f>Records!W84</f>
        <v>4</v>
      </c>
      <c r="L84" s="5">
        <f>Records!X84</f>
        <v>5</v>
      </c>
      <c r="M84" s="5">
        <f>IF(COUNT(Records!S84:U84)=0,"",AVERAGE(Records!S84:U84))</f>
        <v>5.33333333333333</v>
      </c>
      <c r="N84" s="5">
        <f>IF(COUNT(Records!O84,Records!P84,Records!V84)=0,"",AVERAGE(Records!O84,Records!P84,Records!V84))</f>
        <v>5.33333333333333</v>
      </c>
      <c r="O84" s="3" t="str">
        <f>Records!AD84</f>
        <v>是</v>
      </c>
      <c r="P84" s="10">
        <f>84</f>
        <v>84</v>
      </c>
      <c r="Q84" s="3"/>
      <c r="R84" s="3"/>
      <c r="S84" s="3"/>
      <c r="T84" s="3"/>
      <c r="U84" s="3"/>
      <c r="V84" s="3"/>
    </row>
    <row r="85" spans="1:22">
      <c r="A85" s="3" t="str">
        <f>Records!A85</f>
        <v>P014</v>
      </c>
      <c r="B85" s="3">
        <f>Records!B85</f>
        <v>3</v>
      </c>
      <c r="C85" s="3" t="str">
        <f>Records!E85</f>
        <v>游戏手柄</v>
      </c>
      <c r="D85" s="3" t="str">
        <f>Records!G85</f>
        <v>方法A</v>
      </c>
      <c r="E85" s="3" t="str">
        <f>Records!H85</f>
        <v>EgoAnchor</v>
      </c>
      <c r="F85" s="5">
        <f>Records!K85</f>
        <v>5</v>
      </c>
      <c r="G85" s="5">
        <f>Records!R85</f>
        <v>4</v>
      </c>
      <c r="H85" s="5">
        <f>Records!L85</f>
        <v>6</v>
      </c>
      <c r="I85" s="5">
        <f>Records!M85</f>
        <v>5</v>
      </c>
      <c r="J85" s="5">
        <f>Records!Q85</f>
        <v>4</v>
      </c>
      <c r="K85" s="5">
        <f>Records!W85</f>
        <v>5</v>
      </c>
      <c r="L85" s="5">
        <f>Records!X85</f>
        <v>5</v>
      </c>
      <c r="M85" s="5">
        <f>IF(COUNT(Records!S85:U85)=0,"",AVERAGE(Records!S85:U85))</f>
        <v>5.33333333333333</v>
      </c>
      <c r="N85" s="5">
        <f>IF(COUNT(Records!O85,Records!P85,Records!V85)=0,"",AVERAGE(Records!O85,Records!P85,Records!V85))</f>
        <v>4.33333333333333</v>
      </c>
      <c r="O85" s="3" t="str">
        <f>Records!AD85</f>
        <v>是</v>
      </c>
      <c r="P85" s="10">
        <f>85</f>
        <v>85</v>
      </c>
      <c r="Q85" s="3"/>
      <c r="R85" s="3"/>
      <c r="S85" s="3"/>
      <c r="T85" s="3"/>
      <c r="U85" s="3"/>
      <c r="V85" s="3"/>
    </row>
    <row r="86" spans="1:22">
      <c r="A86" s="3" t="str">
        <f>Records!A86</f>
        <v>P014</v>
      </c>
      <c r="B86" s="3">
        <f>Records!B86</f>
        <v>4</v>
      </c>
      <c r="C86" s="3" t="str">
        <f>Records!E86</f>
        <v>游戏手柄</v>
      </c>
      <c r="D86" s="3" t="str">
        <f>Records!G86</f>
        <v>方法B</v>
      </c>
      <c r="E86" s="3" t="str">
        <f>Records!H86</f>
        <v>One-Euro</v>
      </c>
      <c r="F86" s="5">
        <f>Records!K86</f>
        <v>5</v>
      </c>
      <c r="G86" s="5">
        <f>Records!R86</f>
        <v>4</v>
      </c>
      <c r="H86" s="5">
        <f>Records!L86</f>
        <v>4</v>
      </c>
      <c r="I86" s="5">
        <f>Records!M86</f>
        <v>4</v>
      </c>
      <c r="J86" s="5">
        <f>Records!Q86</f>
        <v>4</v>
      </c>
      <c r="K86" s="5">
        <f>Records!W86</f>
        <v>4</v>
      </c>
      <c r="L86" s="5">
        <f>Records!X86</f>
        <v>5</v>
      </c>
      <c r="M86" s="5">
        <f>IF(COUNT(Records!S86:U86)=0,"",AVERAGE(Records!S86:U86))</f>
        <v>4.33333333333333</v>
      </c>
      <c r="N86" s="5">
        <f>IF(COUNT(Records!O86,Records!P86,Records!V86)=0,"",AVERAGE(Records!O86,Records!P86,Records!V86))</f>
        <v>4.33333333333333</v>
      </c>
      <c r="O86" s="3" t="str">
        <f>Records!AD86</f>
        <v>是</v>
      </c>
      <c r="P86" s="10">
        <f>86</f>
        <v>86</v>
      </c>
      <c r="Q86" s="3"/>
      <c r="R86" s="3"/>
      <c r="S86" s="3"/>
      <c r="T86" s="3"/>
      <c r="U86" s="3"/>
      <c r="V86" s="3"/>
    </row>
    <row r="87" spans="1:22">
      <c r="A87" s="3" t="str">
        <f>Records!A87</f>
        <v>P014</v>
      </c>
      <c r="B87" s="3">
        <f>Records!B87</f>
        <v>5</v>
      </c>
      <c r="C87" s="3" t="str">
        <f>Records!E87</f>
        <v>鼠标</v>
      </c>
      <c r="D87" s="3" t="str">
        <f>Records!G87</f>
        <v>方法B</v>
      </c>
      <c r="E87" s="3" t="str">
        <f>Records!H87</f>
        <v>One-Euro</v>
      </c>
      <c r="F87" s="5">
        <f>Records!K87</f>
        <v>5</v>
      </c>
      <c r="G87" s="5">
        <f>Records!R87</f>
        <v>4</v>
      </c>
      <c r="H87" s="5">
        <f>Records!L87</f>
        <v>4</v>
      </c>
      <c r="I87" s="5">
        <f>Records!M87</f>
        <v>6</v>
      </c>
      <c r="J87" s="5">
        <f>Records!Q87</f>
        <v>3</v>
      </c>
      <c r="K87" s="5">
        <f>Records!W87</f>
        <v>4</v>
      </c>
      <c r="L87" s="5">
        <f>Records!X87</f>
        <v>4</v>
      </c>
      <c r="M87" s="5">
        <f>IF(COUNT(Records!S87:U87)=0,"",AVERAGE(Records!S87:U87))</f>
        <v>4.33333333333333</v>
      </c>
      <c r="N87" s="5">
        <f>IF(COUNT(Records!O87,Records!P87,Records!V87)=0,"",AVERAGE(Records!O87,Records!P87,Records!V87))</f>
        <v>5</v>
      </c>
      <c r="O87" s="3" t="str">
        <f>Records!AD87</f>
        <v>是</v>
      </c>
      <c r="P87" s="10">
        <f>87</f>
        <v>87</v>
      </c>
      <c r="Q87" s="3"/>
      <c r="R87" s="3"/>
      <c r="S87" s="3"/>
      <c r="T87" s="3"/>
      <c r="U87" s="3"/>
      <c r="V87" s="3"/>
    </row>
    <row r="88" spans="1:22">
      <c r="A88" s="3" t="str">
        <f>Records!A88</f>
        <v>P014</v>
      </c>
      <c r="B88" s="3">
        <f>Records!B88</f>
        <v>6</v>
      </c>
      <c r="C88" s="3" t="str">
        <f>Records!E88</f>
        <v>鼠标</v>
      </c>
      <c r="D88" s="3" t="str">
        <f>Records!G88</f>
        <v>方法A</v>
      </c>
      <c r="E88" s="3" t="str">
        <f>Records!H88</f>
        <v>EgoAnchor</v>
      </c>
      <c r="F88" s="5">
        <f>Records!K88</f>
        <v>5</v>
      </c>
      <c r="G88" s="5">
        <f>Records!R88</f>
        <v>5</v>
      </c>
      <c r="H88" s="5">
        <f>Records!L88</f>
        <v>5</v>
      </c>
      <c r="I88" s="5">
        <f>Records!M88</f>
        <v>5</v>
      </c>
      <c r="J88" s="5">
        <f>Records!Q88</f>
        <v>4</v>
      </c>
      <c r="K88" s="5">
        <f>Records!W88</f>
        <v>3</v>
      </c>
      <c r="L88" s="5">
        <f>Records!X88</f>
        <v>3</v>
      </c>
      <c r="M88" s="5">
        <f>IF(COUNT(Records!S88:U88)=0,"",AVERAGE(Records!S88:U88))</f>
        <v>5</v>
      </c>
      <c r="N88" s="5">
        <f>IF(COUNT(Records!O88,Records!P88,Records!V88)=0,"",AVERAGE(Records!O88,Records!P88,Records!V88))</f>
        <v>5</v>
      </c>
      <c r="O88" s="3" t="str">
        <f>Records!AD88</f>
        <v>是</v>
      </c>
      <c r="P88" s="10">
        <f>88</f>
        <v>88</v>
      </c>
      <c r="Q88" s="3"/>
      <c r="R88" s="3"/>
      <c r="S88" s="3"/>
      <c r="T88" s="3"/>
      <c r="U88" s="3"/>
      <c r="V88" s="3"/>
    </row>
    <row r="89" spans="1:22">
      <c r="A89" s="3" t="str">
        <f>Records!A89</f>
        <v>P015</v>
      </c>
      <c r="B89" s="3">
        <f>Records!B89</f>
        <v>1</v>
      </c>
      <c r="C89" s="3" t="str">
        <f>Records!E89</f>
        <v>固定订书机</v>
      </c>
      <c r="D89" s="3" t="str">
        <f>Records!G89</f>
        <v>方法B</v>
      </c>
      <c r="E89" s="3" t="str">
        <f>Records!H89</f>
        <v>EgoAnchor</v>
      </c>
      <c r="F89" s="5">
        <f>Records!K89</f>
        <v>6</v>
      </c>
      <c r="G89" s="5">
        <f>Records!R89</f>
        <v>5</v>
      </c>
      <c r="H89" s="5">
        <f>Records!L89</f>
        <v>6</v>
      </c>
      <c r="I89" s="5">
        <f>Records!M89</f>
        <v>6</v>
      </c>
      <c r="J89" s="5">
        <f>Records!Q89</f>
        <v>5</v>
      </c>
      <c r="K89" s="5">
        <f>Records!W89</f>
        <v>5</v>
      </c>
      <c r="L89" s="5">
        <f>Records!X89</f>
        <v>4</v>
      </c>
      <c r="M89" s="5">
        <f>IF(COUNT(Records!S89:U89)=0,"",AVERAGE(Records!S89:U89))</f>
        <v>4.66666666666667</v>
      </c>
      <c r="N89" s="5">
        <f>IF(COUNT(Records!O89,Records!P89,Records!V89)=0,"",AVERAGE(Records!O89,Records!P89,Records!V89))</f>
        <v>6</v>
      </c>
      <c r="O89" s="3" t="str">
        <f>Records!AD89</f>
        <v>是</v>
      </c>
      <c r="P89" s="10">
        <f>89</f>
        <v>89</v>
      </c>
      <c r="Q89" s="3"/>
      <c r="R89" s="3"/>
      <c r="S89" s="3"/>
      <c r="T89" s="3"/>
      <c r="U89" s="3"/>
      <c r="V89" s="3"/>
    </row>
    <row r="90" spans="1:22">
      <c r="A90" s="3" t="str">
        <f>Records!A90</f>
        <v>P015</v>
      </c>
      <c r="B90" s="3">
        <f>Records!B90</f>
        <v>2</v>
      </c>
      <c r="C90" s="3" t="str">
        <f>Records!E90</f>
        <v>固定订书机</v>
      </c>
      <c r="D90" s="3" t="str">
        <f>Records!G90</f>
        <v>方法A</v>
      </c>
      <c r="E90" s="3" t="str">
        <f>Records!H90</f>
        <v>One-Euro</v>
      </c>
      <c r="F90" s="5">
        <f>Records!K90</f>
        <v>5</v>
      </c>
      <c r="G90" s="5">
        <f>Records!R90</f>
        <v>4</v>
      </c>
      <c r="H90" s="5">
        <f>Records!L90</f>
        <v>4</v>
      </c>
      <c r="I90" s="5">
        <f>Records!M90</f>
        <v>5</v>
      </c>
      <c r="J90" s="5">
        <f>Records!Q90</f>
        <v>5</v>
      </c>
      <c r="K90" s="5">
        <f>Records!W90</f>
        <v>4</v>
      </c>
      <c r="L90" s="5">
        <f>Records!X90</f>
        <v>4</v>
      </c>
      <c r="M90" s="5">
        <f>IF(COUNT(Records!S90:U90)=0,"",AVERAGE(Records!S90:U90))</f>
        <v>4.66666666666667</v>
      </c>
      <c r="N90" s="5">
        <f>IF(COUNT(Records!O90,Records!P90,Records!V90)=0,"",AVERAGE(Records!O90,Records!P90,Records!V90))</f>
        <v>5.66666666666667</v>
      </c>
      <c r="O90" s="3" t="str">
        <f>Records!AD90</f>
        <v>是</v>
      </c>
      <c r="P90" s="10">
        <f>90</f>
        <v>90</v>
      </c>
      <c r="Q90" s="3"/>
      <c r="R90" s="3"/>
      <c r="S90" s="3"/>
      <c r="T90" s="3"/>
      <c r="U90" s="3"/>
      <c r="V90" s="3"/>
    </row>
    <row r="91" spans="1:22">
      <c r="A91" s="3" t="str">
        <f>Records!A91</f>
        <v>P015</v>
      </c>
      <c r="B91" s="3">
        <f>Records!B91</f>
        <v>3</v>
      </c>
      <c r="C91" s="3" t="str">
        <f>Records!E91</f>
        <v>游戏手柄</v>
      </c>
      <c r="D91" s="3" t="str">
        <f>Records!G91</f>
        <v>方法A</v>
      </c>
      <c r="E91" s="3" t="str">
        <f>Records!H91</f>
        <v>One-Euro</v>
      </c>
      <c r="F91" s="5">
        <f>Records!K91</f>
        <v>5</v>
      </c>
      <c r="G91" s="5">
        <f>Records!R91</f>
        <v>3</v>
      </c>
      <c r="H91" s="5">
        <f>Records!L91</f>
        <v>4</v>
      </c>
      <c r="I91" s="5">
        <f>Records!M91</f>
        <v>5</v>
      </c>
      <c r="J91" s="5">
        <f>Records!Q91</f>
        <v>3</v>
      </c>
      <c r="K91" s="5">
        <f>Records!W91</f>
        <v>3</v>
      </c>
      <c r="L91" s="5">
        <f>Records!X91</f>
        <v>5</v>
      </c>
      <c r="M91" s="5">
        <f>IF(COUNT(Records!S91:U91)=0,"",AVERAGE(Records!S91:U91))</f>
        <v>5.33333333333333</v>
      </c>
      <c r="N91" s="5">
        <f>IF(COUNT(Records!O91,Records!P91,Records!V91)=0,"",AVERAGE(Records!O91,Records!P91,Records!V91))</f>
        <v>5.66666666666667</v>
      </c>
      <c r="O91" s="3" t="str">
        <f>Records!AD91</f>
        <v>是</v>
      </c>
      <c r="P91" s="10">
        <f>91</f>
        <v>91</v>
      </c>
      <c r="Q91" s="3"/>
      <c r="R91" s="3"/>
      <c r="S91" s="3"/>
      <c r="T91" s="3"/>
      <c r="U91" s="3"/>
      <c r="V91" s="3"/>
    </row>
    <row r="92" spans="1:22">
      <c r="A92" s="3" t="str">
        <f>Records!A92</f>
        <v>P015</v>
      </c>
      <c r="B92" s="3">
        <f>Records!B92</f>
        <v>4</v>
      </c>
      <c r="C92" s="3" t="str">
        <f>Records!E92</f>
        <v>游戏手柄</v>
      </c>
      <c r="D92" s="3" t="str">
        <f>Records!G92</f>
        <v>方法B</v>
      </c>
      <c r="E92" s="3" t="str">
        <f>Records!H92</f>
        <v>EgoAnchor</v>
      </c>
      <c r="F92" s="5">
        <f>Records!K92</f>
        <v>6</v>
      </c>
      <c r="G92" s="5">
        <f>Records!R92</f>
        <v>7</v>
      </c>
      <c r="H92" s="5">
        <f>Records!L92</f>
        <v>6</v>
      </c>
      <c r="I92" s="5">
        <f>Records!M92</f>
        <v>4</v>
      </c>
      <c r="J92" s="5">
        <f>Records!Q92</f>
        <v>4</v>
      </c>
      <c r="K92" s="5">
        <f>Records!W92</f>
        <v>5</v>
      </c>
      <c r="L92" s="5">
        <f>Records!X92</f>
        <v>5</v>
      </c>
      <c r="M92" s="5">
        <f>IF(COUNT(Records!S92:U92)=0,"",AVERAGE(Records!S92:U92))</f>
        <v>5.66666666666667</v>
      </c>
      <c r="N92" s="5">
        <f>IF(COUNT(Records!O92,Records!P92,Records!V92)=0,"",AVERAGE(Records!O92,Records!P92,Records!V92))</f>
        <v>4.33333333333333</v>
      </c>
      <c r="O92" s="3" t="str">
        <f>Records!AD92</f>
        <v>是</v>
      </c>
      <c r="P92" s="10">
        <f>92</f>
        <v>92</v>
      </c>
      <c r="Q92" s="3"/>
      <c r="R92" s="3"/>
      <c r="S92" s="3"/>
      <c r="T92" s="3"/>
      <c r="U92" s="3"/>
      <c r="V92" s="3"/>
    </row>
    <row r="93" spans="1:22">
      <c r="A93" s="3" t="str">
        <f>Records!A93</f>
        <v>P015</v>
      </c>
      <c r="B93" s="3">
        <f>Records!B93</f>
        <v>5</v>
      </c>
      <c r="C93" s="3" t="str">
        <f>Records!E93</f>
        <v>鼠标</v>
      </c>
      <c r="D93" s="3" t="str">
        <f>Records!G93</f>
        <v>方法B</v>
      </c>
      <c r="E93" s="3" t="str">
        <f>Records!H93</f>
        <v>EgoAnchor</v>
      </c>
      <c r="F93" s="5">
        <f>Records!K93</f>
        <v>7</v>
      </c>
      <c r="G93" s="5">
        <f>Records!R93</f>
        <v>6</v>
      </c>
      <c r="H93" s="5">
        <f>Records!L93</f>
        <v>5</v>
      </c>
      <c r="I93" s="5">
        <f>Records!M93</f>
        <v>5</v>
      </c>
      <c r="J93" s="5">
        <f>Records!Q93</f>
        <v>5</v>
      </c>
      <c r="K93" s="5">
        <f>Records!W93</f>
        <v>5</v>
      </c>
      <c r="L93" s="5">
        <f>Records!X93</f>
        <v>5</v>
      </c>
      <c r="M93" s="5">
        <f>IF(COUNT(Records!S93:U93)=0,"",AVERAGE(Records!S93:U93))</f>
        <v>4.33333333333333</v>
      </c>
      <c r="N93" s="5">
        <f>IF(COUNT(Records!O93,Records!P93,Records!V93)=0,"",AVERAGE(Records!O93,Records!P93,Records!V93))</f>
        <v>5</v>
      </c>
      <c r="O93" s="3" t="str">
        <f>Records!AD93</f>
        <v>是</v>
      </c>
      <c r="P93" s="10">
        <f>93</f>
        <v>93</v>
      </c>
      <c r="Q93" s="3"/>
      <c r="R93" s="3"/>
      <c r="S93" s="3"/>
      <c r="T93" s="3"/>
      <c r="U93" s="3"/>
      <c r="V93" s="3"/>
    </row>
    <row r="94" spans="1:22">
      <c r="A94" s="3" t="str">
        <f>Records!A94</f>
        <v>P015</v>
      </c>
      <c r="B94" s="3">
        <f>Records!B94</f>
        <v>6</v>
      </c>
      <c r="C94" s="3" t="str">
        <f>Records!E94</f>
        <v>鼠标</v>
      </c>
      <c r="D94" s="3" t="str">
        <f>Records!G94</f>
        <v>方法A</v>
      </c>
      <c r="E94" s="3" t="str">
        <f>Records!H94</f>
        <v>One-Euro</v>
      </c>
      <c r="F94" s="5">
        <f>Records!K94</f>
        <v>4</v>
      </c>
      <c r="G94" s="5">
        <f>Records!R94</f>
        <v>4</v>
      </c>
      <c r="H94" s="5">
        <f>Records!L94</f>
        <v>5</v>
      </c>
      <c r="I94" s="5">
        <f>Records!M94</f>
        <v>4</v>
      </c>
      <c r="J94" s="5">
        <f>Records!Q94</f>
        <v>4</v>
      </c>
      <c r="K94" s="5">
        <f>Records!W94</f>
        <v>5</v>
      </c>
      <c r="L94" s="5">
        <f>Records!X94</f>
        <v>5</v>
      </c>
      <c r="M94" s="5">
        <f>IF(COUNT(Records!S94:U94)=0,"",AVERAGE(Records!S94:U94))</f>
        <v>4.66666666666667</v>
      </c>
      <c r="N94" s="5">
        <f>IF(COUNT(Records!O94,Records!P94,Records!V94)=0,"",AVERAGE(Records!O94,Records!P94,Records!V94))</f>
        <v>4.66666666666667</v>
      </c>
      <c r="O94" s="3" t="str">
        <f>Records!AD94</f>
        <v>是</v>
      </c>
      <c r="P94" s="10">
        <f>94</f>
        <v>94</v>
      </c>
      <c r="Q94" s="3"/>
      <c r="R94" s="3"/>
      <c r="S94" s="3"/>
      <c r="T94" s="3"/>
      <c r="U94" s="3"/>
      <c r="V94" s="3"/>
    </row>
    <row r="95" spans="1:22">
      <c r="A95" s="3" t="str">
        <f>Records!A95</f>
        <v>P016</v>
      </c>
      <c r="B95" s="3">
        <f>Records!B95</f>
        <v>1</v>
      </c>
      <c r="C95" s="3" t="str">
        <f>Records!E95</f>
        <v>固定订书机</v>
      </c>
      <c r="D95" s="3" t="str">
        <f>Records!G95</f>
        <v>方法A</v>
      </c>
      <c r="E95" s="3" t="str">
        <f>Records!H95</f>
        <v>One-Euro</v>
      </c>
      <c r="F95" s="5">
        <f>Records!K95</f>
        <v>4</v>
      </c>
      <c r="G95" s="5">
        <f>Records!R95</f>
        <v>3</v>
      </c>
      <c r="H95" s="5">
        <f>Records!L95</f>
        <v>7</v>
      </c>
      <c r="I95" s="5">
        <f>Records!M95</f>
        <v>6</v>
      </c>
      <c r="J95" s="5">
        <f>Records!Q95</f>
        <v>4</v>
      </c>
      <c r="K95" s="5">
        <f>Records!W95</f>
        <v>4</v>
      </c>
      <c r="L95" s="5">
        <f>Records!X95</f>
        <v>5</v>
      </c>
      <c r="M95" s="5">
        <f>IF(COUNT(Records!S95:U95)=0,"",AVERAGE(Records!S95:U95))</f>
        <v>4</v>
      </c>
      <c r="N95" s="5">
        <f>IF(COUNT(Records!O95,Records!P95,Records!V95)=0,"",AVERAGE(Records!O95,Records!P95,Records!V95))</f>
        <v>4.66666666666667</v>
      </c>
      <c r="O95" s="3" t="str">
        <f>Records!AD95</f>
        <v>是</v>
      </c>
      <c r="P95" s="10">
        <f>95</f>
        <v>95</v>
      </c>
      <c r="Q95" s="3"/>
      <c r="R95" s="3"/>
      <c r="S95" s="3"/>
      <c r="T95" s="3"/>
      <c r="U95" s="3"/>
      <c r="V95" s="3"/>
    </row>
    <row r="96" spans="1:22">
      <c r="A96" s="3" t="str">
        <f>Records!A96</f>
        <v>P016</v>
      </c>
      <c r="B96" s="3">
        <f>Records!B96</f>
        <v>2</v>
      </c>
      <c r="C96" s="3" t="str">
        <f>Records!E96</f>
        <v>固定订书机</v>
      </c>
      <c r="D96" s="3" t="str">
        <f>Records!G96</f>
        <v>方法B</v>
      </c>
      <c r="E96" s="3" t="str">
        <f>Records!H96</f>
        <v>EgoAnchor</v>
      </c>
      <c r="F96" s="5">
        <f>Records!K96</f>
        <v>5</v>
      </c>
      <c r="G96" s="5">
        <f>Records!R96</f>
        <v>5</v>
      </c>
      <c r="H96" s="5">
        <f>Records!L96</f>
        <v>5</v>
      </c>
      <c r="I96" s="5">
        <f>Records!M96</f>
        <v>6</v>
      </c>
      <c r="J96" s="5">
        <f>Records!Q96</f>
        <v>5</v>
      </c>
      <c r="K96" s="5">
        <f>Records!W96</f>
        <v>5</v>
      </c>
      <c r="L96" s="5">
        <f>Records!X96</f>
        <v>5</v>
      </c>
      <c r="M96" s="5">
        <f>IF(COUNT(Records!S96:U96)=0,"",AVERAGE(Records!S96:U96))</f>
        <v>5.66666666666667</v>
      </c>
      <c r="N96" s="5">
        <f>IF(COUNT(Records!O96,Records!P96,Records!V96)=0,"",AVERAGE(Records!O96,Records!P96,Records!V96))</f>
        <v>4.66666666666667</v>
      </c>
      <c r="O96" s="3" t="str">
        <f>Records!AD96</f>
        <v>是</v>
      </c>
      <c r="P96" s="10">
        <f>96</f>
        <v>96</v>
      </c>
      <c r="Q96" s="3"/>
      <c r="R96" s="3"/>
      <c r="S96" s="3"/>
      <c r="T96" s="3"/>
      <c r="U96" s="3"/>
      <c r="V96" s="3"/>
    </row>
    <row r="97" spans="1:22">
      <c r="A97" s="3" t="str">
        <f>Records!A97</f>
        <v>P016</v>
      </c>
      <c r="B97" s="3">
        <f>Records!B97</f>
        <v>3</v>
      </c>
      <c r="C97" s="3" t="str">
        <f>Records!E97</f>
        <v>游戏手柄</v>
      </c>
      <c r="D97" s="3" t="str">
        <f>Records!G97</f>
        <v>方法B</v>
      </c>
      <c r="E97" s="3" t="str">
        <f>Records!H97</f>
        <v>EgoAnchor</v>
      </c>
      <c r="F97" s="5">
        <f>Records!K97</f>
        <v>5</v>
      </c>
      <c r="G97" s="5">
        <f>Records!R97</f>
        <v>5</v>
      </c>
      <c r="H97" s="5">
        <f>Records!L97</f>
        <v>6</v>
      </c>
      <c r="I97" s="5">
        <f>Records!M97</f>
        <v>4</v>
      </c>
      <c r="J97" s="5">
        <f>Records!Q97</f>
        <v>5</v>
      </c>
      <c r="K97" s="5">
        <f>Records!W97</f>
        <v>5</v>
      </c>
      <c r="L97" s="5">
        <f>Records!X97</f>
        <v>7</v>
      </c>
      <c r="M97" s="5">
        <f>IF(COUNT(Records!S97:U97)=0,"",AVERAGE(Records!S97:U97))</f>
        <v>5.66666666666667</v>
      </c>
      <c r="N97" s="5">
        <f>IF(COUNT(Records!O97,Records!P97,Records!V97)=0,"",AVERAGE(Records!O97,Records!P97,Records!V97))</f>
        <v>5.33333333333333</v>
      </c>
      <c r="O97" s="3" t="str">
        <f>Records!AD97</f>
        <v>是</v>
      </c>
      <c r="P97" s="10">
        <f>97</f>
        <v>97</v>
      </c>
      <c r="Q97" s="3"/>
      <c r="R97" s="3"/>
      <c r="S97" s="3"/>
      <c r="T97" s="3"/>
      <c r="U97" s="3"/>
      <c r="V97" s="3"/>
    </row>
    <row r="98" spans="1:22">
      <c r="A98" s="3" t="str">
        <f>Records!A98</f>
        <v>P016</v>
      </c>
      <c r="B98" s="3">
        <f>Records!B98</f>
        <v>4</v>
      </c>
      <c r="C98" s="3" t="str">
        <f>Records!E98</f>
        <v>游戏手柄</v>
      </c>
      <c r="D98" s="3" t="str">
        <f>Records!G98</f>
        <v>方法A</v>
      </c>
      <c r="E98" s="3" t="str">
        <f>Records!H98</f>
        <v>One-Euro</v>
      </c>
      <c r="F98" s="5">
        <f>Records!K98</f>
        <v>5</v>
      </c>
      <c r="G98" s="5">
        <f>Records!R98</f>
        <v>4</v>
      </c>
      <c r="H98" s="5">
        <f>Records!L98</f>
        <v>4</v>
      </c>
      <c r="I98" s="5">
        <f>Records!M98</f>
        <v>4</v>
      </c>
      <c r="J98" s="5">
        <f>Records!Q98</f>
        <v>4</v>
      </c>
      <c r="K98" s="5">
        <f>Records!W98</f>
        <v>3</v>
      </c>
      <c r="L98" s="5">
        <f>Records!X98</f>
        <v>3</v>
      </c>
      <c r="M98" s="5">
        <f>IF(COUNT(Records!S98:U98)=0,"",AVERAGE(Records!S98:U98))</f>
        <v>4.66666666666667</v>
      </c>
      <c r="N98" s="5">
        <f>IF(COUNT(Records!O98,Records!P98,Records!V98)=0,"",AVERAGE(Records!O98,Records!P98,Records!V98))</f>
        <v>5</v>
      </c>
      <c r="O98" s="3" t="str">
        <f>Records!AD98</f>
        <v>是</v>
      </c>
      <c r="P98" s="10">
        <f>98</f>
        <v>98</v>
      </c>
      <c r="Q98" s="3"/>
      <c r="R98" s="3"/>
      <c r="S98" s="3"/>
      <c r="T98" s="3"/>
      <c r="U98" s="3"/>
      <c r="V98" s="3"/>
    </row>
    <row r="99" spans="1:22">
      <c r="A99" s="3" t="str">
        <f>Records!A99</f>
        <v>P016</v>
      </c>
      <c r="B99" s="3">
        <f>Records!B99</f>
        <v>5</v>
      </c>
      <c r="C99" s="3" t="str">
        <f>Records!E99</f>
        <v>鼠标</v>
      </c>
      <c r="D99" s="3" t="str">
        <f>Records!G99</f>
        <v>方法A</v>
      </c>
      <c r="E99" s="3" t="str">
        <f>Records!H99</f>
        <v>One-Euro</v>
      </c>
      <c r="F99" s="5">
        <f>Records!K99</f>
        <v>5</v>
      </c>
      <c r="G99" s="5">
        <f>Records!R99</f>
        <v>4</v>
      </c>
      <c r="H99" s="5">
        <f>Records!L99</f>
        <v>5</v>
      </c>
      <c r="I99" s="5">
        <f>Records!M99</f>
        <v>4</v>
      </c>
      <c r="J99" s="5">
        <f>Records!Q99</f>
        <v>5</v>
      </c>
      <c r="K99" s="5">
        <f>Records!W99</f>
        <v>4</v>
      </c>
      <c r="L99" s="5">
        <f>Records!X99</f>
        <v>5</v>
      </c>
      <c r="M99" s="5">
        <f>IF(COUNT(Records!S99:U99)=0,"",AVERAGE(Records!S99:U99))</f>
        <v>4.33333333333333</v>
      </c>
      <c r="N99" s="5">
        <f>IF(COUNT(Records!O99,Records!P99,Records!V99)=0,"",AVERAGE(Records!O99,Records!P99,Records!V99))</f>
        <v>5.33333333333333</v>
      </c>
      <c r="O99" s="3" t="str">
        <f>Records!AD99</f>
        <v>是</v>
      </c>
      <c r="P99" s="10">
        <f>99</f>
        <v>99</v>
      </c>
      <c r="Q99" s="3"/>
      <c r="R99" s="3"/>
      <c r="S99" s="3"/>
      <c r="T99" s="3"/>
      <c r="U99" s="3"/>
      <c r="V99" s="3"/>
    </row>
    <row r="100" spans="1:22">
      <c r="A100" s="3" t="str">
        <f>Records!A100</f>
        <v>P016</v>
      </c>
      <c r="B100" s="3">
        <f>Records!B100</f>
        <v>6</v>
      </c>
      <c r="C100" s="3" t="str">
        <f>Records!E100</f>
        <v>鼠标</v>
      </c>
      <c r="D100" s="3" t="str">
        <f>Records!G100</f>
        <v>方法B</v>
      </c>
      <c r="E100" s="3" t="str">
        <f>Records!H100</f>
        <v>EgoAnchor</v>
      </c>
      <c r="F100" s="5">
        <f>Records!K100</f>
        <v>3</v>
      </c>
      <c r="G100" s="5">
        <f>Records!R100</f>
        <v>4</v>
      </c>
      <c r="H100" s="5">
        <f>Records!L100</f>
        <v>5</v>
      </c>
      <c r="I100" s="5">
        <f>Records!M100</f>
        <v>6</v>
      </c>
      <c r="J100" s="5">
        <f>Records!Q100</f>
        <v>5</v>
      </c>
      <c r="K100" s="5">
        <f>Records!W100</f>
        <v>4</v>
      </c>
      <c r="L100" s="5">
        <f>Records!X100</f>
        <v>4</v>
      </c>
      <c r="M100" s="5">
        <f>IF(COUNT(Records!S100:U100)=0,"",AVERAGE(Records!S100:U100))</f>
        <v>5</v>
      </c>
      <c r="N100" s="5">
        <f>IF(COUNT(Records!O100,Records!P100,Records!V100)=0,"",AVERAGE(Records!O100,Records!P100,Records!V100))</f>
        <v>5</v>
      </c>
      <c r="O100" s="3" t="str">
        <f>Records!AD100</f>
        <v>是</v>
      </c>
      <c r="P100" s="10">
        <f>100</f>
        <v>100</v>
      </c>
      <c r="Q100" s="3"/>
      <c r="R100" s="3"/>
      <c r="S100" s="3"/>
      <c r="T100" s="3"/>
      <c r="U100" s="3"/>
      <c r="V100" s="3"/>
    </row>
    <row r="101" spans="1:22">
      <c r="A101" s="3" t="str">
        <f>Records!A101</f>
        <v>P017</v>
      </c>
      <c r="B101" s="3">
        <f>Records!B101</f>
        <v>1</v>
      </c>
      <c r="C101" s="3" t="str">
        <f>Records!E101</f>
        <v>游戏手柄</v>
      </c>
      <c r="D101" s="3" t="str">
        <f>Records!G101</f>
        <v>方法A</v>
      </c>
      <c r="E101" s="3" t="str">
        <f>Records!H101</f>
        <v>EgoAnchor</v>
      </c>
      <c r="F101" s="5">
        <f>Records!K101</f>
        <v>5</v>
      </c>
      <c r="G101" s="5">
        <f>Records!R101</f>
        <v>5</v>
      </c>
      <c r="H101" s="5">
        <f>Records!L101</f>
        <v>4</v>
      </c>
      <c r="I101" s="5">
        <f>Records!M101</f>
        <v>4</v>
      </c>
      <c r="J101" s="5">
        <f>Records!Q101</f>
        <v>4</v>
      </c>
      <c r="K101" s="5">
        <f>Records!W101</f>
        <v>4</v>
      </c>
      <c r="L101" s="5">
        <f>Records!X101</f>
        <v>4</v>
      </c>
      <c r="M101" s="5">
        <f>IF(COUNT(Records!S101:U101)=0,"",AVERAGE(Records!S101:U101))</f>
        <v>3.66666666666667</v>
      </c>
      <c r="N101" s="5">
        <f>IF(COUNT(Records!O101,Records!P101,Records!V101)=0,"",AVERAGE(Records!O101,Records!P101,Records!V101))</f>
        <v>3.66666666666667</v>
      </c>
      <c r="O101" s="3" t="str">
        <f>Records!AD101</f>
        <v>是</v>
      </c>
      <c r="P101" s="10">
        <f>101</f>
        <v>101</v>
      </c>
      <c r="Q101" s="3"/>
      <c r="R101" s="3"/>
      <c r="S101" s="3"/>
      <c r="T101" s="3"/>
      <c r="U101" s="3"/>
      <c r="V101" s="3"/>
    </row>
    <row r="102" spans="1:22">
      <c r="A102" s="3" t="str">
        <f>Records!A102</f>
        <v>P017</v>
      </c>
      <c r="B102" s="3">
        <f>Records!B102</f>
        <v>2</v>
      </c>
      <c r="C102" s="3" t="str">
        <f>Records!E102</f>
        <v>游戏手柄</v>
      </c>
      <c r="D102" s="3" t="str">
        <f>Records!G102</f>
        <v>方法B</v>
      </c>
      <c r="E102" s="3" t="str">
        <f>Records!H102</f>
        <v>One-Euro</v>
      </c>
      <c r="F102" s="5">
        <f>Records!K102</f>
        <v>3</v>
      </c>
      <c r="G102" s="5">
        <f>Records!R102</f>
        <v>3</v>
      </c>
      <c r="H102" s="5">
        <f>Records!L102</f>
        <v>4</v>
      </c>
      <c r="I102" s="5">
        <f>Records!M102</f>
        <v>4</v>
      </c>
      <c r="J102" s="5">
        <f>Records!Q102</f>
        <v>4</v>
      </c>
      <c r="K102" s="5">
        <f>Records!W102</f>
        <v>3</v>
      </c>
      <c r="L102" s="5">
        <f>Records!X102</f>
        <v>4</v>
      </c>
      <c r="M102" s="5">
        <f>IF(COUNT(Records!S102:U102)=0,"",AVERAGE(Records!S102:U102))</f>
        <v>3.66666666666667</v>
      </c>
      <c r="N102" s="5">
        <f>IF(COUNT(Records!O102,Records!P102,Records!V102)=0,"",AVERAGE(Records!O102,Records!P102,Records!V102))</f>
        <v>4.66666666666667</v>
      </c>
      <c r="O102" s="3" t="str">
        <f>Records!AD102</f>
        <v>是</v>
      </c>
      <c r="P102" s="10">
        <f>102</f>
        <v>102</v>
      </c>
      <c r="Q102" s="3"/>
      <c r="R102" s="3"/>
      <c r="S102" s="3"/>
      <c r="T102" s="3"/>
      <c r="U102" s="3"/>
      <c r="V102" s="3"/>
    </row>
    <row r="103" spans="1:22">
      <c r="A103" s="3" t="str">
        <f>Records!A103</f>
        <v>P017</v>
      </c>
      <c r="B103" s="3">
        <f>Records!B103</f>
        <v>3</v>
      </c>
      <c r="C103" s="3" t="str">
        <f>Records!E103</f>
        <v>鼠标</v>
      </c>
      <c r="D103" s="3" t="str">
        <f>Records!G103</f>
        <v>方法B</v>
      </c>
      <c r="E103" s="3" t="str">
        <f>Records!H103</f>
        <v>One-Euro</v>
      </c>
      <c r="F103" s="5">
        <f>Records!K103</f>
        <v>3</v>
      </c>
      <c r="G103" s="5">
        <f>Records!R103</f>
        <v>2</v>
      </c>
      <c r="H103" s="5">
        <f>Records!L103</f>
        <v>4</v>
      </c>
      <c r="I103" s="5">
        <f>Records!M103</f>
        <v>5</v>
      </c>
      <c r="J103" s="5">
        <f>Records!Q103</f>
        <v>4</v>
      </c>
      <c r="K103" s="5">
        <f>Records!W103</f>
        <v>4</v>
      </c>
      <c r="L103" s="5">
        <f>Records!X103</f>
        <v>4</v>
      </c>
      <c r="M103" s="5">
        <f>IF(COUNT(Records!S103:U103)=0,"",AVERAGE(Records!S103:U103))</f>
        <v>3</v>
      </c>
      <c r="N103" s="5">
        <f>IF(COUNT(Records!O103,Records!P103,Records!V103)=0,"",AVERAGE(Records!O103,Records!P103,Records!V103))</f>
        <v>4</v>
      </c>
      <c r="O103" s="3" t="str">
        <f>Records!AD103</f>
        <v>是</v>
      </c>
      <c r="P103" s="10">
        <f>103</f>
        <v>103</v>
      </c>
      <c r="Q103" s="3"/>
      <c r="R103" s="3"/>
      <c r="S103" s="3"/>
      <c r="T103" s="3"/>
      <c r="U103" s="3"/>
      <c r="V103" s="3"/>
    </row>
    <row r="104" spans="1:22">
      <c r="A104" s="3" t="str">
        <f>Records!A104</f>
        <v>P017</v>
      </c>
      <c r="B104" s="3">
        <f>Records!B104</f>
        <v>4</v>
      </c>
      <c r="C104" s="3" t="str">
        <f>Records!E104</f>
        <v>鼠标</v>
      </c>
      <c r="D104" s="3" t="str">
        <f>Records!G104</f>
        <v>方法A</v>
      </c>
      <c r="E104" s="3" t="str">
        <f>Records!H104</f>
        <v>EgoAnchor</v>
      </c>
      <c r="F104" s="5">
        <f>Records!K104</f>
        <v>4</v>
      </c>
      <c r="G104" s="5">
        <f>Records!R104</f>
        <v>3</v>
      </c>
      <c r="H104" s="5">
        <f>Records!L104</f>
        <v>4</v>
      </c>
      <c r="I104" s="5">
        <f>Records!M104</f>
        <v>5</v>
      </c>
      <c r="J104" s="5">
        <f>Records!Q104</f>
        <v>4</v>
      </c>
      <c r="K104" s="5">
        <f>Records!W104</f>
        <v>5</v>
      </c>
      <c r="L104" s="5">
        <f>Records!X104</f>
        <v>4</v>
      </c>
      <c r="M104" s="5">
        <f>IF(COUNT(Records!S104:U104)=0,"",AVERAGE(Records!S104:U104))</f>
        <v>5</v>
      </c>
      <c r="N104" s="5">
        <f>IF(COUNT(Records!O104,Records!P104,Records!V104)=0,"",AVERAGE(Records!O104,Records!P104,Records!V104))</f>
        <v>4.33333333333333</v>
      </c>
      <c r="O104" s="3" t="str">
        <f>Records!AD104</f>
        <v>是</v>
      </c>
      <c r="P104" s="10">
        <f>104</f>
        <v>104</v>
      </c>
      <c r="Q104" s="3"/>
      <c r="R104" s="3"/>
      <c r="S104" s="3"/>
      <c r="T104" s="3"/>
      <c r="U104" s="3"/>
      <c r="V104" s="3"/>
    </row>
    <row r="105" spans="1:22">
      <c r="A105" s="3" t="str">
        <f>Records!A105</f>
        <v>P017</v>
      </c>
      <c r="B105" s="3">
        <f>Records!B105</f>
        <v>5</v>
      </c>
      <c r="C105" s="3" t="str">
        <f>Records!E105</f>
        <v>固定订书机</v>
      </c>
      <c r="D105" s="3" t="str">
        <f>Records!G105</f>
        <v>方法A</v>
      </c>
      <c r="E105" s="3" t="str">
        <f>Records!H105</f>
        <v>EgoAnchor</v>
      </c>
      <c r="F105" s="5">
        <f>Records!K105</f>
        <v>4</v>
      </c>
      <c r="G105" s="5">
        <f>Records!R105</f>
        <v>4</v>
      </c>
      <c r="H105" s="5">
        <f>Records!L105</f>
        <v>5</v>
      </c>
      <c r="I105" s="5">
        <f>Records!M105</f>
        <v>4</v>
      </c>
      <c r="J105" s="5">
        <f>Records!Q105</f>
        <v>5</v>
      </c>
      <c r="K105" s="5">
        <f>Records!W105</f>
        <v>4</v>
      </c>
      <c r="L105" s="5">
        <f>Records!X105</f>
        <v>4</v>
      </c>
      <c r="M105" s="5">
        <f>IF(COUNT(Records!S105:U105)=0,"",AVERAGE(Records!S105:U105))</f>
        <v>4</v>
      </c>
      <c r="N105" s="5">
        <f>IF(COUNT(Records!O105,Records!P105,Records!V105)=0,"",AVERAGE(Records!O105,Records!P105,Records!V105))</f>
        <v>4.33333333333333</v>
      </c>
      <c r="O105" s="3" t="str">
        <f>Records!AD105</f>
        <v>是</v>
      </c>
      <c r="P105" s="10">
        <f>105</f>
        <v>105</v>
      </c>
      <c r="Q105" s="3"/>
      <c r="R105" s="3"/>
      <c r="S105" s="3"/>
      <c r="T105" s="3"/>
      <c r="U105" s="3"/>
      <c r="V105" s="3"/>
    </row>
    <row r="106" spans="1:22">
      <c r="A106" s="3" t="str">
        <f>Records!A106</f>
        <v>P017</v>
      </c>
      <c r="B106" s="3">
        <f>Records!B106</f>
        <v>6</v>
      </c>
      <c r="C106" s="3" t="str">
        <f>Records!E106</f>
        <v>固定订书机</v>
      </c>
      <c r="D106" s="3" t="str">
        <f>Records!G106</f>
        <v>方法B</v>
      </c>
      <c r="E106" s="3" t="str">
        <f>Records!H106</f>
        <v>One-Euro</v>
      </c>
      <c r="F106" s="5">
        <f>Records!K106</f>
        <v>4</v>
      </c>
      <c r="G106" s="5">
        <f>Records!R106</f>
        <v>4</v>
      </c>
      <c r="H106" s="5">
        <f>Records!L106</f>
        <v>6</v>
      </c>
      <c r="I106" s="5">
        <f>Records!M106</f>
        <v>5</v>
      </c>
      <c r="J106" s="5">
        <f>Records!Q106</f>
        <v>3</v>
      </c>
      <c r="K106" s="5">
        <f>Records!W106</f>
        <v>3</v>
      </c>
      <c r="L106" s="5">
        <f>Records!X106</f>
        <v>4</v>
      </c>
      <c r="M106" s="5">
        <f>IF(COUNT(Records!S106:U106)=0,"",AVERAGE(Records!S106:U106))</f>
        <v>3.66666666666667</v>
      </c>
      <c r="N106" s="5">
        <f>IF(COUNT(Records!O106,Records!P106,Records!V106)=0,"",AVERAGE(Records!O106,Records!P106,Records!V106))</f>
        <v>4.33333333333333</v>
      </c>
      <c r="O106" s="3" t="str">
        <f>Records!AD106</f>
        <v>是</v>
      </c>
      <c r="P106" s="10">
        <f>106</f>
        <v>106</v>
      </c>
      <c r="Q106" s="3"/>
      <c r="R106" s="3"/>
      <c r="S106" s="3"/>
      <c r="T106" s="3"/>
      <c r="U106" s="3"/>
      <c r="V106" s="3"/>
    </row>
    <row r="107" spans="1:22">
      <c r="A107" s="3" t="str">
        <f>Records!A107</f>
        <v>P018</v>
      </c>
      <c r="B107" s="3">
        <f>Records!B107</f>
        <v>1</v>
      </c>
      <c r="C107" s="3" t="str">
        <f>Records!E107</f>
        <v>游戏手柄</v>
      </c>
      <c r="D107" s="3" t="str">
        <f>Records!G107</f>
        <v>方法B</v>
      </c>
      <c r="E107" s="3" t="str">
        <f>Records!H107</f>
        <v>One-Euro</v>
      </c>
      <c r="F107" s="5">
        <f>Records!K107</f>
        <v>4</v>
      </c>
      <c r="G107" s="5">
        <f>Records!R107</f>
        <v>3</v>
      </c>
      <c r="H107" s="5">
        <f>Records!L107</f>
        <v>5</v>
      </c>
      <c r="I107" s="5">
        <f>Records!M107</f>
        <v>4</v>
      </c>
      <c r="J107" s="5">
        <f>Records!Q107</f>
        <v>4</v>
      </c>
      <c r="K107" s="5">
        <f>Records!W107</f>
        <v>5</v>
      </c>
      <c r="L107" s="5">
        <f>Records!X107</f>
        <v>4</v>
      </c>
      <c r="M107" s="5">
        <f>IF(COUNT(Records!S107:U107)=0,"",AVERAGE(Records!S107:U107))</f>
        <v>5</v>
      </c>
      <c r="N107" s="5">
        <f>IF(COUNT(Records!O107,Records!P107,Records!V107)=0,"",AVERAGE(Records!O107,Records!P107,Records!V107))</f>
        <v>4.33333333333333</v>
      </c>
      <c r="O107" s="3" t="str">
        <f>Records!AD107</f>
        <v>是</v>
      </c>
      <c r="P107" s="10">
        <f>107</f>
        <v>107</v>
      </c>
      <c r="Q107" s="3"/>
      <c r="R107" s="3"/>
      <c r="S107" s="3"/>
      <c r="T107" s="3"/>
      <c r="U107" s="3"/>
      <c r="V107" s="3"/>
    </row>
    <row r="108" spans="1:22">
      <c r="A108" s="3" t="str">
        <f>Records!A108</f>
        <v>P018</v>
      </c>
      <c r="B108" s="3">
        <f>Records!B108</f>
        <v>2</v>
      </c>
      <c r="C108" s="3" t="str">
        <f>Records!E108</f>
        <v>游戏手柄</v>
      </c>
      <c r="D108" s="3" t="str">
        <f>Records!G108</f>
        <v>方法A</v>
      </c>
      <c r="E108" s="3" t="str">
        <f>Records!H108</f>
        <v>EgoAnchor</v>
      </c>
      <c r="F108" s="5">
        <f>Records!K108</f>
        <v>6</v>
      </c>
      <c r="G108" s="5">
        <f>Records!R108</f>
        <v>5</v>
      </c>
      <c r="H108" s="5">
        <f>Records!L108</f>
        <v>4</v>
      </c>
      <c r="I108" s="5">
        <f>Records!M108</f>
        <v>4</v>
      </c>
      <c r="J108" s="5">
        <f>Records!Q108</f>
        <v>5</v>
      </c>
      <c r="K108" s="5">
        <f>Records!W108</f>
        <v>6</v>
      </c>
      <c r="L108" s="5">
        <f>Records!X108</f>
        <v>6</v>
      </c>
      <c r="M108" s="5">
        <f>IF(COUNT(Records!S108:U108)=0,"",AVERAGE(Records!S108:U108))</f>
        <v>4.33333333333333</v>
      </c>
      <c r="N108" s="5">
        <f>IF(COUNT(Records!O108,Records!P108,Records!V108)=0,"",AVERAGE(Records!O108,Records!P108,Records!V108))</f>
        <v>5.33333333333333</v>
      </c>
      <c r="O108" s="3" t="str">
        <f>Records!AD108</f>
        <v>是</v>
      </c>
      <c r="P108" s="10">
        <f>108</f>
        <v>108</v>
      </c>
      <c r="Q108" s="3"/>
      <c r="R108" s="3"/>
      <c r="S108" s="3"/>
      <c r="T108" s="3"/>
      <c r="U108" s="3"/>
      <c r="V108" s="3"/>
    </row>
    <row r="109" spans="1:22">
      <c r="A109" s="3" t="str">
        <f>Records!A109</f>
        <v>P018</v>
      </c>
      <c r="B109" s="3">
        <f>Records!B109</f>
        <v>3</v>
      </c>
      <c r="C109" s="3" t="str">
        <f>Records!E109</f>
        <v>鼠标</v>
      </c>
      <c r="D109" s="3" t="str">
        <f>Records!G109</f>
        <v>方法A</v>
      </c>
      <c r="E109" s="3" t="str">
        <f>Records!H109</f>
        <v>EgoAnchor</v>
      </c>
      <c r="F109" s="5">
        <f>Records!K109</f>
        <v>5</v>
      </c>
      <c r="G109" s="5">
        <f>Records!R109</f>
        <v>5</v>
      </c>
      <c r="H109" s="5">
        <f>Records!L109</f>
        <v>5</v>
      </c>
      <c r="I109" s="5">
        <f>Records!M109</f>
        <v>5</v>
      </c>
      <c r="J109" s="5">
        <f>Records!Q109</f>
        <v>6</v>
      </c>
      <c r="K109" s="5">
        <f>Records!W109</f>
        <v>5</v>
      </c>
      <c r="L109" s="5">
        <f>Records!X109</f>
        <v>4</v>
      </c>
      <c r="M109" s="5">
        <f>IF(COUNT(Records!S109:U109)=0,"",AVERAGE(Records!S109:U109))</f>
        <v>5</v>
      </c>
      <c r="N109" s="5">
        <f>IF(COUNT(Records!O109,Records!P109,Records!V109)=0,"",AVERAGE(Records!O109,Records!P109,Records!V109))</f>
        <v>5</v>
      </c>
      <c r="O109" s="3" t="str">
        <f>Records!AD109</f>
        <v>是</v>
      </c>
      <c r="P109" s="10">
        <f>109</f>
        <v>109</v>
      </c>
      <c r="Q109" s="3"/>
      <c r="R109" s="3"/>
      <c r="S109" s="3"/>
      <c r="T109" s="3"/>
      <c r="U109" s="3"/>
      <c r="V109" s="3"/>
    </row>
    <row r="110" spans="1:22">
      <c r="A110" s="3" t="str">
        <f>Records!A110</f>
        <v>P018</v>
      </c>
      <c r="B110" s="3">
        <f>Records!B110</f>
        <v>4</v>
      </c>
      <c r="C110" s="3" t="str">
        <f>Records!E110</f>
        <v>鼠标</v>
      </c>
      <c r="D110" s="3" t="str">
        <f>Records!G110</f>
        <v>方法B</v>
      </c>
      <c r="E110" s="3" t="str">
        <f>Records!H110</f>
        <v>One-Euro</v>
      </c>
      <c r="F110" s="5">
        <f>Records!K110</f>
        <v>5</v>
      </c>
      <c r="G110" s="5">
        <f>Records!R110</f>
        <v>5</v>
      </c>
      <c r="H110" s="5">
        <f>Records!L110</f>
        <v>4</v>
      </c>
      <c r="I110" s="5">
        <f>Records!M110</f>
        <v>4</v>
      </c>
      <c r="J110" s="5">
        <f>Records!Q110</f>
        <v>3</v>
      </c>
      <c r="K110" s="5">
        <f>Records!W110</f>
        <v>3</v>
      </c>
      <c r="L110" s="5">
        <f>Records!X110</f>
        <v>5</v>
      </c>
      <c r="M110" s="5">
        <f>IF(COUNT(Records!S110:U110)=0,"",AVERAGE(Records!S110:U110))</f>
        <v>5</v>
      </c>
      <c r="N110" s="5">
        <f>IF(COUNT(Records!O110,Records!P110,Records!V110)=0,"",AVERAGE(Records!O110,Records!P110,Records!V110))</f>
        <v>4.33333333333333</v>
      </c>
      <c r="O110" s="3" t="str">
        <f>Records!AD110</f>
        <v>是</v>
      </c>
      <c r="P110" s="10">
        <f>110</f>
        <v>110</v>
      </c>
      <c r="Q110" s="3"/>
      <c r="R110" s="3"/>
      <c r="S110" s="3"/>
      <c r="T110" s="3"/>
      <c r="U110" s="3"/>
      <c r="V110" s="3"/>
    </row>
    <row r="111" spans="1:22">
      <c r="A111" s="3" t="str">
        <f>Records!A111</f>
        <v>P018</v>
      </c>
      <c r="B111" s="3">
        <f>Records!B111</f>
        <v>5</v>
      </c>
      <c r="C111" s="3" t="str">
        <f>Records!E111</f>
        <v>固定订书机</v>
      </c>
      <c r="D111" s="3" t="str">
        <f>Records!G111</f>
        <v>方法B</v>
      </c>
      <c r="E111" s="3" t="str">
        <f>Records!H111</f>
        <v>One-Euro</v>
      </c>
      <c r="F111" s="5">
        <f>Records!K111</f>
        <v>4</v>
      </c>
      <c r="G111" s="5">
        <f>Records!R111</f>
        <v>4</v>
      </c>
      <c r="H111" s="5">
        <f>Records!L111</f>
        <v>5</v>
      </c>
      <c r="I111" s="5">
        <f>Records!M111</f>
        <v>6</v>
      </c>
      <c r="J111" s="5">
        <f>Records!Q111</f>
        <v>4</v>
      </c>
      <c r="K111" s="5">
        <f>Records!W111</f>
        <v>4</v>
      </c>
      <c r="L111" s="5">
        <f>Records!X111</f>
        <v>4</v>
      </c>
      <c r="M111" s="5">
        <f>IF(COUNT(Records!S111:U111)=0,"",AVERAGE(Records!S111:U111))</f>
        <v>4.66666666666667</v>
      </c>
      <c r="N111" s="5">
        <f>IF(COUNT(Records!O111,Records!P111,Records!V111)=0,"",AVERAGE(Records!O111,Records!P111,Records!V111))</f>
        <v>4.33333333333333</v>
      </c>
      <c r="O111" s="3" t="str">
        <f>Records!AD111</f>
        <v>是</v>
      </c>
      <c r="P111" s="10">
        <f>111</f>
        <v>111</v>
      </c>
      <c r="Q111" s="3"/>
      <c r="R111" s="3"/>
      <c r="S111" s="3"/>
      <c r="T111" s="3"/>
      <c r="U111" s="3"/>
      <c r="V111" s="3"/>
    </row>
    <row r="112" spans="1:22">
      <c r="A112" s="3" t="str">
        <f>Records!A112</f>
        <v>P018</v>
      </c>
      <c r="B112" s="3">
        <f>Records!B112</f>
        <v>6</v>
      </c>
      <c r="C112" s="3" t="str">
        <f>Records!E112</f>
        <v>固定订书机</v>
      </c>
      <c r="D112" s="3" t="str">
        <f>Records!G112</f>
        <v>方法A</v>
      </c>
      <c r="E112" s="3" t="str">
        <f>Records!H112</f>
        <v>EgoAnchor</v>
      </c>
      <c r="F112" s="5">
        <f>Records!K112</f>
        <v>6</v>
      </c>
      <c r="G112" s="5">
        <f>Records!R112</f>
        <v>4</v>
      </c>
      <c r="H112" s="5">
        <f>Records!L112</f>
        <v>5</v>
      </c>
      <c r="I112" s="5">
        <f>Records!M112</f>
        <v>4</v>
      </c>
      <c r="J112" s="5">
        <f>Records!Q112</f>
        <v>5</v>
      </c>
      <c r="K112" s="5">
        <f>Records!W112</f>
        <v>5</v>
      </c>
      <c r="L112" s="5">
        <f>Records!X112</f>
        <v>3</v>
      </c>
      <c r="M112" s="5">
        <f>IF(COUNT(Records!S112:U112)=0,"",AVERAGE(Records!S112:U112))</f>
        <v>4.33333333333333</v>
      </c>
      <c r="N112" s="5">
        <f>IF(COUNT(Records!O112,Records!P112,Records!V112)=0,"",AVERAGE(Records!O112,Records!P112,Records!V112))</f>
        <v>4.33333333333333</v>
      </c>
      <c r="O112" s="3" t="str">
        <f>Records!AD112</f>
        <v>是</v>
      </c>
      <c r="P112" s="10">
        <f>112</f>
        <v>112</v>
      </c>
      <c r="Q112" s="3"/>
      <c r="R112" s="3"/>
      <c r="S112" s="3"/>
      <c r="T112" s="3"/>
      <c r="U112" s="3"/>
      <c r="V112" s="3"/>
    </row>
    <row r="113" spans="1:22">
      <c r="A113" s="3" t="str">
        <f>Records!A113</f>
        <v>P019</v>
      </c>
      <c r="B113" s="3">
        <f>Records!B113</f>
        <v>1</v>
      </c>
      <c r="C113" s="3" t="str">
        <f>Records!E113</f>
        <v>游戏手柄</v>
      </c>
      <c r="D113" s="3" t="str">
        <f>Records!G113</f>
        <v>方法B</v>
      </c>
      <c r="E113" s="3" t="str">
        <f>Records!H113</f>
        <v>EgoAnchor</v>
      </c>
      <c r="F113" s="5">
        <f>Records!K113</f>
        <v>5</v>
      </c>
      <c r="G113" s="5">
        <f>Records!R113</f>
        <v>4</v>
      </c>
      <c r="H113" s="5">
        <f>Records!L113</f>
        <v>5</v>
      </c>
      <c r="I113" s="5">
        <f>Records!M113</f>
        <v>3</v>
      </c>
      <c r="J113" s="5">
        <f>Records!Q113</f>
        <v>4</v>
      </c>
      <c r="K113" s="5">
        <f>Records!W113</f>
        <v>5</v>
      </c>
      <c r="L113" s="5">
        <f>Records!X113</f>
        <v>4</v>
      </c>
      <c r="M113" s="5">
        <f>IF(COUNT(Records!S113:U113)=0,"",AVERAGE(Records!S113:U113))</f>
        <v>4.33333333333333</v>
      </c>
      <c r="N113" s="5">
        <f>IF(COUNT(Records!O113,Records!P113,Records!V113)=0,"",AVERAGE(Records!O113,Records!P113,Records!V113))</f>
        <v>5</v>
      </c>
      <c r="O113" s="3" t="str">
        <f>Records!AD113</f>
        <v>是</v>
      </c>
      <c r="P113" s="10">
        <f>113</f>
        <v>113</v>
      </c>
      <c r="Q113" s="3"/>
      <c r="R113" s="3"/>
      <c r="S113" s="3"/>
      <c r="T113" s="3"/>
      <c r="U113" s="3"/>
      <c r="V113" s="3"/>
    </row>
    <row r="114" spans="1:22">
      <c r="A114" s="3" t="str">
        <f>Records!A114</f>
        <v>P019</v>
      </c>
      <c r="B114" s="3">
        <f>Records!B114</f>
        <v>2</v>
      </c>
      <c r="C114" s="3" t="str">
        <f>Records!E114</f>
        <v>游戏手柄</v>
      </c>
      <c r="D114" s="3" t="str">
        <f>Records!G114</f>
        <v>方法A</v>
      </c>
      <c r="E114" s="3" t="str">
        <f>Records!H114</f>
        <v>One-Euro</v>
      </c>
      <c r="F114" s="5">
        <f>Records!K114</f>
        <v>3</v>
      </c>
      <c r="G114" s="5">
        <f>Records!R114</f>
        <v>5</v>
      </c>
      <c r="H114" s="5">
        <f>Records!L114</f>
        <v>5</v>
      </c>
      <c r="I114" s="5">
        <f>Records!M114</f>
        <v>5</v>
      </c>
      <c r="J114" s="5">
        <f>Records!Q114</f>
        <v>4</v>
      </c>
      <c r="K114" s="5">
        <f>Records!W114</f>
        <v>2</v>
      </c>
      <c r="L114" s="5">
        <f>Records!X114</f>
        <v>4</v>
      </c>
      <c r="M114" s="5">
        <f>IF(COUNT(Records!S114:U114)=0,"",AVERAGE(Records!S114:U114))</f>
        <v>4.33333333333333</v>
      </c>
      <c r="N114" s="5">
        <f>IF(COUNT(Records!O114,Records!P114,Records!V114)=0,"",AVERAGE(Records!O114,Records!P114,Records!V114))</f>
        <v>4.33333333333333</v>
      </c>
      <c r="O114" s="3" t="str">
        <f>Records!AD114</f>
        <v>是</v>
      </c>
      <c r="P114" s="10">
        <f>114</f>
        <v>114</v>
      </c>
      <c r="Q114" s="3"/>
      <c r="R114" s="3"/>
      <c r="S114" s="3"/>
      <c r="T114" s="3"/>
      <c r="U114" s="3"/>
      <c r="V114" s="3"/>
    </row>
    <row r="115" spans="1:22">
      <c r="A115" s="3" t="str">
        <f>Records!A115</f>
        <v>P019</v>
      </c>
      <c r="B115" s="3">
        <f>Records!B115</f>
        <v>3</v>
      </c>
      <c r="C115" s="3" t="str">
        <f>Records!E115</f>
        <v>鼠标</v>
      </c>
      <c r="D115" s="3" t="str">
        <f>Records!G115</f>
        <v>方法A</v>
      </c>
      <c r="E115" s="3" t="str">
        <f>Records!H115</f>
        <v>One-Euro</v>
      </c>
      <c r="F115" s="5">
        <f>Records!K115</f>
        <v>4</v>
      </c>
      <c r="G115" s="5">
        <f>Records!R115</f>
        <v>4</v>
      </c>
      <c r="H115" s="5">
        <f>Records!L115</f>
        <v>3</v>
      </c>
      <c r="I115" s="5">
        <f>Records!M115</f>
        <v>4</v>
      </c>
      <c r="J115" s="5">
        <f>Records!Q115</f>
        <v>4</v>
      </c>
      <c r="K115" s="5">
        <f>Records!W115</f>
        <v>5</v>
      </c>
      <c r="L115" s="5">
        <f>Records!X115</f>
        <v>4</v>
      </c>
      <c r="M115" s="5">
        <f>IF(COUNT(Records!S115:U115)=0,"",AVERAGE(Records!S115:U115))</f>
        <v>3.33333333333333</v>
      </c>
      <c r="N115" s="5">
        <f>IF(COUNT(Records!O115,Records!P115,Records!V115)=0,"",AVERAGE(Records!O115,Records!P115,Records!V115))</f>
        <v>5</v>
      </c>
      <c r="O115" s="3" t="str">
        <f>Records!AD115</f>
        <v>是</v>
      </c>
      <c r="P115" s="10">
        <f>115</f>
        <v>115</v>
      </c>
      <c r="Q115" s="3"/>
      <c r="R115" s="3"/>
      <c r="S115" s="3"/>
      <c r="T115" s="3"/>
      <c r="U115" s="3"/>
      <c r="V115" s="3"/>
    </row>
    <row r="116" spans="1:22">
      <c r="A116" s="3" t="str">
        <f>Records!A116</f>
        <v>P019</v>
      </c>
      <c r="B116" s="3">
        <f>Records!B116</f>
        <v>4</v>
      </c>
      <c r="C116" s="3" t="str">
        <f>Records!E116</f>
        <v>鼠标</v>
      </c>
      <c r="D116" s="3" t="str">
        <f>Records!G116</f>
        <v>方法B</v>
      </c>
      <c r="E116" s="3" t="str">
        <f>Records!H116</f>
        <v>EgoAnchor</v>
      </c>
      <c r="F116" s="5">
        <f>Records!K116</f>
        <v>5</v>
      </c>
      <c r="G116" s="5">
        <f>Records!R116</f>
        <v>4</v>
      </c>
      <c r="H116" s="5">
        <f>Records!L116</f>
        <v>4</v>
      </c>
      <c r="I116" s="5">
        <f>Records!M116</f>
        <v>5</v>
      </c>
      <c r="J116" s="5">
        <f>Records!Q116</f>
        <v>4</v>
      </c>
      <c r="K116" s="5">
        <f>Records!W116</f>
        <v>5</v>
      </c>
      <c r="L116" s="5">
        <f>Records!X116</f>
        <v>4</v>
      </c>
      <c r="M116" s="5">
        <f>IF(COUNT(Records!S116:U116)=0,"",AVERAGE(Records!S116:U116))</f>
        <v>3.66666666666667</v>
      </c>
      <c r="N116" s="5">
        <f>IF(COUNT(Records!O116,Records!P116,Records!V116)=0,"",AVERAGE(Records!O116,Records!P116,Records!V116))</f>
        <v>3.33333333333333</v>
      </c>
      <c r="O116" s="3" t="str">
        <f>Records!AD116</f>
        <v>是</v>
      </c>
      <c r="P116" s="10">
        <f>116</f>
        <v>116</v>
      </c>
      <c r="Q116" s="3"/>
      <c r="R116" s="3"/>
      <c r="S116" s="3"/>
      <c r="T116" s="3"/>
      <c r="U116" s="3"/>
      <c r="V116" s="3"/>
    </row>
    <row r="117" spans="1:22">
      <c r="A117" s="3" t="str">
        <f>Records!A117</f>
        <v>P019</v>
      </c>
      <c r="B117" s="3">
        <f>Records!B117</f>
        <v>5</v>
      </c>
      <c r="C117" s="3" t="str">
        <f>Records!E117</f>
        <v>固定订书机</v>
      </c>
      <c r="D117" s="3" t="str">
        <f>Records!G117</f>
        <v>方法B</v>
      </c>
      <c r="E117" s="3" t="str">
        <f>Records!H117</f>
        <v>EgoAnchor</v>
      </c>
      <c r="F117" s="5">
        <f>Records!K117</f>
        <v>5</v>
      </c>
      <c r="G117" s="5">
        <f>Records!R117</f>
        <v>4</v>
      </c>
      <c r="H117" s="5">
        <f>Records!L117</f>
        <v>4</v>
      </c>
      <c r="I117" s="5">
        <f>Records!M117</f>
        <v>5</v>
      </c>
      <c r="J117" s="5">
        <f>Records!Q117</f>
        <v>3</v>
      </c>
      <c r="K117" s="5">
        <f>Records!W117</f>
        <v>3</v>
      </c>
      <c r="L117" s="5">
        <f>Records!X117</f>
        <v>3</v>
      </c>
      <c r="M117" s="5">
        <f>IF(COUNT(Records!S117:U117)=0,"",AVERAGE(Records!S117:U117))</f>
        <v>4.33333333333333</v>
      </c>
      <c r="N117" s="5">
        <f>IF(COUNT(Records!O117,Records!P117,Records!V117)=0,"",AVERAGE(Records!O117,Records!P117,Records!V117))</f>
        <v>3.33333333333333</v>
      </c>
      <c r="O117" s="3" t="str">
        <f>Records!AD117</f>
        <v>是</v>
      </c>
      <c r="P117" s="10">
        <f>117</f>
        <v>117</v>
      </c>
      <c r="Q117" s="3"/>
      <c r="R117" s="3"/>
      <c r="S117" s="3"/>
      <c r="T117" s="3"/>
      <c r="U117" s="3"/>
      <c r="V117" s="3"/>
    </row>
    <row r="118" spans="1:22">
      <c r="A118" s="3" t="str">
        <f>Records!A118</f>
        <v>P019</v>
      </c>
      <c r="B118" s="3">
        <f>Records!B118</f>
        <v>6</v>
      </c>
      <c r="C118" s="3" t="str">
        <f>Records!E118</f>
        <v>固定订书机</v>
      </c>
      <c r="D118" s="3" t="str">
        <f>Records!G118</f>
        <v>方法A</v>
      </c>
      <c r="E118" s="3" t="str">
        <f>Records!H118</f>
        <v>One-Euro</v>
      </c>
      <c r="F118" s="5">
        <f>Records!K118</f>
        <v>4</v>
      </c>
      <c r="G118" s="5">
        <f>Records!R118</f>
        <v>5</v>
      </c>
      <c r="H118" s="5">
        <f>Records!L118</f>
        <v>5</v>
      </c>
      <c r="I118" s="5">
        <f>Records!M118</f>
        <v>5</v>
      </c>
      <c r="J118" s="5">
        <f>Records!Q118</f>
        <v>4</v>
      </c>
      <c r="K118" s="5">
        <f>Records!W118</f>
        <v>4</v>
      </c>
      <c r="L118" s="5">
        <f>Records!X118</f>
        <v>3</v>
      </c>
      <c r="M118" s="5">
        <f>IF(COUNT(Records!S118:U118)=0,"",AVERAGE(Records!S118:U118))</f>
        <v>4.66666666666667</v>
      </c>
      <c r="N118" s="5">
        <f>IF(COUNT(Records!O118,Records!P118,Records!V118)=0,"",AVERAGE(Records!O118,Records!P118,Records!V118))</f>
        <v>4.33333333333333</v>
      </c>
      <c r="O118" s="3" t="str">
        <f>Records!AD118</f>
        <v>是</v>
      </c>
      <c r="P118" s="10">
        <f>118</f>
        <v>118</v>
      </c>
      <c r="Q118" s="3"/>
      <c r="R118" s="3"/>
      <c r="S118" s="3"/>
      <c r="T118" s="3"/>
      <c r="U118" s="3"/>
      <c r="V118" s="3"/>
    </row>
    <row r="119" spans="1:22">
      <c r="A119" s="3" t="str">
        <f>Records!A119</f>
        <v>P020</v>
      </c>
      <c r="B119" s="3">
        <f>Records!B119</f>
        <v>1</v>
      </c>
      <c r="C119" s="3" t="str">
        <f>Records!E119</f>
        <v>游戏手柄</v>
      </c>
      <c r="D119" s="3" t="str">
        <f>Records!G119</f>
        <v>方法A</v>
      </c>
      <c r="E119" s="3" t="str">
        <f>Records!H119</f>
        <v>One-Euro</v>
      </c>
      <c r="F119" s="5">
        <f>Records!K119</f>
        <v>5</v>
      </c>
      <c r="G119" s="5">
        <f>Records!R119</f>
        <v>4</v>
      </c>
      <c r="H119" s="5">
        <f>Records!L119</f>
        <v>4</v>
      </c>
      <c r="I119" s="5">
        <f>Records!M119</f>
        <v>4</v>
      </c>
      <c r="J119" s="5">
        <f>Records!Q119</f>
        <v>4</v>
      </c>
      <c r="K119" s="5">
        <f>Records!W119</f>
        <v>4</v>
      </c>
      <c r="L119" s="5">
        <f>Records!X119</f>
        <v>5</v>
      </c>
      <c r="M119" s="5">
        <f>IF(COUNT(Records!S119:U119)=0,"",AVERAGE(Records!S119:U119))</f>
        <v>4.33333333333333</v>
      </c>
      <c r="N119" s="5">
        <f>IF(COUNT(Records!O119,Records!P119,Records!V119)=0,"",AVERAGE(Records!O119,Records!P119,Records!V119))</f>
        <v>4.66666666666667</v>
      </c>
      <c r="O119" s="3" t="str">
        <f>Records!AD119</f>
        <v>是</v>
      </c>
      <c r="P119" s="10">
        <f>119</f>
        <v>119</v>
      </c>
      <c r="Q119" s="3"/>
      <c r="R119" s="3"/>
      <c r="S119" s="3"/>
      <c r="T119" s="3"/>
      <c r="U119" s="3"/>
      <c r="V119" s="3"/>
    </row>
    <row r="120" spans="1:22">
      <c r="A120" s="3" t="str">
        <f>Records!A120</f>
        <v>P020</v>
      </c>
      <c r="B120" s="3">
        <f>Records!B120</f>
        <v>2</v>
      </c>
      <c r="C120" s="3" t="str">
        <f>Records!E120</f>
        <v>游戏手柄</v>
      </c>
      <c r="D120" s="3" t="str">
        <f>Records!G120</f>
        <v>方法B</v>
      </c>
      <c r="E120" s="3" t="str">
        <f>Records!H120</f>
        <v>EgoAnchor</v>
      </c>
      <c r="F120" s="5">
        <f>Records!K120</f>
        <v>6</v>
      </c>
      <c r="G120" s="5">
        <f>Records!R120</f>
        <v>4</v>
      </c>
      <c r="H120" s="5">
        <f>Records!L120</f>
        <v>5</v>
      </c>
      <c r="I120" s="5">
        <f>Records!M120</f>
        <v>5</v>
      </c>
      <c r="J120" s="5">
        <f>Records!Q120</f>
        <v>3</v>
      </c>
      <c r="K120" s="5">
        <f>Records!W120</f>
        <v>4</v>
      </c>
      <c r="L120" s="5">
        <f>Records!X120</f>
        <v>5</v>
      </c>
      <c r="M120" s="5">
        <f>IF(COUNT(Records!S120:U120)=0,"",AVERAGE(Records!S120:U120))</f>
        <v>4.66666666666667</v>
      </c>
      <c r="N120" s="5">
        <f>IF(COUNT(Records!O120,Records!P120,Records!V120)=0,"",AVERAGE(Records!O120,Records!P120,Records!V120))</f>
        <v>5</v>
      </c>
      <c r="O120" s="3" t="str">
        <f>Records!AD120</f>
        <v>是</v>
      </c>
      <c r="P120" s="10">
        <f>120</f>
        <v>120</v>
      </c>
      <c r="Q120" s="3"/>
      <c r="R120" s="3"/>
      <c r="S120" s="3"/>
      <c r="T120" s="3"/>
      <c r="U120" s="3"/>
      <c r="V120" s="3"/>
    </row>
    <row r="121" spans="1:22">
      <c r="A121" s="3" t="str">
        <f>Records!A121</f>
        <v>P020</v>
      </c>
      <c r="B121" s="3">
        <f>Records!B121</f>
        <v>3</v>
      </c>
      <c r="C121" s="3" t="str">
        <f>Records!E121</f>
        <v>鼠标</v>
      </c>
      <c r="D121" s="3" t="str">
        <f>Records!G121</f>
        <v>方法B</v>
      </c>
      <c r="E121" s="3" t="str">
        <f>Records!H121</f>
        <v>EgoAnchor</v>
      </c>
      <c r="F121" s="5">
        <f>Records!K121</f>
        <v>4</v>
      </c>
      <c r="G121" s="5">
        <f>Records!R121</f>
        <v>4</v>
      </c>
      <c r="H121" s="5">
        <f>Records!L121</f>
        <v>4</v>
      </c>
      <c r="I121" s="5">
        <f>Records!M121</f>
        <v>5</v>
      </c>
      <c r="J121" s="5">
        <f>Records!Q121</f>
        <v>6</v>
      </c>
      <c r="K121" s="5">
        <f>Records!W121</f>
        <v>3</v>
      </c>
      <c r="L121" s="5">
        <f>Records!X121</f>
        <v>4</v>
      </c>
      <c r="M121" s="5">
        <f>IF(COUNT(Records!S121:U121)=0,"",AVERAGE(Records!S121:U121))</f>
        <v>4.66666666666667</v>
      </c>
      <c r="N121" s="5">
        <f>IF(COUNT(Records!O121,Records!P121,Records!V121)=0,"",AVERAGE(Records!O121,Records!P121,Records!V121))</f>
        <v>4.33333333333333</v>
      </c>
      <c r="O121" s="3" t="str">
        <f>Records!AD121</f>
        <v>是</v>
      </c>
      <c r="P121" s="10">
        <f>121</f>
        <v>121</v>
      </c>
      <c r="Q121" s="3"/>
      <c r="R121" s="3"/>
      <c r="S121" s="3"/>
      <c r="T121" s="3"/>
      <c r="U121" s="3"/>
      <c r="V121" s="3"/>
    </row>
    <row r="122" spans="1:22">
      <c r="A122" s="3" t="str">
        <f>Records!A122</f>
        <v>P020</v>
      </c>
      <c r="B122" s="3">
        <f>Records!B122</f>
        <v>4</v>
      </c>
      <c r="C122" s="3" t="str">
        <f>Records!E122</f>
        <v>鼠标</v>
      </c>
      <c r="D122" s="3" t="str">
        <f>Records!G122</f>
        <v>方法A</v>
      </c>
      <c r="E122" s="3" t="str">
        <f>Records!H122</f>
        <v>One-Euro</v>
      </c>
      <c r="F122" s="5">
        <f>Records!K122</f>
        <v>4</v>
      </c>
      <c r="G122" s="5">
        <f>Records!R122</f>
        <v>4</v>
      </c>
      <c r="H122" s="5">
        <f>Records!L122</f>
        <v>4</v>
      </c>
      <c r="I122" s="5">
        <f>Records!M122</f>
        <v>5</v>
      </c>
      <c r="J122" s="5">
        <f>Records!Q122</f>
        <v>4</v>
      </c>
      <c r="K122" s="5">
        <f>Records!W122</f>
        <v>4</v>
      </c>
      <c r="L122" s="5">
        <f>Records!X122</f>
        <v>5</v>
      </c>
      <c r="M122" s="5">
        <f>IF(COUNT(Records!S122:U122)=0,"",AVERAGE(Records!S122:U122))</f>
        <v>3.66666666666667</v>
      </c>
      <c r="N122" s="5">
        <f>IF(COUNT(Records!O122,Records!P122,Records!V122)=0,"",AVERAGE(Records!O122,Records!P122,Records!V122))</f>
        <v>4.33333333333333</v>
      </c>
      <c r="O122" s="3" t="str">
        <f>Records!AD122</f>
        <v>是</v>
      </c>
      <c r="P122" s="10">
        <f>122</f>
        <v>122</v>
      </c>
      <c r="Q122" s="3"/>
      <c r="R122" s="3"/>
      <c r="S122" s="3"/>
      <c r="T122" s="3"/>
      <c r="U122" s="3"/>
      <c r="V122" s="3"/>
    </row>
    <row r="123" spans="1:22">
      <c r="A123" s="3" t="str">
        <f>Records!A123</f>
        <v>P020</v>
      </c>
      <c r="B123" s="3">
        <f>Records!B123</f>
        <v>5</v>
      </c>
      <c r="C123" s="3" t="str">
        <f>Records!E123</f>
        <v>固定订书机</v>
      </c>
      <c r="D123" s="3" t="str">
        <f>Records!G123</f>
        <v>方法A</v>
      </c>
      <c r="E123" s="3" t="str">
        <f>Records!H123</f>
        <v>One-Euro</v>
      </c>
      <c r="F123" s="5">
        <f>Records!K123</f>
        <v>3</v>
      </c>
      <c r="G123" s="5">
        <f>Records!R123</f>
        <v>4</v>
      </c>
      <c r="H123" s="5">
        <f>Records!L123</f>
        <v>5</v>
      </c>
      <c r="I123" s="5">
        <f>Records!M123</f>
        <v>5</v>
      </c>
      <c r="J123" s="5">
        <f>Records!Q123</f>
        <v>5</v>
      </c>
      <c r="K123" s="5">
        <f>Records!W123</f>
        <v>5</v>
      </c>
      <c r="L123" s="5">
        <f>Records!X123</f>
        <v>4</v>
      </c>
      <c r="M123" s="5">
        <f>IF(COUNT(Records!S123:U123)=0,"",AVERAGE(Records!S123:U123))</f>
        <v>4.66666666666667</v>
      </c>
      <c r="N123" s="5">
        <f>IF(COUNT(Records!O123,Records!P123,Records!V123)=0,"",AVERAGE(Records!O123,Records!P123,Records!V123))</f>
        <v>5</v>
      </c>
      <c r="O123" s="3" t="str">
        <f>Records!AD123</f>
        <v>是</v>
      </c>
      <c r="P123" s="10">
        <f>123</f>
        <v>123</v>
      </c>
      <c r="Q123" s="3"/>
      <c r="R123" s="3"/>
      <c r="S123" s="3"/>
      <c r="T123" s="3"/>
      <c r="U123" s="3"/>
      <c r="V123" s="3"/>
    </row>
    <row r="124" spans="1:22">
      <c r="A124" s="3" t="str">
        <f>Records!A124</f>
        <v>P020</v>
      </c>
      <c r="B124" s="3">
        <f>Records!B124</f>
        <v>6</v>
      </c>
      <c r="C124" s="3" t="str">
        <f>Records!E124</f>
        <v>固定订书机</v>
      </c>
      <c r="D124" s="3" t="str">
        <f>Records!G124</f>
        <v>方法B</v>
      </c>
      <c r="E124" s="3" t="str">
        <f>Records!H124</f>
        <v>EgoAnchor</v>
      </c>
      <c r="F124" s="5">
        <f>Records!K124</f>
        <v>4</v>
      </c>
      <c r="G124" s="5">
        <f>Records!R124</f>
        <v>4</v>
      </c>
      <c r="H124" s="5">
        <f>Records!L124</f>
        <v>4</v>
      </c>
      <c r="I124" s="5">
        <f>Records!M124</f>
        <v>5</v>
      </c>
      <c r="J124" s="5">
        <f>Records!Q124</f>
        <v>4</v>
      </c>
      <c r="K124" s="5">
        <f>Records!W124</f>
        <v>4</v>
      </c>
      <c r="L124" s="5">
        <f>Records!X124</f>
        <v>5</v>
      </c>
      <c r="M124" s="5">
        <f>IF(COUNT(Records!S124:U124)=0,"",AVERAGE(Records!S124:U124))</f>
        <v>4.66666666666667</v>
      </c>
      <c r="N124" s="5">
        <f>IF(COUNT(Records!O124,Records!P124,Records!V124)=0,"",AVERAGE(Records!O124,Records!P124,Records!V124))</f>
        <v>3.66666666666667</v>
      </c>
      <c r="O124" s="3" t="str">
        <f>Records!AD124</f>
        <v>是</v>
      </c>
      <c r="P124" s="10">
        <f>124</f>
        <v>124</v>
      </c>
      <c r="Q124" s="3"/>
      <c r="R124" s="3"/>
      <c r="S124" s="3"/>
      <c r="T124" s="3"/>
      <c r="U124" s="3"/>
      <c r="V124" s="3"/>
    </row>
    <row r="125" spans="1:22">
      <c r="A125" s="3" t="str">
        <f>Records!A125</f>
        <v>P021</v>
      </c>
      <c r="B125" s="3">
        <f>Records!B125</f>
        <v>1</v>
      </c>
      <c r="C125" s="3" t="str">
        <f>Records!E125</f>
        <v>游戏手柄</v>
      </c>
      <c r="D125" s="3" t="str">
        <f>Records!G125</f>
        <v>方法A</v>
      </c>
      <c r="E125" s="3" t="str">
        <f>Records!H125</f>
        <v>EgoAnchor</v>
      </c>
      <c r="F125" s="5">
        <f>Records!K125</f>
        <v>6</v>
      </c>
      <c r="G125" s="5">
        <f>Records!R125</f>
        <v>5</v>
      </c>
      <c r="H125" s="5">
        <f>Records!L125</f>
        <v>6</v>
      </c>
      <c r="I125" s="5">
        <f>Records!M125</f>
        <v>5</v>
      </c>
      <c r="J125" s="5">
        <f>Records!Q125</f>
        <v>4</v>
      </c>
      <c r="K125" s="5">
        <f>Records!W125</f>
        <v>5</v>
      </c>
      <c r="L125" s="5">
        <f>Records!X125</f>
        <v>5</v>
      </c>
      <c r="M125" s="5">
        <f>IF(COUNT(Records!S125:U125)=0,"",AVERAGE(Records!S125:U125))</f>
        <v>5</v>
      </c>
      <c r="N125" s="5">
        <f>IF(COUNT(Records!O125,Records!P125,Records!V125)=0,"",AVERAGE(Records!O125,Records!P125,Records!V125))</f>
        <v>4.66666666666667</v>
      </c>
      <c r="O125" s="3" t="str">
        <f>Records!AD125</f>
        <v>是</v>
      </c>
      <c r="P125" s="10">
        <f>125</f>
        <v>125</v>
      </c>
      <c r="Q125" s="3"/>
      <c r="R125" s="3"/>
      <c r="S125" s="3"/>
      <c r="T125" s="3"/>
      <c r="U125" s="3"/>
      <c r="V125" s="3"/>
    </row>
    <row r="126" spans="1:22">
      <c r="A126" s="3" t="str">
        <f>Records!A126</f>
        <v>P021</v>
      </c>
      <c r="B126" s="3">
        <f>Records!B126</f>
        <v>2</v>
      </c>
      <c r="C126" s="3" t="str">
        <f>Records!E126</f>
        <v>游戏手柄</v>
      </c>
      <c r="D126" s="3" t="str">
        <f>Records!G126</f>
        <v>方法B</v>
      </c>
      <c r="E126" s="3" t="str">
        <f>Records!H126</f>
        <v>One-Euro</v>
      </c>
      <c r="F126" s="5">
        <f>Records!K126</f>
        <v>5</v>
      </c>
      <c r="G126" s="5">
        <f>Records!R126</f>
        <v>5</v>
      </c>
      <c r="H126" s="5">
        <f>Records!L126</f>
        <v>6</v>
      </c>
      <c r="I126" s="5">
        <f>Records!M126</f>
        <v>5</v>
      </c>
      <c r="J126" s="5">
        <f>Records!Q126</f>
        <v>4</v>
      </c>
      <c r="K126" s="5">
        <f>Records!W126</f>
        <v>4</v>
      </c>
      <c r="L126" s="5">
        <f>Records!X126</f>
        <v>6</v>
      </c>
      <c r="M126" s="5">
        <f>IF(COUNT(Records!S126:U126)=0,"",AVERAGE(Records!S126:U126))</f>
        <v>4.66666666666667</v>
      </c>
      <c r="N126" s="5">
        <f>IF(COUNT(Records!O126,Records!P126,Records!V126)=0,"",AVERAGE(Records!O126,Records!P126,Records!V126))</f>
        <v>5</v>
      </c>
      <c r="O126" s="3" t="str">
        <f>Records!AD126</f>
        <v>是</v>
      </c>
      <c r="P126" s="10">
        <f>126</f>
        <v>126</v>
      </c>
      <c r="Q126" s="3"/>
      <c r="R126" s="3"/>
      <c r="S126" s="3"/>
      <c r="T126" s="3"/>
      <c r="U126" s="3"/>
      <c r="V126" s="3"/>
    </row>
    <row r="127" spans="1:22">
      <c r="A127" s="3" t="str">
        <f>Records!A127</f>
        <v>P021</v>
      </c>
      <c r="B127" s="3">
        <f>Records!B127</f>
        <v>3</v>
      </c>
      <c r="C127" s="3" t="str">
        <f>Records!E127</f>
        <v>固定订书机</v>
      </c>
      <c r="D127" s="3" t="str">
        <f>Records!G127</f>
        <v>方法B</v>
      </c>
      <c r="E127" s="3" t="str">
        <f>Records!H127</f>
        <v>One-Euro</v>
      </c>
      <c r="F127" s="5">
        <f>Records!K127</f>
        <v>4</v>
      </c>
      <c r="G127" s="5">
        <f>Records!R127</f>
        <v>6</v>
      </c>
      <c r="H127" s="5">
        <f>Records!L127</f>
        <v>5</v>
      </c>
      <c r="I127" s="5">
        <f>Records!M127</f>
        <v>5</v>
      </c>
      <c r="J127" s="5">
        <f>Records!Q127</f>
        <v>5</v>
      </c>
      <c r="K127" s="5">
        <f>Records!W127</f>
        <v>3</v>
      </c>
      <c r="L127" s="5">
        <f>Records!X127</f>
        <v>5</v>
      </c>
      <c r="M127" s="5">
        <f>IF(COUNT(Records!S127:U127)=0,"",AVERAGE(Records!S127:U127))</f>
        <v>5</v>
      </c>
      <c r="N127" s="5">
        <f>IF(COUNT(Records!O127,Records!P127,Records!V127)=0,"",AVERAGE(Records!O127,Records!P127,Records!V127))</f>
        <v>5.33333333333333</v>
      </c>
      <c r="O127" s="3" t="str">
        <f>Records!AD127</f>
        <v>是</v>
      </c>
      <c r="P127" s="10">
        <f>127</f>
        <v>127</v>
      </c>
      <c r="Q127" s="3"/>
      <c r="R127" s="3"/>
      <c r="S127" s="3"/>
      <c r="T127" s="3"/>
      <c r="U127" s="3"/>
      <c r="V127" s="3"/>
    </row>
    <row r="128" spans="1:22">
      <c r="A128" s="3" t="str">
        <f>Records!A128</f>
        <v>P021</v>
      </c>
      <c r="B128" s="3">
        <f>Records!B128</f>
        <v>4</v>
      </c>
      <c r="C128" s="3" t="str">
        <f>Records!E128</f>
        <v>固定订书机</v>
      </c>
      <c r="D128" s="3" t="str">
        <f>Records!G128</f>
        <v>方法A</v>
      </c>
      <c r="E128" s="3" t="str">
        <f>Records!H128</f>
        <v>EgoAnchor</v>
      </c>
      <c r="F128" s="5">
        <f>Records!K128</f>
        <v>7</v>
      </c>
      <c r="G128" s="5">
        <f>Records!R128</f>
        <v>7</v>
      </c>
      <c r="H128" s="5">
        <f>Records!L128</f>
        <v>5</v>
      </c>
      <c r="I128" s="5">
        <f>Records!M128</f>
        <v>5</v>
      </c>
      <c r="J128" s="5">
        <f>Records!Q128</f>
        <v>5</v>
      </c>
      <c r="K128" s="5">
        <f>Records!W128</f>
        <v>6</v>
      </c>
      <c r="L128" s="5">
        <f>Records!X128</f>
        <v>5</v>
      </c>
      <c r="M128" s="5">
        <f>IF(COUNT(Records!S128:U128)=0,"",AVERAGE(Records!S128:U128))</f>
        <v>6</v>
      </c>
      <c r="N128" s="5">
        <f>IF(COUNT(Records!O128,Records!P128,Records!V128)=0,"",AVERAGE(Records!O128,Records!P128,Records!V128))</f>
        <v>5.33333333333333</v>
      </c>
      <c r="O128" s="3" t="str">
        <f>Records!AD128</f>
        <v>是</v>
      </c>
      <c r="P128" s="10">
        <f>128</f>
        <v>128</v>
      </c>
      <c r="Q128" s="3"/>
      <c r="R128" s="3"/>
      <c r="S128" s="3"/>
      <c r="T128" s="3"/>
      <c r="U128" s="3"/>
      <c r="V128" s="3"/>
    </row>
    <row r="129" spans="1:22">
      <c r="A129" s="3" t="str">
        <f>Records!A129</f>
        <v>P021</v>
      </c>
      <c r="B129" s="3">
        <f>Records!B129</f>
        <v>5</v>
      </c>
      <c r="C129" s="3" t="str">
        <f>Records!E129</f>
        <v>鼠标</v>
      </c>
      <c r="D129" s="3" t="str">
        <f>Records!G129</f>
        <v>方法A</v>
      </c>
      <c r="E129" s="3" t="str">
        <f>Records!H129</f>
        <v>EgoAnchor</v>
      </c>
      <c r="F129" s="5">
        <f>Records!K129</f>
        <v>7</v>
      </c>
      <c r="G129" s="5">
        <f>Records!R129</f>
        <v>5</v>
      </c>
      <c r="H129" s="5">
        <f>Records!L129</f>
        <v>5</v>
      </c>
      <c r="I129" s="5">
        <f>Records!M129</f>
        <v>5</v>
      </c>
      <c r="J129" s="5">
        <f>Records!Q129</f>
        <v>6</v>
      </c>
      <c r="K129" s="5">
        <f>Records!W129</f>
        <v>6</v>
      </c>
      <c r="L129" s="5">
        <f>Records!X129</f>
        <v>7</v>
      </c>
      <c r="M129" s="5">
        <f>IF(COUNT(Records!S129:U129)=0,"",AVERAGE(Records!S129:U129))</f>
        <v>5.66666666666667</v>
      </c>
      <c r="N129" s="5">
        <f>IF(COUNT(Records!O129,Records!P129,Records!V129)=0,"",AVERAGE(Records!O129,Records!P129,Records!V129))</f>
        <v>5.66666666666667</v>
      </c>
      <c r="O129" s="3" t="str">
        <f>Records!AD129</f>
        <v>是</v>
      </c>
      <c r="P129" s="10">
        <f>129</f>
        <v>129</v>
      </c>
      <c r="Q129" s="3"/>
      <c r="R129" s="3"/>
      <c r="S129" s="3"/>
      <c r="T129" s="3"/>
      <c r="U129" s="3"/>
      <c r="V129" s="3"/>
    </row>
    <row r="130" spans="1:22">
      <c r="A130" s="3" t="str">
        <f>Records!A130</f>
        <v>P021</v>
      </c>
      <c r="B130" s="3">
        <f>Records!B130</f>
        <v>6</v>
      </c>
      <c r="C130" s="3" t="str">
        <f>Records!E130</f>
        <v>鼠标</v>
      </c>
      <c r="D130" s="3" t="str">
        <f>Records!G130</f>
        <v>方法B</v>
      </c>
      <c r="E130" s="3" t="str">
        <f>Records!H130</f>
        <v>One-Euro</v>
      </c>
      <c r="F130" s="5">
        <f>Records!K130</f>
        <v>5</v>
      </c>
      <c r="G130" s="5">
        <f>Records!R130</f>
        <v>5</v>
      </c>
      <c r="H130" s="5">
        <f>Records!L130</f>
        <v>5</v>
      </c>
      <c r="I130" s="5">
        <f>Records!M130</f>
        <v>6</v>
      </c>
      <c r="J130" s="5">
        <f>Records!Q130</f>
        <v>4</v>
      </c>
      <c r="K130" s="5">
        <f>Records!W130</f>
        <v>5</v>
      </c>
      <c r="L130" s="5">
        <f>Records!X130</f>
        <v>5</v>
      </c>
      <c r="M130" s="5">
        <f>IF(COUNT(Records!S130:U130)=0,"",AVERAGE(Records!S130:U130))</f>
        <v>4.66666666666667</v>
      </c>
      <c r="N130" s="5">
        <f>IF(COUNT(Records!O130,Records!P130,Records!V130)=0,"",AVERAGE(Records!O130,Records!P130,Records!V130))</f>
        <v>4.66666666666667</v>
      </c>
      <c r="O130" s="3" t="str">
        <f>Records!AD130</f>
        <v>是</v>
      </c>
      <c r="P130" s="10">
        <f>130</f>
        <v>130</v>
      </c>
      <c r="Q130" s="3"/>
      <c r="R130" s="3"/>
      <c r="S130" s="3"/>
      <c r="T130" s="3"/>
      <c r="U130" s="3"/>
      <c r="V130" s="3"/>
    </row>
    <row r="131" spans="1:22">
      <c r="A131" s="3" t="str">
        <f>Records!A131</f>
        <v>P022</v>
      </c>
      <c r="B131" s="3">
        <f>Records!B131</f>
        <v>1</v>
      </c>
      <c r="C131" s="3" t="str">
        <f>Records!E131</f>
        <v>游戏手柄</v>
      </c>
      <c r="D131" s="3" t="str">
        <f>Records!G131</f>
        <v>方法B</v>
      </c>
      <c r="E131" s="3" t="str">
        <f>Records!H131</f>
        <v>One-Euro</v>
      </c>
      <c r="F131" s="5">
        <f>Records!K131</f>
        <v>5</v>
      </c>
      <c r="G131" s="5">
        <f>Records!R131</f>
        <v>5</v>
      </c>
      <c r="H131" s="5">
        <f>Records!L131</f>
        <v>5</v>
      </c>
      <c r="I131" s="5">
        <f>Records!M131</f>
        <v>5</v>
      </c>
      <c r="J131" s="5">
        <f>Records!Q131</f>
        <v>3</v>
      </c>
      <c r="K131" s="5">
        <f>Records!W131</f>
        <v>4</v>
      </c>
      <c r="L131" s="5">
        <f>Records!X131</f>
        <v>4</v>
      </c>
      <c r="M131" s="5">
        <f>IF(COUNT(Records!S131:U131)=0,"",AVERAGE(Records!S131:U131))</f>
        <v>4.66666666666667</v>
      </c>
      <c r="N131" s="5">
        <f>IF(COUNT(Records!O131,Records!P131,Records!V131)=0,"",AVERAGE(Records!O131,Records!P131,Records!V131))</f>
        <v>4.33333333333333</v>
      </c>
      <c r="O131" s="3" t="str">
        <f>Records!AD131</f>
        <v>是</v>
      </c>
      <c r="P131" s="10">
        <f>131</f>
        <v>131</v>
      </c>
      <c r="Q131" s="3"/>
      <c r="R131" s="3"/>
      <c r="S131" s="3"/>
      <c r="T131" s="3"/>
      <c r="U131" s="3"/>
      <c r="V131" s="3"/>
    </row>
    <row r="132" spans="1:22">
      <c r="A132" s="3" t="str">
        <f>Records!A132</f>
        <v>P022</v>
      </c>
      <c r="B132" s="3">
        <f>Records!B132</f>
        <v>2</v>
      </c>
      <c r="C132" s="3" t="str">
        <f>Records!E132</f>
        <v>游戏手柄</v>
      </c>
      <c r="D132" s="3" t="str">
        <f>Records!G132</f>
        <v>方法A</v>
      </c>
      <c r="E132" s="3" t="str">
        <f>Records!H132</f>
        <v>EgoAnchor</v>
      </c>
      <c r="F132" s="5">
        <f>Records!K132</f>
        <v>6</v>
      </c>
      <c r="G132" s="5">
        <f>Records!R132</f>
        <v>7</v>
      </c>
      <c r="H132" s="5">
        <f>Records!L132</f>
        <v>6</v>
      </c>
      <c r="I132" s="5">
        <f>Records!M132</f>
        <v>6</v>
      </c>
      <c r="J132" s="5">
        <f>Records!Q132</f>
        <v>6</v>
      </c>
      <c r="K132" s="5">
        <f>Records!W132</f>
        <v>5</v>
      </c>
      <c r="L132" s="5">
        <f>Records!X132</f>
        <v>6</v>
      </c>
      <c r="M132" s="5">
        <f>IF(COUNT(Records!S132:U132)=0,"",AVERAGE(Records!S132:U132))</f>
        <v>5.33333333333333</v>
      </c>
      <c r="N132" s="5">
        <f>IF(COUNT(Records!O132,Records!P132,Records!V132)=0,"",AVERAGE(Records!O132,Records!P132,Records!V132))</f>
        <v>6</v>
      </c>
      <c r="O132" s="3" t="str">
        <f>Records!AD132</f>
        <v>是</v>
      </c>
      <c r="P132" s="10">
        <f>132</f>
        <v>132</v>
      </c>
      <c r="Q132" s="3"/>
      <c r="R132" s="3"/>
      <c r="S132" s="3"/>
      <c r="T132" s="3"/>
      <c r="U132" s="3"/>
      <c r="V132" s="3"/>
    </row>
    <row r="133" spans="1:22">
      <c r="A133" s="3" t="str">
        <f>Records!A133</f>
        <v>P022</v>
      </c>
      <c r="B133" s="3">
        <f>Records!B133</f>
        <v>3</v>
      </c>
      <c r="C133" s="3" t="str">
        <f>Records!E133</f>
        <v>固定订书机</v>
      </c>
      <c r="D133" s="3" t="str">
        <f>Records!G133</f>
        <v>方法A</v>
      </c>
      <c r="E133" s="3" t="str">
        <f>Records!H133</f>
        <v>EgoAnchor</v>
      </c>
      <c r="F133" s="5">
        <f>Records!K133</f>
        <v>6</v>
      </c>
      <c r="G133" s="5">
        <f>Records!R133</f>
        <v>7</v>
      </c>
      <c r="H133" s="5">
        <f>Records!L133</f>
        <v>6</v>
      </c>
      <c r="I133" s="5">
        <f>Records!M133</f>
        <v>6</v>
      </c>
      <c r="J133" s="5">
        <f>Records!Q133</f>
        <v>5</v>
      </c>
      <c r="K133" s="5">
        <f>Records!W133</f>
        <v>5</v>
      </c>
      <c r="L133" s="5">
        <f>Records!X133</f>
        <v>6</v>
      </c>
      <c r="M133" s="5">
        <f>IF(COUNT(Records!S133:U133)=0,"",AVERAGE(Records!S133:U133))</f>
        <v>5.66666666666667</v>
      </c>
      <c r="N133" s="5">
        <f>IF(COUNT(Records!O133,Records!P133,Records!V133)=0,"",AVERAGE(Records!O133,Records!P133,Records!V133))</f>
        <v>5.33333333333333</v>
      </c>
      <c r="O133" s="3" t="str">
        <f>Records!AD133</f>
        <v>是</v>
      </c>
      <c r="P133" s="10">
        <f>133</f>
        <v>133</v>
      </c>
      <c r="Q133" s="3"/>
      <c r="R133" s="3"/>
      <c r="S133" s="3"/>
      <c r="T133" s="3"/>
      <c r="U133" s="3"/>
      <c r="V133" s="3"/>
    </row>
    <row r="134" spans="1:22">
      <c r="A134" s="3" t="str">
        <f>Records!A134</f>
        <v>P022</v>
      </c>
      <c r="B134" s="3">
        <f>Records!B134</f>
        <v>4</v>
      </c>
      <c r="C134" s="3" t="str">
        <f>Records!E134</f>
        <v>固定订书机</v>
      </c>
      <c r="D134" s="3" t="str">
        <f>Records!G134</f>
        <v>方法B</v>
      </c>
      <c r="E134" s="3" t="str">
        <f>Records!H134</f>
        <v>One-Euro</v>
      </c>
      <c r="F134" s="5">
        <f>Records!K134</f>
        <v>4</v>
      </c>
      <c r="G134" s="5">
        <f>Records!R134</f>
        <v>4</v>
      </c>
      <c r="H134" s="5">
        <f>Records!L134</f>
        <v>6</v>
      </c>
      <c r="I134" s="5">
        <f>Records!M134</f>
        <v>4</v>
      </c>
      <c r="J134" s="5">
        <f>Records!Q134</f>
        <v>5</v>
      </c>
      <c r="K134" s="5">
        <f>Records!W134</f>
        <v>5</v>
      </c>
      <c r="L134" s="5">
        <f>Records!X134</f>
        <v>5</v>
      </c>
      <c r="M134" s="5">
        <f>IF(COUNT(Records!S134:U134)=0,"",AVERAGE(Records!S134:U134))</f>
        <v>5.33333333333333</v>
      </c>
      <c r="N134" s="5">
        <f>IF(COUNT(Records!O134,Records!P134,Records!V134)=0,"",AVERAGE(Records!O134,Records!P134,Records!V134))</f>
        <v>5.66666666666667</v>
      </c>
      <c r="O134" s="3" t="str">
        <f>Records!AD134</f>
        <v>是</v>
      </c>
      <c r="P134" s="10">
        <f>134</f>
        <v>134</v>
      </c>
      <c r="Q134" s="3"/>
      <c r="R134" s="3"/>
      <c r="S134" s="3"/>
      <c r="T134" s="3"/>
      <c r="U134" s="3"/>
      <c r="V134" s="3"/>
    </row>
    <row r="135" spans="1:22">
      <c r="A135" s="3" t="str">
        <f>Records!A135</f>
        <v>P022</v>
      </c>
      <c r="B135" s="3">
        <f>Records!B135</f>
        <v>5</v>
      </c>
      <c r="C135" s="3" t="str">
        <f>Records!E135</f>
        <v>鼠标</v>
      </c>
      <c r="D135" s="3" t="str">
        <f>Records!G135</f>
        <v>方法B</v>
      </c>
      <c r="E135" s="3" t="str">
        <f>Records!H135</f>
        <v>One-Euro</v>
      </c>
      <c r="F135" s="5">
        <f>Records!K135</f>
        <v>4</v>
      </c>
      <c r="G135" s="5">
        <f>Records!R135</f>
        <v>5</v>
      </c>
      <c r="H135" s="5">
        <f>Records!L135</f>
        <v>6</v>
      </c>
      <c r="I135" s="5">
        <f>Records!M135</f>
        <v>5</v>
      </c>
      <c r="J135" s="5">
        <f>Records!Q135</f>
        <v>4</v>
      </c>
      <c r="K135" s="5">
        <f>Records!W135</f>
        <v>4</v>
      </c>
      <c r="L135" s="5">
        <f>Records!X135</f>
        <v>4</v>
      </c>
      <c r="M135" s="5">
        <f>IF(COUNT(Records!S135:U135)=0,"",AVERAGE(Records!S135:U135))</f>
        <v>5.33333333333333</v>
      </c>
      <c r="N135" s="5">
        <f>IF(COUNT(Records!O135,Records!P135,Records!V135)=0,"",AVERAGE(Records!O135,Records!P135,Records!V135))</f>
        <v>5.33333333333333</v>
      </c>
      <c r="O135" s="3" t="str">
        <f>Records!AD135</f>
        <v>是</v>
      </c>
      <c r="P135" s="10">
        <f>135</f>
        <v>135</v>
      </c>
      <c r="Q135" s="3"/>
      <c r="R135" s="3"/>
      <c r="S135" s="3"/>
      <c r="T135" s="3"/>
      <c r="U135" s="3"/>
      <c r="V135" s="3"/>
    </row>
    <row r="136" spans="1:22">
      <c r="A136" s="3" t="str">
        <f>Records!A136</f>
        <v>P022</v>
      </c>
      <c r="B136" s="3">
        <f>Records!B136</f>
        <v>6</v>
      </c>
      <c r="C136" s="3" t="str">
        <f>Records!E136</f>
        <v>鼠标</v>
      </c>
      <c r="D136" s="3" t="str">
        <f>Records!G136</f>
        <v>方法A</v>
      </c>
      <c r="E136" s="3" t="str">
        <f>Records!H136</f>
        <v>EgoAnchor</v>
      </c>
      <c r="F136" s="5">
        <f>Records!K136</f>
        <v>4</v>
      </c>
      <c r="G136" s="5">
        <f>Records!R136</f>
        <v>6</v>
      </c>
      <c r="H136" s="5">
        <f>Records!L136</f>
        <v>6</v>
      </c>
      <c r="I136" s="5">
        <f>Records!M136</f>
        <v>5</v>
      </c>
      <c r="J136" s="5">
        <f>Records!Q136</f>
        <v>4</v>
      </c>
      <c r="K136" s="5">
        <f>Records!W136</f>
        <v>5</v>
      </c>
      <c r="L136" s="5">
        <f>Records!X136</f>
        <v>5</v>
      </c>
      <c r="M136" s="5">
        <f>IF(COUNT(Records!S136:U136)=0,"",AVERAGE(Records!S136:U136))</f>
        <v>5.66666666666667</v>
      </c>
      <c r="N136" s="5">
        <f>IF(COUNT(Records!O136,Records!P136,Records!V136)=0,"",AVERAGE(Records!O136,Records!P136,Records!V136))</f>
        <v>5.66666666666667</v>
      </c>
      <c r="O136" s="3" t="str">
        <f>Records!AD136</f>
        <v>是</v>
      </c>
      <c r="P136" s="10">
        <f>136</f>
        <v>136</v>
      </c>
      <c r="Q136" s="3"/>
      <c r="R136" s="3"/>
      <c r="S136" s="3"/>
      <c r="T136" s="3"/>
      <c r="U136" s="3"/>
      <c r="V136" s="3"/>
    </row>
    <row r="137" spans="1:22">
      <c r="A137" s="3" t="str">
        <f>Records!A137</f>
        <v>P023</v>
      </c>
      <c r="B137" s="3">
        <f>Records!B137</f>
        <v>1</v>
      </c>
      <c r="C137" s="3" t="str">
        <f>Records!E137</f>
        <v>游戏手柄</v>
      </c>
      <c r="D137" s="3" t="str">
        <f>Records!G137</f>
        <v>方法B</v>
      </c>
      <c r="E137" s="3" t="str">
        <f>Records!H137</f>
        <v>EgoAnchor</v>
      </c>
      <c r="F137" s="5">
        <f>Records!K137</f>
        <v>6</v>
      </c>
      <c r="G137" s="5">
        <f>Records!R137</f>
        <v>6</v>
      </c>
      <c r="H137" s="5">
        <f>Records!L137</f>
        <v>4</v>
      </c>
      <c r="I137" s="5">
        <f>Records!M137</f>
        <v>6</v>
      </c>
      <c r="J137" s="5">
        <f>Records!Q137</f>
        <v>6</v>
      </c>
      <c r="K137" s="5">
        <f>Records!W137</f>
        <v>6</v>
      </c>
      <c r="L137" s="5">
        <f>Records!X137</f>
        <v>6</v>
      </c>
      <c r="M137" s="5">
        <f>IF(COUNT(Records!S137:U137)=0,"",AVERAGE(Records!S137:U137))</f>
        <v>5.33333333333333</v>
      </c>
      <c r="N137" s="5">
        <f>IF(COUNT(Records!O137,Records!P137,Records!V137)=0,"",AVERAGE(Records!O137,Records!P137,Records!V137))</f>
        <v>5.66666666666667</v>
      </c>
      <c r="O137" s="3" t="str">
        <f>Records!AD137</f>
        <v>是</v>
      </c>
      <c r="P137" s="10">
        <f>137</f>
        <v>137</v>
      </c>
      <c r="Q137" s="3"/>
      <c r="R137" s="3"/>
      <c r="S137" s="3"/>
      <c r="T137" s="3"/>
      <c r="U137" s="3"/>
      <c r="V137" s="3"/>
    </row>
    <row r="138" spans="1:22">
      <c r="A138" s="3" t="str">
        <f>Records!A138</f>
        <v>P023</v>
      </c>
      <c r="B138" s="3">
        <f>Records!B138</f>
        <v>2</v>
      </c>
      <c r="C138" s="3" t="str">
        <f>Records!E138</f>
        <v>游戏手柄</v>
      </c>
      <c r="D138" s="3" t="str">
        <f>Records!G138</f>
        <v>方法A</v>
      </c>
      <c r="E138" s="3" t="str">
        <f>Records!H138</f>
        <v>One-Euro</v>
      </c>
      <c r="F138" s="5">
        <f>Records!K138</f>
        <v>4</v>
      </c>
      <c r="G138" s="5">
        <f>Records!R138</f>
        <v>5</v>
      </c>
      <c r="H138" s="5">
        <f>Records!L138</f>
        <v>6</v>
      </c>
      <c r="I138" s="5">
        <f>Records!M138</f>
        <v>7</v>
      </c>
      <c r="J138" s="5">
        <f>Records!Q138</f>
        <v>5</v>
      </c>
      <c r="K138" s="5">
        <f>Records!W138</f>
        <v>5</v>
      </c>
      <c r="L138" s="5">
        <f>Records!X138</f>
        <v>5</v>
      </c>
      <c r="M138" s="5">
        <f>IF(COUNT(Records!S138:U138)=0,"",AVERAGE(Records!S138:U138))</f>
        <v>5.33333333333333</v>
      </c>
      <c r="N138" s="5">
        <f>IF(COUNT(Records!O138,Records!P138,Records!V138)=0,"",AVERAGE(Records!O138,Records!P138,Records!V138))</f>
        <v>5</v>
      </c>
      <c r="O138" s="3" t="str">
        <f>Records!AD138</f>
        <v>是</v>
      </c>
      <c r="P138" s="10">
        <f>138</f>
        <v>138</v>
      </c>
      <c r="Q138" s="3"/>
      <c r="R138" s="3"/>
      <c r="S138" s="3"/>
      <c r="T138" s="3"/>
      <c r="U138" s="3"/>
      <c r="V138" s="3"/>
    </row>
    <row r="139" spans="1:22">
      <c r="A139" s="3" t="str">
        <f>Records!A139</f>
        <v>P023</v>
      </c>
      <c r="B139" s="3">
        <f>Records!B139</f>
        <v>3</v>
      </c>
      <c r="C139" s="3" t="str">
        <f>Records!E139</f>
        <v>固定订书机</v>
      </c>
      <c r="D139" s="3" t="str">
        <f>Records!G139</f>
        <v>方法A</v>
      </c>
      <c r="E139" s="3" t="str">
        <f>Records!H139</f>
        <v>One-Euro</v>
      </c>
      <c r="F139" s="5">
        <f>Records!K139</f>
        <v>4</v>
      </c>
      <c r="G139" s="5">
        <f>Records!R139</f>
        <v>4</v>
      </c>
      <c r="H139" s="5">
        <f>Records!L139</f>
        <v>6</v>
      </c>
      <c r="I139" s="5">
        <f>Records!M139</f>
        <v>7</v>
      </c>
      <c r="J139" s="5">
        <f>Records!Q139</f>
        <v>3</v>
      </c>
      <c r="K139" s="5">
        <f>Records!W139</f>
        <v>4</v>
      </c>
      <c r="L139" s="5">
        <f>Records!X139</f>
        <v>3</v>
      </c>
      <c r="M139" s="5">
        <f>IF(COUNT(Records!S139:U139)=0,"",AVERAGE(Records!S139:U139))</f>
        <v>4</v>
      </c>
      <c r="N139" s="5">
        <f>IF(COUNT(Records!O139,Records!P139,Records!V139)=0,"",AVERAGE(Records!O139,Records!P139,Records!V139))</f>
        <v>4.33333333333333</v>
      </c>
      <c r="O139" s="3" t="str">
        <f>Records!AD139</f>
        <v>是</v>
      </c>
      <c r="P139" s="10">
        <f>139</f>
        <v>139</v>
      </c>
      <c r="Q139" s="3"/>
      <c r="R139" s="3"/>
      <c r="S139" s="3"/>
      <c r="T139" s="3"/>
      <c r="U139" s="3"/>
      <c r="V139" s="3"/>
    </row>
    <row r="140" spans="1:22">
      <c r="A140" s="3" t="str">
        <f>Records!A140</f>
        <v>P023</v>
      </c>
      <c r="B140" s="3">
        <f>Records!B140</f>
        <v>4</v>
      </c>
      <c r="C140" s="3" t="str">
        <f>Records!E140</f>
        <v>固定订书机</v>
      </c>
      <c r="D140" s="3" t="str">
        <f>Records!G140</f>
        <v>方法B</v>
      </c>
      <c r="E140" s="3" t="str">
        <f>Records!H140</f>
        <v>EgoAnchor</v>
      </c>
      <c r="F140" s="5">
        <f>Records!K140</f>
        <v>5</v>
      </c>
      <c r="G140" s="5">
        <f>Records!R140</f>
        <v>4</v>
      </c>
      <c r="H140" s="5">
        <f>Records!L140</f>
        <v>5</v>
      </c>
      <c r="I140" s="5">
        <f>Records!M140</f>
        <v>5</v>
      </c>
      <c r="J140" s="5">
        <f>Records!Q140</f>
        <v>5</v>
      </c>
      <c r="K140" s="5">
        <f>Records!W140</f>
        <v>3</v>
      </c>
      <c r="L140" s="5">
        <f>Records!X140</f>
        <v>5</v>
      </c>
      <c r="M140" s="5">
        <f>IF(COUNT(Records!S140:U140)=0,"",AVERAGE(Records!S140:U140))</f>
        <v>6.33333333333333</v>
      </c>
      <c r="N140" s="5">
        <f>IF(COUNT(Records!O140,Records!P140,Records!V140)=0,"",AVERAGE(Records!O140,Records!P140,Records!V140))</f>
        <v>6</v>
      </c>
      <c r="O140" s="3" t="str">
        <f>Records!AD140</f>
        <v>是</v>
      </c>
      <c r="P140" s="10">
        <f>140</f>
        <v>140</v>
      </c>
      <c r="Q140" s="3"/>
      <c r="R140" s="3"/>
      <c r="S140" s="3"/>
      <c r="T140" s="3"/>
      <c r="U140" s="3"/>
      <c r="V140" s="3"/>
    </row>
    <row r="141" spans="1:22">
      <c r="A141" s="3" t="str">
        <f>Records!A141</f>
        <v>P023</v>
      </c>
      <c r="B141" s="3">
        <f>Records!B141</f>
        <v>5</v>
      </c>
      <c r="C141" s="3" t="str">
        <f>Records!E141</f>
        <v>鼠标</v>
      </c>
      <c r="D141" s="3" t="str">
        <f>Records!G141</f>
        <v>方法B</v>
      </c>
      <c r="E141" s="3" t="str">
        <f>Records!H141</f>
        <v>EgoAnchor</v>
      </c>
      <c r="F141" s="5">
        <f>Records!K141</f>
        <v>5</v>
      </c>
      <c r="G141" s="5">
        <f>Records!R141</f>
        <v>5</v>
      </c>
      <c r="H141" s="5">
        <f>Records!L141</f>
        <v>6</v>
      </c>
      <c r="I141" s="5">
        <f>Records!M141</f>
        <v>5</v>
      </c>
      <c r="J141" s="5">
        <f>Records!Q141</f>
        <v>6</v>
      </c>
      <c r="K141" s="5">
        <f>Records!W141</f>
        <v>4</v>
      </c>
      <c r="L141" s="5">
        <f>Records!X141</f>
        <v>5</v>
      </c>
      <c r="M141" s="5">
        <f>IF(COUNT(Records!S141:U141)=0,"",AVERAGE(Records!S141:U141))</f>
        <v>6</v>
      </c>
      <c r="N141" s="5">
        <f>IF(COUNT(Records!O141,Records!P141,Records!V141)=0,"",AVERAGE(Records!O141,Records!P141,Records!V141))</f>
        <v>4.33333333333333</v>
      </c>
      <c r="O141" s="3" t="str">
        <f>Records!AD141</f>
        <v>是</v>
      </c>
      <c r="P141" s="10">
        <f>141</f>
        <v>141</v>
      </c>
      <c r="Q141" s="3"/>
      <c r="R141" s="3"/>
      <c r="S141" s="3"/>
      <c r="T141" s="3"/>
      <c r="U141" s="3"/>
      <c r="V141" s="3"/>
    </row>
    <row r="142" spans="1:22">
      <c r="A142" s="3" t="str">
        <f>Records!A142</f>
        <v>P023</v>
      </c>
      <c r="B142" s="3">
        <f>Records!B142</f>
        <v>6</v>
      </c>
      <c r="C142" s="3" t="str">
        <f>Records!E142</f>
        <v>鼠标</v>
      </c>
      <c r="D142" s="3" t="str">
        <f>Records!G142</f>
        <v>方法A</v>
      </c>
      <c r="E142" s="3" t="str">
        <f>Records!H142</f>
        <v>One-Euro</v>
      </c>
      <c r="F142" s="5">
        <f>Records!K142</f>
        <v>4</v>
      </c>
      <c r="G142" s="5">
        <f>Records!R142</f>
        <v>5</v>
      </c>
      <c r="H142" s="5">
        <f>Records!L142</f>
        <v>6</v>
      </c>
      <c r="I142" s="5">
        <f>Records!M142</f>
        <v>6</v>
      </c>
      <c r="J142" s="5">
        <f>Records!Q142</f>
        <v>4</v>
      </c>
      <c r="K142" s="5">
        <f>Records!W142</f>
        <v>3</v>
      </c>
      <c r="L142" s="5">
        <f>Records!X142</f>
        <v>5</v>
      </c>
      <c r="M142" s="5">
        <f>IF(COUNT(Records!S142:U142)=0,"",AVERAGE(Records!S142:U142))</f>
        <v>5</v>
      </c>
      <c r="N142" s="5">
        <f>IF(COUNT(Records!O142,Records!P142,Records!V142)=0,"",AVERAGE(Records!O142,Records!P142,Records!V142))</f>
        <v>5.33333333333333</v>
      </c>
      <c r="O142" s="3" t="str">
        <f>Records!AD142</f>
        <v>是</v>
      </c>
      <c r="P142" s="10">
        <f>142</f>
        <v>142</v>
      </c>
      <c r="Q142" s="3"/>
      <c r="R142" s="3"/>
      <c r="S142" s="3"/>
      <c r="T142" s="3"/>
      <c r="U142" s="3"/>
      <c r="V142" s="3"/>
    </row>
    <row r="143" spans="1:22">
      <c r="A143" s="3" t="str">
        <f>Records!A143</f>
        <v>P024</v>
      </c>
      <c r="B143" s="3">
        <f>Records!B143</f>
        <v>1</v>
      </c>
      <c r="C143" s="3" t="str">
        <f>Records!E143</f>
        <v>游戏手柄</v>
      </c>
      <c r="D143" s="3" t="str">
        <f>Records!G143</f>
        <v>方法A</v>
      </c>
      <c r="E143" s="3" t="str">
        <f>Records!H143</f>
        <v>One-Euro</v>
      </c>
      <c r="F143" s="5">
        <f>Records!K143</f>
        <v>5</v>
      </c>
      <c r="G143" s="5">
        <f>Records!R143</f>
        <v>5</v>
      </c>
      <c r="H143" s="5">
        <f>Records!L143</f>
        <v>5</v>
      </c>
      <c r="I143" s="5">
        <f>Records!M143</f>
        <v>4</v>
      </c>
      <c r="J143" s="5">
        <f>Records!Q143</f>
        <v>5</v>
      </c>
      <c r="K143" s="5">
        <f>Records!W143</f>
        <v>4</v>
      </c>
      <c r="L143" s="5">
        <f>Records!X143</f>
        <v>4</v>
      </c>
      <c r="M143" s="5">
        <f>IF(COUNT(Records!S143:U143)=0,"",AVERAGE(Records!S143:U143))</f>
        <v>5.33333333333333</v>
      </c>
      <c r="N143" s="5">
        <f>IF(COUNT(Records!O143,Records!P143,Records!V143)=0,"",AVERAGE(Records!O143,Records!P143,Records!V143))</f>
        <v>5.66666666666667</v>
      </c>
      <c r="O143" s="3" t="str">
        <f>Records!AD143</f>
        <v>是</v>
      </c>
      <c r="P143" s="10">
        <f>143</f>
        <v>143</v>
      </c>
      <c r="Q143" s="3"/>
      <c r="R143" s="3"/>
      <c r="S143" s="3"/>
      <c r="T143" s="3"/>
      <c r="U143" s="3"/>
      <c r="V143" s="3"/>
    </row>
    <row r="144" spans="1:22">
      <c r="A144" s="3" t="str">
        <f>Records!A144</f>
        <v>P024</v>
      </c>
      <c r="B144" s="3">
        <f>Records!B144</f>
        <v>2</v>
      </c>
      <c r="C144" s="3" t="str">
        <f>Records!E144</f>
        <v>游戏手柄</v>
      </c>
      <c r="D144" s="3" t="str">
        <f>Records!G144</f>
        <v>方法B</v>
      </c>
      <c r="E144" s="3" t="str">
        <f>Records!H144</f>
        <v>EgoAnchor</v>
      </c>
      <c r="F144" s="5">
        <f>Records!K144</f>
        <v>7</v>
      </c>
      <c r="G144" s="5">
        <f>Records!R144</f>
        <v>6</v>
      </c>
      <c r="H144" s="5">
        <f>Records!L144</f>
        <v>5</v>
      </c>
      <c r="I144" s="5">
        <f>Records!M144</f>
        <v>6</v>
      </c>
      <c r="J144" s="5">
        <f>Records!Q144</f>
        <v>5</v>
      </c>
      <c r="K144" s="5">
        <f>Records!W144</f>
        <v>6</v>
      </c>
      <c r="L144" s="5">
        <f>Records!X144</f>
        <v>6</v>
      </c>
      <c r="M144" s="5">
        <f>IF(COUNT(Records!S144:U144)=0,"",AVERAGE(Records!S144:U144))</f>
        <v>5.33333333333333</v>
      </c>
      <c r="N144" s="5">
        <f>IF(COUNT(Records!O144,Records!P144,Records!V144)=0,"",AVERAGE(Records!O144,Records!P144,Records!V144))</f>
        <v>5</v>
      </c>
      <c r="O144" s="3" t="str">
        <f>Records!AD144</f>
        <v>是</v>
      </c>
      <c r="P144" s="10">
        <f>144</f>
        <v>144</v>
      </c>
      <c r="Q144" s="3"/>
      <c r="R144" s="3"/>
      <c r="S144" s="3"/>
      <c r="T144" s="3"/>
      <c r="U144" s="3"/>
      <c r="V144" s="3"/>
    </row>
    <row r="145" spans="1:22">
      <c r="A145" s="3" t="str">
        <f>Records!A145</f>
        <v>P024</v>
      </c>
      <c r="B145" s="3">
        <f>Records!B145</f>
        <v>3</v>
      </c>
      <c r="C145" s="3" t="str">
        <f>Records!E145</f>
        <v>固定订书机</v>
      </c>
      <c r="D145" s="3" t="str">
        <f>Records!G145</f>
        <v>方法B</v>
      </c>
      <c r="E145" s="3" t="str">
        <f>Records!H145</f>
        <v>EgoAnchor</v>
      </c>
      <c r="F145" s="5">
        <f>Records!K145</f>
        <v>6</v>
      </c>
      <c r="G145" s="5">
        <f>Records!R145</f>
        <v>7</v>
      </c>
      <c r="H145" s="5">
        <f>Records!L145</f>
        <v>5</v>
      </c>
      <c r="I145" s="5">
        <f>Records!M145</f>
        <v>6</v>
      </c>
      <c r="J145" s="5">
        <f>Records!Q145</f>
        <v>6</v>
      </c>
      <c r="K145" s="5">
        <f>Records!W145</f>
        <v>6</v>
      </c>
      <c r="L145" s="5">
        <f>Records!X145</f>
        <v>7</v>
      </c>
      <c r="M145" s="5">
        <f>IF(COUNT(Records!S145:U145)=0,"",AVERAGE(Records!S145:U145))</f>
        <v>5.33333333333333</v>
      </c>
      <c r="N145" s="5">
        <f>IF(COUNT(Records!O145,Records!P145,Records!V145)=0,"",AVERAGE(Records!O145,Records!P145,Records!V145))</f>
        <v>5.66666666666667</v>
      </c>
      <c r="O145" s="3" t="str">
        <f>Records!AD145</f>
        <v>是</v>
      </c>
      <c r="P145" s="10">
        <f>145</f>
        <v>145</v>
      </c>
      <c r="Q145" s="3"/>
      <c r="R145" s="3"/>
      <c r="S145" s="3"/>
      <c r="T145" s="3"/>
      <c r="U145" s="3"/>
      <c r="V145" s="3"/>
    </row>
    <row r="146" spans="1:22">
      <c r="A146" s="3" t="str">
        <f>Records!A146</f>
        <v>P024</v>
      </c>
      <c r="B146" s="3">
        <f>Records!B146</f>
        <v>4</v>
      </c>
      <c r="C146" s="3" t="str">
        <f>Records!E146</f>
        <v>固定订书机</v>
      </c>
      <c r="D146" s="3" t="str">
        <f>Records!G146</f>
        <v>方法A</v>
      </c>
      <c r="E146" s="3" t="str">
        <f>Records!H146</f>
        <v>One-Euro</v>
      </c>
      <c r="F146" s="5">
        <f>Records!K146</f>
        <v>4</v>
      </c>
      <c r="G146" s="5">
        <f>Records!R146</f>
        <v>5</v>
      </c>
      <c r="H146" s="5">
        <f>Records!L146</f>
        <v>5</v>
      </c>
      <c r="I146" s="5">
        <f>Records!M146</f>
        <v>6</v>
      </c>
      <c r="J146" s="5">
        <f>Records!Q146</f>
        <v>5</v>
      </c>
      <c r="K146" s="5">
        <f>Records!W146</f>
        <v>4</v>
      </c>
      <c r="L146" s="5">
        <f>Records!X146</f>
        <v>6</v>
      </c>
      <c r="M146" s="5">
        <f>IF(COUNT(Records!S146:U146)=0,"",AVERAGE(Records!S146:U146))</f>
        <v>6</v>
      </c>
      <c r="N146" s="5">
        <f>IF(COUNT(Records!O146,Records!P146,Records!V146)=0,"",AVERAGE(Records!O146,Records!P146,Records!V146))</f>
        <v>4.33333333333333</v>
      </c>
      <c r="O146" s="3" t="str">
        <f>Records!AD146</f>
        <v>是</v>
      </c>
      <c r="P146" s="10">
        <f>146</f>
        <v>146</v>
      </c>
      <c r="Q146" s="3"/>
      <c r="R146" s="3"/>
      <c r="S146" s="3"/>
      <c r="T146" s="3"/>
      <c r="U146" s="3"/>
      <c r="V146" s="3"/>
    </row>
    <row r="147" spans="1:22">
      <c r="A147" s="3" t="str">
        <f>Records!A147</f>
        <v>P024</v>
      </c>
      <c r="B147" s="3">
        <f>Records!B147</f>
        <v>5</v>
      </c>
      <c r="C147" s="3" t="str">
        <f>Records!E147</f>
        <v>鼠标</v>
      </c>
      <c r="D147" s="3" t="str">
        <f>Records!G147</f>
        <v>方法A</v>
      </c>
      <c r="E147" s="3" t="str">
        <f>Records!H147</f>
        <v>One-Euro</v>
      </c>
      <c r="F147" s="5">
        <f>Records!K147</f>
        <v>4</v>
      </c>
      <c r="G147" s="5">
        <f>Records!R147</f>
        <v>5</v>
      </c>
      <c r="H147" s="5">
        <f>Records!L147</f>
        <v>5</v>
      </c>
      <c r="I147" s="5">
        <f>Records!M147</f>
        <v>4</v>
      </c>
      <c r="J147" s="5">
        <f>Records!Q147</f>
        <v>4</v>
      </c>
      <c r="K147" s="5">
        <f>Records!W147</f>
        <v>5</v>
      </c>
      <c r="L147" s="5">
        <f>Records!X147</f>
        <v>5</v>
      </c>
      <c r="M147" s="5">
        <f>IF(COUNT(Records!S147:U147)=0,"",AVERAGE(Records!S147:U147))</f>
        <v>4.66666666666667</v>
      </c>
      <c r="N147" s="5">
        <f>IF(COUNT(Records!O147,Records!P147,Records!V147)=0,"",AVERAGE(Records!O147,Records!P147,Records!V147))</f>
        <v>4</v>
      </c>
      <c r="O147" s="3" t="str">
        <f>Records!AD147</f>
        <v>是</v>
      </c>
      <c r="P147" s="10">
        <f>147</f>
        <v>147</v>
      </c>
      <c r="Q147" s="3"/>
      <c r="R147" s="3"/>
      <c r="S147" s="3"/>
      <c r="T147" s="3"/>
      <c r="U147" s="3"/>
      <c r="V147" s="3"/>
    </row>
    <row r="148" spans="1:22">
      <c r="A148" s="3" t="str">
        <f>Records!A148</f>
        <v>P024</v>
      </c>
      <c r="B148" s="3">
        <f>Records!B148</f>
        <v>6</v>
      </c>
      <c r="C148" s="3" t="str">
        <f>Records!E148</f>
        <v>鼠标</v>
      </c>
      <c r="D148" s="3" t="str">
        <f>Records!G148</f>
        <v>方法B</v>
      </c>
      <c r="E148" s="3" t="str">
        <f>Records!H148</f>
        <v>EgoAnchor</v>
      </c>
      <c r="F148" s="5">
        <f>Records!K148</f>
        <v>5</v>
      </c>
      <c r="G148" s="5">
        <f>Records!R148</f>
        <v>7</v>
      </c>
      <c r="H148" s="5">
        <f>Records!L148</f>
        <v>6</v>
      </c>
      <c r="I148" s="5">
        <f>Records!M148</f>
        <v>4</v>
      </c>
      <c r="J148" s="5">
        <f>Records!Q148</f>
        <v>5</v>
      </c>
      <c r="K148" s="5">
        <f>Records!W148</f>
        <v>6</v>
      </c>
      <c r="L148" s="5">
        <f>Records!X148</f>
        <v>6</v>
      </c>
      <c r="M148" s="5">
        <f>IF(COUNT(Records!S148:U148)=0,"",AVERAGE(Records!S148:U148))</f>
        <v>5.66666666666667</v>
      </c>
      <c r="N148" s="5">
        <f>IF(COUNT(Records!O148,Records!P148,Records!V148)=0,"",AVERAGE(Records!O148,Records!P148,Records!V148))</f>
        <v>5.33333333333333</v>
      </c>
      <c r="O148" s="3" t="str">
        <f>Records!AD148</f>
        <v>是</v>
      </c>
      <c r="P148" s="10">
        <f>148</f>
        <v>148</v>
      </c>
      <c r="Q148" s="3"/>
      <c r="R148" s="3"/>
      <c r="S148" s="3"/>
      <c r="T148" s="3"/>
      <c r="U148" s="3"/>
      <c r="V148" s="3"/>
    </row>
    <row r="149" spans="1:2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>
      <c r="A150" s="11" t="s">
        <v>808</v>
      </c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3"/>
      <c r="O150" s="3"/>
      <c r="P150" s="3"/>
      <c r="Q150" s="3"/>
      <c r="R150" s="3"/>
      <c r="S150" s="3"/>
      <c r="T150" s="3"/>
      <c r="U150" s="3"/>
      <c r="V150" s="3"/>
    </row>
    <row r="151" ht="29" spans="1:22">
      <c r="A151" s="9" t="s">
        <v>349</v>
      </c>
      <c r="B151" s="9" t="s">
        <v>508</v>
      </c>
      <c r="C151" s="9" t="s">
        <v>476</v>
      </c>
      <c r="D151" s="9" t="s">
        <v>803</v>
      </c>
      <c r="E151" s="9" t="s">
        <v>809</v>
      </c>
      <c r="F151" s="9" t="s">
        <v>810</v>
      </c>
      <c r="G151" s="9" t="s">
        <v>811</v>
      </c>
      <c r="H151" s="9" t="s">
        <v>812</v>
      </c>
      <c r="I151" s="9" t="s">
        <v>813</v>
      </c>
      <c r="J151" s="9" t="s">
        <v>814</v>
      </c>
      <c r="K151" s="9" t="s">
        <v>815</v>
      </c>
      <c r="L151" s="9" t="s">
        <v>816</v>
      </c>
      <c r="M151" s="9" t="s">
        <v>807</v>
      </c>
      <c r="N151" s="3"/>
      <c r="O151" s="3"/>
      <c r="P151" s="3"/>
      <c r="Q151" s="3"/>
      <c r="R151" s="3"/>
      <c r="S151" s="3"/>
      <c r="T151" s="3"/>
      <c r="U151" s="3"/>
      <c r="V151" s="3"/>
    </row>
    <row r="152" spans="1:22">
      <c r="A152" s="3" t="str">
        <f>Records!A152</f>
        <v>P001</v>
      </c>
      <c r="B152" s="3">
        <f>Records!B152</f>
        <v>1</v>
      </c>
      <c r="C152" s="3" t="str">
        <f>Records!C152</f>
        <v>方法A</v>
      </c>
      <c r="D152" s="3" t="str">
        <f>Records!D152</f>
        <v>EgoAnchor</v>
      </c>
      <c r="E152" s="5">
        <f>IF(Records!G152="","",6-Records!G152)</f>
        <v>5</v>
      </c>
      <c r="F152" s="5">
        <f>IF(Records!I152="","",6-Records!I152)</f>
        <v>5</v>
      </c>
      <c r="G152" s="5">
        <f>IF(Records!L152="","",6-Records!L152)</f>
        <v>4</v>
      </c>
      <c r="H152" s="5">
        <f>IF(Records!N152="","",6-Records!N152)</f>
        <v>5</v>
      </c>
      <c r="I152" s="5">
        <f>IF(COUNT(Records!E152:J152)&lt;6,"",AVERAGE(Records!E152,Records!F152,E152,Records!H152,F152,Records!J152))</f>
        <v>5</v>
      </c>
      <c r="J152" s="5">
        <f>IF(COUNT(Records!K152:N152)&lt;4,"",AVERAGE(Records!K152,G152,Records!M152,H152))</f>
        <v>4.5</v>
      </c>
      <c r="K152" s="5">
        <f>IF(COUNT(Records!O152:Q152)&lt;3,"",AVERAGE(Records!O152:Q152))</f>
        <v>6</v>
      </c>
      <c r="L152" s="5">
        <f>Records!U152</f>
        <v>121.7</v>
      </c>
      <c r="M152" s="3">
        <f>152</f>
        <v>152</v>
      </c>
      <c r="N152" s="3"/>
      <c r="O152" s="3"/>
      <c r="P152" s="3"/>
      <c r="Q152" s="3"/>
      <c r="R152" s="3"/>
      <c r="S152" s="3"/>
      <c r="T152" s="3"/>
      <c r="U152" s="3"/>
      <c r="V152" s="3"/>
    </row>
    <row r="153" spans="1:22">
      <c r="A153" s="3" t="str">
        <f>Records!A153</f>
        <v>P001</v>
      </c>
      <c r="B153" s="3">
        <f>Records!B153</f>
        <v>2</v>
      </c>
      <c r="C153" s="3" t="str">
        <f>Records!C153</f>
        <v>方法B</v>
      </c>
      <c r="D153" s="3" t="str">
        <f>Records!D153</f>
        <v>One-Euro</v>
      </c>
      <c r="E153" s="5">
        <f>IF(Records!G153="","",6-Records!G153)</f>
        <v>3</v>
      </c>
      <c r="F153" s="5">
        <f>IF(Records!I153="","",6-Records!I153)</f>
        <v>3</v>
      </c>
      <c r="G153" s="5">
        <f>IF(Records!L153="","",6-Records!L153)</f>
        <v>3</v>
      </c>
      <c r="H153" s="5">
        <f>IF(Records!N153="","",6-Records!N153)</f>
        <v>3</v>
      </c>
      <c r="I153" s="5">
        <f>IF(COUNT(Records!E153:J153)&lt;6,"",AVERAGE(Records!E153,Records!F153,E153,Records!H153,F153,Records!J153))</f>
        <v>3.5</v>
      </c>
      <c r="J153" s="5">
        <f>IF(COUNT(Records!K153:N153)&lt;4,"",AVERAGE(Records!K153,G153,Records!M153,H153))</f>
        <v>3.25</v>
      </c>
      <c r="K153" s="5">
        <f>IF(COUNT(Records!O153:Q153)&lt;3,"",AVERAGE(Records!O153:Q153))</f>
        <v>4.33333333333333</v>
      </c>
      <c r="L153" s="5">
        <f>Records!U153</f>
        <v>139.8</v>
      </c>
      <c r="M153" s="3">
        <f>153</f>
        <v>153</v>
      </c>
      <c r="N153" s="3"/>
      <c r="O153" s="3"/>
      <c r="P153" s="3"/>
      <c r="Q153" s="3"/>
      <c r="R153" s="3"/>
      <c r="S153" s="3"/>
      <c r="T153" s="3"/>
      <c r="U153" s="3"/>
      <c r="V153" s="3"/>
    </row>
    <row r="154" spans="1:22">
      <c r="A154" s="3" t="str">
        <f>Records!A154</f>
        <v>P002</v>
      </c>
      <c r="B154" s="3">
        <f>Records!B154</f>
        <v>1</v>
      </c>
      <c r="C154" s="3" t="str">
        <f>Records!C154</f>
        <v>方法B</v>
      </c>
      <c r="D154" s="3" t="str">
        <f>Records!D154</f>
        <v>One-Euro</v>
      </c>
      <c r="E154" s="5">
        <f>IF(Records!G154="","",6-Records!G154)</f>
        <v>5</v>
      </c>
      <c r="F154" s="5">
        <f>IF(Records!I154="","",6-Records!I154)</f>
        <v>5</v>
      </c>
      <c r="G154" s="5">
        <f>IF(Records!L154="","",6-Records!L154)</f>
        <v>4</v>
      </c>
      <c r="H154" s="5">
        <f>IF(Records!N154="","",6-Records!N154)</f>
        <v>4</v>
      </c>
      <c r="I154" s="5">
        <f>IF(COUNT(Records!E154:J154)&lt;6,"",AVERAGE(Records!E154,Records!F154,E154,Records!H154,F154,Records!J154))</f>
        <v>4.66666666666667</v>
      </c>
      <c r="J154" s="5">
        <f>IF(COUNT(Records!K154:N154)&lt;4,"",AVERAGE(Records!K154,G154,Records!M154,H154))</f>
        <v>4</v>
      </c>
      <c r="K154" s="5">
        <f>IF(COUNT(Records!O154:Q154)&lt;3,"",AVERAGE(Records!O154:Q154))</f>
        <v>5.66666666666667</v>
      </c>
      <c r="L154" s="5">
        <f>Records!U154</f>
        <v>130.2</v>
      </c>
      <c r="M154" s="3">
        <f>154</f>
        <v>154</v>
      </c>
      <c r="N154" s="3"/>
      <c r="O154" s="3"/>
      <c r="P154" s="3"/>
      <c r="Q154" s="3"/>
      <c r="R154" s="3"/>
      <c r="S154" s="3"/>
      <c r="T154" s="3"/>
      <c r="U154" s="3"/>
      <c r="V154" s="3"/>
    </row>
    <row r="155" spans="1:22">
      <c r="A155" s="3" t="str">
        <f>Records!A155</f>
        <v>P002</v>
      </c>
      <c r="B155" s="3">
        <f>Records!B155</f>
        <v>2</v>
      </c>
      <c r="C155" s="3" t="str">
        <f>Records!C155</f>
        <v>方法A</v>
      </c>
      <c r="D155" s="3" t="str">
        <f>Records!D155</f>
        <v>EgoAnchor</v>
      </c>
      <c r="E155" s="5">
        <f>IF(Records!G155="","",6-Records!G155)</f>
        <v>5</v>
      </c>
      <c r="F155" s="5">
        <f>IF(Records!I155="","",6-Records!I155)</f>
        <v>5</v>
      </c>
      <c r="G155" s="5">
        <f>IF(Records!L155="","",6-Records!L155)</f>
        <v>5</v>
      </c>
      <c r="H155" s="5">
        <f>IF(Records!N155="","",6-Records!N155)</f>
        <v>5</v>
      </c>
      <c r="I155" s="5">
        <f>IF(COUNT(Records!E155:J155)&lt;6,"",AVERAGE(Records!E155,Records!F155,E155,Records!H155,F155,Records!J155))</f>
        <v>4.83333333333333</v>
      </c>
      <c r="J155" s="5">
        <f>IF(COUNT(Records!K155:N155)&lt;4,"",AVERAGE(Records!K155,G155,Records!M155,H155))</f>
        <v>4.75</v>
      </c>
      <c r="K155" s="5">
        <f>IF(COUNT(Records!O155:Q155)&lt;3,"",AVERAGE(Records!O155:Q155))</f>
        <v>6.66666666666667</v>
      </c>
      <c r="L155" s="5">
        <f>Records!U155</f>
        <v>136</v>
      </c>
      <c r="M155" s="3">
        <f>155</f>
        <v>155</v>
      </c>
      <c r="N155" s="3"/>
      <c r="O155" s="3"/>
      <c r="P155" s="3"/>
      <c r="Q155" s="3"/>
      <c r="R155" s="3"/>
      <c r="S155" s="3"/>
      <c r="T155" s="3"/>
      <c r="U155" s="3"/>
      <c r="V155" s="3"/>
    </row>
    <row r="156" spans="1:22">
      <c r="A156" s="3" t="str">
        <f>Records!A156</f>
        <v>P003</v>
      </c>
      <c r="B156" s="3">
        <f>Records!B156</f>
        <v>1</v>
      </c>
      <c r="C156" s="3" t="str">
        <f>Records!C156</f>
        <v>方法B</v>
      </c>
      <c r="D156" s="3" t="str">
        <f>Records!D156</f>
        <v>EgoAnchor</v>
      </c>
      <c r="E156" s="5">
        <f>IF(Records!G156="","",6-Records!G156)</f>
        <v>5</v>
      </c>
      <c r="F156" s="5">
        <f>IF(Records!I156="","",6-Records!I156)</f>
        <v>5</v>
      </c>
      <c r="G156" s="5">
        <f>IF(Records!L156="","",6-Records!L156)</f>
        <v>5</v>
      </c>
      <c r="H156" s="5">
        <f>IF(Records!N156="","",6-Records!N156)</f>
        <v>5</v>
      </c>
      <c r="I156" s="5">
        <f>IF(COUNT(Records!E156:J156)&lt;6,"",AVERAGE(Records!E156,Records!F156,E156,Records!H156,F156,Records!J156))</f>
        <v>5</v>
      </c>
      <c r="J156" s="5">
        <f>IF(COUNT(Records!K156:N156)&lt;4,"",AVERAGE(Records!K156,G156,Records!M156,H156))</f>
        <v>5</v>
      </c>
      <c r="K156" s="5">
        <f>IF(COUNT(Records!O156:Q156)&lt;3,"",AVERAGE(Records!O156:Q156))</f>
        <v>7</v>
      </c>
      <c r="L156" s="5">
        <f>Records!U156</f>
        <v>132.1</v>
      </c>
      <c r="M156" s="3">
        <f>156</f>
        <v>156</v>
      </c>
      <c r="N156" s="3"/>
      <c r="O156" s="3"/>
      <c r="P156" s="3"/>
      <c r="Q156" s="3"/>
      <c r="R156" s="3"/>
      <c r="S156" s="3"/>
      <c r="T156" s="3"/>
      <c r="U156" s="3"/>
      <c r="V156" s="3"/>
    </row>
    <row r="157" spans="1:22">
      <c r="A157" s="3" t="str">
        <f>Records!A157</f>
        <v>P003</v>
      </c>
      <c r="B157" s="3">
        <f>Records!B157</f>
        <v>2</v>
      </c>
      <c r="C157" s="3" t="str">
        <f>Records!C157</f>
        <v>方法A</v>
      </c>
      <c r="D157" s="3" t="str">
        <f>Records!D157</f>
        <v>One-Euro</v>
      </c>
      <c r="E157" s="5">
        <f>IF(Records!G157="","",6-Records!G157)</f>
        <v>5</v>
      </c>
      <c r="F157" s="5">
        <f>IF(Records!I157="","",6-Records!I157)</f>
        <v>5</v>
      </c>
      <c r="G157" s="5">
        <f>IF(Records!L157="","",6-Records!L157)</f>
        <v>5</v>
      </c>
      <c r="H157" s="5">
        <f>IF(Records!N157="","",6-Records!N157)</f>
        <v>4</v>
      </c>
      <c r="I157" s="5">
        <f>IF(COUNT(Records!E157:J157)&lt;6,"",AVERAGE(Records!E157,Records!F157,E157,Records!H157,F157,Records!J157))</f>
        <v>5</v>
      </c>
      <c r="J157" s="5">
        <f>IF(COUNT(Records!K157:N157)&lt;4,"",AVERAGE(Records!K157,G157,Records!M157,H157))</f>
        <v>4.25</v>
      </c>
      <c r="K157" s="5">
        <f>IF(COUNT(Records!O157:Q157)&lt;3,"",AVERAGE(Records!O157:Q157))</f>
        <v>5.66666666666667</v>
      </c>
      <c r="L157" s="5">
        <f>Records!U157</f>
        <v>135.1</v>
      </c>
      <c r="M157" s="3">
        <f>157</f>
        <v>157</v>
      </c>
      <c r="N157" s="3"/>
      <c r="O157" s="3"/>
      <c r="P157" s="3"/>
      <c r="Q157" s="3"/>
      <c r="R157" s="3"/>
      <c r="S157" s="3"/>
      <c r="T157" s="3"/>
      <c r="U157" s="3"/>
      <c r="V157" s="3"/>
    </row>
    <row r="158" spans="1:22">
      <c r="A158" s="3" t="str">
        <f>Records!A158</f>
        <v>P004</v>
      </c>
      <c r="B158" s="3">
        <f>Records!B158</f>
        <v>1</v>
      </c>
      <c r="C158" s="3" t="str">
        <f>Records!C158</f>
        <v>方法A</v>
      </c>
      <c r="D158" s="3" t="str">
        <f>Records!D158</f>
        <v>One-Euro</v>
      </c>
      <c r="E158" s="5">
        <f>IF(Records!G158="","",6-Records!G158)</f>
        <v>5</v>
      </c>
      <c r="F158" s="5">
        <f>IF(Records!I158="","",6-Records!I158)</f>
        <v>5</v>
      </c>
      <c r="G158" s="5">
        <f>IF(Records!L158="","",6-Records!L158)</f>
        <v>4</v>
      </c>
      <c r="H158" s="5">
        <f>IF(Records!N158="","",6-Records!N158)</f>
        <v>4</v>
      </c>
      <c r="I158" s="5">
        <f>IF(COUNT(Records!E158:J158)&lt;6,"",AVERAGE(Records!E158,Records!F158,E158,Records!H158,F158,Records!J158))</f>
        <v>4.5</v>
      </c>
      <c r="J158" s="5">
        <f>IF(COUNT(Records!K158:N158)&lt;4,"",AVERAGE(Records!K158,G158,Records!M158,H158))</f>
        <v>4</v>
      </c>
      <c r="K158" s="5">
        <f>IF(COUNT(Records!O158:Q158)&lt;3,"",AVERAGE(Records!O158:Q158))</f>
        <v>5</v>
      </c>
      <c r="L158" s="5">
        <f>Records!U158</f>
        <v>141.8</v>
      </c>
      <c r="M158" s="3">
        <f>158</f>
        <v>158</v>
      </c>
      <c r="N158" s="3"/>
      <c r="O158" s="3"/>
      <c r="P158" s="3"/>
      <c r="Q158" s="3"/>
      <c r="R158" s="3"/>
      <c r="S158" s="3"/>
      <c r="T158" s="3"/>
      <c r="U158" s="3"/>
      <c r="V158" s="3"/>
    </row>
    <row r="159" spans="1:22">
      <c r="A159" s="3" t="str">
        <f>Records!A159</f>
        <v>P004</v>
      </c>
      <c r="B159" s="3">
        <f>Records!B159</f>
        <v>2</v>
      </c>
      <c r="C159" s="3" t="str">
        <f>Records!C159</f>
        <v>方法B</v>
      </c>
      <c r="D159" s="3" t="str">
        <f>Records!D159</f>
        <v>EgoAnchor</v>
      </c>
      <c r="E159" s="5">
        <f>IF(Records!G159="","",6-Records!G159)</f>
        <v>5</v>
      </c>
      <c r="F159" s="5">
        <f>IF(Records!I159="","",6-Records!I159)</f>
        <v>4</v>
      </c>
      <c r="G159" s="5">
        <f>IF(Records!L159="","",6-Records!L159)</f>
        <v>4</v>
      </c>
      <c r="H159" s="5">
        <f>IF(Records!N159="","",6-Records!N159)</f>
        <v>4</v>
      </c>
      <c r="I159" s="5">
        <f>IF(COUNT(Records!E159:J159)&lt;6,"",AVERAGE(Records!E159,Records!F159,E159,Records!H159,F159,Records!J159))</f>
        <v>4.5</v>
      </c>
      <c r="J159" s="5">
        <f>IF(COUNT(Records!K159:N159)&lt;4,"",AVERAGE(Records!K159,G159,Records!M159,H159))</f>
        <v>4</v>
      </c>
      <c r="K159" s="5">
        <f>IF(COUNT(Records!O159:Q159)&lt;3,"",AVERAGE(Records!O159:Q159))</f>
        <v>5</v>
      </c>
      <c r="L159" s="5">
        <f>Records!U159</f>
        <v>149.7</v>
      </c>
      <c r="M159" s="3">
        <f>159</f>
        <v>159</v>
      </c>
      <c r="N159" s="3"/>
      <c r="O159" s="3"/>
      <c r="P159" s="3"/>
      <c r="Q159" s="3"/>
      <c r="R159" s="3"/>
      <c r="S159" s="3"/>
      <c r="T159" s="3"/>
      <c r="U159" s="3"/>
      <c r="V159" s="3"/>
    </row>
    <row r="160" spans="1:22">
      <c r="A160" s="3" t="str">
        <f>Records!A160</f>
        <v>P005</v>
      </c>
      <c r="B160" s="3">
        <f>Records!B160</f>
        <v>1</v>
      </c>
      <c r="C160" s="3" t="str">
        <f>Records!C160</f>
        <v>方法A</v>
      </c>
      <c r="D160" s="3" t="str">
        <f>Records!D160</f>
        <v>EgoAnchor</v>
      </c>
      <c r="E160" s="5">
        <f>IF(Records!G160="","",6-Records!G160)</f>
        <v>5</v>
      </c>
      <c r="F160" s="5">
        <f>IF(Records!I160="","",6-Records!I160)</f>
        <v>4</v>
      </c>
      <c r="G160" s="5">
        <f>IF(Records!L160="","",6-Records!L160)</f>
        <v>5</v>
      </c>
      <c r="H160" s="5">
        <f>IF(Records!N160="","",6-Records!N160)</f>
        <v>5</v>
      </c>
      <c r="I160" s="5">
        <f>IF(COUNT(Records!E160:J160)&lt;6,"",AVERAGE(Records!E160,Records!F160,E160,Records!H160,F160,Records!J160))</f>
        <v>4.5</v>
      </c>
      <c r="J160" s="5">
        <f>IF(COUNT(Records!K160:N160)&lt;4,"",AVERAGE(Records!K160,G160,Records!M160,H160))</f>
        <v>5</v>
      </c>
      <c r="K160" s="5">
        <f>IF(COUNT(Records!O160:Q160)&lt;3,"",AVERAGE(Records!O160:Q160))</f>
        <v>5.66666666666667</v>
      </c>
      <c r="L160" s="5">
        <f>Records!U160</f>
        <v>118.1</v>
      </c>
      <c r="M160" s="3">
        <f>160</f>
        <v>160</v>
      </c>
      <c r="N160" s="3"/>
      <c r="O160" s="3"/>
      <c r="P160" s="3"/>
      <c r="Q160" s="3"/>
      <c r="R160" s="3"/>
      <c r="S160" s="3"/>
      <c r="T160" s="3"/>
      <c r="U160" s="3"/>
      <c r="V160" s="3"/>
    </row>
    <row r="161" spans="1:22">
      <c r="A161" s="3" t="str">
        <f>Records!A161</f>
        <v>P005</v>
      </c>
      <c r="B161" s="3">
        <f>Records!B161</f>
        <v>2</v>
      </c>
      <c r="C161" s="3" t="str">
        <f>Records!C161</f>
        <v>方法B</v>
      </c>
      <c r="D161" s="3" t="str">
        <f>Records!D161</f>
        <v>One-Euro</v>
      </c>
      <c r="E161" s="5">
        <f>IF(Records!G161="","",6-Records!G161)</f>
        <v>4</v>
      </c>
      <c r="F161" s="5">
        <f>IF(Records!I161="","",6-Records!I161)</f>
        <v>3</v>
      </c>
      <c r="G161" s="5">
        <f>IF(Records!L161="","",6-Records!L161)</f>
        <v>4</v>
      </c>
      <c r="H161" s="5">
        <f>IF(Records!N161="","",6-Records!N161)</f>
        <v>4</v>
      </c>
      <c r="I161" s="5">
        <f>IF(COUNT(Records!E161:J161)&lt;6,"",AVERAGE(Records!E161,Records!F161,E161,Records!H161,F161,Records!J161))</f>
        <v>3.5</v>
      </c>
      <c r="J161" s="5">
        <f>IF(COUNT(Records!K161:N161)&lt;4,"",AVERAGE(Records!K161,G161,Records!M161,H161))</f>
        <v>4</v>
      </c>
      <c r="K161" s="5">
        <f>IF(COUNT(Records!O161:Q161)&lt;3,"",AVERAGE(Records!O161:Q161))</f>
        <v>4.66666666666667</v>
      </c>
      <c r="L161" s="5">
        <f>Records!U161</f>
        <v>106.4</v>
      </c>
      <c r="M161" s="3">
        <f>161</f>
        <v>161</v>
      </c>
      <c r="N161" s="3"/>
      <c r="O161" s="3"/>
      <c r="P161" s="3"/>
      <c r="Q161" s="3"/>
      <c r="R161" s="3"/>
      <c r="S161" s="3"/>
      <c r="T161" s="3"/>
      <c r="U161" s="3"/>
      <c r="V161" s="3"/>
    </row>
    <row r="162" spans="1:22">
      <c r="A162" s="3" t="str">
        <f>Records!A162</f>
        <v>P006</v>
      </c>
      <c r="B162" s="3">
        <f>Records!B162</f>
        <v>1</v>
      </c>
      <c r="C162" s="3" t="str">
        <f>Records!C162</f>
        <v>方法B</v>
      </c>
      <c r="D162" s="3" t="str">
        <f>Records!D162</f>
        <v>One-Euro</v>
      </c>
      <c r="E162" s="5">
        <f>IF(Records!G162="","",6-Records!G162)</f>
        <v>4</v>
      </c>
      <c r="F162" s="5">
        <f>IF(Records!I162="","",6-Records!I162)</f>
        <v>4</v>
      </c>
      <c r="G162" s="5">
        <f>IF(Records!L162="","",6-Records!L162)</f>
        <v>3</v>
      </c>
      <c r="H162" s="5">
        <f>IF(Records!N162="","",6-Records!N162)</f>
        <v>3</v>
      </c>
      <c r="I162" s="5">
        <f>IF(COUNT(Records!E162:J162)&lt;6,"",AVERAGE(Records!E162,Records!F162,E162,Records!H162,F162,Records!J162))</f>
        <v>3.66666666666667</v>
      </c>
      <c r="J162" s="5">
        <f>IF(COUNT(Records!K162:N162)&lt;4,"",AVERAGE(Records!K162,G162,Records!M162,H162))</f>
        <v>3.25</v>
      </c>
      <c r="K162" s="5">
        <f>IF(COUNT(Records!O162:Q162)&lt;3,"",AVERAGE(Records!O162:Q162))</f>
        <v>4.66666666666667</v>
      </c>
      <c r="L162" s="5">
        <f>Records!U162</f>
        <v>113.3</v>
      </c>
      <c r="M162" s="3">
        <f>162</f>
        <v>162</v>
      </c>
      <c r="N162" s="3"/>
      <c r="O162" s="3"/>
      <c r="P162" s="3"/>
      <c r="Q162" s="3"/>
      <c r="R162" s="3"/>
      <c r="S162" s="3"/>
      <c r="T162" s="3"/>
      <c r="U162" s="3"/>
      <c r="V162" s="3"/>
    </row>
    <row r="163" spans="1:22">
      <c r="A163" s="3" t="str">
        <f>Records!A163</f>
        <v>P006</v>
      </c>
      <c r="B163" s="3">
        <f>Records!B163</f>
        <v>2</v>
      </c>
      <c r="C163" s="3" t="str">
        <f>Records!C163</f>
        <v>方法A</v>
      </c>
      <c r="D163" s="3" t="str">
        <f>Records!D163</f>
        <v>EgoAnchor</v>
      </c>
      <c r="E163" s="5">
        <f>IF(Records!G163="","",6-Records!G163)</f>
        <v>4</v>
      </c>
      <c r="F163" s="5">
        <f>IF(Records!I163="","",6-Records!I163)</f>
        <v>4</v>
      </c>
      <c r="G163" s="5">
        <f>IF(Records!L163="","",6-Records!L163)</f>
        <v>4</v>
      </c>
      <c r="H163" s="5">
        <f>IF(Records!N163="","",6-Records!N163)</f>
        <v>4</v>
      </c>
      <c r="I163" s="5">
        <f>IF(COUNT(Records!E163:J163)&lt;6,"",AVERAGE(Records!E163,Records!F163,E163,Records!H163,F163,Records!J163))</f>
        <v>3.83333333333333</v>
      </c>
      <c r="J163" s="5">
        <f>IF(COUNT(Records!K163:N163)&lt;4,"",AVERAGE(Records!K163,G163,Records!M163,H163))</f>
        <v>3.75</v>
      </c>
      <c r="K163" s="5">
        <f>IF(COUNT(Records!O163:Q163)&lt;3,"",AVERAGE(Records!O163:Q163))</f>
        <v>4.66666666666667</v>
      </c>
      <c r="L163" s="5">
        <f>Records!U163</f>
        <v>103.3</v>
      </c>
      <c r="M163" s="3">
        <f>163</f>
        <v>163</v>
      </c>
      <c r="N163" s="3"/>
      <c r="O163" s="3"/>
      <c r="P163" s="3"/>
      <c r="Q163" s="3"/>
      <c r="R163" s="3"/>
      <c r="S163" s="3"/>
      <c r="T163" s="3"/>
      <c r="U163" s="3"/>
      <c r="V163" s="3"/>
    </row>
    <row r="164" spans="1:22">
      <c r="A164" s="3" t="str">
        <f>Records!A164</f>
        <v>P007</v>
      </c>
      <c r="B164" s="3">
        <f>Records!B164</f>
        <v>1</v>
      </c>
      <c r="C164" s="3" t="str">
        <f>Records!C164</f>
        <v>方法B</v>
      </c>
      <c r="D164" s="3" t="str">
        <f>Records!D164</f>
        <v>EgoAnchor</v>
      </c>
      <c r="E164" s="5">
        <f>IF(Records!G164="","",6-Records!G164)</f>
        <v>5</v>
      </c>
      <c r="F164" s="5">
        <f>IF(Records!I164="","",6-Records!I164)</f>
        <v>5</v>
      </c>
      <c r="G164" s="5">
        <f>IF(Records!L164="","",6-Records!L164)</f>
        <v>4</v>
      </c>
      <c r="H164" s="5">
        <f>IF(Records!N164="","",6-Records!N164)</f>
        <v>4</v>
      </c>
      <c r="I164" s="5">
        <f>IF(COUNT(Records!E164:J164)&lt;6,"",AVERAGE(Records!E164,Records!F164,E164,Records!H164,F164,Records!J164))</f>
        <v>4.83333333333333</v>
      </c>
      <c r="J164" s="5">
        <f>IF(COUNT(Records!K164:N164)&lt;4,"",AVERAGE(Records!K164,G164,Records!M164,H164))</f>
        <v>4</v>
      </c>
      <c r="K164" s="5">
        <f>IF(COUNT(Records!O164:Q164)&lt;3,"",AVERAGE(Records!O164:Q164))</f>
        <v>5.66666666666667</v>
      </c>
      <c r="L164" s="5">
        <f>Records!U164</f>
        <v>114.6</v>
      </c>
      <c r="M164" s="3">
        <f>164</f>
        <v>164</v>
      </c>
      <c r="N164" s="3"/>
      <c r="O164" s="3"/>
      <c r="P164" s="3"/>
      <c r="Q164" s="3"/>
      <c r="R164" s="3"/>
      <c r="S164" s="3"/>
      <c r="T164" s="3"/>
      <c r="U164" s="3"/>
      <c r="V164" s="3"/>
    </row>
    <row r="165" spans="1:22">
      <c r="A165" s="3" t="str">
        <f>Records!A165</f>
        <v>P007</v>
      </c>
      <c r="B165" s="3">
        <f>Records!B165</f>
        <v>2</v>
      </c>
      <c r="C165" s="3" t="str">
        <f>Records!C165</f>
        <v>方法A</v>
      </c>
      <c r="D165" s="3" t="str">
        <f>Records!D165</f>
        <v>One-Euro</v>
      </c>
      <c r="E165" s="5">
        <f>IF(Records!G165="","",6-Records!G165)</f>
        <v>4</v>
      </c>
      <c r="F165" s="5">
        <f>IF(Records!I165="","",6-Records!I165)</f>
        <v>4</v>
      </c>
      <c r="G165" s="5">
        <f>IF(Records!L165="","",6-Records!L165)</f>
        <v>4</v>
      </c>
      <c r="H165" s="5">
        <f>IF(Records!N165="","",6-Records!N165)</f>
        <v>4</v>
      </c>
      <c r="I165" s="5">
        <f>IF(COUNT(Records!E165:J165)&lt;6,"",AVERAGE(Records!E165,Records!F165,E165,Records!H165,F165,Records!J165))</f>
        <v>4.16666666666667</v>
      </c>
      <c r="J165" s="5">
        <f>IF(COUNT(Records!K165:N165)&lt;4,"",AVERAGE(Records!K165,G165,Records!M165,H165))</f>
        <v>4.25</v>
      </c>
      <c r="K165" s="5">
        <f>IF(COUNT(Records!O165:Q165)&lt;3,"",AVERAGE(Records!O165:Q165))</f>
        <v>5</v>
      </c>
      <c r="L165" s="5">
        <f>Records!U165</f>
        <v>145.7</v>
      </c>
      <c r="M165" s="3">
        <f>165</f>
        <v>165</v>
      </c>
      <c r="N165" s="3"/>
      <c r="O165" s="3"/>
      <c r="P165" s="3"/>
      <c r="Q165" s="3"/>
      <c r="R165" s="3"/>
      <c r="S165" s="3"/>
      <c r="T165" s="3"/>
      <c r="U165" s="3"/>
      <c r="V165" s="3"/>
    </row>
    <row r="166" spans="1:22">
      <c r="A166" s="3" t="str">
        <f>Records!A166</f>
        <v>P008</v>
      </c>
      <c r="B166" s="3">
        <f>Records!B166</f>
        <v>1</v>
      </c>
      <c r="C166" s="3" t="str">
        <f>Records!C166</f>
        <v>方法A</v>
      </c>
      <c r="D166" s="3" t="str">
        <f>Records!D166</f>
        <v>One-Euro</v>
      </c>
      <c r="E166" s="5">
        <f>IF(Records!G166="","",6-Records!G166)</f>
        <v>5</v>
      </c>
      <c r="F166" s="5">
        <f>IF(Records!I166="","",6-Records!I166)</f>
        <v>4</v>
      </c>
      <c r="G166" s="5">
        <f>IF(Records!L166="","",6-Records!L166)</f>
        <v>5</v>
      </c>
      <c r="H166" s="5">
        <f>IF(Records!N166="","",6-Records!N166)</f>
        <v>4</v>
      </c>
      <c r="I166" s="5">
        <f>IF(COUNT(Records!E166:J166)&lt;6,"",AVERAGE(Records!E166,Records!F166,E166,Records!H166,F166,Records!J166))</f>
        <v>4.66666666666667</v>
      </c>
      <c r="J166" s="5">
        <f>IF(COUNT(Records!K166:N166)&lt;4,"",AVERAGE(Records!K166,G166,Records!M166,H166))</f>
        <v>4.25</v>
      </c>
      <c r="K166" s="5">
        <f>IF(COUNT(Records!O166:Q166)&lt;3,"",AVERAGE(Records!O166:Q166))</f>
        <v>6.33333333333333</v>
      </c>
      <c r="L166" s="5">
        <f>Records!U166</f>
        <v>122</v>
      </c>
      <c r="M166" s="3">
        <f>166</f>
        <v>166</v>
      </c>
      <c r="N166" s="3"/>
      <c r="O166" s="3"/>
      <c r="P166" s="3"/>
      <c r="Q166" s="3"/>
      <c r="R166" s="3"/>
      <c r="S166" s="3"/>
      <c r="T166" s="3"/>
      <c r="U166" s="3"/>
      <c r="V166" s="3"/>
    </row>
    <row r="167" spans="1:22">
      <c r="A167" s="3" t="str">
        <f>Records!A167</f>
        <v>P008</v>
      </c>
      <c r="B167" s="3">
        <f>Records!B167</f>
        <v>2</v>
      </c>
      <c r="C167" s="3" t="str">
        <f>Records!C167</f>
        <v>方法B</v>
      </c>
      <c r="D167" s="3" t="str">
        <f>Records!D167</f>
        <v>EgoAnchor</v>
      </c>
      <c r="E167" s="5">
        <f>IF(Records!G167="","",6-Records!G167)</f>
        <v>4</v>
      </c>
      <c r="F167" s="5">
        <f>IF(Records!I167="","",6-Records!I167)</f>
        <v>5</v>
      </c>
      <c r="G167" s="5">
        <f>IF(Records!L167="","",6-Records!L167)</f>
        <v>4</v>
      </c>
      <c r="H167" s="5">
        <f>IF(Records!N167="","",6-Records!N167)</f>
        <v>5</v>
      </c>
      <c r="I167" s="5">
        <f>IF(COUNT(Records!E167:J167)&lt;6,"",AVERAGE(Records!E167,Records!F167,E167,Records!H167,F167,Records!J167))</f>
        <v>4.83333333333333</v>
      </c>
      <c r="J167" s="5">
        <f>IF(COUNT(Records!K167:N167)&lt;4,"",AVERAGE(Records!K167,G167,Records!M167,H167))</f>
        <v>4.5</v>
      </c>
      <c r="K167" s="5">
        <f>IF(COUNT(Records!O167:Q167)&lt;3,"",AVERAGE(Records!O167:Q167))</f>
        <v>7</v>
      </c>
      <c r="L167" s="5">
        <f>Records!U167</f>
        <v>107.2</v>
      </c>
      <c r="M167" s="3">
        <f>167</f>
        <v>167</v>
      </c>
      <c r="N167" s="3"/>
      <c r="O167" s="3"/>
      <c r="P167" s="3"/>
      <c r="Q167" s="3"/>
      <c r="R167" s="3"/>
      <c r="S167" s="3"/>
      <c r="T167" s="3"/>
      <c r="U167" s="3"/>
      <c r="V167" s="3"/>
    </row>
    <row r="168" spans="1:22">
      <c r="A168" s="3" t="str">
        <f>Records!A168</f>
        <v>P009</v>
      </c>
      <c r="B168" s="3">
        <f>Records!B168</f>
        <v>1</v>
      </c>
      <c r="C168" s="3" t="str">
        <f>Records!C168</f>
        <v>方法A</v>
      </c>
      <c r="D168" s="3" t="str">
        <f>Records!D168</f>
        <v>EgoAnchor</v>
      </c>
      <c r="E168" s="5">
        <f>IF(Records!G168="","",6-Records!G168)</f>
        <v>4</v>
      </c>
      <c r="F168" s="5">
        <f>IF(Records!I168="","",6-Records!I168)</f>
        <v>4</v>
      </c>
      <c r="G168" s="5">
        <f>IF(Records!L168="","",6-Records!L168)</f>
        <v>5</v>
      </c>
      <c r="H168" s="5">
        <f>IF(Records!N168="","",6-Records!N168)</f>
        <v>4</v>
      </c>
      <c r="I168" s="5">
        <f>IF(COUNT(Records!E168:J168)&lt;6,"",AVERAGE(Records!E168,Records!F168,E168,Records!H168,F168,Records!J168))</f>
        <v>3.83333333333333</v>
      </c>
      <c r="J168" s="5">
        <f>IF(COUNT(Records!K168:N168)&lt;4,"",AVERAGE(Records!K168,G168,Records!M168,H168))</f>
        <v>4.25</v>
      </c>
      <c r="K168" s="5">
        <f>IF(COUNT(Records!O168:Q168)&lt;3,"",AVERAGE(Records!O168:Q168))</f>
        <v>5</v>
      </c>
      <c r="L168" s="5">
        <f>Records!U168</f>
        <v>113.6</v>
      </c>
      <c r="M168" s="3">
        <f>168</f>
        <v>168</v>
      </c>
      <c r="N168" s="3"/>
      <c r="O168" s="3"/>
      <c r="P168" s="3"/>
      <c r="Q168" s="3"/>
      <c r="R168" s="3"/>
      <c r="S168" s="3"/>
      <c r="T168" s="3"/>
      <c r="U168" s="3"/>
      <c r="V168" s="3"/>
    </row>
    <row r="169" spans="1:22">
      <c r="A169" s="3" t="str">
        <f>Records!A169</f>
        <v>P009</v>
      </c>
      <c r="B169" s="3">
        <f>Records!B169</f>
        <v>2</v>
      </c>
      <c r="C169" s="3" t="str">
        <f>Records!C169</f>
        <v>方法B</v>
      </c>
      <c r="D169" s="3" t="str">
        <f>Records!D169</f>
        <v>One-Euro</v>
      </c>
      <c r="E169" s="5">
        <f>IF(Records!G169="","",6-Records!G169)</f>
        <v>3</v>
      </c>
      <c r="F169" s="5">
        <f>IF(Records!I169="","",6-Records!I169)</f>
        <v>4</v>
      </c>
      <c r="G169" s="5">
        <f>IF(Records!L169="","",6-Records!L169)</f>
        <v>4</v>
      </c>
      <c r="H169" s="5">
        <f>IF(Records!N169="","",6-Records!N169)</f>
        <v>3</v>
      </c>
      <c r="I169" s="5">
        <f>IF(COUNT(Records!E169:J169)&lt;6,"",AVERAGE(Records!E169,Records!F169,E169,Records!H169,F169,Records!J169))</f>
        <v>3.16666666666667</v>
      </c>
      <c r="J169" s="5">
        <f>IF(COUNT(Records!K169:N169)&lt;4,"",AVERAGE(Records!K169,G169,Records!M169,H169))</f>
        <v>3.75</v>
      </c>
      <c r="K169" s="5">
        <f>IF(COUNT(Records!O169:Q169)&lt;3,"",AVERAGE(Records!O169:Q169))</f>
        <v>4.66666666666667</v>
      </c>
      <c r="L169" s="5">
        <f>Records!U169</f>
        <v>136.7</v>
      </c>
      <c r="M169" s="3">
        <f>169</f>
        <v>169</v>
      </c>
      <c r="N169" s="3"/>
      <c r="O169" s="3"/>
      <c r="P169" s="3"/>
      <c r="Q169" s="3"/>
      <c r="R169" s="3"/>
      <c r="S169" s="3"/>
      <c r="T169" s="3"/>
      <c r="U169" s="3"/>
      <c r="V169" s="3"/>
    </row>
    <row r="170" spans="1:22">
      <c r="A170" s="3" t="str">
        <f>Records!A170</f>
        <v>P010</v>
      </c>
      <c r="B170" s="3">
        <f>Records!B170</f>
        <v>1</v>
      </c>
      <c r="C170" s="3" t="str">
        <f>Records!C170</f>
        <v>方法B</v>
      </c>
      <c r="D170" s="3" t="str">
        <f>Records!D170</f>
        <v>One-Euro</v>
      </c>
      <c r="E170" s="5">
        <f>IF(Records!G170="","",6-Records!G170)</f>
        <v>4</v>
      </c>
      <c r="F170" s="5">
        <f>IF(Records!I170="","",6-Records!I170)</f>
        <v>5</v>
      </c>
      <c r="G170" s="5">
        <f>IF(Records!L170="","",6-Records!L170)</f>
        <v>4</v>
      </c>
      <c r="H170" s="5">
        <f>IF(Records!N170="","",6-Records!N170)</f>
        <v>4</v>
      </c>
      <c r="I170" s="5">
        <f>IF(COUNT(Records!E170:J170)&lt;6,"",AVERAGE(Records!E170,Records!F170,E170,Records!H170,F170,Records!J170))</f>
        <v>4.33333333333333</v>
      </c>
      <c r="J170" s="5">
        <f>IF(COUNT(Records!K170:N170)&lt;4,"",AVERAGE(Records!K170,G170,Records!M170,H170))</f>
        <v>3.75</v>
      </c>
      <c r="K170" s="5">
        <f>IF(COUNT(Records!O170:Q170)&lt;3,"",AVERAGE(Records!O170:Q170))</f>
        <v>6</v>
      </c>
      <c r="L170" s="5">
        <f>Records!U170</f>
        <v>144.9</v>
      </c>
      <c r="M170" s="3">
        <f>170</f>
        <v>170</v>
      </c>
      <c r="N170" s="3"/>
      <c r="O170" s="3"/>
      <c r="P170" s="3"/>
      <c r="Q170" s="3"/>
      <c r="R170" s="3"/>
      <c r="S170" s="3"/>
      <c r="T170" s="3"/>
      <c r="U170" s="3"/>
      <c r="V170" s="3"/>
    </row>
    <row r="171" spans="1:22">
      <c r="A171" s="3" t="str">
        <f>Records!A171</f>
        <v>P010</v>
      </c>
      <c r="B171" s="3">
        <f>Records!B171</f>
        <v>2</v>
      </c>
      <c r="C171" s="3" t="str">
        <f>Records!C171</f>
        <v>方法A</v>
      </c>
      <c r="D171" s="3" t="str">
        <f>Records!D171</f>
        <v>EgoAnchor</v>
      </c>
      <c r="E171" s="5">
        <f>IF(Records!G171="","",6-Records!G171)</f>
        <v>4</v>
      </c>
      <c r="F171" s="5">
        <f>IF(Records!I171="","",6-Records!I171)</f>
        <v>5</v>
      </c>
      <c r="G171" s="5">
        <f>IF(Records!L171="","",6-Records!L171)</f>
        <v>5</v>
      </c>
      <c r="H171" s="5">
        <f>IF(Records!N171="","",6-Records!N171)</f>
        <v>4</v>
      </c>
      <c r="I171" s="5">
        <f>IF(COUNT(Records!E171:J171)&lt;6,"",AVERAGE(Records!E171,Records!F171,E171,Records!H171,F171,Records!J171))</f>
        <v>4.66666666666667</v>
      </c>
      <c r="J171" s="5">
        <f>IF(COUNT(Records!K171:N171)&lt;4,"",AVERAGE(Records!K171,G171,Records!M171,H171))</f>
        <v>4.25</v>
      </c>
      <c r="K171" s="5">
        <f>IF(COUNT(Records!O171:Q171)&lt;3,"",AVERAGE(Records!O171:Q171))</f>
        <v>5.66666666666667</v>
      </c>
      <c r="L171" s="5">
        <f>Records!U171</f>
        <v>110.7</v>
      </c>
      <c r="M171" s="3">
        <f>171</f>
        <v>171</v>
      </c>
      <c r="N171" s="3"/>
      <c r="O171" s="3"/>
      <c r="P171" s="3"/>
      <c r="Q171" s="3"/>
      <c r="R171" s="3"/>
      <c r="S171" s="3"/>
      <c r="T171" s="3"/>
      <c r="U171" s="3"/>
      <c r="V171" s="3"/>
    </row>
    <row r="172" spans="1:22">
      <c r="A172" s="3" t="str">
        <f>Records!A172</f>
        <v>P011</v>
      </c>
      <c r="B172" s="3">
        <f>Records!B172</f>
        <v>1</v>
      </c>
      <c r="C172" s="3" t="str">
        <f>Records!C172</f>
        <v>方法B</v>
      </c>
      <c r="D172" s="3" t="str">
        <f>Records!D172</f>
        <v>EgoAnchor</v>
      </c>
      <c r="E172" s="5">
        <f>IF(Records!G172="","",6-Records!G172)</f>
        <v>4</v>
      </c>
      <c r="F172" s="5">
        <f>IF(Records!I172="","",6-Records!I172)</f>
        <v>4</v>
      </c>
      <c r="G172" s="5">
        <f>IF(Records!L172="","",6-Records!L172)</f>
        <v>5</v>
      </c>
      <c r="H172" s="5">
        <f>IF(Records!N172="","",6-Records!N172)</f>
        <v>4</v>
      </c>
      <c r="I172" s="5">
        <f>IF(COUNT(Records!E172:J172)&lt;6,"",AVERAGE(Records!E172,Records!F172,E172,Records!H172,F172,Records!J172))</f>
        <v>4.16666666666667</v>
      </c>
      <c r="J172" s="5">
        <f>IF(COUNT(Records!K172:N172)&lt;4,"",AVERAGE(Records!K172,G172,Records!M172,H172))</f>
        <v>4</v>
      </c>
      <c r="K172" s="5">
        <f>IF(COUNT(Records!O172:Q172)&lt;3,"",AVERAGE(Records!O172:Q172))</f>
        <v>5.33333333333333</v>
      </c>
      <c r="L172" s="5">
        <f>Records!U172</f>
        <v>110.5</v>
      </c>
      <c r="M172" s="3">
        <f>172</f>
        <v>172</v>
      </c>
      <c r="N172" s="3"/>
      <c r="O172" s="3"/>
      <c r="P172" s="3"/>
      <c r="Q172" s="3"/>
      <c r="R172" s="3"/>
      <c r="S172" s="3"/>
      <c r="T172" s="3"/>
      <c r="U172" s="3"/>
      <c r="V172" s="3"/>
    </row>
    <row r="173" spans="1:22">
      <c r="A173" s="3" t="str">
        <f>Records!A173</f>
        <v>P011</v>
      </c>
      <c r="B173" s="3">
        <f>Records!B173</f>
        <v>2</v>
      </c>
      <c r="C173" s="3" t="str">
        <f>Records!C173</f>
        <v>方法A</v>
      </c>
      <c r="D173" s="3" t="str">
        <f>Records!D173</f>
        <v>One-Euro</v>
      </c>
      <c r="E173" s="5">
        <f>IF(Records!G173="","",6-Records!G173)</f>
        <v>4</v>
      </c>
      <c r="F173" s="5">
        <f>IF(Records!I173="","",6-Records!I173)</f>
        <v>4</v>
      </c>
      <c r="G173" s="5">
        <f>IF(Records!L173="","",6-Records!L173)</f>
        <v>4</v>
      </c>
      <c r="H173" s="5">
        <f>IF(Records!N173="","",6-Records!N173)</f>
        <v>5</v>
      </c>
      <c r="I173" s="5">
        <f>IF(COUNT(Records!E173:J173)&lt;6,"",AVERAGE(Records!E173,Records!F173,E173,Records!H173,F173,Records!J173))</f>
        <v>3.83333333333333</v>
      </c>
      <c r="J173" s="5">
        <f>IF(COUNT(Records!K173:N173)&lt;4,"",AVERAGE(Records!K173,G173,Records!M173,H173))</f>
        <v>4.25</v>
      </c>
      <c r="K173" s="5">
        <f>IF(COUNT(Records!O173:Q173)&lt;3,"",AVERAGE(Records!O173:Q173))</f>
        <v>5.33333333333333</v>
      </c>
      <c r="L173" s="5">
        <f>Records!U173</f>
        <v>127.8</v>
      </c>
      <c r="M173" s="3">
        <f>173</f>
        <v>173</v>
      </c>
      <c r="N173" s="3"/>
      <c r="O173" s="3"/>
      <c r="P173" s="3"/>
      <c r="Q173" s="3"/>
      <c r="R173" s="3"/>
      <c r="S173" s="3"/>
      <c r="T173" s="3"/>
      <c r="U173" s="3"/>
      <c r="V173" s="3"/>
    </row>
    <row r="174" spans="1:22">
      <c r="A174" s="3" t="str">
        <f>Records!A174</f>
        <v>P012</v>
      </c>
      <c r="B174" s="3">
        <f>Records!B174</f>
        <v>1</v>
      </c>
      <c r="C174" s="3" t="str">
        <f>Records!C174</f>
        <v>方法A</v>
      </c>
      <c r="D174" s="3" t="str">
        <f>Records!D174</f>
        <v>One-Euro</v>
      </c>
      <c r="E174" s="5">
        <f>IF(Records!G174="","",6-Records!G174)</f>
        <v>4</v>
      </c>
      <c r="F174" s="5">
        <f>IF(Records!I174="","",6-Records!I174)</f>
        <v>4</v>
      </c>
      <c r="G174" s="5">
        <f>IF(Records!L174="","",6-Records!L174)</f>
        <v>5</v>
      </c>
      <c r="H174" s="5">
        <f>IF(Records!N174="","",6-Records!N174)</f>
        <v>3</v>
      </c>
      <c r="I174" s="5">
        <f>IF(COUNT(Records!E174:J174)&lt;6,"",AVERAGE(Records!E174,Records!F174,E174,Records!H174,F174,Records!J174))</f>
        <v>4.33333333333333</v>
      </c>
      <c r="J174" s="5">
        <f>IF(COUNT(Records!K174:N174)&lt;4,"",AVERAGE(Records!K174,G174,Records!M174,H174))</f>
        <v>4</v>
      </c>
      <c r="K174" s="5">
        <f>IF(COUNT(Records!O174:Q174)&lt;3,"",AVERAGE(Records!O174:Q174))</f>
        <v>5.33333333333333</v>
      </c>
      <c r="L174" s="5">
        <f>Records!U174</f>
        <v>125.2</v>
      </c>
      <c r="M174" s="3">
        <f>174</f>
        <v>174</v>
      </c>
      <c r="N174" s="3"/>
      <c r="O174" s="3"/>
      <c r="P174" s="3"/>
      <c r="Q174" s="3"/>
      <c r="R174" s="3"/>
      <c r="S174" s="3"/>
      <c r="T174" s="3"/>
      <c r="U174" s="3"/>
      <c r="V174" s="3"/>
    </row>
    <row r="175" spans="1:22">
      <c r="A175" s="3" t="str">
        <f>Records!A175</f>
        <v>P012</v>
      </c>
      <c r="B175" s="3">
        <f>Records!B175</f>
        <v>2</v>
      </c>
      <c r="C175" s="3" t="str">
        <f>Records!C175</f>
        <v>方法B</v>
      </c>
      <c r="D175" s="3" t="str">
        <f>Records!D175</f>
        <v>EgoAnchor</v>
      </c>
      <c r="E175" s="5">
        <f>IF(Records!G175="","",6-Records!G175)</f>
        <v>5</v>
      </c>
      <c r="F175" s="5">
        <f>IF(Records!I175="","",6-Records!I175)</f>
        <v>5</v>
      </c>
      <c r="G175" s="5">
        <f>IF(Records!L175="","",6-Records!L175)</f>
        <v>5</v>
      </c>
      <c r="H175" s="5">
        <f>IF(Records!N175="","",6-Records!N175)</f>
        <v>5</v>
      </c>
      <c r="I175" s="5">
        <f>IF(COUNT(Records!E175:J175)&lt;6,"",AVERAGE(Records!E175,Records!F175,E175,Records!H175,F175,Records!J175))</f>
        <v>5</v>
      </c>
      <c r="J175" s="5">
        <f>IF(COUNT(Records!K175:N175)&lt;4,"",AVERAGE(Records!K175,G175,Records!M175,H175))</f>
        <v>5</v>
      </c>
      <c r="K175" s="5">
        <f>IF(COUNT(Records!O175:Q175)&lt;3,"",AVERAGE(Records!O175:Q175))</f>
        <v>6.33333333333333</v>
      </c>
      <c r="L175" s="5">
        <f>Records!U175</f>
        <v>98</v>
      </c>
      <c r="M175" s="3">
        <f>175</f>
        <v>175</v>
      </c>
      <c r="N175" s="3"/>
      <c r="O175" s="3"/>
      <c r="P175" s="3"/>
      <c r="Q175" s="3"/>
      <c r="R175" s="3"/>
      <c r="S175" s="3"/>
      <c r="T175" s="3"/>
      <c r="U175" s="3"/>
      <c r="V175" s="3"/>
    </row>
    <row r="176" spans="1:22">
      <c r="A176" s="3" t="str">
        <f>Records!A176</f>
        <v>P013</v>
      </c>
      <c r="B176" s="3">
        <f>Records!B176</f>
        <v>1</v>
      </c>
      <c r="C176" s="3" t="str">
        <f>Records!C176</f>
        <v>方法A</v>
      </c>
      <c r="D176" s="3" t="str">
        <f>Records!D176</f>
        <v>EgoAnchor</v>
      </c>
      <c r="E176" s="5">
        <f>IF(Records!G176="","",6-Records!G176)</f>
        <v>4</v>
      </c>
      <c r="F176" s="5">
        <f>IF(Records!I176="","",6-Records!I176)</f>
        <v>5</v>
      </c>
      <c r="G176" s="5">
        <f>IF(Records!L176="","",6-Records!L176)</f>
        <v>4</v>
      </c>
      <c r="H176" s="5">
        <f>IF(Records!N176="","",6-Records!N176)</f>
        <v>4</v>
      </c>
      <c r="I176" s="5">
        <f>IF(COUNT(Records!E176:J176)&lt;6,"",AVERAGE(Records!E176,Records!F176,E176,Records!H176,F176,Records!J176))</f>
        <v>4.5</v>
      </c>
      <c r="J176" s="5">
        <f>IF(COUNT(Records!K176:N176)&lt;4,"",AVERAGE(Records!K176,G176,Records!M176,H176))</f>
        <v>4</v>
      </c>
      <c r="K176" s="5">
        <f>IF(COUNT(Records!O176:Q176)&lt;3,"",AVERAGE(Records!O176:Q176))</f>
        <v>5.66666666666667</v>
      </c>
      <c r="L176" s="5">
        <f>Records!U176</f>
        <v>103.6</v>
      </c>
      <c r="M176" s="3">
        <f>176</f>
        <v>176</v>
      </c>
      <c r="N176" s="3"/>
      <c r="O176" s="3"/>
      <c r="P176" s="3"/>
      <c r="Q176" s="3"/>
      <c r="R176" s="3"/>
      <c r="S176" s="3"/>
      <c r="T176" s="3"/>
      <c r="U176" s="3"/>
      <c r="V176" s="3"/>
    </row>
    <row r="177" spans="1:22">
      <c r="A177" s="3" t="str">
        <f>Records!A177</f>
        <v>P013</v>
      </c>
      <c r="B177" s="3">
        <f>Records!B177</f>
        <v>2</v>
      </c>
      <c r="C177" s="3" t="str">
        <f>Records!C177</f>
        <v>方法B</v>
      </c>
      <c r="D177" s="3" t="str">
        <f>Records!D177</f>
        <v>One-Euro</v>
      </c>
      <c r="E177" s="5">
        <f>IF(Records!G177="","",6-Records!G177)</f>
        <v>5</v>
      </c>
      <c r="F177" s="5">
        <f>IF(Records!I177="","",6-Records!I177)</f>
        <v>4</v>
      </c>
      <c r="G177" s="5">
        <f>IF(Records!L177="","",6-Records!L177)</f>
        <v>4</v>
      </c>
      <c r="H177" s="5">
        <f>IF(Records!N177="","",6-Records!N177)</f>
        <v>4</v>
      </c>
      <c r="I177" s="5">
        <f>IF(COUNT(Records!E177:J177)&lt;6,"",AVERAGE(Records!E177,Records!F177,E177,Records!H177,F177,Records!J177))</f>
        <v>3.83333333333333</v>
      </c>
      <c r="J177" s="5">
        <f>IF(COUNT(Records!K177:N177)&lt;4,"",AVERAGE(Records!K177,G177,Records!M177,H177))</f>
        <v>4.5</v>
      </c>
      <c r="K177" s="5">
        <f>IF(COUNT(Records!O177:Q177)&lt;3,"",AVERAGE(Records!O177:Q177))</f>
        <v>5</v>
      </c>
      <c r="L177" s="5">
        <f>Records!U177</f>
        <v>126.2</v>
      </c>
      <c r="M177" s="3">
        <f>177</f>
        <v>177</v>
      </c>
      <c r="N177" s="3"/>
      <c r="O177" s="3"/>
      <c r="P177" s="3"/>
      <c r="Q177" s="3"/>
      <c r="R177" s="3"/>
      <c r="S177" s="3"/>
      <c r="T177" s="3"/>
      <c r="U177" s="3"/>
      <c r="V177" s="3"/>
    </row>
    <row r="178" spans="1:22">
      <c r="A178" s="3" t="str">
        <f>Records!A178</f>
        <v>P014</v>
      </c>
      <c r="B178" s="3">
        <f>Records!B178</f>
        <v>1</v>
      </c>
      <c r="C178" s="3" t="str">
        <f>Records!C178</f>
        <v>方法B</v>
      </c>
      <c r="D178" s="3" t="str">
        <f>Records!D178</f>
        <v>One-Euro</v>
      </c>
      <c r="E178" s="5">
        <f>IF(Records!G178="","",6-Records!G178)</f>
        <v>5</v>
      </c>
      <c r="F178" s="5">
        <f>IF(Records!I178="","",6-Records!I178)</f>
        <v>4</v>
      </c>
      <c r="G178" s="5">
        <f>IF(Records!L178="","",6-Records!L178)</f>
        <v>4</v>
      </c>
      <c r="H178" s="5">
        <f>IF(Records!N178="","",6-Records!N178)</f>
        <v>3</v>
      </c>
      <c r="I178" s="5">
        <f>IF(COUNT(Records!E178:J178)&lt;6,"",AVERAGE(Records!E178,Records!F178,E178,Records!H178,F178,Records!J178))</f>
        <v>4.5</v>
      </c>
      <c r="J178" s="5">
        <f>IF(COUNT(Records!K178:N178)&lt;4,"",AVERAGE(Records!K178,G178,Records!M178,H178))</f>
        <v>4</v>
      </c>
      <c r="K178" s="5">
        <f>IF(COUNT(Records!O178:Q178)&lt;3,"",AVERAGE(Records!O178:Q178))</f>
        <v>6</v>
      </c>
      <c r="L178" s="5">
        <f>Records!U178</f>
        <v>98.4</v>
      </c>
      <c r="M178" s="3">
        <f>178</f>
        <v>178</v>
      </c>
      <c r="N178" s="3"/>
      <c r="O178" s="3"/>
      <c r="P178" s="3"/>
      <c r="Q178" s="3"/>
      <c r="R178" s="3"/>
      <c r="S178" s="3"/>
      <c r="T178" s="3"/>
      <c r="U178" s="3"/>
      <c r="V178" s="3"/>
    </row>
    <row r="179" spans="1:22">
      <c r="A179" s="3" t="str">
        <f>Records!A179</f>
        <v>P014</v>
      </c>
      <c r="B179" s="3">
        <f>Records!B179</f>
        <v>2</v>
      </c>
      <c r="C179" s="3" t="str">
        <f>Records!C179</f>
        <v>方法A</v>
      </c>
      <c r="D179" s="3" t="str">
        <f>Records!D179</f>
        <v>EgoAnchor</v>
      </c>
      <c r="E179" s="5">
        <f>IF(Records!G179="","",6-Records!G179)</f>
        <v>5</v>
      </c>
      <c r="F179" s="5">
        <f>IF(Records!I179="","",6-Records!I179)</f>
        <v>5</v>
      </c>
      <c r="G179" s="5">
        <f>IF(Records!L179="","",6-Records!L179)</f>
        <v>5</v>
      </c>
      <c r="H179" s="5">
        <f>IF(Records!N179="","",6-Records!N179)</f>
        <v>3</v>
      </c>
      <c r="I179" s="5">
        <f>IF(COUNT(Records!E179:J179)&lt;6,"",AVERAGE(Records!E179,Records!F179,E179,Records!H179,F179,Records!J179))</f>
        <v>4.66666666666667</v>
      </c>
      <c r="J179" s="5">
        <f>IF(COUNT(Records!K179:N179)&lt;4,"",AVERAGE(Records!K179,G179,Records!M179,H179))</f>
        <v>4.25</v>
      </c>
      <c r="K179" s="5">
        <f>IF(COUNT(Records!O179:Q179)&lt;3,"",AVERAGE(Records!O179:Q179))</f>
        <v>5.66666666666667</v>
      </c>
      <c r="L179" s="5">
        <f>Records!U179</f>
        <v>139.9</v>
      </c>
      <c r="M179" s="3">
        <f>179</f>
        <v>179</v>
      </c>
      <c r="N179" s="3"/>
      <c r="O179" s="3"/>
      <c r="P179" s="3"/>
      <c r="Q179" s="3"/>
      <c r="R179" s="3"/>
      <c r="S179" s="3"/>
      <c r="T179" s="3"/>
      <c r="U179" s="3"/>
      <c r="V179" s="3"/>
    </row>
    <row r="180" spans="1:22">
      <c r="A180" s="3" t="str">
        <f>Records!A180</f>
        <v>P015</v>
      </c>
      <c r="B180" s="3">
        <f>Records!B180</f>
        <v>1</v>
      </c>
      <c r="C180" s="3" t="str">
        <f>Records!C180</f>
        <v>方法B</v>
      </c>
      <c r="D180" s="3" t="str">
        <f>Records!D180</f>
        <v>EgoAnchor</v>
      </c>
      <c r="E180" s="5">
        <f>IF(Records!G180="","",6-Records!G180)</f>
        <v>4</v>
      </c>
      <c r="F180" s="5">
        <f>IF(Records!I180="","",6-Records!I180)</f>
        <v>5</v>
      </c>
      <c r="G180" s="5">
        <f>IF(Records!L180="","",6-Records!L180)</f>
        <v>5</v>
      </c>
      <c r="H180" s="5">
        <f>IF(Records!N180="","",6-Records!N180)</f>
        <v>5</v>
      </c>
      <c r="I180" s="5">
        <f>IF(COUNT(Records!E180:J180)&lt;6,"",AVERAGE(Records!E180,Records!F180,E180,Records!H180,F180,Records!J180))</f>
        <v>4.5</v>
      </c>
      <c r="J180" s="5">
        <f>IF(COUNT(Records!K180:N180)&lt;4,"",AVERAGE(Records!K180,G180,Records!M180,H180))</f>
        <v>5</v>
      </c>
      <c r="K180" s="5">
        <f>IF(COUNT(Records!O180:Q180)&lt;3,"",AVERAGE(Records!O180:Q180))</f>
        <v>6</v>
      </c>
      <c r="L180" s="5">
        <f>Records!U180</f>
        <v>130.4</v>
      </c>
      <c r="M180" s="3">
        <f>180</f>
        <v>180</v>
      </c>
      <c r="N180" s="3"/>
      <c r="O180" s="3"/>
      <c r="P180" s="3"/>
      <c r="Q180" s="3"/>
      <c r="R180" s="3"/>
      <c r="S180" s="3"/>
      <c r="T180" s="3"/>
      <c r="U180" s="3"/>
      <c r="V180" s="3"/>
    </row>
    <row r="181" spans="1:22">
      <c r="A181" s="3" t="str">
        <f>Records!A181</f>
        <v>P015</v>
      </c>
      <c r="B181" s="3">
        <f>Records!B181</f>
        <v>2</v>
      </c>
      <c r="C181" s="3" t="str">
        <f>Records!C181</f>
        <v>方法A</v>
      </c>
      <c r="D181" s="3" t="str">
        <f>Records!D181</f>
        <v>One-Euro</v>
      </c>
      <c r="E181" s="5">
        <f>IF(Records!G181="","",6-Records!G181)</f>
        <v>5</v>
      </c>
      <c r="F181" s="5">
        <f>IF(Records!I181="","",6-Records!I181)</f>
        <v>5</v>
      </c>
      <c r="G181" s="5">
        <f>IF(Records!L181="","",6-Records!L181)</f>
        <v>4</v>
      </c>
      <c r="H181" s="5">
        <f>IF(Records!N181="","",6-Records!N181)</f>
        <v>4</v>
      </c>
      <c r="I181" s="5">
        <f>IF(COUNT(Records!E181:J181)&lt;6,"",AVERAGE(Records!E181,Records!F181,E181,Records!H181,F181,Records!J181))</f>
        <v>4.5</v>
      </c>
      <c r="J181" s="5">
        <f>IF(COUNT(Records!K181:N181)&lt;4,"",AVERAGE(Records!K181,G181,Records!M181,H181))</f>
        <v>4</v>
      </c>
      <c r="K181" s="5">
        <f>IF(COUNT(Records!O181:Q181)&lt;3,"",AVERAGE(Records!O181:Q181))</f>
        <v>6</v>
      </c>
      <c r="L181" s="5">
        <f>Records!U181</f>
        <v>146.6</v>
      </c>
      <c r="M181" s="3">
        <f>181</f>
        <v>181</v>
      </c>
      <c r="N181" s="3"/>
      <c r="O181" s="3"/>
      <c r="P181" s="3"/>
      <c r="Q181" s="3"/>
      <c r="R181" s="3"/>
      <c r="S181" s="3"/>
      <c r="T181" s="3"/>
      <c r="U181" s="3"/>
      <c r="V181" s="3"/>
    </row>
    <row r="182" spans="1:22">
      <c r="A182" s="3" t="str">
        <f>Records!A182</f>
        <v>P016</v>
      </c>
      <c r="B182" s="3">
        <f>Records!B182</f>
        <v>1</v>
      </c>
      <c r="C182" s="3" t="str">
        <f>Records!C182</f>
        <v>方法A</v>
      </c>
      <c r="D182" s="3" t="str">
        <f>Records!D182</f>
        <v>One-Euro</v>
      </c>
      <c r="E182" s="5">
        <f>IF(Records!G182="","",6-Records!G182)</f>
        <v>4</v>
      </c>
      <c r="F182" s="5">
        <f>IF(Records!I182="","",6-Records!I182)</f>
        <v>5</v>
      </c>
      <c r="G182" s="5">
        <f>IF(Records!L182="","",6-Records!L182)</f>
        <v>5</v>
      </c>
      <c r="H182" s="5">
        <f>IF(Records!N182="","",6-Records!N182)</f>
        <v>5</v>
      </c>
      <c r="I182" s="5">
        <f>IF(COUNT(Records!E182:J182)&lt;6,"",AVERAGE(Records!E182,Records!F182,E182,Records!H182,F182,Records!J182))</f>
        <v>4.16666666666667</v>
      </c>
      <c r="J182" s="5">
        <f>IF(COUNT(Records!K182:N182)&lt;4,"",AVERAGE(Records!K182,G182,Records!M182,H182))</f>
        <v>5</v>
      </c>
      <c r="K182" s="5">
        <f>IF(COUNT(Records!O182:Q182)&lt;3,"",AVERAGE(Records!O182:Q182))</f>
        <v>5</v>
      </c>
      <c r="L182" s="5">
        <f>Records!U182</f>
        <v>156.3</v>
      </c>
      <c r="M182" s="3">
        <f>182</f>
        <v>182</v>
      </c>
      <c r="N182" s="3"/>
      <c r="O182" s="3"/>
      <c r="P182" s="3"/>
      <c r="Q182" s="3"/>
      <c r="R182" s="3"/>
      <c r="S182" s="3"/>
      <c r="T182" s="3"/>
      <c r="U182" s="3"/>
      <c r="V182" s="3"/>
    </row>
    <row r="183" spans="1:22">
      <c r="A183" s="3" t="str">
        <f>Records!A183</f>
        <v>P016</v>
      </c>
      <c r="B183" s="3">
        <f>Records!B183</f>
        <v>2</v>
      </c>
      <c r="C183" s="3" t="str">
        <f>Records!C183</f>
        <v>方法B</v>
      </c>
      <c r="D183" s="3" t="str">
        <f>Records!D183</f>
        <v>EgoAnchor</v>
      </c>
      <c r="E183" s="5">
        <f>IF(Records!G183="","",6-Records!G183)</f>
        <v>5</v>
      </c>
      <c r="F183" s="5">
        <f>IF(Records!I183="","",6-Records!I183)</f>
        <v>4</v>
      </c>
      <c r="G183" s="5">
        <f>IF(Records!L183="","",6-Records!L183)</f>
        <v>5</v>
      </c>
      <c r="H183" s="5">
        <f>IF(Records!N183="","",6-Records!N183)</f>
        <v>5</v>
      </c>
      <c r="I183" s="5">
        <f>IF(COUNT(Records!E183:J183)&lt;6,"",AVERAGE(Records!E183,Records!F183,E183,Records!H183,F183,Records!J183))</f>
        <v>4.83333333333333</v>
      </c>
      <c r="J183" s="5">
        <f>IF(COUNT(Records!K183:N183)&lt;4,"",AVERAGE(Records!K183,G183,Records!M183,H183))</f>
        <v>5</v>
      </c>
      <c r="K183" s="5">
        <f>IF(COUNT(Records!O183:Q183)&lt;3,"",AVERAGE(Records!O183:Q183))</f>
        <v>6.66666666666667</v>
      </c>
      <c r="L183" s="5">
        <f>Records!U183</f>
        <v>117.5</v>
      </c>
      <c r="M183" s="3">
        <f>183</f>
        <v>183</v>
      </c>
      <c r="N183" s="3"/>
      <c r="O183" s="3"/>
      <c r="P183" s="3"/>
      <c r="Q183" s="3"/>
      <c r="R183" s="3"/>
      <c r="S183" s="3"/>
      <c r="T183" s="3"/>
      <c r="U183" s="3"/>
      <c r="V183" s="3"/>
    </row>
    <row r="184" spans="1:22">
      <c r="A184" s="3" t="str">
        <f>Records!A184</f>
        <v>P017</v>
      </c>
      <c r="B184" s="3">
        <f>Records!B184</f>
        <v>1</v>
      </c>
      <c r="C184" s="3" t="str">
        <f>Records!C184</f>
        <v>方法A</v>
      </c>
      <c r="D184" s="3" t="str">
        <f>Records!D184</f>
        <v>EgoAnchor</v>
      </c>
      <c r="E184" s="5">
        <f>IF(Records!G184="","",6-Records!G184)</f>
        <v>4</v>
      </c>
      <c r="F184" s="5">
        <f>IF(Records!I184="","",6-Records!I184)</f>
        <v>4</v>
      </c>
      <c r="G184" s="5">
        <f>IF(Records!L184="","",6-Records!L184)</f>
        <v>4</v>
      </c>
      <c r="H184" s="5">
        <f>IF(Records!N184="","",6-Records!N184)</f>
        <v>4</v>
      </c>
      <c r="I184" s="5">
        <f>IF(COUNT(Records!E184:J184)&lt;6,"",AVERAGE(Records!E184,Records!F184,E184,Records!H184,F184,Records!J184))</f>
        <v>4</v>
      </c>
      <c r="J184" s="5">
        <f>IF(COUNT(Records!K184:N184)&lt;4,"",AVERAGE(Records!K184,G184,Records!M184,H184))</f>
        <v>4.25</v>
      </c>
      <c r="K184" s="5">
        <f>IF(COUNT(Records!O184:Q184)&lt;3,"",AVERAGE(Records!O184:Q184))</f>
        <v>5.33333333333333</v>
      </c>
      <c r="L184" s="5">
        <f>Records!U184</f>
        <v>114.3</v>
      </c>
      <c r="M184" s="3">
        <f>184</f>
        <v>184</v>
      </c>
      <c r="N184" s="3"/>
      <c r="O184" s="3"/>
      <c r="P184" s="3"/>
      <c r="Q184" s="3"/>
      <c r="R184" s="3"/>
      <c r="S184" s="3"/>
      <c r="T184" s="3"/>
      <c r="U184" s="3"/>
      <c r="V184" s="3"/>
    </row>
    <row r="185" spans="1:22">
      <c r="A185" s="3" t="str">
        <f>Records!A185</f>
        <v>P017</v>
      </c>
      <c r="B185" s="3">
        <f>Records!B185</f>
        <v>2</v>
      </c>
      <c r="C185" s="3" t="str">
        <f>Records!C185</f>
        <v>方法B</v>
      </c>
      <c r="D185" s="3" t="str">
        <f>Records!D185</f>
        <v>One-Euro</v>
      </c>
      <c r="E185" s="5">
        <f>IF(Records!G185="","",6-Records!G185)</f>
        <v>4</v>
      </c>
      <c r="F185" s="5">
        <f>IF(Records!I185="","",6-Records!I185)</f>
        <v>5</v>
      </c>
      <c r="G185" s="5">
        <f>IF(Records!L185="","",6-Records!L185)</f>
        <v>4</v>
      </c>
      <c r="H185" s="5">
        <f>IF(Records!N185="","",6-Records!N185)</f>
        <v>4</v>
      </c>
      <c r="I185" s="5">
        <f>IF(COUNT(Records!E185:J185)&lt;6,"",AVERAGE(Records!E185,Records!F185,E185,Records!H185,F185,Records!J185))</f>
        <v>4</v>
      </c>
      <c r="J185" s="5">
        <f>IF(COUNT(Records!K185:N185)&lt;4,"",AVERAGE(Records!K185,G185,Records!M185,H185))</f>
        <v>4</v>
      </c>
      <c r="K185" s="5">
        <f>IF(COUNT(Records!O185:Q185)&lt;3,"",AVERAGE(Records!O185:Q185))</f>
        <v>6</v>
      </c>
      <c r="L185" s="5">
        <f>Records!U185</f>
        <v>127.8</v>
      </c>
      <c r="M185" s="3">
        <f>185</f>
        <v>185</v>
      </c>
      <c r="N185" s="3"/>
      <c r="O185" s="3"/>
      <c r="P185" s="3"/>
      <c r="Q185" s="3"/>
      <c r="R185" s="3"/>
      <c r="S185" s="3"/>
      <c r="T185" s="3"/>
      <c r="U185" s="3"/>
      <c r="V185" s="3"/>
    </row>
    <row r="186" spans="1:22">
      <c r="A186" s="3" t="str">
        <f>Records!A186</f>
        <v>P018</v>
      </c>
      <c r="B186" s="3">
        <f>Records!B186</f>
        <v>1</v>
      </c>
      <c r="C186" s="3" t="str">
        <f>Records!C186</f>
        <v>方法B</v>
      </c>
      <c r="D186" s="3" t="str">
        <f>Records!D186</f>
        <v>One-Euro</v>
      </c>
      <c r="E186" s="5">
        <f>IF(Records!G186="","",6-Records!G186)</f>
        <v>4</v>
      </c>
      <c r="F186" s="5">
        <f>IF(Records!I186="","",6-Records!I186)</f>
        <v>4</v>
      </c>
      <c r="G186" s="5">
        <f>IF(Records!L186="","",6-Records!L186)</f>
        <v>5</v>
      </c>
      <c r="H186" s="5">
        <f>IF(Records!N186="","",6-Records!N186)</f>
        <v>4</v>
      </c>
      <c r="I186" s="5">
        <f>IF(COUNT(Records!E186:J186)&lt;6,"",AVERAGE(Records!E186,Records!F186,E186,Records!H186,F186,Records!J186))</f>
        <v>4.33333333333333</v>
      </c>
      <c r="J186" s="5">
        <f>IF(COUNT(Records!K186:N186)&lt;4,"",AVERAGE(Records!K186,G186,Records!M186,H186))</f>
        <v>4.5</v>
      </c>
      <c r="K186" s="5">
        <f>IF(COUNT(Records!O186:Q186)&lt;3,"",AVERAGE(Records!O186:Q186))</f>
        <v>5.66666666666667</v>
      </c>
      <c r="L186" s="5">
        <f>Records!U186</f>
        <v>98.3</v>
      </c>
      <c r="M186" s="3">
        <f>186</f>
        <v>186</v>
      </c>
      <c r="N186" s="3"/>
      <c r="O186" s="3"/>
      <c r="P186" s="3"/>
      <c r="Q186" s="3"/>
      <c r="R186" s="3"/>
      <c r="S186" s="3"/>
      <c r="T186" s="3"/>
      <c r="U186" s="3"/>
      <c r="V186" s="3"/>
    </row>
    <row r="187" spans="1:22">
      <c r="A187" s="3" t="str">
        <f>Records!A187</f>
        <v>P018</v>
      </c>
      <c r="B187" s="3">
        <f>Records!B187</f>
        <v>2</v>
      </c>
      <c r="C187" s="3" t="str">
        <f>Records!C187</f>
        <v>方法A</v>
      </c>
      <c r="D187" s="3" t="str">
        <f>Records!D187</f>
        <v>EgoAnchor</v>
      </c>
      <c r="E187" s="5">
        <f>IF(Records!G187="","",6-Records!G187)</f>
        <v>5</v>
      </c>
      <c r="F187" s="5">
        <f>IF(Records!I187="","",6-Records!I187)</f>
        <v>4</v>
      </c>
      <c r="G187" s="5">
        <f>IF(Records!L187="","",6-Records!L187)</f>
        <v>5</v>
      </c>
      <c r="H187" s="5">
        <f>IF(Records!N187="","",6-Records!N187)</f>
        <v>5</v>
      </c>
      <c r="I187" s="5">
        <f>IF(COUNT(Records!E187:J187)&lt;6,"",AVERAGE(Records!E187,Records!F187,E187,Records!H187,F187,Records!J187))</f>
        <v>4.66666666666667</v>
      </c>
      <c r="J187" s="5">
        <f>IF(COUNT(Records!K187:N187)&lt;4,"",AVERAGE(Records!K187,G187,Records!M187,H187))</f>
        <v>4.75</v>
      </c>
      <c r="K187" s="5">
        <f>IF(COUNT(Records!O187:Q187)&lt;3,"",AVERAGE(Records!O187:Q187))</f>
        <v>5.33333333333333</v>
      </c>
      <c r="L187" s="5">
        <f>Records!U187</f>
        <v>90.2</v>
      </c>
      <c r="M187" s="3">
        <f>187</f>
        <v>187</v>
      </c>
      <c r="N187" s="3"/>
      <c r="O187" s="3"/>
      <c r="P187" s="3"/>
      <c r="Q187" s="3"/>
      <c r="R187" s="3"/>
      <c r="S187" s="3"/>
      <c r="T187" s="3"/>
      <c r="U187" s="3"/>
      <c r="V187" s="3"/>
    </row>
    <row r="188" spans="1:22">
      <c r="A188" s="3" t="str">
        <f>Records!A188</f>
        <v>P019</v>
      </c>
      <c r="B188" s="3">
        <f>Records!B188</f>
        <v>1</v>
      </c>
      <c r="C188" s="3" t="str">
        <f>Records!C188</f>
        <v>方法B</v>
      </c>
      <c r="D188" s="3" t="str">
        <f>Records!D188</f>
        <v>EgoAnchor</v>
      </c>
      <c r="E188" s="5">
        <f>IF(Records!G188="","",6-Records!G188)</f>
        <v>4</v>
      </c>
      <c r="F188" s="5">
        <f>IF(Records!I188="","",6-Records!I188)</f>
        <v>5</v>
      </c>
      <c r="G188" s="5">
        <f>IF(Records!L188="","",6-Records!L188)</f>
        <v>4</v>
      </c>
      <c r="H188" s="5">
        <f>IF(Records!N188="","",6-Records!N188)</f>
        <v>3</v>
      </c>
      <c r="I188" s="5">
        <f>IF(COUNT(Records!E188:J188)&lt;6,"",AVERAGE(Records!E188,Records!F188,E188,Records!H188,F188,Records!J188))</f>
        <v>4.33333333333333</v>
      </c>
      <c r="J188" s="5">
        <f>IF(COUNT(Records!K188:N188)&lt;4,"",AVERAGE(Records!K188,G188,Records!M188,H188))</f>
        <v>3.5</v>
      </c>
      <c r="K188" s="5">
        <f>IF(COUNT(Records!O188:Q188)&lt;3,"",AVERAGE(Records!O188:Q188))</f>
        <v>5.33333333333333</v>
      </c>
      <c r="L188" s="5">
        <f>Records!U188</f>
        <v>149.2</v>
      </c>
      <c r="M188" s="3">
        <f>188</f>
        <v>188</v>
      </c>
      <c r="N188" s="3"/>
      <c r="O188" s="3"/>
      <c r="P188" s="3"/>
      <c r="Q188" s="3"/>
      <c r="R188" s="3"/>
      <c r="S188" s="3"/>
      <c r="T188" s="3"/>
      <c r="U188" s="3"/>
      <c r="V188" s="3"/>
    </row>
    <row r="189" spans="1:22">
      <c r="A189" s="3" t="str">
        <f>Records!A189</f>
        <v>P019</v>
      </c>
      <c r="B189" s="3">
        <f>Records!B189</f>
        <v>2</v>
      </c>
      <c r="C189" s="3" t="str">
        <f>Records!C189</f>
        <v>方法A</v>
      </c>
      <c r="D189" s="3" t="str">
        <f>Records!D189</f>
        <v>One-Euro</v>
      </c>
      <c r="E189" s="5">
        <f>IF(Records!G189="","",6-Records!G189)</f>
        <v>4</v>
      </c>
      <c r="F189" s="5">
        <f>IF(Records!I189="","",6-Records!I189)</f>
        <v>4</v>
      </c>
      <c r="G189" s="5">
        <f>IF(Records!L189="","",6-Records!L189)</f>
        <v>4</v>
      </c>
      <c r="H189" s="5">
        <f>IF(Records!N189="","",6-Records!N189)</f>
        <v>4</v>
      </c>
      <c r="I189" s="5">
        <f>IF(COUNT(Records!E189:J189)&lt;6,"",AVERAGE(Records!E189,Records!F189,E189,Records!H189,F189,Records!J189))</f>
        <v>4</v>
      </c>
      <c r="J189" s="5">
        <f>IF(COUNT(Records!K189:N189)&lt;4,"",AVERAGE(Records!K189,G189,Records!M189,H189))</f>
        <v>4</v>
      </c>
      <c r="K189" s="5">
        <f>IF(COUNT(Records!O189:Q189)&lt;3,"",AVERAGE(Records!O189:Q189))</f>
        <v>5</v>
      </c>
      <c r="L189" s="5">
        <f>Records!U189</f>
        <v>107</v>
      </c>
      <c r="M189" s="3">
        <f>189</f>
        <v>189</v>
      </c>
      <c r="N189" s="3"/>
      <c r="O189" s="3"/>
      <c r="P189" s="3"/>
      <c r="Q189" s="3"/>
      <c r="R189" s="3"/>
      <c r="S189" s="3"/>
      <c r="T189" s="3"/>
      <c r="U189" s="3"/>
      <c r="V189" s="3"/>
    </row>
    <row r="190" spans="1:22">
      <c r="A190" s="3" t="str">
        <f>Records!A190</f>
        <v>P020</v>
      </c>
      <c r="B190" s="3">
        <f>Records!B190</f>
        <v>1</v>
      </c>
      <c r="C190" s="3" t="str">
        <f>Records!C190</f>
        <v>方法A</v>
      </c>
      <c r="D190" s="3" t="str">
        <f>Records!D190</f>
        <v>One-Euro</v>
      </c>
      <c r="E190" s="5">
        <f>IF(Records!G190="","",6-Records!G190)</f>
        <v>4</v>
      </c>
      <c r="F190" s="5">
        <f>IF(Records!I190="","",6-Records!I190)</f>
        <v>4</v>
      </c>
      <c r="G190" s="5">
        <f>IF(Records!L190="","",6-Records!L190)</f>
        <v>4</v>
      </c>
      <c r="H190" s="5">
        <f>IF(Records!N190="","",6-Records!N190)</f>
        <v>4</v>
      </c>
      <c r="I190" s="5">
        <f>IF(COUNT(Records!E190:J190)&lt;6,"",AVERAGE(Records!E190,Records!F190,E190,Records!H190,F190,Records!J190))</f>
        <v>4</v>
      </c>
      <c r="J190" s="5">
        <f>IF(COUNT(Records!K190:N190)&lt;4,"",AVERAGE(Records!K190,G190,Records!M190,H190))</f>
        <v>3.75</v>
      </c>
      <c r="K190" s="5">
        <f>IF(COUNT(Records!O190:Q190)&lt;3,"",AVERAGE(Records!O190:Q190))</f>
        <v>4.66666666666667</v>
      </c>
      <c r="L190" s="5">
        <f>Records!U190</f>
        <v>115.1</v>
      </c>
      <c r="M190" s="3">
        <f>190</f>
        <v>190</v>
      </c>
      <c r="N190" s="3"/>
      <c r="O190" s="3"/>
      <c r="P190" s="3"/>
      <c r="Q190" s="3"/>
      <c r="R190" s="3"/>
      <c r="S190" s="3"/>
      <c r="T190" s="3"/>
      <c r="U190" s="3"/>
      <c r="V190" s="3"/>
    </row>
    <row r="191" spans="1:22">
      <c r="A191" s="3" t="str">
        <f>Records!A191</f>
        <v>P020</v>
      </c>
      <c r="B191" s="3">
        <f>Records!B191</f>
        <v>2</v>
      </c>
      <c r="C191" s="3" t="str">
        <f>Records!C191</f>
        <v>方法B</v>
      </c>
      <c r="D191" s="3" t="str">
        <f>Records!D191</f>
        <v>EgoAnchor</v>
      </c>
      <c r="E191" s="5">
        <f>IF(Records!G191="","",6-Records!G191)</f>
        <v>4</v>
      </c>
      <c r="F191" s="5">
        <f>IF(Records!I191="","",6-Records!I191)</f>
        <v>3</v>
      </c>
      <c r="G191" s="5">
        <f>IF(Records!L191="","",6-Records!L191)</f>
        <v>4</v>
      </c>
      <c r="H191" s="5">
        <f>IF(Records!N191="","",6-Records!N191)</f>
        <v>5</v>
      </c>
      <c r="I191" s="5">
        <f>IF(COUNT(Records!E191:J191)&lt;6,"",AVERAGE(Records!E191,Records!F191,E191,Records!H191,F191,Records!J191))</f>
        <v>4</v>
      </c>
      <c r="J191" s="5">
        <f>IF(COUNT(Records!K191:N191)&lt;4,"",AVERAGE(Records!K191,G191,Records!M191,H191))</f>
        <v>4.25</v>
      </c>
      <c r="K191" s="5">
        <f>IF(COUNT(Records!O191:Q191)&lt;3,"",AVERAGE(Records!O191:Q191))</f>
        <v>5.66666666666667</v>
      </c>
      <c r="L191" s="5">
        <f>Records!U191</f>
        <v>152.3</v>
      </c>
      <c r="M191" s="3">
        <f>191</f>
        <v>191</v>
      </c>
      <c r="N191" s="3"/>
      <c r="O191" s="3"/>
      <c r="P191" s="3"/>
      <c r="Q191" s="3"/>
      <c r="R191" s="3"/>
      <c r="S191" s="3"/>
      <c r="T191" s="3"/>
      <c r="U191" s="3"/>
      <c r="V191" s="3"/>
    </row>
    <row r="192" spans="1:22">
      <c r="A192" s="3" t="str">
        <f>Records!A192</f>
        <v>P021</v>
      </c>
      <c r="B192" s="3">
        <f>Records!B192</f>
        <v>1</v>
      </c>
      <c r="C192" s="3" t="str">
        <f>Records!C192</f>
        <v>方法A</v>
      </c>
      <c r="D192" s="3" t="str">
        <f>Records!D192</f>
        <v>EgoAnchor</v>
      </c>
      <c r="E192" s="5">
        <f>IF(Records!G192="","",6-Records!G192)</f>
        <v>4</v>
      </c>
      <c r="F192" s="5">
        <f>IF(Records!I192="","",6-Records!I192)</f>
        <v>5</v>
      </c>
      <c r="G192" s="5">
        <f>IF(Records!L192="","",6-Records!L192)</f>
        <v>5</v>
      </c>
      <c r="H192" s="5">
        <f>IF(Records!N192="","",6-Records!N192)</f>
        <v>5</v>
      </c>
      <c r="I192" s="5">
        <f>IF(COUNT(Records!E192:J192)&lt;6,"",AVERAGE(Records!E192,Records!F192,E192,Records!H192,F192,Records!J192))</f>
        <v>4.5</v>
      </c>
      <c r="J192" s="5">
        <f>IF(COUNT(Records!K192:N192)&lt;4,"",AVERAGE(Records!K192,G192,Records!M192,H192))</f>
        <v>5</v>
      </c>
      <c r="K192" s="5">
        <f>IF(COUNT(Records!O192:Q192)&lt;3,"",AVERAGE(Records!O192:Q192))</f>
        <v>6</v>
      </c>
      <c r="L192" s="5">
        <f>Records!U192</f>
        <v>107.2</v>
      </c>
      <c r="M192" s="3">
        <f>192</f>
        <v>192</v>
      </c>
      <c r="N192" s="3"/>
      <c r="O192" s="3"/>
      <c r="P192" s="3"/>
      <c r="Q192" s="3"/>
      <c r="R192" s="3"/>
      <c r="S192" s="3"/>
      <c r="T192" s="3"/>
      <c r="U192" s="3"/>
      <c r="V192" s="3"/>
    </row>
    <row r="193" spans="1:22">
      <c r="A193" s="3" t="str">
        <f>Records!A193</f>
        <v>P021</v>
      </c>
      <c r="B193" s="3">
        <f>Records!B193</f>
        <v>2</v>
      </c>
      <c r="C193" s="3" t="str">
        <f>Records!C193</f>
        <v>方法B</v>
      </c>
      <c r="D193" s="3" t="str">
        <f>Records!D193</f>
        <v>One-Euro</v>
      </c>
      <c r="E193" s="5">
        <f>IF(Records!G193="","",6-Records!G193)</f>
        <v>4</v>
      </c>
      <c r="F193" s="5">
        <f>IF(Records!I193="","",6-Records!I193)</f>
        <v>4</v>
      </c>
      <c r="G193" s="5">
        <f>IF(Records!L193="","",6-Records!L193)</f>
        <v>5</v>
      </c>
      <c r="H193" s="5">
        <f>IF(Records!N193="","",6-Records!N193)</f>
        <v>3</v>
      </c>
      <c r="I193" s="5">
        <f>IF(COUNT(Records!E193:J193)&lt;6,"",AVERAGE(Records!E193,Records!F193,E193,Records!H193,F193,Records!J193))</f>
        <v>4.16666666666667</v>
      </c>
      <c r="J193" s="5">
        <f>IF(COUNT(Records!K193:N193)&lt;4,"",AVERAGE(Records!K193,G193,Records!M193,H193))</f>
        <v>4.25</v>
      </c>
      <c r="K193" s="5">
        <f>IF(COUNT(Records!O193:Q193)&lt;3,"",AVERAGE(Records!O193:Q193))</f>
        <v>5.66666666666667</v>
      </c>
      <c r="L193" s="5">
        <f>Records!U193</f>
        <v>128.5</v>
      </c>
      <c r="M193" s="3">
        <f>193</f>
        <v>193</v>
      </c>
      <c r="N193" s="3"/>
      <c r="O193" s="3"/>
      <c r="P193" s="3"/>
      <c r="Q193" s="3"/>
      <c r="R193" s="3"/>
      <c r="S193" s="3"/>
      <c r="T193" s="3"/>
      <c r="U193" s="3"/>
      <c r="V193" s="3"/>
    </row>
    <row r="194" spans="1:22">
      <c r="A194" s="3" t="str">
        <f>Records!A194</f>
        <v>P022</v>
      </c>
      <c r="B194" s="3">
        <f>Records!B194</f>
        <v>1</v>
      </c>
      <c r="C194" s="3" t="str">
        <f>Records!C194</f>
        <v>方法B</v>
      </c>
      <c r="D194" s="3" t="str">
        <f>Records!D194</f>
        <v>One-Euro</v>
      </c>
      <c r="E194" s="5">
        <f>IF(Records!G194="","",6-Records!G194)</f>
        <v>5</v>
      </c>
      <c r="F194" s="5">
        <f>IF(Records!I194="","",6-Records!I194)</f>
        <v>5</v>
      </c>
      <c r="G194" s="5">
        <f>IF(Records!L194="","",6-Records!L194)</f>
        <v>4</v>
      </c>
      <c r="H194" s="5">
        <f>IF(Records!N194="","",6-Records!N194)</f>
        <v>5</v>
      </c>
      <c r="I194" s="5">
        <f>IF(COUNT(Records!E194:J194)&lt;6,"",AVERAGE(Records!E194,Records!F194,E194,Records!H194,F194,Records!J194))</f>
        <v>4.5</v>
      </c>
      <c r="J194" s="5">
        <f>IF(COUNT(Records!K194:N194)&lt;4,"",AVERAGE(Records!K194,G194,Records!M194,H194))</f>
        <v>4.25</v>
      </c>
      <c r="K194" s="5">
        <f>IF(COUNT(Records!O194:Q194)&lt;3,"",AVERAGE(Records!O194:Q194))</f>
        <v>5.33333333333333</v>
      </c>
      <c r="L194" s="5">
        <f>Records!U194</f>
        <v>138</v>
      </c>
      <c r="M194" s="3">
        <f>194</f>
        <v>194</v>
      </c>
      <c r="N194" s="3"/>
      <c r="O194" s="3"/>
      <c r="P194" s="3"/>
      <c r="Q194" s="3"/>
      <c r="R194" s="3"/>
      <c r="S194" s="3"/>
      <c r="T194" s="3"/>
      <c r="U194" s="3"/>
      <c r="V194" s="3"/>
    </row>
    <row r="195" spans="1:22">
      <c r="A195" s="3" t="str">
        <f>Records!A195</f>
        <v>P022</v>
      </c>
      <c r="B195" s="3">
        <f>Records!B195</f>
        <v>2</v>
      </c>
      <c r="C195" s="3" t="str">
        <f>Records!C195</f>
        <v>方法A</v>
      </c>
      <c r="D195" s="3" t="str">
        <f>Records!D195</f>
        <v>EgoAnchor</v>
      </c>
      <c r="E195" s="5">
        <f>IF(Records!G195="","",6-Records!G195)</f>
        <v>5</v>
      </c>
      <c r="F195" s="5">
        <f>IF(Records!I195="","",6-Records!I195)</f>
        <v>4</v>
      </c>
      <c r="G195" s="5">
        <f>IF(Records!L195="","",6-Records!L195)</f>
        <v>4</v>
      </c>
      <c r="H195" s="5">
        <f>IF(Records!N195="","",6-Records!N195)</f>
        <v>4</v>
      </c>
      <c r="I195" s="5">
        <f>IF(COUNT(Records!E195:J195)&lt;6,"",AVERAGE(Records!E195,Records!F195,E195,Records!H195,F195,Records!J195))</f>
        <v>4.83333333333333</v>
      </c>
      <c r="J195" s="5">
        <f>IF(COUNT(Records!K195:N195)&lt;4,"",AVERAGE(Records!K195,G195,Records!M195,H195))</f>
        <v>4.5</v>
      </c>
      <c r="K195" s="5">
        <f>IF(COUNT(Records!O195:Q195)&lt;3,"",AVERAGE(Records!O195:Q195))</f>
        <v>6</v>
      </c>
      <c r="L195" s="5">
        <f>Records!U195</f>
        <v>113.5</v>
      </c>
      <c r="M195" s="3">
        <f>195</f>
        <v>195</v>
      </c>
      <c r="N195" s="3"/>
      <c r="O195" s="3"/>
      <c r="P195" s="3"/>
      <c r="Q195" s="3"/>
      <c r="R195" s="3"/>
      <c r="S195" s="3"/>
      <c r="T195" s="3"/>
      <c r="U195" s="3"/>
      <c r="V195" s="3"/>
    </row>
    <row r="196" spans="1:22">
      <c r="A196" s="3" t="str">
        <f>Records!A196</f>
        <v>P023</v>
      </c>
      <c r="B196" s="3">
        <f>Records!B196</f>
        <v>1</v>
      </c>
      <c r="C196" s="3" t="str">
        <f>Records!C196</f>
        <v>方法B</v>
      </c>
      <c r="D196" s="3" t="str">
        <f>Records!D196</f>
        <v>EgoAnchor</v>
      </c>
      <c r="E196" s="5">
        <f>IF(Records!G196="","",6-Records!G196)</f>
        <v>4</v>
      </c>
      <c r="F196" s="5">
        <f>IF(Records!I196="","",6-Records!I196)</f>
        <v>3</v>
      </c>
      <c r="G196" s="5">
        <f>IF(Records!L196="","",6-Records!L196)</f>
        <v>4</v>
      </c>
      <c r="H196" s="5">
        <f>IF(Records!N196="","",6-Records!N196)</f>
        <v>4</v>
      </c>
      <c r="I196" s="5">
        <f>IF(COUNT(Records!E196:J196)&lt;6,"",AVERAGE(Records!E196,Records!F196,E196,Records!H196,F196,Records!J196))</f>
        <v>4</v>
      </c>
      <c r="J196" s="5">
        <f>IF(COUNT(Records!K196:N196)&lt;4,"",AVERAGE(Records!K196,G196,Records!M196,H196))</f>
        <v>4</v>
      </c>
      <c r="K196" s="5">
        <f>IF(COUNT(Records!O196:Q196)&lt;3,"",AVERAGE(Records!O196:Q196))</f>
        <v>5.33333333333333</v>
      </c>
      <c r="L196" s="5">
        <f>Records!U196</f>
        <v>112.1</v>
      </c>
      <c r="M196" s="3">
        <f>196</f>
        <v>196</v>
      </c>
      <c r="N196" s="3"/>
      <c r="O196" s="3"/>
      <c r="P196" s="3"/>
      <c r="Q196" s="3"/>
      <c r="R196" s="3"/>
      <c r="S196" s="3"/>
      <c r="T196" s="3"/>
      <c r="U196" s="3"/>
      <c r="V196" s="3"/>
    </row>
    <row r="197" spans="1:22">
      <c r="A197" s="3" t="str">
        <f>Records!A197</f>
        <v>P023</v>
      </c>
      <c r="B197" s="3">
        <f>Records!B197</f>
        <v>2</v>
      </c>
      <c r="C197" s="3" t="str">
        <f>Records!C197</f>
        <v>方法A</v>
      </c>
      <c r="D197" s="3" t="str">
        <f>Records!D197</f>
        <v>One-Euro</v>
      </c>
      <c r="E197" s="5">
        <f>IF(Records!G197="","",6-Records!G197)</f>
        <v>4</v>
      </c>
      <c r="F197" s="5">
        <f>IF(Records!I197="","",6-Records!I197)</f>
        <v>3</v>
      </c>
      <c r="G197" s="5">
        <f>IF(Records!L197="","",6-Records!L197)</f>
        <v>4</v>
      </c>
      <c r="H197" s="5">
        <f>IF(Records!N197="","",6-Records!N197)</f>
        <v>4</v>
      </c>
      <c r="I197" s="5">
        <f>IF(COUNT(Records!E197:J197)&lt;6,"",AVERAGE(Records!E197,Records!F197,E197,Records!H197,F197,Records!J197))</f>
        <v>3.66666666666667</v>
      </c>
      <c r="J197" s="5">
        <f>IF(COUNT(Records!K197:N197)&lt;4,"",AVERAGE(Records!K197,G197,Records!M197,H197))</f>
        <v>3.75</v>
      </c>
      <c r="K197" s="5">
        <f>IF(COUNT(Records!O197:Q197)&lt;3,"",AVERAGE(Records!O197:Q197))</f>
        <v>4.66666666666667</v>
      </c>
      <c r="L197" s="5">
        <f>Records!U197</f>
        <v>152.8</v>
      </c>
      <c r="M197" s="3">
        <f>197</f>
        <v>197</v>
      </c>
      <c r="N197" s="3"/>
      <c r="O197" s="3"/>
      <c r="P197" s="3"/>
      <c r="Q197" s="3"/>
      <c r="R197" s="3"/>
      <c r="S197" s="3"/>
      <c r="T197" s="3"/>
      <c r="U197" s="3"/>
      <c r="V197" s="3"/>
    </row>
    <row r="198" spans="1:22">
      <c r="A198" s="3" t="str">
        <f>Records!A198</f>
        <v>P024</v>
      </c>
      <c r="B198" s="3">
        <f>Records!B198</f>
        <v>1</v>
      </c>
      <c r="C198" s="3" t="str">
        <f>Records!C198</f>
        <v>方法A</v>
      </c>
      <c r="D198" s="3" t="str">
        <f>Records!D198</f>
        <v>One-Euro</v>
      </c>
      <c r="E198" s="5">
        <f>IF(Records!G198="","",6-Records!G198)</f>
        <v>5</v>
      </c>
      <c r="F198" s="5">
        <f>IF(Records!I198="","",6-Records!I198)</f>
        <v>3</v>
      </c>
      <c r="G198" s="5">
        <f>IF(Records!L198="","",6-Records!L198)</f>
        <v>4</v>
      </c>
      <c r="H198" s="5">
        <f>IF(Records!N198="","",6-Records!N198)</f>
        <v>5</v>
      </c>
      <c r="I198" s="5">
        <f>IF(COUNT(Records!E198:J198)&lt;6,"",AVERAGE(Records!E198,Records!F198,E198,Records!H198,F198,Records!J198))</f>
        <v>4</v>
      </c>
      <c r="J198" s="5">
        <f>IF(COUNT(Records!K198:N198)&lt;4,"",AVERAGE(Records!K198,G198,Records!M198,H198))</f>
        <v>4.25</v>
      </c>
      <c r="K198" s="5">
        <f>IF(COUNT(Records!O198:Q198)&lt;3,"",AVERAGE(Records!O198:Q198))</f>
        <v>5.66666666666667</v>
      </c>
      <c r="L198" s="5">
        <f>Records!U198</f>
        <v>124.9</v>
      </c>
      <c r="M198" s="3">
        <f>198</f>
        <v>198</v>
      </c>
      <c r="N198" s="3"/>
      <c r="O198" s="3"/>
      <c r="P198" s="3"/>
      <c r="Q198" s="3"/>
      <c r="R198" s="3"/>
      <c r="S198" s="3"/>
      <c r="T198" s="3"/>
      <c r="U198" s="3"/>
      <c r="V198" s="3"/>
    </row>
    <row r="199" spans="1:22">
      <c r="A199" s="3" t="str">
        <f>Records!A199</f>
        <v>P024</v>
      </c>
      <c r="B199" s="3">
        <f>Records!B199</f>
        <v>2</v>
      </c>
      <c r="C199" s="3" t="str">
        <f>Records!C199</f>
        <v>方法B</v>
      </c>
      <c r="D199" s="3" t="str">
        <f>Records!D199</f>
        <v>EgoAnchor</v>
      </c>
      <c r="E199" s="5">
        <f>IF(Records!G199="","",6-Records!G199)</f>
        <v>5</v>
      </c>
      <c r="F199" s="5">
        <f>IF(Records!I199="","",6-Records!I199)</f>
        <v>4</v>
      </c>
      <c r="G199" s="5">
        <f>IF(Records!L199="","",6-Records!L199)</f>
        <v>5</v>
      </c>
      <c r="H199" s="5">
        <f>IF(Records!N199="","",6-Records!N199)</f>
        <v>5</v>
      </c>
      <c r="I199" s="5">
        <f>IF(COUNT(Records!E199:J199)&lt;6,"",AVERAGE(Records!E199,Records!F199,E199,Records!H199,F199,Records!J199))</f>
        <v>4.66666666666667</v>
      </c>
      <c r="J199" s="5">
        <f>IF(COUNT(Records!K199:N199)&lt;4,"",AVERAGE(Records!K199,G199,Records!M199,H199))</f>
        <v>5</v>
      </c>
      <c r="K199" s="5">
        <f>IF(COUNT(Records!O199:Q199)&lt;3,"",AVERAGE(Records!O199:Q199))</f>
        <v>6</v>
      </c>
      <c r="L199" s="5">
        <f>Records!U199</f>
        <v>103</v>
      </c>
      <c r="M199" s="3">
        <f>199</f>
        <v>199</v>
      </c>
      <c r="N199" s="3"/>
      <c r="O199" s="3"/>
      <c r="P199" s="3"/>
      <c r="Q199" s="3"/>
      <c r="R199" s="3"/>
      <c r="S199" s="3"/>
      <c r="T199" s="3"/>
      <c r="U199" s="3"/>
      <c r="V199" s="3"/>
    </row>
    <row r="200" spans="1:2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>
      <c r="A203" s="11" t="s">
        <v>817</v>
      </c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ht="29" spans="1:22">
      <c r="A204" s="9" t="s">
        <v>349</v>
      </c>
      <c r="B204" s="9" t="s">
        <v>803</v>
      </c>
      <c r="C204" s="9" t="s">
        <v>476</v>
      </c>
      <c r="D204" s="9" t="s">
        <v>818</v>
      </c>
      <c r="E204" s="9" t="s">
        <v>819</v>
      </c>
      <c r="F204" s="9" t="s">
        <v>820</v>
      </c>
      <c r="G204" s="9" t="s">
        <v>821</v>
      </c>
      <c r="H204" s="9" t="s">
        <v>822</v>
      </c>
      <c r="I204" s="9" t="s">
        <v>823</v>
      </c>
      <c r="J204" s="9" t="s">
        <v>824</v>
      </c>
      <c r="K204" s="9" t="s">
        <v>804</v>
      </c>
      <c r="L204" s="9" t="s">
        <v>805</v>
      </c>
      <c r="M204" s="9" t="s">
        <v>825</v>
      </c>
      <c r="N204" s="9" t="s">
        <v>826</v>
      </c>
      <c r="O204" s="9" t="s">
        <v>827</v>
      </c>
      <c r="P204" s="9" t="s">
        <v>828</v>
      </c>
      <c r="Q204" s="9" t="s">
        <v>829</v>
      </c>
      <c r="R204" s="9" t="s">
        <v>830</v>
      </c>
      <c r="S204" s="9" t="s">
        <v>831</v>
      </c>
      <c r="T204" s="9" t="s">
        <v>832</v>
      </c>
      <c r="U204" s="9" t="s">
        <v>833</v>
      </c>
      <c r="V204" s="9" t="s">
        <v>834</v>
      </c>
    </row>
    <row r="205" spans="1:22">
      <c r="A205" s="3" t="str">
        <f>"P001"</f>
        <v>P001</v>
      </c>
      <c r="B205" s="3" t="str">
        <f>"One-Euro"</f>
        <v>One-Euro</v>
      </c>
      <c r="C205" s="3" t="str">
        <f>"方法B"</f>
        <v>方法B</v>
      </c>
      <c r="D205" s="5">
        <f t="shared" ref="D205:L205" si="0">AVERAGE(F6,F7,F10)</f>
        <v>3.33333333333333</v>
      </c>
      <c r="E205" s="5">
        <f t="shared" si="0"/>
        <v>5.33333333333333</v>
      </c>
      <c r="F205" s="5">
        <f t="shared" si="0"/>
        <v>5</v>
      </c>
      <c r="G205" s="5">
        <f t="shared" si="0"/>
        <v>4.33333333333333</v>
      </c>
      <c r="H205" s="5">
        <f t="shared" si="0"/>
        <v>3.66666666666667</v>
      </c>
      <c r="I205" s="5">
        <f t="shared" si="0"/>
        <v>4</v>
      </c>
      <c r="J205" s="5">
        <f t="shared" si="0"/>
        <v>4.33333333333333</v>
      </c>
      <c r="K205" s="5">
        <f t="shared" si="0"/>
        <v>4.66666666666667</v>
      </c>
      <c r="L205" s="5">
        <f t="shared" si="0"/>
        <v>4.88888888888889</v>
      </c>
      <c r="M205" s="5">
        <f>I153</f>
        <v>3.5</v>
      </c>
      <c r="N205" s="5">
        <f>J153</f>
        <v>3.25</v>
      </c>
      <c r="O205" s="5">
        <f>K153</f>
        <v>4.33333333333333</v>
      </c>
      <c r="P205" s="10">
        <f>IF(O6="是",1,0)+IF(O7="是",1,0)+IF(O10="是",1,0)</f>
        <v>3</v>
      </c>
      <c r="Q205" s="3" t="str">
        <f>Records!I203</f>
        <v>无明显偏好</v>
      </c>
      <c r="R205" s="3" t="str">
        <f>Records!J203</f>
        <v>EgoAnchor</v>
      </c>
      <c r="S205" s="10" t="str">
        <f>IF(Records!C203="","",Records!C203)</f>
        <v/>
      </c>
      <c r="T205" s="10">
        <f>Records!E203</f>
        <v>4</v>
      </c>
      <c r="U205" s="3" t="str">
        <f>"6,7,10"</f>
        <v>6,7,10</v>
      </c>
      <c r="V205" s="3">
        <f>153</f>
        <v>153</v>
      </c>
    </row>
    <row r="206" spans="1:22">
      <c r="A206" s="3" t="str">
        <f>"P001"</f>
        <v>P001</v>
      </c>
      <c r="B206" s="3" t="str">
        <f>"EgoAnchor"</f>
        <v>EgoAnchor</v>
      </c>
      <c r="C206" s="3" t="str">
        <f>"方法A"</f>
        <v>方法A</v>
      </c>
      <c r="D206" s="5">
        <f t="shared" ref="D206:L206" si="1">AVERAGE(F5,F8,F9)</f>
        <v>5</v>
      </c>
      <c r="E206" s="5">
        <f t="shared" si="1"/>
        <v>5.33333333333333</v>
      </c>
      <c r="F206" s="5">
        <f t="shared" si="1"/>
        <v>5.33333333333333</v>
      </c>
      <c r="G206" s="5">
        <f t="shared" si="1"/>
        <v>4.66666666666667</v>
      </c>
      <c r="H206" s="5">
        <f t="shared" si="1"/>
        <v>5.33333333333333</v>
      </c>
      <c r="I206" s="5">
        <f t="shared" si="1"/>
        <v>5</v>
      </c>
      <c r="J206" s="5">
        <f t="shared" si="1"/>
        <v>4.66666666666667</v>
      </c>
      <c r="K206" s="5">
        <f t="shared" si="1"/>
        <v>4.88888888888889</v>
      </c>
      <c r="L206" s="5">
        <f t="shared" si="1"/>
        <v>4.88888888888889</v>
      </c>
      <c r="M206" s="5">
        <f>I152</f>
        <v>5</v>
      </c>
      <c r="N206" s="5">
        <f>J152</f>
        <v>4.5</v>
      </c>
      <c r="O206" s="5">
        <f>K152</f>
        <v>6</v>
      </c>
      <c r="P206" s="10">
        <f>IF(O5="是",1,0)+IF(O8="是",1,0)+IF(O9="是",1,0)</f>
        <v>3</v>
      </c>
      <c r="Q206" s="3" t="str">
        <f>Records!I203</f>
        <v>无明显偏好</v>
      </c>
      <c r="R206" s="3" t="str">
        <f>Records!J203</f>
        <v>EgoAnchor</v>
      </c>
      <c r="S206" s="10" t="str">
        <f>IF(Records!C203="","",Records!C203)</f>
        <v/>
      </c>
      <c r="T206" s="10">
        <f>Records!E203</f>
        <v>4</v>
      </c>
      <c r="U206" s="3" t="str">
        <f>"5,8,9"</f>
        <v>5,8,9</v>
      </c>
      <c r="V206" s="3">
        <f>152</f>
        <v>152</v>
      </c>
    </row>
    <row r="207" spans="1:22">
      <c r="A207" s="3" t="str">
        <f>"P002"</f>
        <v>P002</v>
      </c>
      <c r="B207" s="3" t="str">
        <f>"One-Euro"</f>
        <v>One-Euro</v>
      </c>
      <c r="C207" s="3" t="str">
        <f>"方法B"</f>
        <v>方法B</v>
      </c>
      <c r="D207" s="5">
        <f t="shared" ref="D207:L207" si="2">AVERAGE(F11,F14,F15)</f>
        <v>4.66666666666667</v>
      </c>
      <c r="E207" s="5">
        <f t="shared" si="2"/>
        <v>4.66666666666667</v>
      </c>
      <c r="F207" s="5">
        <f t="shared" si="2"/>
        <v>6.33333333333333</v>
      </c>
      <c r="G207" s="5">
        <f t="shared" si="2"/>
        <v>4.33333333333333</v>
      </c>
      <c r="H207" s="5">
        <f t="shared" si="2"/>
        <v>4.66666666666667</v>
      </c>
      <c r="I207" s="5">
        <f t="shared" si="2"/>
        <v>5</v>
      </c>
      <c r="J207" s="5">
        <f t="shared" si="2"/>
        <v>4.66666666666667</v>
      </c>
      <c r="K207" s="5">
        <f t="shared" si="2"/>
        <v>5.22222222222222</v>
      </c>
      <c r="L207" s="5">
        <f t="shared" si="2"/>
        <v>5.66666666666667</v>
      </c>
      <c r="M207" s="5">
        <f>I154</f>
        <v>4.66666666666667</v>
      </c>
      <c r="N207" s="5">
        <f>J154</f>
        <v>4</v>
      </c>
      <c r="O207" s="5">
        <f>K154</f>
        <v>5.66666666666667</v>
      </c>
      <c r="P207" s="10">
        <f>IF(O11="是",1,0)+IF(O14="是",1,0)+IF(O15="是",1,0)</f>
        <v>3</v>
      </c>
      <c r="Q207" s="3" t="str">
        <f>Records!I204</f>
        <v>EgoAnchor</v>
      </c>
      <c r="R207" s="3" t="str">
        <f>Records!J204</f>
        <v>EgoAnchor</v>
      </c>
      <c r="S207" s="10">
        <f>IF(Records!C204="","",Records!C204)</f>
        <v>4</v>
      </c>
      <c r="T207" s="10">
        <f>Records!E204</f>
        <v>5</v>
      </c>
      <c r="U207" s="3" t="str">
        <f>"11,14,15"</f>
        <v>11,14,15</v>
      </c>
      <c r="V207" s="3">
        <f>154</f>
        <v>154</v>
      </c>
    </row>
    <row r="208" spans="1:22">
      <c r="A208" s="3" t="str">
        <f>"P002"</f>
        <v>P002</v>
      </c>
      <c r="B208" s="3" t="str">
        <f>"EgoAnchor"</f>
        <v>EgoAnchor</v>
      </c>
      <c r="C208" s="3" t="str">
        <f>"方法A"</f>
        <v>方法A</v>
      </c>
      <c r="D208" s="5">
        <f t="shared" ref="D208:L208" si="3">AVERAGE(F12,F13,F16)</f>
        <v>5.33333333333333</v>
      </c>
      <c r="E208" s="5">
        <f t="shared" si="3"/>
        <v>6</v>
      </c>
      <c r="F208" s="5">
        <f t="shared" si="3"/>
        <v>5</v>
      </c>
      <c r="G208" s="5">
        <f t="shared" si="3"/>
        <v>6</v>
      </c>
      <c r="H208" s="5">
        <f t="shared" si="3"/>
        <v>6.33333333333333</v>
      </c>
      <c r="I208" s="5">
        <f t="shared" si="3"/>
        <v>6.66666666666667</v>
      </c>
      <c r="J208" s="5">
        <f t="shared" si="3"/>
        <v>5.33333333333333</v>
      </c>
      <c r="K208" s="5">
        <f t="shared" si="3"/>
        <v>5.66666666666667</v>
      </c>
      <c r="L208" s="5">
        <f t="shared" si="3"/>
        <v>5.55555555555556</v>
      </c>
      <c r="M208" s="5">
        <f>I155</f>
        <v>4.83333333333333</v>
      </c>
      <c r="N208" s="5">
        <f>J155</f>
        <v>4.75</v>
      </c>
      <c r="O208" s="5">
        <f>K155</f>
        <v>6.66666666666667</v>
      </c>
      <c r="P208" s="10">
        <f>IF(O12="是",1,0)+IF(O13="是",1,0)+IF(O16="是",1,0)</f>
        <v>3</v>
      </c>
      <c r="Q208" s="3" t="str">
        <f>Records!I204</f>
        <v>EgoAnchor</v>
      </c>
      <c r="R208" s="3" t="str">
        <f>Records!J204</f>
        <v>EgoAnchor</v>
      </c>
      <c r="S208" s="10">
        <f>IF(Records!C204="","",Records!C204)</f>
        <v>4</v>
      </c>
      <c r="T208" s="10">
        <f>Records!E204</f>
        <v>5</v>
      </c>
      <c r="U208" s="3" t="str">
        <f>"12,13,16"</f>
        <v>12,13,16</v>
      </c>
      <c r="V208" s="3">
        <f>155</f>
        <v>155</v>
      </c>
    </row>
    <row r="209" spans="1:22">
      <c r="A209" s="3" t="str">
        <f>"P003"</f>
        <v>P003</v>
      </c>
      <c r="B209" s="3" t="str">
        <f>"One-Euro"</f>
        <v>One-Euro</v>
      </c>
      <c r="C209" s="3" t="str">
        <f>"方法A"</f>
        <v>方法A</v>
      </c>
      <c r="D209" s="5">
        <f t="shared" ref="D209:L209" si="4">AVERAGE(F18,F19,F22)</f>
        <v>4.66666666666667</v>
      </c>
      <c r="E209" s="5">
        <f t="shared" si="4"/>
        <v>5</v>
      </c>
      <c r="F209" s="5">
        <f t="shared" si="4"/>
        <v>5</v>
      </c>
      <c r="G209" s="5">
        <f t="shared" si="4"/>
        <v>4.33333333333333</v>
      </c>
      <c r="H209" s="5">
        <f t="shared" si="4"/>
        <v>4.66666666666667</v>
      </c>
      <c r="I209" s="5">
        <f t="shared" si="4"/>
        <v>4.33333333333333</v>
      </c>
      <c r="J209" s="5">
        <f t="shared" si="4"/>
        <v>5</v>
      </c>
      <c r="K209" s="5">
        <f t="shared" si="4"/>
        <v>5</v>
      </c>
      <c r="L209" s="5">
        <f t="shared" si="4"/>
        <v>5.33333333333333</v>
      </c>
      <c r="M209" s="5">
        <f>I157</f>
        <v>5</v>
      </c>
      <c r="N209" s="5">
        <f>J157</f>
        <v>4.25</v>
      </c>
      <c r="O209" s="5">
        <f>K157</f>
        <v>5.66666666666667</v>
      </c>
      <c r="P209" s="10">
        <f>IF(O18="是",1,0)+IF(O19="是",1,0)+IF(O22="是",1,0)</f>
        <v>3</v>
      </c>
      <c r="Q209" s="3" t="str">
        <f>Records!I205</f>
        <v>EgoAnchor</v>
      </c>
      <c r="R209" s="3" t="str">
        <f>Records!J205</f>
        <v>EgoAnchor</v>
      </c>
      <c r="S209" s="10">
        <f>IF(Records!C205="","",Records!C205)</f>
        <v>3</v>
      </c>
      <c r="T209" s="10">
        <f>Records!E205</f>
        <v>7</v>
      </c>
      <c r="U209" s="3" t="str">
        <f>"18,19,22"</f>
        <v>18,19,22</v>
      </c>
      <c r="V209" s="3">
        <f>157</f>
        <v>157</v>
      </c>
    </row>
    <row r="210" spans="1:22">
      <c r="A210" s="3" t="str">
        <f>"P003"</f>
        <v>P003</v>
      </c>
      <c r="B210" s="3" t="str">
        <f>"EgoAnchor"</f>
        <v>EgoAnchor</v>
      </c>
      <c r="C210" s="3" t="str">
        <f>"方法B"</f>
        <v>方法B</v>
      </c>
      <c r="D210" s="5">
        <f t="shared" ref="D210:L210" si="5">AVERAGE(F17,F20,F21)</f>
        <v>5.66666666666667</v>
      </c>
      <c r="E210" s="5">
        <f t="shared" si="5"/>
        <v>5</v>
      </c>
      <c r="F210" s="5">
        <f t="shared" si="5"/>
        <v>4.66666666666667</v>
      </c>
      <c r="G210" s="5">
        <f t="shared" si="5"/>
        <v>5.33333333333333</v>
      </c>
      <c r="H210" s="5">
        <f t="shared" si="5"/>
        <v>5.66666666666667</v>
      </c>
      <c r="I210" s="5">
        <f t="shared" si="5"/>
        <v>5.33333333333333</v>
      </c>
      <c r="J210" s="5">
        <f t="shared" si="5"/>
        <v>5</v>
      </c>
      <c r="K210" s="5">
        <f t="shared" si="5"/>
        <v>5.66666666666667</v>
      </c>
      <c r="L210" s="5">
        <f t="shared" si="5"/>
        <v>5.77777777777778</v>
      </c>
      <c r="M210" s="5">
        <f>I156</f>
        <v>5</v>
      </c>
      <c r="N210" s="5">
        <f>J156</f>
        <v>5</v>
      </c>
      <c r="O210" s="5">
        <f>K156</f>
        <v>7</v>
      </c>
      <c r="P210" s="10">
        <f>IF(O17="是",1,0)+IF(O20="是",1,0)+IF(O21="是",1,0)</f>
        <v>3</v>
      </c>
      <c r="Q210" s="3" t="str">
        <f>Records!I205</f>
        <v>EgoAnchor</v>
      </c>
      <c r="R210" s="3" t="str">
        <f>Records!J205</f>
        <v>EgoAnchor</v>
      </c>
      <c r="S210" s="10">
        <f>IF(Records!C205="","",Records!C205)</f>
        <v>3</v>
      </c>
      <c r="T210" s="10">
        <f>Records!E205</f>
        <v>7</v>
      </c>
      <c r="U210" s="3" t="str">
        <f>"17,20,21"</f>
        <v>17,20,21</v>
      </c>
      <c r="V210" s="3">
        <f>156</f>
        <v>156</v>
      </c>
    </row>
    <row r="211" spans="1:22">
      <c r="A211" s="3" t="str">
        <f>"P004"</f>
        <v>P004</v>
      </c>
      <c r="B211" s="3" t="str">
        <f>"One-Euro"</f>
        <v>One-Euro</v>
      </c>
      <c r="C211" s="3" t="str">
        <f>"方法A"</f>
        <v>方法A</v>
      </c>
      <c r="D211" s="5">
        <f t="shared" ref="D211:L211" si="6">AVERAGE(F23,F26,F27)</f>
        <v>5.33333333333333</v>
      </c>
      <c r="E211" s="5">
        <f t="shared" si="6"/>
        <v>4.66666666666667</v>
      </c>
      <c r="F211" s="5">
        <f t="shared" si="6"/>
        <v>4</v>
      </c>
      <c r="G211" s="5">
        <f t="shared" si="6"/>
        <v>4</v>
      </c>
      <c r="H211" s="5">
        <f t="shared" si="6"/>
        <v>4.66666666666667</v>
      </c>
      <c r="I211" s="5">
        <f t="shared" si="6"/>
        <v>4.33333333333333</v>
      </c>
      <c r="J211" s="5">
        <f t="shared" si="6"/>
        <v>3.66666666666667</v>
      </c>
      <c r="K211" s="5">
        <f t="shared" si="6"/>
        <v>4.22222222222222</v>
      </c>
      <c r="L211" s="5">
        <f t="shared" si="6"/>
        <v>4.44444444444444</v>
      </c>
      <c r="M211" s="5">
        <f>I158</f>
        <v>4.5</v>
      </c>
      <c r="N211" s="5">
        <f>J158</f>
        <v>4</v>
      </c>
      <c r="O211" s="5">
        <f>K158</f>
        <v>5</v>
      </c>
      <c r="P211" s="10">
        <f>IF(O23="是",1,0)+IF(O26="是",1,0)+IF(O27="是",1,0)</f>
        <v>3</v>
      </c>
      <c r="Q211" s="3" t="str">
        <f>Records!I206</f>
        <v>One-Euro</v>
      </c>
      <c r="R211" s="3" t="str">
        <f>Records!J206</f>
        <v>One-Euro</v>
      </c>
      <c r="S211" s="10">
        <f>IF(Records!C206="","",Records!C206)</f>
        <v>2</v>
      </c>
      <c r="T211" s="10">
        <f>Records!E206</f>
        <v>5</v>
      </c>
      <c r="U211" s="3" t="str">
        <f>"23,26,27"</f>
        <v>23,26,27</v>
      </c>
      <c r="V211" s="3">
        <f>158</f>
        <v>158</v>
      </c>
    </row>
    <row r="212" spans="1:22">
      <c r="A212" s="3" t="str">
        <f>"P004"</f>
        <v>P004</v>
      </c>
      <c r="B212" s="3" t="str">
        <f>"EgoAnchor"</f>
        <v>EgoAnchor</v>
      </c>
      <c r="C212" s="3" t="str">
        <f>"方法B"</f>
        <v>方法B</v>
      </c>
      <c r="D212" s="5">
        <f t="shared" ref="D212:L212" si="7">AVERAGE(F24,F25,F28)</f>
        <v>4.33333333333333</v>
      </c>
      <c r="E212" s="5">
        <f t="shared" si="7"/>
        <v>5.33333333333333</v>
      </c>
      <c r="F212" s="5">
        <f t="shared" si="7"/>
        <v>4.33333333333333</v>
      </c>
      <c r="G212" s="5">
        <f t="shared" si="7"/>
        <v>4.66666666666667</v>
      </c>
      <c r="H212" s="5">
        <f t="shared" si="7"/>
        <v>2.66666666666667</v>
      </c>
      <c r="I212" s="5">
        <f t="shared" si="7"/>
        <v>4</v>
      </c>
      <c r="J212" s="5">
        <f t="shared" si="7"/>
        <v>4.66666666666667</v>
      </c>
      <c r="K212" s="5">
        <f t="shared" si="7"/>
        <v>4.66666666666667</v>
      </c>
      <c r="L212" s="5">
        <f t="shared" si="7"/>
        <v>4.55555555555556</v>
      </c>
      <c r="M212" s="5">
        <f>I159</f>
        <v>4.5</v>
      </c>
      <c r="N212" s="5">
        <f>J159</f>
        <v>4</v>
      </c>
      <c r="O212" s="5">
        <f>K159</f>
        <v>5</v>
      </c>
      <c r="P212" s="10">
        <f>IF(O24="是",1,0)+IF(O25="是",1,0)+IF(O28="是",1,0)</f>
        <v>3</v>
      </c>
      <c r="Q212" s="3" t="str">
        <f>Records!I206</f>
        <v>One-Euro</v>
      </c>
      <c r="R212" s="3" t="str">
        <f>Records!J206</f>
        <v>One-Euro</v>
      </c>
      <c r="S212" s="10">
        <f>IF(Records!C206="","",Records!C206)</f>
        <v>2</v>
      </c>
      <c r="T212" s="10">
        <f>Records!E206</f>
        <v>5</v>
      </c>
      <c r="U212" s="3" t="str">
        <f>"24,25,28"</f>
        <v>24,25,28</v>
      </c>
      <c r="V212" s="3">
        <f>159</f>
        <v>159</v>
      </c>
    </row>
    <row r="213" spans="1:22">
      <c r="A213" s="3" t="str">
        <f>"P005"</f>
        <v>P005</v>
      </c>
      <c r="B213" s="3" t="str">
        <f>"One-Euro"</f>
        <v>One-Euro</v>
      </c>
      <c r="C213" s="3" t="str">
        <f>"方法B"</f>
        <v>方法B</v>
      </c>
      <c r="D213" s="5">
        <f t="shared" ref="D213:L213" si="8">AVERAGE(F30,F31,F34)</f>
        <v>4.33333333333333</v>
      </c>
      <c r="E213" s="5">
        <f t="shared" si="8"/>
        <v>4.33333333333333</v>
      </c>
      <c r="F213" s="5">
        <f t="shared" si="8"/>
        <v>4.33333333333333</v>
      </c>
      <c r="G213" s="5">
        <f t="shared" si="8"/>
        <v>4.66666666666667</v>
      </c>
      <c r="H213" s="5">
        <f t="shared" si="8"/>
        <v>3.33333333333333</v>
      </c>
      <c r="I213" s="5">
        <f t="shared" si="8"/>
        <v>4.66666666666667</v>
      </c>
      <c r="J213" s="5">
        <f t="shared" si="8"/>
        <v>5</v>
      </c>
      <c r="K213" s="5">
        <f t="shared" si="8"/>
        <v>5.11111111111111</v>
      </c>
      <c r="L213" s="5">
        <f t="shared" si="8"/>
        <v>5.33333333333333</v>
      </c>
      <c r="M213" s="5">
        <f>I161</f>
        <v>3.5</v>
      </c>
      <c r="N213" s="5">
        <f>J161</f>
        <v>4</v>
      </c>
      <c r="O213" s="5">
        <f>K161</f>
        <v>4.66666666666667</v>
      </c>
      <c r="P213" s="10">
        <f>IF(O30="是",1,0)+IF(O31="是",1,0)+IF(O34="是",1,0)</f>
        <v>3</v>
      </c>
      <c r="Q213" s="3" t="str">
        <f>Records!I207</f>
        <v>EgoAnchor</v>
      </c>
      <c r="R213" s="3" t="str">
        <f>Records!J207</f>
        <v>EgoAnchor</v>
      </c>
      <c r="S213" s="10">
        <f>IF(Records!C207="","",Records!C207)</f>
        <v>6</v>
      </c>
      <c r="T213" s="10">
        <f>Records!E207</f>
        <v>7</v>
      </c>
      <c r="U213" s="3" t="str">
        <f>"30,31,34"</f>
        <v>30,31,34</v>
      </c>
      <c r="V213" s="3">
        <f>161</f>
        <v>161</v>
      </c>
    </row>
    <row r="214" spans="1:22">
      <c r="A214" s="3" t="str">
        <f>"P005"</f>
        <v>P005</v>
      </c>
      <c r="B214" s="3" t="str">
        <f>"EgoAnchor"</f>
        <v>EgoAnchor</v>
      </c>
      <c r="C214" s="3" t="str">
        <f>"方法A"</f>
        <v>方法A</v>
      </c>
      <c r="D214" s="5">
        <f t="shared" ref="D214:L214" si="9">AVERAGE(F29,F32,F33)</f>
        <v>6.33333333333333</v>
      </c>
      <c r="E214" s="5">
        <f t="shared" si="9"/>
        <v>6.33333333333333</v>
      </c>
      <c r="F214" s="5">
        <f t="shared" si="9"/>
        <v>5.33333333333333</v>
      </c>
      <c r="G214" s="5">
        <f t="shared" si="9"/>
        <v>5.33333333333333</v>
      </c>
      <c r="H214" s="5">
        <f t="shared" si="9"/>
        <v>6.33333333333333</v>
      </c>
      <c r="I214" s="5">
        <f t="shared" si="9"/>
        <v>5</v>
      </c>
      <c r="J214" s="5">
        <f t="shared" si="9"/>
        <v>5</v>
      </c>
      <c r="K214" s="5">
        <f t="shared" si="9"/>
        <v>5.44444444444445</v>
      </c>
      <c r="L214" s="5">
        <f t="shared" si="9"/>
        <v>5.11111111111111</v>
      </c>
      <c r="M214" s="5">
        <f>I160</f>
        <v>4.5</v>
      </c>
      <c r="N214" s="5">
        <f>J160</f>
        <v>5</v>
      </c>
      <c r="O214" s="5">
        <f>K160</f>
        <v>5.66666666666667</v>
      </c>
      <c r="P214" s="10">
        <f>IF(O29="是",1,0)+IF(O32="是",1,0)+IF(O33="是",1,0)</f>
        <v>3</v>
      </c>
      <c r="Q214" s="3" t="str">
        <f>Records!I207</f>
        <v>EgoAnchor</v>
      </c>
      <c r="R214" s="3" t="str">
        <f>Records!J207</f>
        <v>EgoAnchor</v>
      </c>
      <c r="S214" s="10">
        <f>IF(Records!C207="","",Records!C207)</f>
        <v>6</v>
      </c>
      <c r="T214" s="10">
        <f>Records!E207</f>
        <v>7</v>
      </c>
      <c r="U214" s="3" t="str">
        <f>"29,32,33"</f>
        <v>29,32,33</v>
      </c>
      <c r="V214" s="3">
        <f>160</f>
        <v>160</v>
      </c>
    </row>
    <row r="215" spans="1:22">
      <c r="A215" s="3" t="str">
        <f>"P006"</f>
        <v>P006</v>
      </c>
      <c r="B215" s="3" t="str">
        <f>"One-Euro"</f>
        <v>One-Euro</v>
      </c>
      <c r="C215" s="3" t="str">
        <f>"方法B"</f>
        <v>方法B</v>
      </c>
      <c r="D215" s="5">
        <f t="shared" ref="D215:L215" si="10">AVERAGE(F35,F38,F39)</f>
        <v>3.66666666666667</v>
      </c>
      <c r="E215" s="5">
        <f t="shared" si="10"/>
        <v>5.33333333333333</v>
      </c>
      <c r="F215" s="5">
        <f t="shared" si="10"/>
        <v>4</v>
      </c>
      <c r="G215" s="5">
        <f t="shared" si="10"/>
        <v>4.66666666666667</v>
      </c>
      <c r="H215" s="5">
        <f t="shared" si="10"/>
        <v>3.33333333333333</v>
      </c>
      <c r="I215" s="5">
        <f t="shared" si="10"/>
        <v>4.33333333333333</v>
      </c>
      <c r="J215" s="5">
        <f t="shared" si="10"/>
        <v>4.66666666666667</v>
      </c>
      <c r="K215" s="5">
        <f t="shared" si="10"/>
        <v>4.77777777777778</v>
      </c>
      <c r="L215" s="5">
        <f t="shared" si="10"/>
        <v>4.88888888888889</v>
      </c>
      <c r="M215" s="5">
        <f>I162</f>
        <v>3.66666666666667</v>
      </c>
      <c r="N215" s="5">
        <f>J162</f>
        <v>3.25</v>
      </c>
      <c r="O215" s="5">
        <f>K162</f>
        <v>4.66666666666667</v>
      </c>
      <c r="P215" s="10">
        <f>IF(O35="是",1,0)+IF(O38="是",1,0)+IF(O39="是",1,0)</f>
        <v>3</v>
      </c>
      <c r="Q215" s="3" t="str">
        <f>Records!I208</f>
        <v>无明显偏好</v>
      </c>
      <c r="R215" s="3" t="str">
        <f>Records!J208</f>
        <v>EgoAnchor</v>
      </c>
      <c r="S215" s="10" t="str">
        <f>IF(Records!C208="","",Records!C208)</f>
        <v/>
      </c>
      <c r="T215" s="10">
        <f>Records!E208</f>
        <v>5</v>
      </c>
      <c r="U215" s="3" t="str">
        <f>"35,38,39"</f>
        <v>35,38,39</v>
      </c>
      <c r="V215" s="3">
        <f>162</f>
        <v>162</v>
      </c>
    </row>
    <row r="216" spans="1:22">
      <c r="A216" s="3" t="str">
        <f>"P006"</f>
        <v>P006</v>
      </c>
      <c r="B216" s="3" t="str">
        <f>"EgoAnchor"</f>
        <v>EgoAnchor</v>
      </c>
      <c r="C216" s="3" t="str">
        <f>"方法A"</f>
        <v>方法A</v>
      </c>
      <c r="D216" s="5">
        <f t="shared" ref="D216:L216" si="11">AVERAGE(F36,F37,F40)</f>
        <v>4.33333333333333</v>
      </c>
      <c r="E216" s="5">
        <f t="shared" si="11"/>
        <v>5.33333333333333</v>
      </c>
      <c r="F216" s="5">
        <f t="shared" si="11"/>
        <v>4.66666666666667</v>
      </c>
      <c r="G216" s="5">
        <f t="shared" si="11"/>
        <v>4.33333333333333</v>
      </c>
      <c r="H216" s="5">
        <f t="shared" si="11"/>
        <v>5.33333333333333</v>
      </c>
      <c r="I216" s="5">
        <f t="shared" si="11"/>
        <v>5</v>
      </c>
      <c r="J216" s="5">
        <f t="shared" si="11"/>
        <v>5</v>
      </c>
      <c r="K216" s="5">
        <f t="shared" si="11"/>
        <v>5.11111111111111</v>
      </c>
      <c r="L216" s="5">
        <f t="shared" si="11"/>
        <v>4.66666666666667</v>
      </c>
      <c r="M216" s="5">
        <f>I163</f>
        <v>3.83333333333333</v>
      </c>
      <c r="N216" s="5">
        <f>J163</f>
        <v>3.75</v>
      </c>
      <c r="O216" s="5">
        <f>K163</f>
        <v>4.66666666666667</v>
      </c>
      <c r="P216" s="10">
        <f>IF(O36="是",1,0)+IF(O37="是",1,0)+IF(O40="是",1,0)</f>
        <v>3</v>
      </c>
      <c r="Q216" s="3" t="str">
        <f>Records!I208</f>
        <v>无明显偏好</v>
      </c>
      <c r="R216" s="3" t="str">
        <f>Records!J208</f>
        <v>EgoAnchor</v>
      </c>
      <c r="S216" s="10" t="str">
        <f>IF(Records!C208="","",Records!C208)</f>
        <v/>
      </c>
      <c r="T216" s="10">
        <f>Records!E208</f>
        <v>5</v>
      </c>
      <c r="U216" s="3" t="str">
        <f>"36,37,40"</f>
        <v>36,37,40</v>
      </c>
      <c r="V216" s="3">
        <f>163</f>
        <v>163</v>
      </c>
    </row>
    <row r="217" spans="1:22">
      <c r="A217" s="3" t="str">
        <f>"P007"</f>
        <v>P007</v>
      </c>
      <c r="B217" s="3" t="str">
        <f>"One-Euro"</f>
        <v>One-Euro</v>
      </c>
      <c r="C217" s="3" t="str">
        <f>"方法A"</f>
        <v>方法A</v>
      </c>
      <c r="D217" s="5">
        <f t="shared" ref="D217:L217" si="12">AVERAGE(F42,F43,F46)</f>
        <v>4.33333333333333</v>
      </c>
      <c r="E217" s="5">
        <f t="shared" si="12"/>
        <v>4</v>
      </c>
      <c r="F217" s="5">
        <f t="shared" si="12"/>
        <v>5</v>
      </c>
      <c r="G217" s="5">
        <f t="shared" si="12"/>
        <v>5.33333333333333</v>
      </c>
      <c r="H217" s="5">
        <f t="shared" si="12"/>
        <v>4.33333333333333</v>
      </c>
      <c r="I217" s="5">
        <f t="shared" si="12"/>
        <v>3.66666666666667</v>
      </c>
      <c r="J217" s="5">
        <f t="shared" si="12"/>
        <v>4.66666666666667</v>
      </c>
      <c r="K217" s="5">
        <f t="shared" si="12"/>
        <v>5.11111111111111</v>
      </c>
      <c r="L217" s="5">
        <f t="shared" si="12"/>
        <v>5.22222222222222</v>
      </c>
      <c r="M217" s="5">
        <f>I165</f>
        <v>4.16666666666667</v>
      </c>
      <c r="N217" s="5">
        <f>J165</f>
        <v>4.25</v>
      </c>
      <c r="O217" s="5">
        <f>K165</f>
        <v>5</v>
      </c>
      <c r="P217" s="10">
        <f>IF(O42="是",1,0)+IF(O43="是",1,0)+IF(O46="是",1,0)</f>
        <v>3</v>
      </c>
      <c r="Q217" s="3" t="str">
        <f>Records!I209</f>
        <v>EgoAnchor</v>
      </c>
      <c r="R217" s="3" t="str">
        <f>Records!J209</f>
        <v>EgoAnchor</v>
      </c>
      <c r="S217" s="10">
        <f>IF(Records!C209="","",Records!C209)</f>
        <v>5</v>
      </c>
      <c r="T217" s="10">
        <f>Records!E209</f>
        <v>6</v>
      </c>
      <c r="U217" s="3" t="str">
        <f>"42,43,46"</f>
        <v>42,43,46</v>
      </c>
      <c r="V217" s="3">
        <f>165</f>
        <v>165</v>
      </c>
    </row>
    <row r="218" spans="1:22">
      <c r="A218" s="3" t="str">
        <f>"P007"</f>
        <v>P007</v>
      </c>
      <c r="B218" s="3" t="str">
        <f>"EgoAnchor"</f>
        <v>EgoAnchor</v>
      </c>
      <c r="C218" s="3" t="str">
        <f>"方法B"</f>
        <v>方法B</v>
      </c>
      <c r="D218" s="5">
        <f t="shared" ref="D218:L218" si="13">AVERAGE(F41,F44,F45)</f>
        <v>5</v>
      </c>
      <c r="E218" s="5">
        <f t="shared" si="13"/>
        <v>5</v>
      </c>
      <c r="F218" s="5">
        <f t="shared" si="13"/>
        <v>5.33333333333333</v>
      </c>
      <c r="G218" s="5">
        <f t="shared" si="13"/>
        <v>5.33333333333333</v>
      </c>
      <c r="H218" s="5">
        <f t="shared" si="13"/>
        <v>5.66666666666667</v>
      </c>
      <c r="I218" s="5">
        <f t="shared" si="13"/>
        <v>4.66666666666667</v>
      </c>
      <c r="J218" s="5">
        <f t="shared" si="13"/>
        <v>5.33333333333333</v>
      </c>
      <c r="K218" s="5">
        <f t="shared" si="13"/>
        <v>5.22222222222222</v>
      </c>
      <c r="L218" s="5">
        <f t="shared" si="13"/>
        <v>5.44444444444444</v>
      </c>
      <c r="M218" s="5">
        <f>I164</f>
        <v>4.83333333333333</v>
      </c>
      <c r="N218" s="5">
        <f>J164</f>
        <v>4</v>
      </c>
      <c r="O218" s="5">
        <f>K164</f>
        <v>5.66666666666667</v>
      </c>
      <c r="P218" s="10">
        <f>IF(O41="是",1,0)+IF(O44="是",1,0)+IF(O45="是",1,0)</f>
        <v>3</v>
      </c>
      <c r="Q218" s="3" t="str">
        <f>Records!I209</f>
        <v>EgoAnchor</v>
      </c>
      <c r="R218" s="3" t="str">
        <f>Records!J209</f>
        <v>EgoAnchor</v>
      </c>
      <c r="S218" s="10">
        <f>IF(Records!C209="","",Records!C209)</f>
        <v>5</v>
      </c>
      <c r="T218" s="10">
        <f>Records!E209</f>
        <v>6</v>
      </c>
      <c r="U218" s="3" t="str">
        <f>"41,44,45"</f>
        <v>41,44,45</v>
      </c>
      <c r="V218" s="3">
        <f>164</f>
        <v>164</v>
      </c>
    </row>
    <row r="219" spans="1:22">
      <c r="A219" s="3" t="str">
        <f>"P008"</f>
        <v>P008</v>
      </c>
      <c r="B219" s="3" t="str">
        <f>"One-Euro"</f>
        <v>One-Euro</v>
      </c>
      <c r="C219" s="3" t="str">
        <f>"方法A"</f>
        <v>方法A</v>
      </c>
      <c r="D219" s="5">
        <f t="shared" ref="D219:L219" si="14">AVERAGE(F47,F50,F51)</f>
        <v>4.66666666666667</v>
      </c>
      <c r="E219" s="5">
        <f t="shared" si="14"/>
        <v>4.66666666666667</v>
      </c>
      <c r="F219" s="5">
        <f t="shared" si="14"/>
        <v>4.33333333333333</v>
      </c>
      <c r="G219" s="5">
        <f t="shared" si="14"/>
        <v>4.66666666666667</v>
      </c>
      <c r="H219" s="5">
        <f t="shared" si="14"/>
        <v>4</v>
      </c>
      <c r="I219" s="5">
        <f t="shared" si="14"/>
        <v>4.33333333333333</v>
      </c>
      <c r="J219" s="5">
        <f t="shared" si="14"/>
        <v>5</v>
      </c>
      <c r="K219" s="5">
        <f t="shared" si="14"/>
        <v>4.66666666666667</v>
      </c>
      <c r="L219" s="5">
        <f t="shared" si="14"/>
        <v>4.55555555555555</v>
      </c>
      <c r="M219" s="5">
        <f>I166</f>
        <v>4.66666666666667</v>
      </c>
      <c r="N219" s="5">
        <f>J166</f>
        <v>4.25</v>
      </c>
      <c r="O219" s="5">
        <f>K166</f>
        <v>6.33333333333333</v>
      </c>
      <c r="P219" s="10">
        <f>IF(O47="是",1,0)+IF(O50="是",1,0)+IF(O51="是",1,0)</f>
        <v>3</v>
      </c>
      <c r="Q219" s="3" t="str">
        <f>Records!I210</f>
        <v>无明显偏好</v>
      </c>
      <c r="R219" s="3" t="str">
        <f>Records!J210</f>
        <v>无明显偏好</v>
      </c>
      <c r="S219" s="10" t="str">
        <f>IF(Records!C210="","",Records!C210)</f>
        <v/>
      </c>
      <c r="T219" s="10">
        <f>Records!E210</f>
        <v>5</v>
      </c>
      <c r="U219" s="3" t="str">
        <f>"47,50,51"</f>
        <v>47,50,51</v>
      </c>
      <c r="V219" s="3">
        <f>166</f>
        <v>166</v>
      </c>
    </row>
    <row r="220" spans="1:22">
      <c r="A220" s="3" t="str">
        <f>"P008"</f>
        <v>P008</v>
      </c>
      <c r="B220" s="3" t="str">
        <f>"EgoAnchor"</f>
        <v>EgoAnchor</v>
      </c>
      <c r="C220" s="3" t="str">
        <f>"方法B"</f>
        <v>方法B</v>
      </c>
      <c r="D220" s="5">
        <f t="shared" ref="D220:L220" si="15">AVERAGE(F48,F49,F52)</f>
        <v>4.33333333333333</v>
      </c>
      <c r="E220" s="5">
        <f t="shared" si="15"/>
        <v>5</v>
      </c>
      <c r="F220" s="5">
        <f t="shared" si="15"/>
        <v>5.33333333333333</v>
      </c>
      <c r="G220" s="5">
        <f t="shared" si="15"/>
        <v>5.33333333333333</v>
      </c>
      <c r="H220" s="5">
        <f t="shared" si="15"/>
        <v>4</v>
      </c>
      <c r="I220" s="5">
        <f t="shared" si="15"/>
        <v>3.66666666666667</v>
      </c>
      <c r="J220" s="5">
        <f t="shared" si="15"/>
        <v>4.66666666666667</v>
      </c>
      <c r="K220" s="5">
        <f t="shared" si="15"/>
        <v>4.33333333333333</v>
      </c>
      <c r="L220" s="5">
        <f t="shared" si="15"/>
        <v>4.33333333333333</v>
      </c>
      <c r="M220" s="5">
        <f>I167</f>
        <v>4.83333333333333</v>
      </c>
      <c r="N220" s="5">
        <f>J167</f>
        <v>4.5</v>
      </c>
      <c r="O220" s="5">
        <f>K167</f>
        <v>7</v>
      </c>
      <c r="P220" s="10">
        <f>IF(O48="是",1,0)+IF(O49="是",1,0)+IF(O52="是",1,0)</f>
        <v>3</v>
      </c>
      <c r="Q220" s="3" t="str">
        <f>Records!I210</f>
        <v>无明显偏好</v>
      </c>
      <c r="R220" s="3" t="str">
        <f>Records!J210</f>
        <v>无明显偏好</v>
      </c>
      <c r="S220" s="10" t="str">
        <f>IF(Records!C210="","",Records!C210)</f>
        <v/>
      </c>
      <c r="T220" s="10">
        <f>Records!E210</f>
        <v>5</v>
      </c>
      <c r="U220" s="3" t="str">
        <f>"48,49,52"</f>
        <v>48,49,52</v>
      </c>
      <c r="V220" s="3">
        <f>167</f>
        <v>167</v>
      </c>
    </row>
    <row r="221" spans="1:22">
      <c r="A221" s="3" t="str">
        <f>"P009"</f>
        <v>P009</v>
      </c>
      <c r="B221" s="3" t="str">
        <f>"One-Euro"</f>
        <v>One-Euro</v>
      </c>
      <c r="C221" s="3" t="str">
        <f>"方法B"</f>
        <v>方法B</v>
      </c>
      <c r="D221" s="5">
        <f t="shared" ref="D221:L221" si="16">AVERAGE(F54,F55,F58)</f>
        <v>3.33333333333333</v>
      </c>
      <c r="E221" s="5">
        <f t="shared" si="16"/>
        <v>3.66666666666667</v>
      </c>
      <c r="F221" s="5">
        <f t="shared" si="16"/>
        <v>5</v>
      </c>
      <c r="G221" s="5">
        <f t="shared" si="16"/>
        <v>5.33333333333333</v>
      </c>
      <c r="H221" s="5">
        <f t="shared" si="16"/>
        <v>4</v>
      </c>
      <c r="I221" s="5">
        <f t="shared" si="16"/>
        <v>4</v>
      </c>
      <c r="J221" s="5">
        <f t="shared" si="16"/>
        <v>3.66666666666667</v>
      </c>
      <c r="K221" s="5">
        <f t="shared" si="16"/>
        <v>3.88888888888889</v>
      </c>
      <c r="L221" s="5">
        <f t="shared" si="16"/>
        <v>4.88888888888889</v>
      </c>
      <c r="M221" s="5">
        <f>I169</f>
        <v>3.16666666666667</v>
      </c>
      <c r="N221" s="5">
        <f>J169</f>
        <v>3.75</v>
      </c>
      <c r="O221" s="5">
        <f>K169</f>
        <v>4.66666666666667</v>
      </c>
      <c r="P221" s="10">
        <f>IF(O54="是",1,0)+IF(O55="是",1,0)+IF(O58="是",1,0)</f>
        <v>3</v>
      </c>
      <c r="Q221" s="3" t="str">
        <f>Records!I211</f>
        <v>One-Euro</v>
      </c>
      <c r="R221" s="3" t="str">
        <f>Records!J211</f>
        <v>EgoAnchor</v>
      </c>
      <c r="S221" s="10">
        <f>IF(Records!C211="","",Records!C211)</f>
        <v>2</v>
      </c>
      <c r="T221" s="10">
        <f>Records!E211</f>
        <v>6</v>
      </c>
      <c r="U221" s="3" t="str">
        <f>"54,55,58"</f>
        <v>54,55,58</v>
      </c>
      <c r="V221" s="3">
        <f>169</f>
        <v>169</v>
      </c>
    </row>
    <row r="222" spans="1:22">
      <c r="A222" s="3" t="str">
        <f>"P009"</f>
        <v>P009</v>
      </c>
      <c r="B222" s="3" t="str">
        <f>"EgoAnchor"</f>
        <v>EgoAnchor</v>
      </c>
      <c r="C222" s="3" t="str">
        <f>"方法A"</f>
        <v>方法A</v>
      </c>
      <c r="D222" s="5">
        <f t="shared" ref="D222:L222" si="17">AVERAGE(F53,F56,F57)</f>
        <v>4.33333333333333</v>
      </c>
      <c r="E222" s="5">
        <f t="shared" si="17"/>
        <v>4.33333333333333</v>
      </c>
      <c r="F222" s="5">
        <f t="shared" si="17"/>
        <v>5.33333333333333</v>
      </c>
      <c r="G222" s="5">
        <f t="shared" si="17"/>
        <v>4.66666666666667</v>
      </c>
      <c r="H222" s="5">
        <f t="shared" si="17"/>
        <v>5</v>
      </c>
      <c r="I222" s="5">
        <f t="shared" si="17"/>
        <v>4.33333333333333</v>
      </c>
      <c r="J222" s="5">
        <f t="shared" si="17"/>
        <v>3.66666666666667</v>
      </c>
      <c r="K222" s="5">
        <f t="shared" si="17"/>
        <v>4.33333333333333</v>
      </c>
      <c r="L222" s="5">
        <f t="shared" si="17"/>
        <v>3.88888888888889</v>
      </c>
      <c r="M222" s="5">
        <f>I168</f>
        <v>3.83333333333333</v>
      </c>
      <c r="N222" s="5">
        <f>J168</f>
        <v>4.25</v>
      </c>
      <c r="O222" s="5">
        <f>K168</f>
        <v>5</v>
      </c>
      <c r="P222" s="10">
        <f>IF(O53="是",1,0)+IF(O56="是",1,0)+IF(O57="是",1,0)</f>
        <v>3</v>
      </c>
      <c r="Q222" s="3" t="str">
        <f>Records!I211</f>
        <v>One-Euro</v>
      </c>
      <c r="R222" s="3" t="str">
        <f>Records!J211</f>
        <v>EgoAnchor</v>
      </c>
      <c r="S222" s="10">
        <f>IF(Records!C211="","",Records!C211)</f>
        <v>2</v>
      </c>
      <c r="T222" s="10">
        <f>Records!E211</f>
        <v>6</v>
      </c>
      <c r="U222" s="3" t="str">
        <f>"53,56,57"</f>
        <v>53,56,57</v>
      </c>
      <c r="V222" s="3">
        <f>168</f>
        <v>168</v>
      </c>
    </row>
    <row r="223" spans="1:22">
      <c r="A223" s="3" t="str">
        <f>"P010"</f>
        <v>P010</v>
      </c>
      <c r="B223" s="3" t="str">
        <f>"One-Euro"</f>
        <v>One-Euro</v>
      </c>
      <c r="C223" s="3" t="str">
        <f>"方法B"</f>
        <v>方法B</v>
      </c>
      <c r="D223" s="5">
        <f t="shared" ref="D223:L223" si="18">AVERAGE(F59,F62,F63)</f>
        <v>4</v>
      </c>
      <c r="E223" s="5">
        <f t="shared" si="18"/>
        <v>5</v>
      </c>
      <c r="F223" s="5">
        <f t="shared" si="18"/>
        <v>5</v>
      </c>
      <c r="G223" s="5">
        <f t="shared" si="18"/>
        <v>5.33333333333333</v>
      </c>
      <c r="H223" s="5">
        <f t="shared" si="18"/>
        <v>4.33333333333333</v>
      </c>
      <c r="I223" s="5">
        <f t="shared" si="18"/>
        <v>3.66666666666667</v>
      </c>
      <c r="J223" s="5">
        <f t="shared" si="18"/>
        <v>3.33333333333333</v>
      </c>
      <c r="K223" s="5">
        <f t="shared" si="18"/>
        <v>4.66666666666667</v>
      </c>
      <c r="L223" s="5">
        <f t="shared" si="18"/>
        <v>4.77777777777778</v>
      </c>
      <c r="M223" s="5">
        <f>I170</f>
        <v>4.33333333333333</v>
      </c>
      <c r="N223" s="5">
        <f>J170</f>
        <v>3.75</v>
      </c>
      <c r="O223" s="5">
        <f>K170</f>
        <v>6</v>
      </c>
      <c r="P223" s="10">
        <f>IF(O59="是",1,0)+IF(O62="是",1,0)+IF(O63="是",1,0)</f>
        <v>3</v>
      </c>
      <c r="Q223" s="3" t="str">
        <f>Records!I212</f>
        <v>One-Euro</v>
      </c>
      <c r="R223" s="3" t="str">
        <f>Records!J212</f>
        <v>无明显偏好</v>
      </c>
      <c r="S223" s="10">
        <f>IF(Records!C212="","",Records!C212)</f>
        <v>4</v>
      </c>
      <c r="T223" s="10">
        <f>Records!E212</f>
        <v>6</v>
      </c>
      <c r="U223" s="3" t="str">
        <f>"59,62,63"</f>
        <v>59,62,63</v>
      </c>
      <c r="V223" s="3">
        <f>170</f>
        <v>170</v>
      </c>
    </row>
    <row r="224" spans="1:22">
      <c r="A224" s="3" t="str">
        <f>"P010"</f>
        <v>P010</v>
      </c>
      <c r="B224" s="3" t="str">
        <f>"EgoAnchor"</f>
        <v>EgoAnchor</v>
      </c>
      <c r="C224" s="3" t="str">
        <f>"方法A"</f>
        <v>方法A</v>
      </c>
      <c r="D224" s="5">
        <f t="shared" ref="D224:L224" si="19">AVERAGE(F60,F61,F64)</f>
        <v>5</v>
      </c>
      <c r="E224" s="5">
        <f t="shared" si="19"/>
        <v>4.33333333333333</v>
      </c>
      <c r="F224" s="5">
        <f t="shared" si="19"/>
        <v>3</v>
      </c>
      <c r="G224" s="5">
        <f t="shared" si="19"/>
        <v>4.33333333333333</v>
      </c>
      <c r="H224" s="5">
        <f t="shared" si="19"/>
        <v>4</v>
      </c>
      <c r="I224" s="5">
        <f t="shared" si="19"/>
        <v>5.33333333333333</v>
      </c>
      <c r="J224" s="5">
        <f t="shared" si="19"/>
        <v>4.33333333333333</v>
      </c>
      <c r="K224" s="5">
        <f t="shared" si="19"/>
        <v>4.33333333333333</v>
      </c>
      <c r="L224" s="5">
        <f t="shared" si="19"/>
        <v>4.11111111111111</v>
      </c>
      <c r="M224" s="5">
        <f>I171</f>
        <v>4.66666666666667</v>
      </c>
      <c r="N224" s="5">
        <f>J171</f>
        <v>4.25</v>
      </c>
      <c r="O224" s="5">
        <f>K171</f>
        <v>5.66666666666667</v>
      </c>
      <c r="P224" s="10">
        <f>IF(O60="是",1,0)+IF(O61="是",1,0)+IF(O64="是",1,0)</f>
        <v>3</v>
      </c>
      <c r="Q224" s="3" t="str">
        <f>Records!I212</f>
        <v>One-Euro</v>
      </c>
      <c r="R224" s="3" t="str">
        <f>Records!J212</f>
        <v>无明显偏好</v>
      </c>
      <c r="S224" s="10">
        <f>IF(Records!C212="","",Records!C212)</f>
        <v>4</v>
      </c>
      <c r="T224" s="10">
        <f>Records!E212</f>
        <v>6</v>
      </c>
      <c r="U224" s="3" t="str">
        <f>"60,61,64"</f>
        <v>60,61,64</v>
      </c>
      <c r="V224" s="3">
        <f>171</f>
        <v>171</v>
      </c>
    </row>
    <row r="225" spans="1:22">
      <c r="A225" s="3" t="str">
        <f>"P011"</f>
        <v>P011</v>
      </c>
      <c r="B225" s="3" t="str">
        <f>"One-Euro"</f>
        <v>One-Euro</v>
      </c>
      <c r="C225" s="3" t="str">
        <f>"方法A"</f>
        <v>方法A</v>
      </c>
      <c r="D225" s="5">
        <f t="shared" ref="D225:L225" si="20">AVERAGE(F66,F67,F70)</f>
        <v>3.66666666666667</v>
      </c>
      <c r="E225" s="5">
        <f t="shared" si="20"/>
        <v>4</v>
      </c>
      <c r="F225" s="5">
        <f t="shared" si="20"/>
        <v>5</v>
      </c>
      <c r="G225" s="5">
        <f t="shared" si="20"/>
        <v>5</v>
      </c>
      <c r="H225" s="5">
        <f t="shared" si="20"/>
        <v>4.33333333333333</v>
      </c>
      <c r="I225" s="5">
        <f t="shared" si="20"/>
        <v>4</v>
      </c>
      <c r="J225" s="5">
        <f t="shared" si="20"/>
        <v>3.66666666666667</v>
      </c>
      <c r="K225" s="5">
        <f t="shared" si="20"/>
        <v>4.66666666666667</v>
      </c>
      <c r="L225" s="5">
        <f t="shared" si="20"/>
        <v>4.66666666666667</v>
      </c>
      <c r="M225" s="5">
        <f>I173</f>
        <v>3.83333333333333</v>
      </c>
      <c r="N225" s="5">
        <f>J173</f>
        <v>4.25</v>
      </c>
      <c r="O225" s="5">
        <f>K173</f>
        <v>5.33333333333333</v>
      </c>
      <c r="P225" s="10">
        <f>IF(O66="是",1,0)+IF(O67="是",1,0)+IF(O70="是",1,0)</f>
        <v>3</v>
      </c>
      <c r="Q225" s="3" t="str">
        <f>Records!I213</f>
        <v>EgoAnchor</v>
      </c>
      <c r="R225" s="3" t="str">
        <f>Records!J213</f>
        <v>EgoAnchor</v>
      </c>
      <c r="S225" s="10">
        <f>IF(Records!C213="","",Records!C213)</f>
        <v>5</v>
      </c>
      <c r="T225" s="10">
        <f>Records!E213</f>
        <v>7</v>
      </c>
      <c r="U225" s="3" t="str">
        <f>"66,67,70"</f>
        <v>66,67,70</v>
      </c>
      <c r="V225" s="3">
        <f>173</f>
        <v>173</v>
      </c>
    </row>
    <row r="226" spans="1:22">
      <c r="A226" s="3" t="str">
        <f>"P011"</f>
        <v>P011</v>
      </c>
      <c r="B226" s="3" t="str">
        <f>"EgoAnchor"</f>
        <v>EgoAnchor</v>
      </c>
      <c r="C226" s="3" t="str">
        <f>"方法B"</f>
        <v>方法B</v>
      </c>
      <c r="D226" s="5">
        <f t="shared" ref="D226:L226" si="21">AVERAGE(F65,F68,F69)</f>
        <v>5</v>
      </c>
      <c r="E226" s="5">
        <f t="shared" si="21"/>
        <v>5</v>
      </c>
      <c r="F226" s="5">
        <f t="shared" si="21"/>
        <v>6</v>
      </c>
      <c r="G226" s="5">
        <f t="shared" si="21"/>
        <v>4.66666666666667</v>
      </c>
      <c r="H226" s="5">
        <f t="shared" si="21"/>
        <v>5.33333333333333</v>
      </c>
      <c r="I226" s="5">
        <f t="shared" si="21"/>
        <v>5.33333333333333</v>
      </c>
      <c r="J226" s="5">
        <f t="shared" si="21"/>
        <v>5</v>
      </c>
      <c r="K226" s="5">
        <f t="shared" si="21"/>
        <v>5.33333333333333</v>
      </c>
      <c r="L226" s="5">
        <f t="shared" si="21"/>
        <v>5.11111111111111</v>
      </c>
      <c r="M226" s="5">
        <f>I172</f>
        <v>4.16666666666667</v>
      </c>
      <c r="N226" s="5">
        <f>J172</f>
        <v>4</v>
      </c>
      <c r="O226" s="5">
        <f>K172</f>
        <v>5.33333333333333</v>
      </c>
      <c r="P226" s="10">
        <f>IF(O65="是",1,0)+IF(O68="是",1,0)+IF(O69="是",1,0)</f>
        <v>3</v>
      </c>
      <c r="Q226" s="3" t="str">
        <f>Records!I213</f>
        <v>EgoAnchor</v>
      </c>
      <c r="R226" s="3" t="str">
        <f>Records!J213</f>
        <v>EgoAnchor</v>
      </c>
      <c r="S226" s="10">
        <f>IF(Records!C213="","",Records!C213)</f>
        <v>5</v>
      </c>
      <c r="T226" s="10">
        <f>Records!E213</f>
        <v>7</v>
      </c>
      <c r="U226" s="3" t="str">
        <f>"65,68,69"</f>
        <v>65,68,69</v>
      </c>
      <c r="V226" s="3">
        <f>172</f>
        <v>172</v>
      </c>
    </row>
    <row r="227" spans="1:22">
      <c r="A227" s="3" t="str">
        <f>"P012"</f>
        <v>P012</v>
      </c>
      <c r="B227" s="3" t="str">
        <f>"One-Euro"</f>
        <v>One-Euro</v>
      </c>
      <c r="C227" s="3" t="str">
        <f>"方法A"</f>
        <v>方法A</v>
      </c>
      <c r="D227" s="5">
        <f t="shared" ref="D227:L227" si="22">AVERAGE(F71,F74,F75)</f>
        <v>5</v>
      </c>
      <c r="E227" s="5">
        <f t="shared" si="22"/>
        <v>5.33333333333333</v>
      </c>
      <c r="F227" s="5">
        <f t="shared" si="22"/>
        <v>5.33333333333333</v>
      </c>
      <c r="G227" s="5">
        <f t="shared" si="22"/>
        <v>5.66666666666667</v>
      </c>
      <c r="H227" s="5">
        <f t="shared" si="22"/>
        <v>4.33333333333333</v>
      </c>
      <c r="I227" s="5">
        <f t="shared" si="22"/>
        <v>5</v>
      </c>
      <c r="J227" s="5">
        <f t="shared" si="22"/>
        <v>4.66666666666667</v>
      </c>
      <c r="K227" s="5">
        <f t="shared" si="22"/>
        <v>5.44444444444444</v>
      </c>
      <c r="L227" s="5">
        <f t="shared" si="22"/>
        <v>5.44444444444445</v>
      </c>
      <c r="M227" s="5">
        <f>I174</f>
        <v>4.33333333333333</v>
      </c>
      <c r="N227" s="5">
        <f>J174</f>
        <v>4</v>
      </c>
      <c r="O227" s="5">
        <f>K174</f>
        <v>5.33333333333333</v>
      </c>
      <c r="P227" s="10">
        <f>IF(O71="是",1,0)+IF(O74="是",1,0)+IF(O75="是",1,0)</f>
        <v>3</v>
      </c>
      <c r="Q227" s="3" t="str">
        <f>Records!I214</f>
        <v>EgoAnchor</v>
      </c>
      <c r="R227" s="3" t="str">
        <f>Records!J214</f>
        <v>EgoAnchor</v>
      </c>
      <c r="S227" s="10">
        <f>IF(Records!C214="","",Records!C214)</f>
        <v>6</v>
      </c>
      <c r="T227" s="10">
        <f>Records!E214</f>
        <v>6</v>
      </c>
      <c r="U227" s="3" t="str">
        <f>"71,74,75"</f>
        <v>71,74,75</v>
      </c>
      <c r="V227" s="3">
        <f>174</f>
        <v>174</v>
      </c>
    </row>
    <row r="228" spans="1:22">
      <c r="A228" s="3" t="str">
        <f>"P012"</f>
        <v>P012</v>
      </c>
      <c r="B228" s="3" t="str">
        <f>"EgoAnchor"</f>
        <v>EgoAnchor</v>
      </c>
      <c r="C228" s="3" t="str">
        <f>"方法B"</f>
        <v>方法B</v>
      </c>
      <c r="D228" s="5">
        <f t="shared" ref="D228:L228" si="23">AVERAGE(F72,F73,F76)</f>
        <v>6.66666666666667</v>
      </c>
      <c r="E228" s="5">
        <f t="shared" si="23"/>
        <v>6</v>
      </c>
      <c r="F228" s="5">
        <f t="shared" si="23"/>
        <v>5.66666666666667</v>
      </c>
      <c r="G228" s="5">
        <f t="shared" si="23"/>
        <v>6.33333333333333</v>
      </c>
      <c r="H228" s="5">
        <f t="shared" si="23"/>
        <v>6.33333333333333</v>
      </c>
      <c r="I228" s="5">
        <f t="shared" si="23"/>
        <v>6</v>
      </c>
      <c r="J228" s="5">
        <f t="shared" si="23"/>
        <v>6.33333333333333</v>
      </c>
      <c r="K228" s="5">
        <f t="shared" si="23"/>
        <v>6.11111111111111</v>
      </c>
      <c r="L228" s="5">
        <f t="shared" si="23"/>
        <v>6.33333333333333</v>
      </c>
      <c r="M228" s="5">
        <f>I175</f>
        <v>5</v>
      </c>
      <c r="N228" s="5">
        <f>J175</f>
        <v>5</v>
      </c>
      <c r="O228" s="5">
        <f>K175</f>
        <v>6.33333333333333</v>
      </c>
      <c r="P228" s="10">
        <f>IF(O72="是",1,0)+IF(O73="是",1,0)+IF(O76="是",1,0)</f>
        <v>3</v>
      </c>
      <c r="Q228" s="3" t="str">
        <f>Records!I214</f>
        <v>EgoAnchor</v>
      </c>
      <c r="R228" s="3" t="str">
        <f>Records!J214</f>
        <v>EgoAnchor</v>
      </c>
      <c r="S228" s="10">
        <f>IF(Records!C214="","",Records!C214)</f>
        <v>6</v>
      </c>
      <c r="T228" s="10">
        <f>Records!E214</f>
        <v>6</v>
      </c>
      <c r="U228" s="3" t="str">
        <f>"72,73,76"</f>
        <v>72,73,76</v>
      </c>
      <c r="V228" s="3">
        <f>175</f>
        <v>175</v>
      </c>
    </row>
    <row r="229" spans="1:22">
      <c r="A229" s="3" t="str">
        <f>"P013"</f>
        <v>P013</v>
      </c>
      <c r="B229" s="3" t="str">
        <f>"One-Euro"</f>
        <v>One-Euro</v>
      </c>
      <c r="C229" s="3" t="str">
        <f>"方法B"</f>
        <v>方法B</v>
      </c>
      <c r="D229" s="5">
        <f t="shared" ref="D229:L229" si="24">AVERAGE(F78,F79,F82)</f>
        <v>4.33333333333333</v>
      </c>
      <c r="E229" s="5">
        <f t="shared" si="24"/>
        <v>4.33333333333333</v>
      </c>
      <c r="F229" s="5">
        <f t="shared" si="24"/>
        <v>4.66666666666667</v>
      </c>
      <c r="G229" s="5">
        <f t="shared" si="24"/>
        <v>5</v>
      </c>
      <c r="H229" s="5">
        <f t="shared" si="24"/>
        <v>5.33333333333333</v>
      </c>
      <c r="I229" s="5">
        <f t="shared" si="24"/>
        <v>4.66666666666667</v>
      </c>
      <c r="J229" s="5">
        <f t="shared" si="24"/>
        <v>5</v>
      </c>
      <c r="K229" s="5">
        <f t="shared" si="24"/>
        <v>4.88888888888889</v>
      </c>
      <c r="L229" s="5">
        <f t="shared" si="24"/>
        <v>4.88888888888889</v>
      </c>
      <c r="M229" s="5">
        <f>I177</f>
        <v>3.83333333333333</v>
      </c>
      <c r="N229" s="5">
        <f>J177</f>
        <v>4.5</v>
      </c>
      <c r="O229" s="5">
        <f>K177</f>
        <v>5</v>
      </c>
      <c r="P229" s="10">
        <f>IF(O78="是",1,0)+IF(O79="是",1,0)+IF(O82="是",1,0)</f>
        <v>3</v>
      </c>
      <c r="Q229" s="3" t="str">
        <f>Records!I215</f>
        <v>无明显偏好</v>
      </c>
      <c r="R229" s="3" t="str">
        <f>Records!J215</f>
        <v>无明显偏好</v>
      </c>
      <c r="S229" s="10" t="str">
        <f>IF(Records!C215="","",Records!C215)</f>
        <v/>
      </c>
      <c r="T229" s="10">
        <f>Records!E215</f>
        <v>2</v>
      </c>
      <c r="U229" s="3" t="str">
        <f>"78,79,82"</f>
        <v>78,79,82</v>
      </c>
      <c r="V229" s="3">
        <f>177</f>
        <v>177</v>
      </c>
    </row>
    <row r="230" spans="1:22">
      <c r="A230" s="3" t="str">
        <f>"P013"</f>
        <v>P013</v>
      </c>
      <c r="B230" s="3" t="str">
        <f>"EgoAnchor"</f>
        <v>EgoAnchor</v>
      </c>
      <c r="C230" s="3" t="str">
        <f>"方法A"</f>
        <v>方法A</v>
      </c>
      <c r="D230" s="5">
        <f t="shared" ref="D230:L230" si="25">AVERAGE(F77,F80,F81)</f>
        <v>5</v>
      </c>
      <c r="E230" s="5">
        <f t="shared" si="25"/>
        <v>5</v>
      </c>
      <c r="F230" s="5">
        <f t="shared" si="25"/>
        <v>4.33333333333333</v>
      </c>
      <c r="G230" s="5">
        <f t="shared" si="25"/>
        <v>4</v>
      </c>
      <c r="H230" s="5">
        <f t="shared" si="25"/>
        <v>4.33333333333333</v>
      </c>
      <c r="I230" s="5">
        <f t="shared" si="25"/>
        <v>4.66666666666667</v>
      </c>
      <c r="J230" s="5">
        <f t="shared" si="25"/>
        <v>4.66666666666667</v>
      </c>
      <c r="K230" s="5">
        <f t="shared" si="25"/>
        <v>4.33333333333333</v>
      </c>
      <c r="L230" s="5">
        <f t="shared" si="25"/>
        <v>5.22222222222222</v>
      </c>
      <c r="M230" s="5">
        <f>I176</f>
        <v>4.5</v>
      </c>
      <c r="N230" s="5">
        <f>J176</f>
        <v>4</v>
      </c>
      <c r="O230" s="5">
        <f>K176</f>
        <v>5.66666666666667</v>
      </c>
      <c r="P230" s="10">
        <f>IF(O77="是",1,0)+IF(O80="是",1,0)+IF(O81="是",1,0)</f>
        <v>3</v>
      </c>
      <c r="Q230" s="3" t="str">
        <f>Records!I215</f>
        <v>无明显偏好</v>
      </c>
      <c r="R230" s="3" t="str">
        <f>Records!J215</f>
        <v>无明显偏好</v>
      </c>
      <c r="S230" s="10" t="str">
        <f>IF(Records!C215="","",Records!C215)</f>
        <v/>
      </c>
      <c r="T230" s="10">
        <f>Records!E215</f>
        <v>2</v>
      </c>
      <c r="U230" s="3" t="str">
        <f>"77,80,81"</f>
        <v>77,80,81</v>
      </c>
      <c r="V230" s="3">
        <f>176</f>
        <v>176</v>
      </c>
    </row>
    <row r="231" spans="1:22">
      <c r="A231" s="3" t="str">
        <f>"P014"</f>
        <v>P014</v>
      </c>
      <c r="B231" s="3" t="str">
        <f>"One-Euro"</f>
        <v>One-Euro</v>
      </c>
      <c r="C231" s="3" t="str">
        <f>"方法B"</f>
        <v>方法B</v>
      </c>
      <c r="D231" s="5">
        <f t="shared" ref="D231:L231" si="26">AVERAGE(F83,F86,F87)</f>
        <v>4.66666666666667</v>
      </c>
      <c r="E231" s="5">
        <f t="shared" si="26"/>
        <v>4.33333333333333</v>
      </c>
      <c r="F231" s="5">
        <f t="shared" si="26"/>
        <v>4.33333333333333</v>
      </c>
      <c r="G231" s="5">
        <f t="shared" si="26"/>
        <v>5.33333333333333</v>
      </c>
      <c r="H231" s="5">
        <f t="shared" si="26"/>
        <v>3.66666666666667</v>
      </c>
      <c r="I231" s="5">
        <f t="shared" si="26"/>
        <v>4</v>
      </c>
      <c r="J231" s="5">
        <f t="shared" si="26"/>
        <v>4.33333333333333</v>
      </c>
      <c r="K231" s="5">
        <f t="shared" si="26"/>
        <v>4.55555555555555</v>
      </c>
      <c r="L231" s="5">
        <f t="shared" si="26"/>
        <v>4.55555555555556</v>
      </c>
      <c r="M231" s="5">
        <f>I178</f>
        <v>4.5</v>
      </c>
      <c r="N231" s="5">
        <f>J178</f>
        <v>4</v>
      </c>
      <c r="O231" s="5">
        <f>K178</f>
        <v>6</v>
      </c>
      <c r="P231" s="10">
        <f>IF(O83="是",1,0)+IF(O86="是",1,0)+IF(O87="是",1,0)</f>
        <v>3</v>
      </c>
      <c r="Q231" s="3" t="str">
        <f>Records!I216</f>
        <v>EgoAnchor</v>
      </c>
      <c r="R231" s="3" t="str">
        <f>Records!J216</f>
        <v>无明显偏好</v>
      </c>
      <c r="S231" s="10">
        <f>IF(Records!C216="","",Records!C216)</f>
        <v>5</v>
      </c>
      <c r="T231" s="10">
        <f>Records!E216</f>
        <v>7</v>
      </c>
      <c r="U231" s="3" t="str">
        <f>"83,86,87"</f>
        <v>83,86,87</v>
      </c>
      <c r="V231" s="3">
        <f>178</f>
        <v>178</v>
      </c>
    </row>
    <row r="232" spans="1:22">
      <c r="A232" s="3" t="str">
        <f>"P014"</f>
        <v>P014</v>
      </c>
      <c r="B232" s="3" t="str">
        <f>"EgoAnchor"</f>
        <v>EgoAnchor</v>
      </c>
      <c r="C232" s="3" t="str">
        <f>"方法A"</f>
        <v>方法A</v>
      </c>
      <c r="D232" s="5">
        <f t="shared" ref="D232:L232" si="27">AVERAGE(F84,F85,F88)</f>
        <v>4.66666666666667</v>
      </c>
      <c r="E232" s="5">
        <f t="shared" si="27"/>
        <v>4.66666666666667</v>
      </c>
      <c r="F232" s="5">
        <f t="shared" si="27"/>
        <v>5</v>
      </c>
      <c r="G232" s="5">
        <f t="shared" si="27"/>
        <v>5</v>
      </c>
      <c r="H232" s="5">
        <f t="shared" si="27"/>
        <v>4.33333333333333</v>
      </c>
      <c r="I232" s="5">
        <f t="shared" si="27"/>
        <v>4</v>
      </c>
      <c r="J232" s="5">
        <f t="shared" si="27"/>
        <v>4.33333333333333</v>
      </c>
      <c r="K232" s="5">
        <f t="shared" si="27"/>
        <v>5.22222222222222</v>
      </c>
      <c r="L232" s="5">
        <f t="shared" si="27"/>
        <v>4.88888888888889</v>
      </c>
      <c r="M232" s="5">
        <f>I179</f>
        <v>4.66666666666667</v>
      </c>
      <c r="N232" s="5">
        <f>J179</f>
        <v>4.25</v>
      </c>
      <c r="O232" s="5">
        <f>K179</f>
        <v>5.66666666666667</v>
      </c>
      <c r="P232" s="10">
        <f>IF(O84="是",1,0)+IF(O85="是",1,0)+IF(O88="是",1,0)</f>
        <v>3</v>
      </c>
      <c r="Q232" s="3" t="str">
        <f>Records!I216</f>
        <v>EgoAnchor</v>
      </c>
      <c r="R232" s="3" t="str">
        <f>Records!J216</f>
        <v>无明显偏好</v>
      </c>
      <c r="S232" s="10">
        <f>IF(Records!C216="","",Records!C216)</f>
        <v>5</v>
      </c>
      <c r="T232" s="10">
        <f>Records!E216</f>
        <v>7</v>
      </c>
      <c r="U232" s="3" t="str">
        <f>"84,85,88"</f>
        <v>84,85,88</v>
      </c>
      <c r="V232" s="3">
        <f>179</f>
        <v>179</v>
      </c>
    </row>
    <row r="233" spans="1:22">
      <c r="A233" s="3" t="str">
        <f>"P015"</f>
        <v>P015</v>
      </c>
      <c r="B233" s="3" t="str">
        <f>"One-Euro"</f>
        <v>One-Euro</v>
      </c>
      <c r="C233" s="3" t="str">
        <f>"方法A"</f>
        <v>方法A</v>
      </c>
      <c r="D233" s="5">
        <f t="shared" ref="D233:L233" si="28">AVERAGE(F90,F91,F94)</f>
        <v>4.66666666666667</v>
      </c>
      <c r="E233" s="5">
        <f t="shared" si="28"/>
        <v>3.66666666666667</v>
      </c>
      <c r="F233" s="5">
        <f t="shared" si="28"/>
        <v>4.33333333333333</v>
      </c>
      <c r="G233" s="5">
        <f t="shared" si="28"/>
        <v>4.66666666666667</v>
      </c>
      <c r="H233" s="5">
        <f t="shared" si="28"/>
        <v>4</v>
      </c>
      <c r="I233" s="5">
        <f t="shared" si="28"/>
        <v>4</v>
      </c>
      <c r="J233" s="5">
        <f t="shared" si="28"/>
        <v>4.66666666666667</v>
      </c>
      <c r="K233" s="5">
        <f t="shared" si="28"/>
        <v>4.88888888888889</v>
      </c>
      <c r="L233" s="5">
        <f t="shared" si="28"/>
        <v>5.33333333333333</v>
      </c>
      <c r="M233" s="5">
        <f>I181</f>
        <v>4.5</v>
      </c>
      <c r="N233" s="5">
        <f>J181</f>
        <v>4</v>
      </c>
      <c r="O233" s="5">
        <f>K181</f>
        <v>6</v>
      </c>
      <c r="P233" s="10">
        <f>IF(O90="是",1,0)+IF(O91="是",1,0)+IF(O94="是",1,0)</f>
        <v>3</v>
      </c>
      <c r="Q233" s="3" t="str">
        <f>Records!I217</f>
        <v>EgoAnchor</v>
      </c>
      <c r="R233" s="3" t="str">
        <f>Records!J217</f>
        <v>EgoAnchor</v>
      </c>
      <c r="S233" s="10">
        <f>IF(Records!C217="","",Records!C217)</f>
        <v>3</v>
      </c>
      <c r="T233" s="10">
        <f>Records!E217</f>
        <v>6</v>
      </c>
      <c r="U233" s="3" t="str">
        <f>"90,91,94"</f>
        <v>90,91,94</v>
      </c>
      <c r="V233" s="3">
        <f>181</f>
        <v>181</v>
      </c>
    </row>
    <row r="234" spans="1:22">
      <c r="A234" s="3" t="str">
        <f>"P015"</f>
        <v>P015</v>
      </c>
      <c r="B234" s="3" t="str">
        <f>"EgoAnchor"</f>
        <v>EgoAnchor</v>
      </c>
      <c r="C234" s="3" t="str">
        <f>"方法B"</f>
        <v>方法B</v>
      </c>
      <c r="D234" s="5">
        <f t="shared" ref="D234:L234" si="29">AVERAGE(F89,F92,F93)</f>
        <v>6.33333333333333</v>
      </c>
      <c r="E234" s="5">
        <f t="shared" si="29"/>
        <v>6</v>
      </c>
      <c r="F234" s="5">
        <f t="shared" si="29"/>
        <v>5.66666666666667</v>
      </c>
      <c r="G234" s="5">
        <f t="shared" si="29"/>
        <v>5</v>
      </c>
      <c r="H234" s="5">
        <f t="shared" si="29"/>
        <v>4.66666666666667</v>
      </c>
      <c r="I234" s="5">
        <f t="shared" si="29"/>
        <v>5</v>
      </c>
      <c r="J234" s="5">
        <f t="shared" si="29"/>
        <v>4.66666666666667</v>
      </c>
      <c r="K234" s="5">
        <f t="shared" si="29"/>
        <v>4.88888888888889</v>
      </c>
      <c r="L234" s="5">
        <f t="shared" si="29"/>
        <v>5.11111111111111</v>
      </c>
      <c r="M234" s="5">
        <f>I180</f>
        <v>4.5</v>
      </c>
      <c r="N234" s="5">
        <f>J180</f>
        <v>5</v>
      </c>
      <c r="O234" s="5">
        <f>K180</f>
        <v>6</v>
      </c>
      <c r="P234" s="10">
        <f>IF(O89="是",1,0)+IF(O92="是",1,0)+IF(O93="是",1,0)</f>
        <v>3</v>
      </c>
      <c r="Q234" s="3" t="str">
        <f>Records!I217</f>
        <v>EgoAnchor</v>
      </c>
      <c r="R234" s="3" t="str">
        <f>Records!J217</f>
        <v>EgoAnchor</v>
      </c>
      <c r="S234" s="10">
        <f>IF(Records!C217="","",Records!C217)</f>
        <v>3</v>
      </c>
      <c r="T234" s="10">
        <f>Records!E217</f>
        <v>6</v>
      </c>
      <c r="U234" s="3" t="str">
        <f>"89,92,93"</f>
        <v>89,92,93</v>
      </c>
      <c r="V234" s="3">
        <f>180</f>
        <v>180</v>
      </c>
    </row>
    <row r="235" spans="1:22">
      <c r="A235" s="3" t="str">
        <f>"P016"</f>
        <v>P016</v>
      </c>
      <c r="B235" s="3" t="str">
        <f>"One-Euro"</f>
        <v>One-Euro</v>
      </c>
      <c r="C235" s="3" t="str">
        <f>"方法A"</f>
        <v>方法A</v>
      </c>
      <c r="D235" s="5">
        <f t="shared" ref="D235:L235" si="30">AVERAGE(F95,F98,F99)</f>
        <v>4.66666666666667</v>
      </c>
      <c r="E235" s="5">
        <f t="shared" si="30"/>
        <v>3.66666666666667</v>
      </c>
      <c r="F235" s="5">
        <f t="shared" si="30"/>
        <v>5.33333333333333</v>
      </c>
      <c r="G235" s="5">
        <f t="shared" si="30"/>
        <v>4.66666666666667</v>
      </c>
      <c r="H235" s="5">
        <f t="shared" si="30"/>
        <v>4.33333333333333</v>
      </c>
      <c r="I235" s="5">
        <f t="shared" si="30"/>
        <v>3.66666666666667</v>
      </c>
      <c r="J235" s="5">
        <f t="shared" si="30"/>
        <v>4.33333333333333</v>
      </c>
      <c r="K235" s="5">
        <f t="shared" si="30"/>
        <v>4.33333333333333</v>
      </c>
      <c r="L235" s="5">
        <f t="shared" si="30"/>
        <v>5</v>
      </c>
      <c r="M235" s="5">
        <f>I182</f>
        <v>4.16666666666667</v>
      </c>
      <c r="N235" s="5">
        <f>J182</f>
        <v>5</v>
      </c>
      <c r="O235" s="5">
        <f>K182</f>
        <v>5</v>
      </c>
      <c r="P235" s="10">
        <f>IF(O95="是",1,0)+IF(O98="是",1,0)+IF(O99="是",1,0)</f>
        <v>3</v>
      </c>
      <c r="Q235" s="3" t="str">
        <f>Records!I218</f>
        <v>EgoAnchor</v>
      </c>
      <c r="R235" s="3" t="str">
        <f>Records!J218</f>
        <v>EgoAnchor</v>
      </c>
      <c r="S235" s="10">
        <f>IF(Records!C218="","",Records!C218)</f>
        <v>3</v>
      </c>
      <c r="T235" s="10">
        <f>Records!E218</f>
        <v>6</v>
      </c>
      <c r="U235" s="3" t="str">
        <f>"95,98,99"</f>
        <v>95,98,99</v>
      </c>
      <c r="V235" s="3">
        <f>182</f>
        <v>182</v>
      </c>
    </row>
    <row r="236" spans="1:22">
      <c r="A236" s="3" t="str">
        <f>"P016"</f>
        <v>P016</v>
      </c>
      <c r="B236" s="3" t="str">
        <f>"EgoAnchor"</f>
        <v>EgoAnchor</v>
      </c>
      <c r="C236" s="3" t="str">
        <f>"方法B"</f>
        <v>方法B</v>
      </c>
      <c r="D236" s="5">
        <f t="shared" ref="D236:L236" si="31">AVERAGE(F96,F97,F100)</f>
        <v>4.33333333333333</v>
      </c>
      <c r="E236" s="5">
        <f t="shared" si="31"/>
        <v>4.66666666666667</v>
      </c>
      <c r="F236" s="5">
        <f t="shared" si="31"/>
        <v>5.33333333333333</v>
      </c>
      <c r="G236" s="5">
        <f t="shared" si="31"/>
        <v>5.33333333333333</v>
      </c>
      <c r="H236" s="5">
        <f t="shared" si="31"/>
        <v>5</v>
      </c>
      <c r="I236" s="5">
        <f t="shared" si="31"/>
        <v>4.66666666666667</v>
      </c>
      <c r="J236" s="5">
        <f t="shared" si="31"/>
        <v>5.33333333333333</v>
      </c>
      <c r="K236" s="5">
        <f t="shared" si="31"/>
        <v>5.44444444444445</v>
      </c>
      <c r="L236" s="5">
        <f t="shared" si="31"/>
        <v>5</v>
      </c>
      <c r="M236" s="5">
        <f>I183</f>
        <v>4.83333333333333</v>
      </c>
      <c r="N236" s="5">
        <f>J183</f>
        <v>5</v>
      </c>
      <c r="O236" s="5">
        <f>K183</f>
        <v>6.66666666666667</v>
      </c>
      <c r="P236" s="10">
        <f>IF(O96="是",1,0)+IF(O97="是",1,0)+IF(O100="是",1,0)</f>
        <v>3</v>
      </c>
      <c r="Q236" s="3" t="str">
        <f>Records!I218</f>
        <v>EgoAnchor</v>
      </c>
      <c r="R236" s="3" t="str">
        <f>Records!J218</f>
        <v>EgoAnchor</v>
      </c>
      <c r="S236" s="10">
        <f>IF(Records!C218="","",Records!C218)</f>
        <v>3</v>
      </c>
      <c r="T236" s="10">
        <f>Records!E218</f>
        <v>6</v>
      </c>
      <c r="U236" s="3" t="str">
        <f>"96,97,100"</f>
        <v>96,97,100</v>
      </c>
      <c r="V236" s="3">
        <f>183</f>
        <v>183</v>
      </c>
    </row>
    <row r="237" spans="1:22">
      <c r="A237" s="3" t="str">
        <f>"P017"</f>
        <v>P017</v>
      </c>
      <c r="B237" s="3" t="str">
        <f>"One-Euro"</f>
        <v>One-Euro</v>
      </c>
      <c r="C237" s="3" t="str">
        <f>"方法B"</f>
        <v>方法B</v>
      </c>
      <c r="D237" s="5">
        <f t="shared" ref="D237:L237" si="32">AVERAGE(F102,F103,F106)</f>
        <v>3.33333333333333</v>
      </c>
      <c r="E237" s="5">
        <f t="shared" si="32"/>
        <v>3</v>
      </c>
      <c r="F237" s="5">
        <f t="shared" si="32"/>
        <v>4.66666666666667</v>
      </c>
      <c r="G237" s="5">
        <f t="shared" si="32"/>
        <v>4.66666666666667</v>
      </c>
      <c r="H237" s="5">
        <f t="shared" si="32"/>
        <v>3.66666666666667</v>
      </c>
      <c r="I237" s="5">
        <f t="shared" si="32"/>
        <v>3.33333333333333</v>
      </c>
      <c r="J237" s="5">
        <f t="shared" si="32"/>
        <v>4</v>
      </c>
      <c r="K237" s="5">
        <f t="shared" si="32"/>
        <v>3.44444444444444</v>
      </c>
      <c r="L237" s="5">
        <f t="shared" si="32"/>
        <v>4.33333333333333</v>
      </c>
      <c r="M237" s="5">
        <f>I185</f>
        <v>4</v>
      </c>
      <c r="N237" s="5">
        <f>J185</f>
        <v>4</v>
      </c>
      <c r="O237" s="5">
        <f>K185</f>
        <v>6</v>
      </c>
      <c r="P237" s="10">
        <f>IF(O102="是",1,0)+IF(O103="是",1,0)+IF(O106="是",1,0)</f>
        <v>3</v>
      </c>
      <c r="Q237" s="3" t="str">
        <f>Records!I219</f>
        <v>EgoAnchor</v>
      </c>
      <c r="R237" s="3" t="str">
        <f>Records!J219</f>
        <v>EgoAnchor</v>
      </c>
      <c r="S237" s="10">
        <f>IF(Records!C219="","",Records!C219)</f>
        <v>3</v>
      </c>
      <c r="T237" s="10">
        <f>Records!E219</f>
        <v>6</v>
      </c>
      <c r="U237" s="3" t="str">
        <f>"102,103,106"</f>
        <v>102,103,106</v>
      </c>
      <c r="V237" s="3">
        <f>185</f>
        <v>185</v>
      </c>
    </row>
    <row r="238" spans="1:22">
      <c r="A238" s="3" t="str">
        <f>"P017"</f>
        <v>P017</v>
      </c>
      <c r="B238" s="3" t="str">
        <f>"EgoAnchor"</f>
        <v>EgoAnchor</v>
      </c>
      <c r="C238" s="3" t="str">
        <f>"方法A"</f>
        <v>方法A</v>
      </c>
      <c r="D238" s="5">
        <f t="shared" ref="D238:L238" si="33">AVERAGE(F101,F104,F105)</f>
        <v>4.33333333333333</v>
      </c>
      <c r="E238" s="5">
        <f t="shared" si="33"/>
        <v>4</v>
      </c>
      <c r="F238" s="5">
        <f t="shared" si="33"/>
        <v>4.33333333333333</v>
      </c>
      <c r="G238" s="5">
        <f t="shared" si="33"/>
        <v>4.33333333333333</v>
      </c>
      <c r="H238" s="5">
        <f t="shared" si="33"/>
        <v>4.33333333333333</v>
      </c>
      <c r="I238" s="5">
        <f t="shared" si="33"/>
        <v>4.33333333333333</v>
      </c>
      <c r="J238" s="5">
        <f t="shared" si="33"/>
        <v>4</v>
      </c>
      <c r="K238" s="5">
        <f t="shared" si="33"/>
        <v>4.22222222222222</v>
      </c>
      <c r="L238" s="5">
        <f t="shared" si="33"/>
        <v>4.11111111111111</v>
      </c>
      <c r="M238" s="5">
        <f>I184</f>
        <v>4</v>
      </c>
      <c r="N238" s="5">
        <f>J184</f>
        <v>4.25</v>
      </c>
      <c r="O238" s="5">
        <f>K184</f>
        <v>5.33333333333333</v>
      </c>
      <c r="P238" s="10">
        <f>IF(O101="是",1,0)+IF(O104="是",1,0)+IF(O105="是",1,0)</f>
        <v>3</v>
      </c>
      <c r="Q238" s="3" t="str">
        <f>Records!I219</f>
        <v>EgoAnchor</v>
      </c>
      <c r="R238" s="3" t="str">
        <f>Records!J219</f>
        <v>EgoAnchor</v>
      </c>
      <c r="S238" s="10">
        <f>IF(Records!C219="","",Records!C219)</f>
        <v>3</v>
      </c>
      <c r="T238" s="10">
        <f>Records!E219</f>
        <v>6</v>
      </c>
      <c r="U238" s="3" t="str">
        <f>"101,104,105"</f>
        <v>101,104,105</v>
      </c>
      <c r="V238" s="3">
        <f>184</f>
        <v>184</v>
      </c>
    </row>
    <row r="239" spans="1:22">
      <c r="A239" s="3" t="str">
        <f>"P018"</f>
        <v>P018</v>
      </c>
      <c r="B239" s="3" t="str">
        <f>"One-Euro"</f>
        <v>One-Euro</v>
      </c>
      <c r="C239" s="3" t="str">
        <f>"方法B"</f>
        <v>方法B</v>
      </c>
      <c r="D239" s="5">
        <f t="shared" ref="D239:L239" si="34">AVERAGE(F107,F110,F111)</f>
        <v>4.33333333333333</v>
      </c>
      <c r="E239" s="5">
        <f t="shared" si="34"/>
        <v>4</v>
      </c>
      <c r="F239" s="5">
        <f t="shared" si="34"/>
        <v>4.66666666666667</v>
      </c>
      <c r="G239" s="5">
        <f t="shared" si="34"/>
        <v>4.66666666666667</v>
      </c>
      <c r="H239" s="5">
        <f t="shared" si="34"/>
        <v>3.66666666666667</v>
      </c>
      <c r="I239" s="5">
        <f t="shared" si="34"/>
        <v>4</v>
      </c>
      <c r="J239" s="5">
        <f t="shared" si="34"/>
        <v>4.33333333333333</v>
      </c>
      <c r="K239" s="5">
        <f t="shared" si="34"/>
        <v>4.88888888888889</v>
      </c>
      <c r="L239" s="5">
        <f t="shared" si="34"/>
        <v>4.33333333333333</v>
      </c>
      <c r="M239" s="5">
        <f>I186</f>
        <v>4.33333333333333</v>
      </c>
      <c r="N239" s="5">
        <f>J186</f>
        <v>4.5</v>
      </c>
      <c r="O239" s="5">
        <f>K186</f>
        <v>5.66666666666667</v>
      </c>
      <c r="P239" s="10">
        <f>IF(O107="是",1,0)+IF(O110="是",1,0)+IF(O111="是",1,0)</f>
        <v>3</v>
      </c>
      <c r="Q239" s="3" t="str">
        <f>Records!I220</f>
        <v>EgoAnchor</v>
      </c>
      <c r="R239" s="3" t="str">
        <f>Records!J220</f>
        <v>EgoAnchor</v>
      </c>
      <c r="S239" s="10">
        <f>IF(Records!C220="","",Records!C220)</f>
        <v>5</v>
      </c>
      <c r="T239" s="10">
        <f>Records!E220</f>
        <v>7</v>
      </c>
      <c r="U239" s="3" t="str">
        <f>"107,110,111"</f>
        <v>107,110,111</v>
      </c>
      <c r="V239" s="3">
        <f>186</f>
        <v>186</v>
      </c>
    </row>
    <row r="240" spans="1:22">
      <c r="A240" s="3" t="str">
        <f>"P018"</f>
        <v>P018</v>
      </c>
      <c r="B240" s="3" t="str">
        <f>"EgoAnchor"</f>
        <v>EgoAnchor</v>
      </c>
      <c r="C240" s="3" t="str">
        <f>"方法A"</f>
        <v>方法A</v>
      </c>
      <c r="D240" s="5">
        <f t="shared" ref="D240:L240" si="35">AVERAGE(F108,F109,F112)</f>
        <v>5.66666666666667</v>
      </c>
      <c r="E240" s="5">
        <f t="shared" si="35"/>
        <v>4.66666666666667</v>
      </c>
      <c r="F240" s="5">
        <f t="shared" si="35"/>
        <v>4.66666666666667</v>
      </c>
      <c r="G240" s="5">
        <f t="shared" si="35"/>
        <v>4.33333333333333</v>
      </c>
      <c r="H240" s="5">
        <f t="shared" si="35"/>
        <v>5.33333333333333</v>
      </c>
      <c r="I240" s="5">
        <f t="shared" si="35"/>
        <v>5.33333333333333</v>
      </c>
      <c r="J240" s="5">
        <f t="shared" si="35"/>
        <v>4.33333333333333</v>
      </c>
      <c r="K240" s="5">
        <f t="shared" si="35"/>
        <v>4.55555555555555</v>
      </c>
      <c r="L240" s="5">
        <f t="shared" si="35"/>
        <v>4.88888888888889</v>
      </c>
      <c r="M240" s="5">
        <f>I187</f>
        <v>4.66666666666667</v>
      </c>
      <c r="N240" s="5">
        <f>J187</f>
        <v>4.75</v>
      </c>
      <c r="O240" s="5">
        <f>K187</f>
        <v>5.33333333333333</v>
      </c>
      <c r="P240" s="10">
        <f>IF(O108="是",1,0)+IF(O109="是",1,0)+IF(O112="是",1,0)</f>
        <v>3</v>
      </c>
      <c r="Q240" s="3" t="str">
        <f>Records!I220</f>
        <v>EgoAnchor</v>
      </c>
      <c r="R240" s="3" t="str">
        <f>Records!J220</f>
        <v>EgoAnchor</v>
      </c>
      <c r="S240" s="10">
        <f>IF(Records!C220="","",Records!C220)</f>
        <v>5</v>
      </c>
      <c r="T240" s="10">
        <f>Records!E220</f>
        <v>7</v>
      </c>
      <c r="U240" s="3" t="str">
        <f>"108,109,112"</f>
        <v>108,109,112</v>
      </c>
      <c r="V240" s="3">
        <f>187</f>
        <v>187</v>
      </c>
    </row>
    <row r="241" spans="1:22">
      <c r="A241" s="3" t="str">
        <f>"P019"</f>
        <v>P019</v>
      </c>
      <c r="B241" s="3" t="str">
        <f>"One-Euro"</f>
        <v>One-Euro</v>
      </c>
      <c r="C241" s="3" t="str">
        <f>"方法A"</f>
        <v>方法A</v>
      </c>
      <c r="D241" s="5">
        <f t="shared" ref="D241:L241" si="36">AVERAGE(F114,F115,F118)</f>
        <v>3.66666666666667</v>
      </c>
      <c r="E241" s="5">
        <f t="shared" si="36"/>
        <v>4.66666666666667</v>
      </c>
      <c r="F241" s="5">
        <f t="shared" si="36"/>
        <v>4.33333333333333</v>
      </c>
      <c r="G241" s="5">
        <f t="shared" si="36"/>
        <v>4.66666666666667</v>
      </c>
      <c r="H241" s="5">
        <f t="shared" si="36"/>
        <v>4</v>
      </c>
      <c r="I241" s="5">
        <f t="shared" si="36"/>
        <v>3.66666666666667</v>
      </c>
      <c r="J241" s="5">
        <f t="shared" si="36"/>
        <v>3.66666666666667</v>
      </c>
      <c r="K241" s="5">
        <f t="shared" si="36"/>
        <v>4.11111111111111</v>
      </c>
      <c r="L241" s="5">
        <f t="shared" si="36"/>
        <v>4.55555555555555</v>
      </c>
      <c r="M241" s="5">
        <f>I189</f>
        <v>4</v>
      </c>
      <c r="N241" s="5">
        <f>J189</f>
        <v>4</v>
      </c>
      <c r="O241" s="5">
        <f>K189</f>
        <v>5</v>
      </c>
      <c r="P241" s="10">
        <f>IF(O114="是",1,0)+IF(O115="是",1,0)+IF(O118="是",1,0)</f>
        <v>3</v>
      </c>
      <c r="Q241" s="3" t="str">
        <f>Records!I221</f>
        <v>无明显偏好</v>
      </c>
      <c r="R241" s="3" t="str">
        <f>Records!J221</f>
        <v>EgoAnchor</v>
      </c>
      <c r="S241" s="10" t="str">
        <f>IF(Records!C221="","",Records!C221)</f>
        <v/>
      </c>
      <c r="T241" s="10">
        <f>Records!E221</f>
        <v>5</v>
      </c>
      <c r="U241" s="3" t="str">
        <f>"114,115,118"</f>
        <v>114,115,118</v>
      </c>
      <c r="V241" s="3">
        <f>189</f>
        <v>189</v>
      </c>
    </row>
    <row r="242" spans="1:22">
      <c r="A242" s="3" t="str">
        <f>"P019"</f>
        <v>P019</v>
      </c>
      <c r="B242" s="3" t="str">
        <f>"EgoAnchor"</f>
        <v>EgoAnchor</v>
      </c>
      <c r="C242" s="3" t="str">
        <f>"方法B"</f>
        <v>方法B</v>
      </c>
      <c r="D242" s="5">
        <f t="shared" ref="D242:L242" si="37">AVERAGE(F113,F116,F117)</f>
        <v>5</v>
      </c>
      <c r="E242" s="5">
        <f t="shared" si="37"/>
        <v>4</v>
      </c>
      <c r="F242" s="5">
        <f t="shared" si="37"/>
        <v>4.33333333333333</v>
      </c>
      <c r="G242" s="5">
        <f t="shared" si="37"/>
        <v>4.33333333333333</v>
      </c>
      <c r="H242" s="5">
        <f t="shared" si="37"/>
        <v>3.66666666666667</v>
      </c>
      <c r="I242" s="5">
        <f t="shared" si="37"/>
        <v>4.33333333333333</v>
      </c>
      <c r="J242" s="5">
        <f t="shared" si="37"/>
        <v>3.66666666666667</v>
      </c>
      <c r="K242" s="5">
        <f t="shared" si="37"/>
        <v>4.11111111111111</v>
      </c>
      <c r="L242" s="5">
        <f t="shared" si="37"/>
        <v>3.88888888888889</v>
      </c>
      <c r="M242" s="5">
        <f>I188</f>
        <v>4.33333333333333</v>
      </c>
      <c r="N242" s="5">
        <f>J188</f>
        <v>3.5</v>
      </c>
      <c r="O242" s="5">
        <f>K188</f>
        <v>5.33333333333333</v>
      </c>
      <c r="P242" s="10">
        <f>IF(O113="是",1,0)+IF(O116="是",1,0)+IF(O117="是",1,0)</f>
        <v>3</v>
      </c>
      <c r="Q242" s="3" t="str">
        <f>Records!I221</f>
        <v>无明显偏好</v>
      </c>
      <c r="R242" s="3" t="str">
        <f>Records!J221</f>
        <v>EgoAnchor</v>
      </c>
      <c r="S242" s="10" t="str">
        <f>IF(Records!C221="","",Records!C221)</f>
        <v/>
      </c>
      <c r="T242" s="10">
        <f>Records!E221</f>
        <v>5</v>
      </c>
      <c r="U242" s="3" t="str">
        <f>"113,116,117"</f>
        <v>113,116,117</v>
      </c>
      <c r="V242" s="3">
        <f>188</f>
        <v>188</v>
      </c>
    </row>
    <row r="243" spans="1:22">
      <c r="A243" s="3" t="str">
        <f>"P020"</f>
        <v>P020</v>
      </c>
      <c r="B243" s="3" t="str">
        <f>"One-Euro"</f>
        <v>One-Euro</v>
      </c>
      <c r="C243" s="3" t="str">
        <f>"方法A"</f>
        <v>方法A</v>
      </c>
      <c r="D243" s="5">
        <f t="shared" ref="D243:L243" si="38">AVERAGE(F119,F122,F123)</f>
        <v>4</v>
      </c>
      <c r="E243" s="5">
        <f t="shared" si="38"/>
        <v>4</v>
      </c>
      <c r="F243" s="5">
        <f t="shared" si="38"/>
        <v>4.33333333333333</v>
      </c>
      <c r="G243" s="5">
        <f t="shared" si="38"/>
        <v>4.66666666666667</v>
      </c>
      <c r="H243" s="5">
        <f t="shared" si="38"/>
        <v>4.33333333333333</v>
      </c>
      <c r="I243" s="5">
        <f t="shared" si="38"/>
        <v>4.33333333333333</v>
      </c>
      <c r="J243" s="5">
        <f t="shared" si="38"/>
        <v>4.66666666666667</v>
      </c>
      <c r="K243" s="5">
        <f t="shared" si="38"/>
        <v>4.22222222222222</v>
      </c>
      <c r="L243" s="5">
        <f t="shared" si="38"/>
        <v>4.66666666666667</v>
      </c>
      <c r="M243" s="5">
        <f>I190</f>
        <v>4</v>
      </c>
      <c r="N243" s="5">
        <f>J190</f>
        <v>3.75</v>
      </c>
      <c r="O243" s="5">
        <f>K190</f>
        <v>4.66666666666667</v>
      </c>
      <c r="P243" s="10">
        <f>IF(O119="是",1,0)+IF(O122="是",1,0)+IF(O123="是",1,0)</f>
        <v>3</v>
      </c>
      <c r="Q243" s="3" t="str">
        <f>Records!I222</f>
        <v>One-Euro</v>
      </c>
      <c r="R243" s="3" t="str">
        <f>Records!J222</f>
        <v>无明显偏好</v>
      </c>
      <c r="S243" s="10">
        <f>IF(Records!C222="","",Records!C222)</f>
        <v>4</v>
      </c>
      <c r="T243" s="10">
        <f>Records!E222</f>
        <v>4</v>
      </c>
      <c r="U243" s="3" t="str">
        <f>"119,122,123"</f>
        <v>119,122,123</v>
      </c>
      <c r="V243" s="3">
        <f>190</f>
        <v>190</v>
      </c>
    </row>
    <row r="244" spans="1:22">
      <c r="A244" s="3" t="str">
        <f>"P020"</f>
        <v>P020</v>
      </c>
      <c r="B244" s="3" t="str">
        <f>"EgoAnchor"</f>
        <v>EgoAnchor</v>
      </c>
      <c r="C244" s="3" t="str">
        <f>"方法B"</f>
        <v>方法B</v>
      </c>
      <c r="D244" s="5">
        <f t="shared" ref="D244:L244" si="39">AVERAGE(F120,F121,F124)</f>
        <v>4.66666666666667</v>
      </c>
      <c r="E244" s="5">
        <f t="shared" si="39"/>
        <v>4</v>
      </c>
      <c r="F244" s="5">
        <f t="shared" si="39"/>
        <v>4.33333333333333</v>
      </c>
      <c r="G244" s="5">
        <f t="shared" si="39"/>
        <v>5</v>
      </c>
      <c r="H244" s="5">
        <f t="shared" si="39"/>
        <v>4.33333333333333</v>
      </c>
      <c r="I244" s="5">
        <f t="shared" si="39"/>
        <v>3.66666666666667</v>
      </c>
      <c r="J244" s="5">
        <f t="shared" si="39"/>
        <v>4.66666666666667</v>
      </c>
      <c r="K244" s="5">
        <f t="shared" si="39"/>
        <v>4.66666666666667</v>
      </c>
      <c r="L244" s="5">
        <f t="shared" si="39"/>
        <v>4.33333333333333</v>
      </c>
      <c r="M244" s="5">
        <f>I191</f>
        <v>4</v>
      </c>
      <c r="N244" s="5">
        <f>J191</f>
        <v>4.25</v>
      </c>
      <c r="O244" s="5">
        <f>K191</f>
        <v>5.66666666666667</v>
      </c>
      <c r="P244" s="10">
        <f>IF(O120="是",1,0)+IF(O121="是",1,0)+IF(O124="是",1,0)</f>
        <v>3</v>
      </c>
      <c r="Q244" s="3" t="str">
        <f>Records!I222</f>
        <v>One-Euro</v>
      </c>
      <c r="R244" s="3" t="str">
        <f>Records!J222</f>
        <v>无明显偏好</v>
      </c>
      <c r="S244" s="10">
        <f>IF(Records!C222="","",Records!C222)</f>
        <v>4</v>
      </c>
      <c r="T244" s="10">
        <f>Records!E222</f>
        <v>4</v>
      </c>
      <c r="U244" s="3" t="str">
        <f>"120,121,124"</f>
        <v>120,121,124</v>
      </c>
      <c r="V244" s="3">
        <f>191</f>
        <v>191</v>
      </c>
    </row>
    <row r="245" spans="1:22">
      <c r="A245" s="3" t="str">
        <f>"P021"</f>
        <v>P021</v>
      </c>
      <c r="B245" s="3" t="str">
        <f>"One-Euro"</f>
        <v>One-Euro</v>
      </c>
      <c r="C245" s="3" t="str">
        <f>"方法B"</f>
        <v>方法B</v>
      </c>
      <c r="D245" s="5">
        <f t="shared" ref="D245:L245" si="40">AVERAGE(F126,F127,F130)</f>
        <v>4.66666666666667</v>
      </c>
      <c r="E245" s="5">
        <f t="shared" si="40"/>
        <v>5.33333333333333</v>
      </c>
      <c r="F245" s="5">
        <f t="shared" si="40"/>
        <v>5.33333333333333</v>
      </c>
      <c r="G245" s="5">
        <f t="shared" si="40"/>
        <v>5.33333333333333</v>
      </c>
      <c r="H245" s="5">
        <f t="shared" si="40"/>
        <v>4.33333333333333</v>
      </c>
      <c r="I245" s="5">
        <f t="shared" si="40"/>
        <v>4</v>
      </c>
      <c r="J245" s="5">
        <f t="shared" si="40"/>
        <v>5.33333333333333</v>
      </c>
      <c r="K245" s="5">
        <f t="shared" si="40"/>
        <v>4.77777777777778</v>
      </c>
      <c r="L245" s="5">
        <f t="shared" si="40"/>
        <v>5</v>
      </c>
      <c r="M245" s="5">
        <f>I193</f>
        <v>4.16666666666667</v>
      </c>
      <c r="N245" s="5">
        <f>J193</f>
        <v>4.25</v>
      </c>
      <c r="O245" s="5">
        <f>K193</f>
        <v>5.66666666666667</v>
      </c>
      <c r="P245" s="10">
        <f>IF(O126="是",1,0)+IF(O127="是",1,0)+IF(O130="是",1,0)</f>
        <v>3</v>
      </c>
      <c r="Q245" s="3" t="str">
        <f>Records!I223</f>
        <v>EgoAnchor</v>
      </c>
      <c r="R245" s="3" t="str">
        <f>Records!J223</f>
        <v>EgoAnchor</v>
      </c>
      <c r="S245" s="10">
        <f>IF(Records!C223="","",Records!C223)</f>
        <v>5</v>
      </c>
      <c r="T245" s="10">
        <f>Records!E223</f>
        <v>6</v>
      </c>
      <c r="U245" s="3" t="str">
        <f>"126,127,130"</f>
        <v>126,127,130</v>
      </c>
      <c r="V245" s="3">
        <f>193</f>
        <v>193</v>
      </c>
    </row>
    <row r="246" spans="1:22">
      <c r="A246" s="3" t="str">
        <f>"P021"</f>
        <v>P021</v>
      </c>
      <c r="B246" s="3" t="str">
        <f>"EgoAnchor"</f>
        <v>EgoAnchor</v>
      </c>
      <c r="C246" s="3" t="str">
        <f>"方法A"</f>
        <v>方法A</v>
      </c>
      <c r="D246" s="5">
        <f t="shared" ref="D246:L246" si="41">AVERAGE(F125,F128,F129)</f>
        <v>6.66666666666667</v>
      </c>
      <c r="E246" s="5">
        <f t="shared" si="41"/>
        <v>5.66666666666667</v>
      </c>
      <c r="F246" s="5">
        <f t="shared" si="41"/>
        <v>5.33333333333333</v>
      </c>
      <c r="G246" s="5">
        <f t="shared" si="41"/>
        <v>5</v>
      </c>
      <c r="H246" s="5">
        <f t="shared" si="41"/>
        <v>5</v>
      </c>
      <c r="I246" s="5">
        <f t="shared" si="41"/>
        <v>5.66666666666667</v>
      </c>
      <c r="J246" s="5">
        <f t="shared" si="41"/>
        <v>5.66666666666667</v>
      </c>
      <c r="K246" s="5">
        <f t="shared" si="41"/>
        <v>5.55555555555556</v>
      </c>
      <c r="L246" s="5">
        <f t="shared" si="41"/>
        <v>5.22222222222222</v>
      </c>
      <c r="M246" s="5">
        <f>I192</f>
        <v>4.5</v>
      </c>
      <c r="N246" s="5">
        <f>J192</f>
        <v>5</v>
      </c>
      <c r="O246" s="5">
        <f>K192</f>
        <v>6</v>
      </c>
      <c r="P246" s="10">
        <f>IF(O125="是",1,0)+IF(O128="是",1,0)+IF(O129="是",1,0)</f>
        <v>3</v>
      </c>
      <c r="Q246" s="3" t="str">
        <f>Records!I223</f>
        <v>EgoAnchor</v>
      </c>
      <c r="R246" s="3" t="str">
        <f>Records!J223</f>
        <v>EgoAnchor</v>
      </c>
      <c r="S246" s="10">
        <f>IF(Records!C223="","",Records!C223)</f>
        <v>5</v>
      </c>
      <c r="T246" s="10">
        <f>Records!E223</f>
        <v>6</v>
      </c>
      <c r="U246" s="3" t="str">
        <f>"125,128,129"</f>
        <v>125,128,129</v>
      </c>
      <c r="V246" s="3">
        <f>192</f>
        <v>192</v>
      </c>
    </row>
    <row r="247" spans="1:22">
      <c r="A247" s="3" t="str">
        <f>"P022"</f>
        <v>P022</v>
      </c>
      <c r="B247" s="3" t="str">
        <f>"One-Euro"</f>
        <v>One-Euro</v>
      </c>
      <c r="C247" s="3" t="str">
        <f>"方法B"</f>
        <v>方法B</v>
      </c>
      <c r="D247" s="5">
        <f t="shared" ref="D247:L247" si="42">AVERAGE(F131,F134,F135)</f>
        <v>4.33333333333333</v>
      </c>
      <c r="E247" s="5">
        <f t="shared" si="42"/>
        <v>4.66666666666667</v>
      </c>
      <c r="F247" s="5">
        <f t="shared" si="42"/>
        <v>5.66666666666667</v>
      </c>
      <c r="G247" s="5">
        <f t="shared" si="42"/>
        <v>4.66666666666667</v>
      </c>
      <c r="H247" s="5">
        <f t="shared" si="42"/>
        <v>4</v>
      </c>
      <c r="I247" s="5">
        <f t="shared" si="42"/>
        <v>4.33333333333333</v>
      </c>
      <c r="J247" s="5">
        <f t="shared" si="42"/>
        <v>4.33333333333333</v>
      </c>
      <c r="K247" s="5">
        <f t="shared" si="42"/>
        <v>5.11111111111111</v>
      </c>
      <c r="L247" s="5">
        <f t="shared" si="42"/>
        <v>5.11111111111111</v>
      </c>
      <c r="M247" s="5">
        <f>I194</f>
        <v>4.5</v>
      </c>
      <c r="N247" s="5">
        <f>J194</f>
        <v>4.25</v>
      </c>
      <c r="O247" s="5">
        <f>K194</f>
        <v>5.33333333333333</v>
      </c>
      <c r="P247" s="10">
        <f>IF(O131="是",1,0)+IF(O134="是",1,0)+IF(O135="是",1,0)</f>
        <v>3</v>
      </c>
      <c r="Q247" s="3" t="str">
        <f>Records!I224</f>
        <v>EgoAnchor</v>
      </c>
      <c r="R247" s="3" t="str">
        <f>Records!J224</f>
        <v>EgoAnchor</v>
      </c>
      <c r="S247" s="10">
        <f>IF(Records!C224="","",Records!C224)</f>
        <v>5</v>
      </c>
      <c r="T247" s="10">
        <f>Records!E224</f>
        <v>7</v>
      </c>
      <c r="U247" s="3" t="str">
        <f>"131,134,135"</f>
        <v>131,134,135</v>
      </c>
      <c r="V247" s="3">
        <f>194</f>
        <v>194</v>
      </c>
    </row>
    <row r="248" spans="1:22">
      <c r="A248" s="3" t="str">
        <f>"P022"</f>
        <v>P022</v>
      </c>
      <c r="B248" s="3" t="str">
        <f>"EgoAnchor"</f>
        <v>EgoAnchor</v>
      </c>
      <c r="C248" s="3" t="str">
        <f>"方法A"</f>
        <v>方法A</v>
      </c>
      <c r="D248" s="5">
        <f t="shared" ref="D248:L248" si="43">AVERAGE(F132,F133,F136)</f>
        <v>5.33333333333333</v>
      </c>
      <c r="E248" s="5">
        <f t="shared" si="43"/>
        <v>6.66666666666667</v>
      </c>
      <c r="F248" s="5">
        <f t="shared" si="43"/>
        <v>6</v>
      </c>
      <c r="G248" s="5">
        <f t="shared" si="43"/>
        <v>5.66666666666667</v>
      </c>
      <c r="H248" s="5">
        <f t="shared" si="43"/>
        <v>5</v>
      </c>
      <c r="I248" s="5">
        <f t="shared" si="43"/>
        <v>5</v>
      </c>
      <c r="J248" s="5">
        <f t="shared" si="43"/>
        <v>5.66666666666667</v>
      </c>
      <c r="K248" s="5">
        <f t="shared" si="43"/>
        <v>5.55555555555556</v>
      </c>
      <c r="L248" s="5">
        <f t="shared" si="43"/>
        <v>5.66666666666667</v>
      </c>
      <c r="M248" s="5">
        <f>I195</f>
        <v>4.83333333333333</v>
      </c>
      <c r="N248" s="5">
        <f>J195</f>
        <v>4.5</v>
      </c>
      <c r="O248" s="5">
        <f>K195</f>
        <v>6</v>
      </c>
      <c r="P248" s="10">
        <f>IF(O132="是",1,0)+IF(O133="是",1,0)+IF(O136="是",1,0)</f>
        <v>3</v>
      </c>
      <c r="Q248" s="3" t="str">
        <f>Records!I224</f>
        <v>EgoAnchor</v>
      </c>
      <c r="R248" s="3" t="str">
        <f>Records!J224</f>
        <v>EgoAnchor</v>
      </c>
      <c r="S248" s="10">
        <f>IF(Records!C224="","",Records!C224)</f>
        <v>5</v>
      </c>
      <c r="T248" s="10">
        <f>Records!E224</f>
        <v>7</v>
      </c>
      <c r="U248" s="3" t="str">
        <f>"132,133,136"</f>
        <v>132,133,136</v>
      </c>
      <c r="V248" s="3">
        <f>195</f>
        <v>195</v>
      </c>
    </row>
    <row r="249" spans="1:22">
      <c r="A249" s="3" t="str">
        <f>"P023"</f>
        <v>P023</v>
      </c>
      <c r="B249" s="3" t="str">
        <f>"One-Euro"</f>
        <v>One-Euro</v>
      </c>
      <c r="C249" s="3" t="str">
        <f>"方法A"</f>
        <v>方法A</v>
      </c>
      <c r="D249" s="5">
        <f t="shared" ref="D249:L249" si="44">AVERAGE(F138,F139,F142)</f>
        <v>4</v>
      </c>
      <c r="E249" s="5">
        <f t="shared" si="44"/>
        <v>4.66666666666667</v>
      </c>
      <c r="F249" s="5">
        <f t="shared" si="44"/>
        <v>6</v>
      </c>
      <c r="G249" s="5">
        <f t="shared" si="44"/>
        <v>6.66666666666667</v>
      </c>
      <c r="H249" s="5">
        <f t="shared" si="44"/>
        <v>4</v>
      </c>
      <c r="I249" s="5">
        <f t="shared" si="44"/>
        <v>4</v>
      </c>
      <c r="J249" s="5">
        <f t="shared" si="44"/>
        <v>4.33333333333333</v>
      </c>
      <c r="K249" s="5">
        <f t="shared" si="44"/>
        <v>4.77777777777778</v>
      </c>
      <c r="L249" s="5">
        <f t="shared" si="44"/>
        <v>4.88888888888889</v>
      </c>
      <c r="M249" s="5">
        <f>I197</f>
        <v>3.66666666666667</v>
      </c>
      <c r="N249" s="5">
        <f>J197</f>
        <v>3.75</v>
      </c>
      <c r="O249" s="5">
        <f>K197</f>
        <v>4.66666666666667</v>
      </c>
      <c r="P249" s="10">
        <f>IF(O138="是",1,0)+IF(O139="是",1,0)+IF(O142="是",1,0)</f>
        <v>3</v>
      </c>
      <c r="Q249" s="3" t="str">
        <f>Records!I225</f>
        <v>EgoAnchor</v>
      </c>
      <c r="R249" s="3" t="str">
        <f>Records!J225</f>
        <v>EgoAnchor</v>
      </c>
      <c r="S249" s="10">
        <f>IF(Records!C225="","",Records!C225)</f>
        <v>4</v>
      </c>
      <c r="T249" s="10">
        <f>Records!E225</f>
        <v>6</v>
      </c>
      <c r="U249" s="3" t="str">
        <f>"138,139,142"</f>
        <v>138,139,142</v>
      </c>
      <c r="V249" s="3">
        <f>197</f>
        <v>197</v>
      </c>
    </row>
    <row r="250" spans="1:22">
      <c r="A250" s="3" t="str">
        <f>"P023"</f>
        <v>P023</v>
      </c>
      <c r="B250" s="3" t="str">
        <f>"EgoAnchor"</f>
        <v>EgoAnchor</v>
      </c>
      <c r="C250" s="3" t="str">
        <f>"方法B"</f>
        <v>方法B</v>
      </c>
      <c r="D250" s="5">
        <f t="shared" ref="D250:L250" si="45">AVERAGE(F137,F140,F141)</f>
        <v>5.33333333333333</v>
      </c>
      <c r="E250" s="5">
        <f t="shared" si="45"/>
        <v>5</v>
      </c>
      <c r="F250" s="5">
        <f t="shared" si="45"/>
        <v>5</v>
      </c>
      <c r="G250" s="5">
        <f t="shared" si="45"/>
        <v>5.33333333333333</v>
      </c>
      <c r="H250" s="5">
        <f t="shared" si="45"/>
        <v>5.66666666666667</v>
      </c>
      <c r="I250" s="5">
        <f t="shared" si="45"/>
        <v>4.33333333333333</v>
      </c>
      <c r="J250" s="5">
        <f t="shared" si="45"/>
        <v>5.33333333333333</v>
      </c>
      <c r="K250" s="5">
        <f t="shared" si="45"/>
        <v>5.88888888888889</v>
      </c>
      <c r="L250" s="5">
        <f t="shared" si="45"/>
        <v>5.33333333333333</v>
      </c>
      <c r="M250" s="5">
        <f>I196</f>
        <v>4</v>
      </c>
      <c r="N250" s="5">
        <f>J196</f>
        <v>4</v>
      </c>
      <c r="O250" s="5">
        <f>K196</f>
        <v>5.33333333333333</v>
      </c>
      <c r="P250" s="10">
        <f>IF(O137="是",1,0)+IF(O140="是",1,0)+IF(O141="是",1,0)</f>
        <v>3</v>
      </c>
      <c r="Q250" s="3" t="str">
        <f>Records!I225</f>
        <v>EgoAnchor</v>
      </c>
      <c r="R250" s="3" t="str">
        <f>Records!J225</f>
        <v>EgoAnchor</v>
      </c>
      <c r="S250" s="10">
        <f>IF(Records!C225="","",Records!C225)</f>
        <v>4</v>
      </c>
      <c r="T250" s="10">
        <f>Records!E225</f>
        <v>6</v>
      </c>
      <c r="U250" s="3" t="str">
        <f>"137,140,141"</f>
        <v>137,140,141</v>
      </c>
      <c r="V250" s="3">
        <f>196</f>
        <v>196</v>
      </c>
    </row>
    <row r="251" spans="1:22">
      <c r="A251" s="3" t="str">
        <f>"P024"</f>
        <v>P024</v>
      </c>
      <c r="B251" s="3" t="str">
        <f>"One-Euro"</f>
        <v>One-Euro</v>
      </c>
      <c r="C251" s="3" t="str">
        <f>"方法A"</f>
        <v>方法A</v>
      </c>
      <c r="D251" s="5">
        <f t="shared" ref="D251:L251" si="46">AVERAGE(F143,F146,F147)</f>
        <v>4.33333333333333</v>
      </c>
      <c r="E251" s="5">
        <f t="shared" si="46"/>
        <v>5</v>
      </c>
      <c r="F251" s="5">
        <f t="shared" si="46"/>
        <v>5</v>
      </c>
      <c r="G251" s="5">
        <f t="shared" si="46"/>
        <v>4.66666666666667</v>
      </c>
      <c r="H251" s="5">
        <f t="shared" si="46"/>
        <v>4.66666666666667</v>
      </c>
      <c r="I251" s="5">
        <f t="shared" si="46"/>
        <v>4.33333333333333</v>
      </c>
      <c r="J251" s="5">
        <f t="shared" si="46"/>
        <v>5</v>
      </c>
      <c r="K251" s="5">
        <f t="shared" si="46"/>
        <v>5.33333333333333</v>
      </c>
      <c r="L251" s="5">
        <f t="shared" si="46"/>
        <v>4.66666666666667</v>
      </c>
      <c r="M251" s="5">
        <f>I198</f>
        <v>4</v>
      </c>
      <c r="N251" s="5">
        <f>J198</f>
        <v>4.25</v>
      </c>
      <c r="O251" s="5">
        <f>K198</f>
        <v>5.66666666666667</v>
      </c>
      <c r="P251" s="10">
        <f>IF(O143="是",1,0)+IF(O146="是",1,0)+IF(O147="是",1,0)</f>
        <v>3</v>
      </c>
      <c r="Q251" s="3" t="str">
        <f>Records!I226</f>
        <v>EgoAnchor</v>
      </c>
      <c r="R251" s="3" t="str">
        <f>Records!J226</f>
        <v>EgoAnchor</v>
      </c>
      <c r="S251" s="10">
        <f>IF(Records!C226="","",Records!C226)</f>
        <v>6</v>
      </c>
      <c r="T251" s="10">
        <f>Records!E226</f>
        <v>7</v>
      </c>
      <c r="U251" s="3" t="str">
        <f>"143,146,147"</f>
        <v>143,146,147</v>
      </c>
      <c r="V251" s="3">
        <f>198</f>
        <v>198</v>
      </c>
    </row>
    <row r="252" spans="1:22">
      <c r="A252" s="3" t="str">
        <f>"P024"</f>
        <v>P024</v>
      </c>
      <c r="B252" s="3" t="str">
        <f>"EgoAnchor"</f>
        <v>EgoAnchor</v>
      </c>
      <c r="C252" s="3" t="str">
        <f>"方法B"</f>
        <v>方法B</v>
      </c>
      <c r="D252" s="5">
        <f t="shared" ref="D252:L252" si="47">AVERAGE(F144,F145,F148)</f>
        <v>6</v>
      </c>
      <c r="E252" s="5">
        <f t="shared" si="47"/>
        <v>6.66666666666667</v>
      </c>
      <c r="F252" s="5">
        <f t="shared" si="47"/>
        <v>5.33333333333333</v>
      </c>
      <c r="G252" s="5">
        <f t="shared" si="47"/>
        <v>5.33333333333333</v>
      </c>
      <c r="H252" s="5">
        <f t="shared" si="47"/>
        <v>5.33333333333333</v>
      </c>
      <c r="I252" s="5">
        <f t="shared" si="47"/>
        <v>6</v>
      </c>
      <c r="J252" s="5">
        <f t="shared" si="47"/>
        <v>6.33333333333333</v>
      </c>
      <c r="K252" s="5">
        <f t="shared" si="47"/>
        <v>5.44444444444444</v>
      </c>
      <c r="L252" s="5">
        <f t="shared" si="47"/>
        <v>5.33333333333333</v>
      </c>
      <c r="M252" s="5">
        <f>I199</f>
        <v>4.66666666666667</v>
      </c>
      <c r="N252" s="5">
        <f>J199</f>
        <v>5</v>
      </c>
      <c r="O252" s="5">
        <f>K199</f>
        <v>6</v>
      </c>
      <c r="P252" s="10">
        <f>IF(O144="是",1,0)+IF(O145="是",1,0)+IF(O148="是",1,0)</f>
        <v>3</v>
      </c>
      <c r="Q252" s="3" t="str">
        <f>Records!I226</f>
        <v>EgoAnchor</v>
      </c>
      <c r="R252" s="3" t="str">
        <f>Records!J226</f>
        <v>EgoAnchor</v>
      </c>
      <c r="S252" s="10">
        <f>IF(Records!C226="","",Records!C226)</f>
        <v>6</v>
      </c>
      <c r="T252" s="10">
        <f>Records!E226</f>
        <v>7</v>
      </c>
      <c r="U252" s="3" t="str">
        <f>"144,145,148"</f>
        <v>144,145,148</v>
      </c>
      <c r="V252" s="3">
        <f>199</f>
        <v>199</v>
      </c>
    </row>
  </sheetData>
  <mergeCells count="4">
    <mergeCell ref="A1:P1"/>
    <mergeCell ref="A2:P2"/>
    <mergeCell ref="A150:M150"/>
    <mergeCell ref="A203:V203"/>
  </mergeCells>
  <conditionalFormatting sqref="A5:P148">
    <cfRule type="expression" dxfId="2" priority="1">
      <formula>$E5="EgoAnchor"</formula>
    </cfRule>
    <cfRule type="expression" dxfId="3" priority="2">
      <formula>$E5="One-Euro"</formula>
    </cfRule>
  </conditionalFormatting>
  <conditionalFormatting sqref="A205:V252">
    <cfRule type="expression" dxfId="2" priority="3">
      <formula>$B205="EgoAnchor"</formula>
    </cfRule>
    <cfRule type="expression" dxfId="3" priority="4">
      <formula>$B205="One-Euro"</formula>
    </cfRule>
  </conditionalFormatting>
  <pageMargins left="0.7" right="0.7" top="0.75" bottom="0.75" header="0.3" footer="0.3"/>
  <headerFooter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workbookViewId="0">
      <selection activeCell="A1" sqref="A1:J1"/>
    </sheetView>
  </sheetViews>
  <sheetFormatPr defaultColWidth="9" defaultRowHeight="14.5"/>
  <cols>
    <col min="1" max="1" width="24" customWidth="1"/>
    <col min="2" max="4" width="16" customWidth="1"/>
    <col min="6" max="6" width="24" customWidth="1"/>
    <col min="7" max="10" width="14" customWidth="1"/>
  </cols>
  <sheetData>
    <row r="1" ht="19.5" spans="1:10">
      <c r="A1" s="1" t="s">
        <v>835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836</v>
      </c>
      <c r="B2" s="2"/>
      <c r="C2" s="2"/>
      <c r="D2" s="2"/>
      <c r="E2" s="2"/>
      <c r="F2" s="2"/>
      <c r="G2" s="2"/>
      <c r="H2" s="2"/>
      <c r="I2" s="2"/>
      <c r="J2" s="2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4" t="s">
        <v>633</v>
      </c>
      <c r="B4" s="4" t="s">
        <v>837</v>
      </c>
      <c r="C4" s="4" t="s">
        <v>838</v>
      </c>
      <c r="D4" s="4" t="s">
        <v>839</v>
      </c>
      <c r="E4" s="3"/>
      <c r="F4" s="4" t="s">
        <v>840</v>
      </c>
      <c r="G4" s="4" t="s">
        <v>379</v>
      </c>
      <c r="H4" s="4" t="s">
        <v>380</v>
      </c>
      <c r="I4" s="4" t="s">
        <v>526</v>
      </c>
      <c r="J4" s="4" t="s">
        <v>841</v>
      </c>
    </row>
    <row r="5" spans="1:10">
      <c r="A5" s="3" t="str">
        <f>"Q1 静止稳定"</f>
        <v>Q1 静止稳定</v>
      </c>
      <c r="B5" s="5">
        <f>AVERAGEIF(Formula_Scores!$B$205:$B$252,"One-Euro",Formula_Scores!$D$205:$D$252)</f>
        <v>4.25</v>
      </c>
      <c r="C5" s="5">
        <f>AVERAGEIF(Formula_Scores!$B$205:$B$252,"EgoAnchor",Formula_Scores!$D$205:$D$252)</f>
        <v>5.19444444444444</v>
      </c>
      <c r="D5" s="5">
        <f t="shared" ref="D5:D16" si="0">C5-B5</f>
        <v>0.944444444444445</v>
      </c>
      <c r="E5" s="3"/>
      <c r="F5" s="3" t="s">
        <v>722</v>
      </c>
      <c r="G5" s="3">
        <f>COUNTIF(Records!$I$203:$I$226,"EgoAnchor")</f>
        <v>15</v>
      </c>
      <c r="H5" s="3">
        <f>COUNTIF(Records!$I$203:$I$226,"One-Euro")</f>
        <v>4</v>
      </c>
      <c r="I5" s="3">
        <f>COUNTIF(Records!$I$203:$I$226,"无明显偏好")</f>
        <v>5</v>
      </c>
      <c r="J5" s="3">
        <f>SUM(G5:I5)</f>
        <v>24</v>
      </c>
    </row>
    <row r="6" spans="1:10">
      <c r="A6" s="3" t="str">
        <f>"Q8 位置正确"</f>
        <v>Q8 位置正确</v>
      </c>
      <c r="B6" s="5">
        <f>AVERAGEIF(Formula_Scores!$B$205:$B$252,"One-Euro",Formula_Scores!$E$205:$E$252)</f>
        <v>4.47222222222222</v>
      </c>
      <c r="C6" s="5">
        <f>AVERAGEIF(Formula_Scores!$B$205:$B$252,"EgoAnchor",Formula_Scores!$E$205:$E$252)</f>
        <v>5.16666666666667</v>
      </c>
      <c r="D6" s="5">
        <f t="shared" si="0"/>
        <v>0.694444444444446</v>
      </c>
      <c r="E6" s="3"/>
      <c r="F6" s="3" t="s">
        <v>723</v>
      </c>
      <c r="G6" s="3">
        <f>COUNTIF(Records!$J$203:$J$226,"EgoAnchor")</f>
        <v>18</v>
      </c>
      <c r="H6" s="3">
        <f>COUNTIF(Records!$J$203:$J$226,"One-Euro")</f>
        <v>1</v>
      </c>
      <c r="I6" s="3">
        <f>COUNTIF(Records!$J$203:$J$226,"无明显偏好")</f>
        <v>5</v>
      </c>
      <c r="J6" s="3">
        <f>SUM(G6:I6)</f>
        <v>24</v>
      </c>
    </row>
    <row r="7" spans="1:10">
      <c r="A7" s="3" t="str">
        <f>"Q2 运动附着"</f>
        <v>Q2 运动附着</v>
      </c>
      <c r="B7" s="5">
        <f>AVERAGEIF(Formula_Scores!$B$205:$B$252,"One-Euro",Formula_Scores!$F$205:$F$252)</f>
        <v>4.875</v>
      </c>
      <c r="C7" s="5">
        <f>AVERAGEIF(Formula_Scores!$B$205:$B$252,"EgoAnchor",Formula_Scores!$F$205:$F$252)</f>
        <v>4.98611111111111</v>
      </c>
      <c r="D7" s="5">
        <f t="shared" si="0"/>
        <v>0.111111111111111</v>
      </c>
      <c r="E7" s="3"/>
      <c r="F7" s="3"/>
      <c r="G7" s="3"/>
      <c r="H7" s="3"/>
      <c r="I7" s="3"/>
      <c r="J7" s="3"/>
    </row>
    <row r="8" spans="1:10">
      <c r="A8" s="3" t="str">
        <f>"Q9 姿态一致"</f>
        <v>Q9 姿态一致</v>
      </c>
      <c r="B8" s="5">
        <f>AVERAGEIF(Formula_Scores!$B$205:$B$252,"One-Euro",Formula_Scores!$G$205:$G$252)</f>
        <v>4.88888888888889</v>
      </c>
      <c r="C8" s="5">
        <f>AVERAGEIF(Formula_Scores!$B$205:$B$252,"EgoAnchor",Formula_Scores!$G$205:$G$252)</f>
        <v>4.98611111111111</v>
      </c>
      <c r="D8" s="5">
        <f t="shared" si="0"/>
        <v>0.0972222222222197</v>
      </c>
      <c r="E8" s="3"/>
      <c r="F8" s="3"/>
      <c r="G8" s="3"/>
      <c r="H8" s="3"/>
      <c r="I8" s="3"/>
      <c r="J8" s="3"/>
    </row>
    <row r="9" spans="1:10">
      <c r="A9" s="3" t="str">
        <f>"Q3 恢复一致"</f>
        <v>Q3 恢复一致</v>
      </c>
      <c r="B9" s="5">
        <f>AVERAGEIF(Formula_Scores!$B$205:$B$252,"One-Euro",Formula_Scores!$H$205:$H$252)</f>
        <v>4.15277777777778</v>
      </c>
      <c r="C9" s="5">
        <f>AVERAGEIF(Formula_Scores!$B$205:$B$252,"EgoAnchor",Formula_Scores!$H$205:$H$252)</f>
        <v>4.95833333333333</v>
      </c>
      <c r="D9" s="5">
        <f t="shared" si="0"/>
        <v>0.805555555555555</v>
      </c>
      <c r="E9" s="3"/>
      <c r="F9" s="4" t="s">
        <v>842</v>
      </c>
      <c r="G9" s="4" t="s">
        <v>843</v>
      </c>
      <c r="H9" s="4" t="s">
        <v>844</v>
      </c>
      <c r="I9" s="3"/>
      <c r="J9" s="3"/>
    </row>
    <row r="10" spans="1:10">
      <c r="A10" s="3" t="str">
        <f>"Q6 依赖意愿"</f>
        <v>Q6 依赖意愿</v>
      </c>
      <c r="B10" s="5">
        <f>AVERAGEIF(Formula_Scores!$B$205:$B$252,"One-Euro",Formula_Scores!$I$205:$I$252)</f>
        <v>4.15277777777778</v>
      </c>
      <c r="C10" s="5">
        <f>AVERAGEIF(Formula_Scores!$B$205:$B$252,"EgoAnchor",Formula_Scores!$I$205:$I$252)</f>
        <v>4.88888888888889</v>
      </c>
      <c r="D10" s="5">
        <f t="shared" si="0"/>
        <v>0.736111111111112</v>
      </c>
      <c r="E10" s="3"/>
      <c r="F10" s="3" t="s">
        <v>845</v>
      </c>
      <c r="G10" s="3">
        <f>COUNTIF(Records!$AD$5:$AD$148,"是")</f>
        <v>144</v>
      </c>
      <c r="H10" s="3">
        <v>144</v>
      </c>
      <c r="I10" s="3"/>
      <c r="J10" s="3"/>
    </row>
    <row r="11" spans="1:10">
      <c r="A11" s="3" t="str">
        <f>"Q7 稳定-响应平衡"</f>
        <v>Q7 稳定-响应平衡</v>
      </c>
      <c r="B11" s="5">
        <f>AVERAGEIF(Formula_Scores!$B$205:$B$252,"One-Euro",Formula_Scores!$J$205:$J$252)</f>
        <v>4.43055555555555</v>
      </c>
      <c r="C11" s="5">
        <f>AVERAGEIF(Formula_Scores!$B$205:$B$252,"EgoAnchor",Formula_Scores!$J$205:$J$252)</f>
        <v>4.90277777777778</v>
      </c>
      <c r="D11" s="5">
        <f t="shared" si="0"/>
        <v>0.472222222222223</v>
      </c>
      <c r="E11" s="3"/>
      <c r="F11" s="3" t="s">
        <v>846</v>
      </c>
      <c r="G11" s="3">
        <f>COUNT(Records!$K$5:$M$148)+COUNT(Records!$O$5:$X$148)</f>
        <v>1872</v>
      </c>
      <c r="H11" s="3">
        <v>1872</v>
      </c>
      <c r="I11" s="3"/>
      <c r="J11" s="3"/>
    </row>
    <row r="12" spans="1:10">
      <c r="A12" s="3" t="str">
        <f>"AQ-EQ"</f>
        <v>AQ-EQ</v>
      </c>
      <c r="B12" s="5">
        <f>AVERAGEIF(Formula_Scores!$B$205:$B$252,"One-Euro",Formula_Scores!$K$205:$K$252)</f>
        <v>4.69907407407407</v>
      </c>
      <c r="C12" s="5">
        <f>AVERAGEIF(Formula_Scores!$B$205:$B$252,"EgoAnchor",Formula_Scores!$K$205:$K$252)</f>
        <v>5.04166666666667</v>
      </c>
      <c r="D12" s="5">
        <f t="shared" si="0"/>
        <v>0.342592592592594</v>
      </c>
      <c r="E12" s="3"/>
      <c r="F12" s="3" t="s">
        <v>847</v>
      </c>
      <c r="G12" s="3">
        <f>COUNT(Records!$N$5:$N$148)</f>
        <v>0</v>
      </c>
      <c r="H12" s="3">
        <v>0</v>
      </c>
      <c r="I12" s="3"/>
      <c r="J12" s="3"/>
    </row>
    <row r="13" spans="1:10">
      <c r="A13" s="3" t="str">
        <f>"AQ-IQ"</f>
        <v>AQ-IQ</v>
      </c>
      <c r="B13" s="5">
        <f>AVERAGEIF(Formula_Scores!$B$205:$B$252,"One-Euro",Formula_Scores!$L$205:$L$252)</f>
        <v>4.89351851851852</v>
      </c>
      <c r="C13" s="5">
        <f>AVERAGEIF(Formula_Scores!$B$205:$B$252,"EgoAnchor",Formula_Scores!$L$205:$L$252)</f>
        <v>4.94907407407407</v>
      </c>
      <c r="D13" s="5">
        <f t="shared" si="0"/>
        <v>0.0555555555555562</v>
      </c>
      <c r="E13" s="3"/>
      <c r="F13" s="3" t="s">
        <v>848</v>
      </c>
      <c r="G13" s="3">
        <f>COUNT(Records!$E$152:$E$199)</f>
        <v>48</v>
      </c>
      <c r="H13" s="3">
        <v>48</v>
      </c>
      <c r="I13" s="3"/>
      <c r="J13" s="3"/>
    </row>
    <row r="14" spans="1:10">
      <c r="A14" s="3" t="str">
        <f>"TiA R/C"</f>
        <v>TiA R/C</v>
      </c>
      <c r="B14" s="5">
        <f>AVERAGEIF(Formula_Scores!$B$205:$B$252,"One-Euro",Formula_Scores!$M$205:$M$252)</f>
        <v>4.125</v>
      </c>
      <c r="C14" s="5">
        <f>AVERAGEIF(Formula_Scores!$B$205:$B$252,"EgoAnchor",Formula_Scores!$M$205:$M$252)</f>
        <v>4.52083333333333</v>
      </c>
      <c r="D14" s="5">
        <f t="shared" si="0"/>
        <v>0.395833333333332</v>
      </c>
      <c r="E14" s="3"/>
      <c r="F14" s="3" t="s">
        <v>849</v>
      </c>
      <c r="G14" s="3">
        <f>COUNTA(Records!$B$203:$B$226)</f>
        <v>24</v>
      </c>
      <c r="H14" s="3">
        <v>24</v>
      </c>
      <c r="I14" s="3"/>
      <c r="J14" s="3"/>
    </row>
    <row r="15" spans="1:10">
      <c r="A15" s="3" t="str">
        <f>"TiA U/P"</f>
        <v>TiA U/P</v>
      </c>
      <c r="B15" s="5">
        <f>AVERAGEIF(Formula_Scores!$B$205:$B$252,"One-Euro",Formula_Scores!$N$205:$N$252)</f>
        <v>4.05208333333333</v>
      </c>
      <c r="C15" s="5">
        <f>AVERAGEIF(Formula_Scores!$B$205:$B$252,"EgoAnchor",Formula_Scores!$N$205:$N$252)</f>
        <v>4.4375</v>
      </c>
      <c r="D15" s="5">
        <f t="shared" si="0"/>
        <v>0.385416666666667</v>
      </c>
      <c r="E15" s="3"/>
      <c r="F15" s="3" t="s">
        <v>850</v>
      </c>
      <c r="G15" s="3">
        <f>COUNTIF(Records!$AL$5:$AL$148,"是")</f>
        <v>0</v>
      </c>
      <c r="H15" s="3">
        <v>0</v>
      </c>
      <c r="I15" s="3"/>
      <c r="J15" s="3"/>
    </row>
    <row r="16" spans="1:10">
      <c r="A16" s="3" t="str">
        <f>"S-TIAS"</f>
        <v>S-TIAS</v>
      </c>
      <c r="B16" s="5">
        <f>AVERAGEIF(Formula_Scores!$B$205:$B$252,"One-Euro",Formula_Scores!$O$205:$O$252)</f>
        <v>5.30555555555556</v>
      </c>
      <c r="C16" s="5">
        <f>AVERAGEIF(Formula_Scores!$B$205:$B$252,"EgoAnchor",Formula_Scores!$O$205:$O$252)</f>
        <v>5.79166666666667</v>
      </c>
      <c r="D16" s="5">
        <f t="shared" si="0"/>
        <v>0.486111111111111</v>
      </c>
      <c r="E16" s="3"/>
      <c r="F16" s="3"/>
      <c r="G16" s="3"/>
      <c r="H16" s="3"/>
      <c r="I16" s="3"/>
      <c r="J16" s="3"/>
    </row>
    <row r="17" spans="1:10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>
      <c r="A18" s="3"/>
      <c r="B18" s="3"/>
      <c r="C18" s="3"/>
      <c r="D18" s="3"/>
      <c r="E18" s="3"/>
      <c r="F18" s="4" t="s">
        <v>851</v>
      </c>
      <c r="G18" s="4" t="s">
        <v>852</v>
      </c>
      <c r="H18" s="4" t="s">
        <v>146</v>
      </c>
      <c r="I18" s="3"/>
      <c r="J18" s="3"/>
    </row>
    <row r="19" spans="1:10">
      <c r="A19" s="4" t="s">
        <v>853</v>
      </c>
      <c r="B19" s="4"/>
      <c r="C19" s="4"/>
      <c r="D19" s="4"/>
      <c r="E19" s="3"/>
      <c r="F19" s="3" t="s">
        <v>854</v>
      </c>
      <c r="G19" s="6">
        <f>AVERAGE(Participants!L3:L26)</f>
        <v>27</v>
      </c>
      <c r="H19" s="3" t="s">
        <v>855</v>
      </c>
      <c r="I19" s="3"/>
      <c r="J19" s="3"/>
    </row>
    <row r="20" spans="1:10">
      <c r="A20" s="7" t="s">
        <v>856</v>
      </c>
      <c r="B20" s="7"/>
      <c r="C20" s="7"/>
      <c r="D20" s="7"/>
      <c r="E20" s="3"/>
      <c r="F20" s="3" t="s">
        <v>857</v>
      </c>
      <c r="G20" s="3">
        <f>COUNTIF(Participants!M3:M26,"女")</f>
        <v>11</v>
      </c>
      <c r="H20" s="3" t="s">
        <v>191</v>
      </c>
      <c r="I20" s="3"/>
      <c r="J20" s="3"/>
    </row>
    <row r="21" spans="1:10">
      <c r="A21" s="7"/>
      <c r="B21" s="7"/>
      <c r="C21" s="7"/>
      <c r="D21" s="7"/>
      <c r="E21" s="3"/>
      <c r="F21" s="3" t="s">
        <v>858</v>
      </c>
      <c r="G21" s="3">
        <f>COUNTIF(Participants!M3:M26,"男")</f>
        <v>13</v>
      </c>
      <c r="H21" s="3" t="s">
        <v>191</v>
      </c>
      <c r="I21" s="3"/>
      <c r="J21" s="3"/>
    </row>
    <row r="22" spans="1:10">
      <c r="A22" s="7"/>
      <c r="B22" s="7"/>
      <c r="C22" s="7"/>
      <c r="D22" s="7"/>
      <c r="E22" s="3"/>
      <c r="F22" s="3" t="s">
        <v>859</v>
      </c>
      <c r="G22" s="3">
        <f>COUNTIF(Participants!N3:N26,"右手")</f>
        <v>19</v>
      </c>
      <c r="H22" s="3" t="s">
        <v>191</v>
      </c>
      <c r="I22" s="3"/>
      <c r="J22" s="3"/>
    </row>
    <row r="23" spans="1:10">
      <c r="A23" s="7"/>
      <c r="B23" s="7"/>
      <c r="C23" s="7"/>
      <c r="D23" s="7"/>
      <c r="E23" s="3"/>
      <c r="F23" s="3" t="s">
        <v>860</v>
      </c>
      <c r="G23" s="3">
        <f>COUNTIF(Participants!P3:P26,"经常使用")</f>
        <v>6</v>
      </c>
      <c r="H23" s="3" t="s">
        <v>191</v>
      </c>
      <c r="I23" s="3"/>
      <c r="J23" s="3"/>
    </row>
    <row r="24" spans="1:10">
      <c r="A24" s="7"/>
      <c r="B24" s="7"/>
      <c r="C24" s="7"/>
      <c r="D24" s="7"/>
      <c r="E24" s="3"/>
      <c r="F24" s="3" t="s">
        <v>861</v>
      </c>
      <c r="G24" s="3">
        <f>COUNTIF(Participants!S3:S26,"轻微")</f>
        <v>2</v>
      </c>
      <c r="H24" s="3" t="s">
        <v>191</v>
      </c>
      <c r="I24" s="3"/>
      <c r="J24" s="3"/>
    </row>
    <row r="25" spans="1:10">
      <c r="A25" s="7"/>
      <c r="B25" s="7"/>
      <c r="C25" s="7"/>
      <c r="D25" s="7"/>
      <c r="E25" s="3"/>
      <c r="F25" s="3" t="s">
        <v>862</v>
      </c>
      <c r="G25" s="3">
        <f>COUNTIF(Records!H203:H226,"轻微")+COUNTIF(Records!H203:H226,"中等")</f>
        <v>4</v>
      </c>
      <c r="H25" s="3" t="s">
        <v>191</v>
      </c>
      <c r="I25" s="3"/>
      <c r="J25" s="3"/>
    </row>
    <row r="26" spans="1:10">
      <c r="A26" s="7"/>
      <c r="B26" s="7"/>
      <c r="C26" s="7"/>
      <c r="D26" s="7"/>
      <c r="E26" s="3"/>
      <c r="F26" s="3"/>
      <c r="G26" s="3"/>
      <c r="H26" s="3"/>
      <c r="I26" s="3"/>
      <c r="J26" s="3"/>
    </row>
    <row r="27" spans="1:10">
      <c r="A27" s="7"/>
      <c r="B27" s="7"/>
      <c r="C27" s="7"/>
      <c r="D27" s="7"/>
      <c r="E27" s="3"/>
      <c r="F27" s="3"/>
      <c r="G27" s="3"/>
      <c r="H27" s="3"/>
      <c r="I27" s="3"/>
      <c r="J27" s="3"/>
    </row>
  </sheetData>
  <mergeCells count="4">
    <mergeCell ref="A1:J1"/>
    <mergeCell ref="A2:J2"/>
    <mergeCell ref="A19:D19"/>
    <mergeCell ref="A20:D27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Workbook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README</vt:lpstr>
      <vt:lpstr>Verification_Audit</vt:lpstr>
      <vt:lpstr>Questionnaire</vt:lpstr>
      <vt:lpstr>Participants</vt:lpstr>
      <vt:lpstr>Records</vt:lpstr>
      <vt:lpstr>Analysis</vt:lpstr>
      <vt:lpstr>Synthetic_Notice</vt:lpstr>
      <vt:lpstr>Formula_Scores</vt:lpstr>
      <vt:lpstr>Synthetic_Summary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EgoAnchor Experiment 3 Synthetic Analysis</dc:title>
  <dc:creator>GPT-5.6 Thinking</dc:creator>
  <cp:lastModifiedBy>纪海林</cp:lastModifiedBy>
  <dcterms:created xsi:type="dcterms:W3CDTF">2026-07-27T16:47:00Z</dcterms:created>
  <dcterms:modified xsi:type="dcterms:W3CDTF">2026-07-29T06:37:55Z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543672E7546544B784A9E268A1EEF813_12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