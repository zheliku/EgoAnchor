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164011"/>
  <bookViews>
    <workbookView visibility="visible" minimized="0" showHorizontalScroll="1" showVerticalScroll="1" showSheetTabs="1" tabRatio="600" firstSheet="0" activeTab="5" autoFilterDateGrouping="1"/>
  </bookViews>
  <sheets>
    <sheet name="README" sheetId="1" state="visible" r:id="rId1"/>
    <sheet name="Verification_Audit" sheetId="2" state="visible" r:id="rId2"/>
    <sheet name="Questionnaire" sheetId="3" state="visible" r:id="rId3"/>
    <sheet name="Participants" sheetId="4" state="visible" r:id="rId4"/>
    <sheet name="Records" sheetId="5" state="visible" r:id="rId5"/>
    <sheet name="Analysis" sheetId="6" state="visible" r:id="rId6"/>
    <sheet name="Synthetic_Notice" sheetId="7" state="visible" r:id="rId7"/>
    <sheet name="Formula_Scores" sheetId="8" state="visible" r:id="rId8"/>
    <sheet name="Synthetic_Summary" sheetId="9" state="visible" r:id="rId9"/>
  </sheets>
  <definedNames/>
  <calcPr calcId="191029" calcMode="auto" fullCalcOnLoad="1" forceFullCalc="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8">
    <numFmt numFmtId="164" formatCode="yyyy-mm-dd hh:mm"/>
    <numFmt numFmtId="165" formatCode="hh:mm:ss"/>
    <numFmt numFmtId="200" formatCode="0"/>
    <numFmt numFmtId="201" formatCode="yyyy-mm-dd hh:mm:ss"/>
    <numFmt numFmtId="202" formatCode="0.0"/>
    <numFmt numFmtId="203" formatCode="0.000"/>
    <numFmt numFmtId="204" formatCode="0.00"/>
    <numFmt numFmtId="205" formatCode="0.0000"/>
  </numFmts>
  <fonts count="21">
    <font>
      <sz val="11"/>
      <color theme="1"/>
      <name val="Calibri"/>
    </font>
    <font>
      <b/>
    </font>
    <font>
      <b/>
      <sz val="10"/>
      <color rgb="FF22313F"/>
    </font>
    <font>
      <sz val="10"/>
      <color rgb="FF22313F"/>
      <name val="Calibri"/>
    </font>
    <font>
      <b/>
      <sz val="15"/>
      <color rgb="FFFFFFFF"/>
    </font>
    <font>
      <b/>
      <sz val="15"/>
      <color rgb="FFFFFFFF"/>
      <name val="Calibri"/>
    </font>
    <font>
      <sz val="10"/>
      <color rgb="FF5D6B78"/>
      <name val="Calibri"/>
    </font>
    <font>
      <b/>
      <sz val="11"/>
      <color rgb="FFFFFFFF"/>
    </font>
    <font>
      <b/>
      <sz val="10"/>
      <color rgb="FFA23B3B"/>
      <name val="Calibri"/>
    </font>
    <font>
      <b/>
      <sz val="10"/>
      <color rgb="FF3F7652"/>
      <name val="Calibri"/>
    </font>
    <font>
      <b/>
      <sz val="10"/>
      <color rgb="FF8A6415"/>
      <name val="Calibri"/>
    </font>
    <font>
      <b/>
      <sz val="10"/>
      <color rgb="FF6650A4"/>
      <name val="Calibri"/>
    </font>
    <font>
      <b/>
      <sz val="11"/>
      <color rgb="FFFFFFFF"/>
      <name val="Calibri"/>
    </font>
    <font>
      <b/>
      <sz val="10"/>
      <color rgb="FF22313F"/>
      <name val="Calibri"/>
    </font>
    <font>
      <b/>
      <sz val="10"/>
      <color rgb="FFFFFFFF"/>
    </font>
    <font>
      <b/>
      <sz val="10"/>
      <color rgb="FF6E5314"/>
    </font>
    <font>
      <b/>
      <sz val="16"/>
      <color rgb="FFFFFFFF"/>
      <name val="Calibri"/>
    </font>
    <font>
      <b/>
      <sz val="12"/>
      <color rgb="FF7F1D1D"/>
      <name val="Calibri"/>
    </font>
    <font>
      <i/>
      <sz val="11"/>
      <color rgb="FF123047"/>
      <name val="Calibri"/>
    </font>
    <font>
      <b/>
      <sz val="11"/>
      <color rgb="FF7F1D1D"/>
      <name val="Calibri"/>
    </font>
    <font>
      <b/>
      <sz val="10"/>
      <color rgb="FF9C000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EAF3F8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2F6F73"/>
      </patternFill>
    </fill>
    <fill>
      <patternFill patternType="solid">
        <fgColor rgb="FFFBE4E6"/>
      </patternFill>
    </fill>
    <fill>
      <patternFill patternType="solid">
        <fgColor rgb="FFF2F4F7"/>
      </patternFill>
    </fill>
    <fill>
      <patternFill patternType="solid">
        <fgColor rgb="FFFFF6D9"/>
      </patternFill>
    </fill>
    <fill>
      <patternFill patternType="solid">
        <fgColor rgb="FFEDE7F6"/>
      </patternFill>
    </fill>
    <fill>
      <patternFill patternType="solid">
        <fgColor rgb="FF6650A4"/>
      </patternFill>
    </fill>
    <fill>
      <patternFill patternType="solid">
        <fgColor rgb="FFFCE8D5"/>
      </patternFill>
    </fill>
    <fill>
      <patternFill patternType="solid">
        <fgColor rgb="FF7F1D1D"/>
      </patternFill>
    </fill>
    <fill>
      <patternFill patternType="solid">
        <fgColor rgb="FF0F4C5C"/>
      </patternFill>
    </fill>
    <fill>
      <patternFill patternType="solid">
        <fgColor rgb="FFFEE2E2"/>
      </patternFill>
    </fill>
    <fill>
      <patternFill patternType="solid">
        <fgColor rgb="FF123047"/>
      </patternFill>
    </fill>
    <fill>
      <patternFill patternType="solid">
        <fgColor rgb="FFDCEAF2"/>
      </patternFill>
    </fill>
    <fill>
      <patternFill patternType="solid">
        <fgColor rgb="FF2F6F73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1F6D70"/>
      </patternFill>
    </fill>
    <fill>
      <patternFill patternType="solid">
        <fgColor rgb="FFE2F0D9"/>
      </patternFill>
    </fill>
  </fills>
  <borders count="34">
    <border/>
    <border/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</borders>
  <cellStyleXfs count="1">
    <xf numFmtId="0" fontId="0" fillId="0" borderId="1"/>
  </cellStyleXfs>
  <cellXfs count="580">
    <xf numFmtId="0" fontId="0" fillId="0" borderId="0" xfId="0"/>
    <xf numFmtId="0" fontId="1" fillId="0" borderId="0" xfId="0"/>
    <xf numFmtId="0" fontId="0" fillId="0" borderId="0" xfId="0" applyAlignment="1">
      <alignment vertical="top" wrapText="1"/>
    </xf>
    <xf numFmtId="0" fontId="0" fillId="0" borderId="1" xfId="0"/>
    <xf numFmtId="0" fontId="1" fillId="0" borderId="1" xfId="0"/>
    <xf numFmtId="0" fontId="0" fillId="0" borderId="1" xfId="0" applyAlignment="1">
      <alignment vertical="top" wrapText="1"/>
    </xf>
    <xf numFmtId="0" fontId="2" fillId="0" borderId="0" xfId="0"/>
    <xf numFmtId="0" fontId="3" fillId="0" borderId="0" xfId="0"/>
    <xf numFmtId="0" fontId="3" fillId="0" borderId="0" xfId="0" applyAlignment="1">
      <alignment vertical="top" wrapText="1"/>
    </xf>
    <xf numFmtId="0" fontId="2" fillId="0" borderId="0" xfId="0" applyAlignment="1">
      <alignment wrapText="1"/>
    </xf>
    <xf numFmtId="0" fontId="3" fillId="0" borderId="0" xfId="0" applyAlignment="1">
      <alignment wrapText="1"/>
    </xf>
    <xf numFmtId="0" fontId="2" fillId="0" borderId="0" xfId="0" applyAlignment="1">
      <alignment vertical="center" wrapText="1"/>
    </xf>
    <xf numFmtId="0" fontId="3" fillId="0" borderId="0" xfId="0" applyAlignment="1">
      <alignment vertical="center" wrapText="1"/>
    </xf>
    <xf numFmtId="0" fontId="2" fillId="0" borderId="1" xfId="0"/>
    <xf numFmtId="0" fontId="3" fillId="0" borderId="1" xfId="0"/>
    <xf numFmtId="0" fontId="3" fillId="0" borderId="1" xfId="0" applyAlignment="1">
      <alignment vertical="top" wrapText="1"/>
    </xf>
    <xf numFmtId="0" fontId="2" fillId="0" borderId="1" xfId="0" applyAlignment="1">
      <alignment wrapText="1"/>
    </xf>
    <xf numFmtId="0" fontId="3" fillId="0" borderId="1" xfId="0" applyAlignment="1">
      <alignment wrapText="1"/>
    </xf>
    <xf numFmtId="0" fontId="2" fillId="0" borderId="1" xfId="0" applyAlignment="1">
      <alignment vertical="center" wrapText="1"/>
    </xf>
    <xf numFmtId="0" fontId="3" fillId="0" borderId="1" xfId="0" applyAlignment="1">
      <alignment vertical="center" wrapText="1"/>
    </xf>
    <xf numFmtId="0" fontId="2" fillId="2" borderId="0" xfId="0" applyAlignment="1">
      <alignment vertical="center" wrapText="1"/>
    </xf>
    <xf numFmtId="0" fontId="3" fillId="2" borderId="0" xfId="0" applyAlignment="1">
      <alignment vertical="center" wrapText="1"/>
    </xf>
    <xf numFmtId="0" fontId="4" fillId="2" borderId="0" xfId="0" applyAlignment="1">
      <alignment vertical="center" wrapText="1"/>
    </xf>
    <xf numFmtId="0" fontId="5" fillId="2" borderId="0" xfId="0" applyAlignment="1">
      <alignment vertical="center" wrapText="1"/>
    </xf>
    <xf numFmtId="0" fontId="2" fillId="2" borderId="1" xfId="0" applyAlignment="1">
      <alignment vertical="center" wrapText="1"/>
    </xf>
    <xf numFmtId="0" fontId="3" fillId="2" borderId="1" xfId="0" applyAlignment="1">
      <alignment vertical="center" wrapText="1"/>
    </xf>
    <xf numFmtId="0" fontId="4" fillId="2" borderId="1" xfId="0" applyAlignment="1">
      <alignment vertical="center" wrapText="1"/>
    </xf>
    <xf numFmtId="0" fontId="5" fillId="2" borderId="1" xfId="0" applyAlignment="1">
      <alignment vertical="center" wrapText="1"/>
    </xf>
    <xf numFmtId="0" fontId="3" fillId="3" borderId="0" xfId="0" applyAlignment="1">
      <alignment vertical="center" wrapText="1"/>
    </xf>
    <xf numFmtId="0" fontId="6" fillId="3" borderId="0" xfId="0" applyAlignment="1">
      <alignment vertical="center" wrapText="1"/>
    </xf>
    <xf numFmtId="0" fontId="6" fillId="3" borderId="0" xfId="0" applyAlignment="1">
      <alignment vertical="top" wrapText="1"/>
    </xf>
    <xf numFmtId="0" fontId="3" fillId="3" borderId="1" xfId="0" applyAlignment="1">
      <alignment vertical="center" wrapText="1"/>
    </xf>
    <xf numFmtId="0" fontId="6" fillId="3" borderId="1" xfId="0" applyAlignment="1">
      <alignment vertical="center" wrapText="1"/>
    </xf>
    <xf numFmtId="0" fontId="6" fillId="3" borderId="1" xfId="0" applyAlignment="1">
      <alignment vertical="top" wrapText="1"/>
    </xf>
    <xf numFmtId="0" fontId="2" fillId="4" borderId="0" xfId="0" applyAlignment="1">
      <alignment vertical="center" wrapText="1"/>
    </xf>
    <xf numFmtId="0" fontId="2" fillId="4" borderId="2" xfId="0" applyAlignment="1">
      <alignment vertical="center" wrapText="1"/>
    </xf>
    <xf numFmtId="0" fontId="2" fillId="4" borderId="3" xfId="0" applyAlignment="1">
      <alignment vertical="center" wrapText="1"/>
    </xf>
    <xf numFmtId="0" fontId="2" fillId="4" borderId="4" xfId="0" applyAlignment="1">
      <alignment vertical="center" wrapText="1"/>
    </xf>
    <xf numFmtId="0" fontId="2" fillId="4" borderId="2" xfId="0" applyAlignment="1">
      <alignment horizontal="center" vertical="center" wrapText="1"/>
    </xf>
    <xf numFmtId="0" fontId="2" fillId="4" borderId="3" xfId="0" applyAlignment="1">
      <alignment horizontal="center" vertical="center" wrapText="1"/>
    </xf>
    <xf numFmtId="0" fontId="2" fillId="4" borderId="4" xfId="0" applyAlignment="1">
      <alignment horizontal="center" vertical="center" wrapText="1"/>
    </xf>
    <xf numFmtId="0" fontId="2" fillId="4" borderId="1" xfId="0" applyAlignment="1">
      <alignment vertical="center" wrapText="1"/>
    </xf>
    <xf numFmtId="0" fontId="2" fillId="4" borderId="5" xfId="0" applyAlignment="1">
      <alignment vertical="center" wrapText="1"/>
    </xf>
    <xf numFmtId="0" fontId="2" fillId="4" borderId="6" xfId="0" applyAlignment="1">
      <alignment vertical="center" wrapText="1"/>
    </xf>
    <xf numFmtId="0" fontId="2" fillId="4" borderId="7" xfId="0" applyAlignment="1">
      <alignment vertical="center" wrapText="1"/>
    </xf>
    <xf numFmtId="0" fontId="2" fillId="4" borderId="5" xfId="0" applyAlignment="1">
      <alignment horizontal="center" vertical="center" wrapText="1"/>
    </xf>
    <xf numFmtId="0" fontId="2" fillId="4" borderId="6" xfId="0" applyAlignment="1">
      <alignment horizontal="center" vertical="center" wrapText="1"/>
    </xf>
    <xf numFmtId="0" fontId="2" fillId="4" borderId="7" xfId="0" applyAlignment="1">
      <alignment horizontal="center" vertical="center" wrapText="1"/>
    </xf>
    <xf numFmtId="0" fontId="3" fillId="0" borderId="8" xfId="0" applyAlignment="1">
      <alignment vertical="center" wrapText="1"/>
    </xf>
    <xf numFmtId="0" fontId="3" fillId="0" borderId="9" xfId="0" applyAlignment="1">
      <alignment vertical="center" wrapText="1"/>
    </xf>
    <xf numFmtId="0" fontId="3" fillId="0" borderId="10" xfId="0" applyAlignment="1">
      <alignment vertical="center" wrapText="1"/>
    </xf>
    <xf numFmtId="0" fontId="3" fillId="0" borderId="11" xfId="0" applyAlignment="1">
      <alignment vertical="center" wrapText="1"/>
    </xf>
    <xf numFmtId="0" fontId="3" fillId="0" borderId="12" xfId="0" applyAlignment="1">
      <alignment vertical="center" wrapText="1"/>
    </xf>
    <xf numFmtId="0" fontId="3" fillId="0" borderId="13" xfId="0" applyAlignment="1">
      <alignment vertical="center" wrapText="1"/>
    </xf>
    <xf numFmtId="0" fontId="3" fillId="0" borderId="14" xfId="0" applyAlignment="1">
      <alignment vertical="center" wrapText="1"/>
    </xf>
    <xf numFmtId="0" fontId="3" fillId="0" borderId="15" xfId="0" applyAlignment="1">
      <alignment vertical="center" wrapText="1"/>
    </xf>
    <xf numFmtId="0" fontId="3" fillId="0" borderId="16" xfId="0" applyAlignment="1">
      <alignment vertical="center" wrapText="1"/>
    </xf>
    <xf numFmtId="0" fontId="3" fillId="0" borderId="17" xfId="0" applyAlignment="1">
      <alignment vertical="center" wrapText="1"/>
    </xf>
    <xf numFmtId="0" fontId="3" fillId="0" borderId="18" xfId="0" applyAlignment="1">
      <alignment vertical="center" wrapText="1"/>
    </xf>
    <xf numFmtId="0" fontId="3" fillId="0" borderId="19" xfId="0" applyAlignment="1">
      <alignment vertical="center" wrapText="1"/>
    </xf>
    <xf numFmtId="0" fontId="3" fillId="0" borderId="20" xfId="0" applyAlignment="1">
      <alignment vertical="center" wrapText="1"/>
    </xf>
    <xf numFmtId="0" fontId="3" fillId="0" borderId="21" xfId="0" applyAlignment="1">
      <alignment vertical="center" wrapText="1"/>
    </xf>
    <xf numFmtId="0" fontId="3" fillId="0" borderId="22" xfId="0" applyAlignment="1">
      <alignment vertical="center" wrapText="1"/>
    </xf>
    <xf numFmtId="0" fontId="3" fillId="0" borderId="23" xfId="0" applyAlignment="1">
      <alignment vertical="center" wrapText="1"/>
    </xf>
    <xf numFmtId="0" fontId="3" fillId="5" borderId="8" xfId="0" applyAlignment="1">
      <alignment vertical="center" wrapText="1"/>
    </xf>
    <xf numFmtId="0" fontId="3" fillId="5" borderId="11" xfId="0" applyAlignment="1">
      <alignment vertical="center" wrapText="1"/>
    </xf>
    <xf numFmtId="0" fontId="3" fillId="5" borderId="13" xfId="0" applyAlignment="1">
      <alignment vertical="center" wrapText="1"/>
    </xf>
    <xf numFmtId="0" fontId="3" fillId="5" borderId="16" xfId="0" applyAlignment="1">
      <alignment vertical="center" wrapText="1"/>
    </xf>
    <xf numFmtId="0" fontId="3" fillId="5" borderId="19" xfId="0" applyAlignment="1">
      <alignment vertical="center" wrapText="1"/>
    </xf>
    <xf numFmtId="0" fontId="3" fillId="5" borderId="21" xfId="0" applyAlignment="1">
      <alignment vertical="center" wrapText="1"/>
    </xf>
    <xf numFmtId="0" fontId="2" fillId="6" borderId="0" xfId="0" applyAlignment="1">
      <alignment vertical="center" wrapText="1"/>
    </xf>
    <xf numFmtId="0" fontId="7" fillId="6" borderId="0" xfId="0" applyAlignment="1">
      <alignment vertical="center" wrapText="1"/>
    </xf>
    <xf numFmtId="0" fontId="2" fillId="6" borderId="1" xfId="0" applyAlignment="1">
      <alignment vertical="center" wrapText="1"/>
    </xf>
    <xf numFmtId="0" fontId="7" fillId="6" borderId="1" xfId="0" applyAlignment="1">
      <alignment vertical="center" wrapText="1"/>
    </xf>
    <xf numFmtId="0" fontId="3" fillId="7" borderId="0" xfId="0" applyAlignment="1">
      <alignment vertical="center" wrapText="1"/>
    </xf>
    <xf numFmtId="0" fontId="8" fillId="7" borderId="0" xfId="0" applyAlignment="1">
      <alignment vertical="center" wrapText="1"/>
    </xf>
    <xf numFmtId="0" fontId="3" fillId="7" borderId="1" xfId="0" applyAlignment="1">
      <alignment vertical="center" wrapText="1"/>
    </xf>
    <xf numFmtId="0" fontId="8" fillId="7" borderId="1" xfId="0" applyAlignment="1">
      <alignment vertical="center" wrapText="1"/>
    </xf>
    <xf numFmtId="0" fontId="3" fillId="8" borderId="0" xfId="0" applyAlignment="1">
      <alignment vertical="center" wrapText="1"/>
    </xf>
    <xf numFmtId="0" fontId="6" fillId="8" borderId="0" xfId="0" applyAlignment="1">
      <alignment vertical="center" wrapText="1"/>
    </xf>
    <xf numFmtId="0" fontId="6" fillId="8" borderId="0" xfId="0" applyAlignment="1">
      <alignment vertical="top" wrapText="1"/>
    </xf>
    <xf numFmtId="0" fontId="3" fillId="8" borderId="1" xfId="0" applyAlignment="1">
      <alignment vertical="center" wrapText="1"/>
    </xf>
    <xf numFmtId="0" fontId="6" fillId="8" borderId="1" xfId="0" applyAlignment="1">
      <alignment vertical="center" wrapText="1"/>
    </xf>
    <xf numFmtId="0" fontId="6" fillId="8" borderId="1" xfId="0" applyAlignment="1">
      <alignment vertical="top" wrapText="1"/>
    </xf>
    <xf numFmtId="0" fontId="3" fillId="9" borderId="9" xfId="0" applyAlignment="1">
      <alignment vertical="center" wrapText="1"/>
    </xf>
    <xf numFmtId="0" fontId="3" fillId="9" borderId="0" xfId="0" applyAlignment="1">
      <alignment vertical="center" wrapText="1"/>
    </xf>
    <xf numFmtId="0" fontId="3" fillId="9" borderId="14" xfId="0" applyAlignment="1">
      <alignment vertical="center" wrapText="1"/>
    </xf>
    <xf numFmtId="0" fontId="3" fillId="9" borderId="17" xfId="0" applyAlignment="1">
      <alignment vertical="center" wrapText="1"/>
    </xf>
    <xf numFmtId="0" fontId="3" fillId="9" borderId="1" xfId="0" applyAlignment="1">
      <alignment vertical="center" wrapText="1"/>
    </xf>
    <xf numFmtId="0" fontId="3" fillId="9" borderId="22" xfId="0" applyAlignment="1">
      <alignment vertical="center" wrapText="1"/>
    </xf>
    <xf numFmtId="0" fontId="3" fillId="5" borderId="9" xfId="0" applyAlignment="1">
      <alignment vertical="center" wrapText="1"/>
    </xf>
    <xf numFmtId="0" fontId="9" fillId="5" borderId="9" xfId="0" applyAlignment="1">
      <alignment vertical="center" wrapText="1"/>
    </xf>
    <xf numFmtId="0" fontId="9" fillId="5" borderId="9" xfId="0" applyAlignment="1">
      <alignment horizontal="center" vertical="center" wrapText="1"/>
    </xf>
    <xf numFmtId="0" fontId="3" fillId="5" borderId="17" xfId="0" applyAlignment="1">
      <alignment vertical="center" wrapText="1"/>
    </xf>
    <xf numFmtId="0" fontId="9" fillId="5" borderId="17" xfId="0" applyAlignment="1">
      <alignment vertical="center" wrapText="1"/>
    </xf>
    <xf numFmtId="0" fontId="9" fillId="5" borderId="17" xfId="0" applyAlignment="1">
      <alignment horizontal="center" vertical="center" wrapText="1"/>
    </xf>
    <xf numFmtId="0" fontId="3" fillId="5" borderId="0" xfId="0" applyAlignment="1">
      <alignment vertical="center" wrapText="1"/>
    </xf>
    <xf numFmtId="0" fontId="9" fillId="5" borderId="0" xfId="0" applyAlignment="1">
      <alignment vertical="center" wrapText="1"/>
    </xf>
    <xf numFmtId="0" fontId="9" fillId="5" borderId="0" xfId="0" applyAlignment="1">
      <alignment horizontal="center" vertical="center" wrapText="1"/>
    </xf>
    <xf numFmtId="0" fontId="3" fillId="5" borderId="1" xfId="0" applyAlignment="1">
      <alignment vertical="center" wrapText="1"/>
    </xf>
    <xf numFmtId="0" fontId="9" fillId="5" borderId="1" xfId="0" applyAlignment="1">
      <alignment vertical="center" wrapText="1"/>
    </xf>
    <xf numFmtId="0" fontId="9" fillId="5" borderId="1" xfId="0" applyAlignment="1">
      <alignment horizontal="center" vertical="center" wrapText="1"/>
    </xf>
    <xf numFmtId="0" fontId="10" fillId="9" borderId="0" xfId="0" applyAlignment="1">
      <alignment vertical="center" wrapText="1"/>
    </xf>
    <xf numFmtId="0" fontId="10" fillId="9" borderId="0" xfId="0" applyAlignment="1">
      <alignment horizontal="center" vertical="center" wrapText="1"/>
    </xf>
    <xf numFmtId="0" fontId="10" fillId="9" borderId="1" xfId="0" applyAlignment="1">
      <alignment vertical="center" wrapText="1"/>
    </xf>
    <xf numFmtId="0" fontId="10" fillId="9" borderId="1" xfId="0" applyAlignment="1">
      <alignment horizontal="center" vertical="center" wrapText="1"/>
    </xf>
    <xf numFmtId="0" fontId="3" fillId="10" borderId="0" xfId="0" applyAlignment="1">
      <alignment vertical="center" wrapText="1"/>
    </xf>
    <xf numFmtId="0" fontId="11" fillId="10" borderId="0" xfId="0" applyAlignment="1">
      <alignment vertical="center" wrapText="1"/>
    </xf>
    <xf numFmtId="0" fontId="11" fillId="10" borderId="0" xfId="0" applyAlignment="1">
      <alignment horizontal="center" vertical="center" wrapText="1"/>
    </xf>
    <xf numFmtId="0" fontId="3" fillId="10" borderId="1" xfId="0" applyAlignment="1">
      <alignment vertical="center" wrapText="1"/>
    </xf>
    <xf numFmtId="0" fontId="11" fillId="10" borderId="1" xfId="0" applyAlignment="1">
      <alignment vertical="center" wrapText="1"/>
    </xf>
    <xf numFmtId="0" fontId="11" fillId="10" borderId="1" xfId="0" applyAlignment="1">
      <alignment horizontal="center" vertical="center" wrapText="1"/>
    </xf>
    <xf numFmtId="0" fontId="3" fillId="10" borderId="14" xfId="0" applyAlignment="1">
      <alignment vertical="center" wrapText="1"/>
    </xf>
    <xf numFmtId="0" fontId="11" fillId="10" borderId="14" xfId="0" applyAlignment="1">
      <alignment vertical="center" wrapText="1"/>
    </xf>
    <xf numFmtId="0" fontId="11" fillId="10" borderId="14" xfId="0" applyAlignment="1">
      <alignment horizontal="center" vertical="center" wrapText="1"/>
    </xf>
    <xf numFmtId="0" fontId="3" fillId="10" borderId="22" xfId="0" applyAlignment="1">
      <alignment vertical="center" wrapText="1"/>
    </xf>
    <xf numFmtId="0" fontId="11" fillId="10" borderId="22" xfId="0" applyAlignment="1">
      <alignment vertical="center" wrapText="1"/>
    </xf>
    <xf numFmtId="0" fontId="11" fillId="10" borderId="22" xfId="0" applyAlignment="1">
      <alignment horizontal="center" vertical="center" wrapText="1"/>
    </xf>
    <xf numFmtId="0" fontId="3" fillId="6" borderId="0" xfId="0" applyAlignment="1">
      <alignment vertical="center" wrapText="1"/>
    </xf>
    <xf numFmtId="0" fontId="12" fillId="6" borderId="0" xfId="0" applyAlignment="1">
      <alignment vertical="center" wrapText="1"/>
    </xf>
    <xf numFmtId="0" fontId="3" fillId="6" borderId="1" xfId="0" applyAlignment="1">
      <alignment vertical="center" wrapText="1"/>
    </xf>
    <xf numFmtId="0" fontId="12" fillId="6" borderId="1" xfId="0" applyAlignment="1">
      <alignment vertical="center" wrapText="1"/>
    </xf>
    <xf numFmtId="0" fontId="3" fillId="4" borderId="0" xfId="0" applyAlignment="1">
      <alignment vertical="center" wrapText="1"/>
    </xf>
    <xf numFmtId="0" fontId="13" fillId="4" borderId="0" xfId="0" applyAlignment="1">
      <alignment vertical="center" wrapText="1"/>
    </xf>
    <xf numFmtId="0" fontId="13" fillId="4" borderId="3" xfId="0" applyAlignment="1">
      <alignment vertical="center" wrapText="1"/>
    </xf>
    <xf numFmtId="0" fontId="13" fillId="4" borderId="4" xfId="0" applyAlignment="1">
      <alignment vertical="center" wrapText="1"/>
    </xf>
    <xf numFmtId="0" fontId="13" fillId="4" borderId="3" xfId="0" applyAlignment="1">
      <alignment horizontal="center" vertical="center" wrapText="1"/>
    </xf>
    <xf numFmtId="0" fontId="13" fillId="4" borderId="4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13" fillId="4" borderId="1" xfId="0" applyAlignment="1">
      <alignment vertical="center" wrapText="1"/>
    </xf>
    <xf numFmtId="0" fontId="13" fillId="4" borderId="6" xfId="0" applyAlignment="1">
      <alignment vertical="center" wrapText="1"/>
    </xf>
    <xf numFmtId="0" fontId="13" fillId="4" borderId="7" xfId="0" applyAlignment="1">
      <alignment vertical="center" wrapText="1"/>
    </xf>
    <xf numFmtId="0" fontId="13" fillId="4" borderId="6" xfId="0" applyAlignment="1">
      <alignment horizontal="center" vertical="center" wrapText="1"/>
    </xf>
    <xf numFmtId="0" fontId="13" fillId="4" borderId="7" xfId="0" applyAlignment="1">
      <alignment horizontal="center" vertical="center" wrapText="1"/>
    </xf>
    <xf numFmtId="0" fontId="3" fillId="3" borderId="8" xfId="0" applyAlignment="1">
      <alignment vertical="center" wrapText="1"/>
    </xf>
    <xf numFmtId="0" fontId="3" fillId="3" borderId="9" xfId="0" applyAlignment="1">
      <alignment vertical="center" wrapText="1"/>
    </xf>
    <xf numFmtId="0" fontId="3" fillId="3" borderId="10" xfId="0" applyAlignment="1">
      <alignment vertical="center" wrapText="1"/>
    </xf>
    <xf numFmtId="0" fontId="3" fillId="3" borderId="2" xfId="0" applyAlignment="1">
      <alignment vertical="center" wrapText="1"/>
    </xf>
    <xf numFmtId="0" fontId="3" fillId="3" borderId="3" xfId="0" applyAlignment="1">
      <alignment vertical="center" wrapText="1"/>
    </xf>
    <xf numFmtId="0" fontId="3" fillId="3" borderId="4" xfId="0" applyAlignment="1">
      <alignment vertical="center" wrapText="1"/>
    </xf>
    <xf numFmtId="0" fontId="3" fillId="3" borderId="16" xfId="0" applyAlignment="1">
      <alignment vertical="center" wrapText="1"/>
    </xf>
    <xf numFmtId="0" fontId="3" fillId="3" borderId="17" xfId="0" applyAlignment="1">
      <alignment vertical="center" wrapText="1"/>
    </xf>
    <xf numFmtId="0" fontId="3" fillId="3" borderId="18" xfId="0" applyAlignment="1">
      <alignment vertical="center" wrapText="1"/>
    </xf>
    <xf numFmtId="0" fontId="3" fillId="3" borderId="5" xfId="0" applyAlignment="1">
      <alignment vertical="center" wrapText="1"/>
    </xf>
    <xf numFmtId="0" fontId="3" fillId="3" borderId="6" xfId="0" applyAlignment="1">
      <alignment vertical="center" wrapText="1"/>
    </xf>
    <xf numFmtId="0" fontId="3" fillId="3" borderId="7" xfId="0" applyAlignment="1">
      <alignment vertical="center" wrapText="1"/>
    </xf>
    <xf numFmtId="0" fontId="3" fillId="3" borderId="11" xfId="0" applyAlignment="1">
      <alignment vertical="center" wrapText="1"/>
    </xf>
    <xf numFmtId="0" fontId="3" fillId="3" borderId="12" xfId="0" applyAlignment="1">
      <alignment vertical="center" wrapText="1"/>
    </xf>
    <xf numFmtId="0" fontId="3" fillId="3" borderId="19" xfId="0" applyAlignment="1">
      <alignment vertical="center" wrapText="1"/>
    </xf>
    <xf numFmtId="0" fontId="3" fillId="3" borderId="20" xfId="0" applyAlignment="1">
      <alignment vertical="center" wrapText="1"/>
    </xf>
    <xf numFmtId="0" fontId="3" fillId="7" borderId="11" xfId="0" applyAlignment="1">
      <alignment vertical="center" wrapText="1"/>
    </xf>
    <xf numFmtId="0" fontId="3" fillId="7" borderId="12" xfId="0" applyAlignment="1">
      <alignment vertical="center" wrapText="1"/>
    </xf>
    <xf numFmtId="0" fontId="8" fillId="7" borderId="11" xfId="0" applyAlignment="1">
      <alignment vertical="center" wrapText="1"/>
    </xf>
    <xf numFmtId="0" fontId="8" fillId="7" borderId="12" xfId="0" applyAlignment="1">
      <alignment vertical="center" wrapText="1"/>
    </xf>
    <xf numFmtId="0" fontId="3" fillId="7" borderId="19" xfId="0" applyAlignment="1">
      <alignment vertical="center" wrapText="1"/>
    </xf>
    <xf numFmtId="0" fontId="3" fillId="7" borderId="20" xfId="0" applyAlignment="1">
      <alignment vertical="center" wrapText="1"/>
    </xf>
    <xf numFmtId="0" fontId="8" fillId="7" borderId="19" xfId="0" applyAlignment="1">
      <alignment vertical="center" wrapText="1"/>
    </xf>
    <xf numFmtId="0" fontId="8" fillId="7" borderId="20" xfId="0" applyAlignment="1">
      <alignment vertical="center" wrapText="1"/>
    </xf>
    <xf numFmtId="0" fontId="3" fillId="10" borderId="11" xfId="0" applyAlignment="1">
      <alignment vertical="center" wrapText="1"/>
    </xf>
    <xf numFmtId="0" fontId="3" fillId="10" borderId="12" xfId="0" applyAlignment="1">
      <alignment vertical="center" wrapText="1"/>
    </xf>
    <xf numFmtId="0" fontId="3" fillId="10" borderId="2" xfId="0" applyAlignment="1">
      <alignment vertical="center" wrapText="1"/>
    </xf>
    <xf numFmtId="0" fontId="3" fillId="10" borderId="3" xfId="0" applyAlignment="1">
      <alignment vertical="center" wrapText="1"/>
    </xf>
    <xf numFmtId="0" fontId="3" fillId="10" borderId="4" xfId="0" applyAlignment="1">
      <alignment vertical="center" wrapText="1"/>
    </xf>
    <xf numFmtId="0" fontId="3" fillId="10" borderId="19" xfId="0" applyAlignment="1">
      <alignment vertical="center" wrapText="1"/>
    </xf>
    <xf numFmtId="0" fontId="3" fillId="10" borderId="20" xfId="0" applyAlignment="1">
      <alignment vertical="center" wrapText="1"/>
    </xf>
    <xf numFmtId="0" fontId="3" fillId="10" borderId="5" xfId="0" applyAlignment="1">
      <alignment vertical="center" wrapText="1"/>
    </xf>
    <xf numFmtId="0" fontId="3" fillId="10" borderId="6" xfId="0" applyAlignment="1">
      <alignment vertical="center" wrapText="1"/>
    </xf>
    <xf numFmtId="0" fontId="3" fillId="10" borderId="7" xfId="0" applyAlignment="1">
      <alignment vertical="center" wrapText="1"/>
    </xf>
    <xf numFmtId="0" fontId="3" fillId="3" borderId="13" xfId="0" applyAlignment="1">
      <alignment vertical="center" wrapText="1"/>
    </xf>
    <xf numFmtId="0" fontId="3" fillId="3" borderId="14" xfId="0" applyAlignment="1">
      <alignment vertical="center" wrapText="1"/>
    </xf>
    <xf numFmtId="0" fontId="3" fillId="3" borderId="15" xfId="0" applyAlignment="1">
      <alignment vertical="center" wrapText="1"/>
    </xf>
    <xf numFmtId="0" fontId="3" fillId="3" borderId="21" xfId="0" applyAlignment="1">
      <alignment vertical="center" wrapText="1"/>
    </xf>
    <xf numFmtId="0" fontId="3" fillId="3" borderId="22" xfId="0" applyAlignment="1">
      <alignment vertical="center" wrapText="1"/>
    </xf>
    <xf numFmtId="0" fontId="3" fillId="3" borderId="23" xfId="0" applyAlignment="1">
      <alignment vertical="center" wrapText="1"/>
    </xf>
    <xf numFmtId="0" fontId="2" fillId="11" borderId="0" xfId="0" applyAlignment="1">
      <alignment vertical="center" wrapText="1"/>
    </xf>
    <xf numFmtId="0" fontId="14" fillId="11" borderId="0" xfId="0" applyAlignment="1">
      <alignment vertical="center" wrapText="1"/>
    </xf>
    <xf numFmtId="0" fontId="2" fillId="11" borderId="1" xfId="0" applyAlignment="1">
      <alignment vertical="center" wrapText="1"/>
    </xf>
    <xf numFmtId="0" fontId="14" fillId="11" borderId="1" xfId="0" applyAlignment="1">
      <alignment vertical="center" wrapText="1"/>
    </xf>
    <xf numFmtId="0" fontId="3" fillId="7" borderId="3" xfId="0" applyAlignment="1">
      <alignment vertical="center" wrapText="1"/>
    </xf>
    <xf numFmtId="0" fontId="8" fillId="7" borderId="3" xfId="0" applyAlignment="1">
      <alignment vertical="center" wrapText="1"/>
    </xf>
    <xf numFmtId="0" fontId="8" fillId="7" borderId="3" xfId="0" applyAlignment="1">
      <alignment horizontal="center" vertical="center" wrapText="1"/>
    </xf>
    <xf numFmtId="0" fontId="3" fillId="7" borderId="6" xfId="0" applyAlignment="1">
      <alignment vertical="center" wrapText="1"/>
    </xf>
    <xf numFmtId="0" fontId="8" fillId="7" borderId="6" xfId="0" applyAlignment="1">
      <alignment vertical="center" wrapText="1"/>
    </xf>
    <xf numFmtId="0" fontId="8" fillId="7" borderId="6" xfId="0" applyAlignment="1">
      <alignment horizontal="center" vertical="center" wrapText="1"/>
    </xf>
    <xf numFmtId="0" fontId="3" fillId="5" borderId="12" xfId="0" applyAlignment="1">
      <alignment vertical="center" wrapText="1"/>
    </xf>
    <xf numFmtId="0" fontId="3" fillId="5" borderId="2" xfId="0" applyAlignment="1">
      <alignment vertical="center" wrapText="1"/>
    </xf>
    <xf numFmtId="0" fontId="3" fillId="5" borderId="3" xfId="0" applyAlignment="1">
      <alignment vertical="center" wrapText="1"/>
    </xf>
    <xf numFmtId="0" fontId="3" fillId="5" borderId="4" xfId="0" applyAlignment="1">
      <alignment vertical="center" wrapText="1"/>
    </xf>
    <xf numFmtId="0" fontId="3" fillId="5" borderId="20" xfId="0" applyAlignment="1">
      <alignment vertical="center" wrapText="1"/>
    </xf>
    <xf numFmtId="0" fontId="3" fillId="5" borderId="5" xfId="0" applyAlignment="1">
      <alignment vertical="center" wrapText="1"/>
    </xf>
    <xf numFmtId="0" fontId="3" fillId="5" borderId="6" xfId="0" applyAlignment="1">
      <alignment vertical="center" wrapText="1"/>
    </xf>
    <xf numFmtId="0" fontId="3" fillId="5" borderId="7" xfId="0" applyAlignment="1">
      <alignment vertical="center" wrapText="1"/>
    </xf>
    <xf numFmtId="0" fontId="3" fillId="5" borderId="14" xfId="0" applyAlignment="1">
      <alignment vertical="center" wrapText="1"/>
    </xf>
    <xf numFmtId="0" fontId="3" fillId="5" borderId="15" xfId="0" applyAlignment="1">
      <alignment vertical="center" wrapText="1"/>
    </xf>
    <xf numFmtId="0" fontId="3" fillId="5" borderId="22" xfId="0" applyAlignment="1">
      <alignment vertical="center" wrapText="1"/>
    </xf>
    <xf numFmtId="0" fontId="3" fillId="5" borderId="23" xfId="0" applyAlignment="1">
      <alignment vertical="center" wrapText="1"/>
    </xf>
    <xf numFmtId="0" fontId="2" fillId="9" borderId="0" xfId="0" applyAlignment="1">
      <alignment vertical="center" wrapText="1"/>
    </xf>
    <xf numFmtId="0" fontId="15" fillId="9" borderId="0" xfId="0" applyAlignment="1">
      <alignment vertical="center" wrapText="1"/>
    </xf>
    <xf numFmtId="0" fontId="2" fillId="9" borderId="1" xfId="0" applyAlignment="1">
      <alignment vertical="center" wrapText="1"/>
    </xf>
    <xf numFmtId="0" fontId="15" fillId="9" borderId="1" xfId="0" applyAlignment="1">
      <alignment vertical="center" wrapText="1"/>
    </xf>
    <xf numFmtId="0" fontId="3" fillId="10" borderId="8" xfId="0" applyAlignment="1">
      <alignment vertical="center" wrapText="1"/>
    </xf>
    <xf numFmtId="0" fontId="3" fillId="10" borderId="9" xfId="0" applyAlignment="1">
      <alignment vertical="center" wrapText="1"/>
    </xf>
    <xf numFmtId="0" fontId="3" fillId="10" borderId="10" xfId="0" applyAlignment="1">
      <alignment vertical="center" wrapText="1"/>
    </xf>
    <xf numFmtId="0" fontId="3" fillId="10" borderId="13" xfId="0" applyAlignment="1">
      <alignment vertical="center" wrapText="1"/>
    </xf>
    <xf numFmtId="0" fontId="3" fillId="10" borderId="15" xfId="0" applyAlignment="1">
      <alignment vertical="center" wrapText="1"/>
    </xf>
    <xf numFmtId="0" fontId="3" fillId="10" borderId="16" xfId="0" applyAlignment="1">
      <alignment vertical="center" wrapText="1"/>
    </xf>
    <xf numFmtId="0" fontId="3" fillId="10" borderId="17" xfId="0" applyAlignment="1">
      <alignment vertical="center" wrapText="1"/>
    </xf>
    <xf numFmtId="0" fontId="3" fillId="10" borderId="18" xfId="0" applyAlignment="1">
      <alignment vertical="center" wrapText="1"/>
    </xf>
    <xf numFmtId="0" fontId="3" fillId="10" borderId="21" xfId="0" applyAlignment="1">
      <alignment vertical="center" wrapText="1"/>
    </xf>
    <xf numFmtId="0" fontId="3" fillId="10" borderId="23" xfId="0" applyAlignment="1">
      <alignment vertical="center" wrapText="1"/>
    </xf>
    <xf numFmtId="0" fontId="3" fillId="9" borderId="10" xfId="0" applyAlignment="1">
      <alignment vertical="center" wrapText="1"/>
    </xf>
    <xf numFmtId="0" fontId="3" fillId="9" borderId="12" xfId="0" applyAlignment="1">
      <alignment vertical="center" wrapText="1"/>
    </xf>
    <xf numFmtId="0" fontId="3" fillId="9" borderId="15" xfId="0" applyAlignment="1">
      <alignment vertical="center" wrapText="1"/>
    </xf>
    <xf numFmtId="0" fontId="3" fillId="9" borderId="18" xfId="0" applyAlignment="1">
      <alignment vertical="center" wrapText="1"/>
    </xf>
    <xf numFmtId="0" fontId="3" fillId="9" borderId="20" xfId="0" applyAlignment="1">
      <alignment vertical="center" wrapText="1"/>
    </xf>
    <xf numFmtId="0" fontId="3" fillId="9" borderId="23" xfId="0" applyAlignment="1">
      <alignment vertical="center" wrapText="1"/>
    </xf>
    <xf numFmtId="0" fontId="3" fillId="8" borderId="9" xfId="0" applyAlignment="1">
      <alignment vertical="center" wrapText="1"/>
    </xf>
    <xf numFmtId="0" fontId="3" fillId="8" borderId="10" xfId="0" applyAlignment="1">
      <alignment vertical="center" wrapText="1"/>
    </xf>
    <xf numFmtId="0" fontId="3" fillId="8" borderId="12" xfId="0" applyAlignment="1">
      <alignment vertical="center" wrapText="1"/>
    </xf>
    <xf numFmtId="0" fontId="3" fillId="8" borderId="14" xfId="0" applyAlignment="1">
      <alignment vertical="center" wrapText="1"/>
    </xf>
    <xf numFmtId="0" fontId="3" fillId="8" borderId="15" xfId="0" applyAlignment="1">
      <alignment vertical="center" wrapText="1"/>
    </xf>
    <xf numFmtId="0" fontId="6" fillId="8" borderId="9" xfId="0" applyAlignment="1">
      <alignment vertical="center" wrapText="1"/>
    </xf>
    <xf numFmtId="0" fontId="6" fillId="8" borderId="10" xfId="0" applyAlignment="1">
      <alignment vertical="center" wrapText="1"/>
    </xf>
    <xf numFmtId="0" fontId="6" fillId="8" borderId="12" xfId="0" applyAlignment="1">
      <alignment vertical="center" wrapText="1"/>
    </xf>
    <xf numFmtId="0" fontId="6" fillId="8" borderId="14" xfId="0" applyAlignment="1">
      <alignment vertical="center" wrapText="1"/>
    </xf>
    <xf numFmtId="0" fontId="6" fillId="8" borderId="15" xfId="0" applyAlignment="1">
      <alignment vertical="center" wrapText="1"/>
    </xf>
    <xf numFmtId="0" fontId="6" fillId="8" borderId="9" xfId="0" applyAlignment="1">
      <alignment vertical="top" wrapText="1"/>
    </xf>
    <xf numFmtId="0" fontId="6" fillId="8" borderId="10" xfId="0" applyAlignment="1">
      <alignment vertical="top" wrapText="1"/>
    </xf>
    <xf numFmtId="0" fontId="6" fillId="8" borderId="12" xfId="0" applyAlignment="1">
      <alignment vertical="top" wrapText="1"/>
    </xf>
    <xf numFmtId="0" fontId="6" fillId="8" borderId="14" xfId="0" applyAlignment="1">
      <alignment vertical="top" wrapText="1"/>
    </xf>
    <xf numFmtId="0" fontId="6" fillId="8" borderId="15" xfId="0" applyAlignment="1">
      <alignment vertical="top" wrapText="1"/>
    </xf>
    <xf numFmtId="0" fontId="3" fillId="8" borderId="17" xfId="0" applyAlignment="1">
      <alignment vertical="center" wrapText="1"/>
    </xf>
    <xf numFmtId="0" fontId="3" fillId="8" borderId="18" xfId="0" applyAlignment="1">
      <alignment vertical="center" wrapText="1"/>
    </xf>
    <xf numFmtId="0" fontId="3" fillId="8" borderId="20" xfId="0" applyAlignment="1">
      <alignment vertical="center" wrapText="1"/>
    </xf>
    <xf numFmtId="0" fontId="3" fillId="8" borderId="22" xfId="0" applyAlignment="1">
      <alignment vertical="center" wrapText="1"/>
    </xf>
    <xf numFmtId="0" fontId="3" fillId="8" borderId="23" xfId="0" applyAlignment="1">
      <alignment vertical="center" wrapText="1"/>
    </xf>
    <xf numFmtId="0" fontId="6" fillId="8" borderId="17" xfId="0" applyAlignment="1">
      <alignment vertical="center" wrapText="1"/>
    </xf>
    <xf numFmtId="0" fontId="6" fillId="8" borderId="18" xfId="0" applyAlignment="1">
      <alignment vertical="center" wrapText="1"/>
    </xf>
    <xf numFmtId="0" fontId="6" fillId="8" borderId="20" xfId="0" applyAlignment="1">
      <alignment vertical="center" wrapText="1"/>
    </xf>
    <xf numFmtId="0" fontId="6" fillId="8" borderId="22" xfId="0" applyAlignment="1">
      <alignment vertical="center" wrapText="1"/>
    </xf>
    <xf numFmtId="0" fontId="6" fillId="8" borderId="23" xfId="0" applyAlignment="1">
      <alignment vertical="center" wrapText="1"/>
    </xf>
    <xf numFmtId="0" fontId="6" fillId="8" borderId="17" xfId="0" applyAlignment="1">
      <alignment vertical="top" wrapText="1"/>
    </xf>
    <xf numFmtId="0" fontId="6" fillId="8" borderId="18" xfId="0" applyAlignment="1">
      <alignment vertical="top" wrapText="1"/>
    </xf>
    <xf numFmtId="0" fontId="6" fillId="8" borderId="20" xfId="0" applyAlignment="1">
      <alignment vertical="top" wrapText="1"/>
    </xf>
    <xf numFmtId="0" fontId="6" fillId="8" borderId="22" xfId="0" applyAlignment="1">
      <alignment vertical="top" wrapText="1"/>
    </xf>
    <xf numFmtId="0" fontId="6" fillId="8" borderId="23" xfId="0" applyAlignment="1">
      <alignment vertical="top" wrapText="1"/>
    </xf>
    <xf numFmtId="0" fontId="3" fillId="7" borderId="9" xfId="0" applyAlignment="1">
      <alignment vertical="center" wrapText="1"/>
    </xf>
    <xf numFmtId="0" fontId="3" fillId="7" borderId="14" xfId="0" applyAlignment="1">
      <alignment vertical="center" wrapText="1"/>
    </xf>
    <xf numFmtId="0" fontId="8" fillId="7" borderId="9" xfId="0" applyAlignment="1">
      <alignment vertical="center" wrapText="1"/>
    </xf>
    <xf numFmtId="0" fontId="8" fillId="7" borderId="14" xfId="0" applyAlignment="1">
      <alignment vertical="center" wrapText="1"/>
    </xf>
    <xf numFmtId="0" fontId="8" fillId="7" borderId="8" xfId="0" applyAlignment="1">
      <alignment vertical="center" wrapText="1"/>
    </xf>
    <xf numFmtId="0" fontId="8" fillId="7" borderId="10" xfId="0" applyAlignment="1">
      <alignment vertical="center" wrapText="1"/>
    </xf>
    <xf numFmtId="0" fontId="8" fillId="7" borderId="13" xfId="0" applyAlignment="1">
      <alignment vertical="center" wrapText="1"/>
    </xf>
    <xf numFmtId="0" fontId="8" fillId="7" borderId="15" xfId="0" applyAlignment="1">
      <alignment vertical="center" wrapText="1"/>
    </xf>
    <xf numFmtId="0" fontId="3" fillId="7" borderId="17" xfId="0" applyAlignment="1">
      <alignment vertical="center" wrapText="1"/>
    </xf>
    <xf numFmtId="0" fontId="3" fillId="7" borderId="22" xfId="0" applyAlignment="1">
      <alignment vertical="center" wrapText="1"/>
    </xf>
    <xf numFmtId="0" fontId="8" fillId="7" borderId="17" xfId="0" applyAlignment="1">
      <alignment vertical="center" wrapText="1"/>
    </xf>
    <xf numFmtId="0" fontId="8" fillId="7" borderId="22" xfId="0" applyAlignment="1">
      <alignment vertical="center" wrapText="1"/>
    </xf>
    <xf numFmtId="0" fontId="8" fillId="7" borderId="16" xfId="0" applyAlignment="1">
      <alignment vertical="center" wrapText="1"/>
    </xf>
    <xf numFmtId="0" fontId="8" fillId="7" borderId="18" xfId="0" applyAlignment="1">
      <alignment vertical="center" wrapText="1"/>
    </xf>
    <xf numFmtId="0" fontId="8" fillId="7" borderId="21" xfId="0" applyAlignment="1">
      <alignment vertical="center" wrapText="1"/>
    </xf>
    <xf numFmtId="0" fontId="8" fillId="7" borderId="23" xfId="0" applyAlignment="1">
      <alignment vertical="center" wrapText="1"/>
    </xf>
    <xf numFmtId="0" fontId="3" fillId="5" borderId="24" xfId="0" applyAlignment="1">
      <alignment vertical="center" wrapText="1"/>
    </xf>
    <xf numFmtId="0" fontId="3" fillId="5" borderId="25" xfId="0" applyAlignment="1">
      <alignment vertical="center" wrapText="1"/>
    </xf>
    <xf numFmtId="0" fontId="8" fillId="7" borderId="24" xfId="0" applyAlignment="1">
      <alignment vertical="center" wrapText="1"/>
    </xf>
    <xf numFmtId="0" fontId="8" fillId="7" borderId="26" xfId="0" applyAlignment="1">
      <alignment vertical="center" wrapText="1"/>
    </xf>
    <xf numFmtId="0" fontId="3" fillId="9" borderId="25" xfId="0" applyAlignment="1">
      <alignment vertical="center" wrapText="1"/>
    </xf>
    <xf numFmtId="0" fontId="3" fillId="5" borderId="27" xfId="0" applyAlignment="1">
      <alignment vertical="center" wrapText="1"/>
    </xf>
    <xf numFmtId="0" fontId="3" fillId="5" borderId="28" xfId="0" applyAlignment="1">
      <alignment vertical="center" wrapText="1"/>
    </xf>
    <xf numFmtId="0" fontId="8" fillId="7" borderId="27" xfId="0" applyAlignment="1">
      <alignment vertical="center" wrapText="1"/>
    </xf>
    <xf numFmtId="0" fontId="8" fillId="7" borderId="29" xfId="0" applyAlignment="1">
      <alignment vertical="center" wrapText="1"/>
    </xf>
    <xf numFmtId="0" fontId="3" fillId="9" borderId="28" xfId="0" applyAlignment="1">
      <alignment vertical="center" wrapText="1"/>
    </xf>
    <xf numFmtId="164" fontId="3" fillId="9" borderId="9" xfId="0" applyAlignment="1">
      <alignment vertical="center" wrapText="1"/>
    </xf>
    <xf numFmtId="164" fontId="3" fillId="9" borderId="0" xfId="0" applyAlignment="1">
      <alignment vertical="center" wrapText="1"/>
    </xf>
    <xf numFmtId="164" fontId="3" fillId="9" borderId="25" xfId="0" applyAlignment="1">
      <alignment vertical="center" wrapText="1"/>
    </xf>
    <xf numFmtId="164" fontId="3" fillId="9" borderId="17" xfId="0" applyAlignment="1">
      <alignment vertical="center" wrapText="1"/>
    </xf>
    <xf numFmtId="164" fontId="3" fillId="9" borderId="1" xfId="0" applyAlignment="1">
      <alignment vertical="center" wrapText="1"/>
    </xf>
    <xf numFmtId="164" fontId="3" fillId="9" borderId="28" xfId="0" applyAlignment="1">
      <alignment vertical="center" wrapText="1"/>
    </xf>
    <xf numFmtId="0" fontId="8" fillId="7" borderId="25" xfId="0" applyAlignment="1">
      <alignment vertical="center" wrapText="1"/>
    </xf>
    <xf numFmtId="0" fontId="3" fillId="8" borderId="25" xfId="0" applyAlignment="1">
      <alignment vertical="center" wrapText="1"/>
    </xf>
    <xf numFmtId="0" fontId="8" fillId="7" borderId="28" xfId="0" applyAlignment="1">
      <alignment vertical="center" wrapText="1"/>
    </xf>
    <xf numFmtId="0" fontId="3" fillId="8" borderId="28" xfId="0" applyAlignment="1">
      <alignment vertical="center" wrapText="1"/>
    </xf>
    <xf numFmtId="0" fontId="3" fillId="5" borderId="30" xfId="0" applyAlignment="1">
      <alignment vertical="center" wrapText="1"/>
    </xf>
    <xf numFmtId="0" fontId="3" fillId="5" borderId="31" xfId="0" applyAlignment="1">
      <alignment vertical="center" wrapText="1"/>
    </xf>
    <xf numFmtId="0" fontId="3" fillId="9" borderId="31" xfId="0" applyAlignment="1">
      <alignment vertical="center" wrapText="1"/>
    </xf>
    <xf numFmtId="0" fontId="8" fillId="7" borderId="31" xfId="0" applyAlignment="1">
      <alignment vertical="center" wrapText="1"/>
    </xf>
    <xf numFmtId="0" fontId="3" fillId="5" borderId="32" xfId="0" applyAlignment="1">
      <alignment vertical="center" wrapText="1"/>
    </xf>
    <xf numFmtId="0" fontId="3" fillId="5" borderId="33" xfId="0" applyAlignment="1">
      <alignment vertical="center" wrapText="1"/>
    </xf>
    <xf numFmtId="0" fontId="3" fillId="9" borderId="33" xfId="0" applyAlignment="1">
      <alignment vertical="center" wrapText="1"/>
    </xf>
    <xf numFmtId="0" fontId="8" fillId="7" borderId="33" xfId="0" applyAlignment="1">
      <alignment vertical="center" wrapText="1"/>
    </xf>
    <xf numFmtId="165" fontId="3" fillId="9" borderId="9" xfId="0" applyAlignment="1">
      <alignment vertical="center" wrapText="1"/>
    </xf>
    <xf numFmtId="165" fontId="3" fillId="9" borderId="0" xfId="0" applyAlignment="1">
      <alignment vertical="center" wrapText="1"/>
    </xf>
    <xf numFmtId="165" fontId="3" fillId="9" borderId="25" xfId="0" applyAlignment="1">
      <alignment vertical="center" wrapText="1"/>
    </xf>
    <xf numFmtId="165" fontId="3" fillId="9" borderId="17" xfId="0" applyAlignment="1">
      <alignment vertical="center" wrapText="1"/>
    </xf>
    <xf numFmtId="165" fontId="3" fillId="9" borderId="1" xfId="0" applyAlignment="1">
      <alignment vertical="center" wrapText="1"/>
    </xf>
    <xf numFmtId="165" fontId="3" fillId="9" borderId="28" xfId="0" applyAlignment="1">
      <alignment vertical="center" wrapText="1"/>
    </xf>
    <xf numFmtId="165" fontId="3" fillId="9" borderId="31" xfId="0" applyAlignment="1">
      <alignment vertical="center" wrapText="1"/>
    </xf>
    <xf numFmtId="165" fontId="3" fillId="9" borderId="33" xfId="0" applyAlignment="1">
      <alignment vertical="center" wrapText="1"/>
    </xf>
    <xf numFmtId="0" fontId="13" fillId="4" borderId="2" xfId="0" applyAlignment="1">
      <alignment vertical="center" wrapText="1"/>
    </xf>
    <xf numFmtId="0" fontId="13" fillId="4" borderId="2" xfId="0" applyAlignment="1">
      <alignment horizontal="center" vertical="center" wrapText="1"/>
    </xf>
    <xf numFmtId="0" fontId="13" fillId="4" borderId="5" xfId="0" applyAlignment="1">
      <alignment vertical="center" wrapText="1"/>
    </xf>
    <xf numFmtId="0" fontId="13" fillId="4" borderId="5" xfId="0" applyAlignment="1">
      <alignment horizontal="center" vertical="center" wrapText="1"/>
    </xf>
    <xf numFmtId="0" fontId="3" fillId="12" borderId="0" xfId="0" applyAlignment="1">
      <alignment vertical="center" wrapText="1"/>
    </xf>
    <xf numFmtId="0" fontId="3" fillId="12" borderId="1" xfId="0" applyAlignment="1">
      <alignment vertical="center" wrapText="1"/>
    </xf>
    <xf numFmtId="0" fontId="2" fillId="5" borderId="0" xfId="0" applyAlignment="1">
      <alignment vertical="center" wrapText="1"/>
    </xf>
    <xf numFmtId="0" fontId="2" fillId="5" borderId="1" xfId="0" applyAlignment="1">
      <alignment vertical="center" wrapText="1"/>
    </xf>
    <xf numFmtId="0" fontId="2" fillId="12" borderId="0" xfId="0" applyAlignment="1">
      <alignment vertical="center" wrapText="1"/>
    </xf>
    <xf numFmtId="0" fontId="2" fillId="12" borderId="1" xfId="0" applyAlignment="1">
      <alignment vertical="center" wrapText="1"/>
    </xf>
    <xf numFmtId="0" fontId="3" fillId="12" borderId="12" xfId="0" applyAlignment="1">
      <alignment vertical="center" wrapText="1"/>
    </xf>
    <xf numFmtId="0" fontId="3" fillId="12" borderId="14" xfId="0" applyAlignment="1">
      <alignment vertical="center" wrapText="1"/>
    </xf>
    <xf numFmtId="0" fontId="3" fillId="12" borderId="15" xfId="0" applyAlignment="1">
      <alignment vertical="center" wrapText="1"/>
    </xf>
    <xf numFmtId="0" fontId="3" fillId="12" borderId="20" xfId="0" applyAlignment="1">
      <alignment vertical="center" wrapText="1"/>
    </xf>
    <xf numFmtId="0" fontId="3" fillId="12" borderId="22" xfId="0" applyAlignment="1">
      <alignment vertical="center" wrapText="1"/>
    </xf>
    <xf numFmtId="0" fontId="3" fillId="12" borderId="23" xfId="0" applyAlignment="1">
      <alignment vertical="center" wrapText="1"/>
    </xf>
    <xf numFmtId="0" fontId="3" fillId="12" borderId="11" xfId="0" applyAlignment="1">
      <alignment vertical="center" wrapText="1"/>
    </xf>
    <xf numFmtId="0" fontId="3" fillId="12" borderId="13" xfId="0" applyAlignment="1">
      <alignment vertical="center" wrapText="1"/>
    </xf>
    <xf numFmtId="0" fontId="3" fillId="12" borderId="19" xfId="0" applyAlignment="1">
      <alignment vertical="center" wrapText="1"/>
    </xf>
    <xf numFmtId="0" fontId="3" fillId="12" borderId="21" xfId="0" applyAlignment="1">
      <alignment vertical="center" wrapText="1"/>
    </xf>
    <xf numFmtId="0" fontId="2" fillId="5" borderId="11" xfId="0" applyAlignment="1">
      <alignment vertical="center" wrapText="1"/>
    </xf>
    <xf numFmtId="0" fontId="2" fillId="12" borderId="12" xfId="0" applyAlignment="1">
      <alignment vertical="center" wrapText="1"/>
    </xf>
    <xf numFmtId="0" fontId="2" fillId="5" borderId="19" xfId="0" applyAlignment="1">
      <alignment vertical="center" wrapText="1"/>
    </xf>
    <xf numFmtId="0" fontId="2" fillId="12" borderId="20" xfId="0" applyAlignment="1">
      <alignment vertical="center" wrapText="1"/>
    </xf>
    <xf numFmtId="0" fontId="14" fillId="4" borderId="0" xfId="0" applyAlignment="1">
      <alignment vertical="center" wrapText="1"/>
    </xf>
    <xf numFmtId="0" fontId="14" fillId="4" borderId="1" xfId="0" applyAlignment="1">
      <alignment vertical="center" wrapText="1"/>
    </xf>
    <xf numFmtId="164" fontId="3" fillId="9" borderId="9" xfId="0" applyAlignment="1">
      <alignment vertical="center" wrapText="1"/>
    </xf>
    <xf numFmtId="164" fontId="3" fillId="9" borderId="0" xfId="0" applyAlignment="1">
      <alignment vertical="center" wrapText="1"/>
    </xf>
    <xf numFmtId="164" fontId="3" fillId="9" borderId="25" xfId="0" applyAlignment="1">
      <alignment vertical="center" wrapText="1"/>
    </xf>
    <xf numFmtId="165" fontId="3" fillId="9" borderId="9" xfId="0" applyAlignment="1">
      <alignment vertical="center" wrapText="1"/>
    </xf>
    <xf numFmtId="165" fontId="3" fillId="9" borderId="0" xfId="0" applyAlignment="1">
      <alignment vertical="center" wrapText="1"/>
    </xf>
    <xf numFmtId="165" fontId="3" fillId="9" borderId="25" xfId="0" applyAlignment="1">
      <alignment vertical="center" wrapText="1"/>
    </xf>
    <xf numFmtId="165" fontId="3" fillId="9" borderId="31" xfId="0" applyAlignment="1">
      <alignment vertical="center" wrapText="1"/>
    </xf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center" wrapText="1"/>
    </xf>
    <xf numFmtId="0" fontId="2" fillId="4" borderId="2" xfId="0" applyNumberFormat="1" applyFont="1" applyFill="1" applyBorder="1" applyAlignment="1">
      <alignment vertical="center" wrapText="1"/>
    </xf>
    <xf numFmtId="0" fontId="2" fillId="4" borderId="3" xfId="0" applyNumberFormat="1" applyFont="1" applyFill="1" applyBorder="1" applyAlignment="1">
      <alignment vertical="center" wrapText="1"/>
    </xf>
    <xf numFmtId="0" fontId="2" fillId="4" borderId="4" xfId="0" applyNumberFormat="1" applyFont="1" applyFill="1" applyBorder="1" applyAlignment="1">
      <alignment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vertical="center" wrapText="1"/>
    </xf>
    <xf numFmtId="0" fontId="3" fillId="0" borderId="11" xfId="0" applyNumberFormat="1" applyFont="1" applyFill="1" applyBorder="1" applyAlignment="1">
      <alignment vertical="center" wrapText="1"/>
    </xf>
    <xf numFmtId="0" fontId="3" fillId="0" borderId="12" xfId="0" applyNumberFormat="1" applyFont="1" applyFill="1" applyBorder="1" applyAlignment="1">
      <alignment vertical="center" wrapText="1"/>
    </xf>
    <xf numFmtId="0" fontId="3" fillId="0" borderId="13" xfId="0" applyNumberFormat="1" applyFont="1" applyFill="1" applyBorder="1" applyAlignment="1">
      <alignment vertical="center" wrapText="1"/>
    </xf>
    <xf numFmtId="0" fontId="3" fillId="0" borderId="14" xfId="0" applyNumberFormat="1" applyFont="1" applyFill="1" applyBorder="1" applyAlignment="1">
      <alignment vertical="center" wrapText="1"/>
    </xf>
    <xf numFmtId="0" fontId="3" fillId="0" borderId="15" xfId="0" applyNumberFormat="1" applyFont="1" applyFill="1" applyBorder="1" applyAlignment="1">
      <alignment vertical="center" wrapText="1"/>
    </xf>
    <xf numFmtId="0" fontId="3" fillId="5" borderId="8" xfId="0" applyNumberFormat="1" applyFont="1" applyFill="1" applyBorder="1" applyAlignment="1">
      <alignment vertical="center" wrapText="1"/>
    </xf>
    <xf numFmtId="0" fontId="3" fillId="5" borderId="11" xfId="0" applyNumberFormat="1" applyFont="1" applyFill="1" applyBorder="1" applyAlignment="1">
      <alignment vertical="center" wrapText="1"/>
    </xf>
    <xf numFmtId="0" fontId="3" fillId="5" borderId="13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7" fillId="6" borderId="0" xfId="0" applyNumberFormat="1" applyFont="1" applyFill="1" applyBorder="1" applyAlignment="1">
      <alignment vertical="center" wrapText="1"/>
    </xf>
    <xf numFmtId="0" fontId="3" fillId="7" borderId="0" xfId="0" applyNumberFormat="1" applyFont="1" applyFill="1" applyBorder="1" applyAlignment="1">
      <alignment vertical="center" wrapText="1"/>
    </xf>
    <xf numFmtId="0" fontId="8" fillId="7" borderId="0" xfId="0" applyNumberFormat="1" applyFont="1" applyFill="1" applyBorder="1" applyAlignment="1">
      <alignment vertical="center" wrapText="1"/>
    </xf>
    <xf numFmtId="0" fontId="3" fillId="8" borderId="0" xfId="0" applyNumberFormat="1" applyFont="1" applyFill="1" applyBorder="1" applyAlignment="1">
      <alignment vertical="center" wrapText="1"/>
    </xf>
    <xf numFmtId="0" fontId="6" fillId="8" borderId="0" xfId="0" applyNumberFormat="1" applyFont="1" applyFill="1" applyBorder="1" applyAlignment="1">
      <alignment vertical="center" wrapText="1"/>
    </xf>
    <xf numFmtId="0" fontId="6" fillId="8" borderId="0" xfId="0" applyNumberFormat="1" applyFont="1" applyFill="1" applyBorder="1" applyAlignment="1">
      <alignment vertical="top" wrapText="1"/>
    </xf>
    <xf numFmtId="0" fontId="3" fillId="9" borderId="9" xfId="0" applyNumberFormat="1" applyFont="1" applyFill="1" applyBorder="1" applyAlignment="1">
      <alignment vertical="center" wrapText="1"/>
    </xf>
    <xf numFmtId="0" fontId="3" fillId="9" borderId="0" xfId="0" applyNumberFormat="1" applyFont="1" applyFill="1" applyBorder="1" applyAlignment="1">
      <alignment vertical="center" wrapText="1"/>
    </xf>
    <xf numFmtId="0" fontId="3" fillId="9" borderId="14" xfId="0" applyNumberFormat="1" applyFont="1" applyFill="1" applyBorder="1" applyAlignment="1">
      <alignment vertical="center" wrapText="1"/>
    </xf>
    <xf numFmtId="0" fontId="3" fillId="5" borderId="9" xfId="0" applyNumberFormat="1" applyFont="1" applyFill="1" applyBorder="1" applyAlignment="1">
      <alignment vertical="center" wrapText="1"/>
    </xf>
    <xf numFmtId="0" fontId="9" fillId="5" borderId="9" xfId="0" applyNumberFormat="1" applyFont="1" applyFill="1" applyBorder="1" applyAlignment="1">
      <alignment vertical="center" wrapText="1"/>
    </xf>
    <xf numFmtId="0" fontId="9" fillId="5" borderId="9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9" fillId="5" borderId="0" xfId="0" applyNumberFormat="1" applyFont="1" applyFill="1" applyBorder="1" applyAlignment="1">
      <alignment vertical="center" wrapText="1"/>
    </xf>
    <xf numFmtId="0" fontId="9" fillId="5" borderId="0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vertical="center" wrapText="1"/>
    </xf>
    <xf numFmtId="0" fontId="10" fillId="9" borderId="0" xfId="0" applyNumberFormat="1" applyFont="1" applyFill="1" applyBorder="1" applyAlignment="1">
      <alignment horizontal="center" vertical="center" wrapText="1"/>
    </xf>
    <xf numFmtId="0" fontId="3" fillId="10" borderId="0" xfId="0" applyNumberFormat="1" applyFont="1" applyFill="1" applyBorder="1" applyAlignment="1">
      <alignment vertical="center" wrapText="1"/>
    </xf>
    <xf numFmtId="0" fontId="11" fillId="10" borderId="0" xfId="0" applyNumberFormat="1" applyFont="1" applyFill="1" applyBorder="1" applyAlignment="1">
      <alignment vertical="center" wrapText="1"/>
    </xf>
    <xf numFmtId="0" fontId="11" fillId="10" borderId="0" xfId="0" applyNumberFormat="1" applyFont="1" applyFill="1" applyBorder="1" applyAlignment="1">
      <alignment horizontal="center" vertical="center" wrapText="1"/>
    </xf>
    <xf numFmtId="0" fontId="3" fillId="10" borderId="14" xfId="0" applyNumberFormat="1" applyFont="1" applyFill="1" applyBorder="1" applyAlignment="1">
      <alignment vertical="center" wrapText="1"/>
    </xf>
    <xf numFmtId="0" fontId="11" fillId="10" borderId="14" xfId="0" applyNumberFormat="1" applyFont="1" applyFill="1" applyBorder="1" applyAlignment="1">
      <alignment vertical="center" wrapText="1"/>
    </xf>
    <xf numFmtId="0" fontId="11" fillId="10" borderId="14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vertical="center" wrapText="1"/>
    </xf>
    <xf numFmtId="0" fontId="12" fillId="6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13" fillId="4" borderId="0" xfId="0" applyNumberFormat="1" applyFont="1" applyFill="1" applyBorder="1" applyAlignment="1">
      <alignment vertical="center" wrapText="1"/>
    </xf>
    <xf numFmtId="0" fontId="13" fillId="4" borderId="3" xfId="0" applyNumberFormat="1" applyFont="1" applyFill="1" applyBorder="1" applyAlignment="1">
      <alignment vertical="center" wrapText="1"/>
    </xf>
    <xf numFmtId="0" fontId="13" fillId="4" borderId="4" xfId="0" applyNumberFormat="1" applyFont="1" applyFill="1" applyBorder="1" applyAlignment="1">
      <alignment vertical="center" wrapText="1"/>
    </xf>
    <xf numFmtId="0" fontId="13" fillId="4" borderId="3" xfId="0" applyNumberFormat="1" applyFont="1" applyFill="1" applyBorder="1" applyAlignment="1">
      <alignment horizontal="center" vertical="center" wrapText="1"/>
    </xf>
    <xf numFmtId="0" fontId="13" fillId="4" borderId="4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vertical="center" wrapText="1"/>
    </xf>
    <xf numFmtId="0" fontId="3" fillId="3" borderId="9" xfId="0" applyNumberFormat="1" applyFont="1" applyFill="1" applyBorder="1" applyAlignment="1">
      <alignment vertical="center" wrapText="1"/>
    </xf>
    <xf numFmtId="0" fontId="3" fillId="3" borderId="10" xfId="0" applyNumberFormat="1" applyFont="1" applyFill="1" applyBorder="1" applyAlignment="1">
      <alignment vertical="center" wrapText="1"/>
    </xf>
    <xf numFmtId="0" fontId="3" fillId="3" borderId="2" xfId="0" applyNumberFormat="1" applyFont="1" applyFill="1" applyBorder="1" applyAlignment="1">
      <alignment vertical="center" wrapText="1"/>
    </xf>
    <xf numFmtId="0" fontId="3" fillId="3" borderId="3" xfId="0" applyNumberFormat="1" applyFont="1" applyFill="1" applyBorder="1" applyAlignment="1">
      <alignment vertical="center" wrapText="1"/>
    </xf>
    <xf numFmtId="0" fontId="3" fillId="3" borderId="4" xfId="0" applyNumberFormat="1" applyFont="1" applyFill="1" applyBorder="1" applyAlignment="1">
      <alignment vertical="center" wrapText="1"/>
    </xf>
    <xf numFmtId="0" fontId="3" fillId="3" borderId="11" xfId="0" applyNumberFormat="1" applyFont="1" applyFill="1" applyBorder="1" applyAlignment="1">
      <alignment vertical="center" wrapText="1"/>
    </xf>
    <xf numFmtId="0" fontId="3" fillId="3" borderId="12" xfId="0" applyNumberFormat="1" applyFont="1" applyFill="1" applyBorder="1" applyAlignment="1">
      <alignment vertical="center" wrapText="1"/>
    </xf>
    <xf numFmtId="0" fontId="3" fillId="7" borderId="11" xfId="0" applyNumberFormat="1" applyFont="1" applyFill="1" applyBorder="1" applyAlignment="1">
      <alignment vertical="center" wrapText="1"/>
    </xf>
    <xf numFmtId="0" fontId="3" fillId="7" borderId="12" xfId="0" applyNumberFormat="1" applyFont="1" applyFill="1" applyBorder="1" applyAlignment="1">
      <alignment vertical="center" wrapText="1"/>
    </xf>
    <xf numFmtId="0" fontId="8" fillId="7" borderId="11" xfId="0" applyNumberFormat="1" applyFont="1" applyFill="1" applyBorder="1" applyAlignment="1">
      <alignment vertical="center" wrapText="1"/>
    </xf>
    <xf numFmtId="0" fontId="8" fillId="7" borderId="12" xfId="0" applyNumberFormat="1" applyFont="1" applyFill="1" applyBorder="1" applyAlignment="1">
      <alignment vertical="center" wrapText="1"/>
    </xf>
    <xf numFmtId="0" fontId="3" fillId="10" borderId="11" xfId="0" applyNumberFormat="1" applyFont="1" applyFill="1" applyBorder="1" applyAlignment="1">
      <alignment vertical="center" wrapText="1"/>
    </xf>
    <xf numFmtId="0" fontId="3" fillId="10" borderId="12" xfId="0" applyNumberFormat="1" applyFont="1" applyFill="1" applyBorder="1" applyAlignment="1">
      <alignment vertical="center" wrapText="1"/>
    </xf>
    <xf numFmtId="0" fontId="3" fillId="10" borderId="2" xfId="0" applyNumberFormat="1" applyFont="1" applyFill="1" applyBorder="1" applyAlignment="1">
      <alignment vertical="center" wrapText="1"/>
    </xf>
    <xf numFmtId="0" fontId="3" fillId="10" borderId="3" xfId="0" applyNumberFormat="1" applyFont="1" applyFill="1" applyBorder="1" applyAlignment="1">
      <alignment vertical="center" wrapText="1"/>
    </xf>
    <xf numFmtId="0" fontId="3" fillId="10" borderId="4" xfId="0" applyNumberFormat="1" applyFont="1" applyFill="1" applyBorder="1" applyAlignment="1">
      <alignment vertical="center" wrapText="1"/>
    </xf>
    <xf numFmtId="0" fontId="3" fillId="3" borderId="13" xfId="0" applyNumberFormat="1" applyFont="1" applyFill="1" applyBorder="1" applyAlignment="1">
      <alignment vertical="center" wrapText="1"/>
    </xf>
    <xf numFmtId="0" fontId="3" fillId="3" borderId="14" xfId="0" applyNumberFormat="1" applyFont="1" applyFill="1" applyBorder="1" applyAlignment="1">
      <alignment vertical="center" wrapText="1"/>
    </xf>
    <xf numFmtId="0" fontId="3" fillId="3" borderId="15" xfId="0" applyNumberFormat="1" applyFont="1" applyFill="1" applyBorder="1" applyAlignment="1">
      <alignment vertical="center" wrapText="1"/>
    </xf>
    <xf numFmtId="0" fontId="2" fillId="11" borderId="0" xfId="0" applyNumberFormat="1" applyFont="1" applyFill="1" applyBorder="1" applyAlignment="1">
      <alignment vertical="center" wrapText="1"/>
    </xf>
    <xf numFmtId="0" fontId="14" fillId="11" borderId="0" xfId="0" applyNumberFormat="1" applyFont="1" applyFill="1" applyBorder="1" applyAlignment="1">
      <alignment vertical="center" wrapText="1"/>
    </xf>
    <xf numFmtId="0" fontId="3" fillId="7" borderId="3" xfId="0" applyNumberFormat="1" applyFont="1" applyFill="1" applyBorder="1" applyAlignment="1">
      <alignment vertical="center" wrapText="1"/>
    </xf>
    <xf numFmtId="0" fontId="8" fillId="7" borderId="3" xfId="0" applyNumberFormat="1" applyFont="1" applyFill="1" applyBorder="1" applyAlignment="1">
      <alignment vertical="center" wrapText="1"/>
    </xf>
    <xf numFmtId="0" fontId="8" fillId="7" borderId="3" xfId="0" applyNumberFormat="1" applyFont="1" applyFill="1" applyBorder="1" applyAlignment="1">
      <alignment horizontal="center" vertical="center" wrapText="1"/>
    </xf>
    <xf numFmtId="0" fontId="3" fillId="5" borderId="12" xfId="0" applyNumberFormat="1" applyFont="1" applyFill="1" applyBorder="1" applyAlignment="1">
      <alignment vertical="center" wrapText="1"/>
    </xf>
    <xf numFmtId="0" fontId="3" fillId="5" borderId="2" xfId="0" applyNumberFormat="1" applyFont="1" applyFill="1" applyBorder="1" applyAlignment="1">
      <alignment vertical="center" wrapText="1"/>
    </xf>
    <xf numFmtId="0" fontId="3" fillId="5" borderId="3" xfId="0" applyNumberFormat="1" applyFont="1" applyFill="1" applyBorder="1" applyAlignment="1">
      <alignment vertical="center" wrapText="1"/>
    </xf>
    <xf numFmtId="0" fontId="3" fillId="5" borderId="4" xfId="0" applyNumberFormat="1" applyFont="1" applyFill="1" applyBorder="1" applyAlignment="1">
      <alignment vertical="center" wrapText="1"/>
    </xf>
    <xf numFmtId="0" fontId="3" fillId="5" borderId="14" xfId="0" applyNumberFormat="1" applyFont="1" applyFill="1" applyBorder="1" applyAlignment="1">
      <alignment vertical="center" wrapText="1"/>
    </xf>
    <xf numFmtId="0" fontId="3" fillId="5" borderId="15" xfId="0" applyNumberFormat="1" applyFont="1" applyFill="1" applyBorder="1" applyAlignment="1">
      <alignment vertical="center" wrapText="1"/>
    </xf>
    <xf numFmtId="0" fontId="2" fillId="9" borderId="0" xfId="0" applyNumberFormat="1" applyFont="1" applyFill="1" applyBorder="1" applyAlignment="1">
      <alignment vertical="center" wrapText="1"/>
    </xf>
    <xf numFmtId="0" fontId="15" fillId="9" borderId="0" xfId="0" applyNumberFormat="1" applyFont="1" applyFill="1" applyBorder="1" applyAlignment="1">
      <alignment vertical="center" wrapText="1"/>
    </xf>
    <xf numFmtId="0" fontId="3" fillId="10" borderId="8" xfId="0" applyNumberFormat="1" applyFont="1" applyFill="1" applyBorder="1" applyAlignment="1">
      <alignment vertical="center" wrapText="1"/>
    </xf>
    <xf numFmtId="0" fontId="3" fillId="10" borderId="9" xfId="0" applyNumberFormat="1" applyFont="1" applyFill="1" applyBorder="1" applyAlignment="1">
      <alignment vertical="center" wrapText="1"/>
    </xf>
    <xf numFmtId="0" fontId="3" fillId="10" borderId="10" xfId="0" applyNumberFormat="1" applyFont="1" applyFill="1" applyBorder="1" applyAlignment="1">
      <alignment vertical="center" wrapText="1"/>
    </xf>
    <xf numFmtId="0" fontId="3" fillId="10" borderId="13" xfId="0" applyNumberFormat="1" applyFont="1" applyFill="1" applyBorder="1" applyAlignment="1">
      <alignment vertical="center" wrapText="1"/>
    </xf>
    <xf numFmtId="0" fontId="3" fillId="10" borderId="15" xfId="0" applyNumberFormat="1" applyFont="1" applyFill="1" applyBorder="1" applyAlignment="1">
      <alignment vertical="center" wrapText="1"/>
    </xf>
    <xf numFmtId="0" fontId="3" fillId="9" borderId="10" xfId="0" applyNumberFormat="1" applyFont="1" applyFill="1" applyBorder="1" applyAlignment="1">
      <alignment vertical="center" wrapText="1"/>
    </xf>
    <xf numFmtId="0" fontId="3" fillId="9" borderId="12" xfId="0" applyNumberFormat="1" applyFont="1" applyFill="1" applyBorder="1" applyAlignment="1">
      <alignment vertical="center" wrapText="1"/>
    </xf>
    <xf numFmtId="0" fontId="3" fillId="9" borderId="15" xfId="0" applyNumberFormat="1" applyFont="1" applyFill="1" applyBorder="1" applyAlignment="1">
      <alignment vertical="center" wrapText="1"/>
    </xf>
    <xf numFmtId="0" fontId="3" fillId="8" borderId="9" xfId="0" applyNumberFormat="1" applyFont="1" applyFill="1" applyBorder="1" applyAlignment="1">
      <alignment vertical="center" wrapText="1"/>
    </xf>
    <xf numFmtId="0" fontId="3" fillId="8" borderId="10" xfId="0" applyNumberFormat="1" applyFont="1" applyFill="1" applyBorder="1" applyAlignment="1">
      <alignment vertical="center" wrapText="1"/>
    </xf>
    <xf numFmtId="0" fontId="3" fillId="8" borderId="12" xfId="0" applyNumberFormat="1" applyFont="1" applyFill="1" applyBorder="1" applyAlignment="1">
      <alignment vertical="center" wrapText="1"/>
    </xf>
    <xf numFmtId="0" fontId="3" fillId="8" borderId="14" xfId="0" applyNumberFormat="1" applyFont="1" applyFill="1" applyBorder="1" applyAlignment="1">
      <alignment vertical="center" wrapText="1"/>
    </xf>
    <xf numFmtId="0" fontId="3" fillId="8" borderId="15" xfId="0" applyNumberFormat="1" applyFont="1" applyFill="1" applyBorder="1" applyAlignment="1">
      <alignment vertical="center" wrapText="1"/>
    </xf>
    <xf numFmtId="0" fontId="6" fillId="8" borderId="9" xfId="0" applyNumberFormat="1" applyFont="1" applyFill="1" applyBorder="1" applyAlignment="1">
      <alignment vertical="center" wrapText="1"/>
    </xf>
    <xf numFmtId="0" fontId="6" fillId="8" borderId="10" xfId="0" applyNumberFormat="1" applyFont="1" applyFill="1" applyBorder="1" applyAlignment="1">
      <alignment vertical="center" wrapText="1"/>
    </xf>
    <xf numFmtId="0" fontId="6" fillId="8" borderId="12" xfId="0" applyNumberFormat="1" applyFont="1" applyFill="1" applyBorder="1" applyAlignment="1">
      <alignment vertical="center" wrapText="1"/>
    </xf>
    <xf numFmtId="0" fontId="6" fillId="8" borderId="14" xfId="0" applyNumberFormat="1" applyFont="1" applyFill="1" applyBorder="1" applyAlignment="1">
      <alignment vertical="center" wrapText="1"/>
    </xf>
    <xf numFmtId="0" fontId="6" fillId="8" borderId="15" xfId="0" applyNumberFormat="1" applyFont="1" applyFill="1" applyBorder="1" applyAlignment="1">
      <alignment vertical="center" wrapText="1"/>
    </xf>
    <xf numFmtId="0" fontId="6" fillId="8" borderId="9" xfId="0" applyNumberFormat="1" applyFont="1" applyFill="1" applyBorder="1" applyAlignment="1">
      <alignment vertical="top" wrapText="1"/>
    </xf>
    <xf numFmtId="0" fontId="6" fillId="8" borderId="10" xfId="0" applyNumberFormat="1" applyFont="1" applyFill="1" applyBorder="1" applyAlignment="1">
      <alignment vertical="top" wrapText="1"/>
    </xf>
    <xf numFmtId="0" fontId="6" fillId="8" borderId="12" xfId="0" applyNumberFormat="1" applyFont="1" applyFill="1" applyBorder="1" applyAlignment="1">
      <alignment vertical="top" wrapText="1"/>
    </xf>
    <xf numFmtId="0" fontId="6" fillId="8" borderId="14" xfId="0" applyNumberFormat="1" applyFont="1" applyFill="1" applyBorder="1" applyAlignment="1">
      <alignment vertical="top" wrapText="1"/>
    </xf>
    <xf numFmtId="0" fontId="6" fillId="8" borderId="15" xfId="0" applyNumberFormat="1" applyFont="1" applyFill="1" applyBorder="1" applyAlignment="1">
      <alignment vertical="top" wrapText="1"/>
    </xf>
    <xf numFmtId="0" fontId="3" fillId="7" borderId="9" xfId="0" applyNumberFormat="1" applyFont="1" applyFill="1" applyBorder="1" applyAlignment="1">
      <alignment vertical="center" wrapText="1"/>
    </xf>
    <xf numFmtId="0" fontId="3" fillId="7" borderId="14" xfId="0" applyNumberFormat="1" applyFont="1" applyFill="1" applyBorder="1" applyAlignment="1">
      <alignment vertical="center" wrapText="1"/>
    </xf>
    <xf numFmtId="0" fontId="8" fillId="7" borderId="9" xfId="0" applyNumberFormat="1" applyFont="1" applyFill="1" applyBorder="1" applyAlignment="1">
      <alignment vertical="center" wrapText="1"/>
    </xf>
    <xf numFmtId="0" fontId="8" fillId="7" borderId="14" xfId="0" applyNumberFormat="1" applyFont="1" applyFill="1" applyBorder="1" applyAlignment="1">
      <alignment vertical="center" wrapText="1"/>
    </xf>
    <xf numFmtId="0" fontId="8" fillId="7" borderId="8" xfId="0" applyNumberFormat="1" applyFont="1" applyFill="1" applyBorder="1" applyAlignment="1">
      <alignment vertical="center" wrapText="1"/>
    </xf>
    <xf numFmtId="0" fontId="8" fillId="7" borderId="10" xfId="0" applyNumberFormat="1" applyFont="1" applyFill="1" applyBorder="1" applyAlignment="1">
      <alignment vertical="center" wrapText="1"/>
    </xf>
    <xf numFmtId="0" fontId="8" fillId="7" borderId="13" xfId="0" applyNumberFormat="1" applyFont="1" applyFill="1" applyBorder="1" applyAlignment="1">
      <alignment vertical="center" wrapText="1"/>
    </xf>
    <xf numFmtId="0" fontId="8" fillId="7" borderId="15" xfId="0" applyNumberFormat="1" applyFont="1" applyFill="1" applyBorder="1" applyAlignment="1">
      <alignment vertical="center" wrapText="1"/>
    </xf>
    <xf numFmtId="0" fontId="3" fillId="5" borderId="24" xfId="0" applyNumberFormat="1" applyFont="1" applyFill="1" applyBorder="1" applyAlignment="1">
      <alignment vertical="center" wrapText="1"/>
    </xf>
    <xf numFmtId="0" fontId="3" fillId="5" borderId="25" xfId="0" applyNumberFormat="1" applyFont="1" applyFill="1" applyBorder="1" applyAlignment="1">
      <alignment vertical="center" wrapText="1"/>
    </xf>
    <xf numFmtId="0" fontId="8" fillId="7" borderId="24" xfId="0" applyNumberFormat="1" applyFont="1" applyFill="1" applyBorder="1" applyAlignment="1">
      <alignment vertical="center" wrapText="1"/>
    </xf>
    <xf numFmtId="0" fontId="8" fillId="7" borderId="26" xfId="0" applyNumberFormat="1" applyFont="1" applyFill="1" applyBorder="1" applyAlignment="1">
      <alignment vertical="center" wrapText="1"/>
    </xf>
    <xf numFmtId="0" fontId="3" fillId="9" borderId="25" xfId="0" applyNumberFormat="1" applyFont="1" applyFill="1" applyBorder="1" applyAlignment="1">
      <alignment vertical="center" wrapText="1"/>
    </xf>
    <xf numFmtId="164" fontId="3" fillId="9" borderId="9" xfId="0" applyNumberFormat="1" applyFont="1" applyFill="1" applyBorder="1" applyAlignment="1">
      <alignment vertical="center" wrapText="1"/>
    </xf>
    <xf numFmtId="164" fontId="3" fillId="9" borderId="0" xfId="0" applyNumberFormat="1" applyFont="1" applyFill="1" applyBorder="1" applyAlignment="1">
      <alignment vertical="center" wrapText="1"/>
    </xf>
    <xf numFmtId="164" fontId="3" fillId="9" borderId="25" xfId="0" applyNumberFormat="1" applyFont="1" applyFill="1" applyBorder="1" applyAlignment="1">
      <alignment vertical="center" wrapText="1"/>
    </xf>
    <xf numFmtId="0" fontId="8" fillId="7" borderId="25" xfId="0" applyNumberFormat="1" applyFont="1" applyFill="1" applyBorder="1" applyAlignment="1">
      <alignment vertical="center" wrapText="1"/>
    </xf>
    <xf numFmtId="0" fontId="3" fillId="8" borderId="25" xfId="0" applyNumberFormat="1" applyFont="1" applyFill="1" applyBorder="1" applyAlignment="1">
      <alignment vertical="center" wrapText="1"/>
    </xf>
    <xf numFmtId="0" fontId="3" fillId="5" borderId="30" xfId="0" applyNumberFormat="1" applyFont="1" applyFill="1" applyBorder="1" applyAlignment="1">
      <alignment vertical="center" wrapText="1"/>
    </xf>
    <xf numFmtId="0" fontId="3" fillId="5" borderId="31" xfId="0" applyNumberFormat="1" applyFont="1" applyFill="1" applyBorder="1" applyAlignment="1">
      <alignment vertical="center" wrapText="1"/>
    </xf>
    <xf numFmtId="0" fontId="3" fillId="9" borderId="31" xfId="0" applyNumberFormat="1" applyFont="1" applyFill="1" applyBorder="1" applyAlignment="1">
      <alignment vertical="center" wrapText="1"/>
    </xf>
    <xf numFmtId="0" fontId="8" fillId="7" borderId="31" xfId="0" applyNumberFormat="1" applyFont="1" applyFill="1" applyBorder="1" applyAlignment="1">
      <alignment vertical="center" wrapText="1"/>
    </xf>
    <xf numFmtId="165" fontId="3" fillId="9" borderId="9" xfId="0" applyNumberFormat="1" applyFont="1" applyFill="1" applyBorder="1" applyAlignment="1">
      <alignment vertical="center" wrapText="1"/>
    </xf>
    <xf numFmtId="165" fontId="3" fillId="9" borderId="0" xfId="0" applyNumberFormat="1" applyFont="1" applyFill="1" applyBorder="1" applyAlignment="1">
      <alignment vertical="center" wrapText="1"/>
    </xf>
    <xf numFmtId="165" fontId="3" fillId="9" borderId="25" xfId="0" applyNumberFormat="1" applyFont="1" applyFill="1" applyBorder="1" applyAlignment="1">
      <alignment vertical="center" wrapText="1"/>
    </xf>
    <xf numFmtId="165" fontId="3" fillId="9" borderId="31" xfId="0" applyNumberFormat="1" applyFont="1" applyFill="1" applyBorder="1" applyAlignment="1">
      <alignment vertical="center" wrapText="1"/>
    </xf>
    <xf numFmtId="0" fontId="13" fillId="4" borderId="2" xfId="0" applyNumberFormat="1" applyFont="1" applyFill="1" applyBorder="1" applyAlignment="1">
      <alignment vertical="center" wrapText="1"/>
    </xf>
    <xf numFmtId="0" fontId="13" fillId="4" borderId="2" xfId="0" applyNumberFormat="1" applyFont="1" applyFill="1" applyBorder="1" applyAlignment="1">
      <alignment horizontal="center" vertical="center" wrapText="1"/>
    </xf>
    <xf numFmtId="0" fontId="3" fillId="12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0" fontId="2" fillId="12" borderId="0" xfId="0" applyNumberFormat="1" applyFont="1" applyFill="1" applyBorder="1" applyAlignment="1">
      <alignment vertical="center" wrapText="1"/>
    </xf>
    <xf numFmtId="0" fontId="3" fillId="12" borderId="12" xfId="0" applyNumberFormat="1" applyFont="1" applyFill="1" applyBorder="1" applyAlignment="1">
      <alignment vertical="center" wrapText="1"/>
    </xf>
    <xf numFmtId="0" fontId="3" fillId="12" borderId="14" xfId="0" applyNumberFormat="1" applyFont="1" applyFill="1" applyBorder="1" applyAlignment="1">
      <alignment vertical="center" wrapText="1"/>
    </xf>
    <xf numFmtId="0" fontId="3" fillId="12" borderId="15" xfId="0" applyNumberFormat="1" applyFont="1" applyFill="1" applyBorder="1" applyAlignment="1">
      <alignment vertical="center" wrapText="1"/>
    </xf>
    <xf numFmtId="0" fontId="3" fillId="12" borderId="11" xfId="0" applyNumberFormat="1" applyFont="1" applyFill="1" applyBorder="1" applyAlignment="1">
      <alignment vertical="center" wrapText="1"/>
    </xf>
    <xf numFmtId="0" fontId="3" fillId="12" borderId="13" xfId="0" applyNumberFormat="1" applyFont="1" applyFill="1" applyBorder="1" applyAlignment="1">
      <alignment vertical="center" wrapText="1"/>
    </xf>
    <xf numFmtId="0" fontId="2" fillId="5" borderId="11" xfId="0" applyNumberFormat="1" applyFont="1" applyFill="1" applyBorder="1" applyAlignment="1">
      <alignment vertical="center" wrapText="1"/>
    </xf>
    <xf numFmtId="0" fontId="2" fillId="12" borderId="12" xfId="0" applyNumberFormat="1" applyFont="1" applyFill="1" applyBorder="1" applyAlignment="1">
      <alignment vertical="center" wrapText="1"/>
    </xf>
    <xf numFmtId="0" fontId="14" fillId="4" borderId="0" xfId="0" applyNumberFormat="1" applyFont="1" applyFill="1" applyBorder="1" applyAlignment="1">
      <alignment vertical="center" wrapText="1"/>
    </xf>
    <xf numFmtId="200" fontId="3" fillId="9" borderId="9" xfId="0" applyNumberFormat="1" applyFont="1" applyFill="1" applyBorder="1" applyAlignment="1">
      <alignment vertical="center" wrapText="1"/>
    </xf>
    <xf numFmtId="200" fontId="3" fillId="9" borderId="0" xfId="0" applyNumberFormat="1" applyFont="1" applyFill="1" applyBorder="1" applyAlignment="1">
      <alignment vertical="center" wrapText="1"/>
    </xf>
    <xf numFmtId="200" fontId="3" fillId="9" borderId="25" xfId="0" applyNumberFormat="1" applyFont="1" applyFill="1" applyBorder="1" applyAlignment="1">
      <alignment vertical="center" wrapText="1"/>
    </xf>
    <xf numFmtId="201" fontId="3" fillId="9" borderId="9" xfId="0" applyNumberFormat="1" applyFont="1" applyFill="1" applyBorder="1" applyAlignment="1">
      <alignment vertical="center" wrapText="1"/>
    </xf>
    <xf numFmtId="201" fontId="3" fillId="9" borderId="0" xfId="0" applyNumberFormat="1" applyFont="1" applyFill="1" applyBorder="1" applyAlignment="1">
      <alignment vertical="center" wrapText="1"/>
    </xf>
    <xf numFmtId="201" fontId="3" fillId="9" borderId="25" xfId="0" applyNumberFormat="1" applyFont="1" applyFill="1" applyBorder="1" applyAlignment="1">
      <alignment vertical="center" wrapText="1"/>
    </xf>
    <xf numFmtId="202" fontId="3" fillId="9" borderId="9" xfId="0" applyNumberFormat="1" applyFont="1" applyFill="1" applyBorder="1" applyAlignment="1">
      <alignment vertical="center" wrapText="1"/>
    </xf>
    <xf numFmtId="202" fontId="3" fillId="9" borderId="0" xfId="0" applyNumberFormat="1" applyFont="1" applyFill="1" applyBorder="1" applyAlignment="1">
      <alignment vertical="center" wrapText="1"/>
    </xf>
    <xf numFmtId="202" fontId="3" fillId="9" borderId="25" xfId="0" applyNumberFormat="1" applyFont="1" applyFill="1" applyBorder="1" applyAlignment="1">
      <alignment vertical="center" wrapText="1"/>
    </xf>
    <xf numFmtId="203" fontId="3" fillId="8" borderId="9" xfId="0" applyNumberFormat="1" applyFont="1" applyFill="1" applyBorder="1" applyAlignment="1">
      <alignment vertical="center" wrapText="1"/>
    </xf>
    <xf numFmtId="203" fontId="3" fillId="8" borderId="0" xfId="0" applyNumberFormat="1" applyFont="1" applyFill="1" applyBorder="1" applyAlignment="1">
      <alignment vertical="center" wrapText="1"/>
    </xf>
    <xf numFmtId="203" fontId="3" fillId="8" borderId="25" xfId="0" applyNumberFormat="1" applyFont="1" applyFill="1" applyBorder="1" applyAlignment="1">
      <alignment vertical="center" wrapText="1"/>
    </xf>
    <xf numFmtId="200" fontId="3" fillId="8" borderId="9" xfId="0" applyNumberFormat="1" applyFont="1" applyFill="1" applyBorder="1" applyAlignment="1">
      <alignment vertical="center" wrapText="1"/>
    </xf>
    <xf numFmtId="200" fontId="3" fillId="8" borderId="0" xfId="0" applyNumberFormat="1" applyFont="1" applyFill="1" applyBorder="1" applyAlignment="1">
      <alignment vertical="center" wrapText="1"/>
    </xf>
    <xf numFmtId="200" fontId="3" fillId="8" borderId="25" xfId="0" applyNumberFormat="1" applyFont="1" applyFill="1" applyBorder="1" applyAlignment="1">
      <alignment vertical="center" wrapText="1"/>
    </xf>
    <xf numFmtId="201" fontId="3" fillId="9" borderId="31" xfId="0" applyNumberFormat="1" applyFont="1" applyFill="1" applyBorder="1" applyAlignment="1">
      <alignment vertical="center" wrapText="1"/>
    </xf>
    <xf numFmtId="202" fontId="3" fillId="9" borderId="31" xfId="0" applyNumberFormat="1" applyFont="1" applyFill="1" applyBorder="1" applyAlignment="1">
      <alignment vertical="center" wrapText="1"/>
    </xf>
    <xf numFmtId="0" fontId="0" fillId="13" borderId="0" xfId="0" applyNumberFormat="1" applyFont="1" applyFill="1" applyBorder="1"/>
    <xf numFmtId="0" fontId="16" fillId="13" borderId="0" xfId="0" applyNumberFormat="1" applyFont="1" applyFill="1" applyBorder="1"/>
    <xf numFmtId="0" fontId="16" fillId="13" borderId="0" xfId="0" applyNumberFormat="1" applyFont="1" applyFill="1" applyBorder="1" applyAlignment="1">
      <alignment horizontal="center"/>
    </xf>
    <xf numFmtId="0" fontId="16" fillId="13" borderId="0" xfId="0" applyNumberFormat="1" applyFont="1" applyFill="1" applyBorder="1" applyAlignment="1">
      <alignment horizontal="center" vertical="center"/>
    </xf>
    <xf numFmtId="0" fontId="0" fillId="14" borderId="0" xfId="0" applyNumberFormat="1" applyFont="1" applyFill="1" applyBorder="1"/>
    <xf numFmtId="0" fontId="12" fillId="14" borderId="0" xfId="0" applyNumberFormat="1" applyFont="1" applyFill="1" applyBorder="1"/>
    <xf numFmtId="0" fontId="12" fillId="1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15" borderId="0" xfId="0" applyNumberFormat="1" applyFont="1" applyFill="1" applyBorder="1"/>
    <xf numFmtId="0" fontId="17" fillId="15" borderId="0" xfId="0" applyNumberFormat="1" applyFont="1" applyFill="1" applyBorder="1"/>
    <xf numFmtId="0" fontId="17" fillId="15" borderId="0" xfId="0" applyNumberFormat="1" applyFont="1" applyFill="1" applyBorder="1" applyAlignment="1">
      <alignment wrapText="1"/>
    </xf>
    <xf numFmtId="0" fontId="17" fillId="15" borderId="0" xfId="0" applyNumberFormat="1" applyFont="1" applyFill="1" applyBorder="1" applyAlignment="1">
      <alignment vertical="center" wrapText="1"/>
    </xf>
    <xf numFmtId="0" fontId="16" fillId="13" xfId="0" applyNumberFormat="1" applyFont="1" applyFill="1" applyBorder="0" applyAlignment="1">
      <alignment horizontal="center" vertical="center"/>
    </xf>
    <xf numFmtId="0" fontId="0" fillId="0" xfId="0" applyNumberFormat="1" applyFont="1" applyFill="1" applyBorder="0"/>
    <xf numFmtId="0" fontId="12" fillId="14" xfId="0" applyNumberFormat="1" applyFont="1" applyFill="1" applyBorder="0" applyAlignment="1">
      <alignment wrapText="1"/>
    </xf>
    <xf numFmtId="0" fontId="0" fillId="0" xfId="0" applyNumberFormat="1" applyFont="1" applyFill="1" applyBorder="0" applyAlignment="1">
      <alignment wrapText="1"/>
    </xf>
    <xf numFmtId="0" fontId="17" fillId="15" xfId="0" applyNumberFormat="1" applyFont="1" applyFill="1" applyBorder="0" applyAlignment="1">
      <alignment vertical="center" wrapText="1"/>
    </xf>
    <xf numFmtId="0" fontId="0" fillId="16" borderId="0" xfId="0" applyNumberFormat="1" applyFont="1" applyFill="1" applyBorder="1"/>
    <xf numFmtId="0" fontId="5" fillId="16" borderId="0" xfId="0" applyNumberFormat="1" applyFont="1" applyFill="1" applyBorder="1"/>
    <xf numFmtId="0" fontId="5" fillId="16" borderId="0" xfId="0" applyNumberFormat="1" applyFont="1" applyFill="1" applyBorder="1" applyAlignment="1">
      <alignment horizontal="center"/>
    </xf>
    <xf numFmtId="0" fontId="0" fillId="17" borderId="0" xfId="0" applyNumberFormat="1" applyFont="1" applyFill="1" applyBorder="1"/>
    <xf numFmtId="0" fontId="18" fillId="17" borderId="0" xfId="0" applyNumberFormat="1" applyFont="1" applyFill="1" applyBorder="1"/>
    <xf numFmtId="0" fontId="18" fillId="17" borderId="0" xfId="0" applyNumberFormat="1" applyFont="1" applyFill="1" applyBorder="1" applyAlignment="1">
      <alignment wrapText="1"/>
    </xf>
    <xf numFmtId="0" fontId="0" fillId="18" borderId="0" xfId="0" applyNumberFormat="1" applyFont="1" applyFill="1" applyBorder="1"/>
    <xf numFmtId="0" fontId="12" fillId="18" borderId="0" xfId="0" applyNumberFormat="1" applyFont="1" applyFill="1" applyBorder="1"/>
    <xf numFmtId="0" fontId="12" fillId="18" borderId="0" xfId="0" applyNumberFormat="1" applyFont="1" applyFill="1" applyBorder="1" applyAlignment="1">
      <alignment wrapText="1"/>
    </xf>
    <xf numFmtId="0" fontId="12" fillId="18" borderId="0" xfId="0" applyNumberFormat="1" applyFont="1" applyFill="1" applyBorder="1" applyAlignment="1">
      <alignment horizontal="center" wrapText="1"/>
    </xf>
    <xf numFmtId="204" fontId="0" fillId="0" borderId="0" xfId="0" applyNumberFormat="1" applyFont="1" applyFill="1" applyBorder="1"/>
    <xf numFmtId="200" fontId="0" fillId="0" borderId="0" xfId="0" applyNumberFormat="1" applyFont="1" applyFill="1" applyBorder="1"/>
    <xf numFmtId="0" fontId="12" fillId="16" borderId="0" xfId="0" applyNumberFormat="1" applyFont="1" applyFill="1" applyBorder="1"/>
    <xf numFmtId="0" fontId="5" fillId="16" xfId="0" applyNumberFormat="1" applyFont="1" applyFill="1" applyBorder="0" applyAlignment="1">
      <alignment horizontal="center"/>
    </xf>
    <xf numFmtId="0" fontId="18" fillId="17" xfId="0" applyNumberFormat="1" applyFont="1" applyFill="1" applyBorder="0" applyAlignment="1">
      <alignment wrapText="1"/>
    </xf>
    <xf numFmtId="0" fontId="12" fillId="18" xfId="0" applyNumberFormat="1" applyFont="1" applyFill="1" applyBorder="0" applyAlignment="1">
      <alignment horizontal="center" wrapText="1"/>
    </xf>
    <xf numFmtId="204" fontId="0" fillId="0" xfId="0" applyNumberFormat="1" applyFont="1" applyFill="1" applyBorder="0"/>
    <xf numFmtId="200" fontId="0" fillId="0" xfId="0" applyNumberFormat="1" applyFont="1" applyFill="1" applyBorder="0"/>
    <xf numFmtId="0" fontId="12" fillId="16" xfId="0" applyNumberFormat="1" applyFont="1" applyFill="1" applyBorder="0"/>
    <xf numFmtId="0" fontId="19" fillId="15" borderId="0" xfId="0" applyNumberFormat="1" applyFont="1" applyFill="1" applyBorder="1"/>
    <xf numFmtId="0" fontId="19" fillId="15" borderId="0" xfId="0" applyNumberFormat="1" applyFont="1" applyFill="1" applyBorder="1" applyAlignment="1">
      <alignment horizontal="center"/>
    </xf>
    <xf numFmtId="202" fontId="0" fillId="0" borderId="0" xfId="0" applyNumberFormat="1" applyFont="1" applyFill="1" applyBorder="1"/>
    <xf numFmtId="0" fontId="0" fillId="19" borderId="0" xfId="0" applyNumberFormat="1" applyFont="1" applyFill="1" applyBorder="1"/>
    <xf numFmtId="0" fontId="0" fillId="19" borderId="0" xfId="0" applyNumberFormat="1" applyFont="1" applyFill="1" applyBorder="1" applyAlignment="1">
      <alignment wrapText="1"/>
    </xf>
    <xf numFmtId="0" fontId="0" fillId="19" borderId="0" xfId="0" applyNumberFormat="1" applyFont="1" applyFill="1" applyBorder="1" applyAlignment="1">
      <alignment vertical="top" wrapText="1"/>
    </xf>
    <xf numFmtId="0" fontId="19" fillId="15" xfId="0" applyNumberFormat="1" applyFont="1" applyFill="1" applyBorder="0" applyAlignment="1">
      <alignment horizontal="center"/>
    </xf>
    <xf numFmtId="0" fontId="12" fillId="18" xfId="0" applyNumberFormat="1" applyFont="1" applyFill="1" applyBorder="0"/>
    <xf numFmtId="202" fontId="0" fillId="0" xfId="0" applyNumberFormat="1" applyFont="1" applyFill="1" applyBorder="0"/>
    <xf numFmtId="0" fontId="0" fillId="19" xfId="0" applyNumberFormat="1" applyFont="1" applyFill="1" applyBorder="0" applyAlignment="1">
      <alignment vertical="top" wrapText="1"/>
    </xf>
    <xf numFmtId="0" fontId="0" fillId="6" borderId="0" xfId="0" applyNumberFormat="1" applyFont="1" applyFill="1" applyBorder="1"/>
    <xf numFmtId="0" fontId="12" fillId="6" borderId="0" xfId="0" applyNumberFormat="1" applyFont="1" applyFill="1" applyBorder="1"/>
    <xf numFmtId="0" fontId="12" fillId="6" borderId="0" xfId="0" applyNumberFormat="1" applyFont="1" applyFill="1" applyBorder="1" applyAlignment="1">
      <alignment wrapText="1"/>
    </xf>
    <xf numFmtId="0" fontId="12" fillId="6" borderId="0" xfId="0" applyNumberFormat="1" applyFont="1" applyFill="1" applyBorder="1" applyAlignment="1">
      <alignment horizontal="center" wrapText="1"/>
    </xf>
    <xf numFmtId="0" fontId="12" fillId="6" xfId="0" applyNumberFormat="1" applyFont="1" applyFill="1" applyBorder="0" applyAlignment="1">
      <alignment horizontal="center" wrapText="1"/>
    </xf>
    <xf numFmtId="0" fontId="12" fillId="6" xfId="0" applyNumberFormat="1" applyFont="1" applyFill="1" applyBorder="0"/>
    <xf numFmtId="0" fontId="3" fillId="20" borderId="0" xfId="0" applyNumberFormat="1" applyFont="1" applyFill="1" applyBorder="1" applyAlignment="1">
      <alignment vertical="center" wrapText="1"/>
    </xf>
    <xf numFmtId="0" fontId="20" fillId="20" borderId="0" xfId="0" applyNumberFormat="1" applyFont="1" applyFill="1" applyBorder="1" applyAlignment="1">
      <alignment vertical="center" wrapText="1"/>
    </xf>
    <xf numFmtId="0" fontId="0" fillId="21" borderId="0" xfId="0" applyNumberFormat="1" applyFont="1" applyFill="1" applyBorder="1"/>
    <xf numFmtId="0" fontId="12" fillId="21" borderId="0" xfId="0" applyNumberFormat="1" applyFont="1" applyFill="1" applyBorder="1"/>
    <xf numFmtId="0" fontId="12" fillId="21" borderId="0" xfId="0" applyNumberFormat="1" applyFont="1" applyFill="1" applyBorder="1" applyAlignment="1">
      <alignment horizontal="center"/>
    </xf>
    <xf numFmtId="0" fontId="13" fillId="22" borderId="3" xfId="0" applyNumberFormat="1" applyFont="1" applyFill="1" applyBorder="1" applyAlignment="1">
      <alignment horizontal="center" vertical="center" wrapText="1"/>
    </xf>
    <xf numFmtId="0" fontId="3" fillId="22" borderId="0" xfId="0" applyNumberFormat="1" applyFont="1" applyFill="1" applyBorder="1" applyAlignment="1">
      <alignment vertical="center" wrapText="1"/>
    </xf>
    <xf numFmtId="204" fontId="13" fillId="4" borderId="3" xfId="0" applyNumberFormat="1" applyFont="1" applyFill="1" applyBorder="1" applyAlignment="1">
      <alignment horizontal="center" vertical="center" wrapText="1"/>
    </xf>
    <xf numFmtId="204" fontId="3" fillId="0" borderId="0" xfId="0" applyNumberFormat="1" applyFont="1" applyFill="1" applyBorder="1" applyAlignment="1">
      <alignment vertical="center" wrapText="1"/>
    </xf>
    <xf numFmtId="205" fontId="3" fillId="12" borderId="0" xfId="0" applyNumberFormat="1" applyFont="1" applyFill="1" applyBorder="1" applyAlignment="1">
      <alignment vertical="center" wrapText="1"/>
    </xf>
    <xf numFmtId="205" fontId="3" fillId="12" borderId="14" xfId="0" applyNumberFormat="1" applyFont="1" applyFill="1" applyBorder="1" applyAlignment="1">
      <alignment vertical="center" wrapText="1"/>
    </xf>
    <xf numFmtId="204" fontId="3" fillId="12" borderId="0" xfId="0" applyNumberFormat="1" applyFont="1" applyFill="1" applyBorder="1" applyAlignment="1">
      <alignment vertical="center" wrapText="1"/>
    </xf>
    <xf numFmtId="0" fontId="3" fillId="12" borderId="0" xfId="0" applyNumberFormat="1" applyFont="1" applyFill="1" applyBorder="1" applyAlignment="1">
      <alignment horizontal="center" vertical="center" wrapText="1"/>
    </xf>
    <xf numFmtId="0" fontId="3" fillId="12" borderId="1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200" fontId="3" fillId="12" borderId="0" xfId="0" applyNumberFormat="1" applyFont="1" applyFill="1" applyBorder="1" applyAlignment="1">
      <alignment horizontal="center" vertical="center" wrapText="1"/>
    </xf>
    <xf numFmtId="200" fontId="3" fillId="12" borderId="14" xfId="0" applyNumberFormat="1" applyFont="1" applyFill="1" applyBorder="1" applyAlignment="1">
      <alignment horizontal="center" vertical="center" wrapText="1"/>
    </xf>
    <xf numFmtId="200" fontId="3" fillId="0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  <dxfs count="8">
    <dxf>
      <font>
        <b/>
        <color rgb="FF3F7652"/>
      </font>
      <fill>
        <patternFill>
          <bgColor rgb="FFE8F3E8"/>
        </patternFill>
      </fill>
    </dxf>
    <dxf>
      <font>
        <b/>
        <color rgb="FFA23B3B"/>
      </font>
      <fill>
        <patternFill>
          <bgColor rgb="FFFBE4E6"/>
        </patternFill>
      </fill>
    </dxf>
    <dxf>
      <font>
        <b/>
        <color rgb="FF3F7652"/>
      </font>
      <fill>
        <patternFill>
          <bgColor rgb="FFE8F3E8"/>
        </patternFill>
      </fill>
    </dxf>
    <dxf>
      <font>
        <b/>
        <color rgb="FFA23B3B"/>
      </font>
      <fill>
        <patternFill>
          <bgColor rgb="FFFBE4E6"/>
        </patternFill>
      </fill>
    </dxf>
    <dxf>
      <fill>
        <patternFill>
          <bgColor rgb="FFFCE8E8"/>
        </patternFill>
      </fill>
    </dxf>
    <dxf>
      <fill>
        <patternFill>
          <bgColor rgb="FFFFF4D6"/>
        </patternFill>
      </fill>
    </dxf>
    <dxf>
      <fill>
        <patternFill>
          <bgColor rgb="FFFCE8E8"/>
        </patternFill>
      </fill>
    </dxf>
    <dxf>
      <fill>
        <patternFill>
          <bgColor rgb="FFFFF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charts/chart2.xml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实验三模拟评分概览（参与者×方法三物体均值）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One-Euro M</c:v>
          </c:tx>
          <c:cat>
            <c:strRef>
              <c:f>'Analysis'!$M$4:$M$10</c:f>
              <c:strCache>
                <c:ptCount val="0"/>
              </c:strCache>
            </c:strRef>
          </c:cat>
          <c:val>
            <c:numRef>
              <c:f>'Analysis'!$N$4:$N$10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EgoAnchor M</c:v>
          </c:tx>
          <c:cat>
            <c:strRef>
              <c:f>'Analysis'!$M$4:$M$10</c:f>
              <c:strCache>
                <c:ptCount val="0"/>
              </c:strCache>
            </c:strRef>
          </c:cat>
          <c:val>
            <c:numRef>
              <c:f>'Analysis'!$O$4:$O$10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Synthetic mean ratings (not empirical)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One-Euro 均值</c:v>
          </c:tx>
          <c:cat>
            <c:strRef>
              <c:f>'Synthetic_Summary'!$A$5:$A$11</c:f>
              <c:strCache>
                <c:ptCount val="0"/>
              </c:strCache>
            </c:strRef>
          </c:cat>
          <c:val>
            <c:numRef>
              <c:f>'Synthetic_Summary'!$B$5:$B$11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EgoAnchor 均值</c:v>
          </c:tx>
          <c:cat>
            <c:strRef>
              <c:f>'Synthetic_Summary'!$A$5:$A$11</c:f>
              <c:strCache>
                <c:ptCount val="0"/>
              </c:strCache>
            </c:strRef>
          </c:cat>
          <c:val>
            <c:numRef>
              <c:f>'Synthetic_Summary'!$C$5:$C$11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lockSubscores" displayName="BlockSubscores" ref="A4:P148" headerRowCount="1">
  <tableColumns count="16">
    <tableColumn id="1" name="Participant_ID"/>
    <tableColumn id="2" name="Block_Index"/>
    <tableColumn id="3" name="物体"/>
    <tableColumn id="4" name="Shown_Label"/>
    <tableColumn id="5" name="Condition"/>
    <tableColumn id="6" name="Q1"/>
    <tableColumn id="7" name="Q8"/>
    <tableColumn id="8" name="Q2"/>
    <tableColumn id="9" name="Q9"/>
    <tableColumn id="10" name="Q3"/>
    <tableColumn id="11" name="Q6"/>
    <tableColumn id="12" name="Q7"/>
    <tableColumn id="13" name="AQ_EQ_mean"/>
    <tableColumn id="14" name="AQ_IQ_mean"/>
    <tableColumn id="15" name="Block_Valid"/>
    <tableColumn id="16" name="Source_Row"/>
  </tableColumns>
  <tableStyleInfo name="TableStyleMedium2" showRowStripes="1"/>
</table>
</file>

<file path=xl/tables/table2.xml><?xml version="1.0" encoding="utf-8"?>
<table xmlns="http://schemas.openxmlformats.org/spreadsheetml/2006/main" id="2" name="MethodSubscores" displayName="MethodSubscores" ref="A151:M199" headerRowCount="1">
  <tableColumns count="13">
    <tableColumn id="1" name="Participant_ID"/>
    <tableColumn id="2" name="Rating_Order"/>
    <tableColumn id="3" name="Shown_Label"/>
    <tableColumn id="4" name="Condition"/>
    <tableColumn id="5" name="RC3_rev"/>
    <tableColumn id="6" name="RC5_rev"/>
    <tableColumn id="7" name="UP2_rev"/>
    <tableColumn id="8" name="UP4_rev"/>
    <tableColumn id="9" name="TiA_RC_mean"/>
    <tableColumn id="10" name="TiA_UP_mean"/>
    <tableColumn id="11" name="S_TIAS_mean"/>
    <tableColumn id="12" name="Duration_s"/>
    <tableColumn id="13" name="Source_Row"/>
  </tableColumns>
  <tableStyleInfo name="TableStyleMedium2" showRowStripes="1"/>
</table>
</file>

<file path=xl/tables/table3.xml><?xml version="1.0" encoding="utf-8"?>
<table xmlns="http://schemas.openxmlformats.org/spreadsheetml/2006/main" id="3" name="ParticipantMethodAggregates" displayName="ParticipantMethodAggregates" ref="A204:V252" headerRowCount="1">
  <tableColumns count="22">
    <tableColumn id="1" name="Participant_ID"/>
    <tableColumn id="2" name="Condition"/>
    <tableColumn id="3" name="Shown_Label"/>
    <tableColumn id="4" name="Q1_mean"/>
    <tableColumn id="5" name="Q8_mean"/>
    <tableColumn id="6" name="Q2_mean"/>
    <tableColumn id="7" name="Q9_mean"/>
    <tableColumn id="8" name="Q3_mean"/>
    <tableColumn id="9" name="Q6_mean"/>
    <tableColumn id="10" name="Q7_mean"/>
    <tableColumn id="11" name="AQ_EQ_mean"/>
    <tableColumn id="12" name="AQ_IQ_mean"/>
    <tableColumn id="13" name="TiA_RC"/>
    <tableColumn id="14" name="TiA_UP"/>
    <tableColumn id="15" name="S_TIAS"/>
    <tableColumn id="16" name="Valid_Blocks"/>
    <tableColumn id="17" name="Final_Method_Choice"/>
    <tableColumn id="18" name="Final_Trust_Choice"/>
    <tableColumn id="19" name="Preference_Strength"/>
    <tableColumn id="20" name="Discrimination_Confidence"/>
    <tableColumn id="21" name="Source_Block_Rows"/>
    <tableColumn id="22" name="Source_Method_Row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table" Target="../tables/table3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FormatPr baseColWidth="8" defaultRowHeight="15"/>
  <cols>
    <col min="1" max="1" width="24" customWidth="1"/>
    <col min="2" max="2" width="24" customWidth="1"/>
    <col min="3" max="3" width="34" customWidth="1"/>
    <col min="4" max="4" width="54" customWidth="1"/>
    <col min="5" max="5" width="34" customWidth="1"/>
  </cols>
  <sheetData>
    <row r="1" ht="30" customHeight="1">
      <c r="A1" s="26" t="str">
        <v>【SYNTHETIC / 模拟数据，非真实被试证据】EgoAnchor 实验三采集与分析工作簿（v5.1 模板）</v>
      </c>
      <c r="B1" s="3" t="n"/>
      <c r="C1" s="3" t="n"/>
      <c r="D1" s="3" t="n"/>
      <c r="E1" s="3" t="n"/>
    </row>
    <row r="2" ht="74" customHeight="1">
      <c r="A2" s="33" t="inlineStr">
        <is>
          <t xml:space="preserve">唯一权威规格：2026-EgoAnchor/experiment_3_questionnaire_design_zh.md（v5.1）。本精简版保留 6 个工作表：问卷条目集中在 Questionnaire，实验记录集中在 Records（三段堆叠）。本次美化仅加入标准单元格样式、冻结窗格和基础输入校验，不在采集表中派生复合分。原始评分不得被反向分覆盖；TiA 反向计分（6−原始分）仅在分析代码中生成。</t>
        </is>
      </c>
      <c r="B2" s="3" t="n"/>
      <c r="C2" s="3" t="n"/>
      <c r="D2" s="3" t="n"/>
      <c r="E2" s="3" t="n"/>
    </row>
    <row r="3">
      <c r="A3" s="12" t="n"/>
      <c r="B3" s="12" t="n"/>
      <c r="C3" s="12" t="n"/>
      <c r="D3" s="12" t="n"/>
      <c r="E3" s="12" t="n"/>
    </row>
    <row r="4" ht="30" customHeight="1">
      <c r="A4" s="38" t="inlineStr">
        <is>
          <t xml:space="preserve">使用流程</t>
        </is>
      </c>
      <c r="B4" s="39" t="inlineStr">
        <is>
          <t xml:space="preserve">时点</t>
        </is>
      </c>
      <c r="C4" s="39" t="inlineStr">
        <is>
          <t xml:space="preserve">填写位置</t>
        </is>
      </c>
      <c r="D4" s="39" t="inlineStr">
        <is>
          <t xml:space="preserve">内容</t>
        </is>
      </c>
      <c r="E4" s="40" t="inlineStr">
        <is>
          <t xml:space="preserve">关键规则</t>
        </is>
      </c>
    </row>
    <row r="5">
      <c r="A5" s="64" t="inlineStr">
        <is>
          <t xml:space="preserve">0 背景</t>
        </is>
      </c>
      <c r="B5" s="49" t="inlineStr">
        <is>
          <t xml:space="preserve">到场、知情同意后</t>
        </is>
      </c>
      <c r="C5" s="49" t="inlineStr">
        <is>
          <t xml:space="preserve">Participants</t>
        </is>
      </c>
      <c r="D5" s="49" t="inlineStr">
        <is>
          <t xml:space="preserve">B1–B6 背景字段、纳入状态、起止时间</t>
        </is>
      </c>
      <c r="E5" s="50" t="inlineStr">
        <is>
          <t xml:space="preserve">方法映射列仅实验员可见</t>
        </is>
      </c>
    </row>
    <row r="6">
      <c r="A6" s="65" t="inlineStr">
        <is>
          <t xml:space="preserve">1 区块</t>
        </is>
      </c>
      <c r="B6" s="12" t="inlineStr">
        <is>
          <t xml:space="preserve">每个方法×物体区块三项任务完成后</t>
        </is>
      </c>
      <c r="C6" s="12" t="inlineStr">
        <is>
          <t xml:space="preserve">Records A 段</t>
        </is>
      </c>
      <c r="D6" s="12" t="inlineStr">
        <is>
          <t xml:space="preserve">13 项统一七点同意度（Q10 默认停用）</t>
        </is>
      </c>
      <c r="E6" s="52" t="inlineStr">
        <is>
          <t xml:space="preserve">任务后统一评分，不逐任务打断</t>
        </is>
      </c>
    </row>
    <row r="7">
      <c r="A7" s="65" t="inlineStr">
        <is>
          <t xml:space="preserve">2 方法级</t>
        </is>
      </c>
      <c r="B7" s="12" t="inlineStr">
        <is>
          <t xml:space="preserve">全部 6 区块完成后</t>
        </is>
      </c>
      <c r="C7" s="12" t="inlineStr">
        <is>
          <t xml:space="preserve">Records B 段</t>
        </is>
      </c>
      <c r="D7" s="12" t="inlineStr">
        <is>
          <t xml:space="preserve">按平衡顺序（S1 先 A、S2 先 B）分别评价两方法：TiA 10 + 提示页 + S-TIAS 3</t>
        </is>
      </c>
      <c r="E7" s="52" t="inlineStr">
        <is>
          <t xml:space="preserve">不得插入第 5/6 区块之间</t>
        </is>
      </c>
    </row>
    <row r="8">
      <c r="A8" s="65" t="inlineStr">
        <is>
          <t xml:space="preserve">3 最终</t>
        </is>
      </c>
      <c r="B8" s="12" t="inlineStr">
        <is>
          <t xml:space="preserve">摘下头显后</t>
        </is>
      </c>
      <c r="C8" s="12" t="inlineStr">
        <is>
          <t xml:space="preserve">Records C 段</t>
        </is>
      </c>
      <c r="D8" s="12" t="inlineStr">
        <is>
          <t xml:space="preserve">2 强制选择 + 偏好强度 + 区分信心 + 2 开放题 + 安全检查</t>
        </is>
      </c>
      <c r="E8" s="52" t="inlineStr">
        <is>
          <t xml:space="preserve">回答完成前保持匿名</t>
        </is>
      </c>
    </row>
    <row r="9">
      <c r="A9" s="65" t="inlineStr">
        <is>
          <t xml:space="preserve">4 审计</t>
        </is>
      </c>
      <c r="B9" s="12" t="inlineStr">
        <is>
          <t xml:space="preserve">每区块同步</t>
        </is>
      </c>
      <c r="C9" s="12" t="inlineStr">
        <is>
          <t xml:space="preserve">Records A 段（审计列）</t>
        </is>
      </c>
      <c r="D9" s="12" t="inlineStr">
        <is>
          <t xml:space="preserve">候选/VCD/接纳/生命周期/重获取/时长</t>
        </is>
      </c>
      <c r="E9" s="52" t="inlineStr">
        <is>
          <t xml:space="preserve">只作操纵检验，不是配准误差</t>
        </is>
      </c>
    </row>
    <row r="10">
      <c r="A10" s="66" t="inlineStr">
        <is>
          <t xml:space="preserve">5 分析</t>
        </is>
      </c>
      <c r="B10" s="54" t="inlineStr">
        <is>
          <t xml:space="preserve">采集完成后</t>
        </is>
      </c>
      <c r="C10" s="54" t="inlineStr">
        <is>
          <t xml:space="preserve">Analysis</t>
        </is>
      </c>
      <c r="D10" s="361" t="str">
        <v>已回填模拟统计结果、稳健性近似、逐物体描述、操纵检验、最终计数与开放题编码</v>
      </c>
      <c r="E10" s="55" t="inlineStr">
        <is>
          <t xml:space="preserve">正式模型在 R/Python 中运行</t>
        </is>
      </c>
    </row>
    <row r="11">
      <c r="A11" s="12" t="n"/>
      <c r="B11" s="12" t="n"/>
      <c r="C11" s="12" t="n"/>
      <c r="D11" s="12" t="n"/>
      <c r="E11" s="12" t="n"/>
    </row>
    <row r="12" ht="25" customHeight="1">
      <c r="A12" s="73" t="inlineStr">
        <is>
          <t xml:space="preserve">冻结分析家族</t>
        </is>
      </c>
      <c r="B12" s="3" t="n"/>
      <c r="C12" s="3" t="n"/>
      <c r="D12" s="3" t="n"/>
      <c r="E12" s="3" t="n"/>
    </row>
    <row r="13">
      <c r="A13" s="64" t="inlineStr">
        <is>
          <t xml:space="preserve">主证实家族（7）</t>
        </is>
      </c>
      <c r="B13" s="49" t="inlineStr">
        <is>
          <t xml:space="preserve">Q1/Q8/Q2/Q9/Q3/Q6/Q7</t>
        </is>
      </c>
      <c r="C13" s="50" t="inlineStr">
        <is>
          <t xml:space="preserve">三物体取均值 → 配对 Wilcoxon → 家族内 Holm（MDE dz=0.801）</t>
        </is>
      </c>
      <c r="D13" s="12" t="n"/>
      <c r="E13" s="12" t="n"/>
    </row>
    <row r="14">
      <c r="A14" s="65" t="inlineStr">
        <is>
          <t xml:space="preserve">已发表量表家族（5）</t>
        </is>
      </c>
      <c r="B14" s="12" t="inlineStr">
        <is>
          <t xml:space="preserve">AQ-EQ / AQ-IQ / TiA-R/C / TiA-U/P / S-TIAS</t>
        </is>
      </c>
      <c r="C14" s="52" t="inlineStr">
        <is>
          <t xml:space="preserve">同上；仅此家族报告当前样本 α/ω；TiA 反向项先换向</t>
        </is>
      </c>
      <c r="D14" s="12" t="n"/>
      <c r="E14" s="12" t="n"/>
    </row>
    <row r="15">
      <c r="A15" s="65" t="inlineStr">
        <is>
          <t xml:space="preserve">次级</t>
        </is>
      </c>
      <c r="B15" s="12" t="inlineStr">
        <is>
          <t xml:space="preserve">Q10（若预实验启用）；CLMM（方法×物体+区块位置+对象内先后+随机截距）</t>
        </is>
      </c>
      <c r="C15" s="52" t="inlineStr">
        <is>
          <t xml:space="preserve">独立分析 / 稳健性</t>
        </is>
      </c>
      <c r="D15" s="12" t="n"/>
      <c r="E15" s="12" t="n"/>
    </row>
    <row r="16">
      <c r="A16" s="66" t="inlineStr">
        <is>
          <t xml:space="preserve">描述性</t>
        </is>
      </c>
      <c r="B16" s="54" t="inlineStr">
        <is>
          <t xml:space="preserve">两项强制选择、偏好强度、区分信心、开放题主题、安全检查、运行时审计</t>
        </is>
      </c>
      <c r="C16" s="55" t="inlineStr">
        <is>
          <t xml:space="preserve">不作推断</t>
        </is>
      </c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 ht="25" customHeight="1">
      <c r="A18" s="73" t="inlineStr">
        <is>
          <t xml:space="preserve">采集前仍未完成的前置（未完成不得正式采集）</t>
        </is>
      </c>
      <c r="B18" s="3" t="n"/>
      <c r="C18" s="3" t="n"/>
      <c r="D18" s="3" t="n"/>
      <c r="E18" s="3" t="n"/>
    </row>
    <row r="19" ht="64" customHeight="1">
      <c r="A19" s="77" t="inlineStr">
        <is>
          <t xml:space="preserve"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      </is>
      </c>
    </row>
    <row r="20" ht="64" customHeight="1">
      <c r="A20" s="77" t="inlineStr">
        <is>
          <t xml:space="preserve"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3" t="n"/>
      <c r="C20" s="3" t="n"/>
      <c r="D20" s="3" t="n"/>
      <c r="E20" s="3" t="n"/>
    </row>
    <row r="21">
      <c r="A21" s="12" t="n"/>
      <c r="B21" s="12" t="n"/>
      <c r="C21" s="12" t="n"/>
      <c r="D21" s="12" t="n"/>
      <c r="E21" s="12" t="n"/>
    </row>
    <row r="22" ht="25" customHeight="1">
      <c r="A22" s="73" t="inlineStr">
        <is>
          <t xml:space="preserve">程序日志字段建议（Unity 端长格式事件日志；本表 Records 为实验员宽表）</t>
        </is>
      </c>
      <c r="B22" s="3" t="n"/>
      <c r="C22" s="3" t="n"/>
      <c r="D22" s="3" t="n"/>
      <c r="E22" s="3" t="n"/>
    </row>
    <row r="23" ht="76" customHeight="1">
      <c r="A23" s="83" t="inlineStr">
        <is>
          <t xml:space="preserve"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3" t="n"/>
      <c r="C23" s="3" t="n"/>
      <c r="D23" s="3" t="n"/>
      <c r="E23" s="3" t="n"/>
    </row>
    <row r="24">
      <c r="A24" s="12" t="n"/>
      <c r="B24" s="12" t="n"/>
      <c r="C24" s="12" t="n"/>
      <c r="D24" s="12" t="n"/>
      <c r="E24" s="12" t="n"/>
    </row>
    <row r="25" ht="48" customHeight="1">
      <c r="A25" s="77" t="inlineStr">
        <is>
          <t xml:space="preserve">提前止收规则：招募未满 24 人时按 Participants 编号顺序优先补齐整组 4 人（同一物体排列的四个单元），N 下限 18。</t>
        </is>
      </c>
      <c r="B25" s="3" t="n"/>
      <c r="C25" s="3" t="n"/>
      <c r="D25" s="3" t="n"/>
      <c r="E25" s="3" t="n"/>
    </row>
  </sheetData>
  <mergeCells>
    <mergeCell ref="A12:E12"/>
    <mergeCell ref="A20:E20"/>
    <mergeCell ref="A2:E2"/>
    <mergeCell ref="A25:E25"/>
    <mergeCell ref="A1:E1"/>
    <mergeCell ref="A23:E23"/>
    <mergeCell ref="A22:E22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baseColWidth="8" defaultRowHeight="15"/>
  <cols>
    <col min="1" max="1" width="28" customWidth="1"/>
    <col min="2" max="2" width="17" customWidth="1"/>
    <col min="3" max="3" width="84" customWidth="1"/>
    <col min="4" max="4" width="48" customWidth="1"/>
  </cols>
  <sheetData>
    <row r="1" ht="30" customHeight="1">
      <c r="A1" s="26" t="inlineStr">
        <is>
          <t xml:space="preserve">【待核对】内容核验记录（2026-07-26；依据公开原始论文、附录与官方量表来源核对）</t>
        </is>
      </c>
      <c r="B1" s="3" t="n"/>
      <c r="C1" s="3" t="n"/>
      <c r="D1" s="3" t="n"/>
    </row>
    <row r="2" ht="54" customHeight="1">
      <c r="A2" s="33" t="inlineStr">
        <is>
          <t xml:space="preserve">区分“官方原文/量尺已核对”与“对象锚定情境适配”：适配版不自动继承原量表在原场景的效度证据；正式采集前仍须完成独立回译与认知访谈。</t>
        </is>
      </c>
      <c r="B2" s="3" t="n"/>
      <c r="C2" s="3" t="n"/>
      <c r="D2" s="3" t="n"/>
    </row>
    <row r="3">
      <c r="A3" s="12" t="n"/>
      <c r="B3" s="12" t="n"/>
      <c r="C3" s="12" t="n"/>
      <c r="D3" s="12" t="n"/>
    </row>
    <row r="4" ht="30" customHeight="1">
      <c r="A4" s="38" t="inlineStr">
        <is>
          <t xml:space="preserve">核对对象</t>
        </is>
      </c>
      <c r="B4" s="39" t="inlineStr">
        <is>
          <t xml:space="preserve">状态</t>
        </is>
      </c>
      <c r="C4" s="39" t="inlineStr">
        <is>
          <t xml:space="preserve">结论/修正</t>
        </is>
      </c>
      <c r="D4" s="40" t="inlineStr">
        <is>
          <t xml:space="preserve">依据/来源</t>
        </is>
      </c>
    </row>
    <row r="5" ht="48" customHeight="1">
      <c r="A5" s="64" t="inlineStr">
        <is>
          <t xml:space="preserve">AQ 英文条目</t>
        </is>
      </c>
      <c r="B5" s="92" t="inlineStr">
        <is>
          <t xml:space="preserve">已核对</t>
        </is>
      </c>
      <c r="C5" s="49" t="inlineStr">
        <is>
          <t xml:space="preserve">原计划英文系语义转述；已替换为附录官方原文（指代为 The virtual object，对象化替换极小）</t>
        </is>
      </c>
      <c r="D5" s="50" t="inlineStr">
        <is>
          <t xml:space="preserve">doi:10.1007/s11747-025-01108-2 Appendix</t>
        </is>
      </c>
    </row>
    <row r="6" ht="48" customHeight="1">
      <c r="A6" s="65" t="inlineStr">
        <is>
          <t xml:space="preserve">AQ 量尺</t>
        </is>
      </c>
      <c r="B6" s="98" t="inlineStr">
        <is>
          <t xml:space="preserve">已核对</t>
        </is>
      </c>
      <c r="C6" s="12" t="inlineStr">
        <is>
          <t xml:space="preserve">七点：1 = I do not agree … 7 = I fully agree；中文“完全不同意–完全同意”正确</t>
        </is>
      </c>
      <c r="D6" s="52" t="inlineStr">
        <is>
          <t xml:space="preserve">同上</t>
        </is>
      </c>
    </row>
    <row r="7" ht="48" customHeight="1">
      <c r="A7" s="65" t="inlineStr">
        <is>
          <t xml:space="preserve">AQ 书目</t>
        </is>
      </c>
      <c r="B7" s="98" t="inlineStr">
        <is>
          <t xml:space="preserve">已核对</t>
        </is>
      </c>
      <c r="C7" s="12" t="inlineStr">
        <is>
          <t xml:space="preserve">Schein, K. E.; Rauschnabel, P. A.; Praxmarer-Carus, S.; Babin, B. J. Unpacking augmentation quality and local presence: Factors that drive effective augmented reality marketing. JAMS 54:49–69（2025 在线）</t>
        </is>
      </c>
      <c r="D7" s="52" t="inlineStr">
        <is>
          <t xml:space="preserve">CC BY 4.0</t>
        </is>
      </c>
    </row>
    <row r="8" ht="48" customHeight="1">
      <c r="A8" s="65" t="inlineStr">
        <is>
          <t xml:space="preserve">TiA 条目结构</t>
        </is>
      </c>
      <c r="B8" s="98" t="inlineStr">
        <is>
          <t xml:space="preserve">已核对</t>
        </is>
      </c>
      <c r="C8" s="12" t="inlineStr">
        <is>
          <t xml:space="preserve">R/C 6 项（官方条目 1,6,10,13,15,19）+ U/P 4 项（2,7,11,16）；6+4 正确、语料 7+3 系误标</t>
        </is>
      </c>
      <c r="D8" s="52" t="inlineStr">
        <is>
          <t xml:space="preserve">官方 GitHub（CC BY-SA 4.0）</t>
        </is>
      </c>
    </row>
    <row r="9" ht="48" customHeight="1">
      <c r="A9" s="65" t="inlineStr">
        <is>
          <t xml:space="preserve">TiA 反向计分</t>
        </is>
      </c>
      <c r="B9" s="98" t="inlineStr">
        <is>
          <t xml:space="preserve">已核对</t>
        </is>
      </c>
      <c r="C9" s="12" t="inlineStr">
        <is>
          <t xml:space="preserve">反向项 RC3/RC5/UP2/UP4（官方条目 10,15,7,16）；五点反向分 = 6 − 原始分</t>
        </is>
      </c>
      <c r="D9" s="52" t="inlineStr">
        <is>
          <t xml:space="preserve">同上</t>
        </is>
      </c>
    </row>
    <row r="10" ht="48" customHeight="1">
      <c r="A10" s="65" t="inlineStr">
        <is>
          <t xml:space="preserve">TiA 量尺</t>
        </is>
      </c>
      <c r="B10" s="98" t="inlineStr">
        <is>
          <t xml:space="preserve">已核对</t>
        </is>
      </c>
      <c r="C10" s="12" t="inlineStr">
        <is>
          <t xml:space="preserve">五点同意度 + 允许 No response（记缺失）</t>
        </is>
      </c>
      <c r="D10" s="52" t="inlineStr">
        <is>
          <t xml:space="preserve">同上</t>
        </is>
      </c>
    </row>
    <row r="11" ht="48" customHeight="1">
      <c r="A11" s="65" t="inlineStr">
        <is>
          <t xml:space="preserve">TiA 效度措辞</t>
        </is>
      </c>
      <c r="B11" s="103" t="inlineStr">
        <is>
          <t xml:space="preserve">需遵守</t>
        </is>
      </c>
      <c r="C11" s="12" t="inlineStr">
        <is>
          <t xml:space="preserve">英文版仍需进一步验证（德文原版才有初步心理计量证据）；论文只写 adapted TiA subscales + 当前样本信度，不得写“已验证英文/中文量表”</t>
        </is>
      </c>
      <c r="D11" s="52" t="inlineStr">
        <is>
          <t xml:space="preserve">官方 GitHub 声明</t>
        </is>
      </c>
    </row>
    <row r="12" ht="48" customHeight="1">
      <c r="A12" s="65" t="inlineStr">
        <is>
          <t xml:space="preserve">S-TIAS 条目</t>
        </is>
      </c>
      <c r="B12" s="98" t="inlineStr">
        <is>
          <t xml:space="preserve">已核对</t>
        </is>
      </c>
      <c r="C12" s="12" t="inlineStr">
        <is>
          <t xml:space="preserve">三项原文指代 the AI assistant；本研究替换为“这种对象锚定方法”→ adapted S-TIAS</t>
        </is>
      </c>
      <c r="D12" s="52" t="inlineStr">
        <is>
          <t xml:space="preserve">doi:10.3389/frai.2025.1582880</t>
        </is>
      </c>
    </row>
    <row r="13" ht="48" customHeight="1">
      <c r="A13" s="65" t="inlineStr">
        <is>
          <t xml:space="preserve">S-TIAS 量尺</t>
        </is>
      </c>
      <c r="B13" s="98" t="inlineStr">
        <is>
          <t xml:space="preserve">已核对</t>
        </is>
      </c>
      <c r="C13" s="12" t="inlineStr">
        <is>
          <t xml:space="preserve">1 = Not at all … 7 = Extremely；三项均值</t>
        </is>
      </c>
      <c r="D13" s="52" t="inlineStr">
        <is>
          <t xml:space="preserve">同上</t>
        </is>
      </c>
    </row>
    <row r="14" ht="48" customHeight="1">
      <c r="A14" s="65" t="inlineStr">
        <is>
          <t xml:space="preserve">S-TIAS 书目</t>
        </is>
      </c>
      <c r="B14" s="85" t="inlineStr">
        <is>
          <t xml:space="preserve">已核对（作者更正）</t>
        </is>
      </c>
      <c r="C14" s="12" t="inlineStr">
        <is>
          <t xml:space="preserve">McGrath, M. J.; Lack, O.; Tisch, J.; Duenser, A. Measuring trust in artificial intelligence: validation of an established scale and its short form. Frontiers in AI 8:1582880。语料曾误标为 Karpus；bib 键 mcgrath2025stias</t>
        </is>
      </c>
      <c r="D14" s="52" t="inlineStr">
        <is>
          <t xml:space="preserve">CC BY</t>
        </is>
      </c>
    </row>
    <row r="15" ht="48" customHeight="1">
      <c r="A15" s="65" t="inlineStr">
        <is>
          <t xml:space="preserve">Gottsacker 2024 书目</t>
        </is>
      </c>
      <c r="B15" s="98" t="inlineStr">
        <is>
          <t xml:space="preserve">已核对</t>
        </is>
      </c>
      <c r="C15" s="12" t="inlineStr">
        <is>
          <t xml:space="preserve"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52" t="inlineStr">
        <is>
          <t xml:space="preserve">doi:10.1016/j.cag.2024.104035</t>
        </is>
      </c>
    </row>
    <row r="16" ht="48" customHeight="1">
      <c r="A16" s="65" t="inlineStr">
        <is>
          <t xml:space="preserve">Gottsacker 2024 表述边界</t>
        </is>
      </c>
      <c r="B16" s="103" t="inlineStr">
        <is>
          <t xml:space="preserve">需遵守</t>
        </is>
      </c>
      <c r="C16" s="12" t="inlineStr">
        <is>
          <t xml:space="preserve">该研究只测试 0°/+1°/+2° 偏移与 0°/≤1°/≤2° 抖动；论文写“在测试的误差水平内每升高一级伴随信任下降”，不得外推为任意每度线性下降的连续定律</t>
        </is>
      </c>
      <c r="D16" s="52" t="inlineStr">
        <is>
          <t xml:space="preserve">同上</t>
        </is>
      </c>
    </row>
    <row r="17" ht="48" customHeight="1">
      <c r="A17" s="65" t="inlineStr">
        <is>
          <t xml:space="preserve">方法级施测时点</t>
        </is>
      </c>
      <c r="B17" s="108" t="inlineStr">
        <is>
          <t xml:space="preserve">设计修正</t>
        </is>
      </c>
      <c r="C17" s="12" t="inlineStr">
        <is>
          <t xml:space="preserve">不在第 5/6 区块之间插入先完成方法的问卷（打断第三物体紧配对、提前启动信任判断框架、位置不对称）；改为全部六区块后按 S1 先 A / S2 先 B 平衡施测</t>
        </is>
      </c>
      <c r="D17" s="52" t="inlineStr">
        <is>
          <t xml:space="preserve">设计审查（计划书〇节）</t>
        </is>
      </c>
    </row>
    <row r="18" ht="48" customHeight="1">
      <c r="A18" s="65" t="inlineStr">
        <is>
          <t xml:space="preserve">Q2 措辞</t>
        </is>
      </c>
      <c r="B18" s="108" t="inlineStr">
        <is>
          <t xml:space="preserve">本表已更新</t>
        </is>
      </c>
      <c r="C18" s="12" t="inlineStr">
        <is>
          <t xml:space="preserve">GPT 初版工作簿沿用 v4 旧措辞“保持一致运动”；本正式版按 v5.1 锐化为“始终附着在真实物体上的同一位置”（与 AQ_IQ3 平滑正交）</t>
        </is>
      </c>
      <c r="D18" s="52" t="inlineStr">
        <is>
          <t xml:space="preserve">计划书 v5.1 增补</t>
        </is>
      </c>
    </row>
    <row r="19" ht="48" customHeight="1">
      <c r="A19" s="66" t="inlineStr">
        <is>
          <t xml:space="preserve">家族命名</t>
        </is>
      </c>
      <c r="B19" s="114" t="inlineStr">
        <is>
          <t xml:space="preserve">已更名</t>
        </is>
      </c>
      <c r="C19" s="54" t="inlineStr">
        <is>
          <t xml:space="preserve">“已验证工具家族”→“已发表量表家族”（TiA 英文版验证证据有限，统称已验证过强）</t>
        </is>
      </c>
      <c r="D19" s="55" t="inlineStr">
        <is>
          <t xml:space="preserve">计划书〇节</t>
        </is>
      </c>
    </row>
    <row r="20">
      <c r="A20" t="inlineStr">
        <is>
          <t xml:space="preserve">中文施测措辞</t>
        </is>
      </c>
      <c r="B20" t="inlineStr">
        <is>
          <t xml:space="preserve">已冻结（2026-07-26）</t>
        </is>
      </c>
      <c r="C20" t="inlineStr">
        <is>
          <t xml:space="preserve"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      </is>
      </c>
      <c r="D20" t="inlineStr">
        <is>
          <t xml:space="preserve">本研究语义审计记录（计划书 4.6 核对状态）</t>
        </is>
      </c>
    </row>
  </sheetData>
  <mergeCells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baseColWidth="8" defaultRowHeight="15"/>
  <cols>
    <col min="1" max="1" width="15" customWidth="1"/>
    <col min="2" max="2" width="18" customWidth="1"/>
    <col min="3" max="3" width="23" customWidth="1"/>
    <col min="4" max="4" width="55" customWidth="1"/>
    <col min="5" max="5" width="48" customWidth="1"/>
    <col min="6" max="6" width="56" customWidth="1"/>
    <col min="7" max="7" width="18" customWidth="1"/>
    <col min="8" max="8" width="34" customWidth="1"/>
    <col min="9" max="9" width="47" customWidth="1"/>
  </cols>
  <sheetData>
    <row r="1" ht="30" customHeight="1">
      <c r="A1" s="26" t="inlineStr">
        <is>
          <t xml:space="preserve">实验三问卷全条目（v5.1 Verified）——本表为唯一条目字典，与计划书 4.2/4.4/4.5 逐字一致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58" customHeight="1">
      <c r="A2" s="33" t="inlineStr">
        <is>
          <t xml:space="preserve">中文施测版为头显/纸面呈现文本；“官方英文原文”为原量表逐字条目（自制条目无）；“对象化英文施测版”供论文附录与英文施测用。TiA 中文列回译待完成，冻结前不得正式施测。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30" customHeight="1">
      <c r="A4" s="73" t="inlineStr">
        <is>
          <t xml:space="preserve">A. 实验前背景（Participants 表填写，每人一次）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34" customHeight="1">
      <c r="A5" s="38" t="inlineStr">
        <is>
          <t xml:space="preserve">ID</t>
        </is>
      </c>
      <c r="B5" s="39" t="inlineStr">
        <is>
          <t xml:space="preserve">中文</t>
        </is>
      </c>
      <c r="C5" s="39" t="inlineStr">
        <is>
          <t xml:space="preserve">应答格式/选项</t>
        </is>
      </c>
      <c r="D5" s="126" t="n"/>
      <c r="E5" s="126" t="n"/>
      <c r="F5" s="126" t="n"/>
      <c r="G5" s="126" t="n"/>
      <c r="H5" s="126" t="n"/>
      <c r="I5" s="127" t="n"/>
    </row>
    <row r="6">
      <c r="A6" s="64" t="inlineStr">
        <is>
          <t xml:space="preserve">B1_Age</t>
        </is>
      </c>
      <c r="B6" s="49" t="inlineStr">
        <is>
          <t xml:space="preserve">年龄</t>
        </is>
      </c>
      <c r="C6" s="50" t="inlineStr">
        <is>
          <t xml:space="preserve">整数</t>
        </is>
      </c>
      <c r="D6" s="12" t="n"/>
      <c r="E6" s="12" t="n"/>
      <c r="F6" s="12" t="n"/>
      <c r="G6" s="12" t="n"/>
      <c r="H6" s="12" t="n"/>
      <c r="I6" s="12" t="n"/>
    </row>
    <row r="7">
      <c r="A7" s="65" t="inlineStr">
        <is>
          <t xml:space="preserve">B2_Gender</t>
        </is>
      </c>
      <c r="B7" s="12" t="inlineStr">
        <is>
          <t xml:space="preserve">性别</t>
        </is>
      </c>
      <c r="C7" s="52" t="inlineStr">
        <is>
          <t xml:space="preserve">女 / 男 / 非二元或其他 / 不愿透露</t>
        </is>
      </c>
      <c r="D7" s="12" t="n"/>
      <c r="E7" s="12" t="n"/>
      <c r="F7" s="12" t="n"/>
      <c r="G7" s="12" t="n"/>
      <c r="H7" s="12" t="n"/>
      <c r="I7" s="12" t="n"/>
    </row>
    <row r="8">
      <c r="A8" s="65" t="inlineStr">
        <is>
          <t xml:space="preserve">B3_Handedness</t>
        </is>
      </c>
      <c r="B8" s="12" t="inlineStr">
        <is>
          <t xml:space="preserve">主手（精细操作）</t>
        </is>
      </c>
      <c r="C8" s="52" t="inlineStr">
        <is>
          <t xml:space="preserve">右手 / 左手 / 双手均可</t>
        </is>
      </c>
      <c r="D8" s="12" t="n"/>
      <c r="E8" s="12" t="n"/>
      <c r="F8" s="12" t="n"/>
      <c r="G8" s="12" t="n"/>
      <c r="H8" s="12" t="n"/>
      <c r="I8" s="12" t="n"/>
    </row>
    <row r="9">
      <c r="A9" s="65" t="inlineStr">
        <is>
          <t xml:space="preserve">B4_Vision</t>
        </is>
      </c>
      <c r="B9" s="12" t="inlineStr">
        <is>
          <t xml:space="preserve">视力情况</t>
        </is>
      </c>
      <c r="C9" s="52" t="inlineStr">
        <is>
          <t xml:space="preserve">正常 / 矫正后正常 / 其他</t>
        </is>
      </c>
      <c r="D9" s="12" t="n"/>
      <c r="E9" s="12" t="n"/>
      <c r="F9" s="12" t="n"/>
      <c r="G9" s="12" t="n"/>
      <c r="H9" s="12" t="n"/>
      <c r="I9" s="12" t="n"/>
    </row>
    <row r="10">
      <c r="A10" s="65" t="inlineStr">
        <is>
          <t xml:space="preserve">B5_VRMR_Experience</t>
        </is>
      </c>
      <c r="B10" s="12" t="inlineStr">
        <is>
          <t xml:space="preserve">VR/MR 使用经验</t>
        </is>
      </c>
      <c r="C10" s="52" t="inlineStr">
        <is>
          <t xml:space="preserve">从未 / 1–5 次 / 6–20 次 / 超过 20 次 / 经常使用</t>
        </is>
      </c>
      <c r="D10" s="12" t="n"/>
      <c r="E10" s="12" t="n"/>
      <c r="F10" s="12" t="n"/>
      <c r="G10" s="12" t="n"/>
      <c r="H10" s="12" t="n"/>
      <c r="I10" s="12" t="n"/>
    </row>
    <row r="11">
      <c r="A11" s="66" t="inlineStr">
        <is>
          <t xml:space="preserve">B6_PhysObj_MR_Experience</t>
        </is>
      </c>
      <c r="B11" s="54" t="inlineStr">
        <is>
          <t xml:space="preserve">实物 AR/MR 交互经验（需操作真实物体的应用）</t>
        </is>
      </c>
      <c r="C11" s="55" t="inlineStr">
        <is>
          <t xml:space="preserve">从未 / 1–2 次 / 数次 / 经常</t>
        </is>
      </c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0" customHeight="1">
      <c r="A13" s="73" t="inlineStr">
        <is>
          <t xml:space="preserve">B. 区块级 13 项必答 + Q10 可选（每个方法×物体区块后；统一七点同意度；界面标题：请根据刚才在这个物体上的体验作答）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4" customHeight="1">
      <c r="A14" s="38" t="inlineStr">
        <is>
          <t xml:space="preserve">页序</t>
        </is>
      </c>
      <c r="B14" s="39" t="inlineStr">
        <is>
          <t xml:space="preserve">Item_ID</t>
        </is>
      </c>
      <c r="C14" s="39" t="inlineStr">
        <is>
          <t xml:space="preserve">简称</t>
        </is>
      </c>
      <c r="D14" s="39" t="inlineStr">
        <is>
          <t xml:space="preserve">中文施测版</t>
        </is>
      </c>
      <c r="E14" s="39" t="inlineStr">
        <is>
          <t xml:space="preserve">官方英文原文</t>
        </is>
      </c>
      <c r="F14" s="39" t="inlineStr">
        <is>
          <t xml:space="preserve">对象化英文施测版</t>
        </is>
      </c>
      <c r="G14" s="39" t="inlineStr">
        <is>
          <t xml:space="preserve">分析家族</t>
        </is>
      </c>
      <c r="H14" s="39" t="inlineStr">
        <is>
          <t xml:space="preserve">来源</t>
        </is>
      </c>
      <c r="I14" s="40" t="inlineStr">
        <is>
          <t xml:space="preserve">备注</t>
        </is>
      </c>
    </row>
    <row r="15" ht="62" customHeight="1">
      <c r="A15" s="137" t="inlineStr">
        <is>
          <t xml:space="preserve">1</t>
        </is>
      </c>
      <c r="B15" s="138" t="inlineStr">
        <is>
          <t xml:space="preserve">Q1</t>
        </is>
      </c>
      <c r="C15" s="138" t="inlineStr">
        <is>
          <t xml:space="preserve">静止稳定</t>
        </is>
      </c>
      <c r="D15" s="138" t="inlineStr">
        <is>
          <t xml:space="preserve">在静止观察阶段，虚拟内容保持在同一位置不动。</t>
        </is>
      </c>
      <c r="E15" s="138" t="inlineStr">
        <is>
          <t xml:space="preserve">—</t>
        </is>
      </c>
      <c r="F15" s="138" t="inlineStr">
        <is>
          <t xml:space="preserve">During static observation, the virtual content stayed in the same position without moving.</t>
        </is>
      </c>
      <c r="G15" s="138" t="inlineStr">
        <is>
          <t xml:space="preserve">主证实</t>
        </is>
      </c>
      <c r="H15" s="138" t="inlineStr">
        <is>
          <t xml:space="preserve">自制（v4 冻结）</t>
        </is>
      </c>
      <c r="I15" s="139" t="inlineStr">
        <is>
          <t xml:space="preserve">时间稳定性；pilot 检查“同一位置”参照系理解</t>
        </is>
      </c>
    </row>
    <row r="16" ht="62" customHeight="1">
      <c r="A16" s="137" t="inlineStr">
        <is>
          <t xml:space="preserve">2</t>
        </is>
      </c>
      <c r="B16" s="138" t="inlineStr">
        <is>
          <t xml:space="preserve">Q2</t>
        </is>
      </c>
      <c r="C16" s="138" t="inlineStr">
        <is>
          <t xml:space="preserve">运动附着</t>
        </is>
      </c>
      <c r="D16" s="138" t="inlineStr">
        <is>
          <t xml:space="preserve">在拿起、移动和旋转物体时，虚拟内容始终附着在真实物体上的同一位置。</t>
        </is>
      </c>
      <c r="E16" s="138" t="inlineStr">
        <is>
          <t xml:space="preserve">—</t>
        </is>
      </c>
      <c r="F16" s="138" t="inlineStr">
        <is>
          <t xml:space="preserve">While I picked up, moved, and rotated the object, the virtual content remained attached to the same location on the physical object.</t>
        </is>
      </c>
      <c r="G16" s="138" t="inlineStr">
        <is>
          <t xml:space="preserve">主证实</t>
        </is>
      </c>
      <c r="H16" s="138" t="inlineStr">
        <is>
          <t xml:space="preserve">自制（v5.1 锐化措辞）</t>
        </is>
      </c>
      <c r="I16" s="139" t="inlineStr">
        <is>
          <t xml:space="preserve">测附着位置恒定，与 AQ_IQ3 平滑正交；认知访谈确认区分</t>
        </is>
      </c>
    </row>
    <row r="17" ht="62" customHeight="1">
      <c r="A17" s="137" t="inlineStr">
        <is>
          <t xml:space="preserve">3</t>
        </is>
      </c>
      <c r="B17" s="138" t="inlineStr">
        <is>
          <t xml:space="preserve">Q9</t>
        </is>
      </c>
      <c r="C17" s="138" t="inlineStr">
        <is>
          <t xml:space="preserve">姿态一致</t>
        </is>
      </c>
      <c r="D17" s="138" t="inlineStr">
        <is>
          <t xml:space="preserve">旋转物体时，虚拟内容的朝向与真实物体的朝向保持一致。</t>
        </is>
      </c>
      <c r="E17" s="138" t="inlineStr">
        <is>
          <t xml:space="preserve">—</t>
        </is>
      </c>
      <c r="F17" s="138" t="inlineStr">
        <is>
          <t xml:space="preserve">While I rotated the object, the orientation of the virtual content stayed consistent with the orientation of the physical object.</t>
        </is>
      </c>
      <c r="G17" s="138" t="inlineStr">
        <is>
          <t xml:space="preserve">主证实</t>
        </is>
      </c>
      <c r="H17" s="138" t="inlineStr">
        <is>
          <t xml:space="preserve">自制（v4 冻结）</t>
        </is>
      </c>
      <c r="I17" s="139" t="inlineStr">
        <is>
          <t xml:space="preserve">旋转通道独立诊断</t>
        </is>
      </c>
    </row>
    <row r="18" ht="62" customHeight="1">
      <c r="A18" s="152" t="inlineStr">
        <is>
          <t xml:space="preserve">3'</t>
        </is>
      </c>
      <c r="B18" s="75" t="inlineStr">
        <is>
          <t xml:space="preserve">Q10_OPT</t>
        </is>
      </c>
      <c r="C18" s="75" t="inlineStr">
        <is>
          <t xml:space="preserve">放置后稳定（可选）</t>
        </is>
      </c>
      <c r="D18" s="75" t="inlineStr">
        <is>
          <t xml:space="preserve">把物体放到桌面后，虚拟内容很快就稳定下来。</t>
        </is>
      </c>
      <c r="E18" s="75" t="inlineStr">
        <is>
          <t xml:space="preserve">—</t>
        </is>
      </c>
      <c r="F18" s="75" t="inlineStr">
        <is>
          <t xml:space="preserve">After I placed the object on the table, the virtual content settled quickly.</t>
        </is>
      </c>
      <c r="G18" s="75" t="inlineStr">
        <is>
          <t xml:space="preserve">次级</t>
        </is>
      </c>
      <c r="H18" s="75" t="inlineStr">
        <is>
          <t xml:space="preserve">自制（v4 可选）</t>
        </is>
      </c>
      <c r="I18" s="153" t="inlineStr">
        <is>
          <t xml:space="preserve">默认停用；预实验冻结是否启用</t>
        </is>
      </c>
    </row>
    <row r="19" ht="62" customHeight="1">
      <c r="A19" s="160" t="inlineStr">
        <is>
          <t xml:space="preserve">4</t>
        </is>
      </c>
      <c r="B19" s="161" t="inlineStr">
        <is>
          <t xml:space="preserve">AQ_IQ2</t>
        </is>
      </c>
      <c r="C19" s="161" t="inlineStr">
        <is>
          <t xml:space="preserve">响应及时</t>
        </is>
      </c>
      <c r="D19" s="161" t="inlineStr">
        <is>
          <t xml:space="preserve">虚拟内容实时响应我对真实物体的操作。</t>
        </is>
      </c>
      <c r="E19" s="161" t="inlineStr">
        <is>
          <t xml:space="preserve">The virtual object responds in real-time.</t>
        </is>
      </c>
      <c r="F19" s="161" t="inlineStr">
        <is>
          <t xml:space="preserve">The virtual content responds in real-time to my manipulation of the physical object.</t>
        </is>
      </c>
      <c r="G19" s="161" t="inlineStr">
        <is>
          <t xml:space="preserve">已发表量表</t>
        </is>
      </c>
      <c r="H19" s="161" t="inlineStr">
        <is>
          <t xml:space="preserve">AQ Interaction Quality（对象化适配）</t>
        </is>
      </c>
      <c r="I19" s="162" t="inlineStr">
        <is>
          <t xml:space="preserve">AQ-IQ 子量表分 = IQ1/IQ2/IQ3 均值（分析派生）</t>
        </is>
      </c>
    </row>
    <row r="20" ht="62" customHeight="1">
      <c r="A20" s="160" t="inlineStr">
        <is>
          <t xml:space="preserve">5</t>
        </is>
      </c>
      <c r="B20" s="161" t="inlineStr">
        <is>
          <t xml:space="preserve">AQ_IQ3</t>
        </is>
      </c>
      <c r="C20" s="161" t="inlineStr">
        <is>
          <t xml:space="preserve">运动平滑</t>
        </is>
      </c>
      <c r="D20" s="161" t="inlineStr">
        <is>
          <t xml:space="preserve">在交互过程中，虚拟内容随真实物体平滑运动。</t>
        </is>
      </c>
      <c r="E20" s="161" t="inlineStr">
        <is>
          <t xml:space="preserve">The virtual object moves smoothly.</t>
        </is>
      </c>
      <c r="F20" s="161" t="inlineStr">
        <is>
          <t xml:space="preserve">The virtual content moves smoothly with the physical object during interaction.</t>
        </is>
      </c>
      <c r="G20" s="161" t="inlineStr">
        <is>
          <t xml:space="preserve">已发表量表</t>
        </is>
      </c>
      <c r="H20" s="161" t="inlineStr">
        <is>
          <t xml:space="preserve">AQ Interaction Quality（对象化适配）</t>
        </is>
      </c>
      <c r="I20" s="162" t="inlineStr">
        <is>
          <t xml:space="preserve"/>
        </is>
      </c>
    </row>
    <row r="21" ht="62" customHeight="1">
      <c r="A21" s="137" t="inlineStr">
        <is>
          <t xml:space="preserve">6</t>
        </is>
      </c>
      <c r="B21" s="138" t="inlineStr">
        <is>
          <t xml:space="preserve">Q3</t>
        </is>
      </c>
      <c r="C21" s="138" t="inlineStr">
        <is>
          <t xml:space="preserve">恢复一致</t>
        </is>
      </c>
      <c r="D21" s="138" t="inlineStr">
        <is>
          <t xml:space="preserve">遮挡移除后，虚拟内容恢复到了与真实物体一致的位置。</t>
        </is>
      </c>
      <c r="E21" s="138" t="inlineStr">
        <is>
          <t xml:space="preserve">—</t>
        </is>
      </c>
      <c r="F21" s="138" t="inlineStr">
        <is>
          <t xml:space="preserve">After the occlusion was removed, the virtual content recovered to a position consistent with the physical object.</t>
        </is>
      </c>
      <c r="G21" s="138" t="inlineStr">
        <is>
          <t xml:space="preserve">主证实</t>
        </is>
      </c>
      <c r="H21" s="138" t="inlineStr">
        <is>
          <t xml:space="preserve">自制（v4 冻结）</t>
        </is>
      </c>
      <c r="I21" s="139" t="inlineStr">
        <is>
          <t xml:space="preserve">恢复后空间一致性</t>
        </is>
      </c>
    </row>
    <row r="22" ht="62" customHeight="1">
      <c r="A22" s="137" t="inlineStr">
        <is>
          <t xml:space="preserve">7</t>
        </is>
      </c>
      <c r="B22" s="138" t="inlineStr">
        <is>
          <t xml:space="preserve">Q8</t>
        </is>
      </c>
      <c r="C22" s="138" t="inlineStr">
        <is>
          <t xml:space="preserve">位置正确</t>
        </is>
      </c>
      <c r="D22" s="138" t="inlineStr">
        <is>
          <t xml:space="preserve">虚拟内容出现的位置，与真实物体实际所在的位置相符。</t>
        </is>
      </c>
      <c r="E22" s="138" t="inlineStr">
        <is>
          <t xml:space="preserve">—</t>
        </is>
      </c>
      <c r="F22" s="138" t="inlineStr">
        <is>
          <t xml:space="preserve">The virtual content appeared at a position that matched where the physical object actually was.</t>
        </is>
      </c>
      <c r="G22" s="138" t="inlineStr">
        <is>
          <t xml:space="preserve">主证实</t>
        </is>
      </c>
      <c r="H22" s="138" t="inlineStr">
        <is>
          <t xml:space="preserve">自制（v4 冻结）</t>
        </is>
      </c>
      <c r="I22" s="139" t="inlineStr">
        <is>
          <t xml:space="preserve">主观空间正确性，不作客观配准误差；与 Q1 相隔五题</t>
        </is>
      </c>
    </row>
    <row r="23" ht="62" customHeight="1">
      <c r="A23" s="160" t="inlineStr">
        <is>
          <t xml:space="preserve">8</t>
        </is>
      </c>
      <c r="B23" s="161" t="inlineStr">
        <is>
          <t xml:space="preserve">AQ_EQ1</t>
        </is>
      </c>
      <c r="C23" s="161" t="inlineStr">
        <is>
          <t xml:space="preserve">融合</t>
        </is>
      </c>
      <c r="D23" s="161" t="inlineStr">
        <is>
          <t xml:space="preserve">虚拟内容与真实物体及周围真实元素自然融合。</t>
        </is>
      </c>
      <c r="E23" s="161" t="inlineStr">
        <is>
          <t xml:space="preserve">The virtual object blends in with real elements.</t>
        </is>
      </c>
      <c r="F23" s="161" t="inlineStr">
        <is>
          <t xml:space="preserve">The virtual content blends in with the physical object and surrounding real elements.</t>
        </is>
      </c>
      <c r="G23" s="161" t="inlineStr">
        <is>
          <t xml:space="preserve">已发表量表</t>
        </is>
      </c>
      <c r="H23" s="161" t="inlineStr">
        <is>
          <t xml:space="preserve">AQ Embedding Quality（对象化适配）</t>
        </is>
      </c>
      <c r="I23" s="162" t="inlineStr">
        <is>
          <t xml:space="preserve">AQ-EQ 子量表分 = EQ1/EQ2/EQ3 均值（分析派生）</t>
        </is>
      </c>
    </row>
    <row r="24" ht="62" customHeight="1">
      <c r="A24" s="160" t="inlineStr">
        <is>
          <t xml:space="preserve">9</t>
        </is>
      </c>
      <c r="B24" s="161" t="inlineStr">
        <is>
          <t xml:space="preserve">AQ_EQ2</t>
        </is>
      </c>
      <c r="C24" s="161" t="inlineStr">
        <is>
          <t xml:space="preserve">嵌入可信</t>
        </is>
      </c>
      <c r="D24" s="161" t="inlineStr">
        <is>
          <t xml:space="preserve">虚拟内容真实地嵌入在真实物体及其现实环境中。</t>
        </is>
      </c>
      <c r="E24" s="161" t="inlineStr">
        <is>
          <t xml:space="preserve">The virtual object is realistically embedded in the environment.</t>
        </is>
      </c>
      <c r="F24" s="161" t="inlineStr">
        <is>
          <t xml:space="preserve">The virtual content is realistically embedded in the physical object and its real-world context.</t>
        </is>
      </c>
      <c r="G24" s="161" t="inlineStr">
        <is>
          <t xml:space="preserve">已发表量表</t>
        </is>
      </c>
      <c r="H24" s="161" t="inlineStr">
        <is>
          <t xml:space="preserve">AQ Embedding Quality（对象化适配）</t>
        </is>
      </c>
      <c r="I24" s="162" t="inlineStr">
        <is>
          <t xml:space="preserve">接管原 Q4 合理可信构念</t>
        </is>
      </c>
    </row>
    <row r="25" ht="62" customHeight="1">
      <c r="A25" s="160" t="inlineStr">
        <is>
          <t xml:space="preserve">10</t>
        </is>
      </c>
      <c r="B25" s="161" t="inlineStr">
        <is>
          <t xml:space="preserve">AQ_EQ3</t>
        </is>
      </c>
      <c r="C25" s="161" t="inlineStr">
        <is>
          <t xml:space="preserve">尺度协调</t>
        </is>
      </c>
      <c r="D25" s="161" t="inlineStr">
        <is>
          <t xml:space="preserve">虚拟内容的尺度与真实物体及现实世界中的事物相匹配。</t>
        </is>
      </c>
      <c r="E25" s="161" t="inlineStr">
        <is>
          <t xml:space="preserve">The size of the virtual object is in scale to things in the real world.</t>
        </is>
      </c>
      <c r="F25" s="161" t="inlineStr">
        <is>
          <t xml:space="preserve">The size of the virtual content is in scale to the physical object and things in the real world.</t>
        </is>
      </c>
      <c r="G25" s="161" t="inlineStr">
        <is>
          <t xml:space="preserve">已发表量表</t>
        </is>
      </c>
      <c r="H25" s="161" t="inlineStr">
        <is>
          <t xml:space="preserve">AQ Embedding Quality（对象化适配）</t>
        </is>
      </c>
      <c r="I25" s="162" t="inlineStr">
        <is>
          <t xml:space="preserve">预期天花板；保留以维持完整子量表</t>
        </is>
      </c>
    </row>
    <row r="26" ht="62" customHeight="1">
      <c r="A26" s="160" t="inlineStr">
        <is>
          <t xml:space="preserve">11</t>
        </is>
      </c>
      <c r="B26" s="161" t="inlineStr">
        <is>
          <t xml:space="preserve">AQ_IQ1</t>
        </is>
      </c>
      <c r="C26" s="161" t="inlineStr">
        <is>
          <t xml:space="preserve">交互直观</t>
        </is>
      </c>
      <c r="D26" s="161" t="inlineStr">
        <is>
          <t xml:space="preserve">通过操作真实物体与虚拟内容进行交互是直观的。</t>
        </is>
      </c>
      <c r="E26" s="161" t="inlineStr">
        <is>
          <t xml:space="preserve">Interaction with the virtual object is intuitive.</t>
        </is>
      </c>
      <c r="F26" s="161" t="inlineStr">
        <is>
          <t xml:space="preserve">Interaction with the virtual content through manipulation of the physical object is intuitive.</t>
        </is>
      </c>
      <c r="G26" s="161" t="inlineStr">
        <is>
          <t xml:space="preserve">已发表量表</t>
        </is>
      </c>
      <c r="H26" s="161" t="inlineStr">
        <is>
          <t xml:space="preserve">AQ Interaction Quality（对象化适配）</t>
        </is>
      </c>
      <c r="I26" s="162" t="inlineStr">
        <is>
          <t xml:space="preserve"/>
        </is>
      </c>
    </row>
    <row r="27" ht="62" customHeight="1">
      <c r="A27" s="137" t="inlineStr">
        <is>
          <t xml:space="preserve">12</t>
        </is>
      </c>
      <c r="B27" s="138" t="inlineStr">
        <is>
          <t xml:space="preserve">Q6</t>
        </is>
      </c>
      <c r="C27" s="138" t="inlineStr">
        <is>
          <t xml:space="preserve">依赖意愿</t>
        </is>
      </c>
      <c r="D27" s="138" t="inlineStr">
        <is>
          <t xml:space="preserve">在需要虚拟内容准确附着于真实物体的混合现实应用中，我愿意依赖这种锚定方法。</t>
        </is>
      </c>
      <c r="E27" s="138" t="inlineStr">
        <is>
          <t xml:space="preserve">—</t>
        </is>
      </c>
      <c r="F27" s="138" t="inlineStr">
        <is>
          <t xml:space="preserve">I would be willing to rely on this anchoring method in an MR application that requires virtual content to be accurately attached to a physical object.</t>
        </is>
      </c>
      <c r="G27" s="138" t="inlineStr">
        <is>
          <t xml:space="preserve">主证实</t>
        </is>
      </c>
      <c r="H27" s="138" t="inlineStr">
        <is>
          <t xml:space="preserve">自制（v4 冻结）</t>
        </is>
      </c>
      <c r="I27" s="139" t="inlineStr">
        <is>
          <t xml:space="preserve">应用侧依赖意愿（区块级信任）</t>
        </is>
      </c>
    </row>
    <row r="28" ht="62" customHeight="1">
      <c r="A28" s="137" t="inlineStr">
        <is>
          <t xml:space="preserve">13</t>
        </is>
      </c>
      <c r="B28" s="138" t="inlineStr">
        <is>
          <t xml:space="preserve">Q7</t>
        </is>
      </c>
      <c r="C28" s="138" t="inlineStr">
        <is>
          <t xml:space="preserve">稳定-响应平衡</t>
        </is>
      </c>
      <c r="D28" s="138" t="inlineStr">
        <is>
          <t xml:space="preserve">总体而言，该方法在锚点稳定性与响应及时性之间取得了合适的平衡。</t>
        </is>
      </c>
      <c r="E28" s="138" t="inlineStr">
        <is>
          <t xml:space="preserve">—</t>
        </is>
      </c>
      <c r="F28" s="138" t="inlineStr">
        <is>
          <t xml:space="preserve">Overall, this method achieved an appropriate balance between anchor stability and responsiveness.</t>
        </is>
      </c>
      <c r="G28" s="138" t="inlineStr">
        <is>
          <t xml:space="preserve">主证实</t>
        </is>
      </c>
      <c r="H28" s="138" t="inlineStr">
        <is>
          <t xml:space="preserve">自制（v4 冻结）</t>
        </is>
      </c>
      <c r="I28" s="139" t="inlineStr">
        <is>
          <t xml:space="preserve">双构念总结项；与实验一稳定/时延结果联合解释</t>
        </is>
      </c>
    </row>
    <row r="29">
      <c r="A29" s="80" t="inlineStr">
        <is>
          <t xml:space="preserve">量尺</t>
        </is>
      </c>
      <c r="B29" s="80" t="inlineStr">
        <is>
          <t xml:space="preserve">七点同意度：1 完全不同意 … 7 完全同意</t>
        </is>
      </c>
      <c r="C29" s="80" t="inlineStr">
        <is>
          <t xml:space="preserve">同一条目在全部区块中措辞与刻度完全相同；每页一题、确认后翻页；不显示既往回答</t>
        </is>
      </c>
      <c r="D29" s="80" t="n"/>
      <c r="E29" s="80" t="n"/>
      <c r="F29" s="80" t="n"/>
      <c r="G29" s="80" t="n"/>
      <c r="H29" s="80" t="n"/>
      <c r="I29" s="8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0" customHeight="1">
      <c r="A31" s="73" t="inlineStr">
        <is>
          <t xml:space="preserve">C. 方法级（全部六区块完成后，按 S1 先 A / S2 先 B 依次评价两方法；界面标题：请根据方法 X 在全部三个物体上的整体表现作答）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175" t="inlineStr">
        <is>
          <t xml:space="preserve">C1. adapted TiA 两分量表（10 项）</t>
        </is>
      </c>
      <c r="B32" s="175" t="inlineStr">
        <is>
          <t xml:space="preserve">五点同意度：1 Strongly disagree / 2 Rather disagree / 3 Neither / 4 Rather agree / 5 Strongly agree；允许无法回答（记缺失）</t>
        </is>
      </c>
      <c r="C32" s="175" t="inlineStr">
        <is>
          <t xml:space="preserve">反向项计分 = 6 − 原始分（仅分析派生）；分量表分 = 有效条目均值；呈现按官方相对顺序交错（官方条目 1,2,6,7,10,11,13,15,16,19），参与者界面只显示中性序号第 1–10 题，下表按分量表分组仅为规格</t>
        </is>
      </c>
      <c r="D32" s="175" t="n"/>
      <c r="E32" s="175" t="n"/>
      <c r="F32" s="175" t="n"/>
      <c r="G32" s="175" t="n"/>
      <c r="H32" s="175" t="n"/>
      <c r="I32" s="175" t="n"/>
    </row>
    <row r="33" ht="34" customHeight="1">
      <c r="A33" s="38" t="inlineStr">
        <is>
          <t xml:space="preserve">Item_ID</t>
        </is>
      </c>
      <c r="B33" s="39" t="inlineStr">
        <is>
          <t xml:space="preserve">分量表</t>
        </is>
      </c>
      <c r="C33" s="39" t="inlineStr">
        <is>
          <t xml:space="preserve">官方英文原文</t>
        </is>
      </c>
      <c r="D33" s="39" t="inlineStr">
        <is>
          <t xml:space="preserve">中文施测版（已冻结）</t>
        </is>
      </c>
      <c r="E33" s="39" t="inlineStr">
        <is>
          <t xml:space="preserve">反向</t>
        </is>
      </c>
      <c r="F33" s="39" t="inlineStr">
        <is>
          <t xml:space="preserve">官方条目号</t>
        </is>
      </c>
      <c r="G33" s="39" t="n"/>
      <c r="H33" s="39" t="n"/>
      <c r="I33" s="40" t="n"/>
    </row>
    <row r="34" ht="50" customHeight="1">
      <c r="A34" s="137" t="inlineStr">
        <is>
          <t xml:space="preserve">TIA_RC1</t>
        </is>
      </c>
      <c r="B34" s="138" t="inlineStr">
        <is>
          <t xml:space="preserve">Reliability/Competence</t>
        </is>
      </c>
      <c r="C34" s="138" t="inlineStr">
        <is>
          <t xml:space="preserve">The system is capable of interpreting situations correctly.</t>
        </is>
      </c>
      <c r="D34" s="138" t="inlineStr">
        <is>
          <t xml:space="preserve">这种对象锚定方法能够正确判断当前状况。</t>
        </is>
      </c>
      <c r="E34" s="138" t="inlineStr">
        <is>
          <t xml:space="preserve">否</t>
        </is>
      </c>
      <c r="F34" s="139" t="n">
        <v>1</v>
      </c>
      <c r="G34" s="12" t="n"/>
      <c r="H34" s="12" t="n"/>
      <c r="I34" s="12" t="n"/>
    </row>
    <row r="35" ht="50" customHeight="1">
      <c r="A35" s="137" t="inlineStr">
        <is>
          <t xml:space="preserve">TIA_RC2</t>
        </is>
      </c>
      <c r="B35" s="138" t="inlineStr">
        <is>
          <t xml:space="preserve">Reliability/Competence</t>
        </is>
      </c>
      <c r="C35" s="138" t="inlineStr">
        <is>
          <t xml:space="preserve">The system works reliably.</t>
        </is>
      </c>
      <c r="D35" s="138" t="inlineStr">
        <is>
          <t xml:space="preserve">这种对象锚定方法运行可靠。</t>
        </is>
      </c>
      <c r="E35" s="138" t="inlineStr">
        <is>
          <t xml:space="preserve">否</t>
        </is>
      </c>
      <c r="F35" s="139" t="n">
        <v>6</v>
      </c>
      <c r="G35" s="12" t="n"/>
      <c r="H35" s="12" t="n"/>
      <c r="I35" s="12" t="n"/>
    </row>
    <row r="36" ht="50" customHeight="1">
      <c r="A36" s="137" t="inlineStr">
        <is>
          <t xml:space="preserve">TIA_RC3</t>
        </is>
      </c>
      <c r="B36" s="138" t="inlineStr">
        <is>
          <t xml:space="preserve">Reliability/Competence</t>
        </is>
      </c>
      <c r="C36" s="138" t="inlineStr">
        <is>
          <t xml:space="preserve">A system malfunction is likely.</t>
        </is>
      </c>
      <c r="D36" s="138" t="inlineStr">
        <is>
          <t xml:space="preserve">这种对象锚定方法很可能发生故障。</t>
        </is>
      </c>
      <c r="E36" s="180" t="inlineStr">
        <is>
          <t xml:space="preserve">是</t>
        </is>
      </c>
      <c r="F36" s="139" t="n">
        <v>10</v>
      </c>
      <c r="G36" s="12" t="n"/>
      <c r="H36" s="12" t="n"/>
      <c r="I36" s="12" t="n"/>
    </row>
    <row r="37" ht="50" customHeight="1">
      <c r="A37" s="137" t="inlineStr">
        <is>
          <t xml:space="preserve">TIA_RC4</t>
        </is>
      </c>
      <c r="B37" s="138" t="inlineStr">
        <is>
          <t xml:space="preserve">Reliability/Competence</t>
        </is>
      </c>
      <c r="C37" s="138" t="inlineStr">
        <is>
          <t xml:space="preserve">The system is capable of taking over complicated tasks.</t>
        </is>
      </c>
      <c r="D37" s="138" t="inlineStr">
        <is>
          <t xml:space="preserve">这种对象锚定方法能够承担复杂的锚定任务。</t>
        </is>
      </c>
      <c r="E37" s="138" t="inlineStr">
        <is>
          <t xml:space="preserve">否</t>
        </is>
      </c>
      <c r="F37" s="139" t="n">
        <v>13</v>
      </c>
      <c r="G37" s="12" t="n"/>
      <c r="H37" s="12" t="n"/>
      <c r="I37" s="12" t="n"/>
    </row>
    <row r="38" ht="50" customHeight="1">
      <c r="A38" s="137" t="inlineStr">
        <is>
          <t xml:space="preserve">TIA_RC5</t>
        </is>
      </c>
      <c r="B38" s="138" t="inlineStr">
        <is>
          <t xml:space="preserve">Reliability/Competence</t>
        </is>
      </c>
      <c r="C38" s="138" t="inlineStr">
        <is>
          <t xml:space="preserve">The system might make sporadic errors.</t>
        </is>
      </c>
      <c r="D38" s="138" t="inlineStr">
        <is>
          <t xml:space="preserve">这种对象锚定方法可能偶尔出错。</t>
        </is>
      </c>
      <c r="E38" s="180" t="inlineStr">
        <is>
          <t xml:space="preserve">是</t>
        </is>
      </c>
      <c r="F38" s="139" t="n">
        <v>15</v>
      </c>
      <c r="G38" s="12" t="n"/>
      <c r="H38" s="12" t="n"/>
      <c r="I38" s="12" t="n"/>
    </row>
    <row r="39" ht="50" customHeight="1">
      <c r="A39" s="137" t="inlineStr">
        <is>
          <t xml:space="preserve">TIA_RC6</t>
        </is>
      </c>
      <c r="B39" s="138" t="inlineStr">
        <is>
          <t xml:space="preserve">Reliability/Competence</t>
        </is>
      </c>
      <c r="C39" s="138" t="inlineStr">
        <is>
          <t xml:space="preserve">I am confident about the system's capabilities.</t>
        </is>
      </c>
      <c r="D39" s="138" t="inlineStr">
        <is>
          <t xml:space="preserve">我对这种对象锚定方法的能力有信心。</t>
        </is>
      </c>
      <c r="E39" s="138" t="inlineStr">
        <is>
          <t xml:space="preserve">否</t>
        </is>
      </c>
      <c r="F39" s="139" t="n">
        <v>19</v>
      </c>
      <c r="G39" s="12" t="n"/>
      <c r="H39" s="12" t="n"/>
      <c r="I39" s="12" t="n"/>
    </row>
    <row r="40" ht="50" customHeight="1">
      <c r="A40" s="185" t="inlineStr">
        <is>
          <t xml:space="preserve">TIA_UP1</t>
        </is>
      </c>
      <c r="B40" s="186" t="inlineStr">
        <is>
          <t xml:space="preserve">Understanding/Predictability</t>
        </is>
      </c>
      <c r="C40" s="186" t="inlineStr">
        <is>
          <t xml:space="preserve">The system state was always clear to me.</t>
        </is>
      </c>
      <c r="D40" s="186" t="inlineStr">
        <is>
          <t xml:space="preserve">这种对象锚定方法的状态对我来说始终清楚。</t>
        </is>
      </c>
      <c r="E40" s="186" t="inlineStr">
        <is>
          <t xml:space="preserve">否</t>
        </is>
      </c>
      <c r="F40" s="187" t="n">
        <v>2</v>
      </c>
      <c r="G40" s="12" t="n"/>
      <c r="H40" s="12" t="n"/>
      <c r="I40" s="12" t="n"/>
    </row>
    <row r="41" ht="50" customHeight="1">
      <c r="A41" s="185" t="inlineStr">
        <is>
          <t xml:space="preserve">TIA_UP2</t>
        </is>
      </c>
      <c r="B41" s="186" t="inlineStr">
        <is>
          <t xml:space="preserve">Understanding/Predictability</t>
        </is>
      </c>
      <c r="C41" s="186" t="inlineStr">
        <is>
          <t xml:space="preserve">The system reacts unpredictably.</t>
        </is>
      </c>
      <c r="D41" s="186" t="inlineStr">
        <is>
          <t xml:space="preserve">这种对象锚定方法的反应难以预测。</t>
        </is>
      </c>
      <c r="E41" s="180" t="inlineStr">
        <is>
          <t xml:space="preserve">是</t>
        </is>
      </c>
      <c r="F41" s="187" t="n">
        <v>7</v>
      </c>
      <c r="G41" s="12" t="n"/>
      <c r="H41" s="12" t="n"/>
      <c r="I41" s="12" t="n"/>
    </row>
    <row r="42" ht="50" customHeight="1">
      <c r="A42" s="185" t="inlineStr">
        <is>
          <t xml:space="preserve">TIA_UP3</t>
        </is>
      </c>
      <c r="B42" s="186" t="inlineStr">
        <is>
          <t xml:space="preserve">Understanding/Predictability</t>
        </is>
      </c>
      <c r="C42" s="186" t="inlineStr">
        <is>
          <t xml:space="preserve">I was able to understand why things happened.</t>
        </is>
      </c>
      <c r="D42" s="186" t="inlineStr">
        <is>
          <t xml:space="preserve">我能够理解为什么会出现刚才的锚定行为。</t>
        </is>
      </c>
      <c r="E42" s="186" t="inlineStr">
        <is>
          <t xml:space="preserve">否</t>
        </is>
      </c>
      <c r="F42" s="187" t="n">
        <v>11</v>
      </c>
      <c r="G42" s="12" t="n"/>
      <c r="H42" s="12" t="n"/>
      <c r="I42" s="12" t="n"/>
    </row>
    <row r="43" ht="50" customHeight="1">
      <c r="A43" s="185" t="inlineStr">
        <is>
          <t xml:space="preserve">TIA_UP4</t>
        </is>
      </c>
      <c r="B43" s="186" t="inlineStr">
        <is>
          <t xml:space="preserve">Understanding/Predictability</t>
        </is>
      </c>
      <c r="C43" s="186" t="inlineStr">
        <is>
          <t xml:space="preserve">It's difficult to identify what the system will do next.</t>
        </is>
      </c>
      <c r="D43" s="186" t="inlineStr">
        <is>
          <t xml:space="preserve">我很难判断这种对象锚定方法接下来会怎样表现。</t>
        </is>
      </c>
      <c r="E43" s="180" t="inlineStr">
        <is>
          <t xml:space="preserve">是</t>
        </is>
      </c>
      <c r="F43" s="187" t="n">
        <v>16</v>
      </c>
      <c r="G43" s="12" t="n"/>
      <c r="H43" s="12" t="n"/>
      <c r="I43" s="12" t="n"/>
    </row>
    <row r="44">
      <c r="A44" s="77" t="inlineStr">
        <is>
          <t xml:space="preserve">认知访谈最高优先：TIA_RC1（“判断状况”对低层锚定偏抽象）、TIA_RC4（“承担复杂任务”语义匹配较弱）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99" t="inlineStr">
        <is>
          <t xml:space="preserve">—— 尺度切换提示页：TiA（五点同意度）→ S-TIAS（七点程度尺），端点改变须参与者确认 ——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36" customHeight="1">
      <c r="A46" s="175" t="inlineStr">
        <is>
          <t xml:space="preserve">C2. adapted S-TIAS（3 项）</t>
        </is>
      </c>
      <c r="B46" s="175" t="inlineStr">
        <is>
          <t xml:space="preserve">七点程度尺：1 Not at all（完全没有）… 7 Extremely（非常强烈）</t>
        </is>
      </c>
      <c r="C46" s="175" t="inlineStr">
        <is>
          <t xml:space="preserve">三项均值；原研究指代 the AI assistant</t>
        </is>
      </c>
      <c r="D46" s="175" t="n"/>
      <c r="E46" s="175" t="n"/>
      <c r="F46" s="175" t="n"/>
      <c r="G46" s="175" t="n"/>
      <c r="H46" s="175" t="n"/>
      <c r="I46" s="175" t="n"/>
    </row>
    <row r="47" ht="32" customHeight="1">
      <c r="A47" s="38" t="inlineStr">
        <is>
          <t xml:space="preserve">Item_ID</t>
        </is>
      </c>
      <c r="B47" s="39" t="inlineStr">
        <is>
          <t xml:space="preserve">官方研究英文</t>
        </is>
      </c>
      <c r="C47" s="40" t="inlineStr">
        <is>
          <t xml:space="preserve">中文施测版</t>
        </is>
      </c>
      <c r="D47" s="175" t="n"/>
      <c r="E47" s="175" t="n"/>
      <c r="F47" s="175" t="n"/>
      <c r="G47" s="175" t="n"/>
      <c r="H47" s="175" t="n"/>
      <c r="I47" s="175" t="n"/>
    </row>
    <row r="48" ht="42" customHeight="1">
      <c r="A48" s="200" t="inlineStr">
        <is>
          <t xml:space="preserve">STIAS1</t>
        </is>
      </c>
      <c r="B48" s="201" t="inlineStr">
        <is>
          <t xml:space="preserve">I am confident in the AI assistant.</t>
        </is>
      </c>
      <c r="C48" s="202" t="inlineStr">
        <is>
          <t xml:space="preserve">我对这种对象锚定方法有信心。</t>
        </is>
      </c>
      <c r="D48" s="12" t="n"/>
      <c r="E48" s="12" t="n"/>
      <c r="F48" s="12" t="n"/>
      <c r="G48" s="12" t="n"/>
      <c r="H48" s="12" t="n"/>
      <c r="I48" s="12" t="n"/>
    </row>
    <row r="49" ht="42" customHeight="1">
      <c r="A49" s="158" t="inlineStr">
        <is>
          <t xml:space="preserve">STIAS2</t>
        </is>
      </c>
      <c r="B49" s="106" t="inlineStr">
        <is>
          <t xml:space="preserve">The AI assistant is reliable.</t>
        </is>
      </c>
      <c r="C49" s="159" t="inlineStr">
        <is>
          <t xml:space="preserve">这种对象锚定方法是可靠的。</t>
        </is>
      </c>
      <c r="D49" s="12" t="n"/>
      <c r="E49" s="12" t="n"/>
      <c r="F49" s="12" t="n"/>
      <c r="G49" s="12" t="n"/>
      <c r="H49" s="12" t="n"/>
      <c r="I49" s="12" t="n"/>
    </row>
    <row r="50" ht="42" customHeight="1">
      <c r="A50" s="203" t="inlineStr">
        <is>
          <t xml:space="preserve">STIAS3</t>
        </is>
      </c>
      <c r="B50" s="112" t="inlineStr">
        <is>
          <t xml:space="preserve">I can trust the AI assistant.</t>
        </is>
      </c>
      <c r="C50" s="204" t="inlineStr">
        <is>
          <t xml:space="preserve">我可以信任这种对象锚定方法。</t>
        </is>
      </c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73" t="inlineStr">
        <is>
          <t xml:space="preserve">D. 最终问卷（摘下头显后；回答完成前保持匿名；两项强制选择独立作答）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34" customHeight="1">
      <c r="A53" s="38" t="inlineStr">
        <is>
          <t xml:space="preserve">ID</t>
        </is>
      </c>
      <c r="B53" s="39" t="inlineStr">
        <is>
          <t xml:space="preserve">中文</t>
        </is>
      </c>
      <c r="C53" s="39" t="inlineStr">
        <is>
          <t xml:space="preserve">应答格式</t>
        </is>
      </c>
      <c r="D53" s="39" t="inlineStr">
        <is>
          <t xml:space="preserve">备注</t>
        </is>
      </c>
      <c r="E53" s="39" t="n"/>
      <c r="F53" s="39" t="n"/>
      <c r="G53" s="39" t="n"/>
      <c r="H53" s="39" t="n"/>
      <c r="I53" s="40" t="n"/>
    </row>
    <row r="54" ht="52" customHeight="1">
      <c r="A54" s="64" t="inlineStr">
        <is>
          <t xml:space="preserve">FINAL_METHOD_CHOICE</t>
        </is>
      </c>
      <c r="B54" s="84" t="inlineStr">
        <is>
          <t xml:space="preserve">如果需要在实际混合现实应用中使用一个对象锚定方法，你会选择哪一种？</t>
        </is>
      </c>
      <c r="C54" s="84" t="inlineStr">
        <is>
          <t xml:space="preserve">方法A / 方法B / 无明显偏好</t>
        </is>
      </c>
      <c r="D54" s="210" t="inlineStr">
        <is>
          <t xml:space="preserve">强制选择；离场后由分析代码按映射解码</t>
        </is>
      </c>
      <c r="E54" s="12" t="n"/>
      <c r="F54" s="12" t="n"/>
      <c r="G54" s="12" t="n"/>
      <c r="H54" s="12" t="n"/>
      <c r="I54" s="12" t="n"/>
    </row>
    <row r="55" ht="52" customHeight="1">
      <c r="A55" s="65" t="inlineStr">
        <is>
          <t xml:space="preserve">FINAL_PREFERENCE_STRENGTH</t>
        </is>
      </c>
      <c r="B55" s="85" t="inlineStr">
        <is>
          <t xml:space="preserve">你的选择有多明确？</t>
        </is>
      </c>
      <c r="C55" s="85" t="inlineStr">
        <is>
          <t xml:space="preserve">1 只有非常轻微的偏好 … 7 非常明确的偏好；选“无明显偏好”者跳过记 NA</t>
        </is>
      </c>
      <c r="D55" s="211" t="inlineStr">
        <is>
          <t xml:space="preserve">v5.1 新增；描述性</t>
        </is>
      </c>
      <c r="E55" s="12" t="n"/>
      <c r="F55" s="12" t="n"/>
      <c r="G55" s="12" t="n"/>
      <c r="H55" s="12" t="n"/>
      <c r="I55" s="12" t="n"/>
    </row>
    <row r="56" ht="52" customHeight="1">
      <c r="A56" s="65" t="inlineStr">
        <is>
          <t xml:space="preserve">FINAL_TRUST_CHOICE</t>
        </is>
      </c>
      <c r="B56" s="85" t="inlineStr">
        <is>
          <t xml:space="preserve">如果虚拟内容标注的位置会影响你在真实世界中的实际操作（例如提示你去拿哪个物体），你更信任哪一种方法的标注？</t>
        </is>
      </c>
      <c r="C56" s="85" t="inlineStr">
        <is>
          <t xml:space="preserve">方法A / 方法B / 无明显偏好</t>
        </is>
      </c>
      <c r="D56" s="211" t="inlineStr">
        <is>
          <t xml:space="preserve">与偏好选择独立作答；不一致本身是结果</t>
        </is>
      </c>
      <c r="E56" s="12" t="n"/>
      <c r="F56" s="12" t="n"/>
      <c r="G56" s="12" t="n"/>
      <c r="H56" s="12" t="n"/>
      <c r="I56" s="12" t="n"/>
    </row>
    <row r="57" ht="52" customHeight="1">
      <c r="A57" s="65" t="inlineStr">
        <is>
          <t xml:space="preserve">FINAL_DISCRIMINATION_CONFIDENCE</t>
        </is>
      </c>
      <c r="B57" s="85" t="inlineStr">
        <is>
          <t xml:space="preserve">你有多大信心认为自己能够感受到两种方法之间的差异？</t>
        </is>
      </c>
      <c r="C57" s="85" t="inlineStr">
        <is>
          <t xml:space="preserve">1 完全没有信心 … 7 非常有信心</t>
        </is>
      </c>
      <c r="D57" s="211" t="inlineStr">
        <is>
          <t xml:space="preserve">v5.1 新增；解释“无明显偏好”成因，兼作需求特征审计</t>
        </is>
      </c>
      <c r="E57" s="12" t="n"/>
      <c r="F57" s="12" t="n"/>
      <c r="G57" s="12" t="n"/>
      <c r="H57" s="12" t="n"/>
      <c r="I57" s="12" t="n"/>
    </row>
    <row r="58" ht="52" customHeight="1">
      <c r="A58" s="65" t="inlineStr">
        <is>
          <t xml:space="preserve">OPEN_DIFFERENCE</t>
        </is>
      </c>
      <c r="B58" s="85" t="inlineStr">
        <is>
          <t xml:space="preserve">你认为两种锚定方法之间最明显的区别是什么？</t>
        </is>
      </c>
      <c r="C58" s="85" t="inlineStr">
        <is>
          <t xml:space="preserve">开放文本</t>
        </is>
      </c>
      <c r="D58" s="211" t="inlineStr">
        <is>
          <t xml:space="preserve">主题分析</t>
        </is>
      </c>
      <c r="E58" s="12" t="n"/>
      <c r="F58" s="12" t="n"/>
      <c r="G58" s="12" t="n"/>
      <c r="H58" s="12" t="n"/>
      <c r="I58" s="12" t="n"/>
    </row>
    <row r="59" ht="52" customHeight="1">
      <c r="A59" s="65" t="inlineStr">
        <is>
          <t xml:space="preserve">OPEN_DISTRUST</t>
        </is>
      </c>
      <c r="B59" s="85" t="inlineStr">
        <is>
          <t xml:space="preserve">在使用附着于真实物体的虚拟内容时，什么现象最容易使你不再信任这个锚点？</t>
        </is>
      </c>
      <c r="C59" s="85" t="inlineStr">
        <is>
          <t xml:space="preserve">开放文本</t>
        </is>
      </c>
      <c r="D59" s="211" t="inlineStr">
        <is>
          <t xml:space="preserve">信息量最高的问题</t>
        </is>
      </c>
      <c r="E59" s="12" t="n"/>
      <c r="F59" s="12" t="n"/>
      <c r="G59" s="12" t="n"/>
      <c r="H59" s="12" t="n"/>
      <c r="I59" s="12" t="n"/>
    </row>
    <row r="60" ht="52" customHeight="1">
      <c r="A60" s="66" t="inlineStr">
        <is>
          <t xml:space="preserve">END_DISCOMFORT</t>
        </is>
      </c>
      <c r="B60" s="86" t="inlineStr">
        <is>
          <t xml:space="preserve">与实验开始前相比，你目前是否感到额外的不适？</t>
        </is>
      </c>
      <c r="C60" s="86" t="inlineStr">
        <is>
          <t xml:space="preserve">无 / 轻微 / 中等 / 明显 / 因不适中止</t>
        </is>
      </c>
      <c r="D60" s="212" t="inlineStr">
        <is>
          <t xml:space="preserve">仅安全监测与退出审计，不作因变量</t>
        </is>
      </c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1" t="inlineStr">
        <is>
          <t xml:space="preserve">E. 量尺锚点定义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 ht="30" customHeight="1">
      <c r="A63" s="121" t="inlineStr">
        <is>
          <t xml:space="preserve">agreement_7</t>
        </is>
      </c>
      <c r="B63" t="inlineStr">
        <is>
          <t xml:space="preserve">七点同意度：1 完全不同意 … 7 完全同意</t>
        </is>
      </c>
      <c r="C63" t="inlineStr">
        <is>
          <t xml:space="preserve">区块级全部条目</t>
        </is>
      </c>
    </row>
    <row r="64" ht="42" customHeight="1">
      <c r="A64" s="64" t="inlineStr">
        <is>
          <t xml:space="preserve">agreement_5</t>
        </is>
      </c>
      <c r="B64" s="226" t="inlineStr">
        <is>
          <t xml:space="preserve">五点同意度：1 Strongly disagree / 2 Rather disagree / 3 Neither / 4 Rather agree / 5 Strongly agree；允许无法回答（记缺失）</t>
        </is>
      </c>
      <c r="C64" s="227" t="inlineStr">
        <is>
          <t xml:space="preserve">TiA 10 项</t>
        </is>
      </c>
      <c r="D64" s="12" t="n"/>
      <c r="E64" s="12" t="n"/>
      <c r="F64" s="12" t="n"/>
      <c r="G64" s="12" t="n"/>
      <c r="H64" s="12" t="n"/>
      <c r="I64" s="12" t="n"/>
    </row>
    <row r="65" ht="42" customHeight="1">
      <c r="A65" s="65" t="inlineStr">
        <is>
          <t xml:space="preserve">intensity_7</t>
        </is>
      </c>
      <c r="B65" s="80" t="inlineStr">
        <is>
          <t xml:space="preserve">七点程度尺：1 Not at all（完全没有）… 7 Extremely（非常强烈）</t>
        </is>
      </c>
      <c r="C65" s="228" t="inlineStr">
        <is>
          <t xml:space="preserve">S-TIAS 3 项</t>
        </is>
      </c>
      <c r="D65" s="12" t="n"/>
      <c r="E65" s="12" t="n"/>
      <c r="F65" s="12" t="n"/>
      <c r="G65" s="12" t="n"/>
      <c r="H65" s="12" t="n"/>
      <c r="I65" s="12" t="n"/>
    </row>
    <row r="66" ht="42" customHeight="1">
      <c r="A66" s="65" t="inlineStr">
        <is>
          <t xml:space="preserve">choice_3</t>
        </is>
      </c>
      <c r="B66" s="80" t="inlineStr">
        <is>
          <t xml:space="preserve">方法A / 方法B / 无明显偏好</t>
        </is>
      </c>
      <c r="C66" s="228" t="inlineStr">
        <is>
          <t xml:space="preserve">两项强制选择</t>
        </is>
      </c>
      <c r="D66" s="12" t="n"/>
      <c r="E66" s="12" t="n"/>
      <c r="F66" s="12" t="n"/>
      <c r="G66" s="12" t="n"/>
      <c r="H66" s="12" t="n"/>
      <c r="I66" s="12" t="n"/>
    </row>
    <row r="67" ht="42" customHeight="1">
      <c r="A67" s="65" t="inlineStr">
        <is>
          <t xml:space="preserve">strength_7</t>
        </is>
      </c>
      <c r="B67" s="80" t="inlineStr">
        <is>
          <t xml:space="preserve">1 只有非常轻微的偏好 … 7 非常明确的偏好（未选方法者 NA）</t>
        </is>
      </c>
      <c r="C67" s="228" t="inlineStr">
        <is>
          <t xml:space="preserve">偏好强度</t>
        </is>
      </c>
      <c r="D67" s="12" t="n"/>
      <c r="E67" s="12" t="n"/>
      <c r="F67" s="12" t="n"/>
      <c r="G67" s="12" t="n"/>
      <c r="H67" s="12" t="n"/>
      <c r="I67" s="12" t="n"/>
    </row>
    <row r="68" ht="42" customHeight="1">
      <c r="A68" s="65" t="inlineStr">
        <is>
          <t xml:space="preserve">confidence_7</t>
        </is>
      </c>
      <c r="B68" s="80" t="inlineStr">
        <is>
          <t xml:space="preserve">1 完全没有信心 … 7 非常有信心</t>
        </is>
      </c>
      <c r="C68" s="228" t="inlineStr">
        <is>
          <t xml:space="preserve">区分信心</t>
        </is>
      </c>
      <c r="D68" s="12" t="n"/>
      <c r="E68" s="12" t="n"/>
      <c r="F68" s="12" t="n"/>
      <c r="G68" s="12" t="n"/>
      <c r="H68" s="12" t="n"/>
      <c r="I68" s="12" t="n"/>
    </row>
    <row r="69" ht="42" customHeight="1">
      <c r="A69" s="66" t="inlineStr">
        <is>
          <t xml:space="preserve">discomfort_5</t>
        </is>
      </c>
      <c r="B69" s="229" t="inlineStr">
        <is>
          <t xml:space="preserve">无 / 轻微 / 中等 / 明显 / 因不适中止</t>
        </is>
      </c>
      <c r="C69" s="230" t="inlineStr">
        <is>
          <t xml:space="preserve">安全检查</t>
        </is>
      </c>
      <c r="D69" s="12" t="n"/>
      <c r="E69" s="12" t="n"/>
      <c r="F69" s="12" t="n"/>
      <c r="G69" s="12" t="n"/>
      <c r="H69" s="12" t="n"/>
      <c r="I69" s="12" t="n"/>
    </row>
  </sheetData>
  <mergeCells>
    <mergeCell ref="A52:I52"/>
    <mergeCell ref="A2:I2"/>
    <mergeCell ref="A13:I13"/>
    <mergeCell ref="A44:I44"/>
    <mergeCell ref="A1:I1"/>
    <mergeCell ref="A45:I45"/>
    <mergeCell ref="A31:I31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baseColWidth="8" defaultRowHeight="15"/>
  <cols>
    <col min="1" max="1" width="14" customWidth="1"/>
    <col min="2" max="2" width="18" customWidth="1"/>
    <col min="3" max="3" width="11" customWidth="1"/>
    <col min="4" max="4" width="10" customWidth="1"/>
    <col min="5" max="5" width="15" customWidth="1"/>
    <col min="6" max="6" width="15" customWidth="1"/>
    <col min="7" max="7" width="15" customWidth="1"/>
    <col min="8" max="8" width="22" customWidth="1"/>
    <col min="9" max="9" width="18" customWidth="1"/>
    <col min="10" max="10" width="18" customWidth="1"/>
    <col min="11" max="11" width="18" customWidth="1"/>
    <col min="12" max="12" width="9" customWidth="1"/>
    <col min="13" max="13" width="15" customWidth="1"/>
    <col min="14" max="14" width="14" customWidth="1"/>
    <col min="15" max="15" width="16" customWidth="1"/>
    <col min="16" max="16" width="20" customWidth="1"/>
    <col min="17" max="17" width="22" customWidth="1"/>
    <col min="18" max="18" width="13" customWidth="1"/>
    <col min="19" max="19" width="15" customWidth="1"/>
    <col min="20" max="20" width="20" customWidth="1"/>
    <col min="21" max="21" width="20" customWidth="1"/>
    <col min="22" max="22" width="14" customWidth="1"/>
    <col min="23" max="23" width="22" customWidth="1"/>
    <col min="24" max="24" width="34" customWidth="1"/>
  </cols>
  <sheetData>
    <row r="1" ht="32" customHeight="1">
      <c r="A1" s="26" t="str">
        <v>【SYNTHETIC / 模拟数据】参与者信息与 24 平衡单元（不得作为真实人类受试数据报告）</v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2" customHeight="1">
      <c r="A2" s="38" t="inlineStr">
        <is>
          <t xml:space="preserve">Participant_ID</t>
        </is>
      </c>
      <c r="B2" s="39" t="inlineStr">
        <is>
          <t xml:space="preserve">平衡单元</t>
        </is>
      </c>
      <c r="C2" s="39" t="inlineStr">
        <is>
          <t xml:space="preserve">物体排列ID</t>
        </is>
      </c>
      <c r="D2" s="39" t="inlineStr">
        <is>
          <t xml:space="preserve">标签序列</t>
        </is>
      </c>
      <c r="E2" s="39" t="inlineStr">
        <is>
          <t xml:space="preserve">物体1</t>
        </is>
      </c>
      <c r="F2" s="39" t="inlineStr">
        <is>
          <t xml:space="preserve">物体2</t>
        </is>
      </c>
      <c r="G2" s="39" t="inlineStr">
        <is>
          <t xml:space="preserve">物体3</t>
        </is>
      </c>
      <c r="H2" s="39" t="inlineStr">
        <is>
          <t xml:space="preserve">区块内标签顺序</t>
        </is>
      </c>
      <c r="I2" s="39" t="inlineStr">
        <is>
          <t xml:space="preserve">方法A=（保密）</t>
        </is>
      </c>
      <c r="J2" s="39" t="inlineStr">
        <is>
          <t xml:space="preserve">方法B=（保密）</t>
        </is>
      </c>
      <c r="K2" s="39" t="inlineStr">
        <is>
          <t xml:space="preserve">先行实际方法</t>
        </is>
      </c>
      <c r="L2" s="39" t="inlineStr">
        <is>
          <t xml:space="preserve">B1_年龄</t>
        </is>
      </c>
      <c r="M2" s="39" t="inlineStr">
        <is>
          <t xml:space="preserve">B2_性别</t>
        </is>
      </c>
      <c r="N2" s="39" t="inlineStr">
        <is>
          <t xml:space="preserve">B3_主手</t>
        </is>
      </c>
      <c r="O2" s="39" t="inlineStr">
        <is>
          <t xml:space="preserve">B4_视力</t>
        </is>
      </c>
      <c r="P2" s="39" t="inlineStr">
        <is>
          <t xml:space="preserve">B5_VR/MR经验</t>
        </is>
      </c>
      <c r="Q2" s="39" t="inlineStr">
        <is>
          <t xml:space="preserve">B6_实物MR经验</t>
        </is>
      </c>
      <c r="R2" s="39" t="inlineStr">
        <is>
          <t xml:space="preserve">签署同意</t>
        </is>
      </c>
      <c r="S2" s="39" t="inlineStr">
        <is>
          <t xml:space="preserve">基线不适</t>
        </is>
      </c>
      <c r="T2" s="39" t="inlineStr">
        <is>
          <t xml:space="preserve">开始时间</t>
        </is>
      </c>
      <c r="U2" s="39" t="inlineStr">
        <is>
          <t xml:space="preserve">结束时间</t>
        </is>
      </c>
      <c r="V2" s="39" t="inlineStr">
        <is>
          <t xml:space="preserve">纳入分析</t>
        </is>
      </c>
      <c r="W2" s="39" t="inlineStr">
        <is>
          <t xml:space="preserve">退出/技术问题</t>
        </is>
      </c>
      <c r="X2" s="40" t="inlineStr">
        <is>
          <t xml:space="preserve">备注</t>
        </is>
      </c>
    </row>
    <row r="3" ht="27" customHeight="1">
      <c r="A3" s="64" t="inlineStr">
        <is>
          <t xml:space="preserve">P001</t>
        </is>
      </c>
      <c r="B3" s="90" t="inlineStr">
        <is>
          <t xml:space="preserve">O1-S1-EA</t>
        </is>
      </c>
      <c r="C3" s="90" t="n">
        <v>1</v>
      </c>
      <c r="D3" s="90" t="inlineStr">
        <is>
          <t xml:space="preserve">S1</t>
        </is>
      </c>
      <c r="E3" s="90" t="inlineStr">
        <is>
          <t xml:space="preserve">鼠标</t>
        </is>
      </c>
      <c r="F3" s="90" t="inlineStr">
        <is>
          <t xml:space="preserve">固定订书机</t>
        </is>
      </c>
      <c r="G3" s="90" t="inlineStr">
        <is>
          <t xml:space="preserve">游戏手柄</t>
        </is>
      </c>
      <c r="H3" s="90" t="inlineStr">
        <is>
          <t xml:space="preserve">A-B / B-A / A-B</t>
        </is>
      </c>
      <c r="I3" s="250" t="inlineStr">
        <is>
          <t xml:space="preserve">EgoAnchor</t>
        </is>
      </c>
      <c r="J3" s="251" t="inlineStr">
        <is>
          <t xml:space="preserve">One-Euro</t>
        </is>
      </c>
      <c r="K3" s="90" t="inlineStr">
        <is>
          <t xml:space="preserve">EgoAnchor</t>
        </is>
      </c>
      <c r="L3" s="493" t="n">
        <v>29</v>
      </c>
      <c r="M3" s="84" t="str">
        <v>男</v>
      </c>
      <c r="N3" s="84" t="str">
        <v>右手</v>
      </c>
      <c r="O3" s="84" t="str">
        <v>正常</v>
      </c>
      <c r="P3" s="84" t="str">
        <v>6–20 次</v>
      </c>
      <c r="Q3" s="84" t="str">
        <v>1–2 次</v>
      </c>
      <c r="R3" s="84" t="str">
        <v>是</v>
      </c>
      <c r="S3" s="84" t="str">
        <v>无</v>
      </c>
      <c r="T3" s="467" t="n">
        <v>46237.379166666666</v>
      </c>
      <c r="U3" s="467" t="n">
        <v>46237.42292309028</v>
      </c>
      <c r="V3" s="84" t="str">
        <v>是</v>
      </c>
      <c r="W3" s="84" t="str">
        <v>无</v>
      </c>
      <c r="X3" s="210" t="str">
        <v>模拟画像：响应敏感型；独立随机种子=570334。</v>
      </c>
    </row>
    <row r="4" ht="27" customHeight="1">
      <c r="A4" s="65" t="inlineStr">
        <is>
          <t xml:space="preserve">P002</t>
        </is>
      </c>
      <c r="B4" s="96" t="inlineStr">
        <is>
          <t xml:space="preserve">O1-S2-EA</t>
        </is>
      </c>
      <c r="C4" s="96" t="n">
        <v>1</v>
      </c>
      <c r="D4" s="96" t="inlineStr">
        <is>
          <t xml:space="preserve">S2</t>
        </is>
      </c>
      <c r="E4" s="96" t="inlineStr">
        <is>
          <t xml:space="preserve">鼠标</t>
        </is>
      </c>
      <c r="F4" s="96" t="inlineStr">
        <is>
          <t xml:space="preserve">固定订书机</t>
        </is>
      </c>
      <c r="G4" s="96" t="inlineStr">
        <is>
          <t xml:space="preserve">游戏手柄</t>
        </is>
      </c>
      <c r="H4" s="96" t="inlineStr">
        <is>
          <t xml:space="preserve">B-A / A-B / B-A</t>
        </is>
      </c>
      <c r="I4" s="152" t="inlineStr">
        <is>
          <t xml:space="preserve">EgoAnchor</t>
        </is>
      </c>
      <c r="J4" s="153" t="inlineStr">
        <is>
          <t xml:space="preserve">One-Euro</t>
        </is>
      </c>
      <c r="K4" s="96" t="inlineStr">
        <is>
          <t xml:space="preserve">One-Euro</t>
        </is>
      </c>
      <c r="L4" s="494" t="n">
        <v>33</v>
      </c>
      <c r="M4" s="85" t="str">
        <v>男</v>
      </c>
      <c r="N4" s="85" t="str">
        <v>右手</v>
      </c>
      <c r="O4" s="85" t="str">
        <v>正常</v>
      </c>
      <c r="P4" s="85" t="str">
        <v>1–5 次</v>
      </c>
      <c r="Q4" s="85" t="str">
        <v>数次</v>
      </c>
      <c r="R4" s="85" t="str">
        <v>是</v>
      </c>
      <c r="S4" s="85" t="str">
        <v>无</v>
      </c>
      <c r="T4" s="468" t="n">
        <v>46237.44375</v>
      </c>
      <c r="U4" s="468" t="n">
        <v>46237.487099039354</v>
      </c>
      <c r="V4" s="85" t="str">
        <v>是</v>
      </c>
      <c r="W4" s="85" t="str">
        <v>无</v>
      </c>
      <c r="X4" s="211" t="str">
        <v>模拟画像：稳定敏感型；独立随机种子=580341。</v>
      </c>
    </row>
    <row r="5" ht="27" customHeight="1">
      <c r="A5" s="65" t="inlineStr">
        <is>
          <t xml:space="preserve">P003</t>
        </is>
      </c>
      <c r="B5" s="96" t="inlineStr">
        <is>
          <t xml:space="preserve">O1-S2-OE</t>
        </is>
      </c>
      <c r="C5" s="96" t="n">
        <v>1</v>
      </c>
      <c r="D5" s="96" t="inlineStr">
        <is>
          <t xml:space="preserve">S2</t>
        </is>
      </c>
      <c r="E5" s="96" t="inlineStr">
        <is>
          <t xml:space="preserve">鼠标</t>
        </is>
      </c>
      <c r="F5" s="96" t="inlineStr">
        <is>
          <t xml:space="preserve">固定订书机</t>
        </is>
      </c>
      <c r="G5" s="96" t="inlineStr">
        <is>
          <t xml:space="preserve">游戏手柄</t>
        </is>
      </c>
      <c r="H5" s="96" t="inlineStr">
        <is>
          <t xml:space="preserve">B-A / A-B / B-A</t>
        </is>
      </c>
      <c r="I5" s="152" t="inlineStr">
        <is>
          <t xml:space="preserve">One-Euro</t>
        </is>
      </c>
      <c r="J5" s="153" t="inlineStr">
        <is>
          <t xml:space="preserve">EgoAnchor</t>
        </is>
      </c>
      <c r="K5" s="96" t="inlineStr">
        <is>
          <t xml:space="preserve">EgoAnchor</t>
        </is>
      </c>
      <c r="L5" s="494" t="n">
        <v>25</v>
      </c>
      <c r="M5" s="85" t="str">
        <v>男</v>
      </c>
      <c r="N5" s="85" t="str">
        <v>右手</v>
      </c>
      <c r="O5" s="85" t="str">
        <v>矫正后正常</v>
      </c>
      <c r="P5" s="85" t="str">
        <v>6–20 次</v>
      </c>
      <c r="Q5" s="85" t="str">
        <v>经常</v>
      </c>
      <c r="R5" s="85" t="str">
        <v>是</v>
      </c>
      <c r="S5" s="85" t="str">
        <v>无</v>
      </c>
      <c r="T5" s="468" t="n">
        <v>46237.56458333333</v>
      </c>
      <c r="U5" s="468" t="n">
        <v>46237.60274570602</v>
      </c>
      <c r="V5" s="85" t="str">
        <v>是</v>
      </c>
      <c r="W5" s="85" t="str">
        <v>无</v>
      </c>
      <c r="X5" s="211" t="str">
        <v>模拟画像：平衡权衡型；独立随机种子=590348。</v>
      </c>
    </row>
    <row r="6" ht="27" customHeight="1">
      <c r="A6" s="262" t="inlineStr">
        <is>
          <t xml:space="preserve">P004</t>
        </is>
      </c>
      <c r="B6" s="263" t="inlineStr">
        <is>
          <t xml:space="preserve">O1-S1-OE</t>
        </is>
      </c>
      <c r="C6" s="263" t="n">
        <v>1</v>
      </c>
      <c r="D6" s="263" t="inlineStr">
        <is>
          <t xml:space="preserve">S1</t>
        </is>
      </c>
      <c r="E6" s="263" t="inlineStr">
        <is>
          <t xml:space="preserve">鼠标</t>
        </is>
      </c>
      <c r="F6" s="263" t="inlineStr">
        <is>
          <t xml:space="preserve">固定订书机</t>
        </is>
      </c>
      <c r="G6" s="263" t="inlineStr">
        <is>
          <t xml:space="preserve">游戏手柄</t>
        </is>
      </c>
      <c r="H6" s="263" t="inlineStr">
        <is>
          <t xml:space="preserve">A-B / B-A / A-B</t>
        </is>
      </c>
      <c r="I6" s="264" t="inlineStr">
        <is>
          <t xml:space="preserve">One-Euro</t>
        </is>
      </c>
      <c r="J6" s="265" t="inlineStr">
        <is>
          <t xml:space="preserve">EgoAnchor</t>
        </is>
      </c>
      <c r="K6" s="263" t="inlineStr">
        <is>
          <t xml:space="preserve">One-Euro</t>
        </is>
      </c>
      <c r="L6" s="495" t="n">
        <v>25</v>
      </c>
      <c r="M6" s="266" t="str">
        <v>女</v>
      </c>
      <c r="N6" s="266" t="str">
        <v>右手</v>
      </c>
      <c r="O6" s="266" t="str">
        <v>正常</v>
      </c>
      <c r="P6" s="266" t="str">
        <v>1–5 次</v>
      </c>
      <c r="Q6" s="266" t="str">
        <v>1–2 次</v>
      </c>
      <c r="R6" s="266" t="str">
        <v>是</v>
      </c>
      <c r="S6" s="266" t="str">
        <v>轻微</v>
      </c>
      <c r="T6" s="469" t="n">
        <v>46237.64097222222</v>
      </c>
      <c r="U6" s="469" t="n">
        <v>46237.6842593287</v>
      </c>
      <c r="V6" s="266" t="str">
        <v>是</v>
      </c>
      <c r="W6" s="266" t="str">
        <v>无</v>
      </c>
      <c r="X6" s="266" t="str">
        <v>模拟画像：响应敏感型；独立随机种子=600355。</v>
      </c>
    </row>
    <row r="7" ht="27" customHeight="1">
      <c r="A7" s="65" t="inlineStr">
        <is>
          <t xml:space="preserve">P005</t>
        </is>
      </c>
      <c r="B7" s="96" t="inlineStr">
        <is>
          <t xml:space="preserve">O2-S1-EA</t>
        </is>
      </c>
      <c r="C7" s="96" t="n">
        <v>2</v>
      </c>
      <c r="D7" s="96" t="inlineStr">
        <is>
          <t xml:space="preserve">S1</t>
        </is>
      </c>
      <c r="E7" s="96" t="inlineStr">
        <is>
          <t xml:space="preserve">鼠标</t>
        </is>
      </c>
      <c r="F7" s="96" t="inlineStr">
        <is>
          <t xml:space="preserve">游戏手柄</t>
        </is>
      </c>
      <c r="G7" s="96" t="inlineStr">
        <is>
          <t xml:space="preserve">固定订书机</t>
        </is>
      </c>
      <c r="H7" s="96" t="inlineStr">
        <is>
          <t xml:space="preserve">A-B / B-A / A-B</t>
        </is>
      </c>
      <c r="I7" s="152" t="inlineStr">
        <is>
          <t xml:space="preserve">EgoAnchor</t>
        </is>
      </c>
      <c r="J7" s="153" t="inlineStr">
        <is>
          <t xml:space="preserve">One-Euro</t>
        </is>
      </c>
      <c r="K7" s="96" t="inlineStr">
        <is>
          <t xml:space="preserve">EgoAnchor</t>
        </is>
      </c>
      <c r="L7" s="494" t="n">
        <v>23</v>
      </c>
      <c r="M7" s="85" t="str">
        <v>女</v>
      </c>
      <c r="N7" s="85" t="str">
        <v>右手</v>
      </c>
      <c r="O7" s="85" t="str">
        <v>正常</v>
      </c>
      <c r="P7" s="85" t="str">
        <v>1–5 次</v>
      </c>
      <c r="Q7" s="85" t="str">
        <v>从未</v>
      </c>
      <c r="R7" s="85" t="str">
        <v>是</v>
      </c>
      <c r="S7" s="85" t="str">
        <v>无</v>
      </c>
      <c r="T7" s="468" t="n">
        <v>46238.379166666666</v>
      </c>
      <c r="U7" s="468" t="n">
        <v>46238.41712412037</v>
      </c>
      <c r="V7" s="85" t="str">
        <v>是</v>
      </c>
      <c r="W7" s="85" t="str">
        <v>无</v>
      </c>
      <c r="X7" s="211" t="str">
        <v>模拟画像：平衡权衡型；独立随机种子=610362。</v>
      </c>
    </row>
    <row r="8" ht="27" customHeight="1">
      <c r="A8" s="65" t="inlineStr">
        <is>
          <t xml:space="preserve">P006</t>
        </is>
      </c>
      <c r="B8" s="96" t="inlineStr">
        <is>
          <t xml:space="preserve">O2-S2-EA</t>
        </is>
      </c>
      <c r="C8" s="96" t="n">
        <v>2</v>
      </c>
      <c r="D8" s="96" t="inlineStr">
        <is>
          <t xml:space="preserve">S2</t>
        </is>
      </c>
      <c r="E8" s="96" t="inlineStr">
        <is>
          <t xml:space="preserve">鼠标</t>
        </is>
      </c>
      <c r="F8" s="96" t="inlineStr">
        <is>
          <t xml:space="preserve">游戏手柄</t>
        </is>
      </c>
      <c r="G8" s="96" t="inlineStr">
        <is>
          <t xml:space="preserve">固定订书机</t>
        </is>
      </c>
      <c r="H8" s="96" t="inlineStr">
        <is>
          <t xml:space="preserve">B-A / A-B / B-A</t>
        </is>
      </c>
      <c r="I8" s="152" t="inlineStr">
        <is>
          <t xml:space="preserve">EgoAnchor</t>
        </is>
      </c>
      <c r="J8" s="153" t="inlineStr">
        <is>
          <t xml:space="preserve">One-Euro</t>
        </is>
      </c>
      <c r="K8" s="96" t="inlineStr">
        <is>
          <t xml:space="preserve">One-Euro</t>
        </is>
      </c>
      <c r="L8" s="494" t="n">
        <v>27</v>
      </c>
      <c r="M8" s="85" t="str">
        <v>女</v>
      </c>
      <c r="N8" s="85" t="str">
        <v>右手</v>
      </c>
      <c r="O8" s="85" t="str">
        <v>矫正后正常</v>
      </c>
      <c r="P8" s="85" t="str">
        <v>6–20 次</v>
      </c>
      <c r="Q8" s="85" t="str">
        <v>从未</v>
      </c>
      <c r="R8" s="85" t="str">
        <v>是</v>
      </c>
      <c r="S8" s="85" t="str">
        <v>无</v>
      </c>
      <c r="T8" s="468" t="n">
        <v>46238.44583333333</v>
      </c>
      <c r="U8" s="468" t="n">
        <v>46238.49091795139</v>
      </c>
      <c r="V8" s="85" t="str">
        <v>是</v>
      </c>
      <c r="W8" s="85" t="str">
        <v>无</v>
      </c>
      <c r="X8" s="211" t="str">
        <v>模拟画像：平衡权衡型；独立随机种子=620369。</v>
      </c>
    </row>
    <row r="9" ht="27" customHeight="1">
      <c r="A9" s="65" t="inlineStr">
        <is>
          <t xml:space="preserve">P007</t>
        </is>
      </c>
      <c r="B9" s="96" t="inlineStr">
        <is>
          <t xml:space="preserve">O2-S2-OE</t>
        </is>
      </c>
      <c r="C9" s="96" t="n">
        <v>2</v>
      </c>
      <c r="D9" s="96" t="inlineStr">
        <is>
          <t xml:space="preserve">S2</t>
        </is>
      </c>
      <c r="E9" s="96" t="inlineStr">
        <is>
          <t xml:space="preserve">鼠标</t>
        </is>
      </c>
      <c r="F9" s="96" t="inlineStr">
        <is>
          <t xml:space="preserve">游戏手柄</t>
        </is>
      </c>
      <c r="G9" s="96" t="inlineStr">
        <is>
          <t xml:space="preserve">固定订书机</t>
        </is>
      </c>
      <c r="H9" s="96" t="inlineStr">
        <is>
          <t xml:space="preserve">B-A / A-B / B-A</t>
        </is>
      </c>
      <c r="I9" s="152" t="inlineStr">
        <is>
          <t xml:space="preserve">One-Euro</t>
        </is>
      </c>
      <c r="J9" s="153" t="inlineStr">
        <is>
          <t xml:space="preserve">EgoAnchor</t>
        </is>
      </c>
      <c r="K9" s="96" t="inlineStr">
        <is>
          <t xml:space="preserve">EgoAnchor</t>
        </is>
      </c>
      <c r="L9" s="494" t="n">
        <v>24</v>
      </c>
      <c r="M9" s="85" t="str">
        <v>男</v>
      </c>
      <c r="N9" s="85" t="str">
        <v>左手</v>
      </c>
      <c r="O9" s="85" t="str">
        <v>矫正后正常</v>
      </c>
      <c r="P9" s="85" t="str">
        <v>经常使用</v>
      </c>
      <c r="Q9" s="85" t="str">
        <v>数次</v>
      </c>
      <c r="R9" s="85" t="str">
        <v>是</v>
      </c>
      <c r="S9" s="85" t="str">
        <v>无</v>
      </c>
      <c r="T9" s="468" t="n">
        <v>46238.5625</v>
      </c>
      <c r="U9" s="468" t="n">
        <v>46238.609537372686</v>
      </c>
      <c r="V9" s="85" t="str">
        <v>是</v>
      </c>
      <c r="W9" s="85" t="str">
        <v>无</v>
      </c>
      <c r="X9" s="211" t="str">
        <v>模拟画像：稳定敏感型；独立随机种子=630376。</v>
      </c>
    </row>
    <row r="10" ht="27" customHeight="1">
      <c r="A10" s="262" t="inlineStr">
        <is>
          <t xml:space="preserve">P008</t>
        </is>
      </c>
      <c r="B10" s="263" t="inlineStr">
        <is>
          <t xml:space="preserve">O2-S1-OE</t>
        </is>
      </c>
      <c r="C10" s="263" t="n">
        <v>2</v>
      </c>
      <c r="D10" s="263" t="inlineStr">
        <is>
          <t xml:space="preserve">S1</t>
        </is>
      </c>
      <c r="E10" s="263" t="inlineStr">
        <is>
          <t xml:space="preserve">鼠标</t>
        </is>
      </c>
      <c r="F10" s="263" t="inlineStr">
        <is>
          <t xml:space="preserve">游戏手柄</t>
        </is>
      </c>
      <c r="G10" s="263" t="inlineStr">
        <is>
          <t xml:space="preserve">固定订书机</t>
        </is>
      </c>
      <c r="H10" s="263" t="inlineStr">
        <is>
          <t xml:space="preserve">A-B / B-A / A-B</t>
        </is>
      </c>
      <c r="I10" s="264" t="inlineStr">
        <is>
          <t xml:space="preserve">One-Euro</t>
        </is>
      </c>
      <c r="J10" s="265" t="inlineStr">
        <is>
          <t xml:space="preserve">EgoAnchor</t>
        </is>
      </c>
      <c r="K10" s="263" t="inlineStr">
        <is>
          <t xml:space="preserve">One-Euro</t>
        </is>
      </c>
      <c r="L10" s="495" t="n">
        <v>32</v>
      </c>
      <c r="M10" s="266" t="str">
        <v>女</v>
      </c>
      <c r="N10" s="266" t="str">
        <v>右手</v>
      </c>
      <c r="O10" s="266" t="str">
        <v>正常</v>
      </c>
      <c r="P10" s="266" t="str">
        <v>6–20 次</v>
      </c>
      <c r="Q10" s="266" t="str">
        <v>经常</v>
      </c>
      <c r="R10" s="266" t="str">
        <v>是</v>
      </c>
      <c r="S10" s="266" t="str">
        <v>轻微</v>
      </c>
      <c r="T10" s="469" t="n">
        <v>46238.63263888889</v>
      </c>
      <c r="U10" s="469" t="n">
        <v>46238.67025956018</v>
      </c>
      <c r="V10" s="266" t="str">
        <v>是</v>
      </c>
      <c r="W10" s="266" t="str">
        <v>无</v>
      </c>
      <c r="X10" s="266" t="str">
        <v>模拟画像：低区分/谨慎型；独立随机种子=640383。</v>
      </c>
    </row>
    <row r="11" ht="27" customHeight="1">
      <c r="A11" s="65" t="inlineStr">
        <is>
          <t xml:space="preserve">P009</t>
        </is>
      </c>
      <c r="B11" s="96" t="inlineStr">
        <is>
          <t xml:space="preserve">O3-S1-EA</t>
        </is>
      </c>
      <c r="C11" s="96" t="n">
        <v>3</v>
      </c>
      <c r="D11" s="96" t="inlineStr">
        <is>
          <t xml:space="preserve">S1</t>
        </is>
      </c>
      <c r="E11" s="96" t="inlineStr">
        <is>
          <t xml:space="preserve">固定订书机</t>
        </is>
      </c>
      <c r="F11" s="96" t="inlineStr">
        <is>
          <t xml:space="preserve">鼠标</t>
        </is>
      </c>
      <c r="G11" s="96" t="inlineStr">
        <is>
          <t xml:space="preserve">游戏手柄</t>
        </is>
      </c>
      <c r="H11" s="96" t="inlineStr">
        <is>
          <t xml:space="preserve">A-B / B-A / A-B</t>
        </is>
      </c>
      <c r="I11" s="152" t="inlineStr">
        <is>
          <t xml:space="preserve">EgoAnchor</t>
        </is>
      </c>
      <c r="J11" s="153" t="inlineStr">
        <is>
          <t xml:space="preserve">One-Euro</t>
        </is>
      </c>
      <c r="K11" s="96" t="inlineStr">
        <is>
          <t xml:space="preserve">EgoAnchor</t>
        </is>
      </c>
      <c r="L11" s="494" t="n">
        <v>27</v>
      </c>
      <c r="M11" s="85" t="str">
        <v>男</v>
      </c>
      <c r="N11" s="85" t="str">
        <v>右手</v>
      </c>
      <c r="O11" s="85" t="str">
        <v>矫正后正常</v>
      </c>
      <c r="P11" s="85" t="str">
        <v>6–20 次</v>
      </c>
      <c r="Q11" s="85" t="str">
        <v>1–2 次</v>
      </c>
      <c r="R11" s="85" t="str">
        <v>是</v>
      </c>
      <c r="S11" s="85" t="str">
        <v>无</v>
      </c>
      <c r="T11" s="468" t="n">
        <v>46239.375</v>
      </c>
      <c r="U11" s="468" t="n">
        <v>46239.414346006946</v>
      </c>
      <c r="V11" s="85" t="str">
        <v>是</v>
      </c>
      <c r="W11" s="85" t="str">
        <v>无</v>
      </c>
      <c r="X11" s="211" t="str">
        <v>模拟画像：响应敏感型；独立随机种子=650390。</v>
      </c>
    </row>
    <row r="12" ht="27" customHeight="1">
      <c r="A12" s="65" t="inlineStr">
        <is>
          <t xml:space="preserve">P010</t>
        </is>
      </c>
      <c r="B12" s="96" t="inlineStr">
        <is>
          <t xml:space="preserve">O3-S2-EA</t>
        </is>
      </c>
      <c r="C12" s="96" t="n">
        <v>3</v>
      </c>
      <c r="D12" s="96" t="inlineStr">
        <is>
          <t xml:space="preserve">S2</t>
        </is>
      </c>
      <c r="E12" s="96" t="inlineStr">
        <is>
          <t xml:space="preserve">固定订书机</t>
        </is>
      </c>
      <c r="F12" s="96" t="inlineStr">
        <is>
          <t xml:space="preserve">鼠标</t>
        </is>
      </c>
      <c r="G12" s="96" t="inlineStr">
        <is>
          <t xml:space="preserve">游戏手柄</t>
        </is>
      </c>
      <c r="H12" s="96" t="inlineStr">
        <is>
          <t xml:space="preserve">B-A / A-B / B-A</t>
        </is>
      </c>
      <c r="I12" s="152" t="inlineStr">
        <is>
          <t xml:space="preserve">EgoAnchor</t>
        </is>
      </c>
      <c r="J12" s="153" t="inlineStr">
        <is>
          <t xml:space="preserve">One-Euro</t>
        </is>
      </c>
      <c r="K12" s="96" t="inlineStr">
        <is>
          <t xml:space="preserve">One-Euro</t>
        </is>
      </c>
      <c r="L12" s="494" t="n">
        <v>33</v>
      </c>
      <c r="M12" s="85" t="str">
        <v>女</v>
      </c>
      <c r="N12" s="85" t="str">
        <v>右手</v>
      </c>
      <c r="O12" s="85" t="str">
        <v>矫正后正常</v>
      </c>
      <c r="P12" s="85" t="str">
        <v>经常使用</v>
      </c>
      <c r="Q12" s="85" t="str">
        <v>1–2 次</v>
      </c>
      <c r="R12" s="85" t="str">
        <v>是</v>
      </c>
      <c r="S12" s="85" t="str">
        <v>无</v>
      </c>
      <c r="T12" s="468" t="n">
        <v>46239.447222222225</v>
      </c>
      <c r="U12" s="468" t="n">
        <v>46239.48643494213</v>
      </c>
      <c r="V12" s="85" t="str">
        <v>是</v>
      </c>
      <c r="W12" s="85" t="str">
        <v>无</v>
      </c>
      <c r="X12" s="211" t="str">
        <v>模拟画像：平衡权衡型；独立随机种子=660397。</v>
      </c>
    </row>
    <row r="13" ht="27" customHeight="1">
      <c r="A13" s="65" t="inlineStr">
        <is>
          <t xml:space="preserve">P011</t>
        </is>
      </c>
      <c r="B13" s="96" t="inlineStr">
        <is>
          <t xml:space="preserve">O3-S2-OE</t>
        </is>
      </c>
      <c r="C13" s="96" t="n">
        <v>3</v>
      </c>
      <c r="D13" s="96" t="inlineStr">
        <is>
          <t xml:space="preserve">S2</t>
        </is>
      </c>
      <c r="E13" s="96" t="inlineStr">
        <is>
          <t xml:space="preserve">固定订书机</t>
        </is>
      </c>
      <c r="F13" s="96" t="inlineStr">
        <is>
          <t xml:space="preserve">鼠标</t>
        </is>
      </c>
      <c r="G13" s="96" t="inlineStr">
        <is>
          <t xml:space="preserve">游戏手柄</t>
        </is>
      </c>
      <c r="H13" s="96" t="inlineStr">
        <is>
          <t xml:space="preserve">B-A / A-B / B-A</t>
        </is>
      </c>
      <c r="I13" s="152" t="inlineStr">
        <is>
          <t xml:space="preserve">One-Euro</t>
        </is>
      </c>
      <c r="J13" s="153" t="inlineStr">
        <is>
          <t xml:space="preserve">EgoAnchor</t>
        </is>
      </c>
      <c r="K13" s="96" t="inlineStr">
        <is>
          <t xml:space="preserve">EgoAnchor</t>
        </is>
      </c>
      <c r="L13" s="494" t="n">
        <v>28</v>
      </c>
      <c r="M13" s="85" t="str">
        <v>女</v>
      </c>
      <c r="N13" s="85" t="str">
        <v>左手</v>
      </c>
      <c r="O13" s="85" t="str">
        <v>正常</v>
      </c>
      <c r="P13" s="85" t="str">
        <v>经常使用</v>
      </c>
      <c r="Q13" s="85" t="str">
        <v>从未</v>
      </c>
      <c r="R13" s="85" t="str">
        <v>是</v>
      </c>
      <c r="S13" s="85" t="str">
        <v>无</v>
      </c>
      <c r="T13" s="468" t="n">
        <v>46239.56458333333</v>
      </c>
      <c r="U13" s="468" t="n">
        <v>46239.60534059028</v>
      </c>
      <c r="V13" s="85" t="str">
        <v>是</v>
      </c>
      <c r="W13" s="85" t="str">
        <v>无</v>
      </c>
      <c r="X13" s="211" t="str">
        <v>模拟画像：稳定敏感型；独立随机种子=670404。</v>
      </c>
    </row>
    <row r="14" ht="27" customHeight="1">
      <c r="A14" s="262" t="inlineStr">
        <is>
          <t xml:space="preserve">P012</t>
        </is>
      </c>
      <c r="B14" s="263" t="inlineStr">
        <is>
          <t xml:space="preserve">O3-S1-OE</t>
        </is>
      </c>
      <c r="C14" s="263" t="n">
        <v>3</v>
      </c>
      <c r="D14" s="263" t="inlineStr">
        <is>
          <t xml:space="preserve">S1</t>
        </is>
      </c>
      <c r="E14" s="263" t="inlineStr">
        <is>
          <t xml:space="preserve">固定订书机</t>
        </is>
      </c>
      <c r="F14" s="263" t="inlineStr">
        <is>
          <t xml:space="preserve">鼠标</t>
        </is>
      </c>
      <c r="G14" s="263" t="inlineStr">
        <is>
          <t xml:space="preserve">游戏手柄</t>
        </is>
      </c>
      <c r="H14" s="263" t="inlineStr">
        <is>
          <t xml:space="preserve">A-B / B-A / A-B</t>
        </is>
      </c>
      <c r="I14" s="264" t="inlineStr">
        <is>
          <t xml:space="preserve">One-Euro</t>
        </is>
      </c>
      <c r="J14" s="265" t="inlineStr">
        <is>
          <t xml:space="preserve">EgoAnchor</t>
        </is>
      </c>
      <c r="K14" s="263" t="inlineStr">
        <is>
          <t xml:space="preserve">One-Euro</t>
        </is>
      </c>
      <c r="L14" s="495" t="n">
        <v>30</v>
      </c>
      <c r="M14" s="266" t="str">
        <v>男</v>
      </c>
      <c r="N14" s="266" t="str">
        <v>右手</v>
      </c>
      <c r="O14" s="266" t="str">
        <v>正常</v>
      </c>
      <c r="P14" s="266" t="str">
        <v>经常使用</v>
      </c>
      <c r="Q14" s="266" t="str">
        <v>1–2 次</v>
      </c>
      <c r="R14" s="266" t="str">
        <v>是</v>
      </c>
      <c r="S14" s="266" t="str">
        <v>无</v>
      </c>
      <c r="T14" s="469" t="n">
        <v>46239.64027777778</v>
      </c>
      <c r="U14" s="469" t="n">
        <v>46239.684863090275</v>
      </c>
      <c r="V14" s="266" t="str">
        <v>是</v>
      </c>
      <c r="W14" s="266" t="str">
        <v>无</v>
      </c>
      <c r="X14" s="266" t="str">
        <v>模拟画像：稳定敏感型；独立随机种子=680411。</v>
      </c>
    </row>
    <row r="15" ht="27" customHeight="1">
      <c r="A15" s="65" t="inlineStr">
        <is>
          <t xml:space="preserve">P013</t>
        </is>
      </c>
      <c r="B15" s="96" t="inlineStr">
        <is>
          <t xml:space="preserve">O4-S1-EA</t>
        </is>
      </c>
      <c r="C15" s="96" t="n">
        <v>4</v>
      </c>
      <c r="D15" s="96" t="inlineStr">
        <is>
          <t xml:space="preserve">S1</t>
        </is>
      </c>
      <c r="E15" s="96" t="inlineStr">
        <is>
          <t xml:space="preserve">固定订书机</t>
        </is>
      </c>
      <c r="F15" s="96" t="inlineStr">
        <is>
          <t xml:space="preserve">游戏手柄</t>
        </is>
      </c>
      <c r="G15" s="96" t="inlineStr">
        <is>
          <t xml:space="preserve">鼠标</t>
        </is>
      </c>
      <c r="H15" s="96" t="inlineStr">
        <is>
          <t xml:space="preserve">A-B / B-A / A-B</t>
        </is>
      </c>
      <c r="I15" s="152" t="inlineStr">
        <is>
          <t xml:space="preserve">EgoAnchor</t>
        </is>
      </c>
      <c r="J15" s="153" t="inlineStr">
        <is>
          <t xml:space="preserve">One-Euro</t>
        </is>
      </c>
      <c r="K15" s="96" t="inlineStr">
        <is>
          <t xml:space="preserve">EgoAnchor</t>
        </is>
      </c>
      <c r="L15" s="494" t="n">
        <v>26</v>
      </c>
      <c r="M15" s="85" t="str">
        <v>男</v>
      </c>
      <c r="N15" s="85" t="str">
        <v>左手</v>
      </c>
      <c r="O15" s="85" t="str">
        <v>矫正后正常</v>
      </c>
      <c r="P15" s="85" t="str">
        <v>从未</v>
      </c>
      <c r="Q15" s="85" t="str">
        <v>1–2 次</v>
      </c>
      <c r="R15" s="85" t="str">
        <v>是</v>
      </c>
      <c r="S15" s="85" t="str">
        <v>无</v>
      </c>
      <c r="T15" s="468" t="n">
        <v>46240.37013888889</v>
      </c>
      <c r="U15" s="468" t="n">
        <v>46240.42176653935</v>
      </c>
      <c r="V15" s="85" t="str">
        <v>是</v>
      </c>
      <c r="W15" s="85" t="str">
        <v>无</v>
      </c>
      <c r="X15" s="211" t="str">
        <v>模拟画像：低区分/谨慎型；独立随机种子=690418。</v>
      </c>
    </row>
    <row r="16" ht="27" customHeight="1">
      <c r="A16" s="65" t="inlineStr">
        <is>
          <t xml:space="preserve">P014</t>
        </is>
      </c>
      <c r="B16" s="96" t="inlineStr">
        <is>
          <t xml:space="preserve">O4-S2-EA</t>
        </is>
      </c>
      <c r="C16" s="96" t="n">
        <v>4</v>
      </c>
      <c r="D16" s="96" t="inlineStr">
        <is>
          <t xml:space="preserve">S2</t>
        </is>
      </c>
      <c r="E16" s="96" t="inlineStr">
        <is>
          <t xml:space="preserve">固定订书机</t>
        </is>
      </c>
      <c r="F16" s="96" t="inlineStr">
        <is>
          <t xml:space="preserve">游戏手柄</t>
        </is>
      </c>
      <c r="G16" s="96" t="inlineStr">
        <is>
          <t xml:space="preserve">鼠标</t>
        </is>
      </c>
      <c r="H16" s="96" t="inlineStr">
        <is>
          <t xml:space="preserve">B-A / A-B / B-A</t>
        </is>
      </c>
      <c r="I16" s="152" t="inlineStr">
        <is>
          <t xml:space="preserve">EgoAnchor</t>
        </is>
      </c>
      <c r="J16" s="153" t="inlineStr">
        <is>
          <t xml:space="preserve">One-Euro</t>
        </is>
      </c>
      <c r="K16" s="96" t="inlineStr">
        <is>
          <t xml:space="preserve">One-Euro</t>
        </is>
      </c>
      <c r="L16" s="494" t="n">
        <v>31</v>
      </c>
      <c r="M16" s="85" t="str">
        <v>女</v>
      </c>
      <c r="N16" s="85" t="str">
        <v>右手</v>
      </c>
      <c r="O16" s="85" t="str">
        <v>正常</v>
      </c>
      <c r="P16" s="85" t="str">
        <v>经常使用</v>
      </c>
      <c r="Q16" s="85" t="str">
        <v>从未</v>
      </c>
      <c r="R16" s="85" t="str">
        <v>是</v>
      </c>
      <c r="S16" s="85" t="str">
        <v>无</v>
      </c>
      <c r="T16" s="468" t="n">
        <v>46240.44861111111</v>
      </c>
      <c r="U16" s="468" t="n">
        <v>46240.48883436342</v>
      </c>
      <c r="V16" s="85" t="str">
        <v>是</v>
      </c>
      <c r="W16" s="85" t="str">
        <v>无</v>
      </c>
      <c r="X16" s="211" t="str">
        <v>模拟画像：稳定敏感型；独立随机种子=700425。</v>
      </c>
    </row>
    <row r="17" ht="27" customHeight="1">
      <c r="A17" s="65" t="inlineStr">
        <is>
          <t xml:space="preserve">P015</t>
        </is>
      </c>
      <c r="B17" s="96" t="inlineStr">
        <is>
          <t xml:space="preserve">O4-S2-OE</t>
        </is>
      </c>
      <c r="C17" s="96" t="n">
        <v>4</v>
      </c>
      <c r="D17" s="96" t="inlineStr">
        <is>
          <t xml:space="preserve">S2</t>
        </is>
      </c>
      <c r="E17" s="96" t="inlineStr">
        <is>
          <t xml:space="preserve">固定订书机</t>
        </is>
      </c>
      <c r="F17" s="96" t="inlineStr">
        <is>
          <t xml:space="preserve">游戏手柄</t>
        </is>
      </c>
      <c r="G17" s="96" t="inlineStr">
        <is>
          <t xml:space="preserve">鼠标</t>
        </is>
      </c>
      <c r="H17" s="96" t="inlineStr">
        <is>
          <t xml:space="preserve">B-A / A-B / B-A</t>
        </is>
      </c>
      <c r="I17" s="152" t="inlineStr">
        <is>
          <t xml:space="preserve">One-Euro</t>
        </is>
      </c>
      <c r="J17" s="153" t="inlineStr">
        <is>
          <t xml:space="preserve">EgoAnchor</t>
        </is>
      </c>
      <c r="K17" s="96" t="inlineStr">
        <is>
          <t xml:space="preserve">EgoAnchor</t>
        </is>
      </c>
      <c r="L17" s="494" t="n">
        <v>23</v>
      </c>
      <c r="M17" s="85" t="str">
        <v>男</v>
      </c>
      <c r="N17" s="85" t="str">
        <v>右手</v>
      </c>
      <c r="O17" s="85" t="str">
        <v>正常</v>
      </c>
      <c r="P17" s="85" t="str">
        <v>从未</v>
      </c>
      <c r="Q17" s="85" t="str">
        <v>从未</v>
      </c>
      <c r="R17" s="85" t="str">
        <v>是</v>
      </c>
      <c r="S17" s="85" t="str">
        <v>无</v>
      </c>
      <c r="T17" s="468" t="n">
        <v>46240.56527777778</v>
      </c>
      <c r="U17" s="468" t="n">
        <v>46240.60719077546</v>
      </c>
      <c r="V17" s="85" t="str">
        <v>是</v>
      </c>
      <c r="W17" s="85" t="str">
        <v>无</v>
      </c>
      <c r="X17" s="211" t="str">
        <v>模拟画像：稳定敏感型；独立随机种子=710432。</v>
      </c>
    </row>
    <row r="18" ht="27" customHeight="1">
      <c r="A18" s="262" t="inlineStr">
        <is>
          <t xml:space="preserve">P016</t>
        </is>
      </c>
      <c r="B18" s="263" t="inlineStr">
        <is>
          <t xml:space="preserve">O4-S1-OE</t>
        </is>
      </c>
      <c r="C18" s="263" t="n">
        <v>4</v>
      </c>
      <c r="D18" s="263" t="inlineStr">
        <is>
          <t xml:space="preserve">S1</t>
        </is>
      </c>
      <c r="E18" s="263" t="inlineStr">
        <is>
          <t xml:space="preserve">固定订书机</t>
        </is>
      </c>
      <c r="F18" s="263" t="inlineStr">
        <is>
          <t xml:space="preserve">游戏手柄</t>
        </is>
      </c>
      <c r="G18" s="263" t="inlineStr">
        <is>
          <t xml:space="preserve">鼠标</t>
        </is>
      </c>
      <c r="H18" s="263" t="inlineStr">
        <is>
          <t xml:space="preserve">A-B / B-A / A-B</t>
        </is>
      </c>
      <c r="I18" s="264" t="inlineStr">
        <is>
          <t xml:space="preserve">One-Euro</t>
        </is>
      </c>
      <c r="J18" s="265" t="inlineStr">
        <is>
          <t xml:space="preserve">EgoAnchor</t>
        </is>
      </c>
      <c r="K18" s="263" t="inlineStr">
        <is>
          <t xml:space="preserve">One-Euro</t>
        </is>
      </c>
      <c r="L18" s="495" t="n">
        <v>28</v>
      </c>
      <c r="M18" s="266" t="str">
        <v>女</v>
      </c>
      <c r="N18" s="266" t="str">
        <v>右手</v>
      </c>
      <c r="O18" s="266" t="str">
        <v>矫正后正常</v>
      </c>
      <c r="P18" s="266" t="str">
        <v>6–20 次</v>
      </c>
      <c r="Q18" s="266" t="str">
        <v>1–2 次</v>
      </c>
      <c r="R18" s="266" t="str">
        <v>是</v>
      </c>
      <c r="S18" s="266" t="str">
        <v>无</v>
      </c>
      <c r="T18" s="469" t="n">
        <v>46240.63402777778</v>
      </c>
      <c r="U18" s="469" t="n">
        <v>46240.6792524537</v>
      </c>
      <c r="V18" s="266" t="str">
        <v>是</v>
      </c>
      <c r="W18" s="266" t="str">
        <v>无</v>
      </c>
      <c r="X18" s="266" t="str">
        <v>模拟画像：稳定敏感型；独立随机种子=720439。</v>
      </c>
    </row>
    <row r="19" ht="27" customHeight="1">
      <c r="A19" s="65" t="inlineStr">
        <is>
          <t xml:space="preserve">P017</t>
        </is>
      </c>
      <c r="B19" s="96" t="inlineStr">
        <is>
          <t xml:space="preserve">O5-S1-EA</t>
        </is>
      </c>
      <c r="C19" s="96" t="n">
        <v>5</v>
      </c>
      <c r="D19" s="96" t="inlineStr">
        <is>
          <t xml:space="preserve">S1</t>
        </is>
      </c>
      <c r="E19" s="96" t="inlineStr">
        <is>
          <t xml:space="preserve">游戏手柄</t>
        </is>
      </c>
      <c r="F19" s="96" t="inlineStr">
        <is>
          <t xml:space="preserve">鼠标</t>
        </is>
      </c>
      <c r="G19" s="96" t="inlineStr">
        <is>
          <t xml:space="preserve">固定订书机</t>
        </is>
      </c>
      <c r="H19" s="96" t="inlineStr">
        <is>
          <t xml:space="preserve">A-B / B-A / A-B</t>
        </is>
      </c>
      <c r="I19" s="152" t="inlineStr">
        <is>
          <t xml:space="preserve">EgoAnchor</t>
        </is>
      </c>
      <c r="J19" s="153" t="inlineStr">
        <is>
          <t xml:space="preserve">One-Euro</t>
        </is>
      </c>
      <c r="K19" s="96" t="inlineStr">
        <is>
          <t xml:space="preserve">EgoAnchor</t>
        </is>
      </c>
      <c r="L19" s="494" t="n">
        <v>21</v>
      </c>
      <c r="M19" s="85" t="str">
        <v>女</v>
      </c>
      <c r="N19" s="85" t="str">
        <v>右手</v>
      </c>
      <c r="O19" s="85" t="str">
        <v>矫正后正常</v>
      </c>
      <c r="P19" s="85" t="str">
        <v>经常使用</v>
      </c>
      <c r="Q19" s="85" t="str">
        <v>1–2 次</v>
      </c>
      <c r="R19" s="85" t="str">
        <v>是</v>
      </c>
      <c r="S19" s="85" t="str">
        <v>无</v>
      </c>
      <c r="T19" s="468" t="n">
        <v>46241.37847222222</v>
      </c>
      <c r="U19" s="468" t="n">
        <v>46241.42112027778</v>
      </c>
      <c r="V19" s="85" t="str">
        <v>是</v>
      </c>
      <c r="W19" s="85" t="str">
        <v>无</v>
      </c>
      <c r="X19" s="211" t="str">
        <v>模拟画像：响应敏感型；独立随机种子=730446。</v>
      </c>
    </row>
    <row r="20" ht="27" customHeight="1">
      <c r="A20" s="65" t="inlineStr">
        <is>
          <t xml:space="preserve">P018</t>
        </is>
      </c>
      <c r="B20" s="96" t="inlineStr">
        <is>
          <t xml:space="preserve">O5-S2-EA</t>
        </is>
      </c>
      <c r="C20" s="96" t="n">
        <v>5</v>
      </c>
      <c r="D20" s="96" t="inlineStr">
        <is>
          <t xml:space="preserve">S2</t>
        </is>
      </c>
      <c r="E20" s="96" t="inlineStr">
        <is>
          <t xml:space="preserve">游戏手柄</t>
        </is>
      </c>
      <c r="F20" s="96" t="inlineStr">
        <is>
          <t xml:space="preserve">鼠标</t>
        </is>
      </c>
      <c r="G20" s="96" t="inlineStr">
        <is>
          <t xml:space="preserve">固定订书机</t>
        </is>
      </c>
      <c r="H20" s="96" t="inlineStr">
        <is>
          <t xml:space="preserve">B-A / A-B / B-A</t>
        </is>
      </c>
      <c r="I20" s="152" t="inlineStr">
        <is>
          <t xml:space="preserve">EgoAnchor</t>
        </is>
      </c>
      <c r="J20" s="153" t="inlineStr">
        <is>
          <t xml:space="preserve">One-Euro</t>
        </is>
      </c>
      <c r="K20" s="96" t="inlineStr">
        <is>
          <t xml:space="preserve">One-Euro</t>
        </is>
      </c>
      <c r="L20" s="494" t="n">
        <v>26</v>
      </c>
      <c r="M20" s="85" t="str">
        <v>男</v>
      </c>
      <c r="N20" s="85" t="str">
        <v>右手</v>
      </c>
      <c r="O20" s="85" t="str">
        <v>矫正后正常</v>
      </c>
      <c r="P20" s="85" t="str">
        <v>超过 20 次</v>
      </c>
      <c r="Q20" s="85" t="str">
        <v>1–2 次</v>
      </c>
      <c r="R20" s="85" t="str">
        <v>是</v>
      </c>
      <c r="S20" s="85" t="str">
        <v>无</v>
      </c>
      <c r="T20" s="468" t="n">
        <v>46241.450694444444</v>
      </c>
      <c r="U20" s="468" t="n">
        <v>46241.493080277774</v>
      </c>
      <c r="V20" s="85" t="str">
        <v>是</v>
      </c>
      <c r="W20" s="85" t="str">
        <v>无</v>
      </c>
      <c r="X20" s="211" t="str">
        <v>模拟画像：平衡权衡型；独立随机种子=740453。</v>
      </c>
    </row>
    <row r="21" ht="27" customHeight="1">
      <c r="A21" s="65" t="inlineStr">
        <is>
          <t xml:space="preserve">P019</t>
        </is>
      </c>
      <c r="B21" s="96" t="inlineStr">
        <is>
          <t xml:space="preserve">O5-S2-OE</t>
        </is>
      </c>
      <c r="C21" s="96" t="n">
        <v>5</v>
      </c>
      <c r="D21" s="96" t="inlineStr">
        <is>
          <t xml:space="preserve">S2</t>
        </is>
      </c>
      <c r="E21" s="96" t="inlineStr">
        <is>
          <t xml:space="preserve">游戏手柄</t>
        </is>
      </c>
      <c r="F21" s="96" t="inlineStr">
        <is>
          <t xml:space="preserve">鼠标</t>
        </is>
      </c>
      <c r="G21" s="96" t="inlineStr">
        <is>
          <t xml:space="preserve">固定订书机</t>
        </is>
      </c>
      <c r="H21" s="96" t="inlineStr">
        <is>
          <t xml:space="preserve">B-A / A-B / B-A</t>
        </is>
      </c>
      <c r="I21" s="152" t="inlineStr">
        <is>
          <t xml:space="preserve">One-Euro</t>
        </is>
      </c>
      <c r="J21" s="153" t="inlineStr">
        <is>
          <t xml:space="preserve">EgoAnchor</t>
        </is>
      </c>
      <c r="K21" s="96" t="inlineStr">
        <is>
          <t xml:space="preserve">EgoAnchor</t>
        </is>
      </c>
      <c r="L21" s="494" t="n">
        <v>26</v>
      </c>
      <c r="M21" s="85" t="str">
        <v>女</v>
      </c>
      <c r="N21" s="85" t="str">
        <v>右手</v>
      </c>
      <c r="O21" s="85" t="str">
        <v>正常</v>
      </c>
      <c r="P21" s="85" t="str">
        <v>6–20 次</v>
      </c>
      <c r="Q21" s="85" t="str">
        <v>1–2 次</v>
      </c>
      <c r="R21" s="85" t="str">
        <v>是</v>
      </c>
      <c r="S21" s="85" t="str">
        <v>无</v>
      </c>
      <c r="T21" s="468" t="n">
        <v>46241.56736111111</v>
      </c>
      <c r="U21" s="468" t="n">
        <v>46241.61094796296</v>
      </c>
      <c r="V21" s="85" t="str">
        <v>是</v>
      </c>
      <c r="W21" s="85" t="str">
        <v>无</v>
      </c>
      <c r="X21" s="211" t="str">
        <v>模拟画像：平衡权衡型；独立随机种子=750460。</v>
      </c>
    </row>
    <row r="22" ht="27" customHeight="1">
      <c r="A22" s="262" t="inlineStr">
        <is>
          <t xml:space="preserve">P020</t>
        </is>
      </c>
      <c r="B22" s="263" t="inlineStr">
        <is>
          <t xml:space="preserve">O5-S1-OE</t>
        </is>
      </c>
      <c r="C22" s="263" t="n">
        <v>5</v>
      </c>
      <c r="D22" s="263" t="inlineStr">
        <is>
          <t xml:space="preserve">S1</t>
        </is>
      </c>
      <c r="E22" s="263" t="inlineStr">
        <is>
          <t xml:space="preserve">游戏手柄</t>
        </is>
      </c>
      <c r="F22" s="263" t="inlineStr">
        <is>
          <t xml:space="preserve">鼠标</t>
        </is>
      </c>
      <c r="G22" s="263" t="inlineStr">
        <is>
          <t xml:space="preserve">固定订书机</t>
        </is>
      </c>
      <c r="H22" s="263" t="inlineStr">
        <is>
          <t xml:space="preserve">A-B / B-A / A-B</t>
        </is>
      </c>
      <c r="I22" s="264" t="inlineStr">
        <is>
          <t xml:space="preserve">One-Euro</t>
        </is>
      </c>
      <c r="J22" s="265" t="inlineStr">
        <is>
          <t xml:space="preserve">EgoAnchor</t>
        </is>
      </c>
      <c r="K22" s="263" t="inlineStr">
        <is>
          <t xml:space="preserve">One-Euro</t>
        </is>
      </c>
      <c r="L22" s="495" t="n">
        <v>31</v>
      </c>
      <c r="M22" s="266" t="str">
        <v>男</v>
      </c>
      <c r="N22" s="266" t="str">
        <v>右手</v>
      </c>
      <c r="O22" s="266" t="str">
        <v>矫正后正常</v>
      </c>
      <c r="P22" s="266" t="str">
        <v>1–5 次</v>
      </c>
      <c r="Q22" s="266" t="str">
        <v>1–2 次</v>
      </c>
      <c r="R22" s="266" t="str">
        <v>是</v>
      </c>
      <c r="S22" s="266" t="str">
        <v>无</v>
      </c>
      <c r="T22" s="469" t="n">
        <v>46241.634722222225</v>
      </c>
      <c r="U22" s="469" t="n">
        <v>46241.68263976852</v>
      </c>
      <c r="V22" s="266" t="str">
        <v>是</v>
      </c>
      <c r="W22" s="266" t="str">
        <v>无</v>
      </c>
      <c r="X22" s="266" t="str">
        <v>模拟画像：平衡权衡型；独立随机种子=760467。</v>
      </c>
    </row>
    <row r="23" ht="27" customHeight="1">
      <c r="A23" s="65" t="inlineStr">
        <is>
          <t xml:space="preserve">P021</t>
        </is>
      </c>
      <c r="B23" s="96" t="inlineStr">
        <is>
          <t xml:space="preserve">O6-S1-EA</t>
        </is>
      </c>
      <c r="C23" s="96" t="n">
        <v>6</v>
      </c>
      <c r="D23" s="96" t="inlineStr">
        <is>
          <t xml:space="preserve">S1</t>
        </is>
      </c>
      <c r="E23" s="96" t="inlineStr">
        <is>
          <t xml:space="preserve">游戏手柄</t>
        </is>
      </c>
      <c r="F23" s="96" t="inlineStr">
        <is>
          <t xml:space="preserve">固定订书机</t>
        </is>
      </c>
      <c r="G23" s="96" t="inlineStr">
        <is>
          <t xml:space="preserve">鼠标</t>
        </is>
      </c>
      <c r="H23" s="96" t="inlineStr">
        <is>
          <t xml:space="preserve">A-B / B-A / A-B</t>
        </is>
      </c>
      <c r="I23" s="152" t="inlineStr">
        <is>
          <t xml:space="preserve">EgoAnchor</t>
        </is>
      </c>
      <c r="J23" s="153" t="inlineStr">
        <is>
          <t xml:space="preserve">One-Euro</t>
        </is>
      </c>
      <c r="K23" s="96" t="inlineStr">
        <is>
          <t xml:space="preserve">EgoAnchor</t>
        </is>
      </c>
      <c r="L23" s="494" t="n">
        <v>20</v>
      </c>
      <c r="M23" s="85" t="str">
        <v>男</v>
      </c>
      <c r="N23" s="85" t="str">
        <v>右手</v>
      </c>
      <c r="O23" s="85" t="str">
        <v>矫正后正常</v>
      </c>
      <c r="P23" s="85" t="str">
        <v>6–20 次</v>
      </c>
      <c r="Q23" s="85" t="str">
        <v>1–2 次</v>
      </c>
      <c r="R23" s="85" t="str">
        <v>是</v>
      </c>
      <c r="S23" s="85" t="str">
        <v>无</v>
      </c>
      <c r="T23" s="468" t="n">
        <v>46242.37569444445</v>
      </c>
      <c r="U23" s="468" t="n">
        <v>46242.42050923611</v>
      </c>
      <c r="V23" s="85" t="str">
        <v>是</v>
      </c>
      <c r="W23" s="85" t="str">
        <v>无</v>
      </c>
      <c r="X23" s="211" t="str">
        <v>模拟画像：稳定敏感型；独立随机种子=770474。</v>
      </c>
    </row>
    <row r="24" ht="27" customHeight="1">
      <c r="A24" s="65" t="inlineStr">
        <is>
          <t xml:space="preserve">P022</t>
        </is>
      </c>
      <c r="B24" s="96" t="inlineStr">
        <is>
          <t xml:space="preserve">O6-S2-EA</t>
        </is>
      </c>
      <c r="C24" s="96" t="n">
        <v>6</v>
      </c>
      <c r="D24" s="96" t="inlineStr">
        <is>
          <t xml:space="preserve">S2</t>
        </is>
      </c>
      <c r="E24" s="96" t="inlineStr">
        <is>
          <t xml:space="preserve">游戏手柄</t>
        </is>
      </c>
      <c r="F24" s="96" t="inlineStr">
        <is>
          <t xml:space="preserve">固定订书机</t>
        </is>
      </c>
      <c r="G24" s="96" t="inlineStr">
        <is>
          <t xml:space="preserve">鼠标</t>
        </is>
      </c>
      <c r="H24" s="96" t="inlineStr">
        <is>
          <t xml:space="preserve">B-A / A-B / B-A</t>
        </is>
      </c>
      <c r="I24" s="152" t="inlineStr">
        <is>
          <t xml:space="preserve">EgoAnchor</t>
        </is>
      </c>
      <c r="J24" s="153" t="inlineStr">
        <is>
          <t xml:space="preserve">One-Euro</t>
        </is>
      </c>
      <c r="K24" s="96" t="inlineStr">
        <is>
          <t xml:space="preserve">One-Euro</t>
        </is>
      </c>
      <c r="L24" s="494" t="n">
        <v>29</v>
      </c>
      <c r="M24" s="85" t="str">
        <v>男</v>
      </c>
      <c r="N24" s="85" t="str">
        <v>右手</v>
      </c>
      <c r="O24" s="85" t="str">
        <v>矫正后正常</v>
      </c>
      <c r="P24" s="85" t="str">
        <v>1–5 次</v>
      </c>
      <c r="Q24" s="85" t="str">
        <v>从未</v>
      </c>
      <c r="R24" s="85" t="str">
        <v>是</v>
      </c>
      <c r="S24" s="85" t="str">
        <v>无</v>
      </c>
      <c r="T24" s="468" t="n">
        <v>46242.45138888889</v>
      </c>
      <c r="U24" s="468" t="n">
        <v>46242.49165105324</v>
      </c>
      <c r="V24" s="85" t="str">
        <v>是</v>
      </c>
      <c r="W24" s="85" t="str">
        <v>无</v>
      </c>
      <c r="X24" s="211" t="str">
        <v>模拟画像：稳定敏感型；独立随机种子=780481。</v>
      </c>
    </row>
    <row r="25" ht="27" customHeight="1">
      <c r="A25" s="65" t="inlineStr">
        <is>
          <t xml:space="preserve">P023</t>
        </is>
      </c>
      <c r="B25" s="96" t="inlineStr">
        <is>
          <t xml:space="preserve">O6-S2-OE</t>
        </is>
      </c>
      <c r="C25" s="96" t="n">
        <v>6</v>
      </c>
      <c r="D25" s="96" t="inlineStr">
        <is>
          <t xml:space="preserve">S2</t>
        </is>
      </c>
      <c r="E25" s="96" t="inlineStr">
        <is>
          <t xml:space="preserve">游戏手柄</t>
        </is>
      </c>
      <c r="F25" s="96" t="inlineStr">
        <is>
          <t xml:space="preserve">固定订书机</t>
        </is>
      </c>
      <c r="G25" s="96" t="inlineStr">
        <is>
          <t xml:space="preserve">鼠标</t>
        </is>
      </c>
      <c r="H25" s="96" t="inlineStr">
        <is>
          <t xml:space="preserve">B-A / A-B / B-A</t>
        </is>
      </c>
      <c r="I25" s="152" t="inlineStr">
        <is>
          <t xml:space="preserve">One-Euro</t>
        </is>
      </c>
      <c r="J25" s="153" t="inlineStr">
        <is>
          <t xml:space="preserve">EgoAnchor</t>
        </is>
      </c>
      <c r="K25" s="96" t="inlineStr">
        <is>
          <t xml:space="preserve">EgoAnchor</t>
        </is>
      </c>
      <c r="L25" s="494" t="n">
        <v>21</v>
      </c>
      <c r="M25" s="85" t="str">
        <v>女</v>
      </c>
      <c r="N25" s="85" t="str">
        <v>双手均可</v>
      </c>
      <c r="O25" s="85" t="str">
        <v>正常</v>
      </c>
      <c r="P25" s="85" t="str">
        <v>1–5 次</v>
      </c>
      <c r="Q25" s="85" t="str">
        <v>数次</v>
      </c>
      <c r="R25" s="85" t="str">
        <v>是</v>
      </c>
      <c r="S25" s="85" t="str">
        <v>无</v>
      </c>
      <c r="T25" s="468" t="n">
        <v>46242.56597222222</v>
      </c>
      <c r="U25" s="468" t="n">
        <v>46242.61317458333</v>
      </c>
      <c r="V25" s="85" t="str">
        <v>是</v>
      </c>
      <c r="W25" s="85" t="str">
        <v>无</v>
      </c>
      <c r="X25" s="211" t="str">
        <v>模拟画像：稳定敏感型；独立随机种子=790488。</v>
      </c>
    </row>
    <row r="26" ht="27" customHeight="1">
      <c r="A26" s="262" t="inlineStr">
        <is>
          <t xml:space="preserve">P024</t>
        </is>
      </c>
      <c r="B26" s="263" t="inlineStr">
        <is>
          <t xml:space="preserve">O6-S1-OE</t>
        </is>
      </c>
      <c r="C26" s="263" t="n">
        <v>6</v>
      </c>
      <c r="D26" s="263" t="inlineStr">
        <is>
          <t xml:space="preserve">S1</t>
        </is>
      </c>
      <c r="E26" s="263" t="inlineStr">
        <is>
          <t xml:space="preserve">游戏手柄</t>
        </is>
      </c>
      <c r="F26" s="263" t="inlineStr">
        <is>
          <t xml:space="preserve">固定订书机</t>
        </is>
      </c>
      <c r="G26" s="263" t="inlineStr">
        <is>
          <t xml:space="preserve">鼠标</t>
        </is>
      </c>
      <c r="H26" s="263" t="inlineStr">
        <is>
          <t xml:space="preserve">A-B / B-A / A-B</t>
        </is>
      </c>
      <c r="I26" s="264" t="inlineStr">
        <is>
          <t xml:space="preserve">One-Euro</t>
        </is>
      </c>
      <c r="J26" s="265" t="inlineStr">
        <is>
          <t xml:space="preserve">EgoAnchor</t>
        </is>
      </c>
      <c r="K26" s="263" t="inlineStr">
        <is>
          <t xml:space="preserve">One-Euro</t>
        </is>
      </c>
      <c r="L26" s="495" t="n">
        <v>30</v>
      </c>
      <c r="M26" s="266" t="str">
        <v>男</v>
      </c>
      <c r="N26" s="266" t="str">
        <v>左手</v>
      </c>
      <c r="O26" s="266" t="str">
        <v>矫正后正常</v>
      </c>
      <c r="P26" s="266" t="str">
        <v>超过 20 次</v>
      </c>
      <c r="Q26" s="266" t="str">
        <v>数次</v>
      </c>
      <c r="R26" s="266" t="str">
        <v>是</v>
      </c>
      <c r="S26" s="266" t="str">
        <v>无</v>
      </c>
      <c r="T26" s="469" t="n">
        <v>46242.63611111111</v>
      </c>
      <c r="U26" s="469" t="n">
        <v>46242.680379641206</v>
      </c>
      <c r="V26" s="266" t="str">
        <v>是</v>
      </c>
      <c r="W26" s="266" t="str">
        <v>无</v>
      </c>
      <c r="X26" s="266" t="str">
        <v>模拟画像：稳定敏感型；独立随机种子=800495。</v>
      </c>
    </row>
  </sheetData>
  <mergeCells>
    <mergeCell ref="A1:X1"/>
  </mergeCells>
  <dataValidations count="8">
    <dataValidation type="list" allowBlank="0" showDropDown="0" showInputMessage="0" showErrorMessage="0" sqref="M3:M26">
      <formula1>"女,男,非二元或其他,不愿透露"</formula1>
    </dataValidation>
    <dataValidation type="list" allowBlank="0" showDropDown="0" showInputMessage="0" showErrorMessage="0" sqref="N3:N26">
      <formula1>"右手,左手,双手均可"</formula1>
    </dataValidation>
    <dataValidation type="list" allowBlank="0" showDropDown="0" showInputMessage="0" showErrorMessage="0" sqref="O3:O26">
      <formula1>"正常,矫正后正常,其他"</formula1>
    </dataValidation>
    <dataValidation type="list" allowBlank="0" showDropDown="0" showInputMessage="0" showErrorMessage="0" sqref="P3:P26">
      <formula1>"从未,1–5 次,6–20 次,超过 20 次,经常使用"</formula1>
    </dataValidation>
    <dataValidation type="list" allowBlank="0" showDropDown="0" showInputMessage="0" showErrorMessage="0" sqref="Q3:Q26">
      <formula1>"从未,1–2 次,数次,经常"</formula1>
    </dataValidation>
    <dataValidation type="list" allowBlank="0" showDropDown="0" showInputMessage="0" showErrorMessage="0" sqref="R3:R26">
      <formula1>"是,否"</formula1>
    </dataValidation>
    <dataValidation type="list" allowBlank="0" showDropDown="0" showInputMessage="0" showErrorMessage="0" sqref="S3:S26">
      <formula1>"无,轻微,中等,明显,因不适中止"</formula1>
    </dataValidation>
    <dataValidation type="list" allowBlank="0" showDropDown="0" showInputMessage="0" showErrorMessage="0" sqref="V3:V26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baseColWidth="8" defaultRowHeight="15"/>
  <cols>
    <col min="1" max="1" width="14" customWidth="1"/>
    <col min="2" max="2" width="10" customWidth="1"/>
    <col min="3" max="3" width="18" customWidth="1"/>
    <col min="4" max="4" width="11" customWidth="1"/>
    <col min="5" max="5" width="15" customWidth="1"/>
    <col min="6" max="6" width="15" customWidth="1"/>
    <col min="7" max="7" width="13" customWidth="1"/>
    <col min="8" max="8" width="16" customWidth="1"/>
    <col min="9" max="9" width="11" customWidth="1"/>
    <col min="10" max="10" width="13" customWidth="1"/>
    <col min="11" max="11" width="10" customWidth="1"/>
    <col min="12" max="12" width="10" customWidth="1"/>
    <col min="13" max="13" width="10" customWidth="1"/>
    <col min="14" max="14" width="12" customWidth="1"/>
    <col min="15" max="15" width="12" customWidth="1"/>
    <col min="16" max="16" width="12" customWidth="1"/>
    <col min="17" max="17" width="10" customWidth="1"/>
    <col min="18" max="18" width="10" customWidth="1"/>
    <col min="19" max="19" width="11" customWidth="1"/>
    <col min="20" max="20" width="11" customWidth="1"/>
    <col min="21" max="21" width="11" customWidth="1"/>
    <col min="22" max="22" width="11" customWidth="1"/>
    <col min="23" max="23" width="10" customWidth="1"/>
    <col min="24" max="24" width="10" customWidth="1"/>
    <col min="25" max="25" width="16" customWidth="1"/>
    <col min="26" max="26" width="16" customWidth="1"/>
    <col min="27" max="27" width="13" customWidth="1"/>
    <col min="28" max="28" width="12" customWidth="1"/>
    <col min="29" max="29" width="12" customWidth="1"/>
    <col min="30" max="30" width="12" customWidth="1"/>
    <col min="31" max="31" width="20" customWidth="1"/>
    <col min="32" max="32" width="17" customWidth="1"/>
    <col min="33" max="33" width="15" customWidth="1"/>
    <col min="34" max="34" width="19" customWidth="1"/>
    <col min="35" max="35" width="18" customWidth="1"/>
    <col min="36" max="36" width="15" customWidth="1"/>
    <col min="37" max="37" width="22" customWidth="1"/>
    <col min="38" max="38" width="12" customWidth="1"/>
    <col min="39" max="39" width="18" customWidth="1"/>
    <col min="40" max="40" width="18" customWidth="1"/>
    <col min="41" max="41" width="36" customWidth="1"/>
  </cols>
  <sheetData>
    <row r="1" ht="36" customHeight="1">
      <c r="A1" s="26" t="str">
        <v>【SYNTHETIC / 模拟数据】实验记录：24 个独立模拟参与者；Q10 默认停用；原始分保留，分量表由 Formula_Scores 公式计算。</v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</row>
    <row r="3" ht="38" customHeight="1">
      <c r="A3" s="73" t="inlineStr">
        <is>
          <t xml:space="preserve">A. 区块记录（每行 = 一个方法×物体区块：进度 + 13+1 项评分 + 问卷时长 + 运行时审计）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38" customHeight="1">
      <c r="A4" s="38" t="inlineStr">
        <is>
          <t xml:space="preserve">Participant_ID</t>
        </is>
      </c>
      <c r="B4" s="39" t="inlineStr">
        <is>
          <t xml:space="preserve">Block_Index</t>
        </is>
      </c>
      <c r="C4" s="39" t="inlineStr">
        <is>
          <t xml:space="preserve">平衡单元</t>
        </is>
      </c>
      <c r="D4" s="39" t="inlineStr">
        <is>
          <t xml:space="preserve">物体位置</t>
        </is>
      </c>
      <c r="E4" s="39" t="inlineStr">
        <is>
          <t xml:space="preserve">物体</t>
        </is>
      </c>
      <c r="F4" s="39" t="inlineStr">
        <is>
          <t xml:space="preserve">Object_Key</t>
        </is>
      </c>
      <c r="G4" s="39" t="inlineStr">
        <is>
          <t xml:space="preserve">Shown_Label</t>
        </is>
      </c>
      <c r="H4" s="39" t="inlineStr">
        <is>
          <t xml:space="preserve">Condition(保密)</t>
        </is>
      </c>
      <c r="I4" s="39" t="inlineStr">
        <is>
          <t xml:space="preserve">物体内先后</t>
        </is>
      </c>
      <c r="J4" s="39" t="inlineStr">
        <is>
          <t xml:space="preserve">该方法第几次</t>
        </is>
      </c>
      <c r="K4" s="39" t="inlineStr">
        <is>
          <t xml:space="preserve">Q1</t>
        </is>
      </c>
      <c r="L4" s="39" t="inlineStr">
        <is>
          <t xml:space="preserve">Q2</t>
        </is>
      </c>
      <c r="M4" s="39" t="inlineStr">
        <is>
          <t xml:space="preserve">Q9</t>
        </is>
      </c>
      <c r="N4" s="39" t="inlineStr">
        <is>
          <t xml:space="preserve">Q10_OPT</t>
        </is>
      </c>
      <c r="O4" s="39" t="inlineStr">
        <is>
          <t xml:space="preserve">AQ_IQ2</t>
        </is>
      </c>
      <c r="P4" s="39" t="inlineStr">
        <is>
          <t xml:space="preserve">AQ_IQ3</t>
        </is>
      </c>
      <c r="Q4" s="39" t="inlineStr">
        <is>
          <t xml:space="preserve">Q3</t>
        </is>
      </c>
      <c r="R4" s="39" t="inlineStr">
        <is>
          <t xml:space="preserve">Q8</t>
        </is>
      </c>
      <c r="S4" s="39" t="inlineStr">
        <is>
          <t xml:space="preserve">AQ_EQ1</t>
        </is>
      </c>
      <c r="T4" s="39" t="inlineStr">
        <is>
          <t xml:space="preserve">AQ_EQ2</t>
        </is>
      </c>
      <c r="U4" s="39" t="inlineStr">
        <is>
          <t xml:space="preserve">AQ_EQ3</t>
        </is>
      </c>
      <c r="V4" s="39" t="inlineStr">
        <is>
          <t xml:space="preserve">AQ_IQ1</t>
        </is>
      </c>
      <c r="W4" s="39" t="inlineStr">
        <is>
          <t xml:space="preserve">Q6</t>
        </is>
      </c>
      <c r="X4" s="39" t="inlineStr">
        <is>
          <t xml:space="preserve">Q7</t>
        </is>
      </c>
      <c r="Y4" s="39" t="inlineStr">
        <is>
          <t xml:space="preserve">问卷开始</t>
        </is>
      </c>
      <c r="Z4" s="39" t="inlineStr">
        <is>
          <t xml:space="preserve">问卷结束</t>
        </is>
      </c>
      <c r="AA4" s="39" t="inlineStr">
        <is>
          <t xml:space="preserve">问卷时长_s</t>
        </is>
      </c>
      <c r="AB4" s="39" t="inlineStr">
        <is>
          <t xml:space="preserve">任务完成</t>
        </is>
      </c>
      <c r="AC4" s="39" t="inlineStr">
        <is>
          <t xml:space="preserve">问卷完成</t>
        </is>
      </c>
      <c r="AD4" s="39" t="inlineStr">
        <is>
          <t xml:space="preserve">区块有效</t>
        </is>
      </c>
      <c r="AE4" s="39" t="inlineStr">
        <is>
          <t xml:space="preserve">技术问题</t>
        </is>
      </c>
      <c r="AF4" s="39" t="inlineStr">
        <is>
          <t xml:space="preserve">Candidate_Rate_Hz</t>
        </is>
      </c>
      <c r="AG4" s="39" t="inlineStr">
        <is>
          <t xml:space="preserve">VCD_Median</t>
        </is>
      </c>
      <c r="AH4" s="39" t="inlineStr">
        <is>
          <t xml:space="preserve">VCD_Admission_Rate</t>
        </is>
      </c>
      <c r="AI4" s="39" t="inlineStr">
        <is>
          <t xml:space="preserve">Output_Availability</t>
        </is>
      </c>
      <c r="AJ4" s="39" t="inlineStr">
        <is>
          <t xml:space="preserve">遮挡时长_s</t>
        </is>
      </c>
      <c r="AK4" s="39" t="inlineStr">
        <is>
          <t xml:space="preserve">遮挡生命周期状态</t>
        </is>
      </c>
      <c r="AL4" s="39" t="inlineStr">
        <is>
          <t xml:space="preserve">进入Lost</t>
        </is>
      </c>
      <c r="AM4" s="39" t="inlineStr">
        <is>
          <t xml:space="preserve">服务器重获取次数</t>
        </is>
      </c>
      <c r="AN4" s="39" t="inlineStr">
        <is>
          <t xml:space="preserve">StaticLock进入次数</t>
        </is>
      </c>
      <c r="AO4" s="40" t="inlineStr">
        <is>
          <t xml:space="preserve">备注</t>
        </is>
      </c>
    </row>
    <row r="5" ht="24" customHeight="1">
      <c r="A5" s="64" t="inlineStr">
        <is>
          <t xml:space="preserve">P001</t>
        </is>
      </c>
      <c r="B5" s="90" t="n">
        <v>1</v>
      </c>
      <c r="C5" s="90" t="inlineStr">
        <is>
          <t xml:space="preserve">O1-S1-EA</t>
        </is>
      </c>
      <c r="D5" s="90" t="n">
        <v>1</v>
      </c>
      <c r="E5" s="90" t="inlineStr">
        <is>
          <t xml:space="preserve">鼠标</t>
        </is>
      </c>
      <c r="F5" s="90" t="inlineStr">
        <is>
          <t xml:space="preserve">blue_mouse</t>
        </is>
      </c>
      <c r="G5" s="90" t="inlineStr">
        <is>
          <t xml:space="preserve">方法A</t>
        </is>
      </c>
      <c r="H5" s="90" t="inlineStr">
        <is>
          <t xml:space="preserve">EgoAnchor</t>
        </is>
      </c>
      <c r="I5" s="90" t="n">
        <v>1</v>
      </c>
      <c r="J5" s="90" t="n">
        <v>1</v>
      </c>
      <c r="K5" s="84" t="n">
        <v>5</v>
      </c>
      <c r="L5" s="84" t="n">
        <v>5</v>
      </c>
      <c r="M5" s="84" t="n">
        <v>5</v>
      </c>
      <c r="N5" s="248"/>
      <c r="O5" s="84" t="n">
        <v>4</v>
      </c>
      <c r="P5" s="84" t="n">
        <v>5</v>
      </c>
      <c r="Q5" s="84" t="n">
        <v>5</v>
      </c>
      <c r="R5" s="84" t="n">
        <v>5</v>
      </c>
      <c r="S5" s="84" t="n">
        <v>5</v>
      </c>
      <c r="T5" s="84" t="n">
        <v>5</v>
      </c>
      <c r="U5" s="84" t="n">
        <v>5</v>
      </c>
      <c r="V5" s="84" t="n">
        <v>5</v>
      </c>
      <c r="W5" s="84" t="n">
        <v>4</v>
      </c>
      <c r="X5" s="84" t="n">
        <v>5</v>
      </c>
      <c r="Y5" s="496" t="n">
        <v>46237.386316828706</v>
      </c>
      <c r="Z5" s="496" t="n">
        <v>46237.38736753472</v>
      </c>
      <c r="AA5" s="499" t="n">
        <v>90.8</v>
      </c>
      <c r="AB5" s="84" t="str">
        <v>是</v>
      </c>
      <c r="AC5" s="84" t="str">
        <v>是</v>
      </c>
      <c r="AD5" s="84" t="str">
        <v>是</v>
      </c>
      <c r="AE5" s="84" t="str">
        <v>无</v>
      </c>
      <c r="AF5" s="502" t="n">
        <v>13.08</v>
      </c>
      <c r="AG5" s="502" t="n">
        <v>0.859</v>
      </c>
      <c r="AH5" s="502" t="n">
        <v>0.871</v>
      </c>
      <c r="AI5" s="502" t="n">
        <v>0.985</v>
      </c>
      <c r="AJ5" s="502" t="n">
        <v>0.718</v>
      </c>
      <c r="AK5" s="216" t="str">
        <v>FrozenUncertain</v>
      </c>
      <c r="AL5" s="216" t="str">
        <v>否</v>
      </c>
      <c r="AM5" s="505" t="n">
        <v>0</v>
      </c>
      <c r="AN5" s="505" t="n">
        <v>4</v>
      </c>
      <c r="AO5" s="217" t="str"/>
    </row>
    <row r="6" ht="24" customHeight="1">
      <c r="A6" s="65" t="inlineStr">
        <is>
          <t xml:space="preserve">P001</t>
        </is>
      </c>
      <c r="B6" s="96" t="n">
        <v>2</v>
      </c>
      <c r="C6" s="96" t="inlineStr">
        <is>
          <t xml:space="preserve">O1-S1-EA</t>
        </is>
      </c>
      <c r="D6" s="96" t="n">
        <v>1</v>
      </c>
      <c r="E6" s="96" t="inlineStr">
        <is>
          <t xml:space="preserve">鼠标</t>
        </is>
      </c>
      <c r="F6" s="96" t="inlineStr">
        <is>
          <t xml:space="preserve">blue_mouse</t>
        </is>
      </c>
      <c r="G6" s="96" t="inlineStr">
        <is>
          <t xml:space="preserve">方法B</t>
        </is>
      </c>
      <c r="H6" s="96" t="inlineStr">
        <is>
          <t xml:space="preserve">One-Euro</t>
        </is>
      </c>
      <c r="I6" s="96" t="n">
        <v>2</v>
      </c>
      <c r="J6" s="96" t="n">
        <v>1</v>
      </c>
      <c r="K6" s="85" t="n">
        <v>3</v>
      </c>
      <c r="L6" s="85" t="n">
        <v>6</v>
      </c>
      <c r="M6" s="85" t="n">
        <v>4</v>
      </c>
      <c r="N6" s="75"/>
      <c r="O6" s="85" t="n">
        <v>6</v>
      </c>
      <c r="P6" s="85" t="n">
        <v>5</v>
      </c>
      <c r="Q6" s="85" t="n">
        <v>4</v>
      </c>
      <c r="R6" s="85" t="n">
        <v>5</v>
      </c>
      <c r="S6" s="85" t="n">
        <v>5</v>
      </c>
      <c r="T6" s="85" t="n">
        <v>4</v>
      </c>
      <c r="U6" s="85" t="n">
        <v>5</v>
      </c>
      <c r="V6" s="85" t="n">
        <v>5</v>
      </c>
      <c r="W6" s="85" t="n">
        <v>3</v>
      </c>
      <c r="X6" s="85" t="n">
        <v>4</v>
      </c>
      <c r="Y6" s="497" t="n">
        <v>46237.388476851855</v>
      </c>
      <c r="Z6" s="497" t="n">
        <v>46237.38949458333</v>
      </c>
      <c r="AA6" s="500" t="n">
        <v>87.9</v>
      </c>
      <c r="AB6" s="85" t="str">
        <v>是</v>
      </c>
      <c r="AC6" s="85" t="str">
        <v>是</v>
      </c>
      <c r="AD6" s="85" t="str">
        <v>是</v>
      </c>
      <c r="AE6" s="85" t="str">
        <v>无</v>
      </c>
      <c r="AF6" s="503" t="n">
        <v>12.76</v>
      </c>
      <c r="AG6" s="503" t="n">
        <v>0.698</v>
      </c>
      <c r="AH6" s="503" t="n">
        <v>0.843</v>
      </c>
      <c r="AI6" s="503" t="n">
        <v>0.99</v>
      </c>
      <c r="AJ6" s="503" t="n">
        <v>0.787</v>
      </c>
      <c r="AK6" s="78" t="str">
        <v>FrozenUncertain</v>
      </c>
      <c r="AL6" s="78" t="str">
        <v>否</v>
      </c>
      <c r="AM6" s="506" t="n">
        <v>1</v>
      </c>
      <c r="AN6" s="506" t="n">
        <v>0</v>
      </c>
      <c r="AO6" s="218" t="str">
        <v>遮挡恢复后出现一次小跳变</v>
      </c>
    </row>
    <row r="7" ht="24" customHeight="1">
      <c r="A7" s="65" t="inlineStr">
        <is>
          <t xml:space="preserve">P001</t>
        </is>
      </c>
      <c r="B7" s="96" t="n">
        <v>3</v>
      </c>
      <c r="C7" s="96" t="inlineStr">
        <is>
          <t xml:space="preserve">O1-S1-EA</t>
        </is>
      </c>
      <c r="D7" s="96" t="n">
        <v>2</v>
      </c>
      <c r="E7" s="96" t="inlineStr">
        <is>
          <t xml:space="preserve">固定订书机</t>
        </is>
      </c>
      <c r="F7" s="96" t="inlineStr">
        <is>
          <t xml:space="preserve">stapler</t>
        </is>
      </c>
      <c r="G7" s="96" t="inlineStr">
        <is>
          <t xml:space="preserve">方法B</t>
        </is>
      </c>
      <c r="H7" s="96" t="inlineStr">
        <is>
          <t xml:space="preserve">One-Euro</t>
        </is>
      </c>
      <c r="I7" s="96" t="n">
        <v>1</v>
      </c>
      <c r="J7" s="96" t="n">
        <v>2</v>
      </c>
      <c r="K7" s="85" t="n">
        <v>4</v>
      </c>
      <c r="L7" s="85" t="n">
        <v>4</v>
      </c>
      <c r="M7" s="85" t="n">
        <v>3</v>
      </c>
      <c r="N7" s="75"/>
      <c r="O7" s="85" t="n">
        <v>5</v>
      </c>
      <c r="P7" s="85" t="n">
        <v>5</v>
      </c>
      <c r="Q7" s="85" t="n">
        <v>3</v>
      </c>
      <c r="R7" s="85" t="n">
        <v>6</v>
      </c>
      <c r="S7" s="85" t="n">
        <v>5</v>
      </c>
      <c r="T7" s="85" t="n">
        <v>5</v>
      </c>
      <c r="U7" s="85" t="n">
        <v>6</v>
      </c>
      <c r="V7" s="85" t="n">
        <v>4</v>
      </c>
      <c r="W7" s="85" t="n">
        <v>5</v>
      </c>
      <c r="X7" s="85" t="n">
        <v>5</v>
      </c>
      <c r="Y7" s="497" t="n">
        <v>46237.39059170139</v>
      </c>
      <c r="Z7" s="497" t="n">
        <v>46237.3914828125</v>
      </c>
      <c r="AA7" s="500" t="n">
        <v>77</v>
      </c>
      <c r="AB7" s="85" t="str">
        <v>是</v>
      </c>
      <c r="AC7" s="85" t="str">
        <v>是</v>
      </c>
      <c r="AD7" s="85" t="str">
        <v>是</v>
      </c>
      <c r="AE7" s="85" t="str">
        <v>无</v>
      </c>
      <c r="AF7" s="503" t="n">
        <v>11.85</v>
      </c>
      <c r="AG7" s="503" t="n">
        <v>0.797</v>
      </c>
      <c r="AH7" s="503" t="n">
        <v>0.891</v>
      </c>
      <c r="AI7" s="503" t="n">
        <v>0.992</v>
      </c>
      <c r="AJ7" s="503" t="n">
        <v>0.757</v>
      </c>
      <c r="AK7" s="78" t="str">
        <v>FrozenUncertain</v>
      </c>
      <c r="AL7" s="78" t="str">
        <v>否</v>
      </c>
      <c r="AM7" s="506" t="n">
        <v>1</v>
      </c>
      <c r="AN7" s="506" t="n">
        <v>0</v>
      </c>
      <c r="AO7" s="218" t="str">
        <v>静止阶段可见轻微抖动</v>
      </c>
    </row>
    <row r="8" ht="24" customHeight="1">
      <c r="A8" s="65" t="inlineStr">
        <is>
          <t xml:space="preserve">P001</t>
        </is>
      </c>
      <c r="B8" s="96" t="n">
        <v>4</v>
      </c>
      <c r="C8" s="96" t="inlineStr">
        <is>
          <t xml:space="preserve">O1-S1-EA</t>
        </is>
      </c>
      <c r="D8" s="96" t="n">
        <v>2</v>
      </c>
      <c r="E8" s="96" t="inlineStr">
        <is>
          <t xml:space="preserve">固定订书机</t>
        </is>
      </c>
      <c r="F8" s="96" t="inlineStr">
        <is>
          <t xml:space="preserve">stapler</t>
        </is>
      </c>
      <c r="G8" s="96" t="inlineStr">
        <is>
          <t xml:space="preserve">方法A</t>
        </is>
      </c>
      <c r="H8" s="96" t="inlineStr">
        <is>
          <t xml:space="preserve">EgoAnchor</t>
        </is>
      </c>
      <c r="I8" s="96" t="n">
        <v>2</v>
      </c>
      <c r="J8" s="96" t="n">
        <v>2</v>
      </c>
      <c r="K8" s="85" t="n">
        <v>5</v>
      </c>
      <c r="L8" s="85" t="n">
        <v>6</v>
      </c>
      <c r="M8" s="85" t="n">
        <v>5</v>
      </c>
      <c r="N8" s="75"/>
      <c r="O8" s="85" t="n">
        <v>5</v>
      </c>
      <c r="P8" s="85" t="n">
        <v>5</v>
      </c>
      <c r="Q8" s="85" t="n">
        <v>6</v>
      </c>
      <c r="R8" s="85" t="n">
        <v>6</v>
      </c>
      <c r="S8" s="85" t="n">
        <v>7</v>
      </c>
      <c r="T8" s="85" t="n">
        <v>5</v>
      </c>
      <c r="U8" s="85" t="n">
        <v>4</v>
      </c>
      <c r="V8" s="85" t="n">
        <v>5</v>
      </c>
      <c r="W8" s="85" t="n">
        <v>6</v>
      </c>
      <c r="X8" s="85" t="n">
        <v>4</v>
      </c>
      <c r="Y8" s="497" t="n">
        <v>46237.392456828704</v>
      </c>
      <c r="Z8" s="497" t="n">
        <v>46237.393447835646</v>
      </c>
      <c r="AA8" s="500" t="n">
        <v>85.6</v>
      </c>
      <c r="AB8" s="85" t="str">
        <v>是</v>
      </c>
      <c r="AC8" s="85" t="str">
        <v>是</v>
      </c>
      <c r="AD8" s="85" t="str">
        <v>是</v>
      </c>
      <c r="AE8" s="85" t="str">
        <v>无</v>
      </c>
      <c r="AF8" s="503" t="n">
        <v>12.22</v>
      </c>
      <c r="AG8" s="503" t="n">
        <v>0.809</v>
      </c>
      <c r="AH8" s="503" t="n">
        <v>0.941</v>
      </c>
      <c r="AI8" s="503" t="n">
        <v>0.985</v>
      </c>
      <c r="AJ8" s="503" t="n">
        <v>0.698</v>
      </c>
      <c r="AK8" s="78" t="str">
        <v>FrozenUncertain</v>
      </c>
      <c r="AL8" s="78" t="str">
        <v>否</v>
      </c>
      <c r="AM8" s="506" t="n">
        <v>1</v>
      </c>
      <c r="AN8" s="506" t="n">
        <v>3</v>
      </c>
      <c r="AO8" s="218" t="str"/>
    </row>
    <row r="9" ht="24" customHeight="1">
      <c r="A9" s="65" t="inlineStr">
        <is>
          <t xml:space="preserve">P001</t>
        </is>
      </c>
      <c r="B9" s="96" t="n">
        <v>5</v>
      </c>
      <c r="C9" s="96" t="inlineStr">
        <is>
          <t xml:space="preserve">O1-S1-EA</t>
        </is>
      </c>
      <c r="D9" s="96" t="n">
        <v>3</v>
      </c>
      <c r="E9" s="96" t="inlineStr">
        <is>
          <t xml:space="preserve">游戏手柄</t>
        </is>
      </c>
      <c r="F9" s="96" t="inlineStr">
        <is>
          <t xml:space="preserve">gamepad</t>
        </is>
      </c>
      <c r="G9" s="96" t="inlineStr">
        <is>
          <t xml:space="preserve">方法A</t>
        </is>
      </c>
      <c r="H9" s="96" t="inlineStr">
        <is>
          <t xml:space="preserve">EgoAnchor</t>
        </is>
      </c>
      <c r="I9" s="96" t="n">
        <v>1</v>
      </c>
      <c r="J9" s="96" t="n">
        <v>3</v>
      </c>
      <c r="K9" s="85" t="n">
        <v>5</v>
      </c>
      <c r="L9" s="85" t="n">
        <v>5</v>
      </c>
      <c r="M9" s="85" t="n">
        <v>4</v>
      </c>
      <c r="N9" s="75"/>
      <c r="O9" s="85" t="n">
        <v>4</v>
      </c>
      <c r="P9" s="85" t="n">
        <v>5</v>
      </c>
      <c r="Q9" s="85" t="n">
        <v>5</v>
      </c>
      <c r="R9" s="85" t="n">
        <v>5</v>
      </c>
      <c r="S9" s="85" t="n">
        <v>4</v>
      </c>
      <c r="T9" s="85" t="n">
        <v>4</v>
      </c>
      <c r="U9" s="85" t="n">
        <v>5</v>
      </c>
      <c r="V9" s="85" t="n">
        <v>6</v>
      </c>
      <c r="W9" s="85" t="n">
        <v>5</v>
      </c>
      <c r="X9" s="85" t="n">
        <v>5</v>
      </c>
      <c r="Y9" s="497" t="n">
        <v>46237.394407824075</v>
      </c>
      <c r="Z9" s="497" t="n">
        <v>46237.395680277776</v>
      </c>
      <c r="AA9" s="500" t="n">
        <v>109.9</v>
      </c>
      <c r="AB9" s="85" t="str">
        <v>是</v>
      </c>
      <c r="AC9" s="85" t="str">
        <v>是</v>
      </c>
      <c r="AD9" s="85" t="str">
        <v>是</v>
      </c>
      <c r="AE9" s="85" t="str">
        <v>无</v>
      </c>
      <c r="AF9" s="503" t="n">
        <v>13.08</v>
      </c>
      <c r="AG9" s="503" t="n">
        <v>0.786</v>
      </c>
      <c r="AH9" s="503" t="n">
        <v>0.861</v>
      </c>
      <c r="AI9" s="503" t="n">
        <v>0.985</v>
      </c>
      <c r="AJ9" s="503" t="n">
        <v>0.786</v>
      </c>
      <c r="AK9" s="78" t="str">
        <v>FrozenUncertain</v>
      </c>
      <c r="AL9" s="78" t="str">
        <v>否</v>
      </c>
      <c r="AM9" s="506" t="n">
        <v>1</v>
      </c>
      <c r="AN9" s="506" t="n">
        <v>4</v>
      </c>
      <c r="AO9" s="218" t="str"/>
    </row>
    <row r="10" ht="24" customHeight="1">
      <c r="A10" s="262" t="inlineStr">
        <is>
          <t xml:space="preserve">P001</t>
        </is>
      </c>
      <c r="B10" s="263" t="n">
        <v>6</v>
      </c>
      <c r="C10" s="263" t="inlineStr">
        <is>
          <t xml:space="preserve">O1-S1-EA</t>
        </is>
      </c>
      <c r="D10" s="263" t="n">
        <v>3</v>
      </c>
      <c r="E10" s="263" t="inlineStr">
        <is>
          <t xml:space="preserve">游戏手柄</t>
        </is>
      </c>
      <c r="F10" s="263" t="inlineStr">
        <is>
          <t xml:space="preserve">gamepad</t>
        </is>
      </c>
      <c r="G10" s="263" t="inlineStr">
        <is>
          <t xml:space="preserve">方法B</t>
        </is>
      </c>
      <c r="H10" s="263" t="inlineStr">
        <is>
          <t xml:space="preserve">One-Euro</t>
        </is>
      </c>
      <c r="I10" s="263" t="n">
        <v>2</v>
      </c>
      <c r="J10" s="263" t="n">
        <v>3</v>
      </c>
      <c r="K10" s="266" t="n">
        <v>3</v>
      </c>
      <c r="L10" s="266" t="n">
        <v>5</v>
      </c>
      <c r="M10" s="266" t="n">
        <v>6</v>
      </c>
      <c r="N10" s="278"/>
      <c r="O10" s="266" t="n">
        <v>5</v>
      </c>
      <c r="P10" s="266" t="n">
        <v>4</v>
      </c>
      <c r="Q10" s="266" t="n">
        <v>4</v>
      </c>
      <c r="R10" s="266" t="n">
        <v>5</v>
      </c>
      <c r="S10" s="266" t="n">
        <v>4</v>
      </c>
      <c r="T10" s="266" t="n">
        <v>4</v>
      </c>
      <c r="U10" s="266" t="n">
        <v>4</v>
      </c>
      <c r="V10" s="266" t="n">
        <v>5</v>
      </c>
      <c r="W10" s="266" t="n">
        <v>4</v>
      </c>
      <c r="X10" s="266" t="n">
        <v>4</v>
      </c>
      <c r="Y10" s="498" t="n">
        <v>46237.396678032404</v>
      </c>
      <c r="Z10" s="498" t="n">
        <v>46237.397946770834</v>
      </c>
      <c r="AA10" s="501" t="n">
        <v>109.6</v>
      </c>
      <c r="AB10" s="266" t="str">
        <v>是</v>
      </c>
      <c r="AC10" s="266" t="str">
        <v>是</v>
      </c>
      <c r="AD10" s="266" t="str">
        <v>是</v>
      </c>
      <c r="AE10" s="266" t="str">
        <v>短暂帧率波动</v>
      </c>
      <c r="AF10" s="504" t="n">
        <v>13.15</v>
      </c>
      <c r="AG10" s="504" t="n">
        <v>0.798</v>
      </c>
      <c r="AH10" s="504" t="n">
        <v>0.904</v>
      </c>
      <c r="AI10" s="504" t="n">
        <v>0.972</v>
      </c>
      <c r="AJ10" s="504" t="n">
        <v>0.772</v>
      </c>
      <c r="AK10" s="279" t="str">
        <v>FrozenUncertain</v>
      </c>
      <c r="AL10" s="279" t="str">
        <v>否</v>
      </c>
      <c r="AM10" s="507" t="n">
        <v>1</v>
      </c>
      <c r="AN10" s="507" t="n">
        <v>0</v>
      </c>
      <c r="AO10" s="279" t="str">
        <v>短暂画面卡顿，自动恢复；任务与问卷均完成。</v>
      </c>
    </row>
    <row r="11" ht="24" customHeight="1">
      <c r="A11" s="65" t="inlineStr">
        <is>
          <t xml:space="preserve">P002</t>
        </is>
      </c>
      <c r="B11" s="96" t="n">
        <v>1</v>
      </c>
      <c r="C11" s="96" t="inlineStr">
        <is>
          <t xml:space="preserve">O1-S2-EA</t>
        </is>
      </c>
      <c r="D11" s="96" t="n">
        <v>1</v>
      </c>
      <c r="E11" s="96" t="inlineStr">
        <is>
          <t xml:space="preserve">鼠标</t>
        </is>
      </c>
      <c r="F11" s="96" t="inlineStr">
        <is>
          <t xml:space="preserve">blue_mouse</t>
        </is>
      </c>
      <c r="G11" s="96" t="inlineStr">
        <is>
          <t xml:space="preserve">方法B</t>
        </is>
      </c>
      <c r="H11" s="96" t="inlineStr">
        <is>
          <t xml:space="preserve">One-Euro</t>
        </is>
      </c>
      <c r="I11" s="96" t="n">
        <v>1</v>
      </c>
      <c r="J11" s="96" t="n">
        <v>1</v>
      </c>
      <c r="K11" s="85" t="n">
        <v>5</v>
      </c>
      <c r="L11" s="85" t="n">
        <v>7</v>
      </c>
      <c r="M11" s="85" t="n">
        <v>4</v>
      </c>
      <c r="N11" s="75"/>
      <c r="O11" s="85" t="n">
        <v>5</v>
      </c>
      <c r="P11" s="85" t="n">
        <v>6</v>
      </c>
      <c r="Q11" s="85" t="n">
        <v>6</v>
      </c>
      <c r="R11" s="85" t="n">
        <v>5</v>
      </c>
      <c r="S11" s="85" t="n">
        <v>5</v>
      </c>
      <c r="T11" s="85" t="n">
        <v>6</v>
      </c>
      <c r="U11" s="85" t="n">
        <v>5</v>
      </c>
      <c r="V11" s="85" t="n">
        <v>6</v>
      </c>
      <c r="W11" s="85" t="n">
        <v>4</v>
      </c>
      <c r="X11" s="85" t="n">
        <v>6</v>
      </c>
      <c r="Y11" s="497" t="n">
        <v>46237.45194827546</v>
      </c>
      <c r="Z11" s="497" t="n">
        <v>46237.453176967596</v>
      </c>
      <c r="AA11" s="500" t="n">
        <v>106.2</v>
      </c>
      <c r="AB11" s="85" t="str">
        <v>是</v>
      </c>
      <c r="AC11" s="85" t="str">
        <v>是</v>
      </c>
      <c r="AD11" s="85" t="str">
        <v>是</v>
      </c>
      <c r="AE11" s="85" t="str">
        <v>无</v>
      </c>
      <c r="AF11" s="503" t="n">
        <v>12.33</v>
      </c>
      <c r="AG11" s="503" t="n">
        <v>0.74</v>
      </c>
      <c r="AH11" s="503" t="n">
        <v>0.843</v>
      </c>
      <c r="AI11" s="503" t="n">
        <v>0.999</v>
      </c>
      <c r="AJ11" s="503" t="n">
        <v>0.802</v>
      </c>
      <c r="AK11" s="78" t="str">
        <v>FrozenUncertain</v>
      </c>
      <c r="AL11" s="78" t="str">
        <v>否</v>
      </c>
      <c r="AM11" s="506" t="n">
        <v>1</v>
      </c>
      <c r="AN11" s="506" t="n">
        <v>0</v>
      </c>
      <c r="AO11" s="218" t="str"/>
    </row>
    <row r="12" ht="24" customHeight="1">
      <c r="A12" s="65" t="inlineStr">
        <is>
          <t xml:space="preserve">P002</t>
        </is>
      </c>
      <c r="B12" s="96" t="n">
        <v>2</v>
      </c>
      <c r="C12" s="96" t="inlineStr">
        <is>
          <t xml:space="preserve">O1-S2-EA</t>
        </is>
      </c>
      <c r="D12" s="96" t="n">
        <v>1</v>
      </c>
      <c r="E12" s="96" t="inlineStr">
        <is>
          <t xml:space="preserve">鼠标</t>
        </is>
      </c>
      <c r="F12" s="96" t="inlineStr">
        <is>
          <t xml:space="preserve">blue_mouse</t>
        </is>
      </c>
      <c r="G12" s="96" t="inlineStr">
        <is>
          <t xml:space="preserve">方法A</t>
        </is>
      </c>
      <c r="H12" s="96" t="inlineStr">
        <is>
          <t xml:space="preserve">EgoAnchor</t>
        </is>
      </c>
      <c r="I12" s="96" t="n">
        <v>2</v>
      </c>
      <c r="J12" s="96" t="n">
        <v>1</v>
      </c>
      <c r="K12" s="85" t="n">
        <v>5</v>
      </c>
      <c r="L12" s="85" t="n">
        <v>7</v>
      </c>
      <c r="M12" s="85" t="n">
        <v>6</v>
      </c>
      <c r="N12" s="75"/>
      <c r="O12" s="85" t="n">
        <v>5</v>
      </c>
      <c r="P12" s="85" t="n">
        <v>4</v>
      </c>
      <c r="Q12" s="85" t="n">
        <v>6</v>
      </c>
      <c r="R12" s="85" t="n">
        <v>5</v>
      </c>
      <c r="S12" s="85" t="n">
        <v>6</v>
      </c>
      <c r="T12" s="85" t="n">
        <v>5</v>
      </c>
      <c r="U12" s="85" t="n">
        <v>7</v>
      </c>
      <c r="V12" s="85" t="n">
        <v>5</v>
      </c>
      <c r="W12" s="85" t="n">
        <v>7</v>
      </c>
      <c r="X12" s="85" t="n">
        <v>6</v>
      </c>
      <c r="Y12" s="497" t="n">
        <v>46237.4541925</v>
      </c>
      <c r="Z12" s="497" t="n">
        <v>46237.45560560185</v>
      </c>
      <c r="AA12" s="500" t="n">
        <v>122.1</v>
      </c>
      <c r="AB12" s="85" t="str">
        <v>是</v>
      </c>
      <c r="AC12" s="85" t="str">
        <v>是</v>
      </c>
      <c r="AD12" s="85" t="str">
        <v>是</v>
      </c>
      <c r="AE12" s="85" t="str">
        <v>无</v>
      </c>
      <c r="AF12" s="503" t="n">
        <v>11.73</v>
      </c>
      <c r="AG12" s="503" t="n">
        <v>0.771</v>
      </c>
      <c r="AH12" s="503" t="n">
        <v>0.846</v>
      </c>
      <c r="AI12" s="503" t="n">
        <v>0.986</v>
      </c>
      <c r="AJ12" s="503" t="n">
        <v>0.7</v>
      </c>
      <c r="AK12" s="78" t="str">
        <v>FrozenUncertain</v>
      </c>
      <c r="AL12" s="78" t="str">
        <v>否</v>
      </c>
      <c r="AM12" s="506" t="n">
        <v>1</v>
      </c>
      <c r="AN12" s="506" t="n">
        <v>3</v>
      </c>
      <c r="AO12" s="218" t="str"/>
    </row>
    <row r="13" ht="24" customHeight="1">
      <c r="A13" s="65" t="inlineStr">
        <is>
          <t xml:space="preserve">P002</t>
        </is>
      </c>
      <c r="B13" s="96" t="n">
        <v>3</v>
      </c>
      <c r="C13" s="96" t="inlineStr">
        <is>
          <t xml:space="preserve">O1-S2-EA</t>
        </is>
      </c>
      <c r="D13" s="96" t="n">
        <v>2</v>
      </c>
      <c r="E13" s="96" t="inlineStr">
        <is>
          <t xml:space="preserve">固定订书机</t>
        </is>
      </c>
      <c r="F13" s="96" t="inlineStr">
        <is>
          <t xml:space="preserve">stapler</t>
        </is>
      </c>
      <c r="G13" s="96" t="inlineStr">
        <is>
          <t xml:space="preserve">方法A</t>
        </is>
      </c>
      <c r="H13" s="96" t="inlineStr">
        <is>
          <t xml:space="preserve">EgoAnchor</t>
        </is>
      </c>
      <c r="I13" s="96" t="n">
        <v>1</v>
      </c>
      <c r="J13" s="96" t="n">
        <v>2</v>
      </c>
      <c r="K13" s="85" t="n">
        <v>5</v>
      </c>
      <c r="L13" s="85" t="n">
        <v>5</v>
      </c>
      <c r="M13" s="85" t="n">
        <v>6</v>
      </c>
      <c r="N13" s="75"/>
      <c r="O13" s="85" t="n">
        <v>5</v>
      </c>
      <c r="P13" s="85" t="n">
        <v>7</v>
      </c>
      <c r="Q13" s="85" t="n">
        <v>7</v>
      </c>
      <c r="R13" s="85" t="n">
        <v>6</v>
      </c>
      <c r="S13" s="85" t="n">
        <v>6</v>
      </c>
      <c r="T13" s="85" t="n">
        <v>5</v>
      </c>
      <c r="U13" s="85" t="n">
        <v>5</v>
      </c>
      <c r="V13" s="85" t="n">
        <v>7</v>
      </c>
      <c r="W13" s="85" t="n">
        <v>7</v>
      </c>
      <c r="X13" s="85" t="n">
        <v>6</v>
      </c>
      <c r="Y13" s="497" t="n">
        <v>46237.45646896991</v>
      </c>
      <c r="Z13" s="497" t="n">
        <v>46237.457524212965</v>
      </c>
      <c r="AA13" s="500" t="n">
        <v>91.2</v>
      </c>
      <c r="AB13" s="85" t="str">
        <v>是</v>
      </c>
      <c r="AC13" s="85" t="str">
        <v>是</v>
      </c>
      <c r="AD13" s="85" t="str">
        <v>是</v>
      </c>
      <c r="AE13" s="85" t="str">
        <v>无</v>
      </c>
      <c r="AF13" s="503" t="n">
        <v>12.81</v>
      </c>
      <c r="AG13" s="503" t="n">
        <v>0.804</v>
      </c>
      <c r="AH13" s="503" t="n">
        <v>0.885</v>
      </c>
      <c r="AI13" s="503" t="n">
        <v>0.995</v>
      </c>
      <c r="AJ13" s="503" t="n">
        <v>0.762</v>
      </c>
      <c r="AK13" s="78" t="str">
        <v>FrozenUncertain</v>
      </c>
      <c r="AL13" s="78" t="str">
        <v>否</v>
      </c>
      <c r="AM13" s="506" t="n">
        <v>1</v>
      </c>
      <c r="AN13" s="506" t="n">
        <v>2</v>
      </c>
      <c r="AO13" s="218" t="str"/>
    </row>
    <row r="14" ht="24" customHeight="1">
      <c r="A14" s="65" t="inlineStr">
        <is>
          <t xml:space="preserve">P002</t>
        </is>
      </c>
      <c r="B14" s="96" t="n">
        <v>4</v>
      </c>
      <c r="C14" s="96" t="inlineStr">
        <is>
          <t xml:space="preserve">O1-S2-EA</t>
        </is>
      </c>
      <c r="D14" s="96" t="n">
        <v>2</v>
      </c>
      <c r="E14" s="96" t="inlineStr">
        <is>
          <t xml:space="preserve">固定订书机</t>
        </is>
      </c>
      <c r="F14" s="96" t="inlineStr">
        <is>
          <t xml:space="preserve">stapler</t>
        </is>
      </c>
      <c r="G14" s="96" t="inlineStr">
        <is>
          <t xml:space="preserve">方法B</t>
        </is>
      </c>
      <c r="H14" s="96" t="inlineStr">
        <is>
          <t xml:space="preserve">One-Euro</t>
        </is>
      </c>
      <c r="I14" s="96" t="n">
        <v>2</v>
      </c>
      <c r="J14" s="96" t="n">
        <v>2</v>
      </c>
      <c r="K14" s="85" t="n">
        <v>5</v>
      </c>
      <c r="L14" s="85" t="n">
        <v>7</v>
      </c>
      <c r="M14" s="85" t="n">
        <v>5</v>
      </c>
      <c r="N14" s="75"/>
      <c r="O14" s="85" t="n">
        <v>7</v>
      </c>
      <c r="P14" s="85" t="n">
        <v>6</v>
      </c>
      <c r="Q14" s="85" t="n">
        <v>3</v>
      </c>
      <c r="R14" s="85" t="n">
        <v>5</v>
      </c>
      <c r="S14" s="85" t="n">
        <v>5</v>
      </c>
      <c r="T14" s="85" t="n">
        <v>5</v>
      </c>
      <c r="U14" s="85" t="n">
        <v>6</v>
      </c>
      <c r="V14" s="85" t="n">
        <v>6</v>
      </c>
      <c r="W14" s="85" t="n">
        <v>5</v>
      </c>
      <c r="X14" s="85" t="n">
        <v>5</v>
      </c>
      <c r="Y14" s="497" t="n">
        <v>46237.45849576389</v>
      </c>
      <c r="Z14" s="497" t="n">
        <v>46237.459358252316</v>
      </c>
      <c r="AA14" s="500" t="n">
        <v>74.5</v>
      </c>
      <c r="AB14" s="85" t="str">
        <v>是</v>
      </c>
      <c r="AC14" s="85" t="str">
        <v>是</v>
      </c>
      <c r="AD14" s="85" t="str">
        <v>是</v>
      </c>
      <c r="AE14" s="85" t="str">
        <v>无</v>
      </c>
      <c r="AF14" s="503" t="n">
        <v>12.61</v>
      </c>
      <c r="AG14" s="503" t="n">
        <v>0.794</v>
      </c>
      <c r="AH14" s="503" t="n">
        <v>0.918</v>
      </c>
      <c r="AI14" s="503" t="n">
        <v>0.994</v>
      </c>
      <c r="AJ14" s="503" t="n">
        <v>0.785</v>
      </c>
      <c r="AK14" s="78" t="str">
        <v>FrozenUncertain</v>
      </c>
      <c r="AL14" s="78" t="str">
        <v>否</v>
      </c>
      <c r="AM14" s="506" t="n">
        <v>1</v>
      </c>
      <c r="AN14" s="506" t="n">
        <v>0</v>
      </c>
      <c r="AO14" s="218" t="str"/>
    </row>
    <row r="15" ht="24" customHeight="1">
      <c r="A15" s="65" t="inlineStr">
        <is>
          <t xml:space="preserve">P002</t>
        </is>
      </c>
      <c r="B15" s="96" t="n">
        <v>5</v>
      </c>
      <c r="C15" s="96" t="inlineStr">
        <is>
          <t xml:space="preserve">O1-S2-EA</t>
        </is>
      </c>
      <c r="D15" s="96" t="n">
        <v>3</v>
      </c>
      <c r="E15" s="96" t="inlineStr">
        <is>
          <t xml:space="preserve">游戏手柄</t>
        </is>
      </c>
      <c r="F15" s="96" t="inlineStr">
        <is>
          <t xml:space="preserve">gamepad</t>
        </is>
      </c>
      <c r="G15" s="96" t="inlineStr">
        <is>
          <t xml:space="preserve">方法B</t>
        </is>
      </c>
      <c r="H15" s="96" t="inlineStr">
        <is>
          <t xml:space="preserve">One-Euro</t>
        </is>
      </c>
      <c r="I15" s="96" t="n">
        <v>1</v>
      </c>
      <c r="J15" s="96" t="n">
        <v>3</v>
      </c>
      <c r="K15" s="85" t="n">
        <v>4</v>
      </c>
      <c r="L15" s="85" t="n">
        <v>5</v>
      </c>
      <c r="M15" s="85" t="n">
        <v>4</v>
      </c>
      <c r="N15" s="75"/>
      <c r="O15" s="85" t="n">
        <v>6</v>
      </c>
      <c r="P15" s="85" t="n">
        <v>4</v>
      </c>
      <c r="Q15" s="85" t="n">
        <v>5</v>
      </c>
      <c r="R15" s="85" t="n">
        <v>4</v>
      </c>
      <c r="S15" s="85" t="n">
        <v>5</v>
      </c>
      <c r="T15" s="85" t="n">
        <v>4</v>
      </c>
      <c r="U15" s="85" t="n">
        <v>6</v>
      </c>
      <c r="V15" s="85" t="n">
        <v>5</v>
      </c>
      <c r="W15" s="85" t="n">
        <v>6</v>
      </c>
      <c r="X15" s="85" t="n">
        <v>3</v>
      </c>
      <c r="Y15" s="497" t="n">
        <v>46237.46038193287</v>
      </c>
      <c r="Z15" s="497" t="n">
        <v>46237.46146835648</v>
      </c>
      <c r="AA15" s="500" t="n">
        <v>93.9</v>
      </c>
      <c r="AB15" s="85" t="str">
        <v>是</v>
      </c>
      <c r="AC15" s="85" t="str">
        <v>是</v>
      </c>
      <c r="AD15" s="85" t="str">
        <v>是</v>
      </c>
      <c r="AE15" s="85" t="str">
        <v>无</v>
      </c>
      <c r="AF15" s="503" t="n">
        <v>12.61</v>
      </c>
      <c r="AG15" s="503" t="n">
        <v>0.729</v>
      </c>
      <c r="AH15" s="503" t="n">
        <v>0.852</v>
      </c>
      <c r="AI15" s="503" t="n">
        <v>0.988</v>
      </c>
      <c r="AJ15" s="503" t="n">
        <v>0.774</v>
      </c>
      <c r="AK15" s="78" t="str">
        <v>FrozenUncertain</v>
      </c>
      <c r="AL15" s="78" t="str">
        <v>否</v>
      </c>
      <c r="AM15" s="506" t="n">
        <v>1</v>
      </c>
      <c r="AN15" s="506" t="n">
        <v>0</v>
      </c>
      <c r="AO15" s="218" t="str">
        <v>静止阶段可见轻微抖动</v>
      </c>
    </row>
    <row r="16" ht="24" customHeight="1">
      <c r="A16" s="262" t="inlineStr">
        <is>
          <t xml:space="preserve">P002</t>
        </is>
      </c>
      <c r="B16" s="263" t="n">
        <v>6</v>
      </c>
      <c r="C16" s="263" t="inlineStr">
        <is>
          <t xml:space="preserve">O1-S2-EA</t>
        </is>
      </c>
      <c r="D16" s="263" t="n">
        <v>3</v>
      </c>
      <c r="E16" s="263" t="inlineStr">
        <is>
          <t xml:space="preserve">游戏手柄</t>
        </is>
      </c>
      <c r="F16" s="263" t="inlineStr">
        <is>
          <t xml:space="preserve">gamepad</t>
        </is>
      </c>
      <c r="G16" s="263" t="inlineStr">
        <is>
          <t xml:space="preserve">方法A</t>
        </is>
      </c>
      <c r="H16" s="263" t="inlineStr">
        <is>
          <t xml:space="preserve">EgoAnchor</t>
        </is>
      </c>
      <c r="I16" s="263" t="n">
        <v>2</v>
      </c>
      <c r="J16" s="263" t="n">
        <v>3</v>
      </c>
      <c r="K16" s="266" t="n">
        <v>6</v>
      </c>
      <c r="L16" s="266" t="n">
        <v>3</v>
      </c>
      <c r="M16" s="266" t="n">
        <v>6</v>
      </c>
      <c r="N16" s="278"/>
      <c r="O16" s="266" t="n">
        <v>5</v>
      </c>
      <c r="P16" s="266" t="n">
        <v>6</v>
      </c>
      <c r="Q16" s="266" t="n">
        <v>6</v>
      </c>
      <c r="R16" s="266" t="n">
        <v>7</v>
      </c>
      <c r="S16" s="266" t="n">
        <v>6</v>
      </c>
      <c r="T16" s="266" t="n">
        <v>5</v>
      </c>
      <c r="U16" s="266" t="n">
        <v>6</v>
      </c>
      <c r="V16" s="266" t="n">
        <v>6</v>
      </c>
      <c r="W16" s="266" t="n">
        <v>6</v>
      </c>
      <c r="X16" s="266" t="n">
        <v>4</v>
      </c>
      <c r="Y16" s="498" t="n">
        <v>46237.46238936343</v>
      </c>
      <c r="Z16" s="498" t="n">
        <v>46237.46350439815</v>
      </c>
      <c r="AA16" s="501" t="n">
        <v>96.3</v>
      </c>
      <c r="AB16" s="266" t="str">
        <v>是</v>
      </c>
      <c r="AC16" s="266" t="str">
        <v>是</v>
      </c>
      <c r="AD16" s="266" t="str">
        <v>是</v>
      </c>
      <c r="AE16" s="266" t="str">
        <v>无</v>
      </c>
      <c r="AF16" s="504" t="n">
        <v>13.25</v>
      </c>
      <c r="AG16" s="504" t="n">
        <v>0.762</v>
      </c>
      <c r="AH16" s="504" t="n">
        <v>0.89</v>
      </c>
      <c r="AI16" s="504" t="n">
        <v>0.985</v>
      </c>
      <c r="AJ16" s="504" t="n">
        <v>0.758</v>
      </c>
      <c r="AK16" s="279" t="str">
        <v>FrozenUncertain</v>
      </c>
      <c r="AL16" s="279" t="str">
        <v>否</v>
      </c>
      <c r="AM16" s="507" t="n">
        <v>1</v>
      </c>
      <c r="AN16" s="507" t="n">
        <v>2</v>
      </c>
      <c r="AO16" s="279" t="str"/>
    </row>
    <row r="17" ht="24" customHeight="1">
      <c r="A17" s="65" t="inlineStr">
        <is>
          <t xml:space="preserve">P003</t>
        </is>
      </c>
      <c r="B17" s="96" t="n">
        <v>1</v>
      </c>
      <c r="C17" s="96" t="inlineStr">
        <is>
          <t xml:space="preserve">O1-S2-OE</t>
        </is>
      </c>
      <c r="D17" s="96" t="n">
        <v>1</v>
      </c>
      <c r="E17" s="96" t="inlineStr">
        <is>
          <t xml:space="preserve">鼠标</t>
        </is>
      </c>
      <c r="F17" s="96" t="inlineStr">
        <is>
          <t xml:space="preserve">blue_mouse</t>
        </is>
      </c>
      <c r="G17" s="96" t="inlineStr">
        <is>
          <t xml:space="preserve">方法B</t>
        </is>
      </c>
      <c r="H17" s="96" t="inlineStr">
        <is>
          <t xml:space="preserve">EgoAnchor</t>
        </is>
      </c>
      <c r="I17" s="96" t="n">
        <v>1</v>
      </c>
      <c r="J17" s="96" t="n">
        <v>1</v>
      </c>
      <c r="K17" s="85" t="n">
        <v>5</v>
      </c>
      <c r="L17" s="85" t="n">
        <v>4</v>
      </c>
      <c r="M17" s="85" t="n">
        <v>5</v>
      </c>
      <c r="N17" s="75"/>
      <c r="O17" s="85" t="n">
        <v>5</v>
      </c>
      <c r="P17" s="85" t="n">
        <v>5</v>
      </c>
      <c r="Q17" s="85" t="n">
        <v>6</v>
      </c>
      <c r="R17" s="85" t="n">
        <v>5</v>
      </c>
      <c r="S17" s="85" t="n">
        <v>6</v>
      </c>
      <c r="T17" s="85" t="n">
        <v>5</v>
      </c>
      <c r="U17" s="85" t="n">
        <v>6</v>
      </c>
      <c r="V17" s="85" t="n">
        <v>6</v>
      </c>
      <c r="W17" s="85" t="n">
        <v>5</v>
      </c>
      <c r="X17" s="85" t="n">
        <v>5</v>
      </c>
      <c r="Y17" s="497" t="n">
        <v>46237.57441223379</v>
      </c>
      <c r="Z17" s="497" t="n">
        <v>46237.575441886576</v>
      </c>
      <c r="AA17" s="500" t="n">
        <v>89</v>
      </c>
      <c r="AB17" s="85" t="str">
        <v>是</v>
      </c>
      <c r="AC17" s="85" t="str">
        <v>是</v>
      </c>
      <c r="AD17" s="85" t="str">
        <v>是</v>
      </c>
      <c r="AE17" s="85" t="str">
        <v>无</v>
      </c>
      <c r="AF17" s="503" t="n">
        <v>13.88</v>
      </c>
      <c r="AG17" s="503" t="n">
        <v>0.803</v>
      </c>
      <c r="AH17" s="503" t="n">
        <v>0.888</v>
      </c>
      <c r="AI17" s="503" t="n">
        <v>0.987</v>
      </c>
      <c r="AJ17" s="503" t="n">
        <v>0.772</v>
      </c>
      <c r="AK17" s="78" t="str">
        <v>FrozenUncertain</v>
      </c>
      <c r="AL17" s="78" t="str">
        <v>否</v>
      </c>
      <c r="AM17" s="506" t="n">
        <v>1</v>
      </c>
      <c r="AN17" s="506" t="n">
        <v>2</v>
      </c>
      <c r="AO17" s="218" t="str"/>
    </row>
    <row r="18" ht="24" customHeight="1">
      <c r="A18" s="65" t="inlineStr">
        <is>
          <t xml:space="preserve">P003</t>
        </is>
      </c>
      <c r="B18" s="96" t="n">
        <v>2</v>
      </c>
      <c r="C18" s="96" t="inlineStr">
        <is>
          <t xml:space="preserve">O1-S2-OE</t>
        </is>
      </c>
      <c r="D18" s="96" t="n">
        <v>1</v>
      </c>
      <c r="E18" s="96" t="inlineStr">
        <is>
          <t xml:space="preserve">鼠标</t>
        </is>
      </c>
      <c r="F18" s="96" t="inlineStr">
        <is>
          <t xml:space="preserve">blue_mouse</t>
        </is>
      </c>
      <c r="G18" s="96" t="inlineStr">
        <is>
          <t xml:space="preserve">方法A</t>
        </is>
      </c>
      <c r="H18" s="96" t="inlineStr">
        <is>
          <t xml:space="preserve">One-Euro</t>
        </is>
      </c>
      <c r="I18" s="96" t="n">
        <v>2</v>
      </c>
      <c r="J18" s="96" t="n">
        <v>1</v>
      </c>
      <c r="K18" s="85" t="n">
        <v>5</v>
      </c>
      <c r="L18" s="85" t="n">
        <v>5</v>
      </c>
      <c r="M18" s="85" t="n">
        <v>4</v>
      </c>
      <c r="N18" s="75"/>
      <c r="O18" s="85" t="n">
        <v>7</v>
      </c>
      <c r="P18" s="85" t="n">
        <v>6</v>
      </c>
      <c r="Q18" s="85" t="n">
        <v>5</v>
      </c>
      <c r="R18" s="85" t="n">
        <v>5</v>
      </c>
      <c r="S18" s="85" t="n">
        <v>4</v>
      </c>
      <c r="T18" s="85" t="n">
        <v>5</v>
      </c>
      <c r="U18" s="85" t="n">
        <v>5</v>
      </c>
      <c r="V18" s="85" t="n">
        <v>5</v>
      </c>
      <c r="W18" s="85" t="n">
        <v>4</v>
      </c>
      <c r="X18" s="85" t="n">
        <v>6</v>
      </c>
      <c r="Y18" s="497" t="n">
        <v>46237.576454016205</v>
      </c>
      <c r="Z18" s="497" t="n">
        <v>46237.57768416667</v>
      </c>
      <c r="AA18" s="500" t="n">
        <v>106.3</v>
      </c>
      <c r="AB18" s="85" t="str">
        <v>是</v>
      </c>
      <c r="AC18" s="85" t="str">
        <v>是</v>
      </c>
      <c r="AD18" s="85" t="str">
        <v>是</v>
      </c>
      <c r="AE18" s="85" t="str">
        <v>无</v>
      </c>
      <c r="AF18" s="503" t="n">
        <v>12.83</v>
      </c>
      <c r="AG18" s="503" t="n">
        <v>0.714</v>
      </c>
      <c r="AH18" s="503" t="n">
        <v>0.902</v>
      </c>
      <c r="AI18" s="503" t="n">
        <v>0.996</v>
      </c>
      <c r="AJ18" s="503" t="n">
        <v>0.844</v>
      </c>
      <c r="AK18" s="78" t="str">
        <v>FrozenUncertain</v>
      </c>
      <c r="AL18" s="78" t="str">
        <v>否</v>
      </c>
      <c r="AM18" s="506" t="n">
        <v>0</v>
      </c>
      <c r="AN18" s="506" t="n">
        <v>0</v>
      </c>
      <c r="AO18" s="218" t="str"/>
    </row>
    <row r="19" ht="24" customHeight="1">
      <c r="A19" s="65" t="inlineStr">
        <is>
          <t xml:space="preserve">P003</t>
        </is>
      </c>
      <c r="B19" s="96" t="n">
        <v>3</v>
      </c>
      <c r="C19" s="96" t="inlineStr">
        <is>
          <t xml:space="preserve">O1-S2-OE</t>
        </is>
      </c>
      <c r="D19" s="96" t="n">
        <v>2</v>
      </c>
      <c r="E19" s="96" t="inlineStr">
        <is>
          <t xml:space="preserve">固定订书机</t>
        </is>
      </c>
      <c r="F19" s="96" t="inlineStr">
        <is>
          <t xml:space="preserve">stapler</t>
        </is>
      </c>
      <c r="G19" s="96" t="inlineStr">
        <is>
          <t xml:space="preserve">方法A</t>
        </is>
      </c>
      <c r="H19" s="96" t="inlineStr">
        <is>
          <t xml:space="preserve">One-Euro</t>
        </is>
      </c>
      <c r="I19" s="96" t="n">
        <v>1</v>
      </c>
      <c r="J19" s="96" t="n">
        <v>2</v>
      </c>
      <c r="K19" s="85" t="n">
        <v>4</v>
      </c>
      <c r="L19" s="85" t="n">
        <v>3</v>
      </c>
      <c r="M19" s="85" t="n">
        <v>4</v>
      </c>
      <c r="N19" s="75"/>
      <c r="O19" s="85" t="n">
        <v>4</v>
      </c>
      <c r="P19" s="85" t="n">
        <v>5</v>
      </c>
      <c r="Q19" s="85" t="n">
        <v>5</v>
      </c>
      <c r="R19" s="85" t="n">
        <v>6</v>
      </c>
      <c r="S19" s="85" t="n">
        <v>5</v>
      </c>
      <c r="T19" s="85" t="n">
        <v>5</v>
      </c>
      <c r="U19" s="85" t="n">
        <v>6</v>
      </c>
      <c r="V19" s="85" t="n">
        <v>5</v>
      </c>
      <c r="W19" s="85" t="n">
        <v>5</v>
      </c>
      <c r="X19" s="85" t="n">
        <v>5</v>
      </c>
      <c r="Y19" s="497" t="n">
        <v>46237.578620092594</v>
      </c>
      <c r="Z19" s="497" t="n">
        <v>46237.57941135416</v>
      </c>
      <c r="AA19" s="500" t="n">
        <v>68.4</v>
      </c>
      <c r="AB19" s="85" t="str">
        <v>是</v>
      </c>
      <c r="AC19" s="85" t="str">
        <v>是</v>
      </c>
      <c r="AD19" s="85" t="str">
        <v>是</v>
      </c>
      <c r="AE19" s="85" t="str">
        <v>无</v>
      </c>
      <c r="AF19" s="503" t="n">
        <v>12.85</v>
      </c>
      <c r="AG19" s="503" t="n">
        <v>0.869</v>
      </c>
      <c r="AH19" s="503" t="n">
        <v>0.92</v>
      </c>
      <c r="AI19" s="503" t="n">
        <v>0.999</v>
      </c>
      <c r="AJ19" s="503" t="n">
        <v>0.732</v>
      </c>
      <c r="AK19" s="78" t="str">
        <v>FrozenUncertain</v>
      </c>
      <c r="AL19" s="78" t="str">
        <v>否</v>
      </c>
      <c r="AM19" s="506" t="n">
        <v>0</v>
      </c>
      <c r="AN19" s="506" t="n">
        <v>0</v>
      </c>
      <c r="AO19" s="218" t="str"/>
    </row>
    <row r="20" ht="24" customHeight="1">
      <c r="A20" s="65" t="inlineStr">
        <is>
          <t xml:space="preserve">P003</t>
        </is>
      </c>
      <c r="B20" s="96" t="n">
        <v>4</v>
      </c>
      <c r="C20" s="96" t="inlineStr">
        <is>
          <t xml:space="preserve">O1-S2-OE</t>
        </is>
      </c>
      <c r="D20" s="96" t="n">
        <v>2</v>
      </c>
      <c r="E20" s="96" t="inlineStr">
        <is>
          <t xml:space="preserve">固定订书机</t>
        </is>
      </c>
      <c r="F20" s="96" t="inlineStr">
        <is>
          <t xml:space="preserve">stapler</t>
        </is>
      </c>
      <c r="G20" s="96" t="inlineStr">
        <is>
          <t xml:space="preserve">方法B</t>
        </is>
      </c>
      <c r="H20" s="96" t="inlineStr">
        <is>
          <t xml:space="preserve">EgoAnchor</t>
        </is>
      </c>
      <c r="I20" s="96" t="n">
        <v>2</v>
      </c>
      <c r="J20" s="96" t="n">
        <v>2</v>
      </c>
      <c r="K20" s="85" t="n">
        <v>6</v>
      </c>
      <c r="L20" s="85" t="n">
        <v>5</v>
      </c>
      <c r="M20" s="85" t="n">
        <v>5</v>
      </c>
      <c r="N20" s="75"/>
      <c r="O20" s="85" t="n">
        <v>6</v>
      </c>
      <c r="P20" s="85" t="n">
        <v>7</v>
      </c>
      <c r="Q20" s="85" t="n">
        <v>5</v>
      </c>
      <c r="R20" s="85" t="n">
        <v>5</v>
      </c>
      <c r="S20" s="85" t="n">
        <v>4</v>
      </c>
      <c r="T20" s="85" t="n">
        <v>6</v>
      </c>
      <c r="U20" s="85" t="n">
        <v>6</v>
      </c>
      <c r="V20" s="85" t="n">
        <v>6</v>
      </c>
      <c r="W20" s="85" t="n">
        <v>5</v>
      </c>
      <c r="X20" s="85" t="n">
        <v>5</v>
      </c>
      <c r="Y20" s="497" t="n">
        <v>46237.58024599537</v>
      </c>
      <c r="Z20" s="497" t="n">
        <v>46237.58124351852</v>
      </c>
      <c r="AA20" s="500" t="n">
        <v>86.2</v>
      </c>
      <c r="AB20" s="85" t="str">
        <v>是</v>
      </c>
      <c r="AC20" s="85" t="str">
        <v>是</v>
      </c>
      <c r="AD20" s="85" t="str">
        <v>是</v>
      </c>
      <c r="AE20" s="85" t="str">
        <v>无</v>
      </c>
      <c r="AF20" s="503" t="n">
        <v>13.18</v>
      </c>
      <c r="AG20" s="503" t="n">
        <v>0.837</v>
      </c>
      <c r="AH20" s="503" t="n">
        <v>0.878</v>
      </c>
      <c r="AI20" s="503" t="n">
        <v>0.993</v>
      </c>
      <c r="AJ20" s="503" t="n">
        <v>0.766</v>
      </c>
      <c r="AK20" s="78" t="str">
        <v>FrozenUncertain</v>
      </c>
      <c r="AL20" s="78" t="str">
        <v>否</v>
      </c>
      <c r="AM20" s="506" t="n">
        <v>1</v>
      </c>
      <c r="AN20" s="506" t="n">
        <v>4</v>
      </c>
      <c r="AO20" s="218" t="str"/>
    </row>
    <row r="21" ht="24" customHeight="1">
      <c r="A21" s="65" t="inlineStr">
        <is>
          <t xml:space="preserve">P003</t>
        </is>
      </c>
      <c r="B21" s="96" t="n">
        <v>5</v>
      </c>
      <c r="C21" s="96" t="inlineStr">
        <is>
          <t xml:space="preserve">O1-S2-OE</t>
        </is>
      </c>
      <c r="D21" s="96" t="n">
        <v>3</v>
      </c>
      <c r="E21" s="96" t="inlineStr">
        <is>
          <t xml:space="preserve">游戏手柄</t>
        </is>
      </c>
      <c r="F21" s="96" t="inlineStr">
        <is>
          <t xml:space="preserve">gamepad</t>
        </is>
      </c>
      <c r="G21" s="96" t="inlineStr">
        <is>
          <t xml:space="preserve">方法B</t>
        </is>
      </c>
      <c r="H21" s="96" t="inlineStr">
        <is>
          <t xml:space="preserve">EgoAnchor</t>
        </is>
      </c>
      <c r="I21" s="96" t="n">
        <v>1</v>
      </c>
      <c r="J21" s="96" t="n">
        <v>3</v>
      </c>
      <c r="K21" s="85" t="n">
        <v>6</v>
      </c>
      <c r="L21" s="85" t="n">
        <v>5</v>
      </c>
      <c r="M21" s="85" t="n">
        <v>6</v>
      </c>
      <c r="N21" s="75"/>
      <c r="O21" s="85" t="n">
        <v>5</v>
      </c>
      <c r="P21" s="85" t="n">
        <v>6</v>
      </c>
      <c r="Q21" s="85" t="n">
        <v>6</v>
      </c>
      <c r="R21" s="85" t="n">
        <v>5</v>
      </c>
      <c r="S21" s="85" t="n">
        <v>6</v>
      </c>
      <c r="T21" s="85" t="n">
        <v>6</v>
      </c>
      <c r="U21" s="85" t="n">
        <v>6</v>
      </c>
      <c r="V21" s="85" t="n">
        <v>6</v>
      </c>
      <c r="W21" s="85" t="n">
        <v>6</v>
      </c>
      <c r="X21" s="85" t="n">
        <v>5</v>
      </c>
      <c r="Y21" s="497" t="n">
        <v>46237.582211203706</v>
      </c>
      <c r="Z21" s="497" t="n">
        <v>46237.583489791665</v>
      </c>
      <c r="AA21" s="500" t="n">
        <v>110.5</v>
      </c>
      <c r="AB21" s="85" t="str">
        <v>是</v>
      </c>
      <c r="AC21" s="85" t="str">
        <v>是</v>
      </c>
      <c r="AD21" s="85" t="str">
        <v>是</v>
      </c>
      <c r="AE21" s="85" t="str">
        <v>无</v>
      </c>
      <c r="AF21" s="503" t="n">
        <v>12.53</v>
      </c>
      <c r="AG21" s="503" t="n">
        <v>0.823</v>
      </c>
      <c r="AH21" s="503" t="n">
        <v>0.867</v>
      </c>
      <c r="AI21" s="503" t="n">
        <v>0.995</v>
      </c>
      <c r="AJ21" s="503" t="n">
        <v>0.795</v>
      </c>
      <c r="AK21" s="78" t="str">
        <v>FrozenUncertain</v>
      </c>
      <c r="AL21" s="78" t="str">
        <v>否</v>
      </c>
      <c r="AM21" s="506" t="n">
        <v>0</v>
      </c>
      <c r="AN21" s="506" t="n">
        <v>2</v>
      </c>
      <c r="AO21" s="218" t="str"/>
    </row>
    <row r="22" ht="24" customHeight="1">
      <c r="A22" s="262" t="inlineStr">
        <is>
          <t xml:space="preserve">P003</t>
        </is>
      </c>
      <c r="B22" s="263" t="n">
        <v>6</v>
      </c>
      <c r="C22" s="263" t="inlineStr">
        <is>
          <t xml:space="preserve">O1-S2-OE</t>
        </is>
      </c>
      <c r="D22" s="263" t="n">
        <v>3</v>
      </c>
      <c r="E22" s="263" t="inlineStr">
        <is>
          <t xml:space="preserve">游戏手柄</t>
        </is>
      </c>
      <c r="F22" s="263" t="inlineStr">
        <is>
          <t xml:space="preserve">gamepad</t>
        </is>
      </c>
      <c r="G22" s="263" t="inlineStr">
        <is>
          <t xml:space="preserve">方法A</t>
        </is>
      </c>
      <c r="H22" s="263" t="inlineStr">
        <is>
          <t xml:space="preserve">One-Euro</t>
        </is>
      </c>
      <c r="I22" s="263" t="n">
        <v>2</v>
      </c>
      <c r="J22" s="263" t="n">
        <v>3</v>
      </c>
      <c r="K22" s="266" t="n">
        <v>5</v>
      </c>
      <c r="L22" s="266" t="n">
        <v>7</v>
      </c>
      <c r="M22" s="266" t="n">
        <v>5</v>
      </c>
      <c r="N22" s="278"/>
      <c r="O22" s="266" t="n">
        <v>6</v>
      </c>
      <c r="P22" s="266" t="n">
        <v>5</v>
      </c>
      <c r="Q22" s="266" t="n">
        <v>4</v>
      </c>
      <c r="R22" s="266" t="n">
        <v>4</v>
      </c>
      <c r="S22" s="266" t="n">
        <v>5</v>
      </c>
      <c r="T22" s="266" t="n">
        <v>4</v>
      </c>
      <c r="U22" s="266" t="n">
        <v>6</v>
      </c>
      <c r="V22" s="266" t="n">
        <v>5</v>
      </c>
      <c r="W22" s="266" t="n">
        <v>4</v>
      </c>
      <c r="X22" s="266" t="n">
        <v>4</v>
      </c>
      <c r="Y22" s="498" t="n">
        <v>46237.58442707176</v>
      </c>
      <c r="Z22" s="498" t="n">
        <v>46237.585488240744</v>
      </c>
      <c r="AA22" s="501" t="n">
        <v>91.7</v>
      </c>
      <c r="AB22" s="266" t="str">
        <v>是</v>
      </c>
      <c r="AC22" s="266" t="str">
        <v>是</v>
      </c>
      <c r="AD22" s="266" t="str">
        <v>是</v>
      </c>
      <c r="AE22" s="266" t="str">
        <v>无</v>
      </c>
      <c r="AF22" s="504" t="n">
        <v>12.3</v>
      </c>
      <c r="AG22" s="504" t="n">
        <v>0.753</v>
      </c>
      <c r="AH22" s="504" t="n">
        <v>0.906</v>
      </c>
      <c r="AI22" s="504" t="n">
        <v>0.993</v>
      </c>
      <c r="AJ22" s="504" t="n">
        <v>0.692</v>
      </c>
      <c r="AK22" s="279" t="str">
        <v>FrozenUncertain</v>
      </c>
      <c r="AL22" s="279" t="str">
        <v>否</v>
      </c>
      <c r="AM22" s="507" t="n">
        <v>1</v>
      </c>
      <c r="AN22" s="507" t="n">
        <v>0</v>
      </c>
      <c r="AO22" s="279" t="str">
        <v>遮挡恢复后出现一次小跳变</v>
      </c>
    </row>
    <row r="23" ht="24" customHeight="1">
      <c r="A23" s="65" t="inlineStr">
        <is>
          <t xml:space="preserve">P004</t>
        </is>
      </c>
      <c r="B23" s="96" t="n">
        <v>1</v>
      </c>
      <c r="C23" s="96" t="inlineStr">
        <is>
          <t xml:space="preserve">O1-S1-OE</t>
        </is>
      </c>
      <c r="D23" s="96" t="n">
        <v>1</v>
      </c>
      <c r="E23" s="96" t="inlineStr">
        <is>
          <t xml:space="preserve">鼠标</t>
        </is>
      </c>
      <c r="F23" s="96" t="inlineStr">
        <is>
          <t xml:space="preserve">blue_mouse</t>
        </is>
      </c>
      <c r="G23" s="96" t="inlineStr">
        <is>
          <t xml:space="preserve">方法A</t>
        </is>
      </c>
      <c r="H23" s="96" t="inlineStr">
        <is>
          <t xml:space="preserve">One-Euro</t>
        </is>
      </c>
      <c r="I23" s="96" t="n">
        <v>1</v>
      </c>
      <c r="J23" s="96" t="n">
        <v>1</v>
      </c>
      <c r="K23" s="85" t="n">
        <v>5</v>
      </c>
      <c r="L23" s="85" t="n">
        <v>4</v>
      </c>
      <c r="M23" s="85" t="n">
        <v>3</v>
      </c>
      <c r="N23" s="75"/>
      <c r="O23" s="85" t="n">
        <v>6</v>
      </c>
      <c r="P23" s="85" t="n">
        <v>3</v>
      </c>
      <c r="Q23" s="85" t="n">
        <v>5</v>
      </c>
      <c r="R23" s="85" t="n">
        <v>5</v>
      </c>
      <c r="S23" s="85" t="n">
        <v>4</v>
      </c>
      <c r="T23" s="85" t="n">
        <v>4</v>
      </c>
      <c r="U23" s="85" t="n">
        <v>5</v>
      </c>
      <c r="V23" s="85" t="n">
        <v>4</v>
      </c>
      <c r="W23" s="85" t="n">
        <v>5</v>
      </c>
      <c r="X23" s="85" t="n">
        <v>4</v>
      </c>
      <c r="Y23" s="497" t="n">
        <v>46237.64820697917</v>
      </c>
      <c r="Z23" s="497" t="n">
        <v>46237.649670983796</v>
      </c>
      <c r="AA23" s="500" t="n">
        <v>126.5</v>
      </c>
      <c r="AB23" s="85" t="str">
        <v>是</v>
      </c>
      <c r="AC23" s="85" t="str">
        <v>是</v>
      </c>
      <c r="AD23" s="85" t="str">
        <v>是</v>
      </c>
      <c r="AE23" s="85" t="str">
        <v>无</v>
      </c>
      <c r="AF23" s="503" t="n">
        <v>12.42</v>
      </c>
      <c r="AG23" s="503" t="n">
        <v>0.722</v>
      </c>
      <c r="AH23" s="503" t="n">
        <v>0.849</v>
      </c>
      <c r="AI23" s="503" t="n">
        <v>1</v>
      </c>
      <c r="AJ23" s="503" t="n">
        <v>0.742</v>
      </c>
      <c r="AK23" s="78" t="str">
        <v>FrozenUncertain</v>
      </c>
      <c r="AL23" s="78" t="str">
        <v>否</v>
      </c>
      <c r="AM23" s="506" t="n">
        <v>0</v>
      </c>
      <c r="AN23" s="506" t="n">
        <v>0</v>
      </c>
      <c r="AO23" s="218" t="str"/>
    </row>
    <row r="24" ht="24" customHeight="1">
      <c r="A24" s="65" t="inlineStr">
        <is>
          <t xml:space="preserve">P004</t>
        </is>
      </c>
      <c r="B24" s="96" t="n">
        <v>2</v>
      </c>
      <c r="C24" s="96" t="inlineStr">
        <is>
          <t xml:space="preserve">O1-S1-OE</t>
        </is>
      </c>
      <c r="D24" s="96" t="n">
        <v>1</v>
      </c>
      <c r="E24" s="96" t="inlineStr">
        <is>
          <t xml:space="preserve">鼠标</t>
        </is>
      </c>
      <c r="F24" s="96" t="inlineStr">
        <is>
          <t xml:space="preserve">blue_mouse</t>
        </is>
      </c>
      <c r="G24" s="96" t="inlineStr">
        <is>
          <t xml:space="preserve">方法B</t>
        </is>
      </c>
      <c r="H24" s="96" t="inlineStr">
        <is>
          <t xml:space="preserve">EgoAnchor</t>
        </is>
      </c>
      <c r="I24" s="96" t="n">
        <v>2</v>
      </c>
      <c r="J24" s="96" t="n">
        <v>1</v>
      </c>
      <c r="K24" s="85" t="n">
        <v>4</v>
      </c>
      <c r="L24" s="85" t="n">
        <v>5</v>
      </c>
      <c r="M24" s="85" t="n">
        <v>4</v>
      </c>
      <c r="N24" s="75"/>
      <c r="O24" s="85" t="n">
        <v>4</v>
      </c>
      <c r="P24" s="85" t="n">
        <v>5</v>
      </c>
      <c r="Q24" s="85" t="n">
        <v>3</v>
      </c>
      <c r="R24" s="85" t="n">
        <v>5</v>
      </c>
      <c r="S24" s="85" t="n">
        <v>4</v>
      </c>
      <c r="T24" s="85" t="n">
        <v>4</v>
      </c>
      <c r="U24" s="85" t="n">
        <v>6</v>
      </c>
      <c r="V24" s="85" t="n">
        <v>5</v>
      </c>
      <c r="W24" s="85" t="n">
        <v>5</v>
      </c>
      <c r="X24" s="85" t="n">
        <v>5</v>
      </c>
      <c r="Y24" s="497" t="n">
        <v>46237.65057119213</v>
      </c>
      <c r="Z24" s="497" t="n">
        <v>46237.65179739583</v>
      </c>
      <c r="AA24" s="500" t="n">
        <v>105.9</v>
      </c>
      <c r="AB24" s="85" t="str">
        <v>是</v>
      </c>
      <c r="AC24" s="85" t="str">
        <v>是</v>
      </c>
      <c r="AD24" s="85" t="str">
        <v>是</v>
      </c>
      <c r="AE24" s="85" t="str">
        <v>无</v>
      </c>
      <c r="AF24" s="503" t="n">
        <v>13.77</v>
      </c>
      <c r="AG24" s="503" t="n">
        <v>0.765</v>
      </c>
      <c r="AH24" s="503" t="n">
        <v>0.87</v>
      </c>
      <c r="AI24" s="503" t="n">
        <v>0.993</v>
      </c>
      <c r="AJ24" s="503" t="n">
        <v>0.737</v>
      </c>
      <c r="AK24" s="78" t="str">
        <v>FrozenUncertain</v>
      </c>
      <c r="AL24" s="78" t="str">
        <v>否</v>
      </c>
      <c r="AM24" s="506" t="n">
        <v>1</v>
      </c>
      <c r="AN24" s="506" t="n">
        <v>3</v>
      </c>
      <c r="AO24" s="218" t="str"/>
    </row>
    <row r="25" ht="24" customHeight="1">
      <c r="A25" s="65" t="inlineStr">
        <is>
          <t xml:space="preserve">P004</t>
        </is>
      </c>
      <c r="B25" s="96" t="n">
        <v>3</v>
      </c>
      <c r="C25" s="96" t="inlineStr">
        <is>
          <t xml:space="preserve">O1-S1-OE</t>
        </is>
      </c>
      <c r="D25" s="96" t="n">
        <v>2</v>
      </c>
      <c r="E25" s="96" t="inlineStr">
        <is>
          <t xml:space="preserve">固定订书机</t>
        </is>
      </c>
      <c r="F25" s="96" t="inlineStr">
        <is>
          <t xml:space="preserve">stapler</t>
        </is>
      </c>
      <c r="G25" s="96" t="inlineStr">
        <is>
          <t xml:space="preserve">方法B</t>
        </is>
      </c>
      <c r="H25" s="96" t="inlineStr">
        <is>
          <t xml:space="preserve">EgoAnchor</t>
        </is>
      </c>
      <c r="I25" s="96" t="n">
        <v>1</v>
      </c>
      <c r="J25" s="96" t="n">
        <v>2</v>
      </c>
      <c r="K25" s="85" t="n">
        <v>4</v>
      </c>
      <c r="L25" s="85" t="n">
        <v>4</v>
      </c>
      <c r="M25" s="85" t="n">
        <v>4</v>
      </c>
      <c r="N25" s="75"/>
      <c r="O25" s="85" t="n">
        <v>5</v>
      </c>
      <c r="P25" s="85" t="n">
        <v>5</v>
      </c>
      <c r="Q25" s="85" t="n">
        <v>3</v>
      </c>
      <c r="R25" s="85" t="n">
        <v>6</v>
      </c>
      <c r="S25" s="85" t="n">
        <v>4</v>
      </c>
      <c r="T25" s="85" t="n">
        <v>5</v>
      </c>
      <c r="U25" s="85" t="n">
        <v>4</v>
      </c>
      <c r="V25" s="85" t="n">
        <v>6</v>
      </c>
      <c r="W25" s="85" t="n">
        <v>5</v>
      </c>
      <c r="X25" s="85" t="n">
        <v>4</v>
      </c>
      <c r="Y25" s="497" t="n">
        <v>46237.652907951386</v>
      </c>
      <c r="Z25" s="497" t="n">
        <v>46237.65405181713</v>
      </c>
      <c r="AA25" s="500" t="n">
        <v>98.8</v>
      </c>
      <c r="AB25" s="85" t="str">
        <v>是</v>
      </c>
      <c r="AC25" s="85" t="str">
        <v>是</v>
      </c>
      <c r="AD25" s="85" t="str">
        <v>是</v>
      </c>
      <c r="AE25" s="85" t="str">
        <v>无</v>
      </c>
      <c r="AF25" s="503" t="n">
        <v>12.87</v>
      </c>
      <c r="AG25" s="503" t="n">
        <v>0.796</v>
      </c>
      <c r="AH25" s="503" t="n">
        <v>0.894</v>
      </c>
      <c r="AI25" s="503" t="n">
        <v>0.989</v>
      </c>
      <c r="AJ25" s="503" t="n">
        <v>0.751</v>
      </c>
      <c r="AK25" s="78" t="str">
        <v>FrozenUncertain</v>
      </c>
      <c r="AL25" s="78" t="str">
        <v>否</v>
      </c>
      <c r="AM25" s="506" t="n">
        <v>2</v>
      </c>
      <c r="AN25" s="506" t="n">
        <v>2</v>
      </c>
      <c r="AO25" s="218" t="str">
        <v>遮挡恢复后出现一次小跳变</v>
      </c>
    </row>
    <row r="26" ht="24" customHeight="1">
      <c r="A26" s="65" t="inlineStr">
        <is>
          <t xml:space="preserve">P004</t>
        </is>
      </c>
      <c r="B26" s="96" t="n">
        <v>4</v>
      </c>
      <c r="C26" s="96" t="inlineStr">
        <is>
          <t xml:space="preserve">O1-S1-OE</t>
        </is>
      </c>
      <c r="D26" s="96" t="n">
        <v>2</v>
      </c>
      <c r="E26" s="96" t="inlineStr">
        <is>
          <t xml:space="preserve">固定订书机</t>
        </is>
      </c>
      <c r="F26" s="96" t="inlineStr">
        <is>
          <t xml:space="preserve">stapler</t>
        </is>
      </c>
      <c r="G26" s="96" t="inlineStr">
        <is>
          <t xml:space="preserve">方法A</t>
        </is>
      </c>
      <c r="H26" s="96" t="inlineStr">
        <is>
          <t xml:space="preserve">One-Euro</t>
        </is>
      </c>
      <c r="I26" s="96" t="n">
        <v>2</v>
      </c>
      <c r="J26" s="96" t="n">
        <v>2</v>
      </c>
      <c r="K26" s="85" t="n">
        <v>6</v>
      </c>
      <c r="L26" s="85" t="n">
        <v>4</v>
      </c>
      <c r="M26" s="85" t="n">
        <v>5</v>
      </c>
      <c r="N26" s="75"/>
      <c r="O26" s="85" t="n">
        <v>5</v>
      </c>
      <c r="P26" s="85" t="n">
        <v>4</v>
      </c>
      <c r="Q26" s="85" t="n">
        <v>5</v>
      </c>
      <c r="R26" s="85" t="n">
        <v>4</v>
      </c>
      <c r="S26" s="85" t="n">
        <v>4</v>
      </c>
      <c r="T26" s="85" t="n">
        <v>4</v>
      </c>
      <c r="U26" s="85" t="n">
        <v>5</v>
      </c>
      <c r="V26" s="85" t="n">
        <v>5</v>
      </c>
      <c r="W26" s="85" t="n">
        <v>3</v>
      </c>
      <c r="X26" s="85" t="n">
        <v>3</v>
      </c>
      <c r="Y26" s="497" t="n">
        <v>46237.65490059028</v>
      </c>
      <c r="Z26" s="497" t="n">
        <v>46237.65617556713</v>
      </c>
      <c r="AA26" s="500" t="n">
        <v>110.2</v>
      </c>
      <c r="AB26" s="85" t="str">
        <v>是</v>
      </c>
      <c r="AC26" s="85" t="str">
        <v>是</v>
      </c>
      <c r="AD26" s="85" t="str">
        <v>是</v>
      </c>
      <c r="AE26" s="85" t="str">
        <v>无</v>
      </c>
      <c r="AF26" s="503" t="n">
        <v>12.51</v>
      </c>
      <c r="AG26" s="503" t="n">
        <v>0.865</v>
      </c>
      <c r="AH26" s="503" t="n">
        <v>0.922</v>
      </c>
      <c r="AI26" s="503" t="n">
        <v>0.987</v>
      </c>
      <c r="AJ26" s="503" t="n">
        <v>0.689</v>
      </c>
      <c r="AK26" s="78" t="str">
        <v>FrozenUncertain</v>
      </c>
      <c r="AL26" s="78" t="str">
        <v>否</v>
      </c>
      <c r="AM26" s="506" t="n">
        <v>1</v>
      </c>
      <c r="AN26" s="506" t="n">
        <v>0</v>
      </c>
      <c r="AO26" s="218" t="str"/>
    </row>
    <row r="27" ht="24" customHeight="1">
      <c r="A27" s="65" t="inlineStr">
        <is>
          <t xml:space="preserve">P004</t>
        </is>
      </c>
      <c r="B27" s="96" t="n">
        <v>5</v>
      </c>
      <c r="C27" s="96" t="inlineStr">
        <is>
          <t xml:space="preserve">O1-S1-OE</t>
        </is>
      </c>
      <c r="D27" s="96" t="n">
        <v>3</v>
      </c>
      <c r="E27" s="96" t="inlineStr">
        <is>
          <t xml:space="preserve">游戏手柄</t>
        </is>
      </c>
      <c r="F27" s="96" t="inlineStr">
        <is>
          <t xml:space="preserve">gamepad</t>
        </is>
      </c>
      <c r="G27" s="96" t="inlineStr">
        <is>
          <t xml:space="preserve">方法A</t>
        </is>
      </c>
      <c r="H27" s="96" t="inlineStr">
        <is>
          <t xml:space="preserve">One-Euro</t>
        </is>
      </c>
      <c r="I27" s="96" t="n">
        <v>1</v>
      </c>
      <c r="J27" s="96" t="n">
        <v>3</v>
      </c>
      <c r="K27" s="85" t="n">
        <v>5</v>
      </c>
      <c r="L27" s="85" t="n">
        <v>4</v>
      </c>
      <c r="M27" s="85" t="n">
        <v>4</v>
      </c>
      <c r="N27" s="75"/>
      <c r="O27" s="85" t="n">
        <v>4</v>
      </c>
      <c r="P27" s="85" t="n">
        <v>5</v>
      </c>
      <c r="Q27" s="85" t="n">
        <v>4</v>
      </c>
      <c r="R27" s="85" t="n">
        <v>5</v>
      </c>
      <c r="S27" s="85" t="n">
        <v>4</v>
      </c>
      <c r="T27" s="85" t="n">
        <v>4</v>
      </c>
      <c r="U27" s="85" t="n">
        <v>4</v>
      </c>
      <c r="V27" s="85" t="n">
        <v>4</v>
      </c>
      <c r="W27" s="85" t="n">
        <v>5</v>
      </c>
      <c r="X27" s="85" t="n">
        <v>4</v>
      </c>
      <c r="Y27" s="497" t="n">
        <v>46237.65715866898</v>
      </c>
      <c r="Z27" s="497" t="n">
        <v>46237.65835621528</v>
      </c>
      <c r="AA27" s="500" t="n">
        <v>103.5</v>
      </c>
      <c r="AB27" s="85" t="str">
        <v>是</v>
      </c>
      <c r="AC27" s="85" t="str">
        <v>是</v>
      </c>
      <c r="AD27" s="85" t="str">
        <v>是</v>
      </c>
      <c r="AE27" s="85" t="str">
        <v>无</v>
      </c>
      <c r="AF27" s="503" t="n">
        <v>13.13</v>
      </c>
      <c r="AG27" s="503" t="n">
        <v>0.779</v>
      </c>
      <c r="AH27" s="503" t="n">
        <v>0.894</v>
      </c>
      <c r="AI27" s="503" t="n">
        <v>0.99</v>
      </c>
      <c r="AJ27" s="503" t="n">
        <v>0.749</v>
      </c>
      <c r="AK27" s="78" t="str">
        <v>FrozenUncertain</v>
      </c>
      <c r="AL27" s="78" t="str">
        <v>否</v>
      </c>
      <c r="AM27" s="506" t="n">
        <v>1</v>
      </c>
      <c r="AN27" s="506" t="n">
        <v>0</v>
      </c>
      <c r="AO27" s="218" t="str"/>
    </row>
    <row r="28" ht="24" customHeight="1">
      <c r="A28" s="262" t="inlineStr">
        <is>
          <t xml:space="preserve">P004</t>
        </is>
      </c>
      <c r="B28" s="263" t="n">
        <v>6</v>
      </c>
      <c r="C28" s="263" t="inlineStr">
        <is>
          <t xml:space="preserve">O1-S1-OE</t>
        </is>
      </c>
      <c r="D28" s="263" t="n">
        <v>3</v>
      </c>
      <c r="E28" s="263" t="inlineStr">
        <is>
          <t xml:space="preserve">游戏手柄</t>
        </is>
      </c>
      <c r="F28" s="263" t="inlineStr">
        <is>
          <t xml:space="preserve">gamepad</t>
        </is>
      </c>
      <c r="G28" s="263" t="inlineStr">
        <is>
          <t xml:space="preserve">方法B</t>
        </is>
      </c>
      <c r="H28" s="263" t="inlineStr">
        <is>
          <t xml:space="preserve">EgoAnchor</t>
        </is>
      </c>
      <c r="I28" s="263" t="n">
        <v>2</v>
      </c>
      <c r="J28" s="263" t="n">
        <v>3</v>
      </c>
      <c r="K28" s="266" t="n">
        <v>5</v>
      </c>
      <c r="L28" s="266" t="n">
        <v>4</v>
      </c>
      <c r="M28" s="266" t="n">
        <v>6</v>
      </c>
      <c r="N28" s="278"/>
      <c r="O28" s="266" t="n">
        <v>3</v>
      </c>
      <c r="P28" s="266" t="n">
        <v>5</v>
      </c>
      <c r="Q28" s="266" t="n">
        <v>2</v>
      </c>
      <c r="R28" s="266" t="n">
        <v>5</v>
      </c>
      <c r="S28" s="266" t="n">
        <v>4</v>
      </c>
      <c r="T28" s="266" t="n">
        <v>5</v>
      </c>
      <c r="U28" s="266" t="n">
        <v>6</v>
      </c>
      <c r="V28" s="266" t="n">
        <v>3</v>
      </c>
      <c r="W28" s="266" t="n">
        <v>2</v>
      </c>
      <c r="X28" s="266" t="n">
        <v>5</v>
      </c>
      <c r="Y28" s="498" t="n">
        <v>46237.659442511576</v>
      </c>
      <c r="Z28" s="498" t="n">
        <v>46237.6608021875</v>
      </c>
      <c r="AA28" s="501" t="n">
        <v>117.5</v>
      </c>
      <c r="AB28" s="266" t="str">
        <v>是</v>
      </c>
      <c r="AC28" s="266" t="str">
        <v>是</v>
      </c>
      <c r="AD28" s="266" t="str">
        <v>是</v>
      </c>
      <c r="AE28" s="266" t="str">
        <v>无</v>
      </c>
      <c r="AF28" s="504" t="n">
        <v>13.01</v>
      </c>
      <c r="AG28" s="504" t="n">
        <v>0.793</v>
      </c>
      <c r="AH28" s="504" t="n">
        <v>0.852</v>
      </c>
      <c r="AI28" s="504" t="n">
        <v>0.991</v>
      </c>
      <c r="AJ28" s="504" t="n">
        <v>0.742</v>
      </c>
      <c r="AK28" s="279" t="str">
        <v>FrozenUncertain</v>
      </c>
      <c r="AL28" s="279" t="str">
        <v>否</v>
      </c>
      <c r="AM28" s="507" t="n">
        <v>1</v>
      </c>
      <c r="AN28" s="507" t="n">
        <v>2</v>
      </c>
      <c r="AO28" s="279" t="str">
        <v>拿起时感觉略有滞后</v>
      </c>
    </row>
    <row r="29" ht="24" customHeight="1">
      <c r="A29" s="65" t="inlineStr">
        <is>
          <t xml:space="preserve">P005</t>
        </is>
      </c>
      <c r="B29" s="96" t="n">
        <v>1</v>
      </c>
      <c r="C29" s="96" t="inlineStr">
        <is>
          <t xml:space="preserve">O2-S1-EA</t>
        </is>
      </c>
      <c r="D29" s="96" t="n">
        <v>1</v>
      </c>
      <c r="E29" s="96" t="inlineStr">
        <is>
          <t xml:space="preserve">鼠标</t>
        </is>
      </c>
      <c r="F29" s="96" t="inlineStr">
        <is>
          <t xml:space="preserve">blue_mouse</t>
        </is>
      </c>
      <c r="G29" s="96" t="inlineStr">
        <is>
          <t xml:space="preserve">方法A</t>
        </is>
      </c>
      <c r="H29" s="96" t="inlineStr">
        <is>
          <t xml:space="preserve">EgoAnchor</t>
        </is>
      </c>
      <c r="I29" s="96" t="n">
        <v>1</v>
      </c>
      <c r="J29" s="96" t="n">
        <v>1</v>
      </c>
      <c r="K29" s="85" t="n">
        <v>7</v>
      </c>
      <c r="L29" s="85" t="n">
        <v>5</v>
      </c>
      <c r="M29" s="85" t="n">
        <v>4</v>
      </c>
      <c r="N29" s="75"/>
      <c r="O29" s="85" t="n">
        <v>5</v>
      </c>
      <c r="P29" s="85" t="n">
        <v>5</v>
      </c>
      <c r="Q29" s="85" t="n">
        <v>6</v>
      </c>
      <c r="R29" s="85" t="n">
        <v>5</v>
      </c>
      <c r="S29" s="85" t="n">
        <v>6</v>
      </c>
      <c r="T29" s="85" t="n">
        <v>5</v>
      </c>
      <c r="U29" s="85" t="n">
        <v>4</v>
      </c>
      <c r="V29" s="85" t="n">
        <v>5</v>
      </c>
      <c r="W29" s="85" t="n">
        <v>5</v>
      </c>
      <c r="X29" s="85" t="n">
        <v>6</v>
      </c>
      <c r="Y29" s="497" t="n">
        <v>46238.386381875</v>
      </c>
      <c r="Z29" s="497" t="n">
        <v>46238.387720983796</v>
      </c>
      <c r="AA29" s="500" t="n">
        <v>115.7</v>
      </c>
      <c r="AB29" s="85" t="str">
        <v>是</v>
      </c>
      <c r="AC29" s="85" t="str">
        <v>是</v>
      </c>
      <c r="AD29" s="85" t="str">
        <v>是</v>
      </c>
      <c r="AE29" s="85" t="str">
        <v>无</v>
      </c>
      <c r="AF29" s="503" t="n">
        <v>12.67</v>
      </c>
      <c r="AG29" s="503" t="n">
        <v>0.762</v>
      </c>
      <c r="AH29" s="503" t="n">
        <v>0.826</v>
      </c>
      <c r="AI29" s="503" t="n">
        <v>0.994</v>
      </c>
      <c r="AJ29" s="503" t="n">
        <v>0.767</v>
      </c>
      <c r="AK29" s="78" t="str">
        <v>FrozenUncertain</v>
      </c>
      <c r="AL29" s="78" t="str">
        <v>否</v>
      </c>
      <c r="AM29" s="506" t="n">
        <v>1</v>
      </c>
      <c r="AN29" s="506" t="n">
        <v>4</v>
      </c>
      <c r="AO29" s="218" t="str"/>
    </row>
    <row r="30" ht="24" customHeight="1">
      <c r="A30" s="65" t="inlineStr">
        <is>
          <t xml:space="preserve">P005</t>
        </is>
      </c>
      <c r="B30" s="96" t="n">
        <v>2</v>
      </c>
      <c r="C30" s="96" t="inlineStr">
        <is>
          <t xml:space="preserve">O2-S1-EA</t>
        </is>
      </c>
      <c r="D30" s="96" t="n">
        <v>1</v>
      </c>
      <c r="E30" s="96" t="inlineStr">
        <is>
          <t xml:space="preserve">鼠标</t>
        </is>
      </c>
      <c r="F30" s="96" t="inlineStr">
        <is>
          <t xml:space="preserve">blue_mouse</t>
        </is>
      </c>
      <c r="G30" s="96" t="inlineStr">
        <is>
          <t xml:space="preserve">方法B</t>
        </is>
      </c>
      <c r="H30" s="96" t="inlineStr">
        <is>
          <t xml:space="preserve">One-Euro</t>
        </is>
      </c>
      <c r="I30" s="96" t="n">
        <v>2</v>
      </c>
      <c r="J30" s="96" t="n">
        <v>1</v>
      </c>
      <c r="K30" s="85" t="n">
        <v>4</v>
      </c>
      <c r="L30" s="85" t="n">
        <v>5</v>
      </c>
      <c r="M30" s="85" t="n">
        <v>5</v>
      </c>
      <c r="N30" s="75"/>
      <c r="O30" s="85" t="n">
        <v>4</v>
      </c>
      <c r="P30" s="85" t="n">
        <v>6</v>
      </c>
      <c r="Q30" s="85" t="n">
        <v>3</v>
      </c>
      <c r="R30" s="85" t="n">
        <v>5</v>
      </c>
      <c r="S30" s="85" t="n">
        <v>4</v>
      </c>
      <c r="T30" s="85" t="n">
        <v>4</v>
      </c>
      <c r="U30" s="85" t="n">
        <v>6</v>
      </c>
      <c r="V30" s="85" t="n">
        <v>5</v>
      </c>
      <c r="W30" s="85" t="n">
        <v>4</v>
      </c>
      <c r="X30" s="85" t="n">
        <v>5</v>
      </c>
      <c r="Y30" s="497" t="n">
        <v>46238.38855333333</v>
      </c>
      <c r="Z30" s="497" t="n">
        <v>46238.3896777662</v>
      </c>
      <c r="AA30" s="500" t="n">
        <v>97.2</v>
      </c>
      <c r="AB30" s="85" t="str">
        <v>是</v>
      </c>
      <c r="AC30" s="85" t="str">
        <v>是</v>
      </c>
      <c r="AD30" s="85" t="str">
        <v>是</v>
      </c>
      <c r="AE30" s="85" t="str">
        <v>短暂帧率波动</v>
      </c>
      <c r="AF30" s="503" t="n">
        <v>13.83</v>
      </c>
      <c r="AG30" s="503" t="n">
        <v>0.728</v>
      </c>
      <c r="AH30" s="503" t="n">
        <v>0.897</v>
      </c>
      <c r="AI30" s="503" t="n">
        <v>0.973</v>
      </c>
      <c r="AJ30" s="503" t="n">
        <v>0.81</v>
      </c>
      <c r="AK30" s="78" t="str">
        <v>FrozenUncertain</v>
      </c>
      <c r="AL30" s="78" t="str">
        <v>否</v>
      </c>
      <c r="AM30" s="506" t="n">
        <v>1</v>
      </c>
      <c r="AN30" s="506" t="n">
        <v>0</v>
      </c>
      <c r="AO30" s="218" t="str">
        <v>短暂画面卡顿，自动恢复；任务与问卷均完成。</v>
      </c>
    </row>
    <row r="31" ht="24" customHeight="1">
      <c r="A31" s="65" t="inlineStr">
        <is>
          <t xml:space="preserve">P005</t>
        </is>
      </c>
      <c r="B31" s="96" t="n">
        <v>3</v>
      </c>
      <c r="C31" s="96" t="inlineStr">
        <is>
          <t xml:space="preserve">O2-S1-EA</t>
        </is>
      </c>
      <c r="D31" s="96" t="n">
        <v>2</v>
      </c>
      <c r="E31" s="96" t="inlineStr">
        <is>
          <t xml:space="preserve">游戏手柄</t>
        </is>
      </c>
      <c r="F31" s="96" t="inlineStr">
        <is>
          <t xml:space="preserve">gamepad</t>
        </is>
      </c>
      <c r="G31" s="96" t="inlineStr">
        <is>
          <t xml:space="preserve">方法B</t>
        </is>
      </c>
      <c r="H31" s="96" t="inlineStr">
        <is>
          <t xml:space="preserve">One-Euro</t>
        </is>
      </c>
      <c r="I31" s="96" t="n">
        <v>1</v>
      </c>
      <c r="J31" s="96" t="n">
        <v>2</v>
      </c>
      <c r="K31" s="85" t="n">
        <v>5</v>
      </c>
      <c r="L31" s="85" t="n">
        <v>5</v>
      </c>
      <c r="M31" s="85" t="n">
        <v>4</v>
      </c>
      <c r="N31" s="75"/>
      <c r="O31" s="85" t="n">
        <v>5</v>
      </c>
      <c r="P31" s="85" t="n">
        <v>5</v>
      </c>
      <c r="Q31" s="85" t="n">
        <v>4</v>
      </c>
      <c r="R31" s="85" t="n">
        <v>4</v>
      </c>
      <c r="S31" s="85" t="n">
        <v>5</v>
      </c>
      <c r="T31" s="85" t="n">
        <v>5</v>
      </c>
      <c r="U31" s="85" t="n">
        <v>6</v>
      </c>
      <c r="V31" s="85" t="n">
        <v>6</v>
      </c>
      <c r="W31" s="85" t="n">
        <v>5</v>
      </c>
      <c r="X31" s="85" t="n">
        <v>5</v>
      </c>
      <c r="Y31" s="497" t="n">
        <v>46238.39054375</v>
      </c>
      <c r="Z31" s="497" t="n">
        <v>46238.391708310184</v>
      </c>
      <c r="AA31" s="500" t="n">
        <v>100.6</v>
      </c>
      <c r="AB31" s="85" t="str">
        <v>是</v>
      </c>
      <c r="AC31" s="85" t="str">
        <v>是</v>
      </c>
      <c r="AD31" s="85" t="str">
        <v>是</v>
      </c>
      <c r="AE31" s="85" t="str">
        <v>无</v>
      </c>
      <c r="AF31" s="503" t="n">
        <v>12.23</v>
      </c>
      <c r="AG31" s="503" t="n">
        <v>0.79</v>
      </c>
      <c r="AH31" s="503" t="n">
        <v>0.897</v>
      </c>
      <c r="AI31" s="503" t="n">
        <v>0.995</v>
      </c>
      <c r="AJ31" s="503" t="n">
        <v>0.714</v>
      </c>
      <c r="AK31" s="78" t="str">
        <v>FrozenUncertain</v>
      </c>
      <c r="AL31" s="78" t="str">
        <v>否</v>
      </c>
      <c r="AM31" s="506" t="n">
        <v>1</v>
      </c>
      <c r="AN31" s="506" t="n">
        <v>0</v>
      </c>
      <c r="AO31" s="218" t="str"/>
    </row>
    <row r="32" ht="24" customHeight="1">
      <c r="A32" s="65" t="inlineStr">
        <is>
          <t xml:space="preserve">P005</t>
        </is>
      </c>
      <c r="B32" s="96" t="n">
        <v>4</v>
      </c>
      <c r="C32" s="96" t="inlineStr">
        <is>
          <t xml:space="preserve">O2-S1-EA</t>
        </is>
      </c>
      <c r="D32" s="96" t="n">
        <v>2</v>
      </c>
      <c r="E32" s="96" t="inlineStr">
        <is>
          <t xml:space="preserve">游戏手柄</t>
        </is>
      </c>
      <c r="F32" s="96" t="inlineStr">
        <is>
          <t xml:space="preserve">gamepad</t>
        </is>
      </c>
      <c r="G32" s="96" t="inlineStr">
        <is>
          <t xml:space="preserve">方法A</t>
        </is>
      </c>
      <c r="H32" s="96" t="inlineStr">
        <is>
          <t xml:space="preserve">EgoAnchor</t>
        </is>
      </c>
      <c r="I32" s="96" t="n">
        <v>2</v>
      </c>
      <c r="J32" s="96" t="n">
        <v>2</v>
      </c>
      <c r="K32" s="85" t="n">
        <v>6</v>
      </c>
      <c r="L32" s="85" t="n">
        <v>5</v>
      </c>
      <c r="M32" s="85" t="n">
        <v>6</v>
      </c>
      <c r="N32" s="75"/>
      <c r="O32" s="85" t="n">
        <v>5</v>
      </c>
      <c r="P32" s="85" t="n">
        <v>6</v>
      </c>
      <c r="Q32" s="85" t="n">
        <v>6</v>
      </c>
      <c r="R32" s="85" t="n">
        <v>7</v>
      </c>
      <c r="S32" s="85" t="n">
        <v>5</v>
      </c>
      <c r="T32" s="85" t="n">
        <v>6</v>
      </c>
      <c r="U32" s="85" t="n">
        <v>6</v>
      </c>
      <c r="V32" s="85" t="n">
        <v>5</v>
      </c>
      <c r="W32" s="85" t="n">
        <v>4</v>
      </c>
      <c r="X32" s="85" t="n">
        <v>5</v>
      </c>
      <c r="Y32" s="497" t="n">
        <v>46238.39268582176</v>
      </c>
      <c r="Z32" s="497" t="n">
        <v>46238.39359306713</v>
      </c>
      <c r="AA32" s="500" t="n">
        <v>78.4</v>
      </c>
      <c r="AB32" s="85" t="str">
        <v>是</v>
      </c>
      <c r="AC32" s="85" t="str">
        <v>是</v>
      </c>
      <c r="AD32" s="85" t="str">
        <v>是</v>
      </c>
      <c r="AE32" s="85" t="str">
        <v>无</v>
      </c>
      <c r="AF32" s="503" t="n">
        <v>12.25</v>
      </c>
      <c r="AG32" s="503" t="n">
        <v>0.828</v>
      </c>
      <c r="AH32" s="503" t="n">
        <v>0.844</v>
      </c>
      <c r="AI32" s="503" t="n">
        <v>0.997</v>
      </c>
      <c r="AJ32" s="503" t="n">
        <v>0.79</v>
      </c>
      <c r="AK32" s="78" t="str">
        <v>FrozenUncertain</v>
      </c>
      <c r="AL32" s="78" t="str">
        <v>否</v>
      </c>
      <c r="AM32" s="506" t="n">
        <v>1</v>
      </c>
      <c r="AN32" s="506" t="n">
        <v>2</v>
      </c>
      <c r="AO32" s="218" t="str"/>
    </row>
    <row r="33" ht="24" customHeight="1">
      <c r="A33" s="65" t="inlineStr">
        <is>
          <t xml:space="preserve">P005</t>
        </is>
      </c>
      <c r="B33" s="96" t="n">
        <v>5</v>
      </c>
      <c r="C33" s="96" t="inlineStr">
        <is>
          <t xml:space="preserve">O2-S1-EA</t>
        </is>
      </c>
      <c r="D33" s="96" t="n">
        <v>3</v>
      </c>
      <c r="E33" s="96" t="inlineStr">
        <is>
          <t xml:space="preserve">固定订书机</t>
        </is>
      </c>
      <c r="F33" s="96" t="inlineStr">
        <is>
          <t xml:space="preserve">stapler</t>
        </is>
      </c>
      <c r="G33" s="96" t="inlineStr">
        <is>
          <t xml:space="preserve">方法A</t>
        </is>
      </c>
      <c r="H33" s="96" t="inlineStr">
        <is>
          <t xml:space="preserve">EgoAnchor</t>
        </is>
      </c>
      <c r="I33" s="96" t="n">
        <v>1</v>
      </c>
      <c r="J33" s="96" t="n">
        <v>3</v>
      </c>
      <c r="K33" s="85" t="n">
        <v>6</v>
      </c>
      <c r="L33" s="85" t="n">
        <v>6</v>
      </c>
      <c r="M33" s="85" t="n">
        <v>6</v>
      </c>
      <c r="N33" s="75"/>
      <c r="O33" s="85" t="n">
        <v>5</v>
      </c>
      <c r="P33" s="85" t="n">
        <v>4</v>
      </c>
      <c r="Q33" s="85" t="n">
        <v>7</v>
      </c>
      <c r="R33" s="85" t="n">
        <v>7</v>
      </c>
      <c r="S33" s="85" t="n">
        <v>5</v>
      </c>
      <c r="T33" s="85" t="n">
        <v>7</v>
      </c>
      <c r="U33" s="85" t="n">
        <v>5</v>
      </c>
      <c r="V33" s="85" t="n">
        <v>6</v>
      </c>
      <c r="W33" s="85" t="n">
        <v>6</v>
      </c>
      <c r="X33" s="85" t="n">
        <v>4</v>
      </c>
      <c r="Y33" s="497" t="n">
        <v>46238.39454230324</v>
      </c>
      <c r="Z33" s="497" t="n">
        <v>46238.3955421875</v>
      </c>
      <c r="AA33" s="500" t="n">
        <v>86.4</v>
      </c>
      <c r="AB33" s="85" t="str">
        <v>是</v>
      </c>
      <c r="AC33" s="85" t="str">
        <v>是</v>
      </c>
      <c r="AD33" s="85" t="str">
        <v>是</v>
      </c>
      <c r="AE33" s="85" t="str">
        <v>无</v>
      </c>
      <c r="AF33" s="503" t="n">
        <v>12.75</v>
      </c>
      <c r="AG33" s="503" t="n">
        <v>0.825</v>
      </c>
      <c r="AH33" s="503" t="n">
        <v>0.92</v>
      </c>
      <c r="AI33" s="503" t="n">
        <v>0.997</v>
      </c>
      <c r="AJ33" s="503" t="n">
        <v>0.748</v>
      </c>
      <c r="AK33" s="78" t="str">
        <v>FrozenUncertain</v>
      </c>
      <c r="AL33" s="78" t="str">
        <v>否</v>
      </c>
      <c r="AM33" s="506" t="n">
        <v>1</v>
      </c>
      <c r="AN33" s="506" t="n">
        <v>3</v>
      </c>
      <c r="AO33" s="218" t="str"/>
    </row>
    <row r="34" ht="24" customHeight="1">
      <c r="A34" s="262" t="inlineStr">
        <is>
          <t xml:space="preserve">P005</t>
        </is>
      </c>
      <c r="B34" s="263" t="n">
        <v>6</v>
      </c>
      <c r="C34" s="263" t="inlineStr">
        <is>
          <t xml:space="preserve">O2-S1-EA</t>
        </is>
      </c>
      <c r="D34" s="263" t="n">
        <v>3</v>
      </c>
      <c r="E34" s="263" t="inlineStr">
        <is>
          <t xml:space="preserve">固定订书机</t>
        </is>
      </c>
      <c r="F34" s="263" t="inlineStr">
        <is>
          <t xml:space="preserve">stapler</t>
        </is>
      </c>
      <c r="G34" s="263" t="inlineStr">
        <is>
          <t xml:space="preserve">方法B</t>
        </is>
      </c>
      <c r="H34" s="263" t="inlineStr">
        <is>
          <t xml:space="preserve">One-Euro</t>
        </is>
      </c>
      <c r="I34" s="263" t="n">
        <v>2</v>
      </c>
      <c r="J34" s="263" t="n">
        <v>3</v>
      </c>
      <c r="K34" s="266" t="n">
        <v>4</v>
      </c>
      <c r="L34" s="266" t="n">
        <v>3</v>
      </c>
      <c r="M34" s="266" t="n">
        <v>5</v>
      </c>
      <c r="N34" s="278"/>
      <c r="O34" s="266" t="n">
        <v>6</v>
      </c>
      <c r="P34" s="266" t="n">
        <v>5</v>
      </c>
      <c r="Q34" s="266" t="n">
        <v>3</v>
      </c>
      <c r="R34" s="266" t="n">
        <v>4</v>
      </c>
      <c r="S34" s="266" t="n">
        <v>5</v>
      </c>
      <c r="T34" s="266" t="n">
        <v>5</v>
      </c>
      <c r="U34" s="266" t="n">
        <v>6</v>
      </c>
      <c r="V34" s="266" t="n">
        <v>6</v>
      </c>
      <c r="W34" s="266" t="n">
        <v>5</v>
      </c>
      <c r="X34" s="266" t="n">
        <v>5</v>
      </c>
      <c r="Y34" s="498" t="n">
        <v>46238.39654958333</v>
      </c>
      <c r="Z34" s="498" t="n">
        <v>46238.39754961806</v>
      </c>
      <c r="AA34" s="501" t="n">
        <v>86.4</v>
      </c>
      <c r="AB34" s="266" t="str">
        <v>是</v>
      </c>
      <c r="AC34" s="266" t="str">
        <v>是</v>
      </c>
      <c r="AD34" s="266" t="str">
        <v>是</v>
      </c>
      <c r="AE34" s="266" t="str">
        <v>无</v>
      </c>
      <c r="AF34" s="504" t="n">
        <v>12.86</v>
      </c>
      <c r="AG34" s="504" t="n">
        <v>0.8</v>
      </c>
      <c r="AH34" s="504" t="n">
        <v>0.916</v>
      </c>
      <c r="AI34" s="504" t="n">
        <v>0.991</v>
      </c>
      <c r="AJ34" s="504" t="n">
        <v>0.764</v>
      </c>
      <c r="AK34" s="279" t="str">
        <v>FrozenUncertain</v>
      </c>
      <c r="AL34" s="279" t="str">
        <v>否</v>
      </c>
      <c r="AM34" s="507" t="n">
        <v>1</v>
      </c>
      <c r="AN34" s="507" t="n">
        <v>0</v>
      </c>
      <c r="AO34" s="279" t="str"/>
    </row>
    <row r="35" ht="24" customHeight="1">
      <c r="A35" s="65" t="inlineStr">
        <is>
          <t xml:space="preserve">P006</t>
        </is>
      </c>
      <c r="B35" s="96" t="n">
        <v>1</v>
      </c>
      <c r="C35" s="96" t="inlineStr">
        <is>
          <t xml:space="preserve">O2-S2-EA</t>
        </is>
      </c>
      <c r="D35" s="96" t="n">
        <v>1</v>
      </c>
      <c r="E35" s="96" t="inlineStr">
        <is>
          <t xml:space="preserve">鼠标</t>
        </is>
      </c>
      <c r="F35" s="96" t="inlineStr">
        <is>
          <t xml:space="preserve">blue_mouse</t>
        </is>
      </c>
      <c r="G35" s="96" t="inlineStr">
        <is>
          <t xml:space="preserve">方法B</t>
        </is>
      </c>
      <c r="H35" s="96" t="inlineStr">
        <is>
          <t xml:space="preserve">One-Euro</t>
        </is>
      </c>
      <c r="I35" s="96" t="n">
        <v>1</v>
      </c>
      <c r="J35" s="96" t="n">
        <v>1</v>
      </c>
      <c r="K35" s="85" t="n">
        <v>5</v>
      </c>
      <c r="L35" s="85" t="n">
        <v>4</v>
      </c>
      <c r="M35" s="85" t="n">
        <v>5</v>
      </c>
      <c r="N35" s="75"/>
      <c r="O35" s="85" t="n">
        <v>6</v>
      </c>
      <c r="P35" s="85" t="n">
        <v>5</v>
      </c>
      <c r="Q35" s="85" t="n">
        <v>4</v>
      </c>
      <c r="R35" s="85" t="n">
        <v>5</v>
      </c>
      <c r="S35" s="85" t="n">
        <v>5</v>
      </c>
      <c r="T35" s="85" t="n">
        <v>5</v>
      </c>
      <c r="U35" s="85" t="n">
        <v>5</v>
      </c>
      <c r="V35" s="85" t="n">
        <v>6</v>
      </c>
      <c r="W35" s="85" t="n">
        <v>4</v>
      </c>
      <c r="X35" s="85" t="n">
        <v>4</v>
      </c>
      <c r="Y35" s="497" t="n">
        <v>46238.45443416667</v>
      </c>
      <c r="Z35" s="497" t="n">
        <v>46238.455561967596</v>
      </c>
      <c r="AA35" s="500" t="n">
        <v>97.4</v>
      </c>
      <c r="AB35" s="85" t="str">
        <v>是</v>
      </c>
      <c r="AC35" s="85" t="str">
        <v>是</v>
      </c>
      <c r="AD35" s="85" t="str">
        <v>是</v>
      </c>
      <c r="AE35" s="85" t="str">
        <v>无</v>
      </c>
      <c r="AF35" s="503" t="n">
        <v>13.05</v>
      </c>
      <c r="AG35" s="503" t="n">
        <v>0.765</v>
      </c>
      <c r="AH35" s="503" t="n">
        <v>0.86</v>
      </c>
      <c r="AI35" s="503" t="n">
        <v>0.989</v>
      </c>
      <c r="AJ35" s="503" t="n">
        <v>0.783</v>
      </c>
      <c r="AK35" s="78" t="str">
        <v>FrozenUncertain</v>
      </c>
      <c r="AL35" s="78" t="str">
        <v>否</v>
      </c>
      <c r="AM35" s="506" t="n">
        <v>1</v>
      </c>
      <c r="AN35" s="506" t="n">
        <v>0</v>
      </c>
      <c r="AO35" s="218" t="str">
        <v>遮挡恢复后出现一次小跳变</v>
      </c>
    </row>
    <row r="36" ht="24" customHeight="1">
      <c r="A36" s="65" t="inlineStr">
        <is>
          <t xml:space="preserve">P006</t>
        </is>
      </c>
      <c r="B36" s="96" t="n">
        <v>2</v>
      </c>
      <c r="C36" s="96" t="inlineStr">
        <is>
          <t xml:space="preserve">O2-S2-EA</t>
        </is>
      </c>
      <c r="D36" s="96" t="n">
        <v>1</v>
      </c>
      <c r="E36" s="96" t="inlineStr">
        <is>
          <t xml:space="preserve">鼠标</t>
        </is>
      </c>
      <c r="F36" s="96" t="inlineStr">
        <is>
          <t xml:space="preserve">blue_mouse</t>
        </is>
      </c>
      <c r="G36" s="96" t="inlineStr">
        <is>
          <t xml:space="preserve">方法A</t>
        </is>
      </c>
      <c r="H36" s="96" t="inlineStr">
        <is>
          <t xml:space="preserve">EgoAnchor</t>
        </is>
      </c>
      <c r="I36" s="96" t="n">
        <v>2</v>
      </c>
      <c r="J36" s="96" t="n">
        <v>1</v>
      </c>
      <c r="K36" s="85" t="n">
        <v>4</v>
      </c>
      <c r="L36" s="85" t="n">
        <v>5</v>
      </c>
      <c r="M36" s="85" t="n">
        <v>3</v>
      </c>
      <c r="N36" s="75"/>
      <c r="O36" s="85" t="n">
        <v>4</v>
      </c>
      <c r="P36" s="85" t="n">
        <v>5</v>
      </c>
      <c r="Q36" s="85" t="n">
        <v>5</v>
      </c>
      <c r="R36" s="85" t="n">
        <v>5</v>
      </c>
      <c r="S36" s="85" t="n">
        <v>5</v>
      </c>
      <c r="T36" s="85" t="n">
        <v>5</v>
      </c>
      <c r="U36" s="85" t="n">
        <v>5</v>
      </c>
      <c r="V36" s="85" t="n">
        <v>5</v>
      </c>
      <c r="W36" s="85" t="n">
        <v>5</v>
      </c>
      <c r="X36" s="85" t="n">
        <v>4</v>
      </c>
      <c r="Y36" s="497" t="n">
        <v>46238.45658748843</v>
      </c>
      <c r="Z36" s="497" t="n">
        <v>46238.45780621528</v>
      </c>
      <c r="AA36" s="500" t="n">
        <v>105.3</v>
      </c>
      <c r="AB36" s="85" t="str">
        <v>是</v>
      </c>
      <c r="AC36" s="85" t="str">
        <v>是</v>
      </c>
      <c r="AD36" s="85" t="str">
        <v>是</v>
      </c>
      <c r="AE36" s="85" t="str">
        <v>无</v>
      </c>
      <c r="AF36" s="503" t="n">
        <v>13.26</v>
      </c>
      <c r="AG36" s="503" t="n">
        <v>0.803</v>
      </c>
      <c r="AH36" s="503" t="n">
        <v>0.882</v>
      </c>
      <c r="AI36" s="503" t="n">
        <v>0.995</v>
      </c>
      <c r="AJ36" s="503" t="n">
        <v>0.812</v>
      </c>
      <c r="AK36" s="78" t="str">
        <v>FrozenUncertain</v>
      </c>
      <c r="AL36" s="78" t="str">
        <v>否</v>
      </c>
      <c r="AM36" s="506" t="n">
        <v>1</v>
      </c>
      <c r="AN36" s="506" t="n">
        <v>2</v>
      </c>
      <c r="AO36" s="218" t="str">
        <v>拿起时感觉略有滞后</v>
      </c>
    </row>
    <row r="37" ht="24" customHeight="1">
      <c r="A37" s="65" t="inlineStr">
        <is>
          <t xml:space="preserve">P006</t>
        </is>
      </c>
      <c r="B37" s="96" t="n">
        <v>3</v>
      </c>
      <c r="C37" s="96" t="inlineStr">
        <is>
          <t xml:space="preserve">O2-S2-EA</t>
        </is>
      </c>
      <c r="D37" s="96" t="n">
        <v>2</v>
      </c>
      <c r="E37" s="96" t="inlineStr">
        <is>
          <t xml:space="preserve">游戏手柄</t>
        </is>
      </c>
      <c r="F37" s="96" t="inlineStr">
        <is>
          <t xml:space="preserve">gamepad</t>
        </is>
      </c>
      <c r="G37" s="96" t="inlineStr">
        <is>
          <t xml:space="preserve">方法A</t>
        </is>
      </c>
      <c r="H37" s="96" t="inlineStr">
        <is>
          <t xml:space="preserve">EgoAnchor</t>
        </is>
      </c>
      <c r="I37" s="96" t="n">
        <v>1</v>
      </c>
      <c r="J37" s="96" t="n">
        <v>2</v>
      </c>
      <c r="K37" s="85" t="n">
        <v>4</v>
      </c>
      <c r="L37" s="85" t="n">
        <v>5</v>
      </c>
      <c r="M37" s="85" t="n">
        <v>5</v>
      </c>
      <c r="N37" s="75"/>
      <c r="O37" s="85" t="n">
        <v>4</v>
      </c>
      <c r="P37" s="85" t="n">
        <v>5</v>
      </c>
      <c r="Q37" s="85" t="n">
        <v>6</v>
      </c>
      <c r="R37" s="85" t="n">
        <v>5</v>
      </c>
      <c r="S37" s="85" t="n">
        <v>5</v>
      </c>
      <c r="T37" s="85" t="n">
        <v>5</v>
      </c>
      <c r="U37" s="85" t="n">
        <v>5</v>
      </c>
      <c r="V37" s="85" t="n">
        <v>4</v>
      </c>
      <c r="W37" s="85" t="n">
        <v>5</v>
      </c>
      <c r="X37" s="85" t="n">
        <v>6</v>
      </c>
      <c r="Y37" s="497" t="n">
        <v>46238.45866467593</v>
      </c>
      <c r="Z37" s="497" t="n">
        <v>46238.45979597222</v>
      </c>
      <c r="AA37" s="500" t="n">
        <v>97.7</v>
      </c>
      <c r="AB37" s="85" t="str">
        <v>是</v>
      </c>
      <c r="AC37" s="85" t="str">
        <v>是</v>
      </c>
      <c r="AD37" s="85" t="str">
        <v>是</v>
      </c>
      <c r="AE37" s="85" t="str">
        <v>无</v>
      </c>
      <c r="AF37" s="503" t="n">
        <v>12.72</v>
      </c>
      <c r="AG37" s="503" t="n">
        <v>0.749</v>
      </c>
      <c r="AH37" s="503" t="n">
        <v>0.863</v>
      </c>
      <c r="AI37" s="503" t="n">
        <v>0.988</v>
      </c>
      <c r="AJ37" s="503" t="n">
        <v>0.784</v>
      </c>
      <c r="AK37" s="78" t="str">
        <v>FrozenUncertain</v>
      </c>
      <c r="AL37" s="78" t="str">
        <v>否</v>
      </c>
      <c r="AM37" s="506" t="n">
        <v>1</v>
      </c>
      <c r="AN37" s="506" t="n">
        <v>4</v>
      </c>
      <c r="AO37" s="218" t="str">
        <v>拿起时感觉略有滞后</v>
      </c>
    </row>
    <row r="38" ht="24" customHeight="1">
      <c r="A38" s="65" t="inlineStr">
        <is>
          <t xml:space="preserve">P006</t>
        </is>
      </c>
      <c r="B38" s="96" t="n">
        <v>4</v>
      </c>
      <c r="C38" s="96" t="inlineStr">
        <is>
          <t xml:space="preserve">O2-S2-EA</t>
        </is>
      </c>
      <c r="D38" s="96" t="n">
        <v>2</v>
      </c>
      <c r="E38" s="96" t="inlineStr">
        <is>
          <t xml:space="preserve">游戏手柄</t>
        </is>
      </c>
      <c r="F38" s="96" t="inlineStr">
        <is>
          <t xml:space="preserve">gamepad</t>
        </is>
      </c>
      <c r="G38" s="96" t="inlineStr">
        <is>
          <t xml:space="preserve">方法B</t>
        </is>
      </c>
      <c r="H38" s="96" t="inlineStr">
        <is>
          <t xml:space="preserve">One-Euro</t>
        </is>
      </c>
      <c r="I38" s="96" t="n">
        <v>2</v>
      </c>
      <c r="J38" s="96" t="n">
        <v>2</v>
      </c>
      <c r="K38" s="85" t="n">
        <v>3</v>
      </c>
      <c r="L38" s="85" t="n">
        <v>4</v>
      </c>
      <c r="M38" s="85" t="n">
        <v>4</v>
      </c>
      <c r="N38" s="75"/>
      <c r="O38" s="85" t="n">
        <v>4</v>
      </c>
      <c r="P38" s="85" t="n">
        <v>4</v>
      </c>
      <c r="Q38" s="85" t="n">
        <v>3</v>
      </c>
      <c r="R38" s="85" t="n">
        <v>6</v>
      </c>
      <c r="S38" s="85" t="n">
        <v>5</v>
      </c>
      <c r="T38" s="85" t="n">
        <v>5</v>
      </c>
      <c r="U38" s="85" t="n">
        <v>5</v>
      </c>
      <c r="V38" s="85" t="n">
        <v>5</v>
      </c>
      <c r="W38" s="85" t="n">
        <v>4</v>
      </c>
      <c r="X38" s="85" t="n">
        <v>5</v>
      </c>
      <c r="Y38" s="497" t="n">
        <v>46238.46061866898</v>
      </c>
      <c r="Z38" s="497" t="n">
        <v>46238.46159142361</v>
      </c>
      <c r="AA38" s="500" t="n">
        <v>84</v>
      </c>
      <c r="AB38" s="85" t="str">
        <v>是</v>
      </c>
      <c r="AC38" s="85" t="str">
        <v>是</v>
      </c>
      <c r="AD38" s="85" t="str">
        <v>是</v>
      </c>
      <c r="AE38" s="85" t="str">
        <v>无</v>
      </c>
      <c r="AF38" s="503" t="n">
        <v>13.36</v>
      </c>
      <c r="AG38" s="503" t="n">
        <v>0.771</v>
      </c>
      <c r="AH38" s="503" t="n">
        <v>0.861</v>
      </c>
      <c r="AI38" s="503" t="n">
        <v>0.988</v>
      </c>
      <c r="AJ38" s="503" t="n">
        <v>0.764</v>
      </c>
      <c r="AK38" s="78" t="str">
        <v>FrozenUncertain</v>
      </c>
      <c r="AL38" s="78" t="str">
        <v>否</v>
      </c>
      <c r="AM38" s="506" t="n">
        <v>0</v>
      </c>
      <c r="AN38" s="506" t="n">
        <v>0</v>
      </c>
      <c r="AO38" s="218" t="str"/>
    </row>
    <row r="39" ht="24" customHeight="1">
      <c r="A39" s="65" t="inlineStr">
        <is>
          <t xml:space="preserve">P006</t>
        </is>
      </c>
      <c r="B39" s="96" t="n">
        <v>5</v>
      </c>
      <c r="C39" s="96" t="inlineStr">
        <is>
          <t xml:space="preserve">O2-S2-EA</t>
        </is>
      </c>
      <c r="D39" s="96" t="n">
        <v>3</v>
      </c>
      <c r="E39" s="96" t="inlineStr">
        <is>
          <t xml:space="preserve">固定订书机</t>
        </is>
      </c>
      <c r="F39" s="96" t="inlineStr">
        <is>
          <t xml:space="preserve">stapler</t>
        </is>
      </c>
      <c r="G39" s="96" t="inlineStr">
        <is>
          <t xml:space="preserve">方法B</t>
        </is>
      </c>
      <c r="H39" s="96" t="inlineStr">
        <is>
          <t xml:space="preserve">One-Euro</t>
        </is>
      </c>
      <c r="I39" s="96" t="n">
        <v>1</v>
      </c>
      <c r="J39" s="96" t="n">
        <v>3</v>
      </c>
      <c r="K39" s="85" t="n">
        <v>3</v>
      </c>
      <c r="L39" s="85" t="n">
        <v>4</v>
      </c>
      <c r="M39" s="85" t="n">
        <v>5</v>
      </c>
      <c r="N39" s="75"/>
      <c r="O39" s="85" t="n">
        <v>6</v>
      </c>
      <c r="P39" s="85" t="n">
        <v>4</v>
      </c>
      <c r="Q39" s="85" t="n">
        <v>3</v>
      </c>
      <c r="R39" s="85" t="n">
        <v>5</v>
      </c>
      <c r="S39" s="85" t="n">
        <v>4</v>
      </c>
      <c r="T39" s="85" t="n">
        <v>4</v>
      </c>
      <c r="U39" s="85" t="n">
        <v>5</v>
      </c>
      <c r="V39" s="85" t="n">
        <v>4</v>
      </c>
      <c r="W39" s="85" t="n">
        <v>5</v>
      </c>
      <c r="X39" s="85" t="n">
        <v>5</v>
      </c>
      <c r="Y39" s="497" t="n">
        <v>46238.46246300926</v>
      </c>
      <c r="Z39" s="497" t="n">
        <v>46238.4632190625</v>
      </c>
      <c r="AA39" s="500" t="n">
        <v>65.3</v>
      </c>
      <c r="AB39" s="85" t="str">
        <v>是</v>
      </c>
      <c r="AC39" s="85" t="str">
        <v>是</v>
      </c>
      <c r="AD39" s="85" t="str">
        <v>是</v>
      </c>
      <c r="AE39" s="85" t="str">
        <v>无</v>
      </c>
      <c r="AF39" s="503" t="n">
        <v>12.81</v>
      </c>
      <c r="AG39" s="503" t="n">
        <v>0.763</v>
      </c>
      <c r="AH39" s="503" t="n">
        <v>0.943</v>
      </c>
      <c r="AI39" s="503" t="n">
        <v>0.99</v>
      </c>
      <c r="AJ39" s="503" t="n">
        <v>0.752</v>
      </c>
      <c r="AK39" s="78" t="str">
        <v>FrozenUncertain</v>
      </c>
      <c r="AL39" s="78" t="str">
        <v>否</v>
      </c>
      <c r="AM39" s="506" t="n">
        <v>1</v>
      </c>
      <c r="AN39" s="506" t="n">
        <v>0</v>
      </c>
      <c r="AO39" s="218" t="str"/>
    </row>
    <row r="40" ht="24" customHeight="1">
      <c r="A40" s="262" t="inlineStr">
        <is>
          <t xml:space="preserve">P006</t>
        </is>
      </c>
      <c r="B40" s="263" t="n">
        <v>6</v>
      </c>
      <c r="C40" s="263" t="inlineStr">
        <is>
          <t xml:space="preserve">O2-S2-EA</t>
        </is>
      </c>
      <c r="D40" s="263" t="n">
        <v>3</v>
      </c>
      <c r="E40" s="263" t="inlineStr">
        <is>
          <t xml:space="preserve">固定订书机</t>
        </is>
      </c>
      <c r="F40" s="263" t="inlineStr">
        <is>
          <t xml:space="preserve">stapler</t>
        </is>
      </c>
      <c r="G40" s="263" t="inlineStr">
        <is>
          <t xml:space="preserve">方法A</t>
        </is>
      </c>
      <c r="H40" s="263" t="inlineStr">
        <is>
          <t xml:space="preserve">EgoAnchor</t>
        </is>
      </c>
      <c r="I40" s="263" t="n">
        <v>2</v>
      </c>
      <c r="J40" s="263" t="n">
        <v>3</v>
      </c>
      <c r="K40" s="266" t="n">
        <v>5</v>
      </c>
      <c r="L40" s="266" t="n">
        <v>4</v>
      </c>
      <c r="M40" s="266" t="n">
        <v>5</v>
      </c>
      <c r="N40" s="278"/>
      <c r="O40" s="266" t="n">
        <v>5</v>
      </c>
      <c r="P40" s="266" t="n">
        <v>5</v>
      </c>
      <c r="Q40" s="266" t="n">
        <v>5</v>
      </c>
      <c r="R40" s="266" t="n">
        <v>6</v>
      </c>
      <c r="S40" s="266" t="n">
        <v>5</v>
      </c>
      <c r="T40" s="266" t="n">
        <v>6</v>
      </c>
      <c r="U40" s="266" t="n">
        <v>5</v>
      </c>
      <c r="V40" s="266" t="n">
        <v>5</v>
      </c>
      <c r="W40" s="266" t="n">
        <v>5</v>
      </c>
      <c r="X40" s="266" t="n">
        <v>5</v>
      </c>
      <c r="Y40" s="498" t="n">
        <v>46238.46417320602</v>
      </c>
      <c r="Z40" s="498" t="n">
        <v>46238.46550946759</v>
      </c>
      <c r="AA40" s="501" t="n">
        <v>115.5</v>
      </c>
      <c r="AB40" s="266" t="str">
        <v>是</v>
      </c>
      <c r="AC40" s="266" t="str">
        <v>是</v>
      </c>
      <c r="AD40" s="266" t="str">
        <v>是</v>
      </c>
      <c r="AE40" s="266" t="str">
        <v>无</v>
      </c>
      <c r="AF40" s="504" t="n">
        <v>12.41</v>
      </c>
      <c r="AG40" s="504" t="n">
        <v>0.792</v>
      </c>
      <c r="AH40" s="504" t="n">
        <v>0.896</v>
      </c>
      <c r="AI40" s="504" t="n">
        <v>0.991</v>
      </c>
      <c r="AJ40" s="504" t="n">
        <v>0.752</v>
      </c>
      <c r="AK40" s="279" t="str">
        <v>FrozenUncertain</v>
      </c>
      <c r="AL40" s="279" t="str">
        <v>否</v>
      </c>
      <c r="AM40" s="507" t="n">
        <v>1</v>
      </c>
      <c r="AN40" s="507" t="n">
        <v>2</v>
      </c>
      <c r="AO40" s="279" t="str"/>
    </row>
    <row r="41" ht="24" customHeight="1">
      <c r="A41" s="65" t="inlineStr">
        <is>
          <t xml:space="preserve">P007</t>
        </is>
      </c>
      <c r="B41" s="96" t="n">
        <v>1</v>
      </c>
      <c r="C41" s="96" t="inlineStr">
        <is>
          <t xml:space="preserve">O2-S2-OE</t>
        </is>
      </c>
      <c r="D41" s="96" t="n">
        <v>1</v>
      </c>
      <c r="E41" s="96" t="inlineStr">
        <is>
          <t xml:space="preserve">鼠标</t>
        </is>
      </c>
      <c r="F41" s="96" t="inlineStr">
        <is>
          <t xml:space="preserve">blue_mouse</t>
        </is>
      </c>
      <c r="G41" s="96" t="inlineStr">
        <is>
          <t xml:space="preserve">方法B</t>
        </is>
      </c>
      <c r="H41" s="96" t="inlineStr">
        <is>
          <t xml:space="preserve">EgoAnchor</t>
        </is>
      </c>
      <c r="I41" s="96" t="n">
        <v>1</v>
      </c>
      <c r="J41" s="96" t="n">
        <v>1</v>
      </c>
      <c r="K41" s="85" t="n">
        <v>5</v>
      </c>
      <c r="L41" s="85" t="n">
        <v>6</v>
      </c>
      <c r="M41" s="85" t="n">
        <v>5</v>
      </c>
      <c r="N41" s="75"/>
      <c r="O41" s="85" t="n">
        <v>6</v>
      </c>
      <c r="P41" s="85" t="n">
        <v>6</v>
      </c>
      <c r="Q41" s="85" t="n">
        <v>5</v>
      </c>
      <c r="R41" s="85" t="n">
        <v>6</v>
      </c>
      <c r="S41" s="85" t="n">
        <v>5</v>
      </c>
      <c r="T41" s="85" t="n">
        <v>5</v>
      </c>
      <c r="U41" s="85" t="n">
        <v>6</v>
      </c>
      <c r="V41" s="85" t="n">
        <v>6</v>
      </c>
      <c r="W41" s="85" t="n">
        <v>3</v>
      </c>
      <c r="X41" s="85" t="n">
        <v>5</v>
      </c>
      <c r="Y41" s="497" t="n">
        <v>46238.57040991898</v>
      </c>
      <c r="Z41" s="497" t="n">
        <v>46238.57176327546</v>
      </c>
      <c r="AA41" s="500" t="n">
        <v>116.9</v>
      </c>
      <c r="AB41" s="85" t="str">
        <v>是</v>
      </c>
      <c r="AC41" s="85" t="str">
        <v>是</v>
      </c>
      <c r="AD41" s="85" t="str">
        <v>是</v>
      </c>
      <c r="AE41" s="85" t="str">
        <v>无</v>
      </c>
      <c r="AF41" s="503" t="n">
        <v>12.44</v>
      </c>
      <c r="AG41" s="503" t="n">
        <v>0.774</v>
      </c>
      <c r="AH41" s="503" t="n">
        <v>0.894</v>
      </c>
      <c r="AI41" s="503" t="n">
        <v>0.997</v>
      </c>
      <c r="AJ41" s="503" t="n">
        <v>0.762</v>
      </c>
      <c r="AK41" s="78" t="str">
        <v>FrozenUncertain</v>
      </c>
      <c r="AL41" s="78" t="str">
        <v>否</v>
      </c>
      <c r="AM41" s="506" t="n">
        <v>1</v>
      </c>
      <c r="AN41" s="506" t="n">
        <v>2</v>
      </c>
      <c r="AO41" s="218" t="str"/>
    </row>
    <row r="42" ht="24" customHeight="1">
      <c r="A42" s="65" t="inlineStr">
        <is>
          <t xml:space="preserve">P007</t>
        </is>
      </c>
      <c r="B42" s="96" t="n">
        <v>2</v>
      </c>
      <c r="C42" s="96" t="inlineStr">
        <is>
          <t xml:space="preserve">O2-S2-OE</t>
        </is>
      </c>
      <c r="D42" s="96" t="n">
        <v>1</v>
      </c>
      <c r="E42" s="96" t="inlineStr">
        <is>
          <t xml:space="preserve">鼠标</t>
        </is>
      </c>
      <c r="F42" s="96" t="inlineStr">
        <is>
          <t xml:space="preserve">blue_mouse</t>
        </is>
      </c>
      <c r="G42" s="96" t="inlineStr">
        <is>
          <t xml:space="preserve">方法A</t>
        </is>
      </c>
      <c r="H42" s="96" t="inlineStr">
        <is>
          <t xml:space="preserve">One-Euro</t>
        </is>
      </c>
      <c r="I42" s="96" t="n">
        <v>2</v>
      </c>
      <c r="J42" s="96" t="n">
        <v>1</v>
      </c>
      <c r="K42" s="85" t="n">
        <v>5</v>
      </c>
      <c r="L42" s="85" t="n">
        <v>5</v>
      </c>
      <c r="M42" s="85" t="n">
        <v>5</v>
      </c>
      <c r="N42" s="75"/>
      <c r="O42" s="85" t="n">
        <v>4</v>
      </c>
      <c r="P42" s="85" t="n">
        <v>5</v>
      </c>
      <c r="Q42" s="85" t="n">
        <v>4</v>
      </c>
      <c r="R42" s="85" t="n">
        <v>4</v>
      </c>
      <c r="S42" s="85" t="n">
        <v>5</v>
      </c>
      <c r="T42" s="85" t="n">
        <v>5</v>
      </c>
      <c r="U42" s="85" t="n">
        <v>7</v>
      </c>
      <c r="V42" s="85" t="n">
        <v>6</v>
      </c>
      <c r="W42" s="85" t="n">
        <v>4</v>
      </c>
      <c r="X42" s="85" t="n">
        <v>5</v>
      </c>
      <c r="Y42" s="497" t="n">
        <v>46238.572588587966</v>
      </c>
      <c r="Z42" s="497" t="n">
        <v>46238.573618194445</v>
      </c>
      <c r="AA42" s="500" t="n">
        <v>89</v>
      </c>
      <c r="AB42" s="85" t="str">
        <v>是</v>
      </c>
      <c r="AC42" s="85" t="str">
        <v>是</v>
      </c>
      <c r="AD42" s="85" t="str">
        <v>是</v>
      </c>
      <c r="AE42" s="85" t="str">
        <v>无</v>
      </c>
      <c r="AF42" s="503" t="n">
        <v>13.37</v>
      </c>
      <c r="AG42" s="503" t="n">
        <v>0.808</v>
      </c>
      <c r="AH42" s="503" t="n">
        <v>0.886</v>
      </c>
      <c r="AI42" s="503" t="n">
        <v>0.986</v>
      </c>
      <c r="AJ42" s="503" t="n">
        <v>0.795</v>
      </c>
      <c r="AK42" s="78" t="str">
        <v>FrozenUncertain</v>
      </c>
      <c r="AL42" s="78" t="str">
        <v>否</v>
      </c>
      <c r="AM42" s="506" t="n">
        <v>1</v>
      </c>
      <c r="AN42" s="506" t="n">
        <v>0</v>
      </c>
      <c r="AO42" s="218" t="str">
        <v>遮挡恢复后出现一次小跳变</v>
      </c>
    </row>
    <row r="43" ht="24" customHeight="1">
      <c r="A43" s="65" t="inlineStr">
        <is>
          <t xml:space="preserve">P007</t>
        </is>
      </c>
      <c r="B43" s="96" t="n">
        <v>3</v>
      </c>
      <c r="C43" s="96" t="inlineStr">
        <is>
          <t xml:space="preserve">O2-S2-OE</t>
        </is>
      </c>
      <c r="D43" s="96" t="n">
        <v>2</v>
      </c>
      <c r="E43" s="96" t="inlineStr">
        <is>
          <t xml:space="preserve">游戏手柄</t>
        </is>
      </c>
      <c r="F43" s="96" t="inlineStr">
        <is>
          <t xml:space="preserve">gamepad</t>
        </is>
      </c>
      <c r="G43" s="96" t="inlineStr">
        <is>
          <t xml:space="preserve">方法A</t>
        </is>
      </c>
      <c r="H43" s="96" t="inlineStr">
        <is>
          <t xml:space="preserve">One-Euro</t>
        </is>
      </c>
      <c r="I43" s="96" t="n">
        <v>1</v>
      </c>
      <c r="J43" s="96" t="n">
        <v>2</v>
      </c>
      <c r="K43" s="85" t="n">
        <v>5</v>
      </c>
      <c r="L43" s="85" t="n">
        <v>5</v>
      </c>
      <c r="M43" s="85" t="n">
        <v>6</v>
      </c>
      <c r="N43" s="75"/>
      <c r="O43" s="85" t="n">
        <v>6</v>
      </c>
      <c r="P43" s="85" t="n">
        <v>5</v>
      </c>
      <c r="Q43" s="85" t="n">
        <v>4</v>
      </c>
      <c r="R43" s="85" t="n">
        <v>4</v>
      </c>
      <c r="S43" s="85" t="n">
        <v>4</v>
      </c>
      <c r="T43" s="85" t="n">
        <v>4</v>
      </c>
      <c r="U43" s="85" t="n">
        <v>5</v>
      </c>
      <c r="V43" s="85" t="n">
        <v>6</v>
      </c>
      <c r="W43" s="85" t="n">
        <v>3</v>
      </c>
      <c r="X43" s="85" t="n">
        <v>4</v>
      </c>
      <c r="Y43" s="497" t="n">
        <v>46238.57440414352</v>
      </c>
      <c r="Z43" s="497" t="n">
        <v>46238.575327418985</v>
      </c>
      <c r="AA43" s="500" t="n">
        <v>79.8</v>
      </c>
      <c r="AB43" s="85" t="str">
        <v>是</v>
      </c>
      <c r="AC43" s="85" t="str">
        <v>是</v>
      </c>
      <c r="AD43" s="85" t="str">
        <v>是</v>
      </c>
      <c r="AE43" s="85" t="str">
        <v>无</v>
      </c>
      <c r="AF43" s="503" t="n">
        <v>12.63</v>
      </c>
      <c r="AG43" s="503" t="n">
        <v>0.812</v>
      </c>
      <c r="AH43" s="503" t="n">
        <v>0.859</v>
      </c>
      <c r="AI43" s="503" t="n">
        <v>0.99</v>
      </c>
      <c r="AJ43" s="503" t="n">
        <v>0.765</v>
      </c>
      <c r="AK43" s="78" t="str">
        <v>FrozenUncertain</v>
      </c>
      <c r="AL43" s="78" t="str">
        <v>否</v>
      </c>
      <c r="AM43" s="506" t="n">
        <v>2</v>
      </c>
      <c r="AN43" s="506" t="n">
        <v>0</v>
      </c>
      <c r="AO43" s="218" t="str"/>
    </row>
    <row r="44" ht="24" customHeight="1">
      <c r="A44" s="65" t="inlineStr">
        <is>
          <t xml:space="preserve">P007</t>
        </is>
      </c>
      <c r="B44" s="96" t="n">
        <v>4</v>
      </c>
      <c r="C44" s="96" t="inlineStr">
        <is>
          <t xml:space="preserve">O2-S2-OE</t>
        </is>
      </c>
      <c r="D44" s="96" t="n">
        <v>2</v>
      </c>
      <c r="E44" s="96" t="inlineStr">
        <is>
          <t xml:space="preserve">游戏手柄</t>
        </is>
      </c>
      <c r="F44" s="96" t="inlineStr">
        <is>
          <t xml:space="preserve">gamepad</t>
        </is>
      </c>
      <c r="G44" s="96" t="inlineStr">
        <is>
          <t xml:space="preserve">方法B</t>
        </is>
      </c>
      <c r="H44" s="96" t="inlineStr">
        <is>
          <t xml:space="preserve">EgoAnchor</t>
        </is>
      </c>
      <c r="I44" s="96" t="n">
        <v>2</v>
      </c>
      <c r="J44" s="96" t="n">
        <v>2</v>
      </c>
      <c r="K44" s="85" t="n">
        <v>5</v>
      </c>
      <c r="L44" s="85" t="n">
        <v>5</v>
      </c>
      <c r="M44" s="85" t="n">
        <v>5</v>
      </c>
      <c r="N44" s="75"/>
      <c r="O44" s="85" t="n">
        <v>6</v>
      </c>
      <c r="P44" s="85" t="n">
        <v>5</v>
      </c>
      <c r="Q44" s="85" t="n">
        <v>5</v>
      </c>
      <c r="R44" s="85" t="n">
        <v>4</v>
      </c>
      <c r="S44" s="85" t="n">
        <v>5</v>
      </c>
      <c r="T44" s="85" t="n">
        <v>5</v>
      </c>
      <c r="U44" s="85" t="n">
        <v>5</v>
      </c>
      <c r="V44" s="85" t="n">
        <v>5</v>
      </c>
      <c r="W44" s="85" t="n">
        <v>5</v>
      </c>
      <c r="X44" s="85" t="n">
        <v>5</v>
      </c>
      <c r="Y44" s="497" t="n">
        <v>46238.57619216435</v>
      </c>
      <c r="Z44" s="497" t="n">
        <v>46238.57715369213</v>
      </c>
      <c r="AA44" s="500" t="n">
        <v>83.1</v>
      </c>
      <c r="AB44" s="85" t="str">
        <v>是</v>
      </c>
      <c r="AC44" s="85" t="str">
        <v>是</v>
      </c>
      <c r="AD44" s="85" t="str">
        <v>是</v>
      </c>
      <c r="AE44" s="85" t="str">
        <v>无</v>
      </c>
      <c r="AF44" s="503" t="n">
        <v>13.13</v>
      </c>
      <c r="AG44" s="503" t="n">
        <v>0.755</v>
      </c>
      <c r="AH44" s="503" t="n">
        <v>0.868</v>
      </c>
      <c r="AI44" s="503" t="n">
        <v>0.987</v>
      </c>
      <c r="AJ44" s="503" t="n">
        <v>0.791</v>
      </c>
      <c r="AK44" s="78" t="str">
        <v>FrozenUncertain</v>
      </c>
      <c r="AL44" s="78" t="str">
        <v>否</v>
      </c>
      <c r="AM44" s="506" t="n">
        <v>0</v>
      </c>
      <c r="AN44" s="506" t="n">
        <v>2</v>
      </c>
      <c r="AO44" s="218" t="str"/>
    </row>
    <row r="45" ht="24" customHeight="1">
      <c r="A45" s="65" t="inlineStr">
        <is>
          <t xml:space="preserve">P007</t>
        </is>
      </c>
      <c r="B45" s="96" t="n">
        <v>5</v>
      </c>
      <c r="C45" s="96" t="inlineStr">
        <is>
          <t xml:space="preserve">O2-S2-OE</t>
        </is>
      </c>
      <c r="D45" s="96" t="n">
        <v>3</v>
      </c>
      <c r="E45" s="96" t="inlineStr">
        <is>
          <t xml:space="preserve">固定订书机</t>
        </is>
      </c>
      <c r="F45" s="96" t="inlineStr">
        <is>
          <t xml:space="preserve">stapler</t>
        </is>
      </c>
      <c r="G45" s="96" t="inlineStr">
        <is>
          <t xml:space="preserve">方法B</t>
        </is>
      </c>
      <c r="H45" s="96" t="inlineStr">
        <is>
          <t xml:space="preserve">EgoAnchor</t>
        </is>
      </c>
      <c r="I45" s="96" t="n">
        <v>1</v>
      </c>
      <c r="J45" s="96" t="n">
        <v>3</v>
      </c>
      <c r="K45" s="85" t="n">
        <v>5</v>
      </c>
      <c r="L45" s="85" t="n">
        <v>5</v>
      </c>
      <c r="M45" s="85" t="n">
        <v>6</v>
      </c>
      <c r="N45" s="75"/>
      <c r="O45" s="85" t="n">
        <v>5</v>
      </c>
      <c r="P45" s="85" t="n">
        <v>5</v>
      </c>
      <c r="Q45" s="85" t="n">
        <v>7</v>
      </c>
      <c r="R45" s="85" t="n">
        <v>5</v>
      </c>
      <c r="S45" s="85" t="n">
        <v>6</v>
      </c>
      <c r="T45" s="85" t="n">
        <v>5</v>
      </c>
      <c r="U45" s="85" t="n">
        <v>5</v>
      </c>
      <c r="V45" s="85" t="n">
        <v>5</v>
      </c>
      <c r="W45" s="85" t="n">
        <v>6</v>
      </c>
      <c r="X45" s="85" t="n">
        <v>6</v>
      </c>
      <c r="Y45" s="497" t="n">
        <v>46238.57802458333</v>
      </c>
      <c r="Z45" s="497" t="n">
        <v>46238.57916450231</v>
      </c>
      <c r="AA45" s="500" t="n">
        <v>98.5</v>
      </c>
      <c r="AB45" s="85" t="str">
        <v>是</v>
      </c>
      <c r="AC45" s="85" t="str">
        <v>是</v>
      </c>
      <c r="AD45" s="85" t="str">
        <v>是</v>
      </c>
      <c r="AE45" s="85" t="str">
        <v>无</v>
      </c>
      <c r="AF45" s="503" t="n">
        <v>13</v>
      </c>
      <c r="AG45" s="503" t="n">
        <v>0.823</v>
      </c>
      <c r="AH45" s="503" t="n">
        <v>0.933</v>
      </c>
      <c r="AI45" s="503" t="n">
        <v>0.989</v>
      </c>
      <c r="AJ45" s="503" t="n">
        <v>0.731</v>
      </c>
      <c r="AK45" s="78" t="str">
        <v>FrozenUncertain</v>
      </c>
      <c r="AL45" s="78" t="str">
        <v>否</v>
      </c>
      <c r="AM45" s="506" t="n">
        <v>1</v>
      </c>
      <c r="AN45" s="506" t="n">
        <v>3</v>
      </c>
      <c r="AO45" s="218" t="str"/>
    </row>
    <row r="46" ht="24" customHeight="1">
      <c r="A46" s="262" t="inlineStr">
        <is>
          <t xml:space="preserve">P007</t>
        </is>
      </c>
      <c r="B46" s="263" t="n">
        <v>6</v>
      </c>
      <c r="C46" s="263" t="inlineStr">
        <is>
          <t xml:space="preserve">O2-S2-OE</t>
        </is>
      </c>
      <c r="D46" s="263" t="n">
        <v>3</v>
      </c>
      <c r="E46" s="263" t="inlineStr">
        <is>
          <t xml:space="preserve">固定订书机</t>
        </is>
      </c>
      <c r="F46" s="263" t="inlineStr">
        <is>
          <t xml:space="preserve">stapler</t>
        </is>
      </c>
      <c r="G46" s="263" t="inlineStr">
        <is>
          <t xml:space="preserve">方法A</t>
        </is>
      </c>
      <c r="H46" s="263" t="inlineStr">
        <is>
          <t xml:space="preserve">One-Euro</t>
        </is>
      </c>
      <c r="I46" s="263" t="n">
        <v>2</v>
      </c>
      <c r="J46" s="263" t="n">
        <v>3</v>
      </c>
      <c r="K46" s="266" t="n">
        <v>3</v>
      </c>
      <c r="L46" s="266" t="n">
        <v>5</v>
      </c>
      <c r="M46" s="266" t="n">
        <v>5</v>
      </c>
      <c r="N46" s="278"/>
      <c r="O46" s="266" t="n">
        <v>6</v>
      </c>
      <c r="P46" s="266" t="n">
        <v>4</v>
      </c>
      <c r="Q46" s="266" t="n">
        <v>5</v>
      </c>
      <c r="R46" s="266" t="n">
        <v>4</v>
      </c>
      <c r="S46" s="266" t="n">
        <v>5</v>
      </c>
      <c r="T46" s="266" t="n">
        <v>5</v>
      </c>
      <c r="U46" s="266" t="n">
        <v>6</v>
      </c>
      <c r="V46" s="266" t="n">
        <v>5</v>
      </c>
      <c r="W46" s="266" t="n">
        <v>4</v>
      </c>
      <c r="X46" s="266" t="n">
        <v>5</v>
      </c>
      <c r="Y46" s="498" t="n">
        <v>46238.580265983794</v>
      </c>
      <c r="Z46" s="498" t="n">
        <v>46238.58178040509</v>
      </c>
      <c r="AA46" s="501" t="n">
        <v>130.8</v>
      </c>
      <c r="AB46" s="266" t="str">
        <v>是</v>
      </c>
      <c r="AC46" s="266" t="str">
        <v>是</v>
      </c>
      <c r="AD46" s="266" t="str">
        <v>是</v>
      </c>
      <c r="AE46" s="266" t="str">
        <v>无</v>
      </c>
      <c r="AF46" s="504" t="n">
        <v>13.06</v>
      </c>
      <c r="AG46" s="504" t="n">
        <v>0.846</v>
      </c>
      <c r="AH46" s="504" t="n">
        <v>0.918</v>
      </c>
      <c r="AI46" s="504" t="n">
        <v>0.988</v>
      </c>
      <c r="AJ46" s="504" t="n">
        <v>0.763</v>
      </c>
      <c r="AK46" s="279" t="str">
        <v>FrozenUncertain</v>
      </c>
      <c r="AL46" s="279" t="str">
        <v>否</v>
      </c>
      <c r="AM46" s="507" t="n">
        <v>1</v>
      </c>
      <c r="AN46" s="507" t="n">
        <v>0</v>
      </c>
      <c r="AO46" s="279" t="str"/>
    </row>
    <row r="47" ht="24" customHeight="1">
      <c r="A47" s="65" t="inlineStr">
        <is>
          <t xml:space="preserve">P008</t>
        </is>
      </c>
      <c r="B47" s="96" t="n">
        <v>1</v>
      </c>
      <c r="C47" s="96" t="inlineStr">
        <is>
          <t xml:space="preserve">O2-S1-OE</t>
        </is>
      </c>
      <c r="D47" s="96" t="n">
        <v>1</v>
      </c>
      <c r="E47" s="96" t="inlineStr">
        <is>
          <t xml:space="preserve">鼠标</t>
        </is>
      </c>
      <c r="F47" s="96" t="inlineStr">
        <is>
          <t xml:space="preserve">blue_mouse</t>
        </is>
      </c>
      <c r="G47" s="96" t="inlineStr">
        <is>
          <t xml:space="preserve">方法A</t>
        </is>
      </c>
      <c r="H47" s="96" t="inlineStr">
        <is>
          <t xml:space="preserve">One-Euro</t>
        </is>
      </c>
      <c r="I47" s="96" t="n">
        <v>1</v>
      </c>
      <c r="J47" s="96" t="n">
        <v>1</v>
      </c>
      <c r="K47" s="85" t="n">
        <v>4</v>
      </c>
      <c r="L47" s="85" t="n">
        <v>4</v>
      </c>
      <c r="M47" s="85" t="n">
        <v>5</v>
      </c>
      <c r="N47" s="75"/>
      <c r="O47" s="85" t="n">
        <v>6</v>
      </c>
      <c r="P47" s="85" t="n">
        <v>4</v>
      </c>
      <c r="Q47" s="85" t="n">
        <v>5</v>
      </c>
      <c r="R47" s="85" t="n">
        <v>5</v>
      </c>
      <c r="S47" s="85" t="n">
        <v>6</v>
      </c>
      <c r="T47" s="85" t="n">
        <v>3</v>
      </c>
      <c r="U47" s="85" t="n">
        <v>5</v>
      </c>
      <c r="V47" s="85" t="n">
        <v>5</v>
      </c>
      <c r="W47" s="85" t="n">
        <v>5</v>
      </c>
      <c r="X47" s="85" t="n">
        <v>6</v>
      </c>
      <c r="Y47" s="497" t="n">
        <v>46238.64009208333</v>
      </c>
      <c r="Z47" s="497" t="n">
        <v>46238.64150829861</v>
      </c>
      <c r="AA47" s="500" t="n">
        <v>122.4</v>
      </c>
      <c r="AB47" s="85" t="str">
        <v>是</v>
      </c>
      <c r="AC47" s="85" t="str">
        <v>是</v>
      </c>
      <c r="AD47" s="85" t="str">
        <v>是</v>
      </c>
      <c r="AE47" s="85" t="str">
        <v>无</v>
      </c>
      <c r="AF47" s="503" t="n">
        <v>12.27</v>
      </c>
      <c r="AG47" s="503" t="n">
        <v>0.75</v>
      </c>
      <c r="AH47" s="503" t="n">
        <v>0.862</v>
      </c>
      <c r="AI47" s="503" t="n">
        <v>0.994</v>
      </c>
      <c r="AJ47" s="503" t="n">
        <v>0.803</v>
      </c>
      <c r="AK47" s="78" t="str">
        <v>FrozenUncertain</v>
      </c>
      <c r="AL47" s="78" t="str">
        <v>否</v>
      </c>
      <c r="AM47" s="506" t="n">
        <v>1</v>
      </c>
      <c r="AN47" s="506" t="n">
        <v>0</v>
      </c>
      <c r="AO47" s="218" t="str"/>
    </row>
    <row r="48" ht="24" customHeight="1">
      <c r="A48" s="65" t="inlineStr">
        <is>
          <t xml:space="preserve">P008</t>
        </is>
      </c>
      <c r="B48" s="96" t="n">
        <v>2</v>
      </c>
      <c r="C48" s="96" t="inlineStr">
        <is>
          <t xml:space="preserve">O2-S1-OE</t>
        </is>
      </c>
      <c r="D48" s="96" t="n">
        <v>1</v>
      </c>
      <c r="E48" s="96" t="inlineStr">
        <is>
          <t xml:space="preserve">鼠标</t>
        </is>
      </c>
      <c r="F48" s="96" t="inlineStr">
        <is>
          <t xml:space="preserve">blue_mouse</t>
        </is>
      </c>
      <c r="G48" s="96" t="inlineStr">
        <is>
          <t xml:space="preserve">方法B</t>
        </is>
      </c>
      <c r="H48" s="96" t="inlineStr">
        <is>
          <t xml:space="preserve">EgoAnchor</t>
        </is>
      </c>
      <c r="I48" s="96" t="n">
        <v>2</v>
      </c>
      <c r="J48" s="96" t="n">
        <v>1</v>
      </c>
      <c r="K48" s="85" t="n">
        <v>5</v>
      </c>
      <c r="L48" s="85" t="n">
        <v>6</v>
      </c>
      <c r="M48" s="85" t="n">
        <v>5</v>
      </c>
      <c r="N48" s="75"/>
      <c r="O48" s="85" t="n">
        <v>4</v>
      </c>
      <c r="P48" s="85" t="n">
        <v>5</v>
      </c>
      <c r="Q48" s="85" t="n">
        <v>4</v>
      </c>
      <c r="R48" s="85" t="n">
        <v>6</v>
      </c>
      <c r="S48" s="85" t="n">
        <v>4</v>
      </c>
      <c r="T48" s="85" t="n">
        <v>4</v>
      </c>
      <c r="U48" s="85" t="n">
        <v>5</v>
      </c>
      <c r="V48" s="85" t="n">
        <v>5</v>
      </c>
      <c r="W48" s="85" t="n">
        <v>4</v>
      </c>
      <c r="X48" s="85" t="n">
        <v>4</v>
      </c>
      <c r="Y48" s="497" t="n">
        <v>46238.642443171295</v>
      </c>
      <c r="Z48" s="497" t="n">
        <v>46238.64336052084</v>
      </c>
      <c r="AA48" s="500" t="n">
        <v>79.3</v>
      </c>
      <c r="AB48" s="85" t="str">
        <v>是</v>
      </c>
      <c r="AC48" s="85" t="str">
        <v>是</v>
      </c>
      <c r="AD48" s="85" t="str">
        <v>是</v>
      </c>
      <c r="AE48" s="85" t="str">
        <v>无</v>
      </c>
      <c r="AF48" s="503" t="n">
        <v>12.15</v>
      </c>
      <c r="AG48" s="503" t="n">
        <v>0.741</v>
      </c>
      <c r="AH48" s="503" t="n">
        <v>0.848</v>
      </c>
      <c r="AI48" s="503" t="n">
        <v>0.991</v>
      </c>
      <c r="AJ48" s="503" t="n">
        <v>0.762</v>
      </c>
      <c r="AK48" s="78" t="str">
        <v>FrozenUncertain</v>
      </c>
      <c r="AL48" s="78" t="str">
        <v>否</v>
      </c>
      <c r="AM48" s="506" t="n">
        <v>1</v>
      </c>
      <c r="AN48" s="506" t="n">
        <v>4</v>
      </c>
      <c r="AO48" s="218" t="str">
        <v>拿起时感觉略有滞后</v>
      </c>
    </row>
    <row r="49" ht="24" customHeight="1">
      <c r="A49" s="65" t="inlineStr">
        <is>
          <t xml:space="preserve">P008</t>
        </is>
      </c>
      <c r="B49" s="96" t="n">
        <v>3</v>
      </c>
      <c r="C49" s="96" t="inlineStr">
        <is>
          <t xml:space="preserve">O2-S1-OE</t>
        </is>
      </c>
      <c r="D49" s="96" t="n">
        <v>2</v>
      </c>
      <c r="E49" s="96" t="inlineStr">
        <is>
          <t xml:space="preserve">游戏手柄</t>
        </is>
      </c>
      <c r="F49" s="96" t="inlineStr">
        <is>
          <t xml:space="preserve">gamepad</t>
        </is>
      </c>
      <c r="G49" s="96" t="inlineStr">
        <is>
          <t xml:space="preserve">方法B</t>
        </is>
      </c>
      <c r="H49" s="96" t="inlineStr">
        <is>
          <t xml:space="preserve">EgoAnchor</t>
        </is>
      </c>
      <c r="I49" s="96" t="n">
        <v>1</v>
      </c>
      <c r="J49" s="96" t="n">
        <v>2</v>
      </c>
      <c r="K49" s="85" t="n">
        <v>4</v>
      </c>
      <c r="L49" s="85" t="n">
        <v>5</v>
      </c>
      <c r="M49" s="85" t="n">
        <v>6</v>
      </c>
      <c r="N49" s="75"/>
      <c r="O49" s="85" t="n">
        <v>4</v>
      </c>
      <c r="P49" s="85" t="n">
        <v>4</v>
      </c>
      <c r="Q49" s="85" t="n">
        <v>3</v>
      </c>
      <c r="R49" s="85" t="n">
        <v>5</v>
      </c>
      <c r="S49" s="85" t="n">
        <v>4</v>
      </c>
      <c r="T49" s="85" t="n">
        <v>4</v>
      </c>
      <c r="U49" s="85" t="n">
        <v>4</v>
      </c>
      <c r="V49" s="85" t="n">
        <v>5</v>
      </c>
      <c r="W49" s="85" t="n">
        <v>3</v>
      </c>
      <c r="X49" s="85" t="n">
        <v>5</v>
      </c>
      <c r="Y49" s="497" t="n">
        <v>46238.644358125</v>
      </c>
      <c r="Z49" s="497" t="n">
        <v>46238.64540667824</v>
      </c>
      <c r="AA49" s="500" t="n">
        <v>90.6</v>
      </c>
      <c r="AB49" s="85" t="str">
        <v>是</v>
      </c>
      <c r="AC49" s="85" t="str">
        <v>是</v>
      </c>
      <c r="AD49" s="85" t="str">
        <v>是</v>
      </c>
      <c r="AE49" s="85" t="str">
        <v>无</v>
      </c>
      <c r="AF49" s="503" t="n">
        <v>12.26</v>
      </c>
      <c r="AG49" s="503" t="n">
        <v>0.8</v>
      </c>
      <c r="AH49" s="503" t="n">
        <v>0.871</v>
      </c>
      <c r="AI49" s="503" t="n">
        <v>0.991</v>
      </c>
      <c r="AJ49" s="503" t="n">
        <v>0.742</v>
      </c>
      <c r="AK49" s="78" t="str">
        <v>FrozenUncertain</v>
      </c>
      <c r="AL49" s="78" t="str">
        <v>否</v>
      </c>
      <c r="AM49" s="506" t="n">
        <v>0</v>
      </c>
      <c r="AN49" s="506" t="n">
        <v>4</v>
      </c>
      <c r="AO49" s="218" t="str">
        <v>拿起时感觉略有滞后</v>
      </c>
    </row>
    <row r="50" ht="24" customHeight="1">
      <c r="A50" s="65" t="inlineStr">
        <is>
          <t xml:space="preserve">P008</t>
        </is>
      </c>
      <c r="B50" s="96" t="n">
        <v>4</v>
      </c>
      <c r="C50" s="96" t="inlineStr">
        <is>
          <t xml:space="preserve">O2-S1-OE</t>
        </is>
      </c>
      <c r="D50" s="96" t="n">
        <v>2</v>
      </c>
      <c r="E50" s="96" t="inlineStr">
        <is>
          <t xml:space="preserve">游戏手柄</t>
        </is>
      </c>
      <c r="F50" s="96" t="inlineStr">
        <is>
          <t xml:space="preserve">gamepad</t>
        </is>
      </c>
      <c r="G50" s="96" t="inlineStr">
        <is>
          <t xml:space="preserve">方法A</t>
        </is>
      </c>
      <c r="H50" s="96" t="inlineStr">
        <is>
          <t xml:space="preserve">One-Euro</t>
        </is>
      </c>
      <c r="I50" s="96" t="n">
        <v>2</v>
      </c>
      <c r="J50" s="96" t="n">
        <v>2</v>
      </c>
      <c r="K50" s="85" t="n">
        <v>5</v>
      </c>
      <c r="L50" s="85" t="n">
        <v>4</v>
      </c>
      <c r="M50" s="85" t="n">
        <v>5</v>
      </c>
      <c r="N50" s="75"/>
      <c r="O50" s="85" t="n">
        <v>4</v>
      </c>
      <c r="P50" s="85" t="n">
        <v>5</v>
      </c>
      <c r="Q50" s="85" t="n">
        <v>4</v>
      </c>
      <c r="R50" s="85" t="n">
        <v>5</v>
      </c>
      <c r="S50" s="85" t="n">
        <v>5</v>
      </c>
      <c r="T50" s="85" t="n">
        <v>4</v>
      </c>
      <c r="U50" s="85" t="n">
        <v>6</v>
      </c>
      <c r="V50" s="85" t="n">
        <v>4</v>
      </c>
      <c r="W50" s="85" t="n">
        <v>4</v>
      </c>
      <c r="X50" s="85" t="n">
        <v>4</v>
      </c>
      <c r="Y50" s="497" t="n">
        <v>46238.64639115741</v>
      </c>
      <c r="Z50" s="497" t="n">
        <v>46238.647506423615</v>
      </c>
      <c r="AA50" s="500" t="n">
        <v>96.4</v>
      </c>
      <c r="AB50" s="85" t="str">
        <v>是</v>
      </c>
      <c r="AC50" s="85" t="str">
        <v>是</v>
      </c>
      <c r="AD50" s="85" t="str">
        <v>是</v>
      </c>
      <c r="AE50" s="85" t="str">
        <v>无</v>
      </c>
      <c r="AF50" s="503" t="n">
        <v>12.91</v>
      </c>
      <c r="AG50" s="503" t="n">
        <v>0.766</v>
      </c>
      <c r="AH50" s="503" t="n">
        <v>0.894</v>
      </c>
      <c r="AI50" s="503" t="n">
        <v>1</v>
      </c>
      <c r="AJ50" s="503" t="n">
        <v>0.783</v>
      </c>
      <c r="AK50" s="78" t="str">
        <v>FrozenUncertain</v>
      </c>
      <c r="AL50" s="78" t="str">
        <v>否</v>
      </c>
      <c r="AM50" s="506" t="n">
        <v>0</v>
      </c>
      <c r="AN50" s="506" t="n">
        <v>0</v>
      </c>
      <c r="AO50" s="218" t="str">
        <v>遮挡恢复后出现一次小跳变</v>
      </c>
    </row>
    <row r="51" ht="24" customHeight="1">
      <c r="A51" s="65" t="inlineStr">
        <is>
          <t xml:space="preserve">P008</t>
        </is>
      </c>
      <c r="B51" s="96" t="n">
        <v>5</v>
      </c>
      <c r="C51" s="96" t="inlineStr">
        <is>
          <t xml:space="preserve">O2-S1-OE</t>
        </is>
      </c>
      <c r="D51" s="96" t="n">
        <v>3</v>
      </c>
      <c r="E51" s="96" t="inlineStr">
        <is>
          <t xml:space="preserve">固定订书机</t>
        </is>
      </c>
      <c r="F51" s="96" t="inlineStr">
        <is>
          <t xml:space="preserve">stapler</t>
        </is>
      </c>
      <c r="G51" s="96" t="inlineStr">
        <is>
          <t xml:space="preserve">方法A</t>
        </is>
      </c>
      <c r="H51" s="96" t="inlineStr">
        <is>
          <t xml:space="preserve">One-Euro</t>
        </is>
      </c>
      <c r="I51" s="96" t="n">
        <v>1</v>
      </c>
      <c r="J51" s="96" t="n">
        <v>3</v>
      </c>
      <c r="K51" s="85" t="n">
        <v>5</v>
      </c>
      <c r="L51" s="85" t="n">
        <v>5</v>
      </c>
      <c r="M51" s="85" t="n">
        <v>4</v>
      </c>
      <c r="N51" s="75"/>
      <c r="O51" s="85" t="n">
        <v>4</v>
      </c>
      <c r="P51" s="85" t="n">
        <v>5</v>
      </c>
      <c r="Q51" s="85" t="n">
        <v>3</v>
      </c>
      <c r="R51" s="85" t="n">
        <v>4</v>
      </c>
      <c r="S51" s="85" t="n">
        <v>4</v>
      </c>
      <c r="T51" s="85" t="n">
        <v>4</v>
      </c>
      <c r="U51" s="85" t="n">
        <v>5</v>
      </c>
      <c r="V51" s="85" t="n">
        <v>4</v>
      </c>
      <c r="W51" s="85" t="n">
        <v>4</v>
      </c>
      <c r="X51" s="85" t="n">
        <v>5</v>
      </c>
      <c r="Y51" s="497" t="n">
        <v>46238.64833606481</v>
      </c>
      <c r="Z51" s="497" t="n">
        <v>46238.649092210646</v>
      </c>
      <c r="AA51" s="500" t="n">
        <v>65.3</v>
      </c>
      <c r="AB51" s="85" t="str">
        <v>是</v>
      </c>
      <c r="AC51" s="85" t="str">
        <v>是</v>
      </c>
      <c r="AD51" s="85" t="str">
        <v>是</v>
      </c>
      <c r="AE51" s="85" t="str">
        <v>无</v>
      </c>
      <c r="AF51" s="503" t="n">
        <v>12.75</v>
      </c>
      <c r="AG51" s="503" t="n">
        <v>0.854</v>
      </c>
      <c r="AH51" s="503" t="n">
        <v>0.914</v>
      </c>
      <c r="AI51" s="503" t="n">
        <v>0.993</v>
      </c>
      <c r="AJ51" s="503" t="n">
        <v>0.725</v>
      </c>
      <c r="AK51" s="78" t="str">
        <v>FrozenUncertain</v>
      </c>
      <c r="AL51" s="78" t="str">
        <v>否</v>
      </c>
      <c r="AM51" s="506" t="n">
        <v>1</v>
      </c>
      <c r="AN51" s="506" t="n">
        <v>0</v>
      </c>
      <c r="AO51" s="218" t="str">
        <v>遮挡恢复后出现一次小跳变</v>
      </c>
    </row>
    <row r="52" ht="24" customHeight="1">
      <c r="A52" s="262" t="inlineStr">
        <is>
          <t xml:space="preserve">P008</t>
        </is>
      </c>
      <c r="B52" s="263" t="n">
        <v>6</v>
      </c>
      <c r="C52" s="263" t="inlineStr">
        <is>
          <t xml:space="preserve">O2-S1-OE</t>
        </is>
      </c>
      <c r="D52" s="263" t="n">
        <v>3</v>
      </c>
      <c r="E52" s="263" t="inlineStr">
        <is>
          <t xml:space="preserve">固定订书机</t>
        </is>
      </c>
      <c r="F52" s="263" t="inlineStr">
        <is>
          <t xml:space="preserve">stapler</t>
        </is>
      </c>
      <c r="G52" s="263" t="inlineStr">
        <is>
          <t xml:space="preserve">方法B</t>
        </is>
      </c>
      <c r="H52" s="263" t="inlineStr">
        <is>
          <t xml:space="preserve">EgoAnchor</t>
        </is>
      </c>
      <c r="I52" s="263" t="n">
        <v>2</v>
      </c>
      <c r="J52" s="263" t="n">
        <v>3</v>
      </c>
      <c r="K52" s="266" t="n">
        <v>4</v>
      </c>
      <c r="L52" s="266" t="n">
        <v>5</v>
      </c>
      <c r="M52" s="266" t="n">
        <v>5</v>
      </c>
      <c r="N52" s="278"/>
      <c r="O52" s="266" t="n">
        <v>4</v>
      </c>
      <c r="P52" s="266" t="n">
        <v>4</v>
      </c>
      <c r="Q52" s="266" t="n">
        <v>5</v>
      </c>
      <c r="R52" s="266" t="n">
        <v>4</v>
      </c>
      <c r="S52" s="266" t="n">
        <v>5</v>
      </c>
      <c r="T52" s="266" t="n">
        <v>5</v>
      </c>
      <c r="U52" s="266" t="n">
        <v>4</v>
      </c>
      <c r="V52" s="266" t="n">
        <v>4</v>
      </c>
      <c r="W52" s="266" t="n">
        <v>4</v>
      </c>
      <c r="X52" s="266" t="n">
        <v>5</v>
      </c>
      <c r="Y52" s="498" t="n">
        <v>46238.65011239584</v>
      </c>
      <c r="Z52" s="498" t="n">
        <v>46238.65133082176</v>
      </c>
      <c r="AA52" s="501" t="n">
        <v>105.3</v>
      </c>
      <c r="AB52" s="266" t="str">
        <v>是</v>
      </c>
      <c r="AC52" s="266" t="str">
        <v>是</v>
      </c>
      <c r="AD52" s="266" t="str">
        <v>是</v>
      </c>
      <c r="AE52" s="266" t="str">
        <v>无</v>
      </c>
      <c r="AF52" s="504" t="n">
        <v>13.09</v>
      </c>
      <c r="AG52" s="504" t="n">
        <v>0.832</v>
      </c>
      <c r="AH52" s="504" t="n">
        <v>0.909</v>
      </c>
      <c r="AI52" s="504" t="n">
        <v>0.993</v>
      </c>
      <c r="AJ52" s="504" t="n">
        <v>0.75</v>
      </c>
      <c r="AK52" s="279" t="str">
        <v>FrozenUncertain</v>
      </c>
      <c r="AL52" s="279" t="str">
        <v>否</v>
      </c>
      <c r="AM52" s="507" t="n">
        <v>0</v>
      </c>
      <c r="AN52" s="507" t="n">
        <v>4</v>
      </c>
      <c r="AO52" s="279" t="str">
        <v>拿起时感觉略有滞后</v>
      </c>
    </row>
    <row r="53" ht="24" customHeight="1">
      <c r="A53" s="65" t="inlineStr">
        <is>
          <t xml:space="preserve">P009</t>
        </is>
      </c>
      <c r="B53" s="96" t="n">
        <v>1</v>
      </c>
      <c r="C53" s="96" t="inlineStr">
        <is>
          <t xml:space="preserve">O3-S1-EA</t>
        </is>
      </c>
      <c r="D53" s="96" t="n">
        <v>1</v>
      </c>
      <c r="E53" s="96" t="inlineStr">
        <is>
          <t xml:space="preserve">固定订书机</t>
        </is>
      </c>
      <c r="F53" s="96" t="inlineStr">
        <is>
          <t xml:space="preserve">stapler</t>
        </is>
      </c>
      <c r="G53" s="96" t="inlineStr">
        <is>
          <t xml:space="preserve">方法A</t>
        </is>
      </c>
      <c r="H53" s="96" t="inlineStr">
        <is>
          <t xml:space="preserve">EgoAnchor</t>
        </is>
      </c>
      <c r="I53" s="96" t="n">
        <v>1</v>
      </c>
      <c r="J53" s="96" t="n">
        <v>1</v>
      </c>
      <c r="K53" s="85" t="n">
        <v>5</v>
      </c>
      <c r="L53" s="85" t="n">
        <v>5</v>
      </c>
      <c r="M53" s="85" t="n">
        <v>5</v>
      </c>
      <c r="N53" s="75"/>
      <c r="O53" s="85" t="n">
        <v>2</v>
      </c>
      <c r="P53" s="85" t="n">
        <v>3</v>
      </c>
      <c r="Q53" s="85" t="n">
        <v>5</v>
      </c>
      <c r="R53" s="85" t="n">
        <v>5</v>
      </c>
      <c r="S53" s="85" t="n">
        <v>5</v>
      </c>
      <c r="T53" s="85" t="n">
        <v>6</v>
      </c>
      <c r="U53" s="85" t="n">
        <v>4</v>
      </c>
      <c r="V53" s="85" t="n">
        <v>3</v>
      </c>
      <c r="W53" s="85" t="n">
        <v>4</v>
      </c>
      <c r="X53" s="85" t="n">
        <v>3</v>
      </c>
      <c r="Y53" s="497" t="n">
        <v>46239.38347581019</v>
      </c>
      <c r="Z53" s="497" t="n">
        <v>46239.38420497685</v>
      </c>
      <c r="AA53" s="500" t="n">
        <v>63</v>
      </c>
      <c r="AB53" s="85" t="str">
        <v>是</v>
      </c>
      <c r="AC53" s="85" t="str">
        <v>是</v>
      </c>
      <c r="AD53" s="85" t="str">
        <v>是</v>
      </c>
      <c r="AE53" s="85" t="str">
        <v>无</v>
      </c>
      <c r="AF53" s="503" t="n">
        <v>12.56</v>
      </c>
      <c r="AG53" s="503" t="n">
        <v>0.833</v>
      </c>
      <c r="AH53" s="503" t="n">
        <v>0.892</v>
      </c>
      <c r="AI53" s="503" t="n">
        <v>0.99</v>
      </c>
      <c r="AJ53" s="503" t="n">
        <v>0.765</v>
      </c>
      <c r="AK53" s="78" t="str">
        <v>FrozenUncertain</v>
      </c>
      <c r="AL53" s="78" t="str">
        <v>否</v>
      </c>
      <c r="AM53" s="506" t="n">
        <v>1</v>
      </c>
      <c r="AN53" s="506" t="n">
        <v>4</v>
      </c>
      <c r="AO53" s="218" t="str">
        <v>拿起时感觉略有滞后</v>
      </c>
    </row>
    <row r="54" ht="24" customHeight="1">
      <c r="A54" s="65" t="inlineStr">
        <is>
          <t xml:space="preserve">P009</t>
        </is>
      </c>
      <c r="B54" s="96" t="n">
        <v>2</v>
      </c>
      <c r="C54" s="96" t="inlineStr">
        <is>
          <t xml:space="preserve">O3-S1-EA</t>
        </is>
      </c>
      <c r="D54" s="96" t="n">
        <v>1</v>
      </c>
      <c r="E54" s="96" t="inlineStr">
        <is>
          <t xml:space="preserve">固定订书机</t>
        </is>
      </c>
      <c r="F54" s="96" t="inlineStr">
        <is>
          <t xml:space="preserve">stapler</t>
        </is>
      </c>
      <c r="G54" s="96" t="inlineStr">
        <is>
          <t xml:space="preserve">方法B</t>
        </is>
      </c>
      <c r="H54" s="96" t="inlineStr">
        <is>
          <t xml:space="preserve">One-Euro</t>
        </is>
      </c>
      <c r="I54" s="96" t="n">
        <v>2</v>
      </c>
      <c r="J54" s="96" t="n">
        <v>1</v>
      </c>
      <c r="K54" s="85" t="n">
        <v>4</v>
      </c>
      <c r="L54" s="85" t="n">
        <v>5</v>
      </c>
      <c r="M54" s="85" t="n">
        <v>6</v>
      </c>
      <c r="N54" s="75"/>
      <c r="O54" s="85" t="n">
        <v>4</v>
      </c>
      <c r="P54" s="85" t="n">
        <v>4</v>
      </c>
      <c r="Q54" s="85" t="n">
        <v>3</v>
      </c>
      <c r="R54" s="85" t="n">
        <v>4</v>
      </c>
      <c r="S54" s="85" t="n">
        <v>5</v>
      </c>
      <c r="T54" s="85" t="n">
        <v>2</v>
      </c>
      <c r="U54" s="85" t="n">
        <v>5</v>
      </c>
      <c r="V54" s="85" t="n">
        <v>5</v>
      </c>
      <c r="W54" s="85" t="n">
        <v>4</v>
      </c>
      <c r="X54" s="85" t="n">
        <v>4</v>
      </c>
      <c r="Y54" s="497" t="n">
        <v>46239.38512633102</v>
      </c>
      <c r="Z54" s="497" t="n">
        <v>46239.386485636576</v>
      </c>
      <c r="AA54" s="500" t="n">
        <v>117.4</v>
      </c>
      <c r="AB54" s="85" t="str">
        <v>是</v>
      </c>
      <c r="AC54" s="85" t="str">
        <v>是</v>
      </c>
      <c r="AD54" s="85" t="str">
        <v>是</v>
      </c>
      <c r="AE54" s="85" t="str">
        <v>无</v>
      </c>
      <c r="AF54" s="503" t="n">
        <v>11.97</v>
      </c>
      <c r="AG54" s="503" t="n">
        <v>0.801</v>
      </c>
      <c r="AH54" s="503" t="n">
        <v>0.915</v>
      </c>
      <c r="AI54" s="503" t="n">
        <v>0.979</v>
      </c>
      <c r="AJ54" s="503" t="n">
        <v>0.67</v>
      </c>
      <c r="AK54" s="78" t="str">
        <v>FrozenUncertain</v>
      </c>
      <c r="AL54" s="78" t="str">
        <v>否</v>
      </c>
      <c r="AM54" s="506" t="n">
        <v>1</v>
      </c>
      <c r="AN54" s="506" t="n">
        <v>0</v>
      </c>
      <c r="AO54" s="218" t="str"/>
    </row>
    <row r="55" ht="24" customHeight="1">
      <c r="A55" s="65" t="inlineStr">
        <is>
          <t xml:space="preserve">P009</t>
        </is>
      </c>
      <c r="B55" s="96" t="n">
        <v>3</v>
      </c>
      <c r="C55" s="96" t="inlineStr">
        <is>
          <t xml:space="preserve">O3-S1-EA</t>
        </is>
      </c>
      <c r="D55" s="96" t="n">
        <v>2</v>
      </c>
      <c r="E55" s="96" t="inlineStr">
        <is>
          <t xml:space="preserve">鼠标</t>
        </is>
      </c>
      <c r="F55" s="96" t="inlineStr">
        <is>
          <t xml:space="preserve">blue_mouse</t>
        </is>
      </c>
      <c r="G55" s="96" t="inlineStr">
        <is>
          <t xml:space="preserve">方法B</t>
        </is>
      </c>
      <c r="H55" s="96" t="inlineStr">
        <is>
          <t xml:space="preserve">One-Euro</t>
        </is>
      </c>
      <c r="I55" s="96" t="n">
        <v>1</v>
      </c>
      <c r="J55" s="96" t="n">
        <v>2</v>
      </c>
      <c r="K55" s="85" t="n">
        <v>4</v>
      </c>
      <c r="L55" s="85" t="n">
        <v>6</v>
      </c>
      <c r="M55" s="85" t="n">
        <v>5</v>
      </c>
      <c r="N55" s="75"/>
      <c r="O55" s="85" t="n">
        <v>6</v>
      </c>
      <c r="P55" s="85" t="n">
        <v>5</v>
      </c>
      <c r="Q55" s="85" t="n">
        <v>4</v>
      </c>
      <c r="R55" s="85" t="n">
        <v>4</v>
      </c>
      <c r="S55" s="85" t="n">
        <v>4</v>
      </c>
      <c r="T55" s="85" t="n">
        <v>4</v>
      </c>
      <c r="U55" s="85" t="n">
        <v>4</v>
      </c>
      <c r="V55" s="85" t="n">
        <v>5</v>
      </c>
      <c r="W55" s="85" t="n">
        <v>4</v>
      </c>
      <c r="X55" s="85" t="n">
        <v>4</v>
      </c>
      <c r="Y55" s="497" t="n">
        <v>46239.38738349537</v>
      </c>
      <c r="Z55" s="497" t="n">
        <v>46239.388878020836</v>
      </c>
      <c r="AA55" s="500" t="n">
        <v>129.1</v>
      </c>
      <c r="AB55" s="85" t="str">
        <v>是</v>
      </c>
      <c r="AC55" s="85" t="str">
        <v>是</v>
      </c>
      <c r="AD55" s="85" t="str">
        <v>是</v>
      </c>
      <c r="AE55" s="85" t="str">
        <v>无</v>
      </c>
      <c r="AF55" s="503" t="n">
        <v>13.94</v>
      </c>
      <c r="AG55" s="503" t="n">
        <v>0.829</v>
      </c>
      <c r="AH55" s="503" t="n">
        <v>0.877</v>
      </c>
      <c r="AI55" s="503" t="n">
        <v>0.988</v>
      </c>
      <c r="AJ55" s="503" t="n">
        <v>0.771</v>
      </c>
      <c r="AK55" s="78" t="str">
        <v>FrozenUncertain</v>
      </c>
      <c r="AL55" s="78" t="str">
        <v>否</v>
      </c>
      <c r="AM55" s="506" t="n">
        <v>0</v>
      </c>
      <c r="AN55" s="506" t="n">
        <v>0</v>
      </c>
      <c r="AO55" s="218" t="str">
        <v>静止阶段可见轻微抖动</v>
      </c>
    </row>
    <row r="56" ht="24" customHeight="1">
      <c r="A56" s="65" t="inlineStr">
        <is>
          <t xml:space="preserve">P009</t>
        </is>
      </c>
      <c r="B56" s="96" t="n">
        <v>4</v>
      </c>
      <c r="C56" s="96" t="inlineStr">
        <is>
          <t xml:space="preserve">O3-S1-EA</t>
        </is>
      </c>
      <c r="D56" s="96" t="n">
        <v>2</v>
      </c>
      <c r="E56" s="96" t="inlineStr">
        <is>
          <t xml:space="preserve">鼠标</t>
        </is>
      </c>
      <c r="F56" s="96" t="inlineStr">
        <is>
          <t xml:space="preserve">blue_mouse</t>
        </is>
      </c>
      <c r="G56" s="96" t="inlineStr">
        <is>
          <t xml:space="preserve">方法A</t>
        </is>
      </c>
      <c r="H56" s="96" t="inlineStr">
        <is>
          <t xml:space="preserve">EgoAnchor</t>
        </is>
      </c>
      <c r="I56" s="96" t="n">
        <v>2</v>
      </c>
      <c r="J56" s="96" t="n">
        <v>2</v>
      </c>
      <c r="K56" s="85" t="n">
        <v>4</v>
      </c>
      <c r="L56" s="85" t="n">
        <v>5</v>
      </c>
      <c r="M56" s="85" t="n">
        <v>5</v>
      </c>
      <c r="N56" s="75"/>
      <c r="O56" s="85" t="n">
        <v>4</v>
      </c>
      <c r="P56" s="85" t="n">
        <v>5</v>
      </c>
      <c r="Q56" s="85" t="n">
        <v>5</v>
      </c>
      <c r="R56" s="85" t="n">
        <v>4</v>
      </c>
      <c r="S56" s="85" t="n">
        <v>4</v>
      </c>
      <c r="T56" s="85" t="n">
        <v>5</v>
      </c>
      <c r="U56" s="85" t="n">
        <v>4</v>
      </c>
      <c r="V56" s="85" t="n">
        <v>4</v>
      </c>
      <c r="W56" s="85" t="n">
        <v>5</v>
      </c>
      <c r="X56" s="85" t="n">
        <v>4</v>
      </c>
      <c r="Y56" s="497" t="n">
        <v>46239.38973289352</v>
      </c>
      <c r="Z56" s="497" t="n">
        <v>46239.39085240741</v>
      </c>
      <c r="AA56" s="500" t="n">
        <v>96.7</v>
      </c>
      <c r="AB56" s="85" t="str">
        <v>是</v>
      </c>
      <c r="AC56" s="85" t="str">
        <v>是</v>
      </c>
      <c r="AD56" s="85" t="str">
        <v>是</v>
      </c>
      <c r="AE56" s="85" t="str">
        <v>无</v>
      </c>
      <c r="AF56" s="503" t="n">
        <v>13.22</v>
      </c>
      <c r="AG56" s="503" t="n">
        <v>0.751</v>
      </c>
      <c r="AH56" s="503" t="n">
        <v>0.868</v>
      </c>
      <c r="AI56" s="503" t="n">
        <v>0.992</v>
      </c>
      <c r="AJ56" s="503" t="n">
        <v>0.717</v>
      </c>
      <c r="AK56" s="78" t="str">
        <v>FrozenUncertain</v>
      </c>
      <c r="AL56" s="78" t="str">
        <v>否</v>
      </c>
      <c r="AM56" s="506" t="n">
        <v>1</v>
      </c>
      <c r="AN56" s="506" t="n">
        <v>4</v>
      </c>
      <c r="AO56" s="218" t="str"/>
    </row>
    <row r="57" ht="24" customHeight="1">
      <c r="A57" s="65" t="inlineStr">
        <is>
          <t xml:space="preserve">P009</t>
        </is>
      </c>
      <c r="B57" s="96" t="n">
        <v>5</v>
      </c>
      <c r="C57" s="96" t="inlineStr">
        <is>
          <t xml:space="preserve">O3-S1-EA</t>
        </is>
      </c>
      <c r="D57" s="96" t="n">
        <v>3</v>
      </c>
      <c r="E57" s="96" t="inlineStr">
        <is>
          <t xml:space="preserve">游戏手柄</t>
        </is>
      </c>
      <c r="F57" s="96" t="inlineStr">
        <is>
          <t xml:space="preserve">gamepad</t>
        </is>
      </c>
      <c r="G57" s="96" t="inlineStr">
        <is>
          <t xml:space="preserve">方法A</t>
        </is>
      </c>
      <c r="H57" s="96" t="inlineStr">
        <is>
          <t xml:space="preserve">EgoAnchor</t>
        </is>
      </c>
      <c r="I57" s="96" t="n">
        <v>1</v>
      </c>
      <c r="J57" s="96" t="n">
        <v>3</v>
      </c>
      <c r="K57" s="85" t="n">
        <v>4</v>
      </c>
      <c r="L57" s="85" t="n">
        <v>6</v>
      </c>
      <c r="M57" s="85" t="n">
        <v>4</v>
      </c>
      <c r="N57" s="75"/>
      <c r="O57" s="85" t="n">
        <v>5</v>
      </c>
      <c r="P57" s="85" t="n">
        <v>5</v>
      </c>
      <c r="Q57" s="85" t="n">
        <v>5</v>
      </c>
      <c r="R57" s="85" t="n">
        <v>4</v>
      </c>
      <c r="S57" s="85" t="n">
        <v>4</v>
      </c>
      <c r="T57" s="85" t="n">
        <v>3</v>
      </c>
      <c r="U57" s="85" t="n">
        <v>4</v>
      </c>
      <c r="V57" s="85" t="n">
        <v>4</v>
      </c>
      <c r="W57" s="85" t="n">
        <v>4</v>
      </c>
      <c r="X57" s="85" t="n">
        <v>4</v>
      </c>
      <c r="Y57" s="497" t="n">
        <v>46239.391843460646</v>
      </c>
      <c r="Z57" s="497" t="n">
        <v>46239.392714155096</v>
      </c>
      <c r="AA57" s="500" t="n">
        <v>75.2</v>
      </c>
      <c r="AB57" s="85" t="str">
        <v>是</v>
      </c>
      <c r="AC57" s="85" t="str">
        <v>是</v>
      </c>
      <c r="AD57" s="85" t="str">
        <v>是</v>
      </c>
      <c r="AE57" s="85" t="str">
        <v>无</v>
      </c>
      <c r="AF57" s="503" t="n">
        <v>12.88</v>
      </c>
      <c r="AG57" s="503" t="n">
        <v>0.793</v>
      </c>
      <c r="AH57" s="503" t="n">
        <v>0.85</v>
      </c>
      <c r="AI57" s="503" t="n">
        <v>0.998</v>
      </c>
      <c r="AJ57" s="503" t="n">
        <v>0.761</v>
      </c>
      <c r="AK57" s="78" t="str">
        <v>FrozenUncertain</v>
      </c>
      <c r="AL57" s="78" t="str">
        <v>否</v>
      </c>
      <c r="AM57" s="506" t="n">
        <v>0</v>
      </c>
      <c r="AN57" s="506" t="n">
        <v>2</v>
      </c>
      <c r="AO57" s="218" t="str"/>
    </row>
    <row r="58" ht="24" customHeight="1">
      <c r="A58" s="262" t="inlineStr">
        <is>
          <t xml:space="preserve">P009</t>
        </is>
      </c>
      <c r="B58" s="263" t="n">
        <v>6</v>
      </c>
      <c r="C58" s="263" t="inlineStr">
        <is>
          <t xml:space="preserve">O3-S1-EA</t>
        </is>
      </c>
      <c r="D58" s="263" t="n">
        <v>3</v>
      </c>
      <c r="E58" s="263" t="inlineStr">
        <is>
          <t xml:space="preserve">游戏手柄</t>
        </is>
      </c>
      <c r="F58" s="263" t="inlineStr">
        <is>
          <t xml:space="preserve">gamepad</t>
        </is>
      </c>
      <c r="G58" s="263" t="inlineStr">
        <is>
          <t xml:space="preserve">方法B</t>
        </is>
      </c>
      <c r="H58" s="263" t="inlineStr">
        <is>
          <t xml:space="preserve">One-Euro</t>
        </is>
      </c>
      <c r="I58" s="263" t="n">
        <v>2</v>
      </c>
      <c r="J58" s="263" t="n">
        <v>3</v>
      </c>
      <c r="K58" s="266" t="n">
        <v>2</v>
      </c>
      <c r="L58" s="266" t="n">
        <v>4</v>
      </c>
      <c r="M58" s="266" t="n">
        <v>5</v>
      </c>
      <c r="N58" s="278"/>
      <c r="O58" s="266" t="n">
        <v>5</v>
      </c>
      <c r="P58" s="266" t="n">
        <v>5</v>
      </c>
      <c r="Q58" s="266" t="n">
        <v>5</v>
      </c>
      <c r="R58" s="266" t="n">
        <v>3</v>
      </c>
      <c r="S58" s="266" t="n">
        <v>3</v>
      </c>
      <c r="T58" s="266" t="n">
        <v>3</v>
      </c>
      <c r="U58" s="266" t="n">
        <v>5</v>
      </c>
      <c r="V58" s="266" t="n">
        <v>5</v>
      </c>
      <c r="W58" s="266" t="n">
        <v>4</v>
      </c>
      <c r="X58" s="266" t="n">
        <v>3</v>
      </c>
      <c r="Y58" s="498" t="n">
        <v>46239.39363427083</v>
      </c>
      <c r="Z58" s="498" t="n">
        <v>46239.394949421294</v>
      </c>
      <c r="AA58" s="501" t="n">
        <v>113.6</v>
      </c>
      <c r="AB58" s="266" t="str">
        <v>是</v>
      </c>
      <c r="AC58" s="266" t="str">
        <v>是</v>
      </c>
      <c r="AD58" s="266" t="str">
        <v>是</v>
      </c>
      <c r="AE58" s="266" t="str">
        <v>无</v>
      </c>
      <c r="AF58" s="504" t="n">
        <v>13.41</v>
      </c>
      <c r="AG58" s="504" t="n">
        <v>0.787</v>
      </c>
      <c r="AH58" s="504" t="n">
        <v>0.896</v>
      </c>
      <c r="AI58" s="504" t="n">
        <v>1</v>
      </c>
      <c r="AJ58" s="504" t="n">
        <v>0.782</v>
      </c>
      <c r="AK58" s="279" t="str">
        <v>FrozenUncertain</v>
      </c>
      <c r="AL58" s="279" t="str">
        <v>否</v>
      </c>
      <c r="AM58" s="507" t="n">
        <v>1</v>
      </c>
      <c r="AN58" s="507" t="n">
        <v>0</v>
      </c>
      <c r="AO58" s="279" t="str"/>
    </row>
    <row r="59" ht="24" customHeight="1">
      <c r="A59" s="65" t="inlineStr">
        <is>
          <t xml:space="preserve">P010</t>
        </is>
      </c>
      <c r="B59" s="96" t="n">
        <v>1</v>
      </c>
      <c r="C59" s="96" t="inlineStr">
        <is>
          <t xml:space="preserve">O3-S2-EA</t>
        </is>
      </c>
      <c r="D59" s="96" t="n">
        <v>1</v>
      </c>
      <c r="E59" s="96" t="inlineStr">
        <is>
          <t xml:space="preserve">固定订书机</t>
        </is>
      </c>
      <c r="F59" s="96" t="inlineStr">
        <is>
          <t xml:space="preserve">stapler</t>
        </is>
      </c>
      <c r="G59" s="96" t="inlineStr">
        <is>
          <t xml:space="preserve">方法B</t>
        </is>
      </c>
      <c r="H59" s="96" t="inlineStr">
        <is>
          <t xml:space="preserve">One-Euro</t>
        </is>
      </c>
      <c r="I59" s="96" t="n">
        <v>1</v>
      </c>
      <c r="J59" s="96" t="n">
        <v>1</v>
      </c>
      <c r="K59" s="85" t="n">
        <v>4</v>
      </c>
      <c r="L59" s="85" t="n">
        <v>5</v>
      </c>
      <c r="M59" s="85" t="n">
        <v>7</v>
      </c>
      <c r="N59" s="75"/>
      <c r="O59" s="85" t="n">
        <v>5</v>
      </c>
      <c r="P59" s="85" t="n">
        <v>4</v>
      </c>
      <c r="Q59" s="85" t="n">
        <v>5</v>
      </c>
      <c r="R59" s="85" t="n">
        <v>5</v>
      </c>
      <c r="S59" s="85" t="n">
        <v>5</v>
      </c>
      <c r="T59" s="85" t="n">
        <v>4</v>
      </c>
      <c r="U59" s="85" t="n">
        <v>5</v>
      </c>
      <c r="V59" s="85" t="n">
        <v>4</v>
      </c>
      <c r="W59" s="85" t="n">
        <v>3</v>
      </c>
      <c r="X59" s="85" t="n">
        <v>4</v>
      </c>
      <c r="Y59" s="497" t="n">
        <v>46239.45777811343</v>
      </c>
      <c r="Z59" s="497" t="n">
        <v>46239.45869358796</v>
      </c>
      <c r="AA59" s="500" t="n">
        <v>79.1</v>
      </c>
      <c r="AB59" s="85" t="str">
        <v>是</v>
      </c>
      <c r="AC59" s="85" t="str">
        <v>是</v>
      </c>
      <c r="AD59" s="85" t="str">
        <v>是</v>
      </c>
      <c r="AE59" s="85" t="str">
        <v>无</v>
      </c>
      <c r="AF59" s="503" t="n">
        <v>13.13</v>
      </c>
      <c r="AG59" s="503" t="n">
        <v>0.824</v>
      </c>
      <c r="AH59" s="503" t="n">
        <v>0.897</v>
      </c>
      <c r="AI59" s="503" t="n">
        <v>0.999</v>
      </c>
      <c r="AJ59" s="503" t="n">
        <v>0.781</v>
      </c>
      <c r="AK59" s="78" t="str">
        <v>FrozenUncertain</v>
      </c>
      <c r="AL59" s="78" t="str">
        <v>否</v>
      </c>
      <c r="AM59" s="506" t="n">
        <v>1</v>
      </c>
      <c r="AN59" s="506" t="n">
        <v>0</v>
      </c>
      <c r="AO59" s="218" t="str"/>
    </row>
    <row r="60" ht="24" customHeight="1">
      <c r="A60" s="65" t="inlineStr">
        <is>
          <t xml:space="preserve">P010</t>
        </is>
      </c>
      <c r="B60" s="96" t="n">
        <v>2</v>
      </c>
      <c r="C60" s="96" t="inlineStr">
        <is>
          <t xml:space="preserve">O3-S2-EA</t>
        </is>
      </c>
      <c r="D60" s="96" t="n">
        <v>1</v>
      </c>
      <c r="E60" s="96" t="inlineStr">
        <is>
          <t xml:space="preserve">固定订书机</t>
        </is>
      </c>
      <c r="F60" s="96" t="inlineStr">
        <is>
          <t xml:space="preserve">stapler</t>
        </is>
      </c>
      <c r="G60" s="96" t="inlineStr">
        <is>
          <t xml:space="preserve">方法A</t>
        </is>
      </c>
      <c r="H60" s="96" t="inlineStr">
        <is>
          <t xml:space="preserve">EgoAnchor</t>
        </is>
      </c>
      <c r="I60" s="96" t="n">
        <v>2</v>
      </c>
      <c r="J60" s="96" t="n">
        <v>1</v>
      </c>
      <c r="K60" s="85" t="n">
        <v>6</v>
      </c>
      <c r="L60" s="85" t="n">
        <v>3</v>
      </c>
      <c r="M60" s="85" t="n">
        <v>5</v>
      </c>
      <c r="N60" s="75"/>
      <c r="O60" s="85" t="n">
        <v>4</v>
      </c>
      <c r="P60" s="85" t="n">
        <v>4</v>
      </c>
      <c r="Q60" s="85" t="n">
        <v>4</v>
      </c>
      <c r="R60" s="85" t="n">
        <v>5</v>
      </c>
      <c r="S60" s="85" t="n">
        <v>4</v>
      </c>
      <c r="T60" s="85" t="n">
        <v>4</v>
      </c>
      <c r="U60" s="85" t="n">
        <v>4</v>
      </c>
      <c r="V60" s="85" t="n">
        <v>5</v>
      </c>
      <c r="W60" s="85" t="n">
        <v>5</v>
      </c>
      <c r="X60" s="85" t="n">
        <v>5</v>
      </c>
      <c r="Y60" s="497" t="n">
        <v>46239.45964459491</v>
      </c>
      <c r="Z60" s="497" t="n">
        <v>46239.46055192129</v>
      </c>
      <c r="AA60" s="500" t="n">
        <v>78.4</v>
      </c>
      <c r="AB60" s="85" t="str">
        <v>是</v>
      </c>
      <c r="AC60" s="85" t="str">
        <v>是</v>
      </c>
      <c r="AD60" s="85" t="str">
        <v>是</v>
      </c>
      <c r="AE60" s="85" t="str">
        <v>无</v>
      </c>
      <c r="AF60" s="503" t="n">
        <v>13.35</v>
      </c>
      <c r="AG60" s="503" t="n">
        <v>0.83</v>
      </c>
      <c r="AH60" s="503" t="n">
        <v>0.897</v>
      </c>
      <c r="AI60" s="503" t="n">
        <v>0.987</v>
      </c>
      <c r="AJ60" s="503" t="n">
        <v>0.758</v>
      </c>
      <c r="AK60" s="78" t="str">
        <v>FrozenUncertain</v>
      </c>
      <c r="AL60" s="78" t="str">
        <v>否</v>
      </c>
      <c r="AM60" s="506" t="n">
        <v>0</v>
      </c>
      <c r="AN60" s="506" t="n">
        <v>2</v>
      </c>
      <c r="AO60" s="218" t="str"/>
    </row>
    <row r="61" ht="24" customHeight="1">
      <c r="A61" s="65" t="inlineStr">
        <is>
          <t xml:space="preserve">P010</t>
        </is>
      </c>
      <c r="B61" s="96" t="n">
        <v>3</v>
      </c>
      <c r="C61" s="96" t="inlineStr">
        <is>
          <t xml:space="preserve">O3-S2-EA</t>
        </is>
      </c>
      <c r="D61" s="96" t="n">
        <v>2</v>
      </c>
      <c r="E61" s="96" t="inlineStr">
        <is>
          <t xml:space="preserve">鼠标</t>
        </is>
      </c>
      <c r="F61" s="96" t="inlineStr">
        <is>
          <t xml:space="preserve">blue_mouse</t>
        </is>
      </c>
      <c r="G61" s="96" t="inlineStr">
        <is>
          <t xml:space="preserve">方法A</t>
        </is>
      </c>
      <c r="H61" s="96" t="inlineStr">
        <is>
          <t xml:space="preserve">EgoAnchor</t>
        </is>
      </c>
      <c r="I61" s="96" t="n">
        <v>1</v>
      </c>
      <c r="J61" s="96" t="n">
        <v>2</v>
      </c>
      <c r="K61" s="85" t="n">
        <v>4</v>
      </c>
      <c r="L61" s="85" t="n">
        <v>2</v>
      </c>
      <c r="M61" s="85" t="n">
        <v>3</v>
      </c>
      <c r="N61" s="75"/>
      <c r="O61" s="85" t="n">
        <v>4</v>
      </c>
      <c r="P61" s="85" t="n">
        <v>4</v>
      </c>
      <c r="Q61" s="85" t="n">
        <v>4</v>
      </c>
      <c r="R61" s="85" t="n">
        <v>4</v>
      </c>
      <c r="S61" s="85" t="n">
        <v>5</v>
      </c>
      <c r="T61" s="85" t="n">
        <v>4</v>
      </c>
      <c r="U61" s="85" t="n">
        <v>5</v>
      </c>
      <c r="V61" s="85" t="n">
        <v>4</v>
      </c>
      <c r="W61" s="85" t="n">
        <v>5</v>
      </c>
      <c r="X61" s="85" t="n">
        <v>3</v>
      </c>
      <c r="Y61" s="497" t="n">
        <v>46239.46146533565</v>
      </c>
      <c r="Z61" s="497" t="n">
        <v>46239.46253370371</v>
      </c>
      <c r="AA61" s="500" t="n">
        <v>92.3</v>
      </c>
      <c r="AB61" s="85" t="str">
        <v>是</v>
      </c>
      <c r="AC61" s="85" t="str">
        <v>是</v>
      </c>
      <c r="AD61" s="85" t="str">
        <v>是</v>
      </c>
      <c r="AE61" s="85" t="str">
        <v>无</v>
      </c>
      <c r="AF61" s="503" t="n">
        <v>12.53</v>
      </c>
      <c r="AG61" s="503" t="n">
        <v>0.764</v>
      </c>
      <c r="AH61" s="503" t="n">
        <v>0.869</v>
      </c>
      <c r="AI61" s="503" t="n">
        <v>0.995</v>
      </c>
      <c r="AJ61" s="503" t="n">
        <v>0.758</v>
      </c>
      <c r="AK61" s="78" t="str">
        <v>FrozenUncertain</v>
      </c>
      <c r="AL61" s="78" t="str">
        <v>否</v>
      </c>
      <c r="AM61" s="506" t="n">
        <v>1</v>
      </c>
      <c r="AN61" s="506" t="n">
        <v>2</v>
      </c>
      <c r="AO61" s="218" t="str">
        <v>拿起时感觉略有滞后</v>
      </c>
    </row>
    <row r="62" ht="24" customHeight="1">
      <c r="A62" s="65" t="inlineStr">
        <is>
          <t xml:space="preserve">P010</t>
        </is>
      </c>
      <c r="B62" s="96" t="n">
        <v>4</v>
      </c>
      <c r="C62" s="96" t="inlineStr">
        <is>
          <t xml:space="preserve">O3-S2-EA</t>
        </is>
      </c>
      <c r="D62" s="96" t="n">
        <v>2</v>
      </c>
      <c r="E62" s="96" t="inlineStr">
        <is>
          <t xml:space="preserve">鼠标</t>
        </is>
      </c>
      <c r="F62" s="96" t="inlineStr">
        <is>
          <t xml:space="preserve">blue_mouse</t>
        </is>
      </c>
      <c r="G62" s="96" t="inlineStr">
        <is>
          <t xml:space="preserve">方法B</t>
        </is>
      </c>
      <c r="H62" s="96" t="inlineStr">
        <is>
          <t xml:space="preserve">One-Euro</t>
        </is>
      </c>
      <c r="I62" s="96" t="n">
        <v>2</v>
      </c>
      <c r="J62" s="96" t="n">
        <v>2</v>
      </c>
      <c r="K62" s="85" t="n">
        <v>4</v>
      </c>
      <c r="L62" s="85" t="n">
        <v>5</v>
      </c>
      <c r="M62" s="85" t="n">
        <v>4</v>
      </c>
      <c r="N62" s="75"/>
      <c r="O62" s="85" t="n">
        <v>5</v>
      </c>
      <c r="P62" s="85" t="n">
        <v>5</v>
      </c>
      <c r="Q62" s="85" t="n">
        <v>5</v>
      </c>
      <c r="R62" s="85" t="n">
        <v>5</v>
      </c>
      <c r="S62" s="85" t="n">
        <v>5</v>
      </c>
      <c r="T62" s="85" t="n">
        <v>4</v>
      </c>
      <c r="U62" s="85" t="n">
        <v>5</v>
      </c>
      <c r="V62" s="85" t="n">
        <v>5</v>
      </c>
      <c r="W62" s="85" t="n">
        <v>4</v>
      </c>
      <c r="X62" s="85" t="n">
        <v>3</v>
      </c>
      <c r="Y62" s="497" t="n">
        <v>46239.46338141204</v>
      </c>
      <c r="Z62" s="497" t="n">
        <v>46239.4641105787</v>
      </c>
      <c r="AA62" s="500" t="n">
        <v>63</v>
      </c>
      <c r="AB62" s="85" t="str">
        <v>是</v>
      </c>
      <c r="AC62" s="85" t="str">
        <v>是</v>
      </c>
      <c r="AD62" s="85" t="str">
        <v>是</v>
      </c>
      <c r="AE62" s="85" t="str">
        <v>无</v>
      </c>
      <c r="AF62" s="503" t="n">
        <v>13.42</v>
      </c>
      <c r="AG62" s="503" t="n">
        <v>0.775</v>
      </c>
      <c r="AH62" s="503" t="n">
        <v>0.899</v>
      </c>
      <c r="AI62" s="503" t="n">
        <v>0.997</v>
      </c>
      <c r="AJ62" s="503" t="n">
        <v>0.763</v>
      </c>
      <c r="AK62" s="78" t="str">
        <v>FrozenUncertain</v>
      </c>
      <c r="AL62" s="78" t="str">
        <v>否</v>
      </c>
      <c r="AM62" s="506" t="n">
        <v>0</v>
      </c>
      <c r="AN62" s="506" t="n">
        <v>0</v>
      </c>
      <c r="AO62" s="218" t="str"/>
    </row>
    <row r="63" ht="24" customHeight="1">
      <c r="A63" s="65" t="inlineStr">
        <is>
          <t xml:space="preserve">P010</t>
        </is>
      </c>
      <c r="B63" s="96" t="n">
        <v>5</v>
      </c>
      <c r="C63" s="96" t="inlineStr">
        <is>
          <t xml:space="preserve">O3-S2-EA</t>
        </is>
      </c>
      <c r="D63" s="96" t="n">
        <v>3</v>
      </c>
      <c r="E63" s="96" t="inlineStr">
        <is>
          <t xml:space="preserve">游戏手柄</t>
        </is>
      </c>
      <c r="F63" s="96" t="inlineStr">
        <is>
          <t xml:space="preserve">gamepad</t>
        </is>
      </c>
      <c r="G63" s="96" t="inlineStr">
        <is>
          <t xml:space="preserve">方法B</t>
        </is>
      </c>
      <c r="H63" s="96" t="inlineStr">
        <is>
          <t xml:space="preserve">One-Euro</t>
        </is>
      </c>
      <c r="I63" s="96" t="n">
        <v>1</v>
      </c>
      <c r="J63" s="96" t="n">
        <v>3</v>
      </c>
      <c r="K63" s="85" t="n">
        <v>4</v>
      </c>
      <c r="L63" s="85" t="n">
        <v>5</v>
      </c>
      <c r="M63" s="85" t="n">
        <v>5</v>
      </c>
      <c r="N63" s="75"/>
      <c r="O63" s="85" t="n">
        <v>6</v>
      </c>
      <c r="P63" s="85" t="n">
        <v>5</v>
      </c>
      <c r="Q63" s="85" t="n">
        <v>3</v>
      </c>
      <c r="R63" s="85" t="n">
        <v>5</v>
      </c>
      <c r="S63" s="85" t="n">
        <v>4</v>
      </c>
      <c r="T63" s="85" t="n">
        <v>4</v>
      </c>
      <c r="U63" s="85" t="n">
        <v>6</v>
      </c>
      <c r="V63" s="85" t="n">
        <v>4</v>
      </c>
      <c r="W63" s="85" t="n">
        <v>4</v>
      </c>
      <c r="X63" s="85" t="n">
        <v>3</v>
      </c>
      <c r="Y63" s="497" t="n">
        <v>46239.464908518516</v>
      </c>
      <c r="Z63" s="497" t="n">
        <v>46239.46624439815</v>
      </c>
      <c r="AA63" s="500" t="n">
        <v>115.4</v>
      </c>
      <c r="AB63" s="85" t="str">
        <v>是</v>
      </c>
      <c r="AC63" s="85" t="str">
        <v>是</v>
      </c>
      <c r="AD63" s="85" t="str">
        <v>是</v>
      </c>
      <c r="AE63" s="85" t="str">
        <v>无</v>
      </c>
      <c r="AF63" s="503" t="n">
        <v>12.7</v>
      </c>
      <c r="AG63" s="503" t="n">
        <v>0.75</v>
      </c>
      <c r="AH63" s="503" t="n">
        <v>0.872</v>
      </c>
      <c r="AI63" s="503" t="n">
        <v>0.992</v>
      </c>
      <c r="AJ63" s="503" t="n">
        <v>0.749</v>
      </c>
      <c r="AK63" s="78" t="str">
        <v>FrozenUncertain</v>
      </c>
      <c r="AL63" s="78" t="str">
        <v>否</v>
      </c>
      <c r="AM63" s="506" t="n">
        <v>1</v>
      </c>
      <c r="AN63" s="506" t="n">
        <v>0</v>
      </c>
      <c r="AO63" s="218" t="str">
        <v>遮挡恢复后出现一次小跳变</v>
      </c>
    </row>
    <row r="64" ht="24" customHeight="1">
      <c r="A64" s="262" t="inlineStr">
        <is>
          <t xml:space="preserve">P010</t>
        </is>
      </c>
      <c r="B64" s="263" t="n">
        <v>6</v>
      </c>
      <c r="C64" s="263" t="inlineStr">
        <is>
          <t xml:space="preserve">O3-S2-EA</t>
        </is>
      </c>
      <c r="D64" s="263" t="n">
        <v>3</v>
      </c>
      <c r="E64" s="263" t="inlineStr">
        <is>
          <t xml:space="preserve">游戏手柄</t>
        </is>
      </c>
      <c r="F64" s="263" t="inlineStr">
        <is>
          <t xml:space="preserve">gamepad</t>
        </is>
      </c>
      <c r="G64" s="263" t="inlineStr">
        <is>
          <t xml:space="preserve">方法A</t>
        </is>
      </c>
      <c r="H64" s="263" t="inlineStr">
        <is>
          <t xml:space="preserve">EgoAnchor</t>
        </is>
      </c>
      <c r="I64" s="263" t="n">
        <v>2</v>
      </c>
      <c r="J64" s="263" t="n">
        <v>3</v>
      </c>
      <c r="K64" s="266" t="n">
        <v>5</v>
      </c>
      <c r="L64" s="266" t="n">
        <v>4</v>
      </c>
      <c r="M64" s="266" t="n">
        <v>5</v>
      </c>
      <c r="N64" s="278"/>
      <c r="O64" s="266" t="n">
        <v>4</v>
      </c>
      <c r="P64" s="266" t="n">
        <v>4</v>
      </c>
      <c r="Q64" s="266" t="n">
        <v>4</v>
      </c>
      <c r="R64" s="266" t="n">
        <v>4</v>
      </c>
      <c r="S64" s="266" t="n">
        <v>4</v>
      </c>
      <c r="T64" s="266" t="n">
        <v>4</v>
      </c>
      <c r="U64" s="266" t="n">
        <v>5</v>
      </c>
      <c r="V64" s="266" t="n">
        <v>4</v>
      </c>
      <c r="W64" s="266" t="n">
        <v>6</v>
      </c>
      <c r="X64" s="266" t="n">
        <v>5</v>
      </c>
      <c r="Y64" s="498" t="n">
        <v>46239.467042766206</v>
      </c>
      <c r="Z64" s="498" t="n">
        <v>46239.468222766205</v>
      </c>
      <c r="AA64" s="501" t="n">
        <v>102</v>
      </c>
      <c r="AB64" s="266" t="str">
        <v>是</v>
      </c>
      <c r="AC64" s="266" t="str">
        <v>是</v>
      </c>
      <c r="AD64" s="266" t="str">
        <v>是</v>
      </c>
      <c r="AE64" s="266" t="str">
        <v>无</v>
      </c>
      <c r="AF64" s="504" t="n">
        <v>13.48</v>
      </c>
      <c r="AG64" s="504" t="n">
        <v>0.743</v>
      </c>
      <c r="AH64" s="504" t="n">
        <v>0.867</v>
      </c>
      <c r="AI64" s="504" t="n">
        <v>0.989</v>
      </c>
      <c r="AJ64" s="504" t="n">
        <v>0.761</v>
      </c>
      <c r="AK64" s="279" t="str">
        <v>FrozenUncertain</v>
      </c>
      <c r="AL64" s="279" t="str">
        <v>否</v>
      </c>
      <c r="AM64" s="507" t="n">
        <v>1</v>
      </c>
      <c r="AN64" s="507" t="n">
        <v>4</v>
      </c>
      <c r="AO64" s="279" t="str">
        <v>遮挡恢复后出现一次小跳变</v>
      </c>
    </row>
    <row r="65" ht="24" customHeight="1">
      <c r="A65" s="65" t="inlineStr">
        <is>
          <t xml:space="preserve">P011</t>
        </is>
      </c>
      <c r="B65" s="96" t="n">
        <v>1</v>
      </c>
      <c r="C65" s="96" t="inlineStr">
        <is>
          <t xml:space="preserve">O3-S2-OE</t>
        </is>
      </c>
      <c r="D65" s="96" t="n">
        <v>1</v>
      </c>
      <c r="E65" s="96" t="inlineStr">
        <is>
          <t xml:space="preserve">固定订书机</t>
        </is>
      </c>
      <c r="F65" s="96" t="inlineStr">
        <is>
          <t xml:space="preserve">stapler</t>
        </is>
      </c>
      <c r="G65" s="96" t="inlineStr">
        <is>
          <t xml:space="preserve">方法B</t>
        </is>
      </c>
      <c r="H65" s="96" t="inlineStr">
        <is>
          <t xml:space="preserve">EgoAnchor</t>
        </is>
      </c>
      <c r="I65" s="96" t="n">
        <v>1</v>
      </c>
      <c r="J65" s="96" t="n">
        <v>1</v>
      </c>
      <c r="K65" s="85" t="n">
        <v>5</v>
      </c>
      <c r="L65" s="85" t="n">
        <v>6</v>
      </c>
      <c r="M65" s="85" t="n">
        <v>5</v>
      </c>
      <c r="N65" s="75"/>
      <c r="O65" s="85" t="n">
        <v>5</v>
      </c>
      <c r="P65" s="85" t="n">
        <v>5</v>
      </c>
      <c r="Q65" s="85" t="n">
        <v>5</v>
      </c>
      <c r="R65" s="85" t="n">
        <v>5</v>
      </c>
      <c r="S65" s="85" t="n">
        <v>6</v>
      </c>
      <c r="T65" s="85" t="n">
        <v>5</v>
      </c>
      <c r="U65" s="85" t="n">
        <v>7</v>
      </c>
      <c r="V65" s="85" t="n">
        <v>6</v>
      </c>
      <c r="W65" s="85" t="n">
        <v>6</v>
      </c>
      <c r="X65" s="85" t="n">
        <v>5</v>
      </c>
      <c r="Y65" s="497" t="n">
        <v>46239.57314991898</v>
      </c>
      <c r="Z65" s="497" t="n">
        <v>46239.573985</v>
      </c>
      <c r="AA65" s="500" t="n">
        <v>72.2</v>
      </c>
      <c r="AB65" s="85" t="str">
        <v>是</v>
      </c>
      <c r="AC65" s="85" t="str">
        <v>是</v>
      </c>
      <c r="AD65" s="85" t="str">
        <v>是</v>
      </c>
      <c r="AE65" s="85" t="str">
        <v>无</v>
      </c>
      <c r="AF65" s="503" t="n">
        <v>13.11</v>
      </c>
      <c r="AG65" s="503" t="n">
        <v>0.827</v>
      </c>
      <c r="AH65" s="503" t="n">
        <v>0.91</v>
      </c>
      <c r="AI65" s="503" t="n">
        <v>0.993</v>
      </c>
      <c r="AJ65" s="503" t="n">
        <v>0.778</v>
      </c>
      <c r="AK65" s="78" t="str">
        <v>FrozenUncertain</v>
      </c>
      <c r="AL65" s="78" t="str">
        <v>否</v>
      </c>
      <c r="AM65" s="506" t="n">
        <v>0</v>
      </c>
      <c r="AN65" s="506" t="n">
        <v>4</v>
      </c>
      <c r="AO65" s="218" t="str"/>
    </row>
    <row r="66" ht="24" customHeight="1">
      <c r="A66" s="65" t="inlineStr">
        <is>
          <t xml:space="preserve">P011</t>
        </is>
      </c>
      <c r="B66" s="96" t="n">
        <v>2</v>
      </c>
      <c r="C66" s="96" t="inlineStr">
        <is>
          <t xml:space="preserve">O3-S2-OE</t>
        </is>
      </c>
      <c r="D66" s="96" t="n">
        <v>1</v>
      </c>
      <c r="E66" s="96" t="inlineStr">
        <is>
          <t xml:space="preserve">固定订书机</t>
        </is>
      </c>
      <c r="F66" s="96" t="inlineStr">
        <is>
          <t xml:space="preserve">stapler</t>
        </is>
      </c>
      <c r="G66" s="96" t="inlineStr">
        <is>
          <t xml:space="preserve">方法A</t>
        </is>
      </c>
      <c r="H66" s="96" t="inlineStr">
        <is>
          <t xml:space="preserve">One-Euro</t>
        </is>
      </c>
      <c r="I66" s="96" t="n">
        <v>2</v>
      </c>
      <c r="J66" s="96" t="n">
        <v>1</v>
      </c>
      <c r="K66" s="85" t="n">
        <v>3</v>
      </c>
      <c r="L66" s="85" t="n">
        <v>6</v>
      </c>
      <c r="M66" s="85" t="n">
        <v>6</v>
      </c>
      <c r="N66" s="75"/>
      <c r="O66" s="85" t="n">
        <v>4</v>
      </c>
      <c r="P66" s="85" t="n">
        <v>5</v>
      </c>
      <c r="Q66" s="85" t="n">
        <v>4</v>
      </c>
      <c r="R66" s="85" t="n">
        <v>5</v>
      </c>
      <c r="S66" s="85" t="n">
        <v>5</v>
      </c>
      <c r="T66" s="85" t="n">
        <v>4</v>
      </c>
      <c r="U66" s="85" t="n">
        <v>6</v>
      </c>
      <c r="V66" s="85" t="n">
        <v>5</v>
      </c>
      <c r="W66" s="85" t="n">
        <v>5</v>
      </c>
      <c r="X66" s="85" t="n">
        <v>4</v>
      </c>
      <c r="Y66" s="497" t="n">
        <v>46239.574834583334</v>
      </c>
      <c r="Z66" s="497" t="n">
        <v>46239.575787974536</v>
      </c>
      <c r="AA66" s="500" t="n">
        <v>82.4</v>
      </c>
      <c r="AB66" s="85" t="str">
        <v>是</v>
      </c>
      <c r="AC66" s="85" t="str">
        <v>是</v>
      </c>
      <c r="AD66" s="85" t="str">
        <v>是</v>
      </c>
      <c r="AE66" s="85" t="str">
        <v>无</v>
      </c>
      <c r="AF66" s="503" t="n">
        <v>12.7</v>
      </c>
      <c r="AG66" s="503" t="n">
        <v>0.797</v>
      </c>
      <c r="AH66" s="503" t="n">
        <v>0.873</v>
      </c>
      <c r="AI66" s="503" t="n">
        <v>1</v>
      </c>
      <c r="AJ66" s="503" t="n">
        <v>0.727</v>
      </c>
      <c r="AK66" s="78" t="str">
        <v>FrozenUncertain</v>
      </c>
      <c r="AL66" s="78" t="str">
        <v>否</v>
      </c>
      <c r="AM66" s="506" t="n">
        <v>0</v>
      </c>
      <c r="AN66" s="506" t="n">
        <v>0</v>
      </c>
      <c r="AO66" s="218" t="str">
        <v>静止阶段可见轻微抖动</v>
      </c>
    </row>
    <row r="67" ht="24" customHeight="1">
      <c r="A67" s="65" t="inlineStr">
        <is>
          <t xml:space="preserve">P011</t>
        </is>
      </c>
      <c r="B67" s="96" t="n">
        <v>3</v>
      </c>
      <c r="C67" s="96" t="inlineStr">
        <is>
          <t xml:space="preserve">O3-S2-OE</t>
        </is>
      </c>
      <c r="D67" s="96" t="n">
        <v>2</v>
      </c>
      <c r="E67" s="96" t="inlineStr">
        <is>
          <t xml:space="preserve">鼠标</t>
        </is>
      </c>
      <c r="F67" s="96" t="inlineStr">
        <is>
          <t xml:space="preserve">blue_mouse</t>
        </is>
      </c>
      <c r="G67" s="96" t="inlineStr">
        <is>
          <t xml:space="preserve">方法A</t>
        </is>
      </c>
      <c r="H67" s="96" t="inlineStr">
        <is>
          <t xml:space="preserve">One-Euro</t>
        </is>
      </c>
      <c r="I67" s="96" t="n">
        <v>1</v>
      </c>
      <c r="J67" s="96" t="n">
        <v>2</v>
      </c>
      <c r="K67" s="85" t="n">
        <v>4</v>
      </c>
      <c r="L67" s="85" t="n">
        <v>4</v>
      </c>
      <c r="M67" s="85" t="n">
        <v>5</v>
      </c>
      <c r="N67" s="75"/>
      <c r="O67" s="85" t="n">
        <v>5</v>
      </c>
      <c r="P67" s="85" t="n">
        <v>5</v>
      </c>
      <c r="Q67" s="85" t="n">
        <v>5</v>
      </c>
      <c r="R67" s="85" t="n">
        <v>4</v>
      </c>
      <c r="S67" s="85" t="n">
        <v>4</v>
      </c>
      <c r="T67" s="85" t="n">
        <v>5</v>
      </c>
      <c r="U67" s="85" t="n">
        <v>6</v>
      </c>
      <c r="V67" s="85" t="n">
        <v>5</v>
      </c>
      <c r="W67" s="85" t="n">
        <v>5</v>
      </c>
      <c r="X67" s="85" t="n">
        <v>4</v>
      </c>
      <c r="Y67" s="497" t="n">
        <v>46239.57681104167</v>
      </c>
      <c r="Z67" s="497" t="n">
        <v>46239.578034502316</v>
      </c>
      <c r="AA67" s="500" t="n">
        <v>105.7</v>
      </c>
      <c r="AB67" s="85" t="str">
        <v>是</v>
      </c>
      <c r="AC67" s="85" t="str">
        <v>是</v>
      </c>
      <c r="AD67" s="85" t="str">
        <v>是</v>
      </c>
      <c r="AE67" s="85" t="str">
        <v>无</v>
      </c>
      <c r="AF67" s="503" t="n">
        <v>12.5</v>
      </c>
      <c r="AG67" s="503" t="n">
        <v>0.708</v>
      </c>
      <c r="AH67" s="503" t="n">
        <v>0.857</v>
      </c>
      <c r="AI67" s="503" t="n">
        <v>0.997</v>
      </c>
      <c r="AJ67" s="503" t="n">
        <v>0.745</v>
      </c>
      <c r="AK67" s="78" t="str">
        <v>FrozenUncertain</v>
      </c>
      <c r="AL67" s="78" t="str">
        <v>否</v>
      </c>
      <c r="AM67" s="506" t="n">
        <v>1</v>
      </c>
      <c r="AN67" s="506" t="n">
        <v>0</v>
      </c>
      <c r="AO67" s="218" t="str"/>
    </row>
    <row r="68" ht="24" customHeight="1">
      <c r="A68" s="65" t="inlineStr">
        <is>
          <t xml:space="preserve">P011</t>
        </is>
      </c>
      <c r="B68" s="96" t="n">
        <v>4</v>
      </c>
      <c r="C68" s="96" t="inlineStr">
        <is>
          <t xml:space="preserve">O3-S2-OE</t>
        </is>
      </c>
      <c r="D68" s="96" t="n">
        <v>2</v>
      </c>
      <c r="E68" s="96" t="inlineStr">
        <is>
          <t xml:space="preserve">鼠标</t>
        </is>
      </c>
      <c r="F68" s="96" t="inlineStr">
        <is>
          <t xml:space="preserve">blue_mouse</t>
        </is>
      </c>
      <c r="G68" s="96" t="inlineStr">
        <is>
          <t xml:space="preserve">方法B</t>
        </is>
      </c>
      <c r="H68" s="96" t="inlineStr">
        <is>
          <t xml:space="preserve">EgoAnchor</t>
        </is>
      </c>
      <c r="I68" s="96" t="n">
        <v>2</v>
      </c>
      <c r="J68" s="96" t="n">
        <v>2</v>
      </c>
      <c r="K68" s="85" t="n">
        <v>5</v>
      </c>
      <c r="L68" s="85" t="n">
        <v>6</v>
      </c>
      <c r="M68" s="85" t="n">
        <v>4</v>
      </c>
      <c r="N68" s="75"/>
      <c r="O68" s="85" t="n">
        <v>5</v>
      </c>
      <c r="P68" s="85" t="n">
        <v>6</v>
      </c>
      <c r="Q68" s="85" t="n">
        <v>4</v>
      </c>
      <c r="R68" s="85" t="n">
        <v>5</v>
      </c>
      <c r="S68" s="85" t="n">
        <v>5</v>
      </c>
      <c r="T68" s="85" t="n">
        <v>5</v>
      </c>
      <c r="U68" s="85" t="n">
        <v>5</v>
      </c>
      <c r="V68" s="85" t="n">
        <v>5</v>
      </c>
      <c r="W68" s="85" t="n">
        <v>5</v>
      </c>
      <c r="X68" s="85" t="n">
        <v>5</v>
      </c>
      <c r="Y68" s="497" t="n">
        <v>46239.578808784725</v>
      </c>
      <c r="Z68" s="497" t="n">
        <v>46239.57977425926</v>
      </c>
      <c r="AA68" s="500" t="n">
        <v>83.4</v>
      </c>
      <c r="AB68" s="85" t="str">
        <v>是</v>
      </c>
      <c r="AC68" s="85" t="str">
        <v>是</v>
      </c>
      <c r="AD68" s="85" t="str">
        <v>是</v>
      </c>
      <c r="AE68" s="85" t="str">
        <v>无</v>
      </c>
      <c r="AF68" s="503" t="n">
        <v>12.16</v>
      </c>
      <c r="AG68" s="503" t="n">
        <v>0.794</v>
      </c>
      <c r="AH68" s="503" t="n">
        <v>0.879</v>
      </c>
      <c r="AI68" s="503" t="n">
        <v>0.995</v>
      </c>
      <c r="AJ68" s="503" t="n">
        <v>0.719</v>
      </c>
      <c r="AK68" s="78" t="str">
        <v>FrozenUncertain</v>
      </c>
      <c r="AL68" s="78" t="str">
        <v>否</v>
      </c>
      <c r="AM68" s="506" t="n">
        <v>1</v>
      </c>
      <c r="AN68" s="506" t="n">
        <v>3</v>
      </c>
      <c r="AO68" s="218" t="str"/>
    </row>
    <row r="69" ht="24" customHeight="1">
      <c r="A69" s="65" t="inlineStr">
        <is>
          <t xml:space="preserve">P011</t>
        </is>
      </c>
      <c r="B69" s="96" t="n">
        <v>5</v>
      </c>
      <c r="C69" s="96" t="inlineStr">
        <is>
          <t xml:space="preserve">O3-S2-OE</t>
        </is>
      </c>
      <c r="D69" s="96" t="n">
        <v>3</v>
      </c>
      <c r="E69" s="96" t="inlineStr">
        <is>
          <t xml:space="preserve">游戏手柄</t>
        </is>
      </c>
      <c r="F69" s="96" t="inlineStr">
        <is>
          <t xml:space="preserve">gamepad</t>
        </is>
      </c>
      <c r="G69" s="96" t="inlineStr">
        <is>
          <t xml:space="preserve">方法B</t>
        </is>
      </c>
      <c r="H69" s="96" t="inlineStr">
        <is>
          <t xml:space="preserve">EgoAnchor</t>
        </is>
      </c>
      <c r="I69" s="96" t="n">
        <v>1</v>
      </c>
      <c r="J69" s="96" t="n">
        <v>3</v>
      </c>
      <c r="K69" s="85" t="n">
        <v>5</v>
      </c>
      <c r="L69" s="85" t="n">
        <v>6</v>
      </c>
      <c r="M69" s="85" t="n">
        <v>5</v>
      </c>
      <c r="N69" s="75"/>
      <c r="O69" s="85" t="n">
        <v>6</v>
      </c>
      <c r="P69" s="85" t="n">
        <v>4</v>
      </c>
      <c r="Q69" s="85" t="n">
        <v>7</v>
      </c>
      <c r="R69" s="85" t="n">
        <v>5</v>
      </c>
      <c r="S69" s="85" t="n">
        <v>6</v>
      </c>
      <c r="T69" s="85" t="n">
        <v>4</v>
      </c>
      <c r="U69" s="85" t="n">
        <v>5</v>
      </c>
      <c r="V69" s="85" t="n">
        <v>4</v>
      </c>
      <c r="W69" s="85" t="n">
        <v>5</v>
      </c>
      <c r="X69" s="85" t="n">
        <v>5</v>
      </c>
      <c r="Y69" s="497" t="n">
        <v>46239.58071974537</v>
      </c>
      <c r="Z69" s="497" t="n">
        <v>46239.58148138889</v>
      </c>
      <c r="AA69" s="500" t="n">
        <v>65.8</v>
      </c>
      <c r="AB69" s="85" t="str">
        <v>是</v>
      </c>
      <c r="AC69" s="85" t="str">
        <v>是</v>
      </c>
      <c r="AD69" s="85" t="str">
        <v>是</v>
      </c>
      <c r="AE69" s="85" t="str">
        <v>无</v>
      </c>
      <c r="AF69" s="503" t="n">
        <v>13.28</v>
      </c>
      <c r="AG69" s="503" t="n">
        <v>0.783</v>
      </c>
      <c r="AH69" s="503" t="n">
        <v>0.881</v>
      </c>
      <c r="AI69" s="503" t="n">
        <v>0.996</v>
      </c>
      <c r="AJ69" s="503" t="n">
        <v>0.777</v>
      </c>
      <c r="AK69" s="78" t="str">
        <v>FrozenUncertain</v>
      </c>
      <c r="AL69" s="78" t="str">
        <v>否</v>
      </c>
      <c r="AM69" s="506" t="n">
        <v>0</v>
      </c>
      <c r="AN69" s="506" t="n">
        <v>4</v>
      </c>
      <c r="AO69" s="218" t="str"/>
    </row>
    <row r="70" ht="24" customHeight="1">
      <c r="A70" s="262" t="inlineStr">
        <is>
          <t xml:space="preserve">P011</t>
        </is>
      </c>
      <c r="B70" s="263" t="n">
        <v>6</v>
      </c>
      <c r="C70" s="263" t="inlineStr">
        <is>
          <t xml:space="preserve">O3-S2-OE</t>
        </is>
      </c>
      <c r="D70" s="263" t="n">
        <v>3</v>
      </c>
      <c r="E70" s="263" t="inlineStr">
        <is>
          <t xml:space="preserve">游戏手柄</t>
        </is>
      </c>
      <c r="F70" s="263" t="inlineStr">
        <is>
          <t xml:space="preserve">gamepad</t>
        </is>
      </c>
      <c r="G70" s="263" t="inlineStr">
        <is>
          <t xml:space="preserve">方法A</t>
        </is>
      </c>
      <c r="H70" s="263" t="inlineStr">
        <is>
          <t xml:space="preserve">One-Euro</t>
        </is>
      </c>
      <c r="I70" s="263" t="n">
        <v>2</v>
      </c>
      <c r="J70" s="263" t="n">
        <v>3</v>
      </c>
      <c r="K70" s="266" t="n">
        <v>4</v>
      </c>
      <c r="L70" s="266" t="n">
        <v>5</v>
      </c>
      <c r="M70" s="266" t="n">
        <v>4</v>
      </c>
      <c r="N70" s="278"/>
      <c r="O70" s="266" t="n">
        <v>4</v>
      </c>
      <c r="P70" s="266" t="n">
        <v>5</v>
      </c>
      <c r="Q70" s="266" t="n">
        <v>4</v>
      </c>
      <c r="R70" s="266" t="n">
        <v>3</v>
      </c>
      <c r="S70" s="266" t="n">
        <v>4</v>
      </c>
      <c r="T70" s="266" t="n">
        <v>5</v>
      </c>
      <c r="U70" s="266" t="n">
        <v>3</v>
      </c>
      <c r="V70" s="266" t="n">
        <v>4</v>
      </c>
      <c r="W70" s="266" t="n">
        <v>2</v>
      </c>
      <c r="X70" s="266" t="n">
        <v>3</v>
      </c>
      <c r="Y70" s="498" t="n">
        <v>46239.582391157404</v>
      </c>
      <c r="Z70" s="498" t="n">
        <v>46239.583489386576</v>
      </c>
      <c r="AA70" s="501" t="n">
        <v>94.9</v>
      </c>
      <c r="AB70" s="266" t="str">
        <v>是</v>
      </c>
      <c r="AC70" s="266" t="str">
        <v>是</v>
      </c>
      <c r="AD70" s="266" t="str">
        <v>是</v>
      </c>
      <c r="AE70" s="266" t="str">
        <v>无</v>
      </c>
      <c r="AF70" s="504" t="n">
        <v>13.5</v>
      </c>
      <c r="AG70" s="504" t="n">
        <v>0.754</v>
      </c>
      <c r="AH70" s="504" t="n">
        <v>0.848</v>
      </c>
      <c r="AI70" s="504" t="n">
        <v>0.99</v>
      </c>
      <c r="AJ70" s="504" t="n">
        <v>0.792</v>
      </c>
      <c r="AK70" s="279" t="str">
        <v>FrozenUncertain</v>
      </c>
      <c r="AL70" s="279" t="str">
        <v>否</v>
      </c>
      <c r="AM70" s="507" t="n">
        <v>1</v>
      </c>
      <c r="AN70" s="507" t="n">
        <v>0</v>
      </c>
      <c r="AO70" s="279" t="str">
        <v>遮挡恢复后出现一次小跳变</v>
      </c>
    </row>
    <row r="71" ht="24" customHeight="1">
      <c r="A71" s="65" t="inlineStr">
        <is>
          <t xml:space="preserve">P012</t>
        </is>
      </c>
      <c r="B71" s="96" t="n">
        <v>1</v>
      </c>
      <c r="C71" s="96" t="inlineStr">
        <is>
          <t xml:space="preserve">O3-S1-OE</t>
        </is>
      </c>
      <c r="D71" s="96" t="n">
        <v>1</v>
      </c>
      <c r="E71" s="96" t="inlineStr">
        <is>
          <t xml:space="preserve">固定订书机</t>
        </is>
      </c>
      <c r="F71" s="96" t="inlineStr">
        <is>
          <t xml:space="preserve">stapler</t>
        </is>
      </c>
      <c r="G71" s="96" t="inlineStr">
        <is>
          <t xml:space="preserve">方法A</t>
        </is>
      </c>
      <c r="H71" s="96" t="inlineStr">
        <is>
          <t xml:space="preserve">One-Euro</t>
        </is>
      </c>
      <c r="I71" s="96" t="n">
        <v>1</v>
      </c>
      <c r="J71" s="96" t="n">
        <v>1</v>
      </c>
      <c r="K71" s="85" t="n">
        <v>4</v>
      </c>
      <c r="L71" s="85" t="n">
        <v>5</v>
      </c>
      <c r="M71" s="85" t="n">
        <v>5</v>
      </c>
      <c r="N71" s="75"/>
      <c r="O71" s="85" t="n">
        <v>7</v>
      </c>
      <c r="P71" s="85" t="n">
        <v>5</v>
      </c>
      <c r="Q71" s="85" t="n">
        <v>4</v>
      </c>
      <c r="R71" s="85" t="n">
        <v>6</v>
      </c>
      <c r="S71" s="85" t="n">
        <v>6</v>
      </c>
      <c r="T71" s="85" t="n">
        <v>5</v>
      </c>
      <c r="U71" s="85" t="n">
        <v>7</v>
      </c>
      <c r="V71" s="85" t="n">
        <v>5</v>
      </c>
      <c r="W71" s="85" t="n">
        <v>5</v>
      </c>
      <c r="X71" s="85" t="n">
        <v>5</v>
      </c>
      <c r="Y71" s="497" t="n">
        <v>46239.64908236111</v>
      </c>
      <c r="Z71" s="497" t="n">
        <v>46239.65012287037</v>
      </c>
      <c r="AA71" s="500" t="n">
        <v>89.9</v>
      </c>
      <c r="AB71" s="85" t="str">
        <v>是</v>
      </c>
      <c r="AC71" s="85" t="str">
        <v>是</v>
      </c>
      <c r="AD71" s="85" t="str">
        <v>是</v>
      </c>
      <c r="AE71" s="85" t="str">
        <v>无</v>
      </c>
      <c r="AF71" s="503" t="n">
        <v>12.41</v>
      </c>
      <c r="AG71" s="503" t="n">
        <v>0.81</v>
      </c>
      <c r="AH71" s="503" t="n">
        <v>0.885</v>
      </c>
      <c r="AI71" s="503" t="n">
        <v>0.989</v>
      </c>
      <c r="AJ71" s="503" t="n">
        <v>0.787</v>
      </c>
      <c r="AK71" s="78" t="str">
        <v>FrozenUncertain</v>
      </c>
      <c r="AL71" s="78" t="str">
        <v>否</v>
      </c>
      <c r="AM71" s="506" t="n">
        <v>1</v>
      </c>
      <c r="AN71" s="506" t="n">
        <v>0</v>
      </c>
      <c r="AO71" s="218" t="str">
        <v>静止阶段可见轻微抖动</v>
      </c>
    </row>
    <row r="72" ht="24" customHeight="1">
      <c r="A72" s="65" t="inlineStr">
        <is>
          <t xml:space="preserve">P012</t>
        </is>
      </c>
      <c r="B72" s="96" t="n">
        <v>2</v>
      </c>
      <c r="C72" s="96" t="inlineStr">
        <is>
          <t xml:space="preserve">O3-S1-OE</t>
        </is>
      </c>
      <c r="D72" s="96" t="n">
        <v>1</v>
      </c>
      <c r="E72" s="96" t="inlineStr">
        <is>
          <t xml:space="preserve">固定订书机</t>
        </is>
      </c>
      <c r="F72" s="96" t="inlineStr">
        <is>
          <t xml:space="preserve">stapler</t>
        </is>
      </c>
      <c r="G72" s="96" t="inlineStr">
        <is>
          <t xml:space="preserve">方法B</t>
        </is>
      </c>
      <c r="H72" s="96" t="inlineStr">
        <is>
          <t xml:space="preserve">EgoAnchor</t>
        </is>
      </c>
      <c r="I72" s="96" t="n">
        <v>2</v>
      </c>
      <c r="J72" s="96" t="n">
        <v>1</v>
      </c>
      <c r="K72" s="85" t="n">
        <v>6</v>
      </c>
      <c r="L72" s="85" t="n">
        <v>5</v>
      </c>
      <c r="M72" s="85" t="n">
        <v>7</v>
      </c>
      <c r="N72" s="75"/>
      <c r="O72" s="85" t="n">
        <v>6</v>
      </c>
      <c r="P72" s="85" t="n">
        <v>5</v>
      </c>
      <c r="Q72" s="85" t="n">
        <v>7</v>
      </c>
      <c r="R72" s="85" t="n">
        <v>6</v>
      </c>
      <c r="S72" s="85" t="n">
        <v>7</v>
      </c>
      <c r="T72" s="85" t="n">
        <v>7</v>
      </c>
      <c r="U72" s="85" t="n">
        <v>6</v>
      </c>
      <c r="V72" s="85" t="n">
        <v>7</v>
      </c>
      <c r="W72" s="85" t="n">
        <v>6</v>
      </c>
      <c r="X72" s="85" t="n">
        <v>7</v>
      </c>
      <c r="Y72" s="497" t="n">
        <v>46239.650954930556</v>
      </c>
      <c r="Z72" s="497" t="n">
        <v>46239.651738506946</v>
      </c>
      <c r="AA72" s="500" t="n">
        <v>67.7</v>
      </c>
      <c r="AB72" s="85" t="str">
        <v>是</v>
      </c>
      <c r="AC72" s="85" t="str">
        <v>是</v>
      </c>
      <c r="AD72" s="85" t="str">
        <v>是</v>
      </c>
      <c r="AE72" s="85" t="str">
        <v>无</v>
      </c>
      <c r="AF72" s="503" t="n">
        <v>13.18</v>
      </c>
      <c r="AG72" s="503" t="n">
        <v>0.818</v>
      </c>
      <c r="AH72" s="503" t="n">
        <v>0.881</v>
      </c>
      <c r="AI72" s="503" t="n">
        <v>0.986</v>
      </c>
      <c r="AJ72" s="503" t="n">
        <v>0.754</v>
      </c>
      <c r="AK72" s="78" t="str">
        <v>FrozenUncertain</v>
      </c>
      <c r="AL72" s="78" t="str">
        <v>否</v>
      </c>
      <c r="AM72" s="506" t="n">
        <v>1</v>
      </c>
      <c r="AN72" s="506" t="n">
        <v>3</v>
      </c>
      <c r="AO72" s="218" t="str"/>
    </row>
    <row r="73" ht="24" customHeight="1">
      <c r="A73" s="65" t="inlineStr">
        <is>
          <t xml:space="preserve">P012</t>
        </is>
      </c>
      <c r="B73" s="96" t="n">
        <v>3</v>
      </c>
      <c r="C73" s="96" t="inlineStr">
        <is>
          <t xml:space="preserve">O3-S1-OE</t>
        </is>
      </c>
      <c r="D73" s="96" t="n">
        <v>2</v>
      </c>
      <c r="E73" s="96" t="inlineStr">
        <is>
          <t xml:space="preserve">鼠标</t>
        </is>
      </c>
      <c r="F73" s="96" t="inlineStr">
        <is>
          <t xml:space="preserve">blue_mouse</t>
        </is>
      </c>
      <c r="G73" s="96" t="inlineStr">
        <is>
          <t xml:space="preserve">方法B</t>
        </is>
      </c>
      <c r="H73" s="96" t="inlineStr">
        <is>
          <t xml:space="preserve">EgoAnchor</t>
        </is>
      </c>
      <c r="I73" s="96" t="n">
        <v>1</v>
      </c>
      <c r="J73" s="96" t="n">
        <v>2</v>
      </c>
      <c r="K73" s="85" t="n">
        <v>7</v>
      </c>
      <c r="L73" s="85" t="n">
        <v>6</v>
      </c>
      <c r="M73" s="85" t="n">
        <v>6</v>
      </c>
      <c r="N73" s="75"/>
      <c r="O73" s="85" t="n">
        <v>6</v>
      </c>
      <c r="P73" s="85" t="n">
        <v>6</v>
      </c>
      <c r="Q73" s="85" t="n">
        <v>5</v>
      </c>
      <c r="R73" s="85" t="n">
        <v>6</v>
      </c>
      <c r="S73" s="85" t="n">
        <v>5</v>
      </c>
      <c r="T73" s="85" t="n">
        <v>6</v>
      </c>
      <c r="U73" s="85" t="n">
        <v>5</v>
      </c>
      <c r="V73" s="85" t="n">
        <v>7</v>
      </c>
      <c r="W73" s="85" t="n">
        <v>5</v>
      </c>
      <c r="X73" s="85" t="n">
        <v>7</v>
      </c>
      <c r="Y73" s="497" t="n">
        <v>46239.65260890046</v>
      </c>
      <c r="Z73" s="497" t="n">
        <v>46239.653591608796</v>
      </c>
      <c r="AA73" s="500" t="n">
        <v>84.9</v>
      </c>
      <c r="AB73" s="85" t="str">
        <v>是</v>
      </c>
      <c r="AC73" s="85" t="str">
        <v>是</v>
      </c>
      <c r="AD73" s="85" t="str">
        <v>是</v>
      </c>
      <c r="AE73" s="85" t="str">
        <v>无</v>
      </c>
      <c r="AF73" s="503" t="n">
        <v>12.58</v>
      </c>
      <c r="AG73" s="503" t="n">
        <v>0.757</v>
      </c>
      <c r="AH73" s="503" t="n">
        <v>0.859</v>
      </c>
      <c r="AI73" s="503" t="n">
        <v>1</v>
      </c>
      <c r="AJ73" s="503" t="n">
        <v>0.81</v>
      </c>
      <c r="AK73" s="78" t="str">
        <v>FrozenUncertain</v>
      </c>
      <c r="AL73" s="78" t="str">
        <v>否</v>
      </c>
      <c r="AM73" s="506" t="n">
        <v>1</v>
      </c>
      <c r="AN73" s="506" t="n">
        <v>3</v>
      </c>
      <c r="AO73" s="218" t="str"/>
    </row>
    <row r="74" ht="24" customHeight="1">
      <c r="A74" s="65" t="inlineStr">
        <is>
          <t xml:space="preserve">P012</t>
        </is>
      </c>
      <c r="B74" s="96" t="n">
        <v>4</v>
      </c>
      <c r="C74" s="96" t="inlineStr">
        <is>
          <t xml:space="preserve">O3-S1-OE</t>
        </is>
      </c>
      <c r="D74" s="96" t="n">
        <v>2</v>
      </c>
      <c r="E74" s="96" t="inlineStr">
        <is>
          <t xml:space="preserve">鼠标</t>
        </is>
      </c>
      <c r="F74" s="96" t="inlineStr">
        <is>
          <t xml:space="preserve">blue_mouse</t>
        </is>
      </c>
      <c r="G74" s="96" t="inlineStr">
        <is>
          <t xml:space="preserve">方法A</t>
        </is>
      </c>
      <c r="H74" s="96" t="inlineStr">
        <is>
          <t xml:space="preserve">One-Euro</t>
        </is>
      </c>
      <c r="I74" s="96" t="n">
        <v>2</v>
      </c>
      <c r="J74" s="96" t="n">
        <v>2</v>
      </c>
      <c r="K74" s="85" t="n">
        <v>6</v>
      </c>
      <c r="L74" s="85" t="n">
        <v>6</v>
      </c>
      <c r="M74" s="85" t="n">
        <v>5</v>
      </c>
      <c r="N74" s="75"/>
      <c r="O74" s="85" t="n">
        <v>5</v>
      </c>
      <c r="P74" s="85" t="n">
        <v>6</v>
      </c>
      <c r="Q74" s="85" t="n">
        <v>5</v>
      </c>
      <c r="R74" s="85" t="n">
        <v>5</v>
      </c>
      <c r="S74" s="85" t="n">
        <v>7</v>
      </c>
      <c r="T74" s="85" t="n">
        <v>4</v>
      </c>
      <c r="U74" s="85" t="n">
        <v>5</v>
      </c>
      <c r="V74" s="85" t="n">
        <v>4</v>
      </c>
      <c r="W74" s="85" t="n">
        <v>5</v>
      </c>
      <c r="X74" s="85" t="n">
        <v>5</v>
      </c>
      <c r="Y74" s="497" t="n">
        <v>46239.654429201386</v>
      </c>
      <c r="Z74" s="497" t="n">
        <v>46239.65523935185</v>
      </c>
      <c r="AA74" s="500" t="n">
        <v>70</v>
      </c>
      <c r="AB74" s="85" t="str">
        <v>是</v>
      </c>
      <c r="AC74" s="85" t="str">
        <v>是</v>
      </c>
      <c r="AD74" s="85" t="str">
        <v>是</v>
      </c>
      <c r="AE74" s="85" t="str">
        <v>无</v>
      </c>
      <c r="AF74" s="503" t="n">
        <v>13.65</v>
      </c>
      <c r="AG74" s="503" t="n">
        <v>0.724</v>
      </c>
      <c r="AH74" s="503" t="n">
        <v>0.833</v>
      </c>
      <c r="AI74" s="503" t="n">
        <v>0.992</v>
      </c>
      <c r="AJ74" s="503" t="n">
        <v>0.85</v>
      </c>
      <c r="AK74" s="78" t="str">
        <v>FrozenUncertain</v>
      </c>
      <c r="AL74" s="78" t="str">
        <v>否</v>
      </c>
      <c r="AM74" s="506" t="n">
        <v>1</v>
      </c>
      <c r="AN74" s="506" t="n">
        <v>0</v>
      </c>
      <c r="AO74" s="218" t="str"/>
    </row>
    <row r="75" ht="24" customHeight="1">
      <c r="A75" s="65" t="inlineStr">
        <is>
          <t xml:space="preserve">P012</t>
        </is>
      </c>
      <c r="B75" s="96" t="n">
        <v>5</v>
      </c>
      <c r="C75" s="96" t="inlineStr">
        <is>
          <t xml:space="preserve">O3-S1-OE</t>
        </is>
      </c>
      <c r="D75" s="96" t="n">
        <v>3</v>
      </c>
      <c r="E75" s="96" t="inlineStr">
        <is>
          <t xml:space="preserve">游戏手柄</t>
        </is>
      </c>
      <c r="F75" s="96" t="inlineStr">
        <is>
          <t xml:space="preserve">gamepad</t>
        </is>
      </c>
      <c r="G75" s="96" t="inlineStr">
        <is>
          <t xml:space="preserve">方法A</t>
        </is>
      </c>
      <c r="H75" s="96" t="inlineStr">
        <is>
          <t xml:space="preserve">One-Euro</t>
        </is>
      </c>
      <c r="I75" s="96" t="n">
        <v>1</v>
      </c>
      <c r="J75" s="96" t="n">
        <v>3</v>
      </c>
      <c r="K75" s="85" t="n">
        <v>5</v>
      </c>
      <c r="L75" s="85" t="n">
        <v>5</v>
      </c>
      <c r="M75" s="85" t="n">
        <v>7</v>
      </c>
      <c r="N75" s="75"/>
      <c r="O75" s="85" t="n">
        <v>6</v>
      </c>
      <c r="P75" s="85" t="n">
        <v>5</v>
      </c>
      <c r="Q75" s="85" t="n">
        <v>4</v>
      </c>
      <c r="R75" s="85" t="n">
        <v>5</v>
      </c>
      <c r="S75" s="85" t="n">
        <v>5</v>
      </c>
      <c r="T75" s="85" t="n">
        <v>5</v>
      </c>
      <c r="U75" s="85" t="n">
        <v>5</v>
      </c>
      <c r="V75" s="85" t="n">
        <v>6</v>
      </c>
      <c r="W75" s="85" t="n">
        <v>5</v>
      </c>
      <c r="X75" s="85" t="n">
        <v>4</v>
      </c>
      <c r="Y75" s="497" t="n">
        <v>46239.6560525463</v>
      </c>
      <c r="Z75" s="497" t="n">
        <v>46239.65695815972</v>
      </c>
      <c r="AA75" s="500" t="n">
        <v>78.2</v>
      </c>
      <c r="AB75" s="85" t="str">
        <v>是</v>
      </c>
      <c r="AC75" s="85" t="str">
        <v>是</v>
      </c>
      <c r="AD75" s="85" t="str">
        <v>是</v>
      </c>
      <c r="AE75" s="85" t="str">
        <v>无</v>
      </c>
      <c r="AF75" s="503" t="n">
        <v>13.71</v>
      </c>
      <c r="AG75" s="503" t="n">
        <v>0.794</v>
      </c>
      <c r="AH75" s="503" t="n">
        <v>0.866</v>
      </c>
      <c r="AI75" s="503" t="n">
        <v>0.994</v>
      </c>
      <c r="AJ75" s="503" t="n">
        <v>0.725</v>
      </c>
      <c r="AK75" s="78" t="str">
        <v>FrozenUncertain</v>
      </c>
      <c r="AL75" s="78" t="str">
        <v>否</v>
      </c>
      <c r="AM75" s="506" t="n">
        <v>1</v>
      </c>
      <c r="AN75" s="506" t="n">
        <v>0</v>
      </c>
      <c r="AO75" s="218" t="str">
        <v>遮挡恢复后出现一次小跳变</v>
      </c>
    </row>
    <row r="76" ht="24" customHeight="1">
      <c r="A76" s="262" t="inlineStr">
        <is>
          <t xml:space="preserve">P012</t>
        </is>
      </c>
      <c r="B76" s="263" t="n">
        <v>6</v>
      </c>
      <c r="C76" s="263" t="inlineStr">
        <is>
          <t xml:space="preserve">O3-S1-OE</t>
        </is>
      </c>
      <c r="D76" s="263" t="n">
        <v>3</v>
      </c>
      <c r="E76" s="263" t="inlineStr">
        <is>
          <t xml:space="preserve">游戏手柄</t>
        </is>
      </c>
      <c r="F76" s="263" t="inlineStr">
        <is>
          <t xml:space="preserve">gamepad</t>
        </is>
      </c>
      <c r="G76" s="263" t="inlineStr">
        <is>
          <t xml:space="preserve">方法B</t>
        </is>
      </c>
      <c r="H76" s="263" t="inlineStr">
        <is>
          <t xml:space="preserve">EgoAnchor</t>
        </is>
      </c>
      <c r="I76" s="263" t="n">
        <v>2</v>
      </c>
      <c r="J76" s="263" t="n">
        <v>3</v>
      </c>
      <c r="K76" s="266" t="n">
        <v>7</v>
      </c>
      <c r="L76" s="266" t="n">
        <v>6</v>
      </c>
      <c r="M76" s="266" t="n">
        <v>6</v>
      </c>
      <c r="N76" s="278"/>
      <c r="O76" s="266" t="n">
        <v>6</v>
      </c>
      <c r="P76" s="266" t="n">
        <v>7</v>
      </c>
      <c r="Q76" s="266" t="n">
        <v>7</v>
      </c>
      <c r="R76" s="266" t="n">
        <v>6</v>
      </c>
      <c r="S76" s="266" t="n">
        <v>7</v>
      </c>
      <c r="T76" s="266" t="n">
        <v>7</v>
      </c>
      <c r="U76" s="266" t="n">
        <v>5</v>
      </c>
      <c r="V76" s="266" t="n">
        <v>7</v>
      </c>
      <c r="W76" s="266" t="n">
        <v>7</v>
      </c>
      <c r="X76" s="266" t="n">
        <v>5</v>
      </c>
      <c r="Y76" s="498" t="n">
        <v>46239.65787537037</v>
      </c>
      <c r="Z76" s="498" t="n">
        <v>46239.65870008102</v>
      </c>
      <c r="AA76" s="501" t="n">
        <v>71.3</v>
      </c>
      <c r="AB76" s="266" t="str">
        <v>是</v>
      </c>
      <c r="AC76" s="266" t="str">
        <v>是</v>
      </c>
      <c r="AD76" s="266" t="str">
        <v>是</v>
      </c>
      <c r="AE76" s="266" t="str">
        <v>无</v>
      </c>
      <c r="AF76" s="504" t="n">
        <v>13.24</v>
      </c>
      <c r="AG76" s="504" t="n">
        <v>0.809</v>
      </c>
      <c r="AH76" s="504" t="n">
        <v>0.879</v>
      </c>
      <c r="AI76" s="504" t="n">
        <v>0.992</v>
      </c>
      <c r="AJ76" s="504" t="n">
        <v>0.86</v>
      </c>
      <c r="AK76" s="279" t="str">
        <v>FrozenUncertain</v>
      </c>
      <c r="AL76" s="279" t="str">
        <v>否</v>
      </c>
      <c r="AM76" s="507" t="n">
        <v>1</v>
      </c>
      <c r="AN76" s="507" t="n">
        <v>4</v>
      </c>
      <c r="AO76" s="279" t="str"/>
    </row>
    <row r="77" ht="24" customHeight="1">
      <c r="A77" s="65" t="inlineStr">
        <is>
          <t xml:space="preserve">P013</t>
        </is>
      </c>
      <c r="B77" s="96" t="n">
        <v>1</v>
      </c>
      <c r="C77" s="96" t="inlineStr">
        <is>
          <t xml:space="preserve">O4-S1-EA</t>
        </is>
      </c>
      <c r="D77" s="96" t="n">
        <v>1</v>
      </c>
      <c r="E77" s="96" t="inlineStr">
        <is>
          <t xml:space="preserve">固定订书机</t>
        </is>
      </c>
      <c r="F77" s="96" t="inlineStr">
        <is>
          <t xml:space="preserve">stapler</t>
        </is>
      </c>
      <c r="G77" s="96" t="inlineStr">
        <is>
          <t xml:space="preserve">方法A</t>
        </is>
      </c>
      <c r="H77" s="96" t="inlineStr">
        <is>
          <t xml:space="preserve">EgoAnchor</t>
        </is>
      </c>
      <c r="I77" s="96" t="n">
        <v>1</v>
      </c>
      <c r="J77" s="96" t="n">
        <v>1</v>
      </c>
      <c r="K77" s="85" t="n">
        <v>4</v>
      </c>
      <c r="L77" s="85" t="n">
        <v>5</v>
      </c>
      <c r="M77" s="85" t="n">
        <v>4</v>
      </c>
      <c r="N77" s="75"/>
      <c r="O77" s="85" t="n">
        <v>4</v>
      </c>
      <c r="P77" s="85" t="n">
        <v>6</v>
      </c>
      <c r="Q77" s="85" t="n">
        <v>5</v>
      </c>
      <c r="R77" s="85" t="n">
        <v>5</v>
      </c>
      <c r="S77" s="85" t="n">
        <v>4</v>
      </c>
      <c r="T77" s="85" t="n">
        <v>4</v>
      </c>
      <c r="U77" s="85" t="n">
        <v>6</v>
      </c>
      <c r="V77" s="85" t="n">
        <v>6</v>
      </c>
      <c r="W77" s="85" t="n">
        <v>5</v>
      </c>
      <c r="X77" s="85" t="n">
        <v>4</v>
      </c>
      <c r="Y77" s="497" t="n">
        <v>46240.380086481484</v>
      </c>
      <c r="Z77" s="497" t="n">
        <v>46240.38149796296</v>
      </c>
      <c r="AA77" s="500" t="n">
        <v>122</v>
      </c>
      <c r="AB77" s="85" t="str">
        <v>是</v>
      </c>
      <c r="AC77" s="85" t="str">
        <v>是</v>
      </c>
      <c r="AD77" s="85" t="str">
        <v>是</v>
      </c>
      <c r="AE77" s="85" t="str">
        <v>无</v>
      </c>
      <c r="AF77" s="503" t="n">
        <v>12.83</v>
      </c>
      <c r="AG77" s="503" t="n">
        <v>0.871</v>
      </c>
      <c r="AH77" s="503" t="n">
        <v>0.918</v>
      </c>
      <c r="AI77" s="503" t="n">
        <v>0.993</v>
      </c>
      <c r="AJ77" s="503" t="n">
        <v>0.71</v>
      </c>
      <c r="AK77" s="78" t="str">
        <v>FrozenUncertain</v>
      </c>
      <c r="AL77" s="78" t="str">
        <v>否</v>
      </c>
      <c r="AM77" s="506" t="n">
        <v>1</v>
      </c>
      <c r="AN77" s="506" t="n">
        <v>2</v>
      </c>
      <c r="AO77" s="218" t="str"/>
    </row>
    <row r="78" ht="24" customHeight="1">
      <c r="A78" s="65" t="inlineStr">
        <is>
          <t xml:space="preserve">P013</t>
        </is>
      </c>
      <c r="B78" s="96" t="n">
        <v>2</v>
      </c>
      <c r="C78" s="96" t="inlineStr">
        <is>
          <t xml:space="preserve">O4-S1-EA</t>
        </is>
      </c>
      <c r="D78" s="96" t="n">
        <v>1</v>
      </c>
      <c r="E78" s="96" t="inlineStr">
        <is>
          <t xml:space="preserve">固定订书机</t>
        </is>
      </c>
      <c r="F78" s="96" t="inlineStr">
        <is>
          <t xml:space="preserve">stapler</t>
        </is>
      </c>
      <c r="G78" s="96" t="inlineStr">
        <is>
          <t xml:space="preserve">方法B</t>
        </is>
      </c>
      <c r="H78" s="96" t="inlineStr">
        <is>
          <t xml:space="preserve">One-Euro</t>
        </is>
      </c>
      <c r="I78" s="96" t="n">
        <v>2</v>
      </c>
      <c r="J78" s="96" t="n">
        <v>1</v>
      </c>
      <c r="K78" s="85" t="n">
        <v>5</v>
      </c>
      <c r="L78" s="85" t="n">
        <v>4</v>
      </c>
      <c r="M78" s="85" t="n">
        <v>5</v>
      </c>
      <c r="N78" s="75"/>
      <c r="O78" s="85" t="n">
        <v>5</v>
      </c>
      <c r="P78" s="85" t="n">
        <v>4</v>
      </c>
      <c r="Q78" s="85" t="n">
        <v>6</v>
      </c>
      <c r="R78" s="85" t="n">
        <v>4</v>
      </c>
      <c r="S78" s="85" t="n">
        <v>5</v>
      </c>
      <c r="T78" s="85" t="n">
        <v>6</v>
      </c>
      <c r="U78" s="85" t="n">
        <v>5</v>
      </c>
      <c r="V78" s="85" t="n">
        <v>5</v>
      </c>
      <c r="W78" s="85" t="n">
        <v>6</v>
      </c>
      <c r="X78" s="85" t="n">
        <v>6</v>
      </c>
      <c r="Y78" s="497" t="n">
        <v>46240.382328113425</v>
      </c>
      <c r="Z78" s="497" t="n">
        <v>46240.38357351852</v>
      </c>
      <c r="AA78" s="500" t="n">
        <v>107.6</v>
      </c>
      <c r="AB78" s="85" t="str">
        <v>是</v>
      </c>
      <c r="AC78" s="85" t="str">
        <v>是</v>
      </c>
      <c r="AD78" s="85" t="str">
        <v>是</v>
      </c>
      <c r="AE78" s="85" t="str">
        <v>无</v>
      </c>
      <c r="AF78" s="503" t="n">
        <v>13.27</v>
      </c>
      <c r="AG78" s="503" t="n">
        <v>0.78</v>
      </c>
      <c r="AH78" s="503" t="n">
        <v>0.901</v>
      </c>
      <c r="AI78" s="503" t="n">
        <v>0.993</v>
      </c>
      <c r="AJ78" s="503" t="n">
        <v>0.731</v>
      </c>
      <c r="AK78" s="78" t="str">
        <v>FrozenUncertain</v>
      </c>
      <c r="AL78" s="78" t="str">
        <v>否</v>
      </c>
      <c r="AM78" s="506" t="n">
        <v>1</v>
      </c>
      <c r="AN78" s="506" t="n">
        <v>0</v>
      </c>
      <c r="AO78" s="218" t="str"/>
    </row>
    <row r="79" ht="24" customHeight="1">
      <c r="A79" s="65" t="inlineStr">
        <is>
          <t xml:space="preserve">P013</t>
        </is>
      </c>
      <c r="B79" s="96" t="n">
        <v>3</v>
      </c>
      <c r="C79" s="96" t="inlineStr">
        <is>
          <t xml:space="preserve">O4-S1-EA</t>
        </is>
      </c>
      <c r="D79" s="96" t="n">
        <v>2</v>
      </c>
      <c r="E79" s="96" t="inlineStr">
        <is>
          <t xml:space="preserve">游戏手柄</t>
        </is>
      </c>
      <c r="F79" s="96" t="inlineStr">
        <is>
          <t xml:space="preserve">gamepad</t>
        </is>
      </c>
      <c r="G79" s="96" t="inlineStr">
        <is>
          <t xml:space="preserve">方法B</t>
        </is>
      </c>
      <c r="H79" s="96" t="inlineStr">
        <is>
          <t xml:space="preserve">One-Euro</t>
        </is>
      </c>
      <c r="I79" s="96" t="n">
        <v>1</v>
      </c>
      <c r="J79" s="96" t="n">
        <v>2</v>
      </c>
      <c r="K79" s="85" t="n">
        <v>4</v>
      </c>
      <c r="L79" s="85" t="n">
        <v>5</v>
      </c>
      <c r="M79" s="85" t="n">
        <v>4</v>
      </c>
      <c r="N79" s="75"/>
      <c r="O79" s="85" t="n">
        <v>5</v>
      </c>
      <c r="P79" s="85" t="n">
        <v>6</v>
      </c>
      <c r="Q79" s="85" t="n">
        <v>4</v>
      </c>
      <c r="R79" s="85" t="n">
        <v>5</v>
      </c>
      <c r="S79" s="85" t="n">
        <v>4</v>
      </c>
      <c r="T79" s="85" t="n">
        <v>5</v>
      </c>
      <c r="U79" s="85" t="n">
        <v>5</v>
      </c>
      <c r="V79" s="85" t="n">
        <v>5</v>
      </c>
      <c r="W79" s="85" t="n">
        <v>4</v>
      </c>
      <c r="X79" s="85" t="n">
        <v>4</v>
      </c>
      <c r="Y79" s="497" t="n">
        <v>46240.38455998842</v>
      </c>
      <c r="Z79" s="497" t="n">
        <v>46240.38551241898</v>
      </c>
      <c r="AA79" s="500" t="n">
        <v>82.3</v>
      </c>
      <c r="AB79" s="85" t="str">
        <v>是</v>
      </c>
      <c r="AC79" s="85" t="str">
        <v>是</v>
      </c>
      <c r="AD79" s="85" t="str">
        <v>是</v>
      </c>
      <c r="AE79" s="85" t="str">
        <v>无</v>
      </c>
      <c r="AF79" s="503" t="n">
        <v>12.72</v>
      </c>
      <c r="AG79" s="503" t="n">
        <v>0.774</v>
      </c>
      <c r="AH79" s="503" t="n">
        <v>0.937</v>
      </c>
      <c r="AI79" s="503" t="n">
        <v>0.99</v>
      </c>
      <c r="AJ79" s="503" t="n">
        <v>0.725</v>
      </c>
      <c r="AK79" s="78" t="str">
        <v>FrozenUncertain</v>
      </c>
      <c r="AL79" s="78" t="str">
        <v>否</v>
      </c>
      <c r="AM79" s="506" t="n">
        <v>0</v>
      </c>
      <c r="AN79" s="506" t="n">
        <v>0</v>
      </c>
      <c r="AO79" s="218" t="str"/>
    </row>
    <row r="80" ht="24" customHeight="1">
      <c r="A80" s="65" t="inlineStr">
        <is>
          <t xml:space="preserve">P013</t>
        </is>
      </c>
      <c r="B80" s="96" t="n">
        <v>4</v>
      </c>
      <c r="C80" s="96" t="inlineStr">
        <is>
          <t xml:space="preserve">O4-S1-EA</t>
        </is>
      </c>
      <c r="D80" s="96" t="n">
        <v>2</v>
      </c>
      <c r="E80" s="96" t="inlineStr">
        <is>
          <t xml:space="preserve">游戏手柄</t>
        </is>
      </c>
      <c r="F80" s="96" t="inlineStr">
        <is>
          <t xml:space="preserve">gamepad</t>
        </is>
      </c>
      <c r="G80" s="96" t="inlineStr">
        <is>
          <t xml:space="preserve">方法A</t>
        </is>
      </c>
      <c r="H80" s="96" t="inlineStr">
        <is>
          <t xml:space="preserve">EgoAnchor</t>
        </is>
      </c>
      <c r="I80" s="96" t="n">
        <v>2</v>
      </c>
      <c r="J80" s="96" t="n">
        <v>2</v>
      </c>
      <c r="K80" s="85" t="n">
        <v>5</v>
      </c>
      <c r="L80" s="85" t="n">
        <v>4</v>
      </c>
      <c r="M80" s="85" t="n">
        <v>4</v>
      </c>
      <c r="N80" s="75"/>
      <c r="O80" s="85" t="n">
        <v>6</v>
      </c>
      <c r="P80" s="85" t="n">
        <v>6</v>
      </c>
      <c r="Q80" s="85" t="n">
        <v>4</v>
      </c>
      <c r="R80" s="85" t="n">
        <v>5</v>
      </c>
      <c r="S80" s="85" t="n">
        <v>5</v>
      </c>
      <c r="T80" s="85" t="n">
        <v>4</v>
      </c>
      <c r="U80" s="85" t="n">
        <v>5</v>
      </c>
      <c r="V80" s="85" t="n">
        <v>5</v>
      </c>
      <c r="W80" s="85" t="n">
        <v>5</v>
      </c>
      <c r="X80" s="85" t="n">
        <v>5</v>
      </c>
      <c r="Y80" s="497" t="n">
        <v>46240.38636725694</v>
      </c>
      <c r="Z80" s="497" t="n">
        <v>46240.38753679398</v>
      </c>
      <c r="AA80" s="500" t="n">
        <v>101</v>
      </c>
      <c r="AB80" s="85" t="str">
        <v>是</v>
      </c>
      <c r="AC80" s="85" t="str">
        <v>是</v>
      </c>
      <c r="AD80" s="85" t="str">
        <v>是</v>
      </c>
      <c r="AE80" s="85" t="str">
        <v>无</v>
      </c>
      <c r="AF80" s="503" t="n">
        <v>12.99</v>
      </c>
      <c r="AG80" s="503" t="n">
        <v>0.788</v>
      </c>
      <c r="AH80" s="503" t="n">
        <v>0.917</v>
      </c>
      <c r="AI80" s="503" t="n">
        <v>0.992</v>
      </c>
      <c r="AJ80" s="503" t="n">
        <v>0.709</v>
      </c>
      <c r="AK80" s="78" t="str">
        <v>FrozenUncertain</v>
      </c>
      <c r="AL80" s="78" t="str">
        <v>否</v>
      </c>
      <c r="AM80" s="506" t="n">
        <v>1</v>
      </c>
      <c r="AN80" s="506" t="n">
        <v>2</v>
      </c>
      <c r="AO80" s="218" t="str"/>
    </row>
    <row r="81" ht="24" customHeight="1">
      <c r="A81" s="65" t="inlineStr">
        <is>
          <t xml:space="preserve">P013</t>
        </is>
      </c>
      <c r="B81" s="96" t="n">
        <v>5</v>
      </c>
      <c r="C81" s="96" t="inlineStr">
        <is>
          <t xml:space="preserve">O4-S1-EA</t>
        </is>
      </c>
      <c r="D81" s="96" t="n">
        <v>3</v>
      </c>
      <c r="E81" s="96" t="inlineStr">
        <is>
          <t xml:space="preserve">鼠标</t>
        </is>
      </c>
      <c r="F81" s="96" t="inlineStr">
        <is>
          <t xml:space="preserve">blue_mouse</t>
        </is>
      </c>
      <c r="G81" s="96" t="inlineStr">
        <is>
          <t xml:space="preserve">方法A</t>
        </is>
      </c>
      <c r="H81" s="96" t="inlineStr">
        <is>
          <t xml:space="preserve">EgoAnchor</t>
        </is>
      </c>
      <c r="I81" s="96" t="n">
        <v>1</v>
      </c>
      <c r="J81" s="96" t="n">
        <v>3</v>
      </c>
      <c r="K81" s="85" t="n">
        <v>6</v>
      </c>
      <c r="L81" s="85" t="n">
        <v>4</v>
      </c>
      <c r="M81" s="85" t="n">
        <v>4</v>
      </c>
      <c r="N81" s="75"/>
      <c r="O81" s="85" t="n">
        <v>4</v>
      </c>
      <c r="P81" s="85" t="n">
        <v>5</v>
      </c>
      <c r="Q81" s="85" t="n">
        <v>4</v>
      </c>
      <c r="R81" s="85" t="n">
        <v>5</v>
      </c>
      <c r="S81" s="85" t="n">
        <v>4</v>
      </c>
      <c r="T81" s="85" t="n">
        <v>3</v>
      </c>
      <c r="U81" s="85" t="n">
        <v>4</v>
      </c>
      <c r="V81" s="85" t="n">
        <v>5</v>
      </c>
      <c r="W81" s="85" t="n">
        <v>4</v>
      </c>
      <c r="X81" s="85" t="n">
        <v>5</v>
      </c>
      <c r="Y81" s="497" t="n">
        <v>46240.388398703704</v>
      </c>
      <c r="Z81" s="497" t="n">
        <v>46240.38950517361</v>
      </c>
      <c r="AA81" s="500" t="n">
        <v>95.6</v>
      </c>
      <c r="AB81" s="85" t="str">
        <v>是</v>
      </c>
      <c r="AC81" s="85" t="str">
        <v>是</v>
      </c>
      <c r="AD81" s="85" t="str">
        <v>是</v>
      </c>
      <c r="AE81" s="85" t="str">
        <v>无</v>
      </c>
      <c r="AF81" s="503" t="n">
        <v>13.35</v>
      </c>
      <c r="AG81" s="503" t="n">
        <v>0.823</v>
      </c>
      <c r="AH81" s="503" t="n">
        <v>0.83</v>
      </c>
      <c r="AI81" s="503" t="n">
        <v>0.984</v>
      </c>
      <c r="AJ81" s="503" t="n">
        <v>0.753</v>
      </c>
      <c r="AK81" s="78" t="str">
        <v>FrozenUncertain</v>
      </c>
      <c r="AL81" s="78" t="str">
        <v>否</v>
      </c>
      <c r="AM81" s="506" t="n">
        <v>2</v>
      </c>
      <c r="AN81" s="506" t="n">
        <v>3</v>
      </c>
      <c r="AO81" s="218" t="str">
        <v>拿起时感觉略有滞后</v>
      </c>
    </row>
    <row r="82" ht="24" customHeight="1">
      <c r="A82" s="262" t="inlineStr">
        <is>
          <t xml:space="preserve">P013</t>
        </is>
      </c>
      <c r="B82" s="263" t="n">
        <v>6</v>
      </c>
      <c r="C82" s="263" t="inlineStr">
        <is>
          <t xml:space="preserve">O4-S1-EA</t>
        </is>
      </c>
      <c r="D82" s="263" t="n">
        <v>3</v>
      </c>
      <c r="E82" s="263" t="inlineStr">
        <is>
          <t xml:space="preserve">鼠标</t>
        </is>
      </c>
      <c r="F82" s="263" t="inlineStr">
        <is>
          <t xml:space="preserve">blue_mouse</t>
        </is>
      </c>
      <c r="G82" s="263" t="inlineStr">
        <is>
          <t xml:space="preserve">方法B</t>
        </is>
      </c>
      <c r="H82" s="263" t="inlineStr">
        <is>
          <t xml:space="preserve">One-Euro</t>
        </is>
      </c>
      <c r="I82" s="263" t="n">
        <v>2</v>
      </c>
      <c r="J82" s="263" t="n">
        <v>3</v>
      </c>
      <c r="K82" s="266" t="n">
        <v>4</v>
      </c>
      <c r="L82" s="266" t="n">
        <v>5</v>
      </c>
      <c r="M82" s="266" t="n">
        <v>6</v>
      </c>
      <c r="N82" s="278"/>
      <c r="O82" s="266" t="n">
        <v>4</v>
      </c>
      <c r="P82" s="266" t="n">
        <v>4</v>
      </c>
      <c r="Q82" s="266" t="n">
        <v>6</v>
      </c>
      <c r="R82" s="266" t="n">
        <v>4</v>
      </c>
      <c r="S82" s="266" t="n">
        <v>4</v>
      </c>
      <c r="T82" s="266" t="n">
        <v>4</v>
      </c>
      <c r="U82" s="266" t="n">
        <v>6</v>
      </c>
      <c r="V82" s="266" t="n">
        <v>6</v>
      </c>
      <c r="W82" s="266" t="n">
        <v>4</v>
      </c>
      <c r="X82" s="266" t="n">
        <v>5</v>
      </c>
      <c r="Y82" s="498" t="n">
        <v>46240.390376041665</v>
      </c>
      <c r="Z82" s="498" t="n">
        <v>46240.39168925926</v>
      </c>
      <c r="AA82" s="501" t="n">
        <v>113.5</v>
      </c>
      <c r="AB82" s="266" t="str">
        <v>是</v>
      </c>
      <c r="AC82" s="266" t="str">
        <v>是</v>
      </c>
      <c r="AD82" s="266" t="str">
        <v>是</v>
      </c>
      <c r="AE82" s="266" t="str">
        <v>无</v>
      </c>
      <c r="AF82" s="504" t="n">
        <v>12.22</v>
      </c>
      <c r="AG82" s="504" t="n">
        <v>0.745</v>
      </c>
      <c r="AH82" s="504" t="n">
        <v>0.887</v>
      </c>
      <c r="AI82" s="504" t="n">
        <v>0.988</v>
      </c>
      <c r="AJ82" s="504" t="n">
        <v>0.756</v>
      </c>
      <c r="AK82" s="279" t="str">
        <v>FrozenUncertain</v>
      </c>
      <c r="AL82" s="279" t="str">
        <v>否</v>
      </c>
      <c r="AM82" s="507" t="n">
        <v>1</v>
      </c>
      <c r="AN82" s="507" t="n">
        <v>0</v>
      </c>
      <c r="AO82" s="279" t="str">
        <v>静止阶段可见轻微抖动</v>
      </c>
    </row>
    <row r="83" ht="24" customHeight="1">
      <c r="A83" s="65" t="inlineStr">
        <is>
          <t xml:space="preserve">P014</t>
        </is>
      </c>
      <c r="B83" s="96" t="n">
        <v>1</v>
      </c>
      <c r="C83" s="96" t="inlineStr">
        <is>
          <t xml:space="preserve">O4-S2-EA</t>
        </is>
      </c>
      <c r="D83" s="96" t="n">
        <v>1</v>
      </c>
      <c r="E83" s="96" t="inlineStr">
        <is>
          <t xml:space="preserve">固定订书机</t>
        </is>
      </c>
      <c r="F83" s="96" t="inlineStr">
        <is>
          <t xml:space="preserve">stapler</t>
        </is>
      </c>
      <c r="G83" s="96" t="inlineStr">
        <is>
          <t xml:space="preserve">方法B</t>
        </is>
      </c>
      <c r="H83" s="96" t="inlineStr">
        <is>
          <t xml:space="preserve">One-Euro</t>
        </is>
      </c>
      <c r="I83" s="96" t="n">
        <v>1</v>
      </c>
      <c r="J83" s="96" t="n">
        <v>1</v>
      </c>
      <c r="K83" s="85" t="n">
        <v>4</v>
      </c>
      <c r="L83" s="85" t="n">
        <v>5</v>
      </c>
      <c r="M83" s="85" t="n">
        <v>6</v>
      </c>
      <c r="N83" s="75"/>
      <c r="O83" s="85" t="n">
        <v>4</v>
      </c>
      <c r="P83" s="85" t="n">
        <v>4</v>
      </c>
      <c r="Q83" s="85" t="n">
        <v>4</v>
      </c>
      <c r="R83" s="85" t="n">
        <v>5</v>
      </c>
      <c r="S83" s="85" t="n">
        <v>6</v>
      </c>
      <c r="T83" s="85" t="n">
        <v>4</v>
      </c>
      <c r="U83" s="85" t="n">
        <v>5</v>
      </c>
      <c r="V83" s="85" t="n">
        <v>5</v>
      </c>
      <c r="W83" s="85" t="n">
        <v>4</v>
      </c>
      <c r="X83" s="85" t="n">
        <v>4</v>
      </c>
      <c r="Y83" s="497" t="n">
        <v>46240.45834769676</v>
      </c>
      <c r="Z83" s="497" t="n">
        <v>46240.45939167824</v>
      </c>
      <c r="AA83" s="500" t="n">
        <v>90.2</v>
      </c>
      <c r="AB83" s="85" t="str">
        <v>是</v>
      </c>
      <c r="AC83" s="85" t="str">
        <v>是</v>
      </c>
      <c r="AD83" s="85" t="str">
        <v>是</v>
      </c>
      <c r="AE83" s="85" t="str">
        <v>无</v>
      </c>
      <c r="AF83" s="503" t="n">
        <v>13.58</v>
      </c>
      <c r="AG83" s="503" t="n">
        <v>0.812</v>
      </c>
      <c r="AH83" s="503" t="n">
        <v>0.905</v>
      </c>
      <c r="AI83" s="503" t="n">
        <v>0.99</v>
      </c>
      <c r="AJ83" s="503" t="n">
        <v>0.769</v>
      </c>
      <c r="AK83" s="78" t="str">
        <v>FrozenUncertain</v>
      </c>
      <c r="AL83" s="78" t="str">
        <v>否</v>
      </c>
      <c r="AM83" s="506" t="n">
        <v>1</v>
      </c>
      <c r="AN83" s="506" t="n">
        <v>0</v>
      </c>
      <c r="AO83" s="218" t="str"/>
    </row>
    <row r="84" ht="24" customHeight="1">
      <c r="A84" s="65" t="inlineStr">
        <is>
          <t xml:space="preserve">P014</t>
        </is>
      </c>
      <c r="B84" s="96" t="n">
        <v>2</v>
      </c>
      <c r="C84" s="96" t="inlineStr">
        <is>
          <t xml:space="preserve">O4-S2-EA</t>
        </is>
      </c>
      <c r="D84" s="96" t="n">
        <v>1</v>
      </c>
      <c r="E84" s="96" t="inlineStr">
        <is>
          <t xml:space="preserve">固定订书机</t>
        </is>
      </c>
      <c r="F84" s="96" t="inlineStr">
        <is>
          <t xml:space="preserve">stapler</t>
        </is>
      </c>
      <c r="G84" s="96" t="inlineStr">
        <is>
          <t xml:space="preserve">方法A</t>
        </is>
      </c>
      <c r="H84" s="96" t="inlineStr">
        <is>
          <t xml:space="preserve">EgoAnchor</t>
        </is>
      </c>
      <c r="I84" s="96" t="n">
        <v>2</v>
      </c>
      <c r="J84" s="96" t="n">
        <v>1</v>
      </c>
      <c r="K84" s="85" t="n">
        <v>4</v>
      </c>
      <c r="L84" s="85" t="n">
        <v>4</v>
      </c>
      <c r="M84" s="85" t="n">
        <v>5</v>
      </c>
      <c r="N84" s="75"/>
      <c r="O84" s="85" t="n">
        <v>5</v>
      </c>
      <c r="P84" s="85" t="n">
        <v>5</v>
      </c>
      <c r="Q84" s="85" t="n">
        <v>5</v>
      </c>
      <c r="R84" s="85" t="n">
        <v>5</v>
      </c>
      <c r="S84" s="85" t="n">
        <v>5</v>
      </c>
      <c r="T84" s="85" t="n">
        <v>6</v>
      </c>
      <c r="U84" s="85" t="n">
        <v>5</v>
      </c>
      <c r="V84" s="85" t="n">
        <v>6</v>
      </c>
      <c r="W84" s="85" t="n">
        <v>4</v>
      </c>
      <c r="X84" s="85" t="n">
        <v>5</v>
      </c>
      <c r="Y84" s="497" t="n">
        <v>46240.46030283565</v>
      </c>
      <c r="Z84" s="497" t="n">
        <v>46240.46149431713</v>
      </c>
      <c r="AA84" s="500" t="n">
        <v>102.9</v>
      </c>
      <c r="AB84" s="85" t="str">
        <v>是</v>
      </c>
      <c r="AC84" s="85" t="str">
        <v>是</v>
      </c>
      <c r="AD84" s="85" t="str">
        <v>是</v>
      </c>
      <c r="AE84" s="85" t="str">
        <v>无</v>
      </c>
      <c r="AF84" s="503" t="n">
        <v>13.44</v>
      </c>
      <c r="AG84" s="503" t="n">
        <v>0.804</v>
      </c>
      <c r="AH84" s="503" t="n">
        <v>0.95</v>
      </c>
      <c r="AI84" s="503" t="n">
        <v>0.998</v>
      </c>
      <c r="AJ84" s="503" t="n">
        <v>0.732</v>
      </c>
      <c r="AK84" s="78" t="str">
        <v>FrozenUncertain</v>
      </c>
      <c r="AL84" s="78" t="str">
        <v>否</v>
      </c>
      <c r="AM84" s="506" t="n">
        <v>1</v>
      </c>
      <c r="AN84" s="506" t="n">
        <v>4</v>
      </c>
      <c r="AO84" s="218" t="str"/>
    </row>
    <row r="85" ht="24" customHeight="1">
      <c r="A85" s="65" t="inlineStr">
        <is>
          <t xml:space="preserve">P014</t>
        </is>
      </c>
      <c r="B85" s="96" t="n">
        <v>3</v>
      </c>
      <c r="C85" s="96" t="inlineStr">
        <is>
          <t xml:space="preserve">O4-S2-EA</t>
        </is>
      </c>
      <c r="D85" s="96" t="n">
        <v>2</v>
      </c>
      <c r="E85" s="96" t="inlineStr">
        <is>
          <t xml:space="preserve">游戏手柄</t>
        </is>
      </c>
      <c r="F85" s="96" t="inlineStr">
        <is>
          <t xml:space="preserve">gamepad</t>
        </is>
      </c>
      <c r="G85" s="96" t="inlineStr">
        <is>
          <t xml:space="preserve">方法A</t>
        </is>
      </c>
      <c r="H85" s="96" t="inlineStr">
        <is>
          <t xml:space="preserve">EgoAnchor</t>
        </is>
      </c>
      <c r="I85" s="96" t="n">
        <v>1</v>
      </c>
      <c r="J85" s="96" t="n">
        <v>2</v>
      </c>
      <c r="K85" s="85" t="n">
        <v>5</v>
      </c>
      <c r="L85" s="85" t="n">
        <v>6</v>
      </c>
      <c r="M85" s="85" t="n">
        <v>5</v>
      </c>
      <c r="N85" s="75"/>
      <c r="O85" s="85" t="n">
        <v>4</v>
      </c>
      <c r="P85" s="85" t="n">
        <v>4</v>
      </c>
      <c r="Q85" s="85" t="n">
        <v>4</v>
      </c>
      <c r="R85" s="85" t="n">
        <v>4</v>
      </c>
      <c r="S85" s="85" t="n">
        <v>6</v>
      </c>
      <c r="T85" s="85" t="n">
        <v>5</v>
      </c>
      <c r="U85" s="85" t="n">
        <v>5</v>
      </c>
      <c r="V85" s="85" t="n">
        <v>5</v>
      </c>
      <c r="W85" s="85" t="n">
        <v>5</v>
      </c>
      <c r="X85" s="85" t="n">
        <v>5</v>
      </c>
      <c r="Y85" s="497" t="n">
        <v>46240.46238293981</v>
      </c>
      <c r="Z85" s="497" t="n">
        <v>46240.463588784725</v>
      </c>
      <c r="AA85" s="500" t="n">
        <v>104.2</v>
      </c>
      <c r="AB85" s="85" t="str">
        <v>是</v>
      </c>
      <c r="AC85" s="85" t="str">
        <v>是</v>
      </c>
      <c r="AD85" s="85" t="str">
        <v>是</v>
      </c>
      <c r="AE85" s="85" t="str">
        <v>无</v>
      </c>
      <c r="AF85" s="503" t="n">
        <v>12.31</v>
      </c>
      <c r="AG85" s="503" t="n">
        <v>0.818</v>
      </c>
      <c r="AH85" s="503" t="n">
        <v>0.923</v>
      </c>
      <c r="AI85" s="503" t="n">
        <v>0.994</v>
      </c>
      <c r="AJ85" s="503" t="n">
        <v>0.759</v>
      </c>
      <c r="AK85" s="78" t="str">
        <v>FrozenUncertain</v>
      </c>
      <c r="AL85" s="78" t="str">
        <v>否</v>
      </c>
      <c r="AM85" s="506" t="n">
        <v>1</v>
      </c>
      <c r="AN85" s="506" t="n">
        <v>3</v>
      </c>
      <c r="AO85" s="218" t="str">
        <v>拿起时感觉略有滞后</v>
      </c>
    </row>
    <row r="86" ht="24" customHeight="1">
      <c r="A86" s="65" t="inlineStr">
        <is>
          <t xml:space="preserve">P014</t>
        </is>
      </c>
      <c r="B86" s="96" t="n">
        <v>4</v>
      </c>
      <c r="C86" s="96" t="inlineStr">
        <is>
          <t xml:space="preserve">O4-S2-EA</t>
        </is>
      </c>
      <c r="D86" s="96" t="n">
        <v>2</v>
      </c>
      <c r="E86" s="96" t="inlineStr">
        <is>
          <t xml:space="preserve">游戏手柄</t>
        </is>
      </c>
      <c r="F86" s="96" t="inlineStr">
        <is>
          <t xml:space="preserve">gamepad</t>
        </is>
      </c>
      <c r="G86" s="96" t="inlineStr">
        <is>
          <t xml:space="preserve">方法B</t>
        </is>
      </c>
      <c r="H86" s="96" t="inlineStr">
        <is>
          <t xml:space="preserve">One-Euro</t>
        </is>
      </c>
      <c r="I86" s="96" t="n">
        <v>2</v>
      </c>
      <c r="J86" s="96" t="n">
        <v>2</v>
      </c>
      <c r="K86" s="85" t="n">
        <v>5</v>
      </c>
      <c r="L86" s="85" t="n">
        <v>4</v>
      </c>
      <c r="M86" s="85" t="n">
        <v>4</v>
      </c>
      <c r="N86" s="75"/>
      <c r="O86" s="85" t="n">
        <v>5</v>
      </c>
      <c r="P86" s="85" t="n">
        <v>4</v>
      </c>
      <c r="Q86" s="85" t="n">
        <v>4</v>
      </c>
      <c r="R86" s="85" t="n">
        <v>4</v>
      </c>
      <c r="S86" s="85" t="n">
        <v>4</v>
      </c>
      <c r="T86" s="85" t="n">
        <v>4</v>
      </c>
      <c r="U86" s="85" t="n">
        <v>5</v>
      </c>
      <c r="V86" s="85" t="n">
        <v>4</v>
      </c>
      <c r="W86" s="85" t="n">
        <v>4</v>
      </c>
      <c r="X86" s="85" t="n">
        <v>5</v>
      </c>
      <c r="Y86" s="497" t="n">
        <v>46240.464515381944</v>
      </c>
      <c r="Z86" s="497" t="n">
        <v>46240.46588899306</v>
      </c>
      <c r="AA86" s="500" t="n">
        <v>118.7</v>
      </c>
      <c r="AB86" s="85" t="str">
        <v>是</v>
      </c>
      <c r="AC86" s="85" t="str">
        <v>是</v>
      </c>
      <c r="AD86" s="85" t="str">
        <v>是</v>
      </c>
      <c r="AE86" s="85" t="str">
        <v>无</v>
      </c>
      <c r="AF86" s="503" t="n">
        <v>12.91</v>
      </c>
      <c r="AG86" s="503" t="n">
        <v>0.782</v>
      </c>
      <c r="AH86" s="503" t="n">
        <v>0.858</v>
      </c>
      <c r="AI86" s="503" t="n">
        <v>0.988</v>
      </c>
      <c r="AJ86" s="503" t="n">
        <v>0.763</v>
      </c>
      <c r="AK86" s="78" t="str">
        <v>FrozenUncertain</v>
      </c>
      <c r="AL86" s="78" t="str">
        <v>否</v>
      </c>
      <c r="AM86" s="506" t="n">
        <v>1</v>
      </c>
      <c r="AN86" s="506" t="n">
        <v>0</v>
      </c>
      <c r="AO86" s="218" t="str">
        <v>遮挡恢复后出现一次小跳变</v>
      </c>
    </row>
    <row r="87" ht="24" customHeight="1">
      <c r="A87" s="65" t="inlineStr">
        <is>
          <t xml:space="preserve">P014</t>
        </is>
      </c>
      <c r="B87" s="96" t="n">
        <v>5</v>
      </c>
      <c r="C87" s="96" t="inlineStr">
        <is>
          <t xml:space="preserve">O4-S2-EA</t>
        </is>
      </c>
      <c r="D87" s="96" t="n">
        <v>3</v>
      </c>
      <c r="E87" s="96" t="inlineStr">
        <is>
          <t xml:space="preserve">鼠标</t>
        </is>
      </c>
      <c r="F87" s="96" t="inlineStr">
        <is>
          <t xml:space="preserve">blue_mouse</t>
        </is>
      </c>
      <c r="G87" s="96" t="inlineStr">
        <is>
          <t xml:space="preserve">方法B</t>
        </is>
      </c>
      <c r="H87" s="96" t="inlineStr">
        <is>
          <t xml:space="preserve">One-Euro</t>
        </is>
      </c>
      <c r="I87" s="96" t="n">
        <v>1</v>
      </c>
      <c r="J87" s="96" t="n">
        <v>3</v>
      </c>
      <c r="K87" s="85" t="n">
        <v>5</v>
      </c>
      <c r="L87" s="85" t="n">
        <v>4</v>
      </c>
      <c r="M87" s="85" t="n">
        <v>6</v>
      </c>
      <c r="N87" s="75"/>
      <c r="O87" s="85" t="n">
        <v>5</v>
      </c>
      <c r="P87" s="85" t="n">
        <v>6</v>
      </c>
      <c r="Q87" s="85" t="n">
        <v>3</v>
      </c>
      <c r="R87" s="85" t="n">
        <v>4</v>
      </c>
      <c r="S87" s="85" t="n">
        <v>4</v>
      </c>
      <c r="T87" s="85" t="n">
        <v>5</v>
      </c>
      <c r="U87" s="85" t="n">
        <v>4</v>
      </c>
      <c r="V87" s="85" t="n">
        <v>4</v>
      </c>
      <c r="W87" s="85" t="n">
        <v>4</v>
      </c>
      <c r="X87" s="85" t="n">
        <v>4</v>
      </c>
      <c r="Y87" s="497" t="n">
        <v>46240.466798263886</v>
      </c>
      <c r="Z87" s="497" t="n">
        <v>46240.46834115741</v>
      </c>
      <c r="AA87" s="500" t="n">
        <v>133.3</v>
      </c>
      <c r="AB87" s="85" t="str">
        <v>是</v>
      </c>
      <c r="AC87" s="85" t="str">
        <v>是</v>
      </c>
      <c r="AD87" s="85" t="str">
        <v>是</v>
      </c>
      <c r="AE87" s="85" t="str">
        <v>无</v>
      </c>
      <c r="AF87" s="503" t="n">
        <v>12.56</v>
      </c>
      <c r="AG87" s="503" t="n">
        <v>0.759</v>
      </c>
      <c r="AH87" s="503" t="n">
        <v>0.826</v>
      </c>
      <c r="AI87" s="503" t="n">
        <v>0.986</v>
      </c>
      <c r="AJ87" s="503" t="n">
        <v>0.73</v>
      </c>
      <c r="AK87" s="78" t="str">
        <v>FrozenUncertain</v>
      </c>
      <c r="AL87" s="78" t="str">
        <v>否</v>
      </c>
      <c r="AM87" s="506" t="n">
        <v>1</v>
      </c>
      <c r="AN87" s="506" t="n">
        <v>0</v>
      </c>
      <c r="AO87" s="218" t="str"/>
    </row>
    <row r="88" ht="24" customHeight="1">
      <c r="A88" s="262" t="inlineStr">
        <is>
          <t xml:space="preserve">P014</t>
        </is>
      </c>
      <c r="B88" s="263" t="n">
        <v>6</v>
      </c>
      <c r="C88" s="263" t="inlineStr">
        <is>
          <t xml:space="preserve">O4-S2-EA</t>
        </is>
      </c>
      <c r="D88" s="263" t="n">
        <v>3</v>
      </c>
      <c r="E88" s="263" t="inlineStr">
        <is>
          <t xml:space="preserve">鼠标</t>
        </is>
      </c>
      <c r="F88" s="263" t="inlineStr">
        <is>
          <t xml:space="preserve">blue_mouse</t>
        </is>
      </c>
      <c r="G88" s="263" t="inlineStr">
        <is>
          <t xml:space="preserve">方法A</t>
        </is>
      </c>
      <c r="H88" s="263" t="inlineStr">
        <is>
          <t xml:space="preserve">EgoAnchor</t>
        </is>
      </c>
      <c r="I88" s="263" t="n">
        <v>2</v>
      </c>
      <c r="J88" s="263" t="n">
        <v>3</v>
      </c>
      <c r="K88" s="266" t="n">
        <v>5</v>
      </c>
      <c r="L88" s="266" t="n">
        <v>5</v>
      </c>
      <c r="M88" s="266" t="n">
        <v>5</v>
      </c>
      <c r="N88" s="278"/>
      <c r="O88" s="266" t="n">
        <v>4</v>
      </c>
      <c r="P88" s="266" t="n">
        <v>5</v>
      </c>
      <c r="Q88" s="266" t="n">
        <v>4</v>
      </c>
      <c r="R88" s="266" t="n">
        <v>5</v>
      </c>
      <c r="S88" s="266" t="n">
        <v>6</v>
      </c>
      <c r="T88" s="266" t="n">
        <v>4</v>
      </c>
      <c r="U88" s="266" t="n">
        <v>5</v>
      </c>
      <c r="V88" s="266" t="n">
        <v>6</v>
      </c>
      <c r="W88" s="266" t="n">
        <v>3</v>
      </c>
      <c r="X88" s="266" t="n">
        <v>3</v>
      </c>
      <c r="Y88" s="498" t="n">
        <v>46240.46906638889</v>
      </c>
      <c r="Z88" s="498" t="n">
        <v>46240.46987783565</v>
      </c>
      <c r="AA88" s="501" t="n">
        <v>70.1</v>
      </c>
      <c r="AB88" s="266" t="str">
        <v>是</v>
      </c>
      <c r="AC88" s="266" t="str">
        <v>是</v>
      </c>
      <c r="AD88" s="266" t="str">
        <v>是</v>
      </c>
      <c r="AE88" s="266" t="str">
        <v>无</v>
      </c>
      <c r="AF88" s="504" t="n">
        <v>12.64</v>
      </c>
      <c r="AG88" s="504" t="n">
        <v>0.815</v>
      </c>
      <c r="AH88" s="504" t="n">
        <v>0.875</v>
      </c>
      <c r="AI88" s="504" t="n">
        <v>1</v>
      </c>
      <c r="AJ88" s="504" t="n">
        <v>0.729</v>
      </c>
      <c r="AK88" s="279" t="str">
        <v>FrozenUncertain</v>
      </c>
      <c r="AL88" s="279" t="str">
        <v>否</v>
      </c>
      <c r="AM88" s="507" t="n">
        <v>1</v>
      </c>
      <c r="AN88" s="507" t="n">
        <v>4</v>
      </c>
      <c r="AO88" s="279" t="str"/>
    </row>
    <row r="89" ht="24" customHeight="1">
      <c r="A89" s="65" t="inlineStr">
        <is>
          <t xml:space="preserve">P015</t>
        </is>
      </c>
      <c r="B89" s="96" t="n">
        <v>1</v>
      </c>
      <c r="C89" s="96" t="inlineStr">
        <is>
          <t xml:space="preserve">O4-S2-OE</t>
        </is>
      </c>
      <c r="D89" s="96" t="n">
        <v>1</v>
      </c>
      <c r="E89" s="96" t="inlineStr">
        <is>
          <t xml:space="preserve">固定订书机</t>
        </is>
      </c>
      <c r="F89" s="96" t="inlineStr">
        <is>
          <t xml:space="preserve">stapler</t>
        </is>
      </c>
      <c r="G89" s="96" t="inlineStr">
        <is>
          <t xml:space="preserve">方法B</t>
        </is>
      </c>
      <c r="H89" s="96" t="inlineStr">
        <is>
          <t xml:space="preserve">EgoAnchor</t>
        </is>
      </c>
      <c r="I89" s="96" t="n">
        <v>1</v>
      </c>
      <c r="J89" s="96" t="n">
        <v>1</v>
      </c>
      <c r="K89" s="85" t="n">
        <v>6</v>
      </c>
      <c r="L89" s="85" t="n">
        <v>6</v>
      </c>
      <c r="M89" s="85" t="n">
        <v>6</v>
      </c>
      <c r="N89" s="75"/>
      <c r="O89" s="85" t="n">
        <v>6</v>
      </c>
      <c r="P89" s="85" t="n">
        <v>6</v>
      </c>
      <c r="Q89" s="85" t="n">
        <v>5</v>
      </c>
      <c r="R89" s="85" t="n">
        <v>5</v>
      </c>
      <c r="S89" s="85" t="n">
        <v>5</v>
      </c>
      <c r="T89" s="85" t="n">
        <v>5</v>
      </c>
      <c r="U89" s="85" t="n">
        <v>4</v>
      </c>
      <c r="V89" s="85" t="n">
        <v>6</v>
      </c>
      <c r="W89" s="85" t="n">
        <v>5</v>
      </c>
      <c r="X89" s="85" t="n">
        <v>4</v>
      </c>
      <c r="Y89" s="497" t="n">
        <v>46240.57421150463</v>
      </c>
      <c r="Z89" s="497" t="n">
        <v>46240.575500011575</v>
      </c>
      <c r="AA89" s="500" t="n">
        <v>111.3</v>
      </c>
      <c r="AB89" s="85" t="str">
        <v>是</v>
      </c>
      <c r="AC89" s="85" t="str">
        <v>是</v>
      </c>
      <c r="AD89" s="85" t="str">
        <v>是</v>
      </c>
      <c r="AE89" s="85" t="str">
        <v>无</v>
      </c>
      <c r="AF89" s="503" t="n">
        <v>13.43</v>
      </c>
      <c r="AG89" s="503" t="n">
        <v>0.827</v>
      </c>
      <c r="AH89" s="503" t="n">
        <v>0.9</v>
      </c>
      <c r="AI89" s="503" t="n">
        <v>0.993</v>
      </c>
      <c r="AJ89" s="503" t="n">
        <v>0.822</v>
      </c>
      <c r="AK89" s="78" t="str">
        <v>FrozenUncertain</v>
      </c>
      <c r="AL89" s="78" t="str">
        <v>否</v>
      </c>
      <c r="AM89" s="506" t="n">
        <v>1</v>
      </c>
      <c r="AN89" s="506" t="n">
        <v>3</v>
      </c>
      <c r="AO89" s="218" t="str"/>
    </row>
    <row r="90" ht="24" customHeight="1">
      <c r="A90" s="65" t="inlineStr">
        <is>
          <t xml:space="preserve">P015</t>
        </is>
      </c>
      <c r="B90" s="96" t="n">
        <v>2</v>
      </c>
      <c r="C90" s="96" t="inlineStr">
        <is>
          <t xml:space="preserve">O4-S2-OE</t>
        </is>
      </c>
      <c r="D90" s="96" t="n">
        <v>1</v>
      </c>
      <c r="E90" s="96" t="inlineStr">
        <is>
          <t xml:space="preserve">固定订书机</t>
        </is>
      </c>
      <c r="F90" s="96" t="inlineStr">
        <is>
          <t xml:space="preserve">stapler</t>
        </is>
      </c>
      <c r="G90" s="96" t="inlineStr">
        <is>
          <t xml:space="preserve">方法A</t>
        </is>
      </c>
      <c r="H90" s="96" t="inlineStr">
        <is>
          <t xml:space="preserve">One-Euro</t>
        </is>
      </c>
      <c r="I90" s="96" t="n">
        <v>2</v>
      </c>
      <c r="J90" s="96" t="n">
        <v>1</v>
      </c>
      <c r="K90" s="85" t="n">
        <v>5</v>
      </c>
      <c r="L90" s="85" t="n">
        <v>4</v>
      </c>
      <c r="M90" s="85" t="n">
        <v>5</v>
      </c>
      <c r="N90" s="75"/>
      <c r="O90" s="85" t="n">
        <v>5</v>
      </c>
      <c r="P90" s="85" t="n">
        <v>6</v>
      </c>
      <c r="Q90" s="85" t="n">
        <v>5</v>
      </c>
      <c r="R90" s="85" t="n">
        <v>4</v>
      </c>
      <c r="S90" s="85" t="n">
        <v>4</v>
      </c>
      <c r="T90" s="85" t="n">
        <v>4</v>
      </c>
      <c r="U90" s="85" t="n">
        <v>6</v>
      </c>
      <c r="V90" s="85" t="n">
        <v>6</v>
      </c>
      <c r="W90" s="85" t="n">
        <v>4</v>
      </c>
      <c r="X90" s="85" t="n">
        <v>4</v>
      </c>
      <c r="Y90" s="497" t="n">
        <v>46240.57639836806</v>
      </c>
      <c r="Z90" s="497" t="n">
        <v>46240.577513668984</v>
      </c>
      <c r="AA90" s="500" t="n">
        <v>96.4</v>
      </c>
      <c r="AB90" s="85" t="str">
        <v>是</v>
      </c>
      <c r="AC90" s="85" t="str">
        <v>是</v>
      </c>
      <c r="AD90" s="85" t="str">
        <v>是</v>
      </c>
      <c r="AE90" s="85" t="str">
        <v>无</v>
      </c>
      <c r="AF90" s="503" t="n">
        <v>14.05</v>
      </c>
      <c r="AG90" s="503" t="n">
        <v>0.812</v>
      </c>
      <c r="AH90" s="503" t="n">
        <v>0.937</v>
      </c>
      <c r="AI90" s="503" t="n">
        <v>0.987</v>
      </c>
      <c r="AJ90" s="503" t="n">
        <v>0.748</v>
      </c>
      <c r="AK90" s="78" t="str">
        <v>FrozenUncertain</v>
      </c>
      <c r="AL90" s="78" t="str">
        <v>否</v>
      </c>
      <c r="AM90" s="506" t="n">
        <v>2</v>
      </c>
      <c r="AN90" s="506" t="n">
        <v>0</v>
      </c>
      <c r="AO90" s="218" t="str"/>
    </row>
    <row r="91" ht="24" customHeight="1">
      <c r="A91" s="65" t="inlineStr">
        <is>
          <t xml:space="preserve">P015</t>
        </is>
      </c>
      <c r="B91" s="96" t="n">
        <v>3</v>
      </c>
      <c r="C91" s="96" t="inlineStr">
        <is>
          <t xml:space="preserve">O4-S2-OE</t>
        </is>
      </c>
      <c r="D91" s="96" t="n">
        <v>2</v>
      </c>
      <c r="E91" s="96" t="inlineStr">
        <is>
          <t xml:space="preserve">游戏手柄</t>
        </is>
      </c>
      <c r="F91" s="96" t="inlineStr">
        <is>
          <t xml:space="preserve">gamepad</t>
        </is>
      </c>
      <c r="G91" s="96" t="inlineStr">
        <is>
          <t xml:space="preserve">方法A</t>
        </is>
      </c>
      <c r="H91" s="96" t="inlineStr">
        <is>
          <t xml:space="preserve">One-Euro</t>
        </is>
      </c>
      <c r="I91" s="96" t="n">
        <v>1</v>
      </c>
      <c r="J91" s="96" t="n">
        <v>2</v>
      </c>
      <c r="K91" s="85" t="n">
        <v>5</v>
      </c>
      <c r="L91" s="85" t="n">
        <v>4</v>
      </c>
      <c r="M91" s="85" t="n">
        <v>5</v>
      </c>
      <c r="N91" s="75"/>
      <c r="O91" s="85" t="n">
        <v>6</v>
      </c>
      <c r="P91" s="85" t="n">
        <v>6</v>
      </c>
      <c r="Q91" s="85" t="n">
        <v>3</v>
      </c>
      <c r="R91" s="85" t="n">
        <v>3</v>
      </c>
      <c r="S91" s="85" t="n">
        <v>6</v>
      </c>
      <c r="T91" s="85" t="n">
        <v>5</v>
      </c>
      <c r="U91" s="85" t="n">
        <v>5</v>
      </c>
      <c r="V91" s="85" t="n">
        <v>5</v>
      </c>
      <c r="W91" s="85" t="n">
        <v>3</v>
      </c>
      <c r="X91" s="85" t="n">
        <v>5</v>
      </c>
      <c r="Y91" s="497" t="n">
        <v>46240.57862900463</v>
      </c>
      <c r="Z91" s="497" t="n">
        <v>46240.5797040625</v>
      </c>
      <c r="AA91" s="500" t="n">
        <v>92.9</v>
      </c>
      <c r="AB91" s="85" t="str">
        <v>是</v>
      </c>
      <c r="AC91" s="85" t="str">
        <v>是</v>
      </c>
      <c r="AD91" s="85" t="str">
        <v>是</v>
      </c>
      <c r="AE91" s="85" t="str">
        <v>无</v>
      </c>
      <c r="AF91" s="503" t="n">
        <v>12.8</v>
      </c>
      <c r="AG91" s="503" t="n">
        <v>0.794</v>
      </c>
      <c r="AH91" s="503" t="n">
        <v>0.938</v>
      </c>
      <c r="AI91" s="503" t="n">
        <v>0.993</v>
      </c>
      <c r="AJ91" s="503" t="n">
        <v>0.742</v>
      </c>
      <c r="AK91" s="78" t="str">
        <v>FrozenUncertain</v>
      </c>
      <c r="AL91" s="78" t="str">
        <v>否</v>
      </c>
      <c r="AM91" s="506" t="n">
        <v>1</v>
      </c>
      <c r="AN91" s="506" t="n">
        <v>0</v>
      </c>
      <c r="AO91" s="218" t="str"/>
    </row>
    <row r="92" ht="24" customHeight="1">
      <c r="A92" s="65" t="inlineStr">
        <is>
          <t xml:space="preserve">P015</t>
        </is>
      </c>
      <c r="B92" s="96" t="n">
        <v>4</v>
      </c>
      <c r="C92" s="96" t="inlineStr">
        <is>
          <t xml:space="preserve">O4-S2-OE</t>
        </is>
      </c>
      <c r="D92" s="96" t="n">
        <v>2</v>
      </c>
      <c r="E92" s="96" t="inlineStr">
        <is>
          <t xml:space="preserve">游戏手柄</t>
        </is>
      </c>
      <c r="F92" s="96" t="inlineStr">
        <is>
          <t xml:space="preserve">gamepad</t>
        </is>
      </c>
      <c r="G92" s="96" t="inlineStr">
        <is>
          <t xml:space="preserve">方法B</t>
        </is>
      </c>
      <c r="H92" s="96" t="inlineStr">
        <is>
          <t xml:space="preserve">EgoAnchor</t>
        </is>
      </c>
      <c r="I92" s="96" t="n">
        <v>2</v>
      </c>
      <c r="J92" s="96" t="n">
        <v>2</v>
      </c>
      <c r="K92" s="85" t="n">
        <v>6</v>
      </c>
      <c r="L92" s="85" t="n">
        <v>6</v>
      </c>
      <c r="M92" s="85" t="n">
        <v>4</v>
      </c>
      <c r="N92" s="75"/>
      <c r="O92" s="85" t="n">
        <v>4</v>
      </c>
      <c r="P92" s="85" t="n">
        <v>5</v>
      </c>
      <c r="Q92" s="85" t="n">
        <v>4</v>
      </c>
      <c r="R92" s="85" t="n">
        <v>7</v>
      </c>
      <c r="S92" s="85" t="n">
        <v>6</v>
      </c>
      <c r="T92" s="85" t="n">
        <v>5</v>
      </c>
      <c r="U92" s="85" t="n">
        <v>6</v>
      </c>
      <c r="V92" s="85" t="n">
        <v>4</v>
      </c>
      <c r="W92" s="85" t="n">
        <v>5</v>
      </c>
      <c r="X92" s="85" t="n">
        <v>5</v>
      </c>
      <c r="Y92" s="497" t="n">
        <v>46240.580540324074</v>
      </c>
      <c r="Z92" s="497" t="n">
        <v>46240.58180616898</v>
      </c>
      <c r="AA92" s="500" t="n">
        <v>109.4</v>
      </c>
      <c r="AB92" s="85" t="str">
        <v>是</v>
      </c>
      <c r="AC92" s="85" t="str">
        <v>是</v>
      </c>
      <c r="AD92" s="85" t="str">
        <v>是</v>
      </c>
      <c r="AE92" s="85" t="str">
        <v>无</v>
      </c>
      <c r="AF92" s="503" t="n">
        <v>13.34</v>
      </c>
      <c r="AG92" s="503" t="n">
        <v>0.822</v>
      </c>
      <c r="AH92" s="503" t="n">
        <v>0.871</v>
      </c>
      <c r="AI92" s="503" t="n">
        <v>0.984</v>
      </c>
      <c r="AJ92" s="503" t="n">
        <v>0.795</v>
      </c>
      <c r="AK92" s="78" t="str">
        <v>FrozenUncertain</v>
      </c>
      <c r="AL92" s="78" t="str">
        <v>否</v>
      </c>
      <c r="AM92" s="506" t="n">
        <v>0</v>
      </c>
      <c r="AN92" s="506" t="n">
        <v>4</v>
      </c>
      <c r="AO92" s="218" t="str">
        <v>拿起时感觉略有滞后</v>
      </c>
    </row>
    <row r="93" ht="24" customHeight="1">
      <c r="A93" s="65" t="inlineStr">
        <is>
          <t xml:space="preserve">P015</t>
        </is>
      </c>
      <c r="B93" s="96" t="n">
        <v>5</v>
      </c>
      <c r="C93" s="96" t="inlineStr">
        <is>
          <t xml:space="preserve">O4-S2-OE</t>
        </is>
      </c>
      <c r="D93" s="96" t="n">
        <v>3</v>
      </c>
      <c r="E93" s="96" t="inlineStr">
        <is>
          <t xml:space="preserve">鼠标</t>
        </is>
      </c>
      <c r="F93" s="96" t="inlineStr">
        <is>
          <t xml:space="preserve">blue_mouse</t>
        </is>
      </c>
      <c r="G93" s="96" t="inlineStr">
        <is>
          <t xml:space="preserve">方法B</t>
        </is>
      </c>
      <c r="H93" s="96" t="inlineStr">
        <is>
          <t xml:space="preserve">EgoAnchor</t>
        </is>
      </c>
      <c r="I93" s="96" t="n">
        <v>1</v>
      </c>
      <c r="J93" s="96" t="n">
        <v>3</v>
      </c>
      <c r="K93" s="85" t="n">
        <v>7</v>
      </c>
      <c r="L93" s="85" t="n">
        <v>5</v>
      </c>
      <c r="M93" s="85" t="n">
        <v>5</v>
      </c>
      <c r="N93" s="75"/>
      <c r="O93" s="85" t="n">
        <v>5</v>
      </c>
      <c r="P93" s="85" t="n">
        <v>4</v>
      </c>
      <c r="Q93" s="85" t="n">
        <v>5</v>
      </c>
      <c r="R93" s="85" t="n">
        <v>6</v>
      </c>
      <c r="S93" s="85" t="n">
        <v>6</v>
      </c>
      <c r="T93" s="85" t="n">
        <v>4</v>
      </c>
      <c r="U93" s="85" t="n">
        <v>3</v>
      </c>
      <c r="V93" s="85" t="n">
        <v>6</v>
      </c>
      <c r="W93" s="85" t="n">
        <v>5</v>
      </c>
      <c r="X93" s="85" t="n">
        <v>5</v>
      </c>
      <c r="Y93" s="497" t="n">
        <v>46240.58266663194</v>
      </c>
      <c r="Z93" s="497" t="n">
        <v>46240.58369414352</v>
      </c>
      <c r="AA93" s="500" t="n">
        <v>88.8</v>
      </c>
      <c r="AB93" s="85" t="str">
        <v>是</v>
      </c>
      <c r="AC93" s="85" t="str">
        <v>是</v>
      </c>
      <c r="AD93" s="85" t="str">
        <v>是</v>
      </c>
      <c r="AE93" s="85" t="str">
        <v>无</v>
      </c>
      <c r="AF93" s="503" t="n">
        <v>12.76</v>
      </c>
      <c r="AG93" s="503" t="n">
        <v>0.819</v>
      </c>
      <c r="AH93" s="503" t="n">
        <v>0.813</v>
      </c>
      <c r="AI93" s="503" t="n">
        <v>0.987</v>
      </c>
      <c r="AJ93" s="503" t="n">
        <v>0.739</v>
      </c>
      <c r="AK93" s="78" t="str">
        <v>FrozenUncertain</v>
      </c>
      <c r="AL93" s="78" t="str">
        <v>否</v>
      </c>
      <c r="AM93" s="506" t="n">
        <v>1</v>
      </c>
      <c r="AN93" s="506" t="n">
        <v>3</v>
      </c>
      <c r="AO93" s="218" t="str"/>
    </row>
    <row r="94" ht="24" customHeight="1">
      <c r="A94" s="262" t="inlineStr">
        <is>
          <t xml:space="preserve">P015</t>
        </is>
      </c>
      <c r="B94" s="263" t="n">
        <v>6</v>
      </c>
      <c r="C94" s="263" t="inlineStr">
        <is>
          <t xml:space="preserve">O4-S2-OE</t>
        </is>
      </c>
      <c r="D94" s="263" t="n">
        <v>3</v>
      </c>
      <c r="E94" s="263" t="inlineStr">
        <is>
          <t xml:space="preserve">鼠标</t>
        </is>
      </c>
      <c r="F94" s="263" t="inlineStr">
        <is>
          <t xml:space="preserve">blue_mouse</t>
        </is>
      </c>
      <c r="G94" s="263" t="inlineStr">
        <is>
          <t xml:space="preserve">方法A</t>
        </is>
      </c>
      <c r="H94" s="263" t="inlineStr">
        <is>
          <t xml:space="preserve">One-Euro</t>
        </is>
      </c>
      <c r="I94" s="263" t="n">
        <v>2</v>
      </c>
      <c r="J94" s="263" t="n">
        <v>3</v>
      </c>
      <c r="K94" s="266" t="n">
        <v>4</v>
      </c>
      <c r="L94" s="266" t="n">
        <v>5</v>
      </c>
      <c r="M94" s="266" t="n">
        <v>4</v>
      </c>
      <c r="N94" s="278"/>
      <c r="O94" s="266" t="n">
        <v>5</v>
      </c>
      <c r="P94" s="266" t="n">
        <v>5</v>
      </c>
      <c r="Q94" s="266" t="n">
        <v>4</v>
      </c>
      <c r="R94" s="266" t="n">
        <v>4</v>
      </c>
      <c r="S94" s="266" t="n">
        <v>5</v>
      </c>
      <c r="T94" s="266" t="n">
        <v>5</v>
      </c>
      <c r="U94" s="266" t="n">
        <v>4</v>
      </c>
      <c r="V94" s="266" t="n">
        <v>4</v>
      </c>
      <c r="W94" s="266" t="n">
        <v>5</v>
      </c>
      <c r="X94" s="266" t="n">
        <v>5</v>
      </c>
      <c r="Y94" s="498" t="n">
        <v>46240.58457219908</v>
      </c>
      <c r="Z94" s="498" t="n">
        <v>46240.585693333334</v>
      </c>
      <c r="AA94" s="501" t="n">
        <v>96.9</v>
      </c>
      <c r="AB94" s="266" t="str">
        <v>是</v>
      </c>
      <c r="AC94" s="266" t="str">
        <v>是</v>
      </c>
      <c r="AD94" s="266" t="str">
        <v>是</v>
      </c>
      <c r="AE94" s="266" t="str">
        <v>无</v>
      </c>
      <c r="AF94" s="504" t="n">
        <v>12.67</v>
      </c>
      <c r="AG94" s="504" t="n">
        <v>0.751</v>
      </c>
      <c r="AH94" s="504" t="n">
        <v>0.822</v>
      </c>
      <c r="AI94" s="504" t="n">
        <v>0.99</v>
      </c>
      <c r="AJ94" s="504" t="n">
        <v>0.726</v>
      </c>
      <c r="AK94" s="279" t="str">
        <v>FrozenUncertain</v>
      </c>
      <c r="AL94" s="279" t="str">
        <v>否</v>
      </c>
      <c r="AM94" s="507" t="n">
        <v>1</v>
      </c>
      <c r="AN94" s="507" t="n">
        <v>0</v>
      </c>
      <c r="AO94" s="279" t="str"/>
    </row>
    <row r="95" ht="24" customHeight="1">
      <c r="A95" s="65" t="inlineStr">
        <is>
          <t xml:space="preserve">P016</t>
        </is>
      </c>
      <c r="B95" s="96" t="n">
        <v>1</v>
      </c>
      <c r="C95" s="96" t="inlineStr">
        <is>
          <t xml:space="preserve">O4-S1-OE</t>
        </is>
      </c>
      <c r="D95" s="96" t="n">
        <v>1</v>
      </c>
      <c r="E95" s="96" t="inlineStr">
        <is>
          <t xml:space="preserve">固定订书机</t>
        </is>
      </c>
      <c r="F95" s="96" t="inlineStr">
        <is>
          <t xml:space="preserve">stapler</t>
        </is>
      </c>
      <c r="G95" s="96" t="inlineStr">
        <is>
          <t xml:space="preserve">方法A</t>
        </is>
      </c>
      <c r="H95" s="96" t="inlineStr">
        <is>
          <t xml:space="preserve">One-Euro</t>
        </is>
      </c>
      <c r="I95" s="96" t="n">
        <v>1</v>
      </c>
      <c r="J95" s="96" t="n">
        <v>1</v>
      </c>
      <c r="K95" s="85" t="n">
        <v>4</v>
      </c>
      <c r="L95" s="85" t="n">
        <v>7</v>
      </c>
      <c r="M95" s="85" t="n">
        <v>6</v>
      </c>
      <c r="N95" s="75"/>
      <c r="O95" s="85" t="n">
        <v>5</v>
      </c>
      <c r="P95" s="85" t="n">
        <v>5</v>
      </c>
      <c r="Q95" s="85" t="n">
        <v>4</v>
      </c>
      <c r="R95" s="85" t="n">
        <v>3</v>
      </c>
      <c r="S95" s="85" t="n">
        <v>4</v>
      </c>
      <c r="T95" s="85" t="n">
        <v>4</v>
      </c>
      <c r="U95" s="85" t="n">
        <v>4</v>
      </c>
      <c r="V95" s="85" t="n">
        <v>4</v>
      </c>
      <c r="W95" s="85" t="n">
        <v>4</v>
      </c>
      <c r="X95" s="85" t="n">
        <v>5</v>
      </c>
      <c r="Y95" s="497" t="n">
        <v>46240.642494988424</v>
      </c>
      <c r="Z95" s="497" t="n">
        <v>46240.64340247685</v>
      </c>
      <c r="AA95" s="500" t="n">
        <v>78.4</v>
      </c>
      <c r="AB95" s="85" t="str">
        <v>是</v>
      </c>
      <c r="AC95" s="85" t="str">
        <v>是</v>
      </c>
      <c r="AD95" s="85" t="str">
        <v>是</v>
      </c>
      <c r="AE95" s="85" t="str">
        <v>无</v>
      </c>
      <c r="AF95" s="503" t="n">
        <v>12.19</v>
      </c>
      <c r="AG95" s="503" t="n">
        <v>0.84</v>
      </c>
      <c r="AH95" s="503" t="n">
        <v>0.94</v>
      </c>
      <c r="AI95" s="503" t="n">
        <v>0.994</v>
      </c>
      <c r="AJ95" s="503" t="n">
        <v>0.742</v>
      </c>
      <c r="AK95" s="78" t="str">
        <v>FrozenUncertain</v>
      </c>
      <c r="AL95" s="78" t="str">
        <v>否</v>
      </c>
      <c r="AM95" s="506" t="n">
        <v>0</v>
      </c>
      <c r="AN95" s="506" t="n">
        <v>0</v>
      </c>
      <c r="AO95" s="218" t="str">
        <v>静止阶段可见轻微抖动</v>
      </c>
    </row>
    <row r="96" ht="24" customHeight="1">
      <c r="A96" s="65" t="inlineStr">
        <is>
          <t xml:space="preserve">P016</t>
        </is>
      </c>
      <c r="B96" s="96" t="n">
        <v>2</v>
      </c>
      <c r="C96" s="96" t="inlineStr">
        <is>
          <t xml:space="preserve">O4-S1-OE</t>
        </is>
      </c>
      <c r="D96" s="96" t="n">
        <v>1</v>
      </c>
      <c r="E96" s="96" t="inlineStr">
        <is>
          <t xml:space="preserve">固定订书机</t>
        </is>
      </c>
      <c r="F96" s="96" t="inlineStr">
        <is>
          <t xml:space="preserve">stapler</t>
        </is>
      </c>
      <c r="G96" s="96" t="inlineStr">
        <is>
          <t xml:space="preserve">方法B</t>
        </is>
      </c>
      <c r="H96" s="96" t="inlineStr">
        <is>
          <t xml:space="preserve">EgoAnchor</t>
        </is>
      </c>
      <c r="I96" s="96" t="n">
        <v>2</v>
      </c>
      <c r="J96" s="96" t="n">
        <v>1</v>
      </c>
      <c r="K96" s="85" t="n">
        <v>5</v>
      </c>
      <c r="L96" s="85" t="n">
        <v>5</v>
      </c>
      <c r="M96" s="85" t="n">
        <v>6</v>
      </c>
      <c r="N96" s="75"/>
      <c r="O96" s="85" t="n">
        <v>4</v>
      </c>
      <c r="P96" s="85" t="n">
        <v>5</v>
      </c>
      <c r="Q96" s="85" t="n">
        <v>5</v>
      </c>
      <c r="R96" s="85" t="n">
        <v>5</v>
      </c>
      <c r="S96" s="85" t="n">
        <v>6</v>
      </c>
      <c r="T96" s="85" t="n">
        <v>5</v>
      </c>
      <c r="U96" s="85" t="n">
        <v>6</v>
      </c>
      <c r="V96" s="85" t="n">
        <v>5</v>
      </c>
      <c r="W96" s="85" t="n">
        <v>5</v>
      </c>
      <c r="X96" s="85" t="n">
        <v>5</v>
      </c>
      <c r="Y96" s="497" t="n">
        <v>46240.64445407408</v>
      </c>
      <c r="Z96" s="497" t="n">
        <v>46240.64563885417</v>
      </c>
      <c r="AA96" s="500" t="n">
        <v>102.4</v>
      </c>
      <c r="AB96" s="85" t="str">
        <v>是</v>
      </c>
      <c r="AC96" s="85" t="str">
        <v>是</v>
      </c>
      <c r="AD96" s="85" t="str">
        <v>是</v>
      </c>
      <c r="AE96" s="85" t="str">
        <v>无</v>
      </c>
      <c r="AF96" s="503" t="n">
        <v>11.98</v>
      </c>
      <c r="AG96" s="503" t="n">
        <v>0.869</v>
      </c>
      <c r="AH96" s="503" t="n">
        <v>0.906</v>
      </c>
      <c r="AI96" s="503" t="n">
        <v>0.994</v>
      </c>
      <c r="AJ96" s="503" t="n">
        <v>0.737</v>
      </c>
      <c r="AK96" s="78" t="str">
        <v>FrozenUncertain</v>
      </c>
      <c r="AL96" s="78" t="str">
        <v>否</v>
      </c>
      <c r="AM96" s="506" t="n">
        <v>1</v>
      </c>
      <c r="AN96" s="506" t="n">
        <v>2</v>
      </c>
      <c r="AO96" s="218" t="str">
        <v>拿起时感觉略有滞后</v>
      </c>
    </row>
    <row r="97" ht="24" customHeight="1">
      <c r="A97" s="65" t="inlineStr">
        <is>
          <t xml:space="preserve">P016</t>
        </is>
      </c>
      <c r="B97" s="96" t="n">
        <v>3</v>
      </c>
      <c r="C97" s="96" t="inlineStr">
        <is>
          <t xml:space="preserve">O4-S1-OE</t>
        </is>
      </c>
      <c r="D97" s="96" t="n">
        <v>2</v>
      </c>
      <c r="E97" s="96" t="inlineStr">
        <is>
          <t xml:space="preserve">游戏手柄</t>
        </is>
      </c>
      <c r="F97" s="96" t="inlineStr">
        <is>
          <t xml:space="preserve">gamepad</t>
        </is>
      </c>
      <c r="G97" s="96" t="inlineStr">
        <is>
          <t xml:space="preserve">方法B</t>
        </is>
      </c>
      <c r="H97" s="96" t="inlineStr">
        <is>
          <t xml:space="preserve">EgoAnchor</t>
        </is>
      </c>
      <c r="I97" s="96" t="n">
        <v>1</v>
      </c>
      <c r="J97" s="96" t="n">
        <v>2</v>
      </c>
      <c r="K97" s="85" t="n">
        <v>5</v>
      </c>
      <c r="L97" s="85" t="n">
        <v>6</v>
      </c>
      <c r="M97" s="85" t="n">
        <v>4</v>
      </c>
      <c r="N97" s="75"/>
      <c r="O97" s="85" t="n">
        <v>5</v>
      </c>
      <c r="P97" s="85" t="n">
        <v>6</v>
      </c>
      <c r="Q97" s="85" t="n">
        <v>5</v>
      </c>
      <c r="R97" s="85" t="n">
        <v>5</v>
      </c>
      <c r="S97" s="85" t="n">
        <v>5</v>
      </c>
      <c r="T97" s="85" t="n">
        <v>6</v>
      </c>
      <c r="U97" s="85" t="n">
        <v>6</v>
      </c>
      <c r="V97" s="85" t="n">
        <v>5</v>
      </c>
      <c r="W97" s="85" t="n">
        <v>5</v>
      </c>
      <c r="X97" s="85" t="n">
        <v>7</v>
      </c>
      <c r="Y97" s="497" t="n">
        <v>46240.64660359954</v>
      </c>
      <c r="Z97" s="497" t="n">
        <v>46240.64754715278</v>
      </c>
      <c r="AA97" s="500" t="n">
        <v>81.5</v>
      </c>
      <c r="AB97" s="85" t="str">
        <v>是</v>
      </c>
      <c r="AC97" s="85" t="str">
        <v>是</v>
      </c>
      <c r="AD97" s="85" t="str">
        <v>是</v>
      </c>
      <c r="AE97" s="85" t="str">
        <v>无</v>
      </c>
      <c r="AF97" s="503" t="n">
        <v>12.52</v>
      </c>
      <c r="AG97" s="503" t="n">
        <v>0.822</v>
      </c>
      <c r="AH97" s="503" t="n">
        <v>0.89</v>
      </c>
      <c r="AI97" s="503" t="n">
        <v>0.999</v>
      </c>
      <c r="AJ97" s="503" t="n">
        <v>0.705</v>
      </c>
      <c r="AK97" s="78" t="str">
        <v>FrozenUncertain</v>
      </c>
      <c r="AL97" s="78" t="str">
        <v>否</v>
      </c>
      <c r="AM97" s="506" t="n">
        <v>1</v>
      </c>
      <c r="AN97" s="506" t="n">
        <v>4</v>
      </c>
      <c r="AO97" s="218" t="str"/>
    </row>
    <row r="98" ht="24" customHeight="1">
      <c r="A98" s="65" t="inlineStr">
        <is>
          <t xml:space="preserve">P016</t>
        </is>
      </c>
      <c r="B98" s="96" t="n">
        <v>4</v>
      </c>
      <c r="C98" s="96" t="inlineStr">
        <is>
          <t xml:space="preserve">O4-S1-OE</t>
        </is>
      </c>
      <c r="D98" s="96" t="n">
        <v>2</v>
      </c>
      <c r="E98" s="96" t="inlineStr">
        <is>
          <t xml:space="preserve">游戏手柄</t>
        </is>
      </c>
      <c r="F98" s="96" t="inlineStr">
        <is>
          <t xml:space="preserve">gamepad</t>
        </is>
      </c>
      <c r="G98" s="96" t="inlineStr">
        <is>
          <t xml:space="preserve">方法A</t>
        </is>
      </c>
      <c r="H98" s="96" t="inlineStr">
        <is>
          <t xml:space="preserve">One-Euro</t>
        </is>
      </c>
      <c r="I98" s="96" t="n">
        <v>2</v>
      </c>
      <c r="J98" s="96" t="n">
        <v>2</v>
      </c>
      <c r="K98" s="85" t="n">
        <v>5</v>
      </c>
      <c r="L98" s="85" t="n">
        <v>4</v>
      </c>
      <c r="M98" s="85" t="n">
        <v>4</v>
      </c>
      <c r="N98" s="75"/>
      <c r="O98" s="85" t="n">
        <v>4</v>
      </c>
      <c r="P98" s="85" t="n">
        <v>6</v>
      </c>
      <c r="Q98" s="85" t="n">
        <v>4</v>
      </c>
      <c r="R98" s="85" t="n">
        <v>4</v>
      </c>
      <c r="S98" s="85" t="n">
        <v>6</v>
      </c>
      <c r="T98" s="85" t="n">
        <v>3</v>
      </c>
      <c r="U98" s="85" t="n">
        <v>5</v>
      </c>
      <c r="V98" s="85" t="n">
        <v>5</v>
      </c>
      <c r="W98" s="85" t="n">
        <v>3</v>
      </c>
      <c r="X98" s="85" t="n">
        <v>3</v>
      </c>
      <c r="Y98" s="497" t="n">
        <v>46240.64856715278</v>
      </c>
      <c r="Z98" s="497" t="n">
        <v>46240.64974689815</v>
      </c>
      <c r="AA98" s="500" t="n">
        <v>101.9</v>
      </c>
      <c r="AB98" s="85" t="str">
        <v>是</v>
      </c>
      <c r="AC98" s="85" t="str">
        <v>是</v>
      </c>
      <c r="AD98" s="85" t="str">
        <v>是</v>
      </c>
      <c r="AE98" s="85" t="str">
        <v>无</v>
      </c>
      <c r="AF98" s="503" t="n">
        <v>12.24</v>
      </c>
      <c r="AG98" s="503" t="n">
        <v>0.782</v>
      </c>
      <c r="AH98" s="503" t="n">
        <v>0.855</v>
      </c>
      <c r="AI98" s="503" t="n">
        <v>0.992</v>
      </c>
      <c r="AJ98" s="503" t="n">
        <v>0.68</v>
      </c>
      <c r="AK98" s="78" t="str">
        <v>FrozenUncertain</v>
      </c>
      <c r="AL98" s="78" t="str">
        <v>否</v>
      </c>
      <c r="AM98" s="506" t="n">
        <v>1</v>
      </c>
      <c r="AN98" s="506" t="n">
        <v>0</v>
      </c>
      <c r="AO98" s="218" t="str"/>
    </row>
    <row r="99" ht="24" customHeight="1">
      <c r="A99" s="65" t="inlineStr">
        <is>
          <t xml:space="preserve">P016</t>
        </is>
      </c>
      <c r="B99" s="96" t="n">
        <v>5</v>
      </c>
      <c r="C99" s="96" t="inlineStr">
        <is>
          <t xml:space="preserve">O4-S1-OE</t>
        </is>
      </c>
      <c r="D99" s="96" t="n">
        <v>3</v>
      </c>
      <c r="E99" s="96" t="inlineStr">
        <is>
          <t xml:space="preserve">鼠标</t>
        </is>
      </c>
      <c r="F99" s="96" t="inlineStr">
        <is>
          <t xml:space="preserve">blue_mouse</t>
        </is>
      </c>
      <c r="G99" s="96" t="inlineStr">
        <is>
          <t xml:space="preserve">方法A</t>
        </is>
      </c>
      <c r="H99" s="96" t="inlineStr">
        <is>
          <t xml:space="preserve">One-Euro</t>
        </is>
      </c>
      <c r="I99" s="96" t="n">
        <v>1</v>
      </c>
      <c r="J99" s="96" t="n">
        <v>3</v>
      </c>
      <c r="K99" s="85" t="n">
        <v>5</v>
      </c>
      <c r="L99" s="85" t="n">
        <v>5</v>
      </c>
      <c r="M99" s="85" t="n">
        <v>4</v>
      </c>
      <c r="N99" s="75"/>
      <c r="O99" s="85" t="n">
        <v>5</v>
      </c>
      <c r="P99" s="85" t="n">
        <v>6</v>
      </c>
      <c r="Q99" s="85" t="n">
        <v>5</v>
      </c>
      <c r="R99" s="85" t="n">
        <v>4</v>
      </c>
      <c r="S99" s="85" t="n">
        <v>4</v>
      </c>
      <c r="T99" s="85" t="n">
        <v>5</v>
      </c>
      <c r="U99" s="85" t="n">
        <v>4</v>
      </c>
      <c r="V99" s="85" t="n">
        <v>5</v>
      </c>
      <c r="W99" s="85" t="n">
        <v>4</v>
      </c>
      <c r="X99" s="85" t="n">
        <v>5</v>
      </c>
      <c r="Y99" s="497" t="n">
        <v>46240.650551342595</v>
      </c>
      <c r="Z99" s="497" t="n">
        <v>46240.65148784722</v>
      </c>
      <c r="AA99" s="500" t="n">
        <v>80.9</v>
      </c>
      <c r="AB99" s="85" t="str">
        <v>是</v>
      </c>
      <c r="AC99" s="85" t="str">
        <v>是</v>
      </c>
      <c r="AD99" s="85" t="str">
        <v>是</v>
      </c>
      <c r="AE99" s="85" t="str">
        <v>无</v>
      </c>
      <c r="AF99" s="503" t="n">
        <v>11.93</v>
      </c>
      <c r="AG99" s="503" t="n">
        <v>0.812</v>
      </c>
      <c r="AH99" s="503" t="n">
        <v>0.892</v>
      </c>
      <c r="AI99" s="503" t="n">
        <v>0.983</v>
      </c>
      <c r="AJ99" s="503" t="n">
        <v>0.845</v>
      </c>
      <c r="AK99" s="78" t="str">
        <v>FrozenUncertain</v>
      </c>
      <c r="AL99" s="78" t="str">
        <v>否</v>
      </c>
      <c r="AM99" s="506" t="n">
        <v>1</v>
      </c>
      <c r="AN99" s="506" t="n">
        <v>0</v>
      </c>
      <c r="AO99" s="218" t="str"/>
    </row>
    <row r="100" ht="24" customHeight="1">
      <c r="A100" s="262" t="inlineStr">
        <is>
          <t xml:space="preserve">P016</t>
        </is>
      </c>
      <c r="B100" s="263" t="n">
        <v>6</v>
      </c>
      <c r="C100" s="263" t="inlineStr">
        <is>
          <t xml:space="preserve">O4-S1-OE</t>
        </is>
      </c>
      <c r="D100" s="263" t="n">
        <v>3</v>
      </c>
      <c r="E100" s="263" t="inlineStr">
        <is>
          <t xml:space="preserve">鼠标</t>
        </is>
      </c>
      <c r="F100" s="263" t="inlineStr">
        <is>
          <t xml:space="preserve">blue_mouse</t>
        </is>
      </c>
      <c r="G100" s="263" t="inlineStr">
        <is>
          <t xml:space="preserve">方法B</t>
        </is>
      </c>
      <c r="H100" s="263" t="inlineStr">
        <is>
          <t xml:space="preserve">EgoAnchor</t>
        </is>
      </c>
      <c r="I100" s="263" t="n">
        <v>2</v>
      </c>
      <c r="J100" s="263" t="n">
        <v>3</v>
      </c>
      <c r="K100" s="266" t="n">
        <v>3</v>
      </c>
      <c r="L100" s="266" t="n">
        <v>5</v>
      </c>
      <c r="M100" s="266" t="n">
        <v>6</v>
      </c>
      <c r="N100" s="278"/>
      <c r="O100" s="266" t="n">
        <v>5</v>
      </c>
      <c r="P100" s="266" t="n">
        <v>6</v>
      </c>
      <c r="Q100" s="266" t="n">
        <v>5</v>
      </c>
      <c r="R100" s="266" t="n">
        <v>4</v>
      </c>
      <c r="S100" s="266" t="n">
        <v>5</v>
      </c>
      <c r="T100" s="266" t="n">
        <v>4</v>
      </c>
      <c r="U100" s="266" t="n">
        <v>6</v>
      </c>
      <c r="V100" s="266" t="n">
        <v>4</v>
      </c>
      <c r="W100" s="266" t="n">
        <v>4</v>
      </c>
      <c r="X100" s="266" t="n">
        <v>4</v>
      </c>
      <c r="Y100" s="498" t="n">
        <v>46240.65242259259</v>
      </c>
      <c r="Z100" s="498" t="n">
        <v>46240.653634386574</v>
      </c>
      <c r="AA100" s="501" t="n">
        <v>104.7</v>
      </c>
      <c r="AB100" s="266" t="str">
        <v>是</v>
      </c>
      <c r="AC100" s="266" t="str">
        <v>是</v>
      </c>
      <c r="AD100" s="266" t="str">
        <v>是</v>
      </c>
      <c r="AE100" s="266" t="str">
        <v>无</v>
      </c>
      <c r="AF100" s="504" t="n">
        <v>12.79</v>
      </c>
      <c r="AG100" s="504" t="n">
        <v>0.78</v>
      </c>
      <c r="AH100" s="504" t="n">
        <v>0.894</v>
      </c>
      <c r="AI100" s="504" t="n">
        <v>0.992</v>
      </c>
      <c r="AJ100" s="504" t="n">
        <v>0.771</v>
      </c>
      <c r="AK100" s="279" t="str">
        <v>FrozenUncertain</v>
      </c>
      <c r="AL100" s="279" t="str">
        <v>否</v>
      </c>
      <c r="AM100" s="507" t="n">
        <v>1</v>
      </c>
      <c r="AN100" s="507" t="n">
        <v>3</v>
      </c>
      <c r="AO100" s="279" t="str"/>
    </row>
    <row r="101" ht="24" customHeight="1">
      <c r="A101" s="65" t="inlineStr">
        <is>
          <t xml:space="preserve">P017</t>
        </is>
      </c>
      <c r="B101" s="96" t="n">
        <v>1</v>
      </c>
      <c r="C101" s="96" t="inlineStr">
        <is>
          <t xml:space="preserve">O5-S1-EA</t>
        </is>
      </c>
      <c r="D101" s="96" t="n">
        <v>1</v>
      </c>
      <c r="E101" s="96" t="inlineStr">
        <is>
          <t xml:space="preserve">游戏手柄</t>
        </is>
      </c>
      <c r="F101" s="96" t="inlineStr">
        <is>
          <t xml:space="preserve">gamepad</t>
        </is>
      </c>
      <c r="G101" s="96" t="inlineStr">
        <is>
          <t xml:space="preserve">方法A</t>
        </is>
      </c>
      <c r="H101" s="96" t="inlineStr">
        <is>
          <t xml:space="preserve">EgoAnchor</t>
        </is>
      </c>
      <c r="I101" s="96" t="n">
        <v>1</v>
      </c>
      <c r="J101" s="96" t="n">
        <v>1</v>
      </c>
      <c r="K101" s="85" t="n">
        <v>5</v>
      </c>
      <c r="L101" s="85" t="n">
        <v>4</v>
      </c>
      <c r="M101" s="85" t="n">
        <v>4</v>
      </c>
      <c r="N101" s="75"/>
      <c r="O101" s="85" t="n">
        <v>3</v>
      </c>
      <c r="P101" s="85" t="n">
        <v>4</v>
      </c>
      <c r="Q101" s="85" t="n">
        <v>4</v>
      </c>
      <c r="R101" s="85" t="n">
        <v>5</v>
      </c>
      <c r="S101" s="85" t="n">
        <v>4</v>
      </c>
      <c r="T101" s="85" t="n">
        <v>4</v>
      </c>
      <c r="U101" s="85" t="n">
        <v>3</v>
      </c>
      <c r="V101" s="85" t="n">
        <v>4</v>
      </c>
      <c r="W101" s="85" t="n">
        <v>4</v>
      </c>
      <c r="X101" s="85" t="n">
        <v>4</v>
      </c>
      <c r="Y101" s="497" t="n">
        <v>46241.38726728009</v>
      </c>
      <c r="Z101" s="497" t="n">
        <v>46241.38832978009</v>
      </c>
      <c r="AA101" s="500" t="n">
        <v>91.8</v>
      </c>
      <c r="AB101" s="85" t="str">
        <v>是</v>
      </c>
      <c r="AC101" s="85" t="str">
        <v>是</v>
      </c>
      <c r="AD101" s="85" t="str">
        <v>是</v>
      </c>
      <c r="AE101" s="85" t="str">
        <v>无</v>
      </c>
      <c r="AF101" s="503" t="n">
        <v>12.23</v>
      </c>
      <c r="AG101" s="503" t="n">
        <v>0.776</v>
      </c>
      <c r="AH101" s="503" t="n">
        <v>0.89</v>
      </c>
      <c r="AI101" s="503" t="n">
        <v>0.992</v>
      </c>
      <c r="AJ101" s="503" t="n">
        <v>0.755</v>
      </c>
      <c r="AK101" s="78" t="str">
        <v>FrozenUncertain</v>
      </c>
      <c r="AL101" s="78" t="str">
        <v>否</v>
      </c>
      <c r="AM101" s="506" t="n">
        <v>1</v>
      </c>
      <c r="AN101" s="506" t="n">
        <v>2</v>
      </c>
      <c r="AO101" s="218" t="str"/>
    </row>
    <row r="102" ht="24" customHeight="1">
      <c r="A102" s="65" t="inlineStr">
        <is>
          <t xml:space="preserve">P017</t>
        </is>
      </c>
      <c r="B102" s="96" t="n">
        <v>2</v>
      </c>
      <c r="C102" s="96" t="inlineStr">
        <is>
          <t xml:space="preserve">O5-S1-EA</t>
        </is>
      </c>
      <c r="D102" s="96" t="n">
        <v>1</v>
      </c>
      <c r="E102" s="96" t="inlineStr">
        <is>
          <t xml:space="preserve">游戏手柄</t>
        </is>
      </c>
      <c r="F102" s="96" t="inlineStr">
        <is>
          <t xml:space="preserve">gamepad</t>
        </is>
      </c>
      <c r="G102" s="96" t="inlineStr">
        <is>
          <t xml:space="preserve">方法B</t>
        </is>
      </c>
      <c r="H102" s="96" t="inlineStr">
        <is>
          <t xml:space="preserve">One-Euro</t>
        </is>
      </c>
      <c r="I102" s="96" t="n">
        <v>2</v>
      </c>
      <c r="J102" s="96" t="n">
        <v>1</v>
      </c>
      <c r="K102" s="85" t="n">
        <v>3</v>
      </c>
      <c r="L102" s="85" t="n">
        <v>4</v>
      </c>
      <c r="M102" s="85" t="n">
        <v>4</v>
      </c>
      <c r="N102" s="75"/>
      <c r="O102" s="85" t="n">
        <v>5</v>
      </c>
      <c r="P102" s="85" t="n">
        <v>4</v>
      </c>
      <c r="Q102" s="85" t="n">
        <v>4</v>
      </c>
      <c r="R102" s="85" t="n">
        <v>3</v>
      </c>
      <c r="S102" s="85" t="n">
        <v>4</v>
      </c>
      <c r="T102" s="85" t="n">
        <v>3</v>
      </c>
      <c r="U102" s="85" t="n">
        <v>4</v>
      </c>
      <c r="V102" s="85" t="n">
        <v>5</v>
      </c>
      <c r="W102" s="85" t="n">
        <v>3</v>
      </c>
      <c r="X102" s="85" t="n">
        <v>4</v>
      </c>
      <c r="Y102" s="497" t="n">
        <v>46241.389191574075</v>
      </c>
      <c r="Z102" s="497" t="n">
        <v>46241.390072800925</v>
      </c>
      <c r="AA102" s="500" t="n">
        <v>76.1</v>
      </c>
      <c r="AB102" s="85" t="str">
        <v>是</v>
      </c>
      <c r="AC102" s="85" t="str">
        <v>是</v>
      </c>
      <c r="AD102" s="85" t="str">
        <v>是</v>
      </c>
      <c r="AE102" s="85" t="str">
        <v>无</v>
      </c>
      <c r="AF102" s="503" t="n">
        <v>13.67</v>
      </c>
      <c r="AG102" s="503" t="n">
        <v>0.735</v>
      </c>
      <c r="AH102" s="503" t="n">
        <v>0.848</v>
      </c>
      <c r="AI102" s="503" t="n">
        <v>0.995</v>
      </c>
      <c r="AJ102" s="503" t="n">
        <v>0.73</v>
      </c>
      <c r="AK102" s="78" t="str">
        <v>FrozenUncertain</v>
      </c>
      <c r="AL102" s="78" t="str">
        <v>否</v>
      </c>
      <c r="AM102" s="506" t="n">
        <v>1</v>
      </c>
      <c r="AN102" s="506" t="n">
        <v>0</v>
      </c>
      <c r="AO102" s="218" t="str">
        <v>遮挡恢复后出现一次小跳变</v>
      </c>
    </row>
    <row r="103" ht="24" customHeight="1">
      <c r="A103" s="65" t="inlineStr">
        <is>
          <t xml:space="preserve">P017</t>
        </is>
      </c>
      <c r="B103" s="96" t="n">
        <v>3</v>
      </c>
      <c r="C103" s="96" t="inlineStr">
        <is>
          <t xml:space="preserve">O5-S1-EA</t>
        </is>
      </c>
      <c r="D103" s="96" t="n">
        <v>2</v>
      </c>
      <c r="E103" s="96" t="inlineStr">
        <is>
          <t xml:space="preserve">鼠标</t>
        </is>
      </c>
      <c r="F103" s="96" t="inlineStr">
        <is>
          <t xml:space="preserve">blue_mouse</t>
        </is>
      </c>
      <c r="G103" s="96" t="inlineStr">
        <is>
          <t xml:space="preserve">方法B</t>
        </is>
      </c>
      <c r="H103" s="96" t="inlineStr">
        <is>
          <t xml:space="preserve">One-Euro</t>
        </is>
      </c>
      <c r="I103" s="96" t="n">
        <v>1</v>
      </c>
      <c r="J103" s="96" t="n">
        <v>2</v>
      </c>
      <c r="K103" s="85" t="n">
        <v>3</v>
      </c>
      <c r="L103" s="85" t="n">
        <v>4</v>
      </c>
      <c r="M103" s="85" t="n">
        <v>5</v>
      </c>
      <c r="N103" s="75"/>
      <c r="O103" s="85" t="n">
        <v>4</v>
      </c>
      <c r="P103" s="85" t="n">
        <v>3</v>
      </c>
      <c r="Q103" s="85" t="n">
        <v>4</v>
      </c>
      <c r="R103" s="85" t="n">
        <v>2</v>
      </c>
      <c r="S103" s="85" t="n">
        <v>3</v>
      </c>
      <c r="T103" s="85" t="n">
        <v>3</v>
      </c>
      <c r="U103" s="85" t="n">
        <v>3</v>
      </c>
      <c r="V103" s="85" t="n">
        <v>5</v>
      </c>
      <c r="W103" s="85" t="n">
        <v>4</v>
      </c>
      <c r="X103" s="85" t="n">
        <v>4</v>
      </c>
      <c r="Y103" s="497" t="n">
        <v>46241.39089423611</v>
      </c>
      <c r="Z103" s="497" t="n">
        <v>46241.391842337965</v>
      </c>
      <c r="AA103" s="500" t="n">
        <v>81.9</v>
      </c>
      <c r="AB103" s="85" t="str">
        <v>是</v>
      </c>
      <c r="AC103" s="85" t="str">
        <v>是</v>
      </c>
      <c r="AD103" s="85" t="str">
        <v>是</v>
      </c>
      <c r="AE103" s="85" t="str">
        <v>无</v>
      </c>
      <c r="AF103" s="503" t="n">
        <v>13.02</v>
      </c>
      <c r="AG103" s="503" t="n">
        <v>0.763</v>
      </c>
      <c r="AH103" s="503" t="n">
        <v>0.862</v>
      </c>
      <c r="AI103" s="503" t="n">
        <v>0.981</v>
      </c>
      <c r="AJ103" s="503" t="n">
        <v>0.738</v>
      </c>
      <c r="AK103" s="78" t="str">
        <v>FrozenUncertain</v>
      </c>
      <c r="AL103" s="78" t="str">
        <v>否</v>
      </c>
      <c r="AM103" s="506" t="n">
        <v>1</v>
      </c>
      <c r="AN103" s="506" t="n">
        <v>0</v>
      </c>
      <c r="AO103" s="218" t="str">
        <v>静止阶段可见轻微抖动</v>
      </c>
    </row>
    <row r="104" ht="24" customHeight="1">
      <c r="A104" s="65" t="inlineStr">
        <is>
          <t xml:space="preserve">P017</t>
        </is>
      </c>
      <c r="B104" s="96" t="n">
        <v>4</v>
      </c>
      <c r="C104" s="96" t="inlineStr">
        <is>
          <t xml:space="preserve">O5-S1-EA</t>
        </is>
      </c>
      <c r="D104" s="96" t="n">
        <v>2</v>
      </c>
      <c r="E104" s="96" t="inlineStr">
        <is>
          <t xml:space="preserve">鼠标</t>
        </is>
      </c>
      <c r="F104" s="96" t="inlineStr">
        <is>
          <t xml:space="preserve">blue_mouse</t>
        </is>
      </c>
      <c r="G104" s="96" t="inlineStr">
        <is>
          <t xml:space="preserve">方法A</t>
        </is>
      </c>
      <c r="H104" s="96" t="inlineStr">
        <is>
          <t xml:space="preserve">EgoAnchor</t>
        </is>
      </c>
      <c r="I104" s="96" t="n">
        <v>2</v>
      </c>
      <c r="J104" s="96" t="n">
        <v>2</v>
      </c>
      <c r="K104" s="85" t="n">
        <v>4</v>
      </c>
      <c r="L104" s="85" t="n">
        <v>4</v>
      </c>
      <c r="M104" s="85" t="n">
        <v>5</v>
      </c>
      <c r="N104" s="75"/>
      <c r="O104" s="85" t="n">
        <v>4</v>
      </c>
      <c r="P104" s="85" t="n">
        <v>5</v>
      </c>
      <c r="Q104" s="85" t="n">
        <v>4</v>
      </c>
      <c r="R104" s="85" t="n">
        <v>3</v>
      </c>
      <c r="S104" s="85" t="n">
        <v>5</v>
      </c>
      <c r="T104" s="85" t="n">
        <v>6</v>
      </c>
      <c r="U104" s="85" t="n">
        <v>4</v>
      </c>
      <c r="V104" s="85" t="n">
        <v>4</v>
      </c>
      <c r="W104" s="85" t="n">
        <v>5</v>
      </c>
      <c r="X104" s="85" t="n">
        <v>4</v>
      </c>
      <c r="Y104" s="497" t="n">
        <v>46241.39260974537</v>
      </c>
      <c r="Z104" s="497" t="n">
        <v>46241.393840358796</v>
      </c>
      <c r="AA104" s="500" t="n">
        <v>106.3</v>
      </c>
      <c r="AB104" s="85" t="str">
        <v>是</v>
      </c>
      <c r="AC104" s="85" t="str">
        <v>是</v>
      </c>
      <c r="AD104" s="85" t="str">
        <v>是</v>
      </c>
      <c r="AE104" s="85" t="str">
        <v>无</v>
      </c>
      <c r="AF104" s="503" t="n">
        <v>12.6</v>
      </c>
      <c r="AG104" s="503" t="n">
        <v>0.779</v>
      </c>
      <c r="AH104" s="503" t="n">
        <v>0.845</v>
      </c>
      <c r="AI104" s="503" t="n">
        <v>0.991</v>
      </c>
      <c r="AJ104" s="503" t="n">
        <v>0.735</v>
      </c>
      <c r="AK104" s="78" t="str">
        <v>FrozenUncertain</v>
      </c>
      <c r="AL104" s="78" t="str">
        <v>否</v>
      </c>
      <c r="AM104" s="506" t="n">
        <v>1</v>
      </c>
      <c r="AN104" s="506" t="n">
        <v>2</v>
      </c>
      <c r="AO104" s="218" t="str"/>
    </row>
    <row r="105" ht="24" customHeight="1">
      <c r="A105" s="65" t="inlineStr">
        <is>
          <t xml:space="preserve">P017</t>
        </is>
      </c>
      <c r="B105" s="96" t="n">
        <v>5</v>
      </c>
      <c r="C105" s="96" t="inlineStr">
        <is>
          <t xml:space="preserve">O5-S1-EA</t>
        </is>
      </c>
      <c r="D105" s="96" t="n">
        <v>3</v>
      </c>
      <c r="E105" s="96" t="inlineStr">
        <is>
          <t xml:space="preserve">固定订书机</t>
        </is>
      </c>
      <c r="F105" s="96" t="inlineStr">
        <is>
          <t xml:space="preserve">stapler</t>
        </is>
      </c>
      <c r="G105" s="96" t="inlineStr">
        <is>
          <t xml:space="preserve">方法A</t>
        </is>
      </c>
      <c r="H105" s="96" t="inlineStr">
        <is>
          <t xml:space="preserve">EgoAnchor</t>
        </is>
      </c>
      <c r="I105" s="96" t="n">
        <v>1</v>
      </c>
      <c r="J105" s="96" t="n">
        <v>3</v>
      </c>
      <c r="K105" s="85" t="n">
        <v>4</v>
      </c>
      <c r="L105" s="85" t="n">
        <v>5</v>
      </c>
      <c r="M105" s="85" t="n">
        <v>4</v>
      </c>
      <c r="N105" s="75"/>
      <c r="O105" s="85" t="n">
        <v>4</v>
      </c>
      <c r="P105" s="85" t="n">
        <v>5</v>
      </c>
      <c r="Q105" s="85" t="n">
        <v>5</v>
      </c>
      <c r="R105" s="85" t="n">
        <v>4</v>
      </c>
      <c r="S105" s="85" t="n">
        <v>4</v>
      </c>
      <c r="T105" s="85" t="n">
        <v>4</v>
      </c>
      <c r="U105" s="85" t="n">
        <v>4</v>
      </c>
      <c r="V105" s="85" t="n">
        <v>4</v>
      </c>
      <c r="W105" s="85" t="n">
        <v>4</v>
      </c>
      <c r="X105" s="85" t="n">
        <v>4</v>
      </c>
      <c r="Y105" s="497" t="n">
        <v>46241.39494663195</v>
      </c>
      <c r="Z105" s="497" t="n">
        <v>46241.39622934028</v>
      </c>
      <c r="AA105" s="500" t="n">
        <v>110.8</v>
      </c>
      <c r="AB105" s="85" t="str">
        <v>是</v>
      </c>
      <c r="AC105" s="85" t="str">
        <v>是</v>
      </c>
      <c r="AD105" s="85" t="str">
        <v>是</v>
      </c>
      <c r="AE105" s="85" t="str">
        <v>无</v>
      </c>
      <c r="AF105" s="503" t="n">
        <v>12.94</v>
      </c>
      <c r="AG105" s="503" t="n">
        <v>0.855</v>
      </c>
      <c r="AH105" s="503" t="n">
        <v>0.86</v>
      </c>
      <c r="AI105" s="503" t="n">
        <v>0.981</v>
      </c>
      <c r="AJ105" s="503" t="n">
        <v>0.724</v>
      </c>
      <c r="AK105" s="78" t="str">
        <v>FrozenUncertain</v>
      </c>
      <c r="AL105" s="78" t="str">
        <v>否</v>
      </c>
      <c r="AM105" s="506" t="n">
        <v>0</v>
      </c>
      <c r="AN105" s="506" t="n">
        <v>4</v>
      </c>
      <c r="AO105" s="218" t="str">
        <v>拿起时感觉略有滞后</v>
      </c>
    </row>
    <row r="106" ht="24" customHeight="1">
      <c r="A106" s="262" t="inlineStr">
        <is>
          <t xml:space="preserve">P017</t>
        </is>
      </c>
      <c r="B106" s="263" t="n">
        <v>6</v>
      </c>
      <c r="C106" s="263" t="inlineStr">
        <is>
          <t xml:space="preserve">O5-S1-EA</t>
        </is>
      </c>
      <c r="D106" s="263" t="n">
        <v>3</v>
      </c>
      <c r="E106" s="263" t="inlineStr">
        <is>
          <t xml:space="preserve">固定订书机</t>
        </is>
      </c>
      <c r="F106" s="263" t="inlineStr">
        <is>
          <t xml:space="preserve">stapler</t>
        </is>
      </c>
      <c r="G106" s="263" t="inlineStr">
        <is>
          <t xml:space="preserve">方法B</t>
        </is>
      </c>
      <c r="H106" s="263" t="inlineStr">
        <is>
          <t xml:space="preserve">One-Euro</t>
        </is>
      </c>
      <c r="I106" s="263" t="n">
        <v>2</v>
      </c>
      <c r="J106" s="263" t="n">
        <v>3</v>
      </c>
      <c r="K106" s="266" t="n">
        <v>4</v>
      </c>
      <c r="L106" s="266" t="n">
        <v>6</v>
      </c>
      <c r="M106" s="266" t="n">
        <v>5</v>
      </c>
      <c r="N106" s="278"/>
      <c r="O106" s="266" t="n">
        <v>5</v>
      </c>
      <c r="P106" s="266" t="n">
        <v>4</v>
      </c>
      <c r="Q106" s="266" t="n">
        <v>3</v>
      </c>
      <c r="R106" s="266" t="n">
        <v>4</v>
      </c>
      <c r="S106" s="266" t="n">
        <v>4</v>
      </c>
      <c r="T106" s="266" t="n">
        <v>4</v>
      </c>
      <c r="U106" s="266" t="n">
        <v>3</v>
      </c>
      <c r="V106" s="266" t="n">
        <v>4</v>
      </c>
      <c r="W106" s="266" t="n">
        <v>3</v>
      </c>
      <c r="X106" s="266" t="n">
        <v>4</v>
      </c>
      <c r="Y106" s="498" t="n">
        <v>46241.39718767361</v>
      </c>
      <c r="Z106" s="498" t="n">
        <v>46241.39817237268</v>
      </c>
      <c r="AA106" s="501" t="n">
        <v>85.1</v>
      </c>
      <c r="AB106" s="266" t="str">
        <v>是</v>
      </c>
      <c r="AC106" s="266" t="str">
        <v>是</v>
      </c>
      <c r="AD106" s="266" t="str">
        <v>是</v>
      </c>
      <c r="AE106" s="266" t="str">
        <v>无</v>
      </c>
      <c r="AF106" s="504" t="n">
        <v>12.82</v>
      </c>
      <c r="AG106" s="504" t="n">
        <v>0.837</v>
      </c>
      <c r="AH106" s="504" t="n">
        <v>0.889</v>
      </c>
      <c r="AI106" s="504" t="n">
        <v>0.987</v>
      </c>
      <c r="AJ106" s="504" t="n">
        <v>0.781</v>
      </c>
      <c r="AK106" s="279" t="str">
        <v>FrozenUncertain</v>
      </c>
      <c r="AL106" s="279" t="str">
        <v>否</v>
      </c>
      <c r="AM106" s="507" t="n">
        <v>1</v>
      </c>
      <c r="AN106" s="507" t="n">
        <v>0</v>
      </c>
      <c r="AO106" s="279" t="str">
        <v>遮挡恢复后出现一次小跳变</v>
      </c>
    </row>
    <row r="107" ht="24" customHeight="1">
      <c r="A107" s="65" t="inlineStr">
        <is>
          <t xml:space="preserve">P018</t>
        </is>
      </c>
      <c r="B107" s="96" t="n">
        <v>1</v>
      </c>
      <c r="C107" s="96" t="inlineStr">
        <is>
          <t xml:space="preserve">O5-S2-EA</t>
        </is>
      </c>
      <c r="D107" s="96" t="n">
        <v>1</v>
      </c>
      <c r="E107" s="96" t="inlineStr">
        <is>
          <t xml:space="preserve">游戏手柄</t>
        </is>
      </c>
      <c r="F107" s="96" t="inlineStr">
        <is>
          <t xml:space="preserve">gamepad</t>
        </is>
      </c>
      <c r="G107" s="96" t="inlineStr">
        <is>
          <t xml:space="preserve">方法B</t>
        </is>
      </c>
      <c r="H107" s="96" t="inlineStr">
        <is>
          <t xml:space="preserve">One-Euro</t>
        </is>
      </c>
      <c r="I107" s="96" t="n">
        <v>1</v>
      </c>
      <c r="J107" s="96" t="n">
        <v>1</v>
      </c>
      <c r="K107" s="85" t="n">
        <v>4</v>
      </c>
      <c r="L107" s="85" t="n">
        <v>5</v>
      </c>
      <c r="M107" s="85" t="n">
        <v>4</v>
      </c>
      <c r="N107" s="75"/>
      <c r="O107" s="85" t="n">
        <v>5</v>
      </c>
      <c r="P107" s="85" t="n">
        <v>4</v>
      </c>
      <c r="Q107" s="85" t="n">
        <v>4</v>
      </c>
      <c r="R107" s="85" t="n">
        <v>3</v>
      </c>
      <c r="S107" s="85" t="n">
        <v>6</v>
      </c>
      <c r="T107" s="85" t="n">
        <v>5</v>
      </c>
      <c r="U107" s="85" t="n">
        <v>4</v>
      </c>
      <c r="V107" s="85" t="n">
        <v>4</v>
      </c>
      <c r="W107" s="85" t="n">
        <v>5</v>
      </c>
      <c r="X107" s="85" t="n">
        <v>4</v>
      </c>
      <c r="Y107" s="497" t="n">
        <v>46241.459478703706</v>
      </c>
      <c r="Z107" s="497" t="n">
        <v>46241.460437615744</v>
      </c>
      <c r="AA107" s="500" t="n">
        <v>82.8</v>
      </c>
      <c r="AB107" s="85" t="str">
        <v>是</v>
      </c>
      <c r="AC107" s="85" t="str">
        <v>是</v>
      </c>
      <c r="AD107" s="85" t="str">
        <v>是</v>
      </c>
      <c r="AE107" s="85" t="str">
        <v>无</v>
      </c>
      <c r="AF107" s="503" t="n">
        <v>14.11</v>
      </c>
      <c r="AG107" s="503" t="n">
        <v>0.774</v>
      </c>
      <c r="AH107" s="503" t="n">
        <v>0.876</v>
      </c>
      <c r="AI107" s="503" t="n">
        <v>0.986</v>
      </c>
      <c r="AJ107" s="503" t="n">
        <v>0.74</v>
      </c>
      <c r="AK107" s="78" t="str">
        <v>FrozenUncertain</v>
      </c>
      <c r="AL107" s="78" t="str">
        <v>否</v>
      </c>
      <c r="AM107" s="506" t="n">
        <v>1</v>
      </c>
      <c r="AN107" s="506" t="n">
        <v>0</v>
      </c>
      <c r="AO107" s="218" t="str">
        <v>静止阶段可见轻微抖动</v>
      </c>
    </row>
    <row r="108" ht="24" customHeight="1">
      <c r="A108" s="65" t="inlineStr">
        <is>
          <t xml:space="preserve">P018</t>
        </is>
      </c>
      <c r="B108" s="96" t="n">
        <v>2</v>
      </c>
      <c r="C108" s="96" t="inlineStr">
        <is>
          <t xml:space="preserve">O5-S2-EA</t>
        </is>
      </c>
      <c r="D108" s="96" t="n">
        <v>1</v>
      </c>
      <c r="E108" s="96" t="inlineStr">
        <is>
          <t xml:space="preserve">游戏手柄</t>
        </is>
      </c>
      <c r="F108" s="96" t="inlineStr">
        <is>
          <t xml:space="preserve">gamepad</t>
        </is>
      </c>
      <c r="G108" s="96" t="inlineStr">
        <is>
          <t xml:space="preserve">方法A</t>
        </is>
      </c>
      <c r="H108" s="96" t="inlineStr">
        <is>
          <t xml:space="preserve">EgoAnchor</t>
        </is>
      </c>
      <c r="I108" s="96" t="n">
        <v>2</v>
      </c>
      <c r="J108" s="96" t="n">
        <v>1</v>
      </c>
      <c r="K108" s="85" t="n">
        <v>6</v>
      </c>
      <c r="L108" s="85" t="n">
        <v>4</v>
      </c>
      <c r="M108" s="85" t="n">
        <v>4</v>
      </c>
      <c r="N108" s="75"/>
      <c r="O108" s="85" t="n">
        <v>5</v>
      </c>
      <c r="P108" s="85" t="n">
        <v>6</v>
      </c>
      <c r="Q108" s="85" t="n">
        <v>5</v>
      </c>
      <c r="R108" s="85" t="n">
        <v>5</v>
      </c>
      <c r="S108" s="85" t="n">
        <v>4</v>
      </c>
      <c r="T108" s="85" t="n">
        <v>4</v>
      </c>
      <c r="U108" s="85" t="n">
        <v>5</v>
      </c>
      <c r="V108" s="85" t="n">
        <v>5</v>
      </c>
      <c r="W108" s="85" t="n">
        <v>6</v>
      </c>
      <c r="X108" s="85" t="n">
        <v>6</v>
      </c>
      <c r="Y108" s="497" t="n">
        <v>46241.46145653935</v>
      </c>
      <c r="Z108" s="497" t="n">
        <v>46241.46232018519</v>
      </c>
      <c r="AA108" s="500" t="n">
        <v>74.6</v>
      </c>
      <c r="AB108" s="85" t="str">
        <v>是</v>
      </c>
      <c r="AC108" s="85" t="str">
        <v>是</v>
      </c>
      <c r="AD108" s="85" t="str">
        <v>是</v>
      </c>
      <c r="AE108" s="85" t="str">
        <v>无</v>
      </c>
      <c r="AF108" s="503" t="n">
        <v>12.56</v>
      </c>
      <c r="AG108" s="503" t="n">
        <v>0.785</v>
      </c>
      <c r="AH108" s="503" t="n">
        <v>0.906</v>
      </c>
      <c r="AI108" s="503" t="n">
        <v>0.989</v>
      </c>
      <c r="AJ108" s="503" t="n">
        <v>0.754</v>
      </c>
      <c r="AK108" s="78" t="str">
        <v>FrozenUncertain</v>
      </c>
      <c r="AL108" s="78" t="str">
        <v>否</v>
      </c>
      <c r="AM108" s="506" t="n">
        <v>1</v>
      </c>
      <c r="AN108" s="506" t="n">
        <v>3</v>
      </c>
      <c r="AO108" s="218" t="str"/>
    </row>
    <row r="109" ht="24" customHeight="1">
      <c r="A109" s="65" t="inlineStr">
        <is>
          <t xml:space="preserve">P018</t>
        </is>
      </c>
      <c r="B109" s="96" t="n">
        <v>3</v>
      </c>
      <c r="C109" s="96" t="inlineStr">
        <is>
          <t xml:space="preserve">O5-S2-EA</t>
        </is>
      </c>
      <c r="D109" s="96" t="n">
        <v>2</v>
      </c>
      <c r="E109" s="96" t="inlineStr">
        <is>
          <t xml:space="preserve">鼠标</t>
        </is>
      </c>
      <c r="F109" s="96" t="inlineStr">
        <is>
          <t xml:space="preserve">blue_mouse</t>
        </is>
      </c>
      <c r="G109" s="96" t="inlineStr">
        <is>
          <t xml:space="preserve">方法A</t>
        </is>
      </c>
      <c r="H109" s="96" t="inlineStr">
        <is>
          <t xml:space="preserve">EgoAnchor</t>
        </is>
      </c>
      <c r="I109" s="96" t="n">
        <v>1</v>
      </c>
      <c r="J109" s="96" t="n">
        <v>2</v>
      </c>
      <c r="K109" s="85" t="n">
        <v>5</v>
      </c>
      <c r="L109" s="85" t="n">
        <v>5</v>
      </c>
      <c r="M109" s="85" t="n">
        <v>5</v>
      </c>
      <c r="N109" s="75"/>
      <c r="O109" s="85" t="n">
        <v>4</v>
      </c>
      <c r="P109" s="85" t="n">
        <v>6</v>
      </c>
      <c r="Q109" s="85" t="n">
        <v>6</v>
      </c>
      <c r="R109" s="85" t="n">
        <v>5</v>
      </c>
      <c r="S109" s="85" t="n">
        <v>4</v>
      </c>
      <c r="T109" s="85" t="n">
        <v>6</v>
      </c>
      <c r="U109" s="85" t="n">
        <v>5</v>
      </c>
      <c r="V109" s="85" t="n">
        <v>5</v>
      </c>
      <c r="W109" s="85" t="n">
        <v>5</v>
      </c>
      <c r="X109" s="85" t="n">
        <v>4</v>
      </c>
      <c r="Y109" s="497" t="n">
        <v>46241.4632553125</v>
      </c>
      <c r="Z109" s="497" t="n">
        <v>46241.46418274305</v>
      </c>
      <c r="AA109" s="500" t="n">
        <v>80.1</v>
      </c>
      <c r="AB109" s="85" t="str">
        <v>是</v>
      </c>
      <c r="AC109" s="85" t="str">
        <v>是</v>
      </c>
      <c r="AD109" s="85" t="str">
        <v>是</v>
      </c>
      <c r="AE109" s="85" t="str">
        <v>无</v>
      </c>
      <c r="AF109" s="503" t="n">
        <v>13.34</v>
      </c>
      <c r="AG109" s="503" t="n">
        <v>0.753</v>
      </c>
      <c r="AH109" s="503" t="n">
        <v>0.848</v>
      </c>
      <c r="AI109" s="503" t="n">
        <v>0.996</v>
      </c>
      <c r="AJ109" s="503" t="n">
        <v>0.855</v>
      </c>
      <c r="AK109" s="78" t="str">
        <v>FrozenUncertain</v>
      </c>
      <c r="AL109" s="78" t="str">
        <v>否</v>
      </c>
      <c r="AM109" s="506" t="n">
        <v>1</v>
      </c>
      <c r="AN109" s="506" t="n">
        <v>2</v>
      </c>
      <c r="AO109" s="218" t="str"/>
    </row>
    <row r="110" ht="24" customHeight="1">
      <c r="A110" s="65" t="inlineStr">
        <is>
          <t xml:space="preserve">P018</t>
        </is>
      </c>
      <c r="B110" s="96" t="n">
        <v>4</v>
      </c>
      <c r="C110" s="96" t="inlineStr">
        <is>
          <t xml:space="preserve">O5-S2-EA</t>
        </is>
      </c>
      <c r="D110" s="96" t="n">
        <v>2</v>
      </c>
      <c r="E110" s="96" t="inlineStr">
        <is>
          <t xml:space="preserve">鼠标</t>
        </is>
      </c>
      <c r="F110" s="96" t="inlineStr">
        <is>
          <t xml:space="preserve">blue_mouse</t>
        </is>
      </c>
      <c r="G110" s="96" t="inlineStr">
        <is>
          <t xml:space="preserve">方法B</t>
        </is>
      </c>
      <c r="H110" s="96" t="inlineStr">
        <is>
          <t xml:space="preserve">One-Euro</t>
        </is>
      </c>
      <c r="I110" s="96" t="n">
        <v>2</v>
      </c>
      <c r="J110" s="96" t="n">
        <v>2</v>
      </c>
      <c r="K110" s="85" t="n">
        <v>5</v>
      </c>
      <c r="L110" s="85" t="n">
        <v>4</v>
      </c>
      <c r="M110" s="85" t="n">
        <v>4</v>
      </c>
      <c r="N110" s="75"/>
      <c r="O110" s="85" t="n">
        <v>5</v>
      </c>
      <c r="P110" s="85" t="n">
        <v>4</v>
      </c>
      <c r="Q110" s="85" t="n">
        <v>3</v>
      </c>
      <c r="R110" s="85" t="n">
        <v>5</v>
      </c>
      <c r="S110" s="85" t="n">
        <v>5</v>
      </c>
      <c r="T110" s="85" t="n">
        <v>4</v>
      </c>
      <c r="U110" s="85" t="n">
        <v>6</v>
      </c>
      <c r="V110" s="85" t="n">
        <v>4</v>
      </c>
      <c r="W110" s="85" t="n">
        <v>3</v>
      </c>
      <c r="X110" s="85" t="n">
        <v>5</v>
      </c>
      <c r="Y110" s="497" t="n">
        <v>46241.46516797454</v>
      </c>
      <c r="Z110" s="497" t="n">
        <v>46241.46599424769</v>
      </c>
      <c r="AA110" s="500" t="n">
        <v>71.4</v>
      </c>
      <c r="AB110" s="85" t="str">
        <v>是</v>
      </c>
      <c r="AC110" s="85" t="str">
        <v>是</v>
      </c>
      <c r="AD110" s="85" t="str">
        <v>是</v>
      </c>
      <c r="AE110" s="85" t="str">
        <v>无</v>
      </c>
      <c r="AF110" s="503" t="n">
        <v>13.24</v>
      </c>
      <c r="AG110" s="503" t="n">
        <v>0.756</v>
      </c>
      <c r="AH110" s="503" t="n">
        <v>0.866</v>
      </c>
      <c r="AI110" s="503" t="n">
        <v>0.99</v>
      </c>
      <c r="AJ110" s="503" t="n">
        <v>0.818</v>
      </c>
      <c r="AK110" s="78" t="str">
        <v>FrozenUncertain</v>
      </c>
      <c r="AL110" s="78" t="str">
        <v>否</v>
      </c>
      <c r="AM110" s="506" t="n">
        <v>0</v>
      </c>
      <c r="AN110" s="506" t="n">
        <v>0</v>
      </c>
      <c r="AO110" s="218" t="str"/>
    </row>
    <row r="111" ht="24" customHeight="1">
      <c r="A111" s="65" t="inlineStr">
        <is>
          <t xml:space="preserve">P018</t>
        </is>
      </c>
      <c r="B111" s="96" t="n">
        <v>5</v>
      </c>
      <c r="C111" s="96" t="inlineStr">
        <is>
          <t xml:space="preserve">O5-S2-EA</t>
        </is>
      </c>
      <c r="D111" s="96" t="n">
        <v>3</v>
      </c>
      <c r="E111" s="96" t="inlineStr">
        <is>
          <t xml:space="preserve">固定订书机</t>
        </is>
      </c>
      <c r="F111" s="96" t="inlineStr">
        <is>
          <t xml:space="preserve">stapler</t>
        </is>
      </c>
      <c r="G111" s="96" t="inlineStr">
        <is>
          <t xml:space="preserve">方法B</t>
        </is>
      </c>
      <c r="H111" s="96" t="inlineStr">
        <is>
          <t xml:space="preserve">One-Euro</t>
        </is>
      </c>
      <c r="I111" s="96" t="n">
        <v>1</v>
      </c>
      <c r="J111" s="96" t="n">
        <v>3</v>
      </c>
      <c r="K111" s="85" t="n">
        <v>4</v>
      </c>
      <c r="L111" s="85" t="n">
        <v>5</v>
      </c>
      <c r="M111" s="85" t="n">
        <v>6</v>
      </c>
      <c r="N111" s="75"/>
      <c r="O111" s="85" t="n">
        <v>4</v>
      </c>
      <c r="P111" s="85" t="n">
        <v>4</v>
      </c>
      <c r="Q111" s="85" t="n">
        <v>4</v>
      </c>
      <c r="R111" s="85" t="n">
        <v>4</v>
      </c>
      <c r="S111" s="85" t="n">
        <v>5</v>
      </c>
      <c r="T111" s="85" t="n">
        <v>5</v>
      </c>
      <c r="U111" s="85" t="n">
        <v>4</v>
      </c>
      <c r="V111" s="85" t="n">
        <v>5</v>
      </c>
      <c r="W111" s="85" t="n">
        <v>4</v>
      </c>
      <c r="X111" s="85" t="n">
        <v>4</v>
      </c>
      <c r="Y111" s="497" t="n">
        <v>46241.46698564815</v>
      </c>
      <c r="Z111" s="497" t="n">
        <v>46241.46815230324</v>
      </c>
      <c r="AA111" s="500" t="n">
        <v>100.8</v>
      </c>
      <c r="AB111" s="85" t="str">
        <v>是</v>
      </c>
      <c r="AC111" s="85" t="str">
        <v>是</v>
      </c>
      <c r="AD111" s="85" t="str">
        <v>是</v>
      </c>
      <c r="AE111" s="85" t="str">
        <v>短暂帧率波动</v>
      </c>
      <c r="AF111" s="503" t="n">
        <v>13</v>
      </c>
      <c r="AG111" s="503" t="n">
        <v>0.785</v>
      </c>
      <c r="AH111" s="503" t="n">
        <v>0.907</v>
      </c>
      <c r="AI111" s="503" t="n">
        <v>0.975</v>
      </c>
      <c r="AJ111" s="503" t="n">
        <v>0.732</v>
      </c>
      <c r="AK111" s="78" t="str">
        <v>FrozenUncertain</v>
      </c>
      <c r="AL111" s="78" t="str">
        <v>否</v>
      </c>
      <c r="AM111" s="506" t="n">
        <v>1</v>
      </c>
      <c r="AN111" s="506" t="n">
        <v>0</v>
      </c>
      <c r="AO111" s="218" t="str">
        <v>短暂画面卡顿，自动恢复；任务与问卷均完成。</v>
      </c>
    </row>
    <row r="112" ht="24" customHeight="1">
      <c r="A112" s="262" t="inlineStr">
        <is>
          <t xml:space="preserve">P018</t>
        </is>
      </c>
      <c r="B112" s="263" t="n">
        <v>6</v>
      </c>
      <c r="C112" s="263" t="inlineStr">
        <is>
          <t xml:space="preserve">O5-S2-EA</t>
        </is>
      </c>
      <c r="D112" s="263" t="n">
        <v>3</v>
      </c>
      <c r="E112" s="263" t="inlineStr">
        <is>
          <t xml:space="preserve">固定订书机</t>
        </is>
      </c>
      <c r="F112" s="263" t="inlineStr">
        <is>
          <t xml:space="preserve">stapler</t>
        </is>
      </c>
      <c r="G112" s="263" t="inlineStr">
        <is>
          <t xml:space="preserve">方法A</t>
        </is>
      </c>
      <c r="H112" s="263" t="inlineStr">
        <is>
          <t xml:space="preserve">EgoAnchor</t>
        </is>
      </c>
      <c r="I112" s="263" t="n">
        <v>2</v>
      </c>
      <c r="J112" s="263" t="n">
        <v>3</v>
      </c>
      <c r="K112" s="266" t="n">
        <v>6</v>
      </c>
      <c r="L112" s="266" t="n">
        <v>5</v>
      </c>
      <c r="M112" s="266" t="n">
        <v>4</v>
      </c>
      <c r="N112" s="278"/>
      <c r="O112" s="266" t="n">
        <v>4</v>
      </c>
      <c r="P112" s="266" t="n">
        <v>4</v>
      </c>
      <c r="Q112" s="266" t="n">
        <v>5</v>
      </c>
      <c r="R112" s="266" t="n">
        <v>4</v>
      </c>
      <c r="S112" s="266" t="n">
        <v>3</v>
      </c>
      <c r="T112" s="266" t="n">
        <v>5</v>
      </c>
      <c r="U112" s="266" t="n">
        <v>5</v>
      </c>
      <c r="V112" s="266" t="n">
        <v>5</v>
      </c>
      <c r="W112" s="266" t="n">
        <v>5</v>
      </c>
      <c r="X112" s="266" t="n">
        <v>3</v>
      </c>
      <c r="Y112" s="498" t="n">
        <v>46241.46911277778</v>
      </c>
      <c r="Z112" s="498" t="n">
        <v>46241.47019438657</v>
      </c>
      <c r="AA112" s="501" t="n">
        <v>93.5</v>
      </c>
      <c r="AB112" s="266" t="str">
        <v>是</v>
      </c>
      <c r="AC112" s="266" t="str">
        <v>是</v>
      </c>
      <c r="AD112" s="266" t="str">
        <v>是</v>
      </c>
      <c r="AE112" s="266" t="str">
        <v>无</v>
      </c>
      <c r="AF112" s="504" t="n">
        <v>13.14</v>
      </c>
      <c r="AG112" s="504" t="n">
        <v>0.799</v>
      </c>
      <c r="AH112" s="504" t="n">
        <v>0.9</v>
      </c>
      <c r="AI112" s="504" t="n">
        <v>0.993</v>
      </c>
      <c r="AJ112" s="504" t="n">
        <v>0.777</v>
      </c>
      <c r="AK112" s="279" t="str">
        <v>FrozenUncertain</v>
      </c>
      <c r="AL112" s="279" t="str">
        <v>否</v>
      </c>
      <c r="AM112" s="507" t="n">
        <v>0</v>
      </c>
      <c r="AN112" s="507" t="n">
        <v>3</v>
      </c>
      <c r="AO112" s="279" t="str"/>
    </row>
    <row r="113" ht="24" customHeight="1">
      <c r="A113" s="65" t="inlineStr">
        <is>
          <t xml:space="preserve">P019</t>
        </is>
      </c>
      <c r="B113" s="96" t="n">
        <v>1</v>
      </c>
      <c r="C113" s="96" t="inlineStr">
        <is>
          <t xml:space="preserve">O5-S2-OE</t>
        </is>
      </c>
      <c r="D113" s="96" t="n">
        <v>1</v>
      </c>
      <c r="E113" s="96" t="inlineStr">
        <is>
          <t xml:space="preserve">游戏手柄</t>
        </is>
      </c>
      <c r="F113" s="96" t="inlineStr">
        <is>
          <t xml:space="preserve">gamepad</t>
        </is>
      </c>
      <c r="G113" s="96" t="inlineStr">
        <is>
          <t xml:space="preserve">方法B</t>
        </is>
      </c>
      <c r="H113" s="96" t="inlineStr">
        <is>
          <t xml:space="preserve">EgoAnchor</t>
        </is>
      </c>
      <c r="I113" s="96" t="n">
        <v>1</v>
      </c>
      <c r="J113" s="96" t="n">
        <v>1</v>
      </c>
      <c r="K113" s="85" t="n">
        <v>5</v>
      </c>
      <c r="L113" s="85" t="n">
        <v>5</v>
      </c>
      <c r="M113" s="85" t="n">
        <v>3</v>
      </c>
      <c r="N113" s="75"/>
      <c r="O113" s="85" t="n">
        <v>5</v>
      </c>
      <c r="P113" s="85" t="n">
        <v>5</v>
      </c>
      <c r="Q113" s="85" t="n">
        <v>4</v>
      </c>
      <c r="R113" s="85" t="n">
        <v>4</v>
      </c>
      <c r="S113" s="85" t="n">
        <v>5</v>
      </c>
      <c r="T113" s="85" t="n">
        <v>4</v>
      </c>
      <c r="U113" s="85" t="n">
        <v>4</v>
      </c>
      <c r="V113" s="85" t="n">
        <v>5</v>
      </c>
      <c r="W113" s="85" t="n">
        <v>5</v>
      </c>
      <c r="X113" s="85" t="n">
        <v>4</v>
      </c>
      <c r="Y113" s="497" t="n">
        <v>46241.577643854165</v>
      </c>
      <c r="Z113" s="497" t="n">
        <v>46241.57880412037</v>
      </c>
      <c r="AA113" s="500" t="n">
        <v>100.2</v>
      </c>
      <c r="AB113" s="85" t="str">
        <v>是</v>
      </c>
      <c r="AC113" s="85" t="str">
        <v>是</v>
      </c>
      <c r="AD113" s="85" t="str">
        <v>是</v>
      </c>
      <c r="AE113" s="85" t="str">
        <v>无</v>
      </c>
      <c r="AF113" s="503" t="n">
        <v>12.56</v>
      </c>
      <c r="AG113" s="503" t="n">
        <v>0.773</v>
      </c>
      <c r="AH113" s="503" t="n">
        <v>0.89</v>
      </c>
      <c r="AI113" s="503" t="n">
        <v>0.987</v>
      </c>
      <c r="AJ113" s="503" t="n">
        <v>0.692</v>
      </c>
      <c r="AK113" s="78" t="str">
        <v>FrozenUncertain</v>
      </c>
      <c r="AL113" s="78" t="str">
        <v>否</v>
      </c>
      <c r="AM113" s="506" t="n">
        <v>1</v>
      </c>
      <c r="AN113" s="506" t="n">
        <v>3</v>
      </c>
      <c r="AO113" s="218" t="str"/>
    </row>
    <row r="114" ht="24" customHeight="1">
      <c r="A114" s="65" t="inlineStr">
        <is>
          <t xml:space="preserve">P019</t>
        </is>
      </c>
      <c r="B114" s="96" t="n">
        <v>2</v>
      </c>
      <c r="C114" s="96" t="inlineStr">
        <is>
          <t xml:space="preserve">O5-S2-OE</t>
        </is>
      </c>
      <c r="D114" s="96" t="n">
        <v>1</v>
      </c>
      <c r="E114" s="96" t="inlineStr">
        <is>
          <t xml:space="preserve">游戏手柄</t>
        </is>
      </c>
      <c r="F114" s="96" t="inlineStr">
        <is>
          <t xml:space="preserve">gamepad</t>
        </is>
      </c>
      <c r="G114" s="96" t="inlineStr">
        <is>
          <t xml:space="preserve">方法A</t>
        </is>
      </c>
      <c r="H114" s="96" t="inlineStr">
        <is>
          <t xml:space="preserve">One-Euro</t>
        </is>
      </c>
      <c r="I114" s="96" t="n">
        <v>2</v>
      </c>
      <c r="J114" s="96" t="n">
        <v>1</v>
      </c>
      <c r="K114" s="85" t="n">
        <v>3</v>
      </c>
      <c r="L114" s="85" t="n">
        <v>5</v>
      </c>
      <c r="M114" s="85" t="n">
        <v>5</v>
      </c>
      <c r="N114" s="75"/>
      <c r="O114" s="85" t="n">
        <v>4</v>
      </c>
      <c r="P114" s="85" t="n">
        <v>4</v>
      </c>
      <c r="Q114" s="85" t="n">
        <v>4</v>
      </c>
      <c r="R114" s="85" t="n">
        <v>5</v>
      </c>
      <c r="S114" s="85" t="n">
        <v>4</v>
      </c>
      <c r="T114" s="85" t="n">
        <v>4</v>
      </c>
      <c r="U114" s="85" t="n">
        <v>5</v>
      </c>
      <c r="V114" s="85" t="n">
        <v>5</v>
      </c>
      <c r="W114" s="85" t="n">
        <v>2</v>
      </c>
      <c r="X114" s="85" t="n">
        <v>4</v>
      </c>
      <c r="Y114" s="497" t="n">
        <v>46241.57970446759</v>
      </c>
      <c r="Z114" s="497" t="n">
        <v>46241.58066172454</v>
      </c>
      <c r="AA114" s="500" t="n">
        <v>82.7</v>
      </c>
      <c r="AB114" s="85" t="str">
        <v>是</v>
      </c>
      <c r="AC114" s="85" t="str">
        <v>是</v>
      </c>
      <c r="AD114" s="85" t="str">
        <v>是</v>
      </c>
      <c r="AE114" s="85" t="str">
        <v>无</v>
      </c>
      <c r="AF114" s="503" t="n">
        <v>12.5</v>
      </c>
      <c r="AG114" s="503" t="n">
        <v>0.82</v>
      </c>
      <c r="AH114" s="503" t="n">
        <v>0.919</v>
      </c>
      <c r="AI114" s="503" t="n">
        <v>0.99</v>
      </c>
      <c r="AJ114" s="503" t="n">
        <v>0.678</v>
      </c>
      <c r="AK114" s="78" t="str">
        <v>FrozenUncertain</v>
      </c>
      <c r="AL114" s="78" t="str">
        <v>否</v>
      </c>
      <c r="AM114" s="506" t="n">
        <v>1</v>
      </c>
      <c r="AN114" s="506" t="n">
        <v>0</v>
      </c>
      <c r="AO114" s="218" t="str"/>
    </row>
    <row r="115" ht="24" customHeight="1">
      <c r="A115" s="65" t="inlineStr">
        <is>
          <t xml:space="preserve">P019</t>
        </is>
      </c>
      <c r="B115" s="96" t="n">
        <v>3</v>
      </c>
      <c r="C115" s="96" t="inlineStr">
        <is>
          <t xml:space="preserve">O5-S2-OE</t>
        </is>
      </c>
      <c r="D115" s="96" t="n">
        <v>2</v>
      </c>
      <c r="E115" s="96" t="inlineStr">
        <is>
          <t xml:space="preserve">鼠标</t>
        </is>
      </c>
      <c r="F115" s="96" t="inlineStr">
        <is>
          <t xml:space="preserve">blue_mouse</t>
        </is>
      </c>
      <c r="G115" s="96" t="inlineStr">
        <is>
          <t xml:space="preserve">方法A</t>
        </is>
      </c>
      <c r="H115" s="96" t="inlineStr">
        <is>
          <t xml:space="preserve">One-Euro</t>
        </is>
      </c>
      <c r="I115" s="96" t="n">
        <v>1</v>
      </c>
      <c r="J115" s="96" t="n">
        <v>2</v>
      </c>
      <c r="K115" s="85" t="n">
        <v>4</v>
      </c>
      <c r="L115" s="85" t="n">
        <v>3</v>
      </c>
      <c r="M115" s="85" t="n">
        <v>4</v>
      </c>
      <c r="N115" s="75"/>
      <c r="O115" s="85" t="n">
        <v>4</v>
      </c>
      <c r="P115" s="85" t="n">
        <v>5</v>
      </c>
      <c r="Q115" s="85" t="n">
        <v>4</v>
      </c>
      <c r="R115" s="85" t="n">
        <v>4</v>
      </c>
      <c r="S115" s="85" t="n">
        <v>3</v>
      </c>
      <c r="T115" s="85" t="n">
        <v>3</v>
      </c>
      <c r="U115" s="85" t="n">
        <v>4</v>
      </c>
      <c r="V115" s="85" t="n">
        <v>6</v>
      </c>
      <c r="W115" s="85" t="n">
        <v>5</v>
      </c>
      <c r="X115" s="85" t="n">
        <v>4</v>
      </c>
      <c r="Y115" s="497" t="n">
        <v>46241.581498900465</v>
      </c>
      <c r="Z115" s="497" t="n">
        <v>46241.58266289352</v>
      </c>
      <c r="AA115" s="500" t="n">
        <v>100.6</v>
      </c>
      <c r="AB115" s="85" t="str">
        <v>是</v>
      </c>
      <c r="AC115" s="85" t="str">
        <v>是</v>
      </c>
      <c r="AD115" s="85" t="str">
        <v>是</v>
      </c>
      <c r="AE115" s="85" t="str">
        <v>无</v>
      </c>
      <c r="AF115" s="503" t="n">
        <v>12.44</v>
      </c>
      <c r="AG115" s="503" t="n">
        <v>0.743</v>
      </c>
      <c r="AH115" s="503" t="n">
        <v>0.88</v>
      </c>
      <c r="AI115" s="503" t="n">
        <v>0.992</v>
      </c>
      <c r="AJ115" s="503" t="n">
        <v>0.791</v>
      </c>
      <c r="AK115" s="78" t="str">
        <v>FrozenUncertain</v>
      </c>
      <c r="AL115" s="78" t="str">
        <v>否</v>
      </c>
      <c r="AM115" s="506" t="n">
        <v>0</v>
      </c>
      <c r="AN115" s="506" t="n">
        <v>0</v>
      </c>
      <c r="AO115" s="218" t="str">
        <v>静止阶段可见轻微抖动</v>
      </c>
    </row>
    <row r="116" ht="24" customHeight="1">
      <c r="A116" s="65" t="inlineStr">
        <is>
          <t xml:space="preserve">P019</t>
        </is>
      </c>
      <c r="B116" s="96" t="n">
        <v>4</v>
      </c>
      <c r="C116" s="96" t="inlineStr">
        <is>
          <t xml:space="preserve">O5-S2-OE</t>
        </is>
      </c>
      <c r="D116" s="96" t="n">
        <v>2</v>
      </c>
      <c r="E116" s="96" t="inlineStr">
        <is>
          <t xml:space="preserve">鼠标</t>
        </is>
      </c>
      <c r="F116" s="96" t="inlineStr">
        <is>
          <t xml:space="preserve">blue_mouse</t>
        </is>
      </c>
      <c r="G116" s="96" t="inlineStr">
        <is>
          <t xml:space="preserve">方法B</t>
        </is>
      </c>
      <c r="H116" s="96" t="inlineStr">
        <is>
          <t xml:space="preserve">EgoAnchor</t>
        </is>
      </c>
      <c r="I116" s="96" t="n">
        <v>2</v>
      </c>
      <c r="J116" s="96" t="n">
        <v>2</v>
      </c>
      <c r="K116" s="85" t="n">
        <v>5</v>
      </c>
      <c r="L116" s="85" t="n">
        <v>4</v>
      </c>
      <c r="M116" s="85" t="n">
        <v>5</v>
      </c>
      <c r="N116" s="75"/>
      <c r="O116" s="85" t="n">
        <v>3</v>
      </c>
      <c r="P116" s="85" t="n">
        <v>4</v>
      </c>
      <c r="Q116" s="85" t="n">
        <v>4</v>
      </c>
      <c r="R116" s="85" t="n">
        <v>4</v>
      </c>
      <c r="S116" s="85" t="n">
        <v>4</v>
      </c>
      <c r="T116" s="85" t="n">
        <v>3</v>
      </c>
      <c r="U116" s="85" t="n">
        <v>4</v>
      </c>
      <c r="V116" s="85" t="n">
        <v>3</v>
      </c>
      <c r="W116" s="85" t="n">
        <v>5</v>
      </c>
      <c r="X116" s="85" t="n">
        <v>4</v>
      </c>
      <c r="Y116" s="497" t="n">
        <v>46241.58349232639</v>
      </c>
      <c r="Z116" s="497" t="n">
        <v>46241.58442414352</v>
      </c>
      <c r="AA116" s="500" t="n">
        <v>80.5</v>
      </c>
      <c r="AB116" s="85" t="str">
        <v>是</v>
      </c>
      <c r="AC116" s="85" t="str">
        <v>是</v>
      </c>
      <c r="AD116" s="85" t="str">
        <v>是</v>
      </c>
      <c r="AE116" s="85" t="str">
        <v>无</v>
      </c>
      <c r="AF116" s="503" t="n">
        <v>12.64</v>
      </c>
      <c r="AG116" s="503" t="n">
        <v>0.777</v>
      </c>
      <c r="AH116" s="503" t="n">
        <v>0.882</v>
      </c>
      <c r="AI116" s="503" t="n">
        <v>0.988</v>
      </c>
      <c r="AJ116" s="503" t="n">
        <v>0.753</v>
      </c>
      <c r="AK116" s="78" t="str">
        <v>FrozenUncertain</v>
      </c>
      <c r="AL116" s="78" t="str">
        <v>否</v>
      </c>
      <c r="AM116" s="506" t="n">
        <v>1</v>
      </c>
      <c r="AN116" s="506" t="n">
        <v>2</v>
      </c>
      <c r="AO116" s="218" t="str">
        <v>拿起时感觉略有滞后</v>
      </c>
    </row>
    <row r="117" ht="24" customHeight="1">
      <c r="A117" s="65" t="inlineStr">
        <is>
          <t xml:space="preserve">P019</t>
        </is>
      </c>
      <c r="B117" s="96" t="n">
        <v>5</v>
      </c>
      <c r="C117" s="96" t="inlineStr">
        <is>
          <t xml:space="preserve">O5-S2-OE</t>
        </is>
      </c>
      <c r="D117" s="96" t="n">
        <v>3</v>
      </c>
      <c r="E117" s="96" t="inlineStr">
        <is>
          <t xml:space="preserve">固定订书机</t>
        </is>
      </c>
      <c r="F117" s="96" t="inlineStr">
        <is>
          <t xml:space="preserve">stapler</t>
        </is>
      </c>
      <c r="G117" s="96" t="inlineStr">
        <is>
          <t xml:space="preserve">方法B</t>
        </is>
      </c>
      <c r="H117" s="96" t="inlineStr">
        <is>
          <t xml:space="preserve">EgoAnchor</t>
        </is>
      </c>
      <c r="I117" s="96" t="n">
        <v>1</v>
      </c>
      <c r="J117" s="96" t="n">
        <v>3</v>
      </c>
      <c r="K117" s="85" t="n">
        <v>5</v>
      </c>
      <c r="L117" s="85" t="n">
        <v>4</v>
      </c>
      <c r="M117" s="85" t="n">
        <v>5</v>
      </c>
      <c r="N117" s="75"/>
      <c r="O117" s="85" t="n">
        <v>3</v>
      </c>
      <c r="P117" s="85" t="n">
        <v>4</v>
      </c>
      <c r="Q117" s="85" t="n">
        <v>3</v>
      </c>
      <c r="R117" s="85" t="n">
        <v>4</v>
      </c>
      <c r="S117" s="85" t="n">
        <v>4</v>
      </c>
      <c r="T117" s="85" t="n">
        <v>5</v>
      </c>
      <c r="U117" s="85" t="n">
        <v>4</v>
      </c>
      <c r="V117" s="85" t="n">
        <v>3</v>
      </c>
      <c r="W117" s="85" t="n">
        <v>3</v>
      </c>
      <c r="X117" s="85" t="n">
        <v>3</v>
      </c>
      <c r="Y117" s="497" t="n">
        <v>46241.58524496528</v>
      </c>
      <c r="Z117" s="497" t="n">
        <v>46241.586174317126</v>
      </c>
      <c r="AA117" s="500" t="n">
        <v>80.3</v>
      </c>
      <c r="AB117" s="85" t="str">
        <v>是</v>
      </c>
      <c r="AC117" s="85" t="str">
        <v>是</v>
      </c>
      <c r="AD117" s="85" t="str">
        <v>是</v>
      </c>
      <c r="AE117" s="85" t="str">
        <v>无</v>
      </c>
      <c r="AF117" s="503" t="n">
        <v>13.19</v>
      </c>
      <c r="AG117" s="503" t="n">
        <v>0.873</v>
      </c>
      <c r="AH117" s="503" t="n">
        <v>0.939</v>
      </c>
      <c r="AI117" s="503" t="n">
        <v>0.984</v>
      </c>
      <c r="AJ117" s="503" t="n">
        <v>0.717</v>
      </c>
      <c r="AK117" s="78" t="str">
        <v>FrozenUncertain</v>
      </c>
      <c r="AL117" s="78" t="str">
        <v>否</v>
      </c>
      <c r="AM117" s="506" t="n">
        <v>1</v>
      </c>
      <c r="AN117" s="506" t="n">
        <v>2</v>
      </c>
      <c r="AO117" s="218" t="str"/>
    </row>
    <row r="118" ht="24" customHeight="1">
      <c r="A118" s="262" t="inlineStr">
        <is>
          <t xml:space="preserve">P019</t>
        </is>
      </c>
      <c r="B118" s="263" t="n">
        <v>6</v>
      </c>
      <c r="C118" s="263" t="inlineStr">
        <is>
          <t xml:space="preserve">O5-S2-OE</t>
        </is>
      </c>
      <c r="D118" s="263" t="n">
        <v>3</v>
      </c>
      <c r="E118" s="263" t="inlineStr">
        <is>
          <t xml:space="preserve">固定订书机</t>
        </is>
      </c>
      <c r="F118" s="263" t="inlineStr">
        <is>
          <t xml:space="preserve">stapler</t>
        </is>
      </c>
      <c r="G118" s="263" t="inlineStr">
        <is>
          <t xml:space="preserve">方法A</t>
        </is>
      </c>
      <c r="H118" s="263" t="inlineStr">
        <is>
          <t xml:space="preserve">One-Euro</t>
        </is>
      </c>
      <c r="I118" s="263" t="n">
        <v>2</v>
      </c>
      <c r="J118" s="263" t="n">
        <v>3</v>
      </c>
      <c r="K118" s="266" t="n">
        <v>4</v>
      </c>
      <c r="L118" s="266" t="n">
        <v>5</v>
      </c>
      <c r="M118" s="266" t="n">
        <v>5</v>
      </c>
      <c r="N118" s="278"/>
      <c r="O118" s="266" t="n">
        <v>4</v>
      </c>
      <c r="P118" s="266" t="n">
        <v>4</v>
      </c>
      <c r="Q118" s="266" t="n">
        <v>4</v>
      </c>
      <c r="R118" s="266" t="n">
        <v>5</v>
      </c>
      <c r="S118" s="266" t="n">
        <v>5</v>
      </c>
      <c r="T118" s="266" t="n">
        <v>4</v>
      </c>
      <c r="U118" s="266" t="n">
        <v>5</v>
      </c>
      <c r="V118" s="266" t="n">
        <v>5</v>
      </c>
      <c r="W118" s="266" t="n">
        <v>4</v>
      </c>
      <c r="X118" s="266" t="n">
        <v>3</v>
      </c>
      <c r="Y118" s="498" t="n">
        <v>46241.587179375</v>
      </c>
      <c r="Z118" s="498" t="n">
        <v>46241.588580717595</v>
      </c>
      <c r="AA118" s="501" t="n">
        <v>121.1</v>
      </c>
      <c r="AB118" s="266" t="str">
        <v>是</v>
      </c>
      <c r="AC118" s="266" t="str">
        <v>是</v>
      </c>
      <c r="AD118" s="266" t="str">
        <v>是</v>
      </c>
      <c r="AE118" s="266" t="str">
        <v>无</v>
      </c>
      <c r="AF118" s="504" t="n">
        <v>13.18</v>
      </c>
      <c r="AG118" s="504" t="n">
        <v>0.831</v>
      </c>
      <c r="AH118" s="504" t="n">
        <v>0.932</v>
      </c>
      <c r="AI118" s="504" t="n">
        <v>1</v>
      </c>
      <c r="AJ118" s="504" t="n">
        <v>0.73</v>
      </c>
      <c r="AK118" s="279" t="str">
        <v>FrozenUncertain</v>
      </c>
      <c r="AL118" s="279" t="str">
        <v>否</v>
      </c>
      <c r="AM118" s="507" t="n">
        <v>1</v>
      </c>
      <c r="AN118" s="507" t="n">
        <v>0</v>
      </c>
      <c r="AO118" s="279" t="str"/>
    </row>
    <row r="119" ht="24" customHeight="1">
      <c r="A119" s="65" t="inlineStr">
        <is>
          <t xml:space="preserve">P020</t>
        </is>
      </c>
      <c r="B119" s="96" t="n">
        <v>1</v>
      </c>
      <c r="C119" s="96" t="inlineStr">
        <is>
          <t xml:space="preserve">O5-S1-OE</t>
        </is>
      </c>
      <c r="D119" s="96" t="n">
        <v>1</v>
      </c>
      <c r="E119" s="96" t="inlineStr">
        <is>
          <t xml:space="preserve">游戏手柄</t>
        </is>
      </c>
      <c r="F119" s="96" t="inlineStr">
        <is>
          <t xml:space="preserve">gamepad</t>
        </is>
      </c>
      <c r="G119" s="96" t="inlineStr">
        <is>
          <t xml:space="preserve">方法A</t>
        </is>
      </c>
      <c r="H119" s="96" t="inlineStr">
        <is>
          <t xml:space="preserve">One-Euro</t>
        </is>
      </c>
      <c r="I119" s="96" t="n">
        <v>1</v>
      </c>
      <c r="J119" s="96" t="n">
        <v>1</v>
      </c>
      <c r="K119" s="85" t="n">
        <v>5</v>
      </c>
      <c r="L119" s="85" t="n">
        <v>4</v>
      </c>
      <c r="M119" s="85" t="n">
        <v>4</v>
      </c>
      <c r="N119" s="75"/>
      <c r="O119" s="85" t="n">
        <v>6</v>
      </c>
      <c r="P119" s="85" t="n">
        <v>3</v>
      </c>
      <c r="Q119" s="85" t="n">
        <v>4</v>
      </c>
      <c r="R119" s="85" t="n">
        <v>4</v>
      </c>
      <c r="S119" s="85" t="n">
        <v>5</v>
      </c>
      <c r="T119" s="85" t="n">
        <v>4</v>
      </c>
      <c r="U119" s="85" t="n">
        <v>4</v>
      </c>
      <c r="V119" s="85" t="n">
        <v>5</v>
      </c>
      <c r="W119" s="85" t="n">
        <v>4</v>
      </c>
      <c r="X119" s="85" t="n">
        <v>5</v>
      </c>
      <c r="Y119" s="497" t="n">
        <v>46241.644515300926</v>
      </c>
      <c r="Z119" s="497" t="n">
        <v>46241.64597068287</v>
      </c>
      <c r="AA119" s="500" t="n">
        <v>125.7</v>
      </c>
      <c r="AB119" s="85" t="str">
        <v>是</v>
      </c>
      <c r="AC119" s="85" t="str">
        <v>是</v>
      </c>
      <c r="AD119" s="85" t="str">
        <v>是</v>
      </c>
      <c r="AE119" s="85" t="str">
        <v>无</v>
      </c>
      <c r="AF119" s="503" t="n">
        <v>12.37</v>
      </c>
      <c r="AG119" s="503" t="n">
        <v>0.841</v>
      </c>
      <c r="AH119" s="503" t="n">
        <v>0.9</v>
      </c>
      <c r="AI119" s="503" t="n">
        <v>1</v>
      </c>
      <c r="AJ119" s="503" t="n">
        <v>0.749</v>
      </c>
      <c r="AK119" s="78" t="str">
        <v>FrozenUncertain</v>
      </c>
      <c r="AL119" s="78" t="str">
        <v>否</v>
      </c>
      <c r="AM119" s="506" t="n">
        <v>1</v>
      </c>
      <c r="AN119" s="506" t="n">
        <v>0</v>
      </c>
      <c r="AO119" s="218" t="str">
        <v>遮挡恢复后出现一次小跳变</v>
      </c>
    </row>
    <row r="120" ht="24" customHeight="1">
      <c r="A120" s="65" t="inlineStr">
        <is>
          <t xml:space="preserve">P020</t>
        </is>
      </c>
      <c r="B120" s="96" t="n">
        <v>2</v>
      </c>
      <c r="C120" s="96" t="inlineStr">
        <is>
          <t xml:space="preserve">O5-S1-OE</t>
        </is>
      </c>
      <c r="D120" s="96" t="n">
        <v>1</v>
      </c>
      <c r="E120" s="96" t="inlineStr">
        <is>
          <t xml:space="preserve">游戏手柄</t>
        </is>
      </c>
      <c r="F120" s="96" t="inlineStr">
        <is>
          <t xml:space="preserve">gamepad</t>
        </is>
      </c>
      <c r="G120" s="96" t="inlineStr">
        <is>
          <t xml:space="preserve">方法B</t>
        </is>
      </c>
      <c r="H120" s="96" t="inlineStr">
        <is>
          <t xml:space="preserve">EgoAnchor</t>
        </is>
      </c>
      <c r="I120" s="96" t="n">
        <v>2</v>
      </c>
      <c r="J120" s="96" t="n">
        <v>1</v>
      </c>
      <c r="K120" s="85" t="n">
        <v>6</v>
      </c>
      <c r="L120" s="85" t="n">
        <v>5</v>
      </c>
      <c r="M120" s="85" t="n">
        <v>5</v>
      </c>
      <c r="N120" s="75"/>
      <c r="O120" s="85" t="n">
        <v>5</v>
      </c>
      <c r="P120" s="85" t="n">
        <v>5</v>
      </c>
      <c r="Q120" s="85" t="n">
        <v>3</v>
      </c>
      <c r="R120" s="85" t="n">
        <v>4</v>
      </c>
      <c r="S120" s="85" t="n">
        <v>4</v>
      </c>
      <c r="T120" s="85" t="n">
        <v>5</v>
      </c>
      <c r="U120" s="85" t="n">
        <v>5</v>
      </c>
      <c r="V120" s="85" t="n">
        <v>5</v>
      </c>
      <c r="W120" s="85" t="n">
        <v>4</v>
      </c>
      <c r="X120" s="85" t="n">
        <v>5</v>
      </c>
      <c r="Y120" s="497" t="n">
        <v>46241.64691063658</v>
      </c>
      <c r="Z120" s="497" t="n">
        <v>46241.64860168981</v>
      </c>
      <c r="AA120" s="500" t="n">
        <v>146.1</v>
      </c>
      <c r="AB120" s="85" t="str">
        <v>是</v>
      </c>
      <c r="AC120" s="85" t="str">
        <v>是</v>
      </c>
      <c r="AD120" s="85" t="str">
        <v>是</v>
      </c>
      <c r="AE120" s="85" t="str">
        <v>无</v>
      </c>
      <c r="AF120" s="503" t="n">
        <v>13.23</v>
      </c>
      <c r="AG120" s="503" t="n">
        <v>0.843</v>
      </c>
      <c r="AH120" s="503" t="n">
        <v>0.873</v>
      </c>
      <c r="AI120" s="503" t="n">
        <v>0.986</v>
      </c>
      <c r="AJ120" s="503" t="n">
        <v>0.752</v>
      </c>
      <c r="AK120" s="78" t="str">
        <v>FrozenUncertain</v>
      </c>
      <c r="AL120" s="78" t="str">
        <v>否</v>
      </c>
      <c r="AM120" s="506" t="n">
        <v>2</v>
      </c>
      <c r="AN120" s="506" t="n">
        <v>2</v>
      </c>
      <c r="AO120" s="218" t="str"/>
    </row>
    <row r="121" ht="24" customHeight="1">
      <c r="A121" s="65" t="inlineStr">
        <is>
          <t xml:space="preserve">P020</t>
        </is>
      </c>
      <c r="B121" s="96" t="n">
        <v>3</v>
      </c>
      <c r="C121" s="96" t="inlineStr">
        <is>
          <t xml:space="preserve">O5-S1-OE</t>
        </is>
      </c>
      <c r="D121" s="96" t="n">
        <v>2</v>
      </c>
      <c r="E121" s="96" t="inlineStr">
        <is>
          <t xml:space="preserve">鼠标</t>
        </is>
      </c>
      <c r="F121" s="96" t="inlineStr">
        <is>
          <t xml:space="preserve">blue_mouse</t>
        </is>
      </c>
      <c r="G121" s="96" t="inlineStr">
        <is>
          <t xml:space="preserve">方法B</t>
        </is>
      </c>
      <c r="H121" s="96" t="inlineStr">
        <is>
          <t xml:space="preserve">EgoAnchor</t>
        </is>
      </c>
      <c r="I121" s="96" t="n">
        <v>1</v>
      </c>
      <c r="J121" s="96" t="n">
        <v>2</v>
      </c>
      <c r="K121" s="85" t="n">
        <v>4</v>
      </c>
      <c r="L121" s="85" t="n">
        <v>4</v>
      </c>
      <c r="M121" s="85" t="n">
        <v>5</v>
      </c>
      <c r="N121" s="75"/>
      <c r="O121" s="85" t="n">
        <v>3</v>
      </c>
      <c r="P121" s="85" t="n">
        <v>5</v>
      </c>
      <c r="Q121" s="85" t="n">
        <v>6</v>
      </c>
      <c r="R121" s="85" t="n">
        <v>4</v>
      </c>
      <c r="S121" s="85" t="n">
        <v>5</v>
      </c>
      <c r="T121" s="85" t="n">
        <v>5</v>
      </c>
      <c r="U121" s="85" t="n">
        <v>4</v>
      </c>
      <c r="V121" s="85" t="n">
        <v>5</v>
      </c>
      <c r="W121" s="85" t="n">
        <v>3</v>
      </c>
      <c r="X121" s="85" t="n">
        <v>4</v>
      </c>
      <c r="Y121" s="497" t="n">
        <v>46241.64955513889</v>
      </c>
      <c r="Z121" s="497" t="n">
        <v>46241.65029131944</v>
      </c>
      <c r="AA121" s="500" t="n">
        <v>63.6</v>
      </c>
      <c r="AB121" s="85" t="str">
        <v>是</v>
      </c>
      <c r="AC121" s="85" t="str">
        <v>是</v>
      </c>
      <c r="AD121" s="85" t="str">
        <v>是</v>
      </c>
      <c r="AE121" s="85" t="str">
        <v>无</v>
      </c>
      <c r="AF121" s="503" t="n">
        <v>13.12</v>
      </c>
      <c r="AG121" s="503" t="n">
        <v>0.738</v>
      </c>
      <c r="AH121" s="503" t="n">
        <v>0.854</v>
      </c>
      <c r="AI121" s="503" t="n">
        <v>0.996</v>
      </c>
      <c r="AJ121" s="503" t="n">
        <v>0.76</v>
      </c>
      <c r="AK121" s="78" t="str">
        <v>FrozenUncertain</v>
      </c>
      <c r="AL121" s="78" t="str">
        <v>否</v>
      </c>
      <c r="AM121" s="506" t="n">
        <v>1</v>
      </c>
      <c r="AN121" s="506" t="n">
        <v>3</v>
      </c>
      <c r="AO121" s="218" t="str"/>
    </row>
    <row r="122" ht="24" customHeight="1">
      <c r="A122" s="65" t="inlineStr">
        <is>
          <t xml:space="preserve">P020</t>
        </is>
      </c>
      <c r="B122" s="96" t="n">
        <v>4</v>
      </c>
      <c r="C122" s="96" t="inlineStr">
        <is>
          <t xml:space="preserve">O5-S1-OE</t>
        </is>
      </c>
      <c r="D122" s="96" t="n">
        <v>2</v>
      </c>
      <c r="E122" s="96" t="inlineStr">
        <is>
          <t xml:space="preserve">鼠标</t>
        </is>
      </c>
      <c r="F122" s="96" t="inlineStr">
        <is>
          <t xml:space="preserve">blue_mouse</t>
        </is>
      </c>
      <c r="G122" s="96" t="inlineStr">
        <is>
          <t xml:space="preserve">方法A</t>
        </is>
      </c>
      <c r="H122" s="96" t="inlineStr">
        <is>
          <t xml:space="preserve">One-Euro</t>
        </is>
      </c>
      <c r="I122" s="96" t="n">
        <v>2</v>
      </c>
      <c r="J122" s="96" t="n">
        <v>2</v>
      </c>
      <c r="K122" s="85" t="n">
        <v>4</v>
      </c>
      <c r="L122" s="85" t="n">
        <v>4</v>
      </c>
      <c r="M122" s="85" t="n">
        <v>5</v>
      </c>
      <c r="N122" s="75"/>
      <c r="O122" s="85" t="n">
        <v>4</v>
      </c>
      <c r="P122" s="85" t="n">
        <v>5</v>
      </c>
      <c r="Q122" s="85" t="n">
        <v>4</v>
      </c>
      <c r="R122" s="85" t="n">
        <v>4</v>
      </c>
      <c r="S122" s="85" t="n">
        <v>3</v>
      </c>
      <c r="T122" s="85" t="n">
        <v>3</v>
      </c>
      <c r="U122" s="85" t="n">
        <v>5</v>
      </c>
      <c r="V122" s="85" t="n">
        <v>4</v>
      </c>
      <c r="W122" s="85" t="n">
        <v>4</v>
      </c>
      <c r="X122" s="85" t="n">
        <v>5</v>
      </c>
      <c r="Y122" s="497" t="n">
        <v>46241.65117675926</v>
      </c>
      <c r="Z122" s="497" t="n">
        <v>46241.652124768516</v>
      </c>
      <c r="AA122" s="500" t="n">
        <v>81.9</v>
      </c>
      <c r="AB122" s="85" t="str">
        <v>是</v>
      </c>
      <c r="AC122" s="85" t="str">
        <v>是</v>
      </c>
      <c r="AD122" s="85" t="str">
        <v>是</v>
      </c>
      <c r="AE122" s="85" t="str">
        <v>无</v>
      </c>
      <c r="AF122" s="503" t="n">
        <v>12.78</v>
      </c>
      <c r="AG122" s="503" t="n">
        <v>0.736</v>
      </c>
      <c r="AH122" s="503" t="n">
        <v>0.917</v>
      </c>
      <c r="AI122" s="503" t="n">
        <v>0.99</v>
      </c>
      <c r="AJ122" s="503" t="n">
        <v>0.823</v>
      </c>
      <c r="AK122" s="78" t="str">
        <v>FrozenUncertain</v>
      </c>
      <c r="AL122" s="78" t="str">
        <v>否</v>
      </c>
      <c r="AM122" s="506" t="n">
        <v>1</v>
      </c>
      <c r="AN122" s="506" t="n">
        <v>0</v>
      </c>
      <c r="AO122" s="218" t="str">
        <v>遮挡恢复后出现一次小跳变</v>
      </c>
    </row>
    <row r="123" ht="24" customHeight="1">
      <c r="A123" s="65" t="inlineStr">
        <is>
          <t xml:space="preserve">P020</t>
        </is>
      </c>
      <c r="B123" s="96" t="n">
        <v>5</v>
      </c>
      <c r="C123" s="96" t="inlineStr">
        <is>
          <t xml:space="preserve">O5-S1-OE</t>
        </is>
      </c>
      <c r="D123" s="96" t="n">
        <v>3</v>
      </c>
      <c r="E123" s="96" t="inlineStr">
        <is>
          <t xml:space="preserve">固定订书机</t>
        </is>
      </c>
      <c r="F123" s="96" t="inlineStr">
        <is>
          <t xml:space="preserve">stapler</t>
        </is>
      </c>
      <c r="G123" s="96" t="inlineStr">
        <is>
          <t xml:space="preserve">方法A</t>
        </is>
      </c>
      <c r="H123" s="96" t="inlineStr">
        <is>
          <t xml:space="preserve">One-Euro</t>
        </is>
      </c>
      <c r="I123" s="96" t="n">
        <v>1</v>
      </c>
      <c r="J123" s="96" t="n">
        <v>3</v>
      </c>
      <c r="K123" s="85" t="n">
        <v>3</v>
      </c>
      <c r="L123" s="85" t="n">
        <v>5</v>
      </c>
      <c r="M123" s="85" t="n">
        <v>5</v>
      </c>
      <c r="N123" s="75"/>
      <c r="O123" s="85" t="n">
        <v>5</v>
      </c>
      <c r="P123" s="85" t="n">
        <v>5</v>
      </c>
      <c r="Q123" s="85" t="n">
        <v>5</v>
      </c>
      <c r="R123" s="85" t="n">
        <v>4</v>
      </c>
      <c r="S123" s="85" t="n">
        <v>5</v>
      </c>
      <c r="T123" s="85" t="n">
        <v>4</v>
      </c>
      <c r="U123" s="85" t="n">
        <v>5</v>
      </c>
      <c r="V123" s="85" t="n">
        <v>5</v>
      </c>
      <c r="W123" s="85" t="n">
        <v>5</v>
      </c>
      <c r="X123" s="85" t="n">
        <v>4</v>
      </c>
      <c r="Y123" s="497" t="n">
        <v>46241.653114699075</v>
      </c>
      <c r="Z123" s="497" t="n">
        <v>46241.65438939815</v>
      </c>
      <c r="AA123" s="500" t="n">
        <v>110.1</v>
      </c>
      <c r="AB123" s="85" t="str">
        <v>是</v>
      </c>
      <c r="AC123" s="85" t="str">
        <v>是</v>
      </c>
      <c r="AD123" s="85" t="str">
        <v>是</v>
      </c>
      <c r="AE123" s="85" t="str">
        <v>无</v>
      </c>
      <c r="AF123" s="503" t="n">
        <v>13.14</v>
      </c>
      <c r="AG123" s="503" t="n">
        <v>0.82</v>
      </c>
      <c r="AH123" s="503" t="n">
        <v>0.899</v>
      </c>
      <c r="AI123" s="503" t="n">
        <v>0.989</v>
      </c>
      <c r="AJ123" s="503" t="n">
        <v>0.757</v>
      </c>
      <c r="AK123" s="78" t="str">
        <v>FrozenUncertain</v>
      </c>
      <c r="AL123" s="78" t="str">
        <v>否</v>
      </c>
      <c r="AM123" s="506" t="n">
        <v>0</v>
      </c>
      <c r="AN123" s="506" t="n">
        <v>0</v>
      </c>
      <c r="AO123" s="218" t="str"/>
    </row>
    <row r="124" ht="24" customHeight="1">
      <c r="A124" s="262" t="inlineStr">
        <is>
          <t xml:space="preserve">P020</t>
        </is>
      </c>
      <c r="B124" s="263" t="n">
        <v>6</v>
      </c>
      <c r="C124" s="263" t="inlineStr">
        <is>
          <t xml:space="preserve">O5-S1-OE</t>
        </is>
      </c>
      <c r="D124" s="263" t="n">
        <v>3</v>
      </c>
      <c r="E124" s="263" t="inlineStr">
        <is>
          <t xml:space="preserve">固定订书机</t>
        </is>
      </c>
      <c r="F124" s="263" t="inlineStr">
        <is>
          <t xml:space="preserve">stapler</t>
        </is>
      </c>
      <c r="G124" s="263" t="inlineStr">
        <is>
          <t xml:space="preserve">方法B</t>
        </is>
      </c>
      <c r="H124" s="263" t="inlineStr">
        <is>
          <t xml:space="preserve">EgoAnchor</t>
        </is>
      </c>
      <c r="I124" s="263" t="n">
        <v>2</v>
      </c>
      <c r="J124" s="263" t="n">
        <v>3</v>
      </c>
      <c r="K124" s="266" t="n">
        <v>4</v>
      </c>
      <c r="L124" s="266" t="n">
        <v>4</v>
      </c>
      <c r="M124" s="266" t="n">
        <v>5</v>
      </c>
      <c r="N124" s="278"/>
      <c r="O124" s="266" t="n">
        <v>4</v>
      </c>
      <c r="P124" s="266" t="n">
        <v>4</v>
      </c>
      <c r="Q124" s="266" t="n">
        <v>4</v>
      </c>
      <c r="R124" s="266" t="n">
        <v>4</v>
      </c>
      <c r="S124" s="266" t="n">
        <v>4</v>
      </c>
      <c r="T124" s="266" t="n">
        <v>5</v>
      </c>
      <c r="U124" s="266" t="n">
        <v>5</v>
      </c>
      <c r="V124" s="266" t="n">
        <v>3</v>
      </c>
      <c r="W124" s="266" t="n">
        <v>4</v>
      </c>
      <c r="X124" s="266" t="n">
        <v>5</v>
      </c>
      <c r="Y124" s="498" t="n">
        <v>46241.65527239583</v>
      </c>
      <c r="Z124" s="498" t="n">
        <v>46241.65643362269</v>
      </c>
      <c r="AA124" s="501" t="n">
        <v>100.3</v>
      </c>
      <c r="AB124" s="266" t="str">
        <v>是</v>
      </c>
      <c r="AC124" s="266" t="str">
        <v>是</v>
      </c>
      <c r="AD124" s="266" t="str">
        <v>是</v>
      </c>
      <c r="AE124" s="266" t="str">
        <v>无</v>
      </c>
      <c r="AF124" s="504" t="n">
        <v>12.87</v>
      </c>
      <c r="AG124" s="504" t="n">
        <v>0.844</v>
      </c>
      <c r="AH124" s="504" t="n">
        <v>0.901</v>
      </c>
      <c r="AI124" s="504" t="n">
        <v>0.989</v>
      </c>
      <c r="AJ124" s="504" t="n">
        <v>0.71</v>
      </c>
      <c r="AK124" s="279" t="str">
        <v>FrozenUncertain</v>
      </c>
      <c r="AL124" s="279" t="str">
        <v>否</v>
      </c>
      <c r="AM124" s="507" t="n">
        <v>1</v>
      </c>
      <c r="AN124" s="507" t="n">
        <v>4</v>
      </c>
      <c r="AO124" s="279" t="str"/>
    </row>
    <row r="125" ht="24" customHeight="1">
      <c r="A125" s="65" t="inlineStr">
        <is>
          <t xml:space="preserve">P021</t>
        </is>
      </c>
      <c r="B125" s="96" t="n">
        <v>1</v>
      </c>
      <c r="C125" s="96" t="inlineStr">
        <is>
          <t xml:space="preserve">O6-S1-EA</t>
        </is>
      </c>
      <c r="D125" s="96" t="n">
        <v>1</v>
      </c>
      <c r="E125" s="96" t="inlineStr">
        <is>
          <t xml:space="preserve">游戏手柄</t>
        </is>
      </c>
      <c r="F125" s="96" t="inlineStr">
        <is>
          <t xml:space="preserve">gamepad</t>
        </is>
      </c>
      <c r="G125" s="96" t="inlineStr">
        <is>
          <t xml:space="preserve">方法A</t>
        </is>
      </c>
      <c r="H125" s="96" t="inlineStr">
        <is>
          <t xml:space="preserve">EgoAnchor</t>
        </is>
      </c>
      <c r="I125" s="96" t="n">
        <v>1</v>
      </c>
      <c r="J125" s="96" t="n">
        <v>1</v>
      </c>
      <c r="K125" s="85" t="n">
        <v>6</v>
      </c>
      <c r="L125" s="85" t="n">
        <v>6</v>
      </c>
      <c r="M125" s="85" t="n">
        <v>5</v>
      </c>
      <c r="N125" s="75"/>
      <c r="O125" s="85" t="n">
        <v>4</v>
      </c>
      <c r="P125" s="85" t="n">
        <v>5</v>
      </c>
      <c r="Q125" s="85" t="n">
        <v>4</v>
      </c>
      <c r="R125" s="85" t="n">
        <v>5</v>
      </c>
      <c r="S125" s="85" t="n">
        <v>5</v>
      </c>
      <c r="T125" s="85" t="n">
        <v>5</v>
      </c>
      <c r="U125" s="85" t="n">
        <v>5</v>
      </c>
      <c r="V125" s="85" t="n">
        <v>5</v>
      </c>
      <c r="W125" s="85" t="n">
        <v>5</v>
      </c>
      <c r="X125" s="85" t="n">
        <v>5</v>
      </c>
      <c r="Y125" s="497" t="n">
        <v>46242.38458863426</v>
      </c>
      <c r="Z125" s="497" t="n">
        <v>46242.38534767361</v>
      </c>
      <c r="AA125" s="500" t="n">
        <v>65.6</v>
      </c>
      <c r="AB125" s="85" t="str">
        <v>是</v>
      </c>
      <c r="AC125" s="85" t="str">
        <v>是</v>
      </c>
      <c r="AD125" s="85" t="str">
        <v>是</v>
      </c>
      <c r="AE125" s="85" t="str">
        <v>无</v>
      </c>
      <c r="AF125" s="503" t="n">
        <v>13.34</v>
      </c>
      <c r="AG125" s="503" t="n">
        <v>0.786</v>
      </c>
      <c r="AH125" s="503" t="n">
        <v>0.855</v>
      </c>
      <c r="AI125" s="503" t="n">
        <v>0.987</v>
      </c>
      <c r="AJ125" s="503" t="n">
        <v>0.75</v>
      </c>
      <c r="AK125" s="78" t="str">
        <v>FrozenUncertain</v>
      </c>
      <c r="AL125" s="78" t="str">
        <v>否</v>
      </c>
      <c r="AM125" s="506" t="n">
        <v>1</v>
      </c>
      <c r="AN125" s="506" t="n">
        <v>4</v>
      </c>
      <c r="AO125" s="218" t="str"/>
    </row>
    <row r="126" ht="24" customHeight="1">
      <c r="A126" s="65" t="inlineStr">
        <is>
          <t xml:space="preserve">P021</t>
        </is>
      </c>
      <c r="B126" s="96" t="n">
        <v>2</v>
      </c>
      <c r="C126" s="96" t="inlineStr">
        <is>
          <t xml:space="preserve">O6-S1-EA</t>
        </is>
      </c>
      <c r="D126" s="96" t="n">
        <v>1</v>
      </c>
      <c r="E126" s="96" t="inlineStr">
        <is>
          <t xml:space="preserve">游戏手柄</t>
        </is>
      </c>
      <c r="F126" s="96" t="inlineStr">
        <is>
          <t xml:space="preserve">gamepad</t>
        </is>
      </c>
      <c r="G126" s="96" t="inlineStr">
        <is>
          <t xml:space="preserve">方法B</t>
        </is>
      </c>
      <c r="H126" s="96" t="inlineStr">
        <is>
          <t xml:space="preserve">One-Euro</t>
        </is>
      </c>
      <c r="I126" s="96" t="n">
        <v>2</v>
      </c>
      <c r="J126" s="96" t="n">
        <v>1</v>
      </c>
      <c r="K126" s="85" t="n">
        <v>5</v>
      </c>
      <c r="L126" s="85" t="n">
        <v>6</v>
      </c>
      <c r="M126" s="85" t="n">
        <v>5</v>
      </c>
      <c r="N126" s="75"/>
      <c r="O126" s="85" t="n">
        <v>4</v>
      </c>
      <c r="P126" s="85" t="n">
        <v>6</v>
      </c>
      <c r="Q126" s="85" t="n">
        <v>4</v>
      </c>
      <c r="R126" s="85" t="n">
        <v>5</v>
      </c>
      <c r="S126" s="85" t="n">
        <v>4</v>
      </c>
      <c r="T126" s="85" t="n">
        <v>5</v>
      </c>
      <c r="U126" s="85" t="n">
        <v>5</v>
      </c>
      <c r="V126" s="85" t="n">
        <v>5</v>
      </c>
      <c r="W126" s="85" t="n">
        <v>4</v>
      </c>
      <c r="X126" s="85" t="n">
        <v>6</v>
      </c>
      <c r="Y126" s="497" t="n">
        <v>46242.38625960648</v>
      </c>
      <c r="Z126" s="497" t="n">
        <v>46242.387529074076</v>
      </c>
      <c r="AA126" s="500" t="n">
        <v>109.7</v>
      </c>
      <c r="AB126" s="85" t="str">
        <v>是</v>
      </c>
      <c r="AC126" s="85" t="str">
        <v>是</v>
      </c>
      <c r="AD126" s="85" t="str">
        <v>是</v>
      </c>
      <c r="AE126" s="85" t="str">
        <v>无</v>
      </c>
      <c r="AF126" s="503" t="n">
        <v>13.56</v>
      </c>
      <c r="AG126" s="503" t="n">
        <v>0.873</v>
      </c>
      <c r="AH126" s="503" t="n">
        <v>0.892</v>
      </c>
      <c r="AI126" s="503" t="n">
        <v>0.991</v>
      </c>
      <c r="AJ126" s="503" t="n">
        <v>0.779</v>
      </c>
      <c r="AK126" s="78" t="str">
        <v>FrozenUncertain</v>
      </c>
      <c r="AL126" s="78" t="str">
        <v>否</v>
      </c>
      <c r="AM126" s="506" t="n">
        <v>1</v>
      </c>
      <c r="AN126" s="506" t="n">
        <v>0</v>
      </c>
      <c r="AO126" s="218" t="str"/>
    </row>
    <row r="127" ht="24" customHeight="1">
      <c r="A127" s="65" t="inlineStr">
        <is>
          <t xml:space="preserve">P021</t>
        </is>
      </c>
      <c r="B127" s="96" t="n">
        <v>3</v>
      </c>
      <c r="C127" s="96" t="inlineStr">
        <is>
          <t xml:space="preserve">O6-S1-EA</t>
        </is>
      </c>
      <c r="D127" s="96" t="n">
        <v>2</v>
      </c>
      <c r="E127" s="96" t="inlineStr">
        <is>
          <t xml:space="preserve">固定订书机</t>
        </is>
      </c>
      <c r="F127" s="96" t="inlineStr">
        <is>
          <t xml:space="preserve">stapler</t>
        </is>
      </c>
      <c r="G127" s="96" t="inlineStr">
        <is>
          <t xml:space="preserve">方法B</t>
        </is>
      </c>
      <c r="H127" s="96" t="inlineStr">
        <is>
          <t xml:space="preserve">One-Euro</t>
        </is>
      </c>
      <c r="I127" s="96" t="n">
        <v>1</v>
      </c>
      <c r="J127" s="96" t="n">
        <v>2</v>
      </c>
      <c r="K127" s="85" t="n">
        <v>4</v>
      </c>
      <c r="L127" s="85" t="n">
        <v>5</v>
      </c>
      <c r="M127" s="85" t="n">
        <v>5</v>
      </c>
      <c r="N127" s="75"/>
      <c r="O127" s="85" t="n">
        <v>7</v>
      </c>
      <c r="P127" s="85" t="n">
        <v>5</v>
      </c>
      <c r="Q127" s="85" t="n">
        <v>5</v>
      </c>
      <c r="R127" s="85" t="n">
        <v>6</v>
      </c>
      <c r="S127" s="85" t="n">
        <v>4</v>
      </c>
      <c r="T127" s="85" t="n">
        <v>5</v>
      </c>
      <c r="U127" s="85" t="n">
        <v>6</v>
      </c>
      <c r="V127" s="85" t="n">
        <v>4</v>
      </c>
      <c r="W127" s="85" t="n">
        <v>3</v>
      </c>
      <c r="X127" s="85" t="n">
        <v>5</v>
      </c>
      <c r="Y127" s="497" t="n">
        <v>46242.38844633102</v>
      </c>
      <c r="Z127" s="497" t="n">
        <v>46242.389824791666</v>
      </c>
      <c r="AA127" s="500" t="n">
        <v>119.1</v>
      </c>
      <c r="AB127" s="85" t="str">
        <v>是</v>
      </c>
      <c r="AC127" s="85" t="str">
        <v>是</v>
      </c>
      <c r="AD127" s="85" t="str">
        <v>是</v>
      </c>
      <c r="AE127" s="85" t="str">
        <v>无</v>
      </c>
      <c r="AF127" s="503" t="n">
        <v>12.69</v>
      </c>
      <c r="AG127" s="503" t="n">
        <v>0.784</v>
      </c>
      <c r="AH127" s="503" t="n">
        <v>0.88</v>
      </c>
      <c r="AI127" s="503" t="n">
        <v>0.995</v>
      </c>
      <c r="AJ127" s="503" t="n">
        <v>0.766</v>
      </c>
      <c r="AK127" s="78" t="str">
        <v>FrozenUncertain</v>
      </c>
      <c r="AL127" s="78" t="str">
        <v>否</v>
      </c>
      <c r="AM127" s="506" t="n">
        <v>1</v>
      </c>
      <c r="AN127" s="506" t="n">
        <v>0</v>
      </c>
      <c r="AO127" s="218" t="str"/>
    </row>
    <row r="128" ht="24" customHeight="1">
      <c r="A128" s="65" t="inlineStr">
        <is>
          <t xml:space="preserve">P021</t>
        </is>
      </c>
      <c r="B128" s="96" t="n">
        <v>4</v>
      </c>
      <c r="C128" s="96" t="inlineStr">
        <is>
          <t xml:space="preserve">O6-S1-EA</t>
        </is>
      </c>
      <c r="D128" s="96" t="n">
        <v>2</v>
      </c>
      <c r="E128" s="96" t="inlineStr">
        <is>
          <t xml:space="preserve">固定订书机</t>
        </is>
      </c>
      <c r="F128" s="96" t="inlineStr">
        <is>
          <t xml:space="preserve">stapler</t>
        </is>
      </c>
      <c r="G128" s="96" t="inlineStr">
        <is>
          <t xml:space="preserve">方法A</t>
        </is>
      </c>
      <c r="H128" s="96" t="inlineStr">
        <is>
          <t xml:space="preserve">EgoAnchor</t>
        </is>
      </c>
      <c r="I128" s="96" t="n">
        <v>2</v>
      </c>
      <c r="J128" s="96" t="n">
        <v>2</v>
      </c>
      <c r="K128" s="85" t="n">
        <v>7</v>
      </c>
      <c r="L128" s="85" t="n">
        <v>5</v>
      </c>
      <c r="M128" s="85" t="n">
        <v>5</v>
      </c>
      <c r="N128" s="75"/>
      <c r="O128" s="85" t="n">
        <v>4</v>
      </c>
      <c r="P128" s="85" t="n">
        <v>6</v>
      </c>
      <c r="Q128" s="85" t="n">
        <v>5</v>
      </c>
      <c r="R128" s="85" t="n">
        <v>7</v>
      </c>
      <c r="S128" s="85" t="n">
        <v>6</v>
      </c>
      <c r="T128" s="85" t="n">
        <v>6</v>
      </c>
      <c r="U128" s="85" t="n">
        <v>6</v>
      </c>
      <c r="V128" s="85" t="n">
        <v>6</v>
      </c>
      <c r="W128" s="85" t="n">
        <v>6</v>
      </c>
      <c r="X128" s="85" t="n">
        <v>5</v>
      </c>
      <c r="Y128" s="497" t="n">
        <v>46242.39065270833</v>
      </c>
      <c r="Z128" s="497" t="n">
        <v>46242.39209576389</v>
      </c>
      <c r="AA128" s="500" t="n">
        <v>124.7</v>
      </c>
      <c r="AB128" s="85" t="str">
        <v>是</v>
      </c>
      <c r="AC128" s="85" t="str">
        <v>是</v>
      </c>
      <c r="AD128" s="85" t="str">
        <v>是</v>
      </c>
      <c r="AE128" s="85" t="str">
        <v>无</v>
      </c>
      <c r="AF128" s="503" t="n">
        <v>12.83</v>
      </c>
      <c r="AG128" s="503" t="n">
        <v>0.8</v>
      </c>
      <c r="AH128" s="503" t="n">
        <v>0.92</v>
      </c>
      <c r="AI128" s="503" t="n">
        <v>0.998</v>
      </c>
      <c r="AJ128" s="503" t="n">
        <v>0.817</v>
      </c>
      <c r="AK128" s="78" t="str">
        <v>FrozenUncertain</v>
      </c>
      <c r="AL128" s="78" t="str">
        <v>否</v>
      </c>
      <c r="AM128" s="506" t="n">
        <v>1</v>
      </c>
      <c r="AN128" s="506" t="n">
        <v>2</v>
      </c>
      <c r="AO128" s="218" t="str"/>
    </row>
    <row r="129" ht="24" customHeight="1">
      <c r="A129" s="65" t="inlineStr">
        <is>
          <t xml:space="preserve">P021</t>
        </is>
      </c>
      <c r="B129" s="96" t="n">
        <v>5</v>
      </c>
      <c r="C129" s="96" t="inlineStr">
        <is>
          <t xml:space="preserve">O6-S1-EA</t>
        </is>
      </c>
      <c r="D129" s="96" t="n">
        <v>3</v>
      </c>
      <c r="E129" s="96" t="inlineStr">
        <is>
          <t xml:space="preserve">鼠标</t>
        </is>
      </c>
      <c r="F129" s="96" t="inlineStr">
        <is>
          <t xml:space="preserve">blue_mouse</t>
        </is>
      </c>
      <c r="G129" s="96" t="inlineStr">
        <is>
          <t xml:space="preserve">方法A</t>
        </is>
      </c>
      <c r="H129" s="96" t="inlineStr">
        <is>
          <t xml:space="preserve">EgoAnchor</t>
        </is>
      </c>
      <c r="I129" s="96" t="n">
        <v>1</v>
      </c>
      <c r="J129" s="96" t="n">
        <v>3</v>
      </c>
      <c r="K129" s="85" t="n">
        <v>7</v>
      </c>
      <c r="L129" s="85" t="n">
        <v>5</v>
      </c>
      <c r="M129" s="85" t="n">
        <v>5</v>
      </c>
      <c r="N129" s="75"/>
      <c r="O129" s="85" t="n">
        <v>6</v>
      </c>
      <c r="P129" s="85" t="n">
        <v>5</v>
      </c>
      <c r="Q129" s="85" t="n">
        <v>6</v>
      </c>
      <c r="R129" s="85" t="n">
        <v>5</v>
      </c>
      <c r="S129" s="85" t="n">
        <v>6</v>
      </c>
      <c r="T129" s="85" t="n">
        <v>6</v>
      </c>
      <c r="U129" s="85" t="n">
        <v>5</v>
      </c>
      <c r="V129" s="85" t="n">
        <v>6</v>
      </c>
      <c r="W129" s="85" t="n">
        <v>6</v>
      </c>
      <c r="X129" s="85" t="n">
        <v>7</v>
      </c>
      <c r="Y129" s="497" t="n">
        <v>46242.3930753125</v>
      </c>
      <c r="Z129" s="497" t="n">
        <v>46242.3942690625</v>
      </c>
      <c r="AA129" s="500" t="n">
        <v>103.1</v>
      </c>
      <c r="AB129" s="85" t="str">
        <v>是</v>
      </c>
      <c r="AC129" s="85" t="str">
        <v>是</v>
      </c>
      <c r="AD129" s="85" t="str">
        <v>是</v>
      </c>
      <c r="AE129" s="85" t="str">
        <v>无</v>
      </c>
      <c r="AF129" s="503" t="n">
        <v>13.02</v>
      </c>
      <c r="AG129" s="503" t="n">
        <v>0.759</v>
      </c>
      <c r="AH129" s="503" t="n">
        <v>0.844</v>
      </c>
      <c r="AI129" s="503" t="n">
        <v>0.986</v>
      </c>
      <c r="AJ129" s="503" t="n">
        <v>0.704</v>
      </c>
      <c r="AK129" s="78" t="str">
        <v>FrozenUncertain</v>
      </c>
      <c r="AL129" s="78" t="str">
        <v>否</v>
      </c>
      <c r="AM129" s="506" t="n">
        <v>1</v>
      </c>
      <c r="AN129" s="506" t="n">
        <v>3</v>
      </c>
      <c r="AO129" s="218" t="str"/>
    </row>
    <row r="130" ht="24" customHeight="1">
      <c r="A130" s="262" t="inlineStr">
        <is>
          <t xml:space="preserve">P021</t>
        </is>
      </c>
      <c r="B130" s="263" t="n">
        <v>6</v>
      </c>
      <c r="C130" s="263" t="inlineStr">
        <is>
          <t xml:space="preserve">O6-S1-EA</t>
        </is>
      </c>
      <c r="D130" s="263" t="n">
        <v>3</v>
      </c>
      <c r="E130" s="263" t="inlineStr">
        <is>
          <t xml:space="preserve">鼠标</t>
        </is>
      </c>
      <c r="F130" s="263" t="inlineStr">
        <is>
          <t xml:space="preserve">blue_mouse</t>
        </is>
      </c>
      <c r="G130" s="263" t="inlineStr">
        <is>
          <t xml:space="preserve">方法B</t>
        </is>
      </c>
      <c r="H130" s="263" t="inlineStr">
        <is>
          <t xml:space="preserve">One-Euro</t>
        </is>
      </c>
      <c r="I130" s="263" t="n">
        <v>2</v>
      </c>
      <c r="J130" s="263" t="n">
        <v>3</v>
      </c>
      <c r="K130" s="266" t="n">
        <v>5</v>
      </c>
      <c r="L130" s="266" t="n">
        <v>5</v>
      </c>
      <c r="M130" s="266" t="n">
        <v>6</v>
      </c>
      <c r="N130" s="278"/>
      <c r="O130" s="266" t="n">
        <v>4</v>
      </c>
      <c r="P130" s="266" t="n">
        <v>5</v>
      </c>
      <c r="Q130" s="266" t="n">
        <v>4</v>
      </c>
      <c r="R130" s="266" t="n">
        <v>5</v>
      </c>
      <c r="S130" s="266" t="n">
        <v>4</v>
      </c>
      <c r="T130" s="266" t="n">
        <v>5</v>
      </c>
      <c r="U130" s="266" t="n">
        <v>5</v>
      </c>
      <c r="V130" s="266" t="n">
        <v>5</v>
      </c>
      <c r="W130" s="266" t="n">
        <v>5</v>
      </c>
      <c r="X130" s="266" t="n">
        <v>5</v>
      </c>
      <c r="Y130" s="498" t="n">
        <v>46242.395287569445</v>
      </c>
      <c r="Z130" s="498" t="n">
        <v>46242.39630125</v>
      </c>
      <c r="AA130" s="501" t="n">
        <v>87.6</v>
      </c>
      <c r="AB130" s="266" t="str">
        <v>是</v>
      </c>
      <c r="AC130" s="266" t="str">
        <v>是</v>
      </c>
      <c r="AD130" s="266" t="str">
        <v>是</v>
      </c>
      <c r="AE130" s="266" t="str">
        <v>无</v>
      </c>
      <c r="AF130" s="504" t="n">
        <v>14.1</v>
      </c>
      <c r="AG130" s="504" t="n">
        <v>0.779</v>
      </c>
      <c r="AH130" s="504" t="n">
        <v>0.864</v>
      </c>
      <c r="AI130" s="504" t="n">
        <v>1</v>
      </c>
      <c r="AJ130" s="504" t="n">
        <v>0.736</v>
      </c>
      <c r="AK130" s="279" t="str">
        <v>FrozenUncertain</v>
      </c>
      <c r="AL130" s="279" t="str">
        <v>否</v>
      </c>
      <c r="AM130" s="507" t="n">
        <v>1</v>
      </c>
      <c r="AN130" s="507" t="n">
        <v>0</v>
      </c>
      <c r="AO130" s="279" t="str">
        <v>遮挡恢复后出现一次小跳变</v>
      </c>
    </row>
    <row r="131" ht="24" customHeight="1">
      <c r="A131" s="65" t="inlineStr">
        <is>
          <t xml:space="preserve">P022</t>
        </is>
      </c>
      <c r="B131" s="96" t="n">
        <v>1</v>
      </c>
      <c r="C131" s="96" t="inlineStr">
        <is>
          <t xml:space="preserve">O6-S2-EA</t>
        </is>
      </c>
      <c r="D131" s="96" t="n">
        <v>1</v>
      </c>
      <c r="E131" s="96" t="inlineStr">
        <is>
          <t xml:space="preserve">游戏手柄</t>
        </is>
      </c>
      <c r="F131" s="96" t="inlineStr">
        <is>
          <t xml:space="preserve">gamepad</t>
        </is>
      </c>
      <c r="G131" s="96" t="inlineStr">
        <is>
          <t xml:space="preserve">方法B</t>
        </is>
      </c>
      <c r="H131" s="96" t="inlineStr">
        <is>
          <t xml:space="preserve">One-Euro</t>
        </is>
      </c>
      <c r="I131" s="96" t="n">
        <v>1</v>
      </c>
      <c r="J131" s="96" t="n">
        <v>1</v>
      </c>
      <c r="K131" s="85" t="n">
        <v>5</v>
      </c>
      <c r="L131" s="85" t="n">
        <v>5</v>
      </c>
      <c r="M131" s="85" t="n">
        <v>5</v>
      </c>
      <c r="N131" s="75"/>
      <c r="O131" s="85" t="n">
        <v>5</v>
      </c>
      <c r="P131" s="85" t="n">
        <v>4</v>
      </c>
      <c r="Q131" s="85" t="n">
        <v>3</v>
      </c>
      <c r="R131" s="85" t="n">
        <v>5</v>
      </c>
      <c r="S131" s="85" t="n">
        <v>6</v>
      </c>
      <c r="T131" s="85" t="n">
        <v>3</v>
      </c>
      <c r="U131" s="85" t="n">
        <v>5</v>
      </c>
      <c r="V131" s="85" t="n">
        <v>4</v>
      </c>
      <c r="W131" s="85" t="n">
        <v>4</v>
      </c>
      <c r="X131" s="85" t="n">
        <v>4</v>
      </c>
      <c r="Y131" s="497" t="n">
        <v>46242.461943125</v>
      </c>
      <c r="Z131" s="497" t="n">
        <v>46242.463201805556</v>
      </c>
      <c r="AA131" s="500" t="n">
        <v>108.8</v>
      </c>
      <c r="AB131" s="85" t="str">
        <v>是</v>
      </c>
      <c r="AC131" s="85" t="str">
        <v>是</v>
      </c>
      <c r="AD131" s="85" t="str">
        <v>是</v>
      </c>
      <c r="AE131" s="85" t="str">
        <v>无</v>
      </c>
      <c r="AF131" s="503" t="n">
        <v>12.87</v>
      </c>
      <c r="AG131" s="503" t="n">
        <v>0.757</v>
      </c>
      <c r="AH131" s="503" t="n">
        <v>0.87</v>
      </c>
      <c r="AI131" s="503" t="n">
        <v>0.989</v>
      </c>
      <c r="AJ131" s="503" t="n">
        <v>0.779</v>
      </c>
      <c r="AK131" s="78" t="str">
        <v>FrozenUncertain</v>
      </c>
      <c r="AL131" s="78" t="str">
        <v>否</v>
      </c>
      <c r="AM131" s="506" t="n">
        <v>1</v>
      </c>
      <c r="AN131" s="506" t="n">
        <v>0</v>
      </c>
      <c r="AO131" s="218" t="str"/>
    </row>
    <row r="132" ht="24" customHeight="1">
      <c r="A132" s="65" t="inlineStr">
        <is>
          <t xml:space="preserve">P022</t>
        </is>
      </c>
      <c r="B132" s="96" t="n">
        <v>2</v>
      </c>
      <c r="C132" s="96" t="inlineStr">
        <is>
          <t xml:space="preserve">O6-S2-EA</t>
        </is>
      </c>
      <c r="D132" s="96" t="n">
        <v>1</v>
      </c>
      <c r="E132" s="96" t="inlineStr">
        <is>
          <t xml:space="preserve">游戏手柄</t>
        </is>
      </c>
      <c r="F132" s="96" t="inlineStr">
        <is>
          <t xml:space="preserve">gamepad</t>
        </is>
      </c>
      <c r="G132" s="96" t="inlineStr">
        <is>
          <t xml:space="preserve">方法A</t>
        </is>
      </c>
      <c r="H132" s="96" t="inlineStr">
        <is>
          <t xml:space="preserve">EgoAnchor</t>
        </is>
      </c>
      <c r="I132" s="96" t="n">
        <v>2</v>
      </c>
      <c r="J132" s="96" t="n">
        <v>1</v>
      </c>
      <c r="K132" s="85" t="n">
        <v>6</v>
      </c>
      <c r="L132" s="85" t="n">
        <v>6</v>
      </c>
      <c r="M132" s="85" t="n">
        <v>6</v>
      </c>
      <c r="N132" s="75"/>
      <c r="O132" s="85" t="n">
        <v>7</v>
      </c>
      <c r="P132" s="85" t="n">
        <v>5</v>
      </c>
      <c r="Q132" s="85" t="n">
        <v>6</v>
      </c>
      <c r="R132" s="85" t="n">
        <v>7</v>
      </c>
      <c r="S132" s="85" t="n">
        <v>5</v>
      </c>
      <c r="T132" s="85" t="n">
        <v>5</v>
      </c>
      <c r="U132" s="85" t="n">
        <v>6</v>
      </c>
      <c r="V132" s="85" t="n">
        <v>6</v>
      </c>
      <c r="W132" s="85" t="n">
        <v>5</v>
      </c>
      <c r="X132" s="85" t="n">
        <v>6</v>
      </c>
      <c r="Y132" s="497" t="n">
        <v>46242.46409482639</v>
      </c>
      <c r="Z132" s="497" t="n">
        <v>46242.46522133102</v>
      </c>
      <c r="AA132" s="500" t="n">
        <v>97.3</v>
      </c>
      <c r="AB132" s="85" t="str">
        <v>是</v>
      </c>
      <c r="AC132" s="85" t="str">
        <v>是</v>
      </c>
      <c r="AD132" s="85" t="str">
        <v>是</v>
      </c>
      <c r="AE132" s="85" t="str">
        <v>无</v>
      </c>
      <c r="AF132" s="503" t="n">
        <v>13.56</v>
      </c>
      <c r="AG132" s="503" t="n">
        <v>0.824</v>
      </c>
      <c r="AH132" s="503" t="n">
        <v>0.842</v>
      </c>
      <c r="AI132" s="503" t="n">
        <v>0.984</v>
      </c>
      <c r="AJ132" s="503" t="n">
        <v>0.74</v>
      </c>
      <c r="AK132" s="78" t="str">
        <v>FrozenUncertain</v>
      </c>
      <c r="AL132" s="78" t="str">
        <v>否</v>
      </c>
      <c r="AM132" s="506" t="n">
        <v>0</v>
      </c>
      <c r="AN132" s="506" t="n">
        <v>3</v>
      </c>
      <c r="AO132" s="218" t="str"/>
    </row>
    <row r="133" ht="24" customHeight="1">
      <c r="A133" s="65" t="inlineStr">
        <is>
          <t xml:space="preserve">P022</t>
        </is>
      </c>
      <c r="B133" s="96" t="n">
        <v>3</v>
      </c>
      <c r="C133" s="96" t="inlineStr">
        <is>
          <t xml:space="preserve">O6-S2-EA</t>
        </is>
      </c>
      <c r="D133" s="96" t="n">
        <v>2</v>
      </c>
      <c r="E133" s="96" t="inlineStr">
        <is>
          <t xml:space="preserve">固定订书机</t>
        </is>
      </c>
      <c r="F133" s="96" t="inlineStr">
        <is>
          <t xml:space="preserve">stapler</t>
        </is>
      </c>
      <c r="G133" s="96" t="inlineStr">
        <is>
          <t xml:space="preserve">方法A</t>
        </is>
      </c>
      <c r="H133" s="96" t="inlineStr">
        <is>
          <t xml:space="preserve">EgoAnchor</t>
        </is>
      </c>
      <c r="I133" s="96" t="n">
        <v>1</v>
      </c>
      <c r="J133" s="96" t="n">
        <v>2</v>
      </c>
      <c r="K133" s="85" t="n">
        <v>6</v>
      </c>
      <c r="L133" s="85" t="n">
        <v>6</v>
      </c>
      <c r="M133" s="85" t="n">
        <v>6</v>
      </c>
      <c r="N133" s="75"/>
      <c r="O133" s="85" t="n">
        <v>4</v>
      </c>
      <c r="P133" s="85" t="n">
        <v>7</v>
      </c>
      <c r="Q133" s="85" t="n">
        <v>5</v>
      </c>
      <c r="R133" s="85" t="n">
        <v>7</v>
      </c>
      <c r="S133" s="85" t="n">
        <v>5</v>
      </c>
      <c r="T133" s="85" t="n">
        <v>6</v>
      </c>
      <c r="U133" s="85" t="n">
        <v>6</v>
      </c>
      <c r="V133" s="85" t="n">
        <v>5</v>
      </c>
      <c r="W133" s="85" t="n">
        <v>5</v>
      </c>
      <c r="X133" s="85" t="n">
        <v>6</v>
      </c>
      <c r="Y133" s="497" t="n">
        <v>46242.466193541666</v>
      </c>
      <c r="Z133" s="497" t="n">
        <v>46242.46748556713</v>
      </c>
      <c r="AA133" s="500" t="n">
        <v>111.6</v>
      </c>
      <c r="AB133" s="85" t="str">
        <v>是</v>
      </c>
      <c r="AC133" s="85" t="str">
        <v>是</v>
      </c>
      <c r="AD133" s="85" t="str">
        <v>是</v>
      </c>
      <c r="AE133" s="85" t="str">
        <v>无</v>
      </c>
      <c r="AF133" s="503" t="n">
        <v>12.63</v>
      </c>
      <c r="AG133" s="503" t="n">
        <v>0.756</v>
      </c>
      <c r="AH133" s="503" t="n">
        <v>0.917</v>
      </c>
      <c r="AI133" s="503" t="n">
        <v>0.99</v>
      </c>
      <c r="AJ133" s="503" t="n">
        <v>0.736</v>
      </c>
      <c r="AK133" s="78" t="str">
        <v>FrozenUncertain</v>
      </c>
      <c r="AL133" s="78" t="str">
        <v>否</v>
      </c>
      <c r="AM133" s="506" t="n">
        <v>1</v>
      </c>
      <c r="AN133" s="506" t="n">
        <v>2</v>
      </c>
      <c r="AO133" s="218" t="str"/>
    </row>
    <row r="134" ht="24" customHeight="1">
      <c r="A134" s="65" t="inlineStr">
        <is>
          <t xml:space="preserve">P022</t>
        </is>
      </c>
      <c r="B134" s="96" t="n">
        <v>4</v>
      </c>
      <c r="C134" s="96" t="inlineStr">
        <is>
          <t xml:space="preserve">O6-S2-EA</t>
        </is>
      </c>
      <c r="D134" s="96" t="n">
        <v>2</v>
      </c>
      <c r="E134" s="96" t="inlineStr">
        <is>
          <t xml:space="preserve">固定订书机</t>
        </is>
      </c>
      <c r="F134" s="96" t="inlineStr">
        <is>
          <t xml:space="preserve">stapler</t>
        </is>
      </c>
      <c r="G134" s="96" t="inlineStr">
        <is>
          <t xml:space="preserve">方法B</t>
        </is>
      </c>
      <c r="H134" s="96" t="inlineStr">
        <is>
          <t xml:space="preserve">One-Euro</t>
        </is>
      </c>
      <c r="I134" s="96" t="n">
        <v>2</v>
      </c>
      <c r="J134" s="96" t="n">
        <v>2</v>
      </c>
      <c r="K134" s="85" t="n">
        <v>4</v>
      </c>
      <c r="L134" s="85" t="n">
        <v>6</v>
      </c>
      <c r="M134" s="85" t="n">
        <v>4</v>
      </c>
      <c r="N134" s="75"/>
      <c r="O134" s="85" t="n">
        <v>5</v>
      </c>
      <c r="P134" s="85" t="n">
        <v>7</v>
      </c>
      <c r="Q134" s="85" t="n">
        <v>5</v>
      </c>
      <c r="R134" s="85" t="n">
        <v>4</v>
      </c>
      <c r="S134" s="85" t="n">
        <v>6</v>
      </c>
      <c r="T134" s="85" t="n">
        <v>5</v>
      </c>
      <c r="U134" s="85" t="n">
        <v>5</v>
      </c>
      <c r="V134" s="85" t="n">
        <v>5</v>
      </c>
      <c r="W134" s="85" t="n">
        <v>5</v>
      </c>
      <c r="X134" s="85" t="n">
        <v>5</v>
      </c>
      <c r="Y134" s="497" t="n">
        <v>46242.46856444445</v>
      </c>
      <c r="Z134" s="497" t="n">
        <v>46242.469442361114</v>
      </c>
      <c r="AA134" s="500" t="n">
        <v>75.9</v>
      </c>
      <c r="AB134" s="85" t="str">
        <v>是</v>
      </c>
      <c r="AC134" s="85" t="str">
        <v>是</v>
      </c>
      <c r="AD134" s="85" t="str">
        <v>是</v>
      </c>
      <c r="AE134" s="85" t="str">
        <v>无</v>
      </c>
      <c r="AF134" s="503" t="n">
        <v>11.97</v>
      </c>
      <c r="AG134" s="503" t="n">
        <v>0.826</v>
      </c>
      <c r="AH134" s="503" t="n">
        <v>0.895</v>
      </c>
      <c r="AI134" s="503" t="n">
        <v>0.994</v>
      </c>
      <c r="AJ134" s="503" t="n">
        <v>0.802</v>
      </c>
      <c r="AK134" s="78" t="str">
        <v>FrozenUncertain</v>
      </c>
      <c r="AL134" s="78" t="str">
        <v>否</v>
      </c>
      <c r="AM134" s="506" t="n">
        <v>1</v>
      </c>
      <c r="AN134" s="506" t="n">
        <v>0</v>
      </c>
      <c r="AO134" s="218" t="str"/>
    </row>
    <row r="135" ht="24" customHeight="1">
      <c r="A135" s="65" t="inlineStr">
        <is>
          <t xml:space="preserve">P022</t>
        </is>
      </c>
      <c r="B135" s="96" t="n">
        <v>5</v>
      </c>
      <c r="C135" s="96" t="inlineStr">
        <is>
          <t xml:space="preserve">O6-S2-EA</t>
        </is>
      </c>
      <c r="D135" s="96" t="n">
        <v>3</v>
      </c>
      <c r="E135" s="96" t="inlineStr">
        <is>
          <t xml:space="preserve">鼠标</t>
        </is>
      </c>
      <c r="F135" s="96" t="inlineStr">
        <is>
          <t xml:space="preserve">blue_mouse</t>
        </is>
      </c>
      <c r="G135" s="96" t="inlineStr">
        <is>
          <t xml:space="preserve">方法B</t>
        </is>
      </c>
      <c r="H135" s="96" t="inlineStr">
        <is>
          <t xml:space="preserve">One-Euro</t>
        </is>
      </c>
      <c r="I135" s="96" t="n">
        <v>1</v>
      </c>
      <c r="J135" s="96" t="n">
        <v>3</v>
      </c>
      <c r="K135" s="85" t="n">
        <v>4</v>
      </c>
      <c r="L135" s="85" t="n">
        <v>6</v>
      </c>
      <c r="M135" s="85" t="n">
        <v>5</v>
      </c>
      <c r="N135" s="75"/>
      <c r="O135" s="85" t="n">
        <v>5</v>
      </c>
      <c r="P135" s="85" t="n">
        <v>6</v>
      </c>
      <c r="Q135" s="85" t="n">
        <v>4</v>
      </c>
      <c r="R135" s="85" t="n">
        <v>5</v>
      </c>
      <c r="S135" s="85" t="n">
        <v>5</v>
      </c>
      <c r="T135" s="85" t="n">
        <v>5</v>
      </c>
      <c r="U135" s="85" t="n">
        <v>6</v>
      </c>
      <c r="V135" s="85" t="n">
        <v>5</v>
      </c>
      <c r="W135" s="85" t="n">
        <v>4</v>
      </c>
      <c r="X135" s="85" t="n">
        <v>4</v>
      </c>
      <c r="Y135" s="497" t="n">
        <v>46242.47032216435</v>
      </c>
      <c r="Z135" s="497" t="n">
        <v>46242.47147869213</v>
      </c>
      <c r="AA135" s="500" t="n">
        <v>99.9</v>
      </c>
      <c r="AB135" s="85" t="str">
        <v>是</v>
      </c>
      <c r="AC135" s="85" t="str">
        <v>是</v>
      </c>
      <c r="AD135" s="85" t="str">
        <v>是</v>
      </c>
      <c r="AE135" s="85" t="str">
        <v>无</v>
      </c>
      <c r="AF135" s="503" t="n">
        <v>11.37</v>
      </c>
      <c r="AG135" s="503" t="n">
        <v>0.787</v>
      </c>
      <c r="AH135" s="503" t="n">
        <v>0.85</v>
      </c>
      <c r="AI135" s="503" t="n">
        <v>0.985</v>
      </c>
      <c r="AJ135" s="503" t="n">
        <v>0.774</v>
      </c>
      <c r="AK135" s="78" t="str">
        <v>FrozenUncertain</v>
      </c>
      <c r="AL135" s="78" t="str">
        <v>否</v>
      </c>
      <c r="AM135" s="506" t="n">
        <v>1</v>
      </c>
      <c r="AN135" s="506" t="n">
        <v>0</v>
      </c>
      <c r="AO135" s="218" t="str">
        <v>遮挡恢复后出现一次小跳变</v>
      </c>
    </row>
    <row r="136" ht="24" customHeight="1">
      <c r="A136" s="262" t="inlineStr">
        <is>
          <t xml:space="preserve">P022</t>
        </is>
      </c>
      <c r="B136" s="263" t="n">
        <v>6</v>
      </c>
      <c r="C136" s="263" t="inlineStr">
        <is>
          <t xml:space="preserve">O6-S2-EA</t>
        </is>
      </c>
      <c r="D136" s="263" t="n">
        <v>3</v>
      </c>
      <c r="E136" s="263" t="inlineStr">
        <is>
          <t xml:space="preserve">鼠标</t>
        </is>
      </c>
      <c r="F136" s="263" t="inlineStr">
        <is>
          <t xml:space="preserve">blue_mouse</t>
        </is>
      </c>
      <c r="G136" s="263" t="inlineStr">
        <is>
          <t xml:space="preserve">方法A</t>
        </is>
      </c>
      <c r="H136" s="263" t="inlineStr">
        <is>
          <t xml:space="preserve">EgoAnchor</t>
        </is>
      </c>
      <c r="I136" s="263" t="n">
        <v>2</v>
      </c>
      <c r="J136" s="263" t="n">
        <v>3</v>
      </c>
      <c r="K136" s="266" t="n">
        <v>4</v>
      </c>
      <c r="L136" s="266" t="n">
        <v>6</v>
      </c>
      <c r="M136" s="266" t="n">
        <v>5</v>
      </c>
      <c r="N136" s="278"/>
      <c r="O136" s="266" t="n">
        <v>6</v>
      </c>
      <c r="P136" s="266" t="n">
        <v>6</v>
      </c>
      <c r="Q136" s="266" t="n">
        <v>4</v>
      </c>
      <c r="R136" s="266" t="n">
        <v>6</v>
      </c>
      <c r="S136" s="266" t="n">
        <v>5</v>
      </c>
      <c r="T136" s="266" t="n">
        <v>6</v>
      </c>
      <c r="U136" s="266" t="n">
        <v>6</v>
      </c>
      <c r="V136" s="266" t="n">
        <v>5</v>
      </c>
      <c r="W136" s="266" t="n">
        <v>5</v>
      </c>
      <c r="X136" s="266" t="n">
        <v>5</v>
      </c>
      <c r="Y136" s="498" t="n">
        <v>46242.472551238425</v>
      </c>
      <c r="Z136" s="498" t="n">
        <v>46242.47388592592</v>
      </c>
      <c r="AA136" s="501" t="n">
        <v>115.3</v>
      </c>
      <c r="AB136" s="266" t="str">
        <v>是</v>
      </c>
      <c r="AC136" s="266" t="str">
        <v>是</v>
      </c>
      <c r="AD136" s="266" t="str">
        <v>是</v>
      </c>
      <c r="AE136" s="266" t="str">
        <v>无</v>
      </c>
      <c r="AF136" s="504" t="n">
        <v>13.13</v>
      </c>
      <c r="AG136" s="504" t="n">
        <v>0.785</v>
      </c>
      <c r="AH136" s="504" t="n">
        <v>0.893</v>
      </c>
      <c r="AI136" s="504" t="n">
        <v>0.99</v>
      </c>
      <c r="AJ136" s="504" t="n">
        <v>0.794</v>
      </c>
      <c r="AK136" s="279" t="str">
        <v>FrozenUncertain</v>
      </c>
      <c r="AL136" s="279" t="str">
        <v>否</v>
      </c>
      <c r="AM136" s="507" t="n">
        <v>1</v>
      </c>
      <c r="AN136" s="507" t="n">
        <v>2</v>
      </c>
      <c r="AO136" s="279" t="str">
        <v>遮挡恢复后出现一次小跳变</v>
      </c>
    </row>
    <row r="137" ht="24" customHeight="1">
      <c r="A137" s="65" t="inlineStr">
        <is>
          <t xml:space="preserve">P023</t>
        </is>
      </c>
      <c r="B137" s="96" t="n">
        <v>1</v>
      </c>
      <c r="C137" s="96" t="inlineStr">
        <is>
          <t xml:space="preserve">O6-S2-OE</t>
        </is>
      </c>
      <c r="D137" s="96" t="n">
        <v>1</v>
      </c>
      <c r="E137" s="96" t="inlineStr">
        <is>
          <t xml:space="preserve">游戏手柄</t>
        </is>
      </c>
      <c r="F137" s="96" t="inlineStr">
        <is>
          <t xml:space="preserve">gamepad</t>
        </is>
      </c>
      <c r="G137" s="96" t="inlineStr">
        <is>
          <t xml:space="preserve">方法B</t>
        </is>
      </c>
      <c r="H137" s="96" t="inlineStr">
        <is>
          <t xml:space="preserve">EgoAnchor</t>
        </is>
      </c>
      <c r="I137" s="96" t="n">
        <v>1</v>
      </c>
      <c r="J137" s="96" t="n">
        <v>1</v>
      </c>
      <c r="K137" s="85" t="n">
        <v>6</v>
      </c>
      <c r="L137" s="85" t="n">
        <v>4</v>
      </c>
      <c r="M137" s="85" t="n">
        <v>6</v>
      </c>
      <c r="N137" s="75"/>
      <c r="O137" s="85" t="n">
        <v>5</v>
      </c>
      <c r="P137" s="85" t="n">
        <v>6</v>
      </c>
      <c r="Q137" s="85" t="n">
        <v>6</v>
      </c>
      <c r="R137" s="85" t="n">
        <v>6</v>
      </c>
      <c r="S137" s="85" t="n">
        <v>4</v>
      </c>
      <c r="T137" s="85" t="n">
        <v>5</v>
      </c>
      <c r="U137" s="85" t="n">
        <v>7</v>
      </c>
      <c r="V137" s="85" t="n">
        <v>6</v>
      </c>
      <c r="W137" s="85" t="n">
        <v>6</v>
      </c>
      <c r="X137" s="85" t="n">
        <v>6</v>
      </c>
      <c r="Y137" s="497" t="n">
        <v>46242.57274094907</v>
      </c>
      <c r="Z137" s="497" t="n">
        <v>46242.574032662036</v>
      </c>
      <c r="AA137" s="500" t="n">
        <v>111.6</v>
      </c>
      <c r="AB137" s="85" t="str">
        <v>是</v>
      </c>
      <c r="AC137" s="85" t="str">
        <v>是</v>
      </c>
      <c r="AD137" s="85" t="str">
        <v>是</v>
      </c>
      <c r="AE137" s="85" t="str">
        <v>无</v>
      </c>
      <c r="AF137" s="503" t="n">
        <v>12.05</v>
      </c>
      <c r="AG137" s="503" t="n">
        <v>0.79</v>
      </c>
      <c r="AH137" s="503" t="n">
        <v>0.9</v>
      </c>
      <c r="AI137" s="503" t="n">
        <v>0.99</v>
      </c>
      <c r="AJ137" s="503" t="n">
        <v>0.783</v>
      </c>
      <c r="AK137" s="78" t="str">
        <v>FrozenUncertain</v>
      </c>
      <c r="AL137" s="78" t="str">
        <v>否</v>
      </c>
      <c r="AM137" s="506" t="n">
        <v>1</v>
      </c>
      <c r="AN137" s="506" t="n">
        <v>2</v>
      </c>
      <c r="AO137" s="218" t="str"/>
    </row>
    <row r="138" ht="24" customHeight="1">
      <c r="A138" s="65" t="inlineStr">
        <is>
          <t xml:space="preserve">P023</t>
        </is>
      </c>
      <c r="B138" s="96" t="n">
        <v>2</v>
      </c>
      <c r="C138" s="96" t="inlineStr">
        <is>
          <t xml:space="preserve">O6-S2-OE</t>
        </is>
      </c>
      <c r="D138" s="96" t="n">
        <v>1</v>
      </c>
      <c r="E138" s="96" t="inlineStr">
        <is>
          <t xml:space="preserve">游戏手柄</t>
        </is>
      </c>
      <c r="F138" s="96" t="inlineStr">
        <is>
          <t xml:space="preserve">gamepad</t>
        </is>
      </c>
      <c r="G138" s="96" t="inlineStr">
        <is>
          <t xml:space="preserve">方法A</t>
        </is>
      </c>
      <c r="H138" s="96" t="inlineStr">
        <is>
          <t xml:space="preserve">One-Euro</t>
        </is>
      </c>
      <c r="I138" s="96" t="n">
        <v>2</v>
      </c>
      <c r="J138" s="96" t="n">
        <v>1</v>
      </c>
      <c r="K138" s="85" t="n">
        <v>4</v>
      </c>
      <c r="L138" s="85" t="n">
        <v>6</v>
      </c>
      <c r="M138" s="85" t="n">
        <v>7</v>
      </c>
      <c r="N138" s="75"/>
      <c r="O138" s="85" t="n">
        <v>7</v>
      </c>
      <c r="P138" s="85" t="n">
        <v>4</v>
      </c>
      <c r="Q138" s="85" t="n">
        <v>5</v>
      </c>
      <c r="R138" s="85" t="n">
        <v>5</v>
      </c>
      <c r="S138" s="85" t="n">
        <v>5</v>
      </c>
      <c r="T138" s="85" t="n">
        <v>5</v>
      </c>
      <c r="U138" s="85" t="n">
        <v>6</v>
      </c>
      <c r="V138" s="85" t="n">
        <v>4</v>
      </c>
      <c r="W138" s="85" t="n">
        <v>5</v>
      </c>
      <c r="X138" s="85" t="n">
        <v>5</v>
      </c>
      <c r="Y138" s="497" t="n">
        <v>46242.57487642361</v>
      </c>
      <c r="Z138" s="497" t="n">
        <v>46242.57602918981</v>
      </c>
      <c r="AA138" s="500" t="n">
        <v>99.6</v>
      </c>
      <c r="AB138" s="85" t="str">
        <v>是</v>
      </c>
      <c r="AC138" s="85" t="str">
        <v>是</v>
      </c>
      <c r="AD138" s="85" t="str">
        <v>是</v>
      </c>
      <c r="AE138" s="85" t="str">
        <v>无</v>
      </c>
      <c r="AF138" s="503" t="n">
        <v>13.34</v>
      </c>
      <c r="AG138" s="503" t="n">
        <v>0.82</v>
      </c>
      <c r="AH138" s="503" t="n">
        <v>0.862</v>
      </c>
      <c r="AI138" s="503" t="n">
        <v>0.993</v>
      </c>
      <c r="AJ138" s="503" t="n">
        <v>0.754</v>
      </c>
      <c r="AK138" s="78" t="str">
        <v>FrozenUncertain</v>
      </c>
      <c r="AL138" s="78" t="str">
        <v>否</v>
      </c>
      <c r="AM138" s="506" t="n">
        <v>1</v>
      </c>
      <c r="AN138" s="506" t="n">
        <v>0</v>
      </c>
      <c r="AO138" s="218" t="str"/>
    </row>
    <row r="139" ht="24" customHeight="1">
      <c r="A139" s="65" t="inlineStr">
        <is>
          <t xml:space="preserve">P023</t>
        </is>
      </c>
      <c r="B139" s="96" t="n">
        <v>3</v>
      </c>
      <c r="C139" s="96" t="inlineStr">
        <is>
          <t xml:space="preserve">O6-S2-OE</t>
        </is>
      </c>
      <c r="D139" s="96" t="n">
        <v>2</v>
      </c>
      <c r="E139" s="96" t="inlineStr">
        <is>
          <t xml:space="preserve">固定订书机</t>
        </is>
      </c>
      <c r="F139" s="96" t="inlineStr">
        <is>
          <t xml:space="preserve">stapler</t>
        </is>
      </c>
      <c r="G139" s="96" t="inlineStr">
        <is>
          <t xml:space="preserve">方法A</t>
        </is>
      </c>
      <c r="H139" s="96" t="inlineStr">
        <is>
          <t xml:space="preserve">One-Euro</t>
        </is>
      </c>
      <c r="I139" s="96" t="n">
        <v>1</v>
      </c>
      <c r="J139" s="96" t="n">
        <v>2</v>
      </c>
      <c r="K139" s="85" t="n">
        <v>4</v>
      </c>
      <c r="L139" s="85" t="n">
        <v>6</v>
      </c>
      <c r="M139" s="85" t="n">
        <v>7</v>
      </c>
      <c r="N139" s="75"/>
      <c r="O139" s="85" t="n">
        <v>5</v>
      </c>
      <c r="P139" s="85" t="n">
        <v>4</v>
      </c>
      <c r="Q139" s="85" t="n">
        <v>3</v>
      </c>
      <c r="R139" s="85" t="n">
        <v>4</v>
      </c>
      <c r="S139" s="85" t="n">
        <v>4</v>
      </c>
      <c r="T139" s="85" t="n">
        <v>3</v>
      </c>
      <c r="U139" s="85" t="n">
        <v>5</v>
      </c>
      <c r="V139" s="85" t="n">
        <v>4</v>
      </c>
      <c r="W139" s="85" t="n">
        <v>4</v>
      </c>
      <c r="X139" s="85" t="n">
        <v>3</v>
      </c>
      <c r="Y139" s="497" t="n">
        <v>46242.57700090278</v>
      </c>
      <c r="Z139" s="497" t="n">
        <v>46242.57827579861</v>
      </c>
      <c r="AA139" s="500" t="n">
        <v>110.2</v>
      </c>
      <c r="AB139" s="85" t="str">
        <v>是</v>
      </c>
      <c r="AC139" s="85" t="str">
        <v>是</v>
      </c>
      <c r="AD139" s="85" t="str">
        <v>是</v>
      </c>
      <c r="AE139" s="85" t="str">
        <v>无</v>
      </c>
      <c r="AF139" s="503" t="n">
        <v>12.97</v>
      </c>
      <c r="AG139" s="503" t="n">
        <v>0.843</v>
      </c>
      <c r="AH139" s="503" t="n">
        <v>0.915</v>
      </c>
      <c r="AI139" s="503" t="n">
        <v>0.987</v>
      </c>
      <c r="AJ139" s="503" t="n">
        <v>0.71</v>
      </c>
      <c r="AK139" s="78" t="str">
        <v>FrozenUncertain</v>
      </c>
      <c r="AL139" s="78" t="str">
        <v>否</v>
      </c>
      <c r="AM139" s="506" t="n">
        <v>1</v>
      </c>
      <c r="AN139" s="506" t="n">
        <v>0</v>
      </c>
      <c r="AO139" s="218" t="str"/>
    </row>
    <row r="140" ht="24" customHeight="1">
      <c r="A140" s="65" t="inlineStr">
        <is>
          <t xml:space="preserve">P023</t>
        </is>
      </c>
      <c r="B140" s="96" t="n">
        <v>4</v>
      </c>
      <c r="C140" s="96" t="inlineStr">
        <is>
          <t xml:space="preserve">O6-S2-OE</t>
        </is>
      </c>
      <c r="D140" s="96" t="n">
        <v>2</v>
      </c>
      <c r="E140" s="96" t="inlineStr">
        <is>
          <t xml:space="preserve">固定订书机</t>
        </is>
      </c>
      <c r="F140" s="96" t="inlineStr">
        <is>
          <t xml:space="preserve">stapler</t>
        </is>
      </c>
      <c r="G140" s="96" t="inlineStr">
        <is>
          <t xml:space="preserve">方法B</t>
        </is>
      </c>
      <c r="H140" s="96" t="inlineStr">
        <is>
          <t xml:space="preserve">EgoAnchor</t>
        </is>
      </c>
      <c r="I140" s="96" t="n">
        <v>2</v>
      </c>
      <c r="J140" s="96" t="n">
        <v>2</v>
      </c>
      <c r="K140" s="85" t="n">
        <v>5</v>
      </c>
      <c r="L140" s="85" t="n">
        <v>5</v>
      </c>
      <c r="M140" s="85" t="n">
        <v>5</v>
      </c>
      <c r="N140" s="75"/>
      <c r="O140" s="85" t="n">
        <v>6</v>
      </c>
      <c r="P140" s="85" t="n">
        <v>7</v>
      </c>
      <c r="Q140" s="85" t="n">
        <v>5</v>
      </c>
      <c r="R140" s="85" t="n">
        <v>4</v>
      </c>
      <c r="S140" s="85" t="n">
        <v>7</v>
      </c>
      <c r="T140" s="85" t="n">
        <v>5</v>
      </c>
      <c r="U140" s="85" t="n">
        <v>7</v>
      </c>
      <c r="V140" s="85" t="n">
        <v>5</v>
      </c>
      <c r="W140" s="85" t="n">
        <v>3</v>
      </c>
      <c r="X140" s="85" t="n">
        <v>5</v>
      </c>
      <c r="Y140" s="497" t="n">
        <v>46242.579328935186</v>
      </c>
      <c r="Z140" s="497" t="n">
        <v>46242.58058082176</v>
      </c>
      <c r="AA140" s="500" t="n">
        <v>108.2</v>
      </c>
      <c r="AB140" s="85" t="str">
        <v>是</v>
      </c>
      <c r="AC140" s="85" t="str">
        <v>是</v>
      </c>
      <c r="AD140" s="85" t="str">
        <v>是</v>
      </c>
      <c r="AE140" s="85" t="str">
        <v>短暂帧率波动</v>
      </c>
      <c r="AF140" s="503" t="n">
        <v>13.74</v>
      </c>
      <c r="AG140" s="503" t="n">
        <v>0.784</v>
      </c>
      <c r="AH140" s="503" t="n">
        <v>0.859</v>
      </c>
      <c r="AI140" s="503" t="n">
        <v>0.97</v>
      </c>
      <c r="AJ140" s="503" t="n">
        <v>0.781</v>
      </c>
      <c r="AK140" s="78" t="str">
        <v>FrozenUncertain</v>
      </c>
      <c r="AL140" s="78" t="str">
        <v>否</v>
      </c>
      <c r="AM140" s="506" t="n">
        <v>2</v>
      </c>
      <c r="AN140" s="506" t="n">
        <v>3</v>
      </c>
      <c r="AO140" s="218" t="str">
        <v>短暂画面卡顿，自动恢复；任务与问卷均完成。</v>
      </c>
    </row>
    <row r="141" ht="24" customHeight="1">
      <c r="A141" s="65" t="inlineStr">
        <is>
          <t xml:space="preserve">P023</t>
        </is>
      </c>
      <c r="B141" s="96" t="n">
        <v>5</v>
      </c>
      <c r="C141" s="96" t="inlineStr">
        <is>
          <t xml:space="preserve">O6-S2-OE</t>
        </is>
      </c>
      <c r="D141" s="96" t="n">
        <v>3</v>
      </c>
      <c r="E141" s="96" t="inlineStr">
        <is>
          <t xml:space="preserve">鼠标</t>
        </is>
      </c>
      <c r="F141" s="96" t="inlineStr">
        <is>
          <t xml:space="preserve">blue_mouse</t>
        </is>
      </c>
      <c r="G141" s="96" t="inlineStr">
        <is>
          <t xml:space="preserve">方法B</t>
        </is>
      </c>
      <c r="H141" s="96" t="inlineStr">
        <is>
          <t xml:space="preserve">EgoAnchor</t>
        </is>
      </c>
      <c r="I141" s="96" t="n">
        <v>1</v>
      </c>
      <c r="J141" s="96" t="n">
        <v>3</v>
      </c>
      <c r="K141" s="85" t="n">
        <v>5</v>
      </c>
      <c r="L141" s="85" t="n">
        <v>6</v>
      </c>
      <c r="M141" s="85" t="n">
        <v>5</v>
      </c>
      <c r="N141" s="75"/>
      <c r="O141" s="85" t="n">
        <v>4</v>
      </c>
      <c r="P141" s="85" t="n">
        <v>5</v>
      </c>
      <c r="Q141" s="85" t="n">
        <v>6</v>
      </c>
      <c r="R141" s="85" t="n">
        <v>5</v>
      </c>
      <c r="S141" s="85" t="n">
        <v>6</v>
      </c>
      <c r="T141" s="85" t="n">
        <v>6</v>
      </c>
      <c r="U141" s="85" t="n">
        <v>6</v>
      </c>
      <c r="V141" s="85" t="n">
        <v>4</v>
      </c>
      <c r="W141" s="85" t="n">
        <v>4</v>
      </c>
      <c r="X141" s="85" t="n">
        <v>5</v>
      </c>
      <c r="Y141" s="497" t="n">
        <v>46242.58131854167</v>
      </c>
      <c r="Z141" s="497" t="n">
        <v>46242.58269377315</v>
      </c>
      <c r="AA141" s="500" t="n">
        <v>118.8</v>
      </c>
      <c r="AB141" s="85" t="str">
        <v>是</v>
      </c>
      <c r="AC141" s="85" t="str">
        <v>是</v>
      </c>
      <c r="AD141" s="85" t="str">
        <v>是</v>
      </c>
      <c r="AE141" s="85" t="str">
        <v>无</v>
      </c>
      <c r="AF141" s="503" t="n">
        <v>12</v>
      </c>
      <c r="AG141" s="503" t="n">
        <v>0.737</v>
      </c>
      <c r="AH141" s="503" t="n">
        <v>0.893</v>
      </c>
      <c r="AI141" s="503" t="n">
        <v>0.987</v>
      </c>
      <c r="AJ141" s="503" t="n">
        <v>0.716</v>
      </c>
      <c r="AK141" s="78" t="str">
        <v>FrozenUncertain</v>
      </c>
      <c r="AL141" s="78" t="str">
        <v>否</v>
      </c>
      <c r="AM141" s="506" t="n">
        <v>1</v>
      </c>
      <c r="AN141" s="506" t="n">
        <v>4</v>
      </c>
      <c r="AO141" s="218" t="str"/>
    </row>
    <row r="142" ht="24" customHeight="1">
      <c r="A142" s="262" t="inlineStr">
        <is>
          <t xml:space="preserve">P023</t>
        </is>
      </c>
      <c r="B142" s="263" t="n">
        <v>6</v>
      </c>
      <c r="C142" s="263" t="inlineStr">
        <is>
          <t xml:space="preserve">O6-S2-OE</t>
        </is>
      </c>
      <c r="D142" s="263" t="n">
        <v>3</v>
      </c>
      <c r="E142" s="263" t="inlineStr">
        <is>
          <t xml:space="preserve">鼠标</t>
        </is>
      </c>
      <c r="F142" s="263" t="inlineStr">
        <is>
          <t xml:space="preserve">blue_mouse</t>
        </is>
      </c>
      <c r="G142" s="263" t="inlineStr">
        <is>
          <t xml:space="preserve">方法A</t>
        </is>
      </c>
      <c r="H142" s="263" t="inlineStr">
        <is>
          <t xml:space="preserve">One-Euro</t>
        </is>
      </c>
      <c r="I142" s="263" t="n">
        <v>2</v>
      </c>
      <c r="J142" s="263" t="n">
        <v>3</v>
      </c>
      <c r="K142" s="266" t="n">
        <v>4</v>
      </c>
      <c r="L142" s="266" t="n">
        <v>6</v>
      </c>
      <c r="M142" s="266" t="n">
        <v>6</v>
      </c>
      <c r="N142" s="278"/>
      <c r="O142" s="266" t="n">
        <v>6</v>
      </c>
      <c r="P142" s="266" t="n">
        <v>5</v>
      </c>
      <c r="Q142" s="266" t="n">
        <v>4</v>
      </c>
      <c r="R142" s="266" t="n">
        <v>5</v>
      </c>
      <c r="S142" s="266" t="n">
        <v>5</v>
      </c>
      <c r="T142" s="266" t="n">
        <v>5</v>
      </c>
      <c r="U142" s="266" t="n">
        <v>5</v>
      </c>
      <c r="V142" s="266" t="n">
        <v>5</v>
      </c>
      <c r="W142" s="266" t="n">
        <v>3</v>
      </c>
      <c r="X142" s="266" t="n">
        <v>5</v>
      </c>
      <c r="Y142" s="498" t="n">
        <v>46242.58346819445</v>
      </c>
      <c r="Z142" s="498" t="n">
        <v>46242.58448103009</v>
      </c>
      <c r="AA142" s="501" t="n">
        <v>87.5</v>
      </c>
      <c r="AB142" s="266" t="str">
        <v>是</v>
      </c>
      <c r="AC142" s="266" t="str">
        <v>是</v>
      </c>
      <c r="AD142" s="266" t="str">
        <v>是</v>
      </c>
      <c r="AE142" s="266" t="str">
        <v>无</v>
      </c>
      <c r="AF142" s="504" t="n">
        <v>13.07</v>
      </c>
      <c r="AG142" s="504" t="n">
        <v>0.749</v>
      </c>
      <c r="AH142" s="504" t="n">
        <v>0.856</v>
      </c>
      <c r="AI142" s="504" t="n">
        <v>0.996</v>
      </c>
      <c r="AJ142" s="504" t="n">
        <v>0.766</v>
      </c>
      <c r="AK142" s="279" t="str">
        <v>FrozenUncertain</v>
      </c>
      <c r="AL142" s="279" t="str">
        <v>否</v>
      </c>
      <c r="AM142" s="507" t="n">
        <v>1</v>
      </c>
      <c r="AN142" s="507" t="n">
        <v>0</v>
      </c>
      <c r="AO142" s="279" t="str"/>
    </row>
    <row r="143" ht="24" customHeight="1">
      <c r="A143" s="65" t="inlineStr">
        <is>
          <t xml:space="preserve">P024</t>
        </is>
      </c>
      <c r="B143" s="96" t="n">
        <v>1</v>
      </c>
      <c r="C143" s="96" t="inlineStr">
        <is>
          <t xml:space="preserve">O6-S1-OE</t>
        </is>
      </c>
      <c r="D143" s="96" t="n">
        <v>1</v>
      </c>
      <c r="E143" s="96" t="inlineStr">
        <is>
          <t xml:space="preserve">游戏手柄</t>
        </is>
      </c>
      <c r="F143" s="96" t="inlineStr">
        <is>
          <t xml:space="preserve">gamepad</t>
        </is>
      </c>
      <c r="G143" s="96" t="inlineStr">
        <is>
          <t xml:space="preserve">方法A</t>
        </is>
      </c>
      <c r="H143" s="96" t="inlineStr">
        <is>
          <t xml:space="preserve">One-Euro</t>
        </is>
      </c>
      <c r="I143" s="96" t="n">
        <v>1</v>
      </c>
      <c r="J143" s="96" t="n">
        <v>1</v>
      </c>
      <c r="K143" s="85" t="n">
        <v>5</v>
      </c>
      <c r="L143" s="85" t="n">
        <v>5</v>
      </c>
      <c r="M143" s="85" t="n">
        <v>4</v>
      </c>
      <c r="N143" s="75"/>
      <c r="O143" s="85" t="n">
        <v>6</v>
      </c>
      <c r="P143" s="85" t="n">
        <v>5</v>
      </c>
      <c r="Q143" s="85" t="n">
        <v>5</v>
      </c>
      <c r="R143" s="85" t="n">
        <v>5</v>
      </c>
      <c r="S143" s="85" t="n">
        <v>5</v>
      </c>
      <c r="T143" s="85" t="n">
        <v>6</v>
      </c>
      <c r="U143" s="85" t="n">
        <v>5</v>
      </c>
      <c r="V143" s="85" t="n">
        <v>6</v>
      </c>
      <c r="W143" s="85" t="n">
        <v>4</v>
      </c>
      <c r="X143" s="85" t="n">
        <v>4</v>
      </c>
      <c r="Y143" s="497" t="n">
        <v>46242.64578600694</v>
      </c>
      <c r="Z143" s="497" t="n">
        <v>46242.646794594904</v>
      </c>
      <c r="AA143" s="500" t="n">
        <v>87.1</v>
      </c>
      <c r="AB143" s="85" t="str">
        <v>是</v>
      </c>
      <c r="AC143" s="85" t="str">
        <v>是</v>
      </c>
      <c r="AD143" s="85" t="str">
        <v>是</v>
      </c>
      <c r="AE143" s="85" t="str">
        <v>无</v>
      </c>
      <c r="AF143" s="503" t="n">
        <v>12.39</v>
      </c>
      <c r="AG143" s="503" t="n">
        <v>0.75</v>
      </c>
      <c r="AH143" s="503" t="n">
        <v>0.859</v>
      </c>
      <c r="AI143" s="503" t="n">
        <v>0.988</v>
      </c>
      <c r="AJ143" s="503" t="n">
        <v>0.773</v>
      </c>
      <c r="AK143" s="78" t="str">
        <v>FrozenUncertain</v>
      </c>
      <c r="AL143" s="78" t="str">
        <v>否</v>
      </c>
      <c r="AM143" s="506" t="n">
        <v>1</v>
      </c>
      <c r="AN143" s="506" t="n">
        <v>0</v>
      </c>
      <c r="AO143" s="218" t="str"/>
    </row>
    <row r="144" ht="24" customHeight="1">
      <c r="A144" s="65" t="inlineStr">
        <is>
          <t xml:space="preserve">P024</t>
        </is>
      </c>
      <c r="B144" s="96" t="n">
        <v>2</v>
      </c>
      <c r="C144" s="96" t="inlineStr">
        <is>
          <t xml:space="preserve">O6-S1-OE</t>
        </is>
      </c>
      <c r="D144" s="96" t="n">
        <v>1</v>
      </c>
      <c r="E144" s="96" t="inlineStr">
        <is>
          <t xml:space="preserve">游戏手柄</t>
        </is>
      </c>
      <c r="F144" s="96" t="inlineStr">
        <is>
          <t xml:space="preserve">gamepad</t>
        </is>
      </c>
      <c r="G144" s="96" t="inlineStr">
        <is>
          <t xml:space="preserve">方法B</t>
        </is>
      </c>
      <c r="H144" s="96" t="inlineStr">
        <is>
          <t xml:space="preserve">EgoAnchor</t>
        </is>
      </c>
      <c r="I144" s="96" t="n">
        <v>2</v>
      </c>
      <c r="J144" s="96" t="n">
        <v>1</v>
      </c>
      <c r="K144" s="85" t="n">
        <v>7</v>
      </c>
      <c r="L144" s="85" t="n">
        <v>5</v>
      </c>
      <c r="M144" s="85" t="n">
        <v>6</v>
      </c>
      <c r="N144" s="75"/>
      <c r="O144" s="85" t="n">
        <v>4</v>
      </c>
      <c r="P144" s="85" t="n">
        <v>6</v>
      </c>
      <c r="Q144" s="85" t="n">
        <v>5</v>
      </c>
      <c r="R144" s="85" t="n">
        <v>6</v>
      </c>
      <c r="S144" s="85" t="n">
        <v>6</v>
      </c>
      <c r="T144" s="85" t="n">
        <v>5</v>
      </c>
      <c r="U144" s="85" t="n">
        <v>5</v>
      </c>
      <c r="V144" s="85" t="n">
        <v>5</v>
      </c>
      <c r="W144" s="85" t="n">
        <v>6</v>
      </c>
      <c r="X144" s="85" t="n">
        <v>6</v>
      </c>
      <c r="Y144" s="497" t="n">
        <v>46242.64784670139</v>
      </c>
      <c r="Z144" s="497" t="n">
        <v>46242.64903619213</v>
      </c>
      <c r="AA144" s="500" t="n">
        <v>102.8</v>
      </c>
      <c r="AB144" s="85" t="str">
        <v>是</v>
      </c>
      <c r="AC144" s="85" t="str">
        <v>是</v>
      </c>
      <c r="AD144" s="85" t="str">
        <v>是</v>
      </c>
      <c r="AE144" s="85" t="str">
        <v>无</v>
      </c>
      <c r="AF144" s="503" t="n">
        <v>12.75</v>
      </c>
      <c r="AG144" s="503" t="n">
        <v>0.779</v>
      </c>
      <c r="AH144" s="503" t="n">
        <v>0.881</v>
      </c>
      <c r="AI144" s="503" t="n">
        <v>0.988</v>
      </c>
      <c r="AJ144" s="503" t="n">
        <v>0.777</v>
      </c>
      <c r="AK144" s="78" t="str">
        <v>FrozenUncertain</v>
      </c>
      <c r="AL144" s="78" t="str">
        <v>否</v>
      </c>
      <c r="AM144" s="506" t="n">
        <v>1</v>
      </c>
      <c r="AN144" s="506" t="n">
        <v>3</v>
      </c>
      <c r="AO144" s="218" t="str"/>
    </row>
    <row r="145" ht="24" customHeight="1">
      <c r="A145" s="65" t="inlineStr">
        <is>
          <t xml:space="preserve">P024</t>
        </is>
      </c>
      <c r="B145" s="96" t="n">
        <v>3</v>
      </c>
      <c r="C145" s="96" t="inlineStr">
        <is>
          <t xml:space="preserve">O6-S1-OE</t>
        </is>
      </c>
      <c r="D145" s="96" t="n">
        <v>2</v>
      </c>
      <c r="E145" s="96" t="inlineStr">
        <is>
          <t xml:space="preserve">固定订书机</t>
        </is>
      </c>
      <c r="F145" s="96" t="inlineStr">
        <is>
          <t xml:space="preserve">stapler</t>
        </is>
      </c>
      <c r="G145" s="96" t="inlineStr">
        <is>
          <t xml:space="preserve">方法B</t>
        </is>
      </c>
      <c r="H145" s="96" t="inlineStr">
        <is>
          <t xml:space="preserve">EgoAnchor</t>
        </is>
      </c>
      <c r="I145" s="96" t="n">
        <v>1</v>
      </c>
      <c r="J145" s="96" t="n">
        <v>2</v>
      </c>
      <c r="K145" s="85" t="n">
        <v>6</v>
      </c>
      <c r="L145" s="85" t="n">
        <v>5</v>
      </c>
      <c r="M145" s="85" t="n">
        <v>6</v>
      </c>
      <c r="N145" s="75"/>
      <c r="O145" s="85" t="n">
        <v>6</v>
      </c>
      <c r="P145" s="85" t="n">
        <v>6</v>
      </c>
      <c r="Q145" s="85" t="n">
        <v>6</v>
      </c>
      <c r="R145" s="85" t="n">
        <v>7</v>
      </c>
      <c r="S145" s="85" t="n">
        <v>5</v>
      </c>
      <c r="T145" s="85" t="n">
        <v>6</v>
      </c>
      <c r="U145" s="85" t="n">
        <v>5</v>
      </c>
      <c r="V145" s="85" t="n">
        <v>5</v>
      </c>
      <c r="W145" s="85" t="n">
        <v>6</v>
      </c>
      <c r="X145" s="85" t="n">
        <v>7</v>
      </c>
      <c r="Y145" s="497" t="n">
        <v>46242.64997174768</v>
      </c>
      <c r="Z145" s="497" t="n">
        <v>46242.65094432871</v>
      </c>
      <c r="AA145" s="500" t="n">
        <v>84</v>
      </c>
      <c r="AB145" s="85" t="str">
        <v>是</v>
      </c>
      <c r="AC145" s="85" t="str">
        <v>是</v>
      </c>
      <c r="AD145" s="85" t="str">
        <v>是</v>
      </c>
      <c r="AE145" s="85" t="str">
        <v>无</v>
      </c>
      <c r="AF145" s="503" t="n">
        <v>13.3</v>
      </c>
      <c r="AG145" s="503" t="n">
        <v>0.811</v>
      </c>
      <c r="AH145" s="503" t="n">
        <v>0.946</v>
      </c>
      <c r="AI145" s="503" t="n">
        <v>0.988</v>
      </c>
      <c r="AJ145" s="503" t="n">
        <v>0.76</v>
      </c>
      <c r="AK145" s="78" t="str">
        <v>FrozenUncertain</v>
      </c>
      <c r="AL145" s="78" t="str">
        <v>否</v>
      </c>
      <c r="AM145" s="506" t="n">
        <v>1</v>
      </c>
      <c r="AN145" s="506" t="n">
        <v>4</v>
      </c>
      <c r="AO145" s="218" t="str"/>
    </row>
    <row r="146" ht="24" customHeight="1">
      <c r="A146" s="65" t="inlineStr">
        <is>
          <t xml:space="preserve">P024</t>
        </is>
      </c>
      <c r="B146" s="96" t="n">
        <v>4</v>
      </c>
      <c r="C146" s="96" t="inlineStr">
        <is>
          <t xml:space="preserve">O6-S1-OE</t>
        </is>
      </c>
      <c r="D146" s="96" t="n">
        <v>2</v>
      </c>
      <c r="E146" s="96" t="inlineStr">
        <is>
          <t xml:space="preserve">固定订书机</t>
        </is>
      </c>
      <c r="F146" s="96" t="inlineStr">
        <is>
          <t xml:space="preserve">stapler</t>
        </is>
      </c>
      <c r="G146" s="96" t="inlineStr">
        <is>
          <t xml:space="preserve">方法A</t>
        </is>
      </c>
      <c r="H146" s="96" t="inlineStr">
        <is>
          <t xml:space="preserve">One-Euro</t>
        </is>
      </c>
      <c r="I146" s="96" t="n">
        <v>2</v>
      </c>
      <c r="J146" s="96" t="n">
        <v>2</v>
      </c>
      <c r="K146" s="85" t="n">
        <v>4</v>
      </c>
      <c r="L146" s="85" t="n">
        <v>5</v>
      </c>
      <c r="M146" s="85" t="n">
        <v>6</v>
      </c>
      <c r="N146" s="75"/>
      <c r="O146" s="85" t="n">
        <v>5</v>
      </c>
      <c r="P146" s="85" t="n">
        <v>4</v>
      </c>
      <c r="Q146" s="85" t="n">
        <v>5</v>
      </c>
      <c r="R146" s="85" t="n">
        <v>5</v>
      </c>
      <c r="S146" s="85" t="n">
        <v>6</v>
      </c>
      <c r="T146" s="85" t="n">
        <v>6</v>
      </c>
      <c r="U146" s="85" t="n">
        <v>6</v>
      </c>
      <c r="V146" s="85" t="n">
        <v>4</v>
      </c>
      <c r="W146" s="85" t="n">
        <v>4</v>
      </c>
      <c r="X146" s="85" t="n">
        <v>6</v>
      </c>
      <c r="Y146" s="497" t="n">
        <v>46242.651938020834</v>
      </c>
      <c r="Z146" s="497" t="n">
        <v>46242.65327001157</v>
      </c>
      <c r="AA146" s="500" t="n">
        <v>115.1</v>
      </c>
      <c r="AB146" s="85" t="str">
        <v>是</v>
      </c>
      <c r="AC146" s="85" t="str">
        <v>是</v>
      </c>
      <c r="AD146" s="85" t="str">
        <v>是</v>
      </c>
      <c r="AE146" s="85" t="str">
        <v>无</v>
      </c>
      <c r="AF146" s="503" t="n">
        <v>12.49</v>
      </c>
      <c r="AG146" s="503" t="n">
        <v>0.822</v>
      </c>
      <c r="AH146" s="503" t="n">
        <v>0.907</v>
      </c>
      <c r="AI146" s="503" t="n">
        <v>0.999</v>
      </c>
      <c r="AJ146" s="503" t="n">
        <v>0.752</v>
      </c>
      <c r="AK146" s="78" t="str">
        <v>FrozenUncertain</v>
      </c>
      <c r="AL146" s="78" t="str">
        <v>否</v>
      </c>
      <c r="AM146" s="506" t="n">
        <v>1</v>
      </c>
      <c r="AN146" s="506" t="n">
        <v>0</v>
      </c>
      <c r="AO146" s="218" t="str">
        <v>静止阶段可见轻微抖动</v>
      </c>
    </row>
    <row r="147" ht="24" customHeight="1">
      <c r="A147" s="65" t="inlineStr">
        <is>
          <t xml:space="preserve">P024</t>
        </is>
      </c>
      <c r="B147" s="96" t="n">
        <v>5</v>
      </c>
      <c r="C147" s="96" t="inlineStr">
        <is>
          <t xml:space="preserve">O6-S1-OE</t>
        </is>
      </c>
      <c r="D147" s="96" t="n">
        <v>3</v>
      </c>
      <c r="E147" s="96" t="inlineStr">
        <is>
          <t xml:space="preserve">鼠标</t>
        </is>
      </c>
      <c r="F147" s="96" t="inlineStr">
        <is>
          <t xml:space="preserve">blue_mouse</t>
        </is>
      </c>
      <c r="G147" s="96" t="inlineStr">
        <is>
          <t xml:space="preserve">方法A</t>
        </is>
      </c>
      <c r="H147" s="96" t="inlineStr">
        <is>
          <t xml:space="preserve">One-Euro</t>
        </is>
      </c>
      <c r="I147" s="96" t="n">
        <v>1</v>
      </c>
      <c r="J147" s="96" t="n">
        <v>3</v>
      </c>
      <c r="K147" s="85" t="n">
        <v>4</v>
      </c>
      <c r="L147" s="85" t="n">
        <v>5</v>
      </c>
      <c r="M147" s="85" t="n">
        <v>4</v>
      </c>
      <c r="N147" s="75"/>
      <c r="O147" s="85" t="n">
        <v>4</v>
      </c>
      <c r="P147" s="85" t="n">
        <v>4</v>
      </c>
      <c r="Q147" s="85" t="n">
        <v>4</v>
      </c>
      <c r="R147" s="85" t="n">
        <v>5</v>
      </c>
      <c r="S147" s="85" t="n">
        <v>5</v>
      </c>
      <c r="T147" s="85" t="n">
        <v>4</v>
      </c>
      <c r="U147" s="85" t="n">
        <v>5</v>
      </c>
      <c r="V147" s="85" t="n">
        <v>4</v>
      </c>
      <c r="W147" s="85" t="n">
        <v>5</v>
      </c>
      <c r="X147" s="85" t="n">
        <v>5</v>
      </c>
      <c r="Y147" s="497" t="n">
        <v>46242.65419304398</v>
      </c>
      <c r="Z147" s="497" t="n">
        <v>46242.65513649306</v>
      </c>
      <c r="AA147" s="500" t="n">
        <v>81.5</v>
      </c>
      <c r="AB147" s="85" t="str">
        <v>是</v>
      </c>
      <c r="AC147" s="85" t="str">
        <v>是</v>
      </c>
      <c r="AD147" s="85" t="str">
        <v>是</v>
      </c>
      <c r="AE147" s="85" t="str">
        <v>无</v>
      </c>
      <c r="AF147" s="503" t="n">
        <v>11.7</v>
      </c>
      <c r="AG147" s="503" t="n">
        <v>0.783</v>
      </c>
      <c r="AH147" s="503" t="n">
        <v>0.888</v>
      </c>
      <c r="AI147" s="503" t="n">
        <v>0.991</v>
      </c>
      <c r="AJ147" s="503" t="n">
        <v>0.726</v>
      </c>
      <c r="AK147" s="78" t="str">
        <v>FrozenUncertain</v>
      </c>
      <c r="AL147" s="78" t="str">
        <v>否</v>
      </c>
      <c r="AM147" s="506" t="n">
        <v>1</v>
      </c>
      <c r="AN147" s="506" t="n">
        <v>0</v>
      </c>
      <c r="AO147" s="218" t="str"/>
    </row>
    <row r="148" ht="24" customHeight="1">
      <c r="A148" s="262" t="inlineStr">
        <is>
          <t xml:space="preserve">P024</t>
        </is>
      </c>
      <c r="B148" s="263" t="n">
        <v>6</v>
      </c>
      <c r="C148" s="263" t="inlineStr">
        <is>
          <t xml:space="preserve">O6-S1-OE</t>
        </is>
      </c>
      <c r="D148" s="263" t="n">
        <v>3</v>
      </c>
      <c r="E148" s="263" t="inlineStr">
        <is>
          <t xml:space="preserve">鼠标</t>
        </is>
      </c>
      <c r="F148" s="263" t="inlineStr">
        <is>
          <t xml:space="preserve">blue_mouse</t>
        </is>
      </c>
      <c r="G148" s="263" t="inlineStr">
        <is>
          <t xml:space="preserve">方法B</t>
        </is>
      </c>
      <c r="H148" s="263" t="inlineStr">
        <is>
          <t xml:space="preserve">EgoAnchor</t>
        </is>
      </c>
      <c r="I148" s="263" t="n">
        <v>2</v>
      </c>
      <c r="J148" s="263" t="n">
        <v>3</v>
      </c>
      <c r="K148" s="266" t="n">
        <v>5</v>
      </c>
      <c r="L148" s="266" t="n">
        <v>6</v>
      </c>
      <c r="M148" s="266" t="n">
        <v>4</v>
      </c>
      <c r="N148" s="278"/>
      <c r="O148" s="266" t="n">
        <v>5</v>
      </c>
      <c r="P148" s="266" t="n">
        <v>6</v>
      </c>
      <c r="Q148" s="266" t="n">
        <v>5</v>
      </c>
      <c r="R148" s="266" t="n">
        <v>7</v>
      </c>
      <c r="S148" s="266" t="n">
        <v>5</v>
      </c>
      <c r="T148" s="266" t="n">
        <v>6</v>
      </c>
      <c r="U148" s="266" t="n">
        <v>6</v>
      </c>
      <c r="V148" s="266" t="n">
        <v>5</v>
      </c>
      <c r="W148" s="266" t="n">
        <v>6</v>
      </c>
      <c r="X148" s="266" t="n">
        <v>6</v>
      </c>
      <c r="Y148" s="498" t="n">
        <v>46242.65605979167</v>
      </c>
      <c r="Z148" s="498" t="n">
        <v>46242.6572237963</v>
      </c>
      <c r="AA148" s="501" t="n">
        <v>100.6</v>
      </c>
      <c r="AB148" s="266" t="str">
        <v>是</v>
      </c>
      <c r="AC148" s="266" t="str">
        <v>是</v>
      </c>
      <c r="AD148" s="266" t="str">
        <v>是</v>
      </c>
      <c r="AE148" s="266" t="str">
        <v>无</v>
      </c>
      <c r="AF148" s="504" t="n">
        <v>11.71</v>
      </c>
      <c r="AG148" s="504" t="n">
        <v>0.779</v>
      </c>
      <c r="AH148" s="504" t="n">
        <v>0.851</v>
      </c>
      <c r="AI148" s="504" t="n">
        <v>0.989</v>
      </c>
      <c r="AJ148" s="504" t="n">
        <v>0.785</v>
      </c>
      <c r="AK148" s="279" t="str">
        <v>FrozenUncertain</v>
      </c>
      <c r="AL148" s="279" t="str">
        <v>否</v>
      </c>
      <c r="AM148" s="507" t="n">
        <v>0</v>
      </c>
      <c r="AN148" s="507" t="n">
        <v>3</v>
      </c>
      <c r="AO148" s="279" t="str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</row>
    <row r="150" ht="38" customHeight="1">
      <c r="A150" s="73" t="inlineStr">
        <is>
          <t xml:space="preserve">B. 方法级记录（全部六区块完成后；S1 先评方法 A、S2 先评方法 B；TiA→提示页→S-TIAS）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 ht="38" customHeight="1">
      <c r="A151" s="38" t="inlineStr">
        <is>
          <t xml:space="preserve">Participant_ID</t>
        </is>
      </c>
      <c r="B151" s="39" t="inlineStr">
        <is>
          <t xml:space="preserve">Rating_Order</t>
        </is>
      </c>
      <c r="C151" s="39" t="inlineStr">
        <is>
          <t xml:space="preserve">Shown_Label</t>
        </is>
      </c>
      <c r="D151" s="39" t="inlineStr">
        <is>
          <t xml:space="preserve">Condition(保密)</t>
        </is>
      </c>
      <c r="E151" s="39" t="inlineStr">
        <is>
          <t xml:space="preserve">TIA_RC1</t>
        </is>
      </c>
      <c r="F151" s="39" t="inlineStr">
        <is>
          <t xml:space="preserve">TIA_RC2</t>
        </is>
      </c>
      <c r="G151" s="39" t="inlineStr">
        <is>
          <t xml:space="preserve">TIA_RC3_REV</t>
        </is>
      </c>
      <c r="H151" s="39" t="inlineStr">
        <is>
          <t xml:space="preserve">TIA_RC4</t>
        </is>
      </c>
      <c r="I151" s="39" t="inlineStr">
        <is>
          <t xml:space="preserve">TIA_RC5_REV</t>
        </is>
      </c>
      <c r="J151" s="39" t="inlineStr">
        <is>
          <t xml:space="preserve">TIA_RC6</t>
        </is>
      </c>
      <c r="K151" s="39" t="inlineStr">
        <is>
          <t xml:space="preserve">TIA_UP1</t>
        </is>
      </c>
      <c r="L151" s="39" t="inlineStr">
        <is>
          <t xml:space="preserve">TIA_UP2_REV</t>
        </is>
      </c>
      <c r="M151" s="39" t="inlineStr">
        <is>
          <t xml:space="preserve">TIA_UP3</t>
        </is>
      </c>
      <c r="N151" s="39" t="inlineStr">
        <is>
          <t xml:space="preserve">TIA_UP4_REV</t>
        </is>
      </c>
      <c r="O151" s="39" t="inlineStr">
        <is>
          <t xml:space="preserve">STIAS1</t>
        </is>
      </c>
      <c r="P151" s="39" t="inlineStr">
        <is>
          <t xml:space="preserve">STIAS2</t>
        </is>
      </c>
      <c r="Q151" s="39" t="inlineStr">
        <is>
          <t xml:space="preserve">STIAS3</t>
        </is>
      </c>
      <c r="R151" s="39" t="inlineStr">
        <is>
          <t xml:space="preserve">尺度切换确认</t>
        </is>
      </c>
      <c r="S151" s="39" t="inlineStr">
        <is>
          <t xml:space="preserve">问卷开始</t>
        </is>
      </c>
      <c r="T151" s="39" t="inlineStr">
        <is>
          <t xml:space="preserve">问卷结束</t>
        </is>
      </c>
      <c r="U151" s="39" t="inlineStr">
        <is>
          <t xml:space="preserve">时长_s</t>
        </is>
      </c>
      <c r="V151" s="39" t="inlineStr">
        <is>
          <t xml:space="preserve">技术问题</t>
        </is>
      </c>
      <c r="W151" s="40" t="inlineStr">
        <is>
          <t xml:space="preserve">备注</t>
        </is>
      </c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</row>
    <row r="152" ht="24" customHeight="1">
      <c r="A152" s="64" t="inlineStr">
        <is>
          <t xml:space="preserve">P001</t>
        </is>
      </c>
      <c r="B152" s="90" t="n">
        <v>1</v>
      </c>
      <c r="C152" s="90" t="inlineStr">
        <is>
          <t xml:space="preserve">方法A</t>
        </is>
      </c>
      <c r="D152" s="90" t="inlineStr">
        <is>
          <t xml:space="preserve">EgoAnchor</t>
        </is>
      </c>
      <c r="E152" s="84" t="n">
        <v>5</v>
      </c>
      <c r="F152" s="84" t="n">
        <v>5</v>
      </c>
      <c r="G152" s="248" t="n">
        <v>1</v>
      </c>
      <c r="H152" s="84" t="n">
        <v>5</v>
      </c>
      <c r="I152" s="248" t="n">
        <v>1</v>
      </c>
      <c r="J152" s="84" t="n">
        <v>5</v>
      </c>
      <c r="K152" s="84" t="n">
        <v>4</v>
      </c>
      <c r="L152" s="248" t="n">
        <v>2</v>
      </c>
      <c r="M152" s="84" t="n">
        <v>5</v>
      </c>
      <c r="N152" s="248" t="n">
        <v>1</v>
      </c>
      <c r="O152" s="84" t="n">
        <v>6</v>
      </c>
      <c r="P152" s="84" t="n">
        <v>6</v>
      </c>
      <c r="Q152" s="84" t="n">
        <v>6</v>
      </c>
      <c r="R152" s="84" t="str">
        <v>是</v>
      </c>
      <c r="S152" s="496" t="n">
        <v>46237.39975950232</v>
      </c>
      <c r="T152" s="496" t="n">
        <v>46237.40116850694</v>
      </c>
      <c r="U152" s="499" t="n">
        <v>121.7</v>
      </c>
      <c r="V152" s="84" t="str">
        <v>无</v>
      </c>
      <c r="W152" s="210" t="str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</row>
    <row r="153" ht="24" customHeight="1">
      <c r="A153" s="282" t="inlineStr">
        <is>
          <t xml:space="preserve">P001</t>
        </is>
      </c>
      <c r="B153" s="283" t="n">
        <v>2</v>
      </c>
      <c r="C153" s="283" t="inlineStr">
        <is>
          <t xml:space="preserve">方法B</t>
        </is>
      </c>
      <c r="D153" s="283" t="inlineStr">
        <is>
          <t xml:space="preserve">One-Euro</t>
        </is>
      </c>
      <c r="E153" s="284" t="n">
        <v>4</v>
      </c>
      <c r="F153" s="284" t="n">
        <v>4</v>
      </c>
      <c r="G153" s="285" t="n">
        <v>3</v>
      </c>
      <c r="H153" s="284" t="n">
        <v>3</v>
      </c>
      <c r="I153" s="285" t="n">
        <v>3</v>
      </c>
      <c r="J153" s="284" t="n">
        <v>4</v>
      </c>
      <c r="K153" s="284" t="n">
        <v>4</v>
      </c>
      <c r="L153" s="285" t="n">
        <v>3</v>
      </c>
      <c r="M153" s="284" t="n">
        <v>3</v>
      </c>
      <c r="N153" s="285" t="n">
        <v>3</v>
      </c>
      <c r="O153" s="284" t="n">
        <v>5</v>
      </c>
      <c r="P153" s="284" t="n">
        <v>4</v>
      </c>
      <c r="Q153" s="284" t="n">
        <v>4</v>
      </c>
      <c r="R153" s="284" t="str">
        <v>是</v>
      </c>
      <c r="S153" s="508" t="n">
        <v>46237.40152193287</v>
      </c>
      <c r="T153" s="508" t="n">
        <v>46237.40314041667</v>
      </c>
      <c r="U153" s="509" t="n">
        <v>139.8</v>
      </c>
      <c r="V153" s="284" t="str">
        <v>无</v>
      </c>
      <c r="W153" s="284" t="str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</row>
    <row r="154" ht="24" customHeight="1">
      <c r="A154" s="65" t="inlineStr">
        <is>
          <t xml:space="preserve">P002</t>
        </is>
      </c>
      <c r="B154" s="96" t="n">
        <v>1</v>
      </c>
      <c r="C154" s="96" t="inlineStr">
        <is>
          <t xml:space="preserve">方法B</t>
        </is>
      </c>
      <c r="D154" s="96" t="inlineStr">
        <is>
          <t xml:space="preserve">One-Euro</t>
        </is>
      </c>
      <c r="E154" s="85" t="n">
        <v>5</v>
      </c>
      <c r="F154" s="85" t="n">
        <v>5</v>
      </c>
      <c r="G154" s="75" t="n">
        <v>1</v>
      </c>
      <c r="H154" s="85" t="n">
        <v>4</v>
      </c>
      <c r="I154" s="75" t="n">
        <v>1</v>
      </c>
      <c r="J154" s="85" t="n">
        <v>4</v>
      </c>
      <c r="K154" s="85" t="n">
        <v>4</v>
      </c>
      <c r="L154" s="75" t="n">
        <v>2</v>
      </c>
      <c r="M154" s="85" t="n">
        <v>4</v>
      </c>
      <c r="N154" s="75" t="n">
        <v>2</v>
      </c>
      <c r="O154" s="85" t="n">
        <v>6</v>
      </c>
      <c r="P154" s="85" t="n">
        <v>6</v>
      </c>
      <c r="Q154" s="85" t="n">
        <v>5</v>
      </c>
      <c r="R154" s="85" t="str">
        <v>是</v>
      </c>
      <c r="S154" s="497" t="n">
        <v>46237.465301400465</v>
      </c>
      <c r="T154" s="497" t="n">
        <v>46237.46680798611</v>
      </c>
      <c r="U154" s="500" t="n">
        <v>130.2</v>
      </c>
      <c r="V154" s="85" t="str">
        <v>无</v>
      </c>
      <c r="W154" s="211" t="str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</row>
    <row r="155" ht="24" customHeight="1">
      <c r="A155" s="282" t="inlineStr">
        <is>
          <t xml:space="preserve">P002</t>
        </is>
      </c>
      <c r="B155" s="283" t="n">
        <v>2</v>
      </c>
      <c r="C155" s="283" t="inlineStr">
        <is>
          <t xml:space="preserve">方法A</t>
        </is>
      </c>
      <c r="D155" s="283" t="inlineStr">
        <is>
          <t xml:space="preserve">EgoAnchor</t>
        </is>
      </c>
      <c r="E155" s="284" t="n">
        <v>5</v>
      </c>
      <c r="F155" s="284" t="n">
        <v>5</v>
      </c>
      <c r="G155" s="285" t="n">
        <v>1</v>
      </c>
      <c r="H155" s="284" t="n">
        <v>5</v>
      </c>
      <c r="I155" s="285" t="n">
        <v>1</v>
      </c>
      <c r="J155" s="284" t="n">
        <v>4</v>
      </c>
      <c r="K155" s="284" t="n">
        <v>5</v>
      </c>
      <c r="L155" s="285" t="n">
        <v>1</v>
      </c>
      <c r="M155" s="284" t="n">
        <v>4</v>
      </c>
      <c r="N155" s="285" t="n">
        <v>1</v>
      </c>
      <c r="O155" s="284" t="n">
        <v>6</v>
      </c>
      <c r="P155" s="284" t="n">
        <v>7</v>
      </c>
      <c r="Q155" s="284" t="n">
        <v>7</v>
      </c>
      <c r="R155" s="284" t="str">
        <v>是</v>
      </c>
      <c r="S155" s="508" t="n">
        <v>46237.46714774305</v>
      </c>
      <c r="T155" s="508" t="n">
        <v>46237.468722337966</v>
      </c>
      <c r="U155" s="509" t="n">
        <v>136</v>
      </c>
      <c r="V155" s="284" t="str">
        <v>无</v>
      </c>
      <c r="W155" s="284" t="str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</row>
    <row r="156" ht="24" customHeight="1">
      <c r="A156" s="65" t="inlineStr">
        <is>
          <t xml:space="preserve">P003</t>
        </is>
      </c>
      <c r="B156" s="96" t="n">
        <v>1</v>
      </c>
      <c r="C156" s="96" t="inlineStr">
        <is>
          <t xml:space="preserve">方法B</t>
        </is>
      </c>
      <c r="D156" s="96" t="inlineStr">
        <is>
          <t xml:space="preserve">EgoAnchor</t>
        </is>
      </c>
      <c r="E156" s="85" t="n">
        <v>5</v>
      </c>
      <c r="F156" s="85" t="n">
        <v>5</v>
      </c>
      <c r="G156" s="75" t="n">
        <v>1</v>
      </c>
      <c r="H156" s="85" t="n">
        <v>5</v>
      </c>
      <c r="I156" s="75" t="n">
        <v>1</v>
      </c>
      <c r="J156" s="85" t="n">
        <v>5</v>
      </c>
      <c r="K156" s="85" t="n">
        <v>5</v>
      </c>
      <c r="L156" s="75" t="n">
        <v>1</v>
      </c>
      <c r="M156" s="85" t="n">
        <v>5</v>
      </c>
      <c r="N156" s="75" t="n">
        <v>1</v>
      </c>
      <c r="O156" s="85" t="n">
        <v>7</v>
      </c>
      <c r="P156" s="85" t="n">
        <v>7</v>
      </c>
      <c r="Q156" s="85" t="n">
        <v>7</v>
      </c>
      <c r="R156" s="85" t="str">
        <v>是</v>
      </c>
      <c r="S156" s="497" t="n">
        <v>46237.58723927083</v>
      </c>
      <c r="T156" s="497" t="n">
        <v>46237.58876844907</v>
      </c>
      <c r="U156" s="500" t="n">
        <v>132.1</v>
      </c>
      <c r="V156" s="85" t="str">
        <v>无</v>
      </c>
      <c r="W156" s="211" t="str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</row>
    <row r="157" ht="24" customHeight="1">
      <c r="A157" s="282" t="inlineStr">
        <is>
          <t xml:space="preserve">P003</t>
        </is>
      </c>
      <c r="B157" s="283" t="n">
        <v>2</v>
      </c>
      <c r="C157" s="283" t="inlineStr">
        <is>
          <t xml:space="preserve">方法A</t>
        </is>
      </c>
      <c r="D157" s="283" t="inlineStr">
        <is>
          <t xml:space="preserve">One-Euro</t>
        </is>
      </c>
      <c r="E157" s="284" t="n">
        <v>5</v>
      </c>
      <c r="F157" s="284" t="n">
        <v>5</v>
      </c>
      <c r="G157" s="285" t="n">
        <v>1</v>
      </c>
      <c r="H157" s="284" t="n">
        <v>5</v>
      </c>
      <c r="I157" s="285" t="n">
        <v>1</v>
      </c>
      <c r="J157" s="284" t="n">
        <v>5</v>
      </c>
      <c r="K157" s="284" t="n">
        <v>4</v>
      </c>
      <c r="L157" s="285" t="n">
        <v>1</v>
      </c>
      <c r="M157" s="284" t="n">
        <v>4</v>
      </c>
      <c r="N157" s="285" t="n">
        <v>2</v>
      </c>
      <c r="O157" s="284" t="n">
        <v>7</v>
      </c>
      <c r="P157" s="284" t="n">
        <v>5</v>
      </c>
      <c r="Q157" s="284" t="n">
        <v>5</v>
      </c>
      <c r="R157" s="284" t="str">
        <v>是</v>
      </c>
      <c r="S157" s="508" t="n">
        <v>46237.58925094907</v>
      </c>
      <c r="T157" s="508" t="n">
        <v>46237.59081505787</v>
      </c>
      <c r="U157" s="509" t="n">
        <v>135.1</v>
      </c>
      <c r="V157" s="284" t="str">
        <v>无</v>
      </c>
      <c r="W157" s="284" t="str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</row>
    <row r="158" ht="24" customHeight="1">
      <c r="A158" s="65" t="inlineStr">
        <is>
          <t xml:space="preserve">P004</t>
        </is>
      </c>
      <c r="B158" s="96" t="n">
        <v>1</v>
      </c>
      <c r="C158" s="96" t="inlineStr">
        <is>
          <t xml:space="preserve">方法A</t>
        </is>
      </c>
      <c r="D158" s="96" t="inlineStr">
        <is>
          <t xml:space="preserve">One-Euro</t>
        </is>
      </c>
      <c r="E158" s="85" t="n">
        <v>5</v>
      </c>
      <c r="F158" s="85" t="n">
        <v>4</v>
      </c>
      <c r="G158" s="75" t="n">
        <v>1</v>
      </c>
      <c r="H158" s="85" t="n">
        <v>4</v>
      </c>
      <c r="I158" s="75" t="n">
        <v>1</v>
      </c>
      <c r="J158" s="85" t="n">
        <v>4</v>
      </c>
      <c r="K158" s="85" t="n">
        <v>4</v>
      </c>
      <c r="L158" s="75" t="n">
        <v>2</v>
      </c>
      <c r="M158" s="85" t="n">
        <v>4</v>
      </c>
      <c r="N158" s="75" t="n">
        <v>2</v>
      </c>
      <c r="O158" s="85" t="n">
        <v>5</v>
      </c>
      <c r="P158" s="85" t="n">
        <v>5</v>
      </c>
      <c r="Q158" s="85" t="n">
        <v>5</v>
      </c>
      <c r="R158" s="85" t="str">
        <v>是</v>
      </c>
      <c r="S158" s="497" t="n">
        <v>46237.662594884256</v>
      </c>
      <c r="T158" s="497" t="n">
        <v>46237.664235868055</v>
      </c>
      <c r="U158" s="500" t="n">
        <v>141.8</v>
      </c>
      <c r="V158" s="85" t="str">
        <v>无</v>
      </c>
      <c r="W158" s="211" t="str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</row>
    <row r="159" ht="24" customHeight="1">
      <c r="A159" s="282" t="inlineStr">
        <is>
          <t xml:space="preserve">P004</t>
        </is>
      </c>
      <c r="B159" s="283" t="n">
        <v>2</v>
      </c>
      <c r="C159" s="283" t="inlineStr">
        <is>
          <t xml:space="preserve">方法B</t>
        </is>
      </c>
      <c r="D159" s="283" t="inlineStr">
        <is>
          <t xml:space="preserve">EgoAnchor</t>
        </is>
      </c>
      <c r="E159" s="284" t="n">
        <v>4</v>
      </c>
      <c r="F159" s="284" t="n">
        <v>5</v>
      </c>
      <c r="G159" s="285" t="n">
        <v>1</v>
      </c>
      <c r="H159" s="284" t="n">
        <v>5</v>
      </c>
      <c r="I159" s="285" t="n">
        <v>2</v>
      </c>
      <c r="J159" s="284" t="n">
        <v>4</v>
      </c>
      <c r="K159" s="284" t="n">
        <v>4</v>
      </c>
      <c r="L159" s="285" t="n">
        <v>2</v>
      </c>
      <c r="M159" s="284" t="n">
        <v>4</v>
      </c>
      <c r="N159" s="285" t="n">
        <v>2</v>
      </c>
      <c r="O159" s="284" t="n">
        <v>5</v>
      </c>
      <c r="P159" s="284" t="n">
        <v>6</v>
      </c>
      <c r="Q159" s="284" t="n">
        <v>4</v>
      </c>
      <c r="R159" s="284" t="str">
        <v>是</v>
      </c>
      <c r="S159" s="508" t="n">
        <v>46237.66472299769</v>
      </c>
      <c r="T159" s="508" t="n">
        <v>46237.66645607639</v>
      </c>
      <c r="U159" s="509" t="n">
        <v>149.7</v>
      </c>
      <c r="V159" s="284" t="str">
        <v>无</v>
      </c>
      <c r="W159" s="284" t="str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</row>
    <row r="160" ht="24" customHeight="1">
      <c r="A160" s="65" t="inlineStr">
        <is>
          <t xml:space="preserve">P005</t>
        </is>
      </c>
      <c r="B160" s="96" t="n">
        <v>1</v>
      </c>
      <c r="C160" s="96" t="inlineStr">
        <is>
          <t xml:space="preserve">方法A</t>
        </is>
      </c>
      <c r="D160" s="96" t="inlineStr">
        <is>
          <t xml:space="preserve">EgoAnchor</t>
        </is>
      </c>
      <c r="E160" s="85" t="n">
        <v>5</v>
      </c>
      <c r="F160" s="85" t="n">
        <v>4</v>
      </c>
      <c r="G160" s="75" t="n">
        <v>1</v>
      </c>
      <c r="H160" s="85" t="n">
        <v>4</v>
      </c>
      <c r="I160" s="75" t="n">
        <v>2</v>
      </c>
      <c r="J160" s="85" t="n">
        <v>5</v>
      </c>
      <c r="K160" s="85" t="n">
        <v>5</v>
      </c>
      <c r="L160" s="75" t="n">
        <v>1</v>
      </c>
      <c r="M160" s="85" t="n">
        <v>5</v>
      </c>
      <c r="N160" s="75" t="n">
        <v>1</v>
      </c>
      <c r="O160" s="85" t="n">
        <v>5</v>
      </c>
      <c r="P160" s="85" t="n">
        <v>7</v>
      </c>
      <c r="Q160" s="85" t="n">
        <v>5</v>
      </c>
      <c r="R160" s="85" t="str">
        <v>是</v>
      </c>
      <c r="S160" s="497" t="n">
        <v>46238.39931216435</v>
      </c>
      <c r="T160" s="497" t="n">
        <v>46238.40067894676</v>
      </c>
      <c r="U160" s="500" t="n">
        <v>118.1</v>
      </c>
      <c r="V160" s="85" t="str">
        <v>无</v>
      </c>
      <c r="W160" s="211" t="str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</row>
    <row r="161" ht="24" customHeight="1">
      <c r="A161" s="282" t="inlineStr">
        <is>
          <t xml:space="preserve">P005</t>
        </is>
      </c>
      <c r="B161" s="283" t="n">
        <v>2</v>
      </c>
      <c r="C161" s="283" t="inlineStr">
        <is>
          <t xml:space="preserve">方法B</t>
        </is>
      </c>
      <c r="D161" s="283" t="inlineStr">
        <is>
          <t xml:space="preserve">One-Euro</t>
        </is>
      </c>
      <c r="E161" s="284" t="n">
        <v>3</v>
      </c>
      <c r="F161" s="284" t="n">
        <v>4</v>
      </c>
      <c r="G161" s="285" t="n">
        <v>2</v>
      </c>
      <c r="H161" s="284" t="n">
        <v>3</v>
      </c>
      <c r="I161" s="285" t="n">
        <v>3</v>
      </c>
      <c r="J161" s="284" t="n">
        <v>4</v>
      </c>
      <c r="K161" s="284" t="n">
        <v>4</v>
      </c>
      <c r="L161" s="285" t="n">
        <v>2</v>
      </c>
      <c r="M161" s="284" t="n">
        <v>4</v>
      </c>
      <c r="N161" s="285" t="n">
        <v>2</v>
      </c>
      <c r="O161" s="284" t="n">
        <v>4</v>
      </c>
      <c r="P161" s="284" t="n">
        <v>5</v>
      </c>
      <c r="Q161" s="284" t="n">
        <v>5</v>
      </c>
      <c r="R161" s="284" t="str">
        <v>是</v>
      </c>
      <c r="S161" s="508" t="n">
        <v>46238.401124247684</v>
      </c>
      <c r="T161" s="508" t="n">
        <v>46238.40235621528</v>
      </c>
      <c r="U161" s="509" t="n">
        <v>106.4</v>
      </c>
      <c r="V161" s="284" t="str">
        <v>无</v>
      </c>
      <c r="W161" s="284" t="str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</row>
    <row r="162" ht="24" customHeight="1">
      <c r="A162" s="65" t="inlineStr">
        <is>
          <t xml:space="preserve">P006</t>
        </is>
      </c>
      <c r="B162" s="96" t="n">
        <v>1</v>
      </c>
      <c r="C162" s="96" t="inlineStr">
        <is>
          <t xml:space="preserve">方法B</t>
        </is>
      </c>
      <c r="D162" s="96" t="inlineStr">
        <is>
          <t xml:space="preserve">One-Euro</t>
        </is>
      </c>
      <c r="E162" s="85" t="n">
        <v>3</v>
      </c>
      <c r="F162" s="85" t="n">
        <v>4</v>
      </c>
      <c r="G162" s="75" t="n">
        <v>2</v>
      </c>
      <c r="H162" s="85" t="n">
        <v>4</v>
      </c>
      <c r="I162" s="75" t="n">
        <v>2</v>
      </c>
      <c r="J162" s="85" t="n">
        <v>3</v>
      </c>
      <c r="K162" s="85" t="n">
        <v>3</v>
      </c>
      <c r="L162" s="75" t="n">
        <v>3</v>
      </c>
      <c r="M162" s="85" t="n">
        <v>4</v>
      </c>
      <c r="N162" s="75" t="n">
        <v>3</v>
      </c>
      <c r="O162" s="85" t="n">
        <v>4</v>
      </c>
      <c r="P162" s="85" t="n">
        <v>5</v>
      </c>
      <c r="Q162" s="85" t="n">
        <v>5</v>
      </c>
      <c r="R162" s="85" t="str">
        <v>是</v>
      </c>
      <c r="S162" s="497" t="n">
        <v>46238.46725886574</v>
      </c>
      <c r="T162" s="497" t="n">
        <v>46238.46857041667</v>
      </c>
      <c r="U162" s="500" t="n">
        <v>113.3</v>
      </c>
      <c r="V162" s="85" t="str">
        <v>无</v>
      </c>
      <c r="W162" s="211" t="str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</row>
    <row r="163" ht="24" customHeight="1">
      <c r="A163" s="282" t="inlineStr">
        <is>
          <t xml:space="preserve">P006</t>
        </is>
      </c>
      <c r="B163" s="283" t="n">
        <v>2</v>
      </c>
      <c r="C163" s="283" t="inlineStr">
        <is>
          <t xml:space="preserve">方法A</t>
        </is>
      </c>
      <c r="D163" s="283" t="inlineStr">
        <is>
          <t xml:space="preserve">EgoAnchor</t>
        </is>
      </c>
      <c r="E163" s="284" t="n">
        <v>4</v>
      </c>
      <c r="F163" s="284" t="n">
        <v>4</v>
      </c>
      <c r="G163" s="285" t="n">
        <v>2</v>
      </c>
      <c r="H163" s="284" t="n">
        <v>3</v>
      </c>
      <c r="I163" s="285" t="n">
        <v>2</v>
      </c>
      <c r="J163" s="284" t="n">
        <v>4</v>
      </c>
      <c r="K163" s="284" t="n">
        <v>3</v>
      </c>
      <c r="L163" s="285" t="n">
        <v>2</v>
      </c>
      <c r="M163" s="284" t="n">
        <v>4</v>
      </c>
      <c r="N163" s="285" t="n">
        <v>2</v>
      </c>
      <c r="O163" s="284" t="n">
        <v>4</v>
      </c>
      <c r="P163" s="284" t="n">
        <v>5</v>
      </c>
      <c r="Q163" s="284" t="n">
        <v>5</v>
      </c>
      <c r="R163" s="284" t="str">
        <v>是</v>
      </c>
      <c r="S163" s="508" t="n">
        <v>46238.46908657408</v>
      </c>
      <c r="T163" s="508" t="n">
        <v>46238.47028178241</v>
      </c>
      <c r="U163" s="509" t="n">
        <v>103.3</v>
      </c>
      <c r="V163" s="284" t="str">
        <v>无</v>
      </c>
      <c r="W163" s="284" t="str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</row>
    <row r="164" ht="24" customHeight="1">
      <c r="A164" s="65" t="inlineStr">
        <is>
          <t xml:space="preserve">P007</t>
        </is>
      </c>
      <c r="B164" s="96" t="n">
        <v>1</v>
      </c>
      <c r="C164" s="96" t="inlineStr">
        <is>
          <t xml:space="preserve">方法B</t>
        </is>
      </c>
      <c r="D164" s="96" t="inlineStr">
        <is>
          <t xml:space="preserve">EgoAnchor</t>
        </is>
      </c>
      <c r="E164" s="85" t="n">
        <v>5</v>
      </c>
      <c r="F164" s="85" t="n">
        <v>5</v>
      </c>
      <c r="G164" s="75" t="n">
        <v>1</v>
      </c>
      <c r="H164" s="85" t="n">
        <v>5</v>
      </c>
      <c r="I164" s="75" t="n">
        <v>1</v>
      </c>
      <c r="J164" s="85" t="n">
        <v>4</v>
      </c>
      <c r="K164" s="85" t="n">
        <v>4</v>
      </c>
      <c r="L164" s="75" t="n">
        <v>2</v>
      </c>
      <c r="M164" s="85" t="n">
        <v>4</v>
      </c>
      <c r="N164" s="75" t="n">
        <v>2</v>
      </c>
      <c r="O164" s="85" t="n">
        <v>5</v>
      </c>
      <c r="P164" s="85" t="n">
        <v>6</v>
      </c>
      <c r="Q164" s="85" t="n">
        <v>6</v>
      </c>
      <c r="R164" s="85" t="str">
        <v>是</v>
      </c>
      <c r="S164" s="497" t="n">
        <v>46238.58368662037</v>
      </c>
      <c r="T164" s="497" t="n">
        <v>46238.585013125</v>
      </c>
      <c r="U164" s="500" t="n">
        <v>114.6</v>
      </c>
      <c r="V164" s="85" t="str">
        <v>无</v>
      </c>
      <c r="W164" s="211" t="str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</row>
    <row r="165" ht="24" customHeight="1">
      <c r="A165" s="282" t="inlineStr">
        <is>
          <t xml:space="preserve">P007</t>
        </is>
      </c>
      <c r="B165" s="283" t="n">
        <v>2</v>
      </c>
      <c r="C165" s="283" t="inlineStr">
        <is>
          <t xml:space="preserve">方法A</t>
        </is>
      </c>
      <c r="D165" s="283" t="inlineStr">
        <is>
          <t xml:space="preserve">One-Euro</t>
        </is>
      </c>
      <c r="E165" s="284" t="n">
        <v>4</v>
      </c>
      <c r="F165" s="284" t="n">
        <v>4</v>
      </c>
      <c r="G165" s="285" t="n">
        <v>2</v>
      </c>
      <c r="H165" s="284" t="n">
        <v>4</v>
      </c>
      <c r="I165" s="285" t="n">
        <v>2</v>
      </c>
      <c r="J165" s="284" t="n">
        <v>5</v>
      </c>
      <c r="K165" s="284" t="n">
        <v>4</v>
      </c>
      <c r="L165" s="285" t="n">
        <v>2</v>
      </c>
      <c r="M165" s="284" t="n">
        <v>5</v>
      </c>
      <c r="N165" s="285" t="n">
        <v>2</v>
      </c>
      <c r="O165" s="284" t="n">
        <v>4</v>
      </c>
      <c r="P165" s="284" t="n">
        <v>5</v>
      </c>
      <c r="Q165" s="284" t="n">
        <v>6</v>
      </c>
      <c r="R165" s="284" t="str">
        <v>是</v>
      </c>
      <c r="S165" s="508" t="n">
        <v>46238.585483125</v>
      </c>
      <c r="T165" s="508" t="n">
        <v>46238.58717002315</v>
      </c>
      <c r="U165" s="509" t="n">
        <v>145.7</v>
      </c>
      <c r="V165" s="284" t="str">
        <v>无</v>
      </c>
      <c r="W165" s="284" t="str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</row>
    <row r="166" ht="24" customHeight="1">
      <c r="A166" s="65" t="inlineStr">
        <is>
          <t xml:space="preserve">P008</t>
        </is>
      </c>
      <c r="B166" s="96" t="n">
        <v>1</v>
      </c>
      <c r="C166" s="96" t="inlineStr">
        <is>
          <t xml:space="preserve">方法A</t>
        </is>
      </c>
      <c r="D166" s="96" t="inlineStr">
        <is>
          <t xml:space="preserve">One-Euro</t>
        </is>
      </c>
      <c r="E166" s="85" t="n">
        <v>5</v>
      </c>
      <c r="F166" s="85" t="n">
        <v>5</v>
      </c>
      <c r="G166" s="75" t="n">
        <v>1</v>
      </c>
      <c r="H166" s="85" t="n">
        <v>4</v>
      </c>
      <c r="I166" s="75" t="n">
        <v>2</v>
      </c>
      <c r="J166" s="85" t="n">
        <v>5</v>
      </c>
      <c r="K166" s="85" t="n">
        <v>4</v>
      </c>
      <c r="L166" s="75" t="n">
        <v>1</v>
      </c>
      <c r="M166" s="85" t="n">
        <v>4</v>
      </c>
      <c r="N166" s="75" t="n">
        <v>2</v>
      </c>
      <c r="O166" s="85" t="n">
        <v>6</v>
      </c>
      <c r="P166" s="85" t="n">
        <v>7</v>
      </c>
      <c r="Q166" s="85" t="n">
        <v>6</v>
      </c>
      <c r="R166" s="85" t="str">
        <v>是</v>
      </c>
      <c r="S166" s="497" t="n">
        <v>46238.6532809375</v>
      </c>
      <c r="T166" s="497" t="n">
        <v>46238.6546924537</v>
      </c>
      <c r="U166" s="500" t="n">
        <v>122</v>
      </c>
      <c r="V166" s="85" t="str">
        <v>无</v>
      </c>
      <c r="W166" s="211" t="str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</row>
    <row r="167" ht="24" customHeight="1">
      <c r="A167" s="282" t="inlineStr">
        <is>
          <t xml:space="preserve">P008</t>
        </is>
      </c>
      <c r="B167" s="283" t="n">
        <v>2</v>
      </c>
      <c r="C167" s="283" t="inlineStr">
        <is>
          <t xml:space="preserve">方法B</t>
        </is>
      </c>
      <c r="D167" s="283" t="inlineStr">
        <is>
          <t xml:space="preserve">EgoAnchor</t>
        </is>
      </c>
      <c r="E167" s="284" t="n">
        <v>5</v>
      </c>
      <c r="F167" s="284" t="n">
        <v>5</v>
      </c>
      <c r="G167" s="285" t="n">
        <v>2</v>
      </c>
      <c r="H167" s="284" t="n">
        <v>5</v>
      </c>
      <c r="I167" s="285" t="n">
        <v>1</v>
      </c>
      <c r="J167" s="284" t="n">
        <v>5</v>
      </c>
      <c r="K167" s="284" t="n">
        <v>4</v>
      </c>
      <c r="L167" s="285" t="n">
        <v>2</v>
      </c>
      <c r="M167" s="284" t="n">
        <v>5</v>
      </c>
      <c r="N167" s="285" t="n">
        <v>1</v>
      </c>
      <c r="O167" s="284" t="n">
        <v>7</v>
      </c>
      <c r="P167" s="284" t="n">
        <v>7</v>
      </c>
      <c r="Q167" s="284" t="n">
        <v>7</v>
      </c>
      <c r="R167" s="284" t="str">
        <v>是</v>
      </c>
      <c r="S167" s="508" t="n">
        <v>46238.65502914352</v>
      </c>
      <c r="T167" s="508" t="n">
        <v>46238.65626945602</v>
      </c>
      <c r="U167" s="509" t="n">
        <v>107.2</v>
      </c>
      <c r="V167" s="284" t="str">
        <v>无</v>
      </c>
      <c r="W167" s="284" t="str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</row>
    <row r="168" ht="24" customHeight="1">
      <c r="A168" s="65" t="inlineStr">
        <is>
          <t xml:space="preserve">P009</t>
        </is>
      </c>
      <c r="B168" s="96" t="n">
        <v>1</v>
      </c>
      <c r="C168" s="96" t="inlineStr">
        <is>
          <t xml:space="preserve">方法A</t>
        </is>
      </c>
      <c r="D168" s="96" t="inlineStr">
        <is>
          <t xml:space="preserve">EgoAnchor</t>
        </is>
      </c>
      <c r="E168" s="85" t="n">
        <v>4</v>
      </c>
      <c r="F168" s="85" t="n">
        <v>4</v>
      </c>
      <c r="G168" s="75" t="n">
        <v>2</v>
      </c>
      <c r="H168" s="85" t="n">
        <v>3</v>
      </c>
      <c r="I168" s="75" t="n">
        <v>2</v>
      </c>
      <c r="J168" s="85" t="n">
        <v>4</v>
      </c>
      <c r="K168" s="85" t="n">
        <v>4</v>
      </c>
      <c r="L168" s="75" t="n">
        <v>1</v>
      </c>
      <c r="M168" s="85" t="n">
        <v>4</v>
      </c>
      <c r="N168" s="75" t="n">
        <v>2</v>
      </c>
      <c r="O168" s="85" t="n">
        <v>5</v>
      </c>
      <c r="P168" s="85" t="n">
        <v>5</v>
      </c>
      <c r="Q168" s="85" t="n">
        <v>5</v>
      </c>
      <c r="R168" s="85" t="str">
        <v>是</v>
      </c>
      <c r="S168" s="497" t="n">
        <v>46239.396729733795</v>
      </c>
      <c r="T168" s="497" t="n">
        <v>46239.39804457176</v>
      </c>
      <c r="U168" s="500" t="n">
        <v>113.6</v>
      </c>
      <c r="V168" s="85" t="str">
        <v>无</v>
      </c>
      <c r="W168" s="211" t="str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</row>
    <row r="169" ht="24" customHeight="1">
      <c r="A169" s="282" t="inlineStr">
        <is>
          <t xml:space="preserve">P009</t>
        </is>
      </c>
      <c r="B169" s="283" t="n">
        <v>2</v>
      </c>
      <c r="C169" s="283" t="inlineStr">
        <is>
          <t xml:space="preserve">方法B</t>
        </is>
      </c>
      <c r="D169" s="283" t="inlineStr">
        <is>
          <t xml:space="preserve">One-Euro</t>
        </is>
      </c>
      <c r="E169" s="284" t="n">
        <v>3</v>
      </c>
      <c r="F169" s="284" t="n">
        <v>3</v>
      </c>
      <c r="G169" s="285" t="n">
        <v>3</v>
      </c>
      <c r="H169" s="284" t="n">
        <v>3</v>
      </c>
      <c r="I169" s="285" t="n">
        <v>2</v>
      </c>
      <c r="J169" s="284" t="n">
        <v>3</v>
      </c>
      <c r="K169" s="284" t="n">
        <v>4</v>
      </c>
      <c r="L169" s="285" t="n">
        <v>2</v>
      </c>
      <c r="M169" s="284" t="n">
        <v>4</v>
      </c>
      <c r="N169" s="285" t="n">
        <v>3</v>
      </c>
      <c r="O169" s="284" t="n">
        <v>4</v>
      </c>
      <c r="P169" s="284" t="n">
        <v>5</v>
      </c>
      <c r="Q169" s="284" t="n">
        <v>5</v>
      </c>
      <c r="R169" s="284" t="str">
        <v>是</v>
      </c>
      <c r="S169" s="508" t="n">
        <v>46239.398382824074</v>
      </c>
      <c r="T169" s="508" t="n">
        <v>46239.39996552083</v>
      </c>
      <c r="U169" s="509" t="n">
        <v>136.7</v>
      </c>
      <c r="V169" s="284" t="str">
        <v>无</v>
      </c>
      <c r="W169" s="284" t="str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</row>
    <row r="170" ht="24" customHeight="1">
      <c r="A170" s="65" t="inlineStr">
        <is>
          <t xml:space="preserve">P010</t>
        </is>
      </c>
      <c r="B170" s="96" t="n">
        <v>1</v>
      </c>
      <c r="C170" s="96" t="inlineStr">
        <is>
          <t xml:space="preserve">方法B</t>
        </is>
      </c>
      <c r="D170" s="96" t="inlineStr">
        <is>
          <t xml:space="preserve">One-Euro</t>
        </is>
      </c>
      <c r="E170" s="85" t="n">
        <v>5</v>
      </c>
      <c r="F170" s="85" t="n">
        <v>4</v>
      </c>
      <c r="G170" s="75" t="n">
        <v>2</v>
      </c>
      <c r="H170" s="85" t="n">
        <v>4</v>
      </c>
      <c r="I170" s="75" t="n">
        <v>1</v>
      </c>
      <c r="J170" s="85" t="n">
        <v>4</v>
      </c>
      <c r="K170" s="85" t="n">
        <v>3</v>
      </c>
      <c r="L170" s="75" t="n">
        <v>2</v>
      </c>
      <c r="M170" s="85" t="n">
        <v>4</v>
      </c>
      <c r="N170" s="75" t="n">
        <v>2</v>
      </c>
      <c r="O170" s="85" t="n">
        <v>6</v>
      </c>
      <c r="P170" s="85" t="n">
        <v>6</v>
      </c>
      <c r="Q170" s="85" t="n">
        <v>6</v>
      </c>
      <c r="R170" s="85" t="str">
        <v>是</v>
      </c>
      <c r="S170" s="497" t="n">
        <v>46239.4700808912</v>
      </c>
      <c r="T170" s="497" t="n">
        <v>46239.47175818287</v>
      </c>
      <c r="U170" s="500" t="n">
        <v>144.9</v>
      </c>
      <c r="V170" s="85" t="str">
        <v>无</v>
      </c>
      <c r="W170" s="211" t="str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</row>
    <row r="171" ht="24" customHeight="1">
      <c r="A171" s="282" t="inlineStr">
        <is>
          <t xml:space="preserve">P010</t>
        </is>
      </c>
      <c r="B171" s="283" t="n">
        <v>2</v>
      </c>
      <c r="C171" s="283" t="inlineStr">
        <is>
          <t xml:space="preserve">方法A</t>
        </is>
      </c>
      <c r="D171" s="283" t="inlineStr">
        <is>
          <t xml:space="preserve">EgoAnchor</t>
        </is>
      </c>
      <c r="E171" s="284" t="n">
        <v>5</v>
      </c>
      <c r="F171" s="284" t="n">
        <v>5</v>
      </c>
      <c r="G171" s="285" t="n">
        <v>2</v>
      </c>
      <c r="H171" s="284" t="n">
        <v>4</v>
      </c>
      <c r="I171" s="285" t="n">
        <v>1</v>
      </c>
      <c r="J171" s="284" t="n">
        <v>5</v>
      </c>
      <c r="K171" s="284" t="n">
        <v>4</v>
      </c>
      <c r="L171" s="285" t="n">
        <v>1</v>
      </c>
      <c r="M171" s="284" t="n">
        <v>4</v>
      </c>
      <c r="N171" s="285" t="n">
        <v>2</v>
      </c>
      <c r="O171" s="284" t="n">
        <v>6</v>
      </c>
      <c r="P171" s="284" t="n">
        <v>6</v>
      </c>
      <c r="Q171" s="284" t="n">
        <v>5</v>
      </c>
      <c r="R171" s="284" t="str">
        <v>是</v>
      </c>
      <c r="S171" s="508" t="n">
        <v>46239.47222087963</v>
      </c>
      <c r="T171" s="508" t="n">
        <v>46239.47350261574</v>
      </c>
      <c r="U171" s="509" t="n">
        <v>110.7</v>
      </c>
      <c r="V171" s="284" t="str">
        <v>无</v>
      </c>
      <c r="W171" s="284" t="str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</row>
    <row r="172" ht="24" customHeight="1">
      <c r="A172" s="65" t="inlineStr">
        <is>
          <t xml:space="preserve">P011</t>
        </is>
      </c>
      <c r="B172" s="96" t="n">
        <v>1</v>
      </c>
      <c r="C172" s="96" t="inlineStr">
        <is>
          <t xml:space="preserve">方法B</t>
        </is>
      </c>
      <c r="D172" s="96" t="inlineStr">
        <is>
          <t xml:space="preserve">EgoAnchor</t>
        </is>
      </c>
      <c r="E172" s="85" t="n">
        <v>4</v>
      </c>
      <c r="F172" s="85" t="n">
        <v>5</v>
      </c>
      <c r="G172" s="75" t="n">
        <v>2</v>
      </c>
      <c r="H172" s="85" t="n">
        <v>4</v>
      </c>
      <c r="I172" s="75" t="n">
        <v>2</v>
      </c>
      <c r="J172" s="85" t="n">
        <v>4</v>
      </c>
      <c r="K172" s="85" t="n">
        <v>4</v>
      </c>
      <c r="L172" s="75" t="n">
        <v>1</v>
      </c>
      <c r="M172" s="85" t="n">
        <v>3</v>
      </c>
      <c r="N172" s="75" t="n">
        <v>2</v>
      </c>
      <c r="O172" s="85" t="n">
        <v>5</v>
      </c>
      <c r="P172" s="85" t="n">
        <v>6</v>
      </c>
      <c r="Q172" s="85" t="n">
        <v>5</v>
      </c>
      <c r="R172" s="85" t="str">
        <v>是</v>
      </c>
      <c r="S172" s="497" t="n">
        <v>46239.58523986111</v>
      </c>
      <c r="T172" s="497" t="n">
        <v>46239.58651853009</v>
      </c>
      <c r="U172" s="500" t="n">
        <v>110.5</v>
      </c>
      <c r="V172" s="85" t="str">
        <v>无</v>
      </c>
      <c r="W172" s="211" t="str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</row>
    <row r="173" ht="24" customHeight="1">
      <c r="A173" s="282" t="inlineStr">
        <is>
          <t xml:space="preserve">P011</t>
        </is>
      </c>
      <c r="B173" s="283" t="n">
        <v>2</v>
      </c>
      <c r="C173" s="283" t="inlineStr">
        <is>
          <t xml:space="preserve">方法A</t>
        </is>
      </c>
      <c r="D173" s="283" t="inlineStr">
        <is>
          <t xml:space="preserve">One-Euro</t>
        </is>
      </c>
      <c r="E173" s="284" t="n">
        <v>4</v>
      </c>
      <c r="F173" s="284" t="n">
        <v>4</v>
      </c>
      <c r="G173" s="285" t="n">
        <v>2</v>
      </c>
      <c r="H173" s="284" t="n">
        <v>4</v>
      </c>
      <c r="I173" s="285" t="n">
        <v>2</v>
      </c>
      <c r="J173" s="284" t="n">
        <v>3</v>
      </c>
      <c r="K173" s="284" t="n">
        <v>4</v>
      </c>
      <c r="L173" s="285" t="n">
        <v>2</v>
      </c>
      <c r="M173" s="284" t="n">
        <v>4</v>
      </c>
      <c r="N173" s="285" t="n">
        <v>1</v>
      </c>
      <c r="O173" s="284" t="n">
        <v>5</v>
      </c>
      <c r="P173" s="284" t="n">
        <v>6</v>
      </c>
      <c r="Q173" s="284" t="n">
        <v>5</v>
      </c>
      <c r="R173" s="284" t="str">
        <v>是</v>
      </c>
      <c r="S173" s="508" t="n">
        <v>46239.58695377315</v>
      </c>
      <c r="T173" s="508" t="n">
        <v>46239.58843305556</v>
      </c>
      <c r="U173" s="509" t="n">
        <v>127.8</v>
      </c>
      <c r="V173" s="284" t="str">
        <v>无</v>
      </c>
      <c r="W173" s="284" t="str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</row>
    <row r="174" ht="24" customHeight="1">
      <c r="A174" s="65" t="inlineStr">
        <is>
          <t xml:space="preserve">P012</t>
        </is>
      </c>
      <c r="B174" s="96" t="n">
        <v>1</v>
      </c>
      <c r="C174" s="96" t="inlineStr">
        <is>
          <t xml:space="preserve">方法A</t>
        </is>
      </c>
      <c r="D174" s="96" t="inlineStr">
        <is>
          <t xml:space="preserve">One-Euro</t>
        </is>
      </c>
      <c r="E174" s="85" t="n">
        <v>4</v>
      </c>
      <c r="F174" s="85" t="n">
        <v>5</v>
      </c>
      <c r="G174" s="75" t="n">
        <v>2</v>
      </c>
      <c r="H174" s="85" t="n">
        <v>4</v>
      </c>
      <c r="I174" s="75" t="n">
        <v>2</v>
      </c>
      <c r="J174" s="85" t="n">
        <v>5</v>
      </c>
      <c r="K174" s="85" t="n">
        <v>4</v>
      </c>
      <c r="L174" s="75" t="n">
        <v>1</v>
      </c>
      <c r="M174" s="85" t="n">
        <v>4</v>
      </c>
      <c r="N174" s="75" t="n">
        <v>3</v>
      </c>
      <c r="O174" s="85" t="n">
        <v>6</v>
      </c>
      <c r="P174" s="85" t="n">
        <v>5</v>
      </c>
      <c r="Q174" s="85" t="n">
        <v>5</v>
      </c>
      <c r="R174" s="85" t="str">
        <v>是</v>
      </c>
      <c r="S174" s="497" t="n">
        <v>46239.660460011575</v>
      </c>
      <c r="T174" s="497" t="n">
        <v>46239.661908553244</v>
      </c>
      <c r="U174" s="500" t="n">
        <v>125.2</v>
      </c>
      <c r="V174" s="85" t="str">
        <v>无</v>
      </c>
      <c r="W174" s="211" t="str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</row>
    <row r="175" ht="24" customHeight="1">
      <c r="A175" s="282" t="inlineStr">
        <is>
          <t xml:space="preserve">P012</t>
        </is>
      </c>
      <c r="B175" s="283" t="n">
        <v>2</v>
      </c>
      <c r="C175" s="283" t="inlineStr">
        <is>
          <t xml:space="preserve">方法B</t>
        </is>
      </c>
      <c r="D175" s="283" t="inlineStr">
        <is>
          <t xml:space="preserve">EgoAnchor</t>
        </is>
      </c>
      <c r="E175" s="284" t="n">
        <v>5</v>
      </c>
      <c r="F175" s="284" t="n">
        <v>5</v>
      </c>
      <c r="G175" s="285" t="n">
        <v>1</v>
      </c>
      <c r="H175" s="284" t="n">
        <v>5</v>
      </c>
      <c r="I175" s="285" t="n">
        <v>1</v>
      </c>
      <c r="J175" s="284" t="n">
        <v>5</v>
      </c>
      <c r="K175" s="284" t="n">
        <v>5</v>
      </c>
      <c r="L175" s="285" t="n">
        <v>1</v>
      </c>
      <c r="M175" s="284" t="n">
        <v>5</v>
      </c>
      <c r="N175" s="285" t="n">
        <v>1</v>
      </c>
      <c r="O175" s="284" t="n">
        <v>6</v>
      </c>
      <c r="P175" s="284" t="n">
        <v>6</v>
      </c>
      <c r="Q175" s="284" t="n">
        <v>7</v>
      </c>
      <c r="R175" s="284" t="str">
        <v>是</v>
      </c>
      <c r="S175" s="508" t="n">
        <v>46239.66235560185</v>
      </c>
      <c r="T175" s="508" t="n">
        <v>46239.66349032408</v>
      </c>
      <c r="U175" s="509" t="n">
        <v>98</v>
      </c>
      <c r="V175" s="284" t="str">
        <v>无</v>
      </c>
      <c r="W175" s="284" t="str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</row>
    <row r="176" ht="24" customHeight="1">
      <c r="A176" s="65" t="inlineStr">
        <is>
          <t xml:space="preserve">P013</t>
        </is>
      </c>
      <c r="B176" s="96" t="n">
        <v>1</v>
      </c>
      <c r="C176" s="96" t="inlineStr">
        <is>
          <t xml:space="preserve">方法A</t>
        </is>
      </c>
      <c r="D176" s="96" t="inlineStr">
        <is>
          <t xml:space="preserve">EgoAnchor</t>
        </is>
      </c>
      <c r="E176" s="85" t="n">
        <v>5</v>
      </c>
      <c r="F176" s="85" t="n">
        <v>5</v>
      </c>
      <c r="G176" s="75" t="n">
        <v>2</v>
      </c>
      <c r="H176" s="85" t="n">
        <v>4</v>
      </c>
      <c r="I176" s="75" t="n">
        <v>1</v>
      </c>
      <c r="J176" s="85" t="n">
        <v>4</v>
      </c>
      <c r="K176" s="85" t="n">
        <v>4</v>
      </c>
      <c r="L176" s="75" t="n">
        <v>2</v>
      </c>
      <c r="M176" s="85" t="n">
        <v>4</v>
      </c>
      <c r="N176" s="75" t="n">
        <v>2</v>
      </c>
      <c r="O176" s="85" t="n">
        <v>6</v>
      </c>
      <c r="P176" s="85" t="n">
        <v>6</v>
      </c>
      <c r="Q176" s="85" t="n">
        <v>5</v>
      </c>
      <c r="R176" s="85" t="str">
        <v>是</v>
      </c>
      <c r="S176" s="497" t="n">
        <v>46240.39348324074</v>
      </c>
      <c r="T176" s="497" t="n">
        <v>46240.394682604165</v>
      </c>
      <c r="U176" s="500" t="n">
        <v>103.6</v>
      </c>
      <c r="V176" s="85" t="str">
        <v>无</v>
      </c>
      <c r="W176" s="211" t="str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</row>
    <row r="177" ht="24" customHeight="1">
      <c r="A177" s="282" t="inlineStr">
        <is>
          <t xml:space="preserve">P013</t>
        </is>
      </c>
      <c r="B177" s="283" t="n">
        <v>2</v>
      </c>
      <c r="C177" s="283" t="inlineStr">
        <is>
          <t xml:space="preserve">方法B</t>
        </is>
      </c>
      <c r="D177" s="283" t="inlineStr">
        <is>
          <t xml:space="preserve">One-Euro</t>
        </is>
      </c>
      <c r="E177" s="284" t="n">
        <v>4</v>
      </c>
      <c r="F177" s="284" t="n">
        <v>4</v>
      </c>
      <c r="G177" s="285" t="n">
        <v>1</v>
      </c>
      <c r="H177" s="284" t="n">
        <v>3</v>
      </c>
      <c r="I177" s="285" t="n">
        <v>2</v>
      </c>
      <c r="J177" s="284" t="n">
        <v>3</v>
      </c>
      <c r="K177" s="284" t="n">
        <v>5</v>
      </c>
      <c r="L177" s="285" t="n">
        <v>2</v>
      </c>
      <c r="M177" s="284" t="n">
        <v>5</v>
      </c>
      <c r="N177" s="285" t="n">
        <v>2</v>
      </c>
      <c r="O177" s="284" t="n">
        <v>5</v>
      </c>
      <c r="P177" s="284" t="n">
        <v>5</v>
      </c>
      <c r="Q177" s="284" t="n">
        <v>5</v>
      </c>
      <c r="R177" s="284" t="str">
        <v>是</v>
      </c>
      <c r="S177" s="508" t="n">
        <v>46240.39520162037</v>
      </c>
      <c r="T177" s="508" t="n">
        <v>46240.39666240741</v>
      </c>
      <c r="U177" s="509" t="n">
        <v>126.2</v>
      </c>
      <c r="V177" s="284" t="str">
        <v>无</v>
      </c>
      <c r="W177" s="284" t="str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</row>
    <row r="178" ht="24" customHeight="1">
      <c r="A178" s="65" t="inlineStr">
        <is>
          <t xml:space="preserve">P014</t>
        </is>
      </c>
      <c r="B178" s="96" t="n">
        <v>1</v>
      </c>
      <c r="C178" s="96" t="inlineStr">
        <is>
          <t xml:space="preserve">方法B</t>
        </is>
      </c>
      <c r="D178" s="96" t="inlineStr">
        <is>
          <t xml:space="preserve">One-Euro</t>
        </is>
      </c>
      <c r="E178" s="85" t="n">
        <v>5</v>
      </c>
      <c r="F178" s="85" t="n">
        <v>5</v>
      </c>
      <c r="G178" s="75" t="n">
        <v>1</v>
      </c>
      <c r="H178" s="85" t="n">
        <v>4</v>
      </c>
      <c r="I178" s="75" t="n">
        <v>2</v>
      </c>
      <c r="J178" s="85" t="n">
        <v>4</v>
      </c>
      <c r="K178" s="85" t="n">
        <v>5</v>
      </c>
      <c r="L178" s="75" t="n">
        <v>2</v>
      </c>
      <c r="M178" s="85" t="n">
        <v>4</v>
      </c>
      <c r="N178" s="75" t="n">
        <v>3</v>
      </c>
      <c r="O178" s="85" t="n">
        <v>6</v>
      </c>
      <c r="P178" s="85" t="n">
        <v>6</v>
      </c>
      <c r="Q178" s="85" t="n">
        <v>6</v>
      </c>
      <c r="R178" s="85" t="str">
        <v>是</v>
      </c>
      <c r="S178" s="497" t="n">
        <v>46240.47171877315</v>
      </c>
      <c r="T178" s="497" t="n">
        <v>46240.47285724537</v>
      </c>
      <c r="U178" s="500" t="n">
        <v>98.4</v>
      </c>
      <c r="V178" s="85" t="str">
        <v>无</v>
      </c>
      <c r="W178" s="211" t="str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</row>
    <row r="179" ht="24" customHeight="1">
      <c r="A179" s="282" t="inlineStr">
        <is>
          <t xml:space="preserve">P014</t>
        </is>
      </c>
      <c r="B179" s="283" t="n">
        <v>2</v>
      </c>
      <c r="C179" s="283" t="inlineStr">
        <is>
          <t xml:space="preserve">方法A</t>
        </is>
      </c>
      <c r="D179" s="283" t="inlineStr">
        <is>
          <t xml:space="preserve">EgoAnchor</t>
        </is>
      </c>
      <c r="E179" s="284" t="n">
        <v>5</v>
      </c>
      <c r="F179" s="284" t="n">
        <v>4</v>
      </c>
      <c r="G179" s="285" t="n">
        <v>1</v>
      </c>
      <c r="H179" s="284" t="n">
        <v>4</v>
      </c>
      <c r="I179" s="285" t="n">
        <v>1</v>
      </c>
      <c r="J179" s="284" t="n">
        <v>5</v>
      </c>
      <c r="K179" s="284" t="n">
        <v>5</v>
      </c>
      <c r="L179" s="285" t="n">
        <v>1</v>
      </c>
      <c r="M179" s="284" t="n">
        <v>4</v>
      </c>
      <c r="N179" s="285" t="n">
        <v>3</v>
      </c>
      <c r="O179" s="284" t="n">
        <v>6</v>
      </c>
      <c r="P179" s="284" t="n">
        <v>5</v>
      </c>
      <c r="Q179" s="284" t="n">
        <v>6</v>
      </c>
      <c r="R179" s="284" t="str">
        <v>是</v>
      </c>
      <c r="S179" s="508" t="n">
        <v>46240.47326503472</v>
      </c>
      <c r="T179" s="508" t="n">
        <v>46240.474884131945</v>
      </c>
      <c r="U179" s="509" t="n">
        <v>139.9</v>
      </c>
      <c r="V179" s="284" t="str">
        <v>无</v>
      </c>
      <c r="W179" s="284" t="str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</row>
    <row r="180" ht="24" customHeight="1">
      <c r="A180" s="65" t="inlineStr">
        <is>
          <t xml:space="preserve">P015</t>
        </is>
      </c>
      <c r="B180" s="96" t="n">
        <v>1</v>
      </c>
      <c r="C180" s="96" t="inlineStr">
        <is>
          <t xml:space="preserve">方法B</t>
        </is>
      </c>
      <c r="D180" s="96" t="inlineStr">
        <is>
          <t xml:space="preserve">EgoAnchor</t>
        </is>
      </c>
      <c r="E180" s="85" t="n">
        <v>4</v>
      </c>
      <c r="F180" s="85" t="n">
        <v>5</v>
      </c>
      <c r="G180" s="75" t="n">
        <v>2</v>
      </c>
      <c r="H180" s="85" t="n">
        <v>4</v>
      </c>
      <c r="I180" s="75" t="n">
        <v>1</v>
      </c>
      <c r="J180" s="85" t="n">
        <v>5</v>
      </c>
      <c r="K180" s="85" t="n">
        <v>5</v>
      </c>
      <c r="L180" s="75" t="n">
        <v>1</v>
      </c>
      <c r="M180" s="85" t="n">
        <v>5</v>
      </c>
      <c r="N180" s="75" t="n">
        <v>1</v>
      </c>
      <c r="O180" s="85" t="n">
        <v>7</v>
      </c>
      <c r="P180" s="85" t="n">
        <v>5</v>
      </c>
      <c r="Q180" s="85" t="n">
        <v>6</v>
      </c>
      <c r="R180" s="85" t="str">
        <v>是</v>
      </c>
      <c r="S180" s="497" t="n">
        <v>46240.58747008102</v>
      </c>
      <c r="T180" s="497" t="n">
        <v>46240.58897965278</v>
      </c>
      <c r="U180" s="500" t="n">
        <v>130.4</v>
      </c>
      <c r="V180" s="85" t="str">
        <v>无</v>
      </c>
      <c r="W180" s="211" t="str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</row>
    <row r="181" ht="24" customHeight="1">
      <c r="A181" s="282" t="inlineStr">
        <is>
          <t xml:space="preserve">P015</t>
        </is>
      </c>
      <c r="B181" s="283" t="n">
        <v>2</v>
      </c>
      <c r="C181" s="283" t="inlineStr">
        <is>
          <t xml:space="preserve">方法A</t>
        </is>
      </c>
      <c r="D181" s="283" t="inlineStr">
        <is>
          <t xml:space="preserve">One-Euro</t>
        </is>
      </c>
      <c r="E181" s="284" t="n">
        <v>4</v>
      </c>
      <c r="F181" s="284" t="n">
        <v>5</v>
      </c>
      <c r="G181" s="285" t="n">
        <v>1</v>
      </c>
      <c r="H181" s="284" t="n">
        <v>4</v>
      </c>
      <c r="I181" s="285" t="n">
        <v>1</v>
      </c>
      <c r="J181" s="284" t="n">
        <v>4</v>
      </c>
      <c r="K181" s="284" t="n">
        <v>4</v>
      </c>
      <c r="L181" s="285" t="n">
        <v>2</v>
      </c>
      <c r="M181" s="284" t="n">
        <v>4</v>
      </c>
      <c r="N181" s="285" t="n">
        <v>2</v>
      </c>
      <c r="O181" s="284" t="n">
        <v>6</v>
      </c>
      <c r="P181" s="284" t="n">
        <v>6</v>
      </c>
      <c r="Q181" s="284" t="n">
        <v>6</v>
      </c>
      <c r="R181" s="284" t="str">
        <v>是</v>
      </c>
      <c r="S181" s="508" t="n">
        <v>46240.58947806713</v>
      </c>
      <c r="T181" s="508" t="n">
        <v>46240.59117438657</v>
      </c>
      <c r="U181" s="509" t="n">
        <v>146.6</v>
      </c>
      <c r="V181" s="284" t="str">
        <v>无</v>
      </c>
      <c r="W181" s="284" t="str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</row>
    <row r="182" ht="24" customHeight="1">
      <c r="A182" s="65" t="inlineStr">
        <is>
          <t xml:space="preserve">P016</t>
        </is>
      </c>
      <c r="B182" s="96" t="n">
        <v>1</v>
      </c>
      <c r="C182" s="96" t="inlineStr">
        <is>
          <t xml:space="preserve">方法A</t>
        </is>
      </c>
      <c r="D182" s="96" t="inlineStr">
        <is>
          <t xml:space="preserve">One-Euro</t>
        </is>
      </c>
      <c r="E182" s="85" t="n">
        <v>4</v>
      </c>
      <c r="F182" s="85" t="n">
        <v>4</v>
      </c>
      <c r="G182" s="75" t="n">
        <v>2</v>
      </c>
      <c r="H182" s="85" t="n">
        <v>4</v>
      </c>
      <c r="I182" s="75" t="n">
        <v>1</v>
      </c>
      <c r="J182" s="85" t="n">
        <v>4</v>
      </c>
      <c r="K182" s="85" t="n">
        <v>5</v>
      </c>
      <c r="L182" s="75" t="n">
        <v>1</v>
      </c>
      <c r="M182" s="85" t="n">
        <v>5</v>
      </c>
      <c r="N182" s="75" t="n">
        <v>1</v>
      </c>
      <c r="O182" s="85" t="n">
        <v>5</v>
      </c>
      <c r="P182" s="85" t="n">
        <v>5</v>
      </c>
      <c r="Q182" s="85" t="n">
        <v>5</v>
      </c>
      <c r="R182" s="85" t="str">
        <v>是</v>
      </c>
      <c r="S182" s="497" t="n">
        <v>46240.65537667824</v>
      </c>
      <c r="T182" s="497" t="n">
        <v>46240.657186041666</v>
      </c>
      <c r="U182" s="500" t="n">
        <v>156.3</v>
      </c>
      <c r="V182" s="85" t="str">
        <v>无</v>
      </c>
      <c r="W182" s="211" t="str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</row>
    <row r="183" ht="24" customHeight="1">
      <c r="A183" s="282" t="inlineStr">
        <is>
          <t xml:space="preserve">P016</t>
        </is>
      </c>
      <c r="B183" s="283" t="n">
        <v>2</v>
      </c>
      <c r="C183" s="283" t="inlineStr">
        <is>
          <t xml:space="preserve">方法B</t>
        </is>
      </c>
      <c r="D183" s="283" t="inlineStr">
        <is>
          <t xml:space="preserve">EgoAnchor</t>
        </is>
      </c>
      <c r="E183" s="284" t="n">
        <v>5</v>
      </c>
      <c r="F183" s="284" t="n">
        <v>5</v>
      </c>
      <c r="G183" s="285" t="n">
        <v>1</v>
      </c>
      <c r="H183" s="284" t="n">
        <v>5</v>
      </c>
      <c r="I183" s="285" t="n">
        <v>2</v>
      </c>
      <c r="J183" s="284" t="n">
        <v>5</v>
      </c>
      <c r="K183" s="284" t="n">
        <v>5</v>
      </c>
      <c r="L183" s="285" t="n">
        <v>1</v>
      </c>
      <c r="M183" s="284" t="n">
        <v>5</v>
      </c>
      <c r="N183" s="285" t="n">
        <v>1</v>
      </c>
      <c r="O183" s="284" t="n">
        <v>7</v>
      </c>
      <c r="P183" s="284" t="n">
        <v>6</v>
      </c>
      <c r="Q183" s="284" t="n">
        <v>7</v>
      </c>
      <c r="R183" s="284" t="str">
        <v>是</v>
      </c>
      <c r="S183" s="508" t="n">
        <v>46240.657546504626</v>
      </c>
      <c r="T183" s="508" t="n">
        <v>46240.658906261575</v>
      </c>
      <c r="U183" s="509" t="n">
        <v>117.5</v>
      </c>
      <c r="V183" s="284" t="str">
        <v>无</v>
      </c>
      <c r="W183" s="284" t="str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</row>
    <row r="184" ht="24" customHeight="1">
      <c r="A184" s="65" t="inlineStr">
        <is>
          <t xml:space="preserve">P017</t>
        </is>
      </c>
      <c r="B184" s="96" t="n">
        <v>1</v>
      </c>
      <c r="C184" s="96" t="inlineStr">
        <is>
          <t xml:space="preserve">方法A</t>
        </is>
      </c>
      <c r="D184" s="96" t="inlineStr">
        <is>
          <t xml:space="preserve">EgoAnchor</t>
        </is>
      </c>
      <c r="E184" s="85" t="n">
        <v>4</v>
      </c>
      <c r="F184" s="85" t="n">
        <v>5</v>
      </c>
      <c r="G184" s="75" t="n">
        <v>2</v>
      </c>
      <c r="H184" s="85" t="n">
        <v>3</v>
      </c>
      <c r="I184" s="75" t="n">
        <v>2</v>
      </c>
      <c r="J184" s="85" t="n">
        <v>4</v>
      </c>
      <c r="K184" s="85" t="n">
        <v>4</v>
      </c>
      <c r="L184" s="75" t="n">
        <v>2</v>
      </c>
      <c r="M184" s="85" t="n">
        <v>5</v>
      </c>
      <c r="N184" s="75" t="n">
        <v>2</v>
      </c>
      <c r="O184" s="85" t="n">
        <v>6</v>
      </c>
      <c r="P184" s="85" t="n">
        <v>5</v>
      </c>
      <c r="Q184" s="85" t="n">
        <v>5</v>
      </c>
      <c r="R184" s="85" t="str">
        <v>是</v>
      </c>
      <c r="S184" s="497" t="n">
        <v>46241.39997798611</v>
      </c>
      <c r="T184" s="497" t="n">
        <v>46241.40130136574</v>
      </c>
      <c r="U184" s="500" t="n">
        <v>114.3</v>
      </c>
      <c r="V184" s="85" t="str">
        <v>无</v>
      </c>
      <c r="W184" s="211" t="str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</row>
    <row r="185" ht="24" customHeight="1">
      <c r="A185" s="282" t="inlineStr">
        <is>
          <t xml:space="preserve">P017</t>
        </is>
      </c>
      <c r="B185" s="283" t="n">
        <v>2</v>
      </c>
      <c r="C185" s="283" t="inlineStr">
        <is>
          <t xml:space="preserve">方法B</t>
        </is>
      </c>
      <c r="D185" s="283" t="inlineStr">
        <is>
          <t xml:space="preserve">One-Euro</t>
        </is>
      </c>
      <c r="E185" s="284" t="n">
        <v>4</v>
      </c>
      <c r="F185" s="284" t="n">
        <v>3</v>
      </c>
      <c r="G185" s="285" t="n">
        <v>2</v>
      </c>
      <c r="H185" s="284" t="n">
        <v>4</v>
      </c>
      <c r="I185" s="285" t="n">
        <v>1</v>
      </c>
      <c r="J185" s="284" t="n">
        <v>4</v>
      </c>
      <c r="K185" s="284" t="n">
        <v>4</v>
      </c>
      <c r="L185" s="285" t="n">
        <v>2</v>
      </c>
      <c r="M185" s="284" t="n">
        <v>4</v>
      </c>
      <c r="N185" s="285" t="n">
        <v>2</v>
      </c>
      <c r="O185" s="284" t="n">
        <v>6</v>
      </c>
      <c r="P185" s="284" t="n">
        <v>6</v>
      </c>
      <c r="Q185" s="284" t="n">
        <v>6</v>
      </c>
      <c r="R185" s="284" t="str">
        <v>是</v>
      </c>
      <c r="S185" s="508" t="n">
        <v>46241.401612407404</v>
      </c>
      <c r="T185" s="508" t="n">
        <v>46241.403091134256</v>
      </c>
      <c r="U185" s="509" t="n">
        <v>127.8</v>
      </c>
      <c r="V185" s="284" t="str">
        <v>无</v>
      </c>
      <c r="W185" s="284" t="str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</row>
    <row r="186" ht="24" customHeight="1">
      <c r="A186" s="65" t="inlineStr">
        <is>
          <t xml:space="preserve">P018</t>
        </is>
      </c>
      <c r="B186" s="96" t="n">
        <v>1</v>
      </c>
      <c r="C186" s="96" t="inlineStr">
        <is>
          <t xml:space="preserve">方法B</t>
        </is>
      </c>
      <c r="D186" s="96" t="inlineStr">
        <is>
          <t xml:space="preserve">One-Euro</t>
        </is>
      </c>
      <c r="E186" s="85" t="n">
        <v>4</v>
      </c>
      <c r="F186" s="85" t="n">
        <v>4</v>
      </c>
      <c r="G186" s="75" t="n">
        <v>2</v>
      </c>
      <c r="H186" s="85" t="n">
        <v>5</v>
      </c>
      <c r="I186" s="75" t="n">
        <v>2</v>
      </c>
      <c r="J186" s="85" t="n">
        <v>5</v>
      </c>
      <c r="K186" s="85" t="n">
        <v>5</v>
      </c>
      <c r="L186" s="75" t="n">
        <v>1</v>
      </c>
      <c r="M186" s="85" t="n">
        <v>4</v>
      </c>
      <c r="N186" s="75" t="n">
        <v>2</v>
      </c>
      <c r="O186" s="85" t="n">
        <v>6</v>
      </c>
      <c r="P186" s="85" t="n">
        <v>5</v>
      </c>
      <c r="Q186" s="85" t="n">
        <v>6</v>
      </c>
      <c r="R186" s="85" t="str">
        <v>是</v>
      </c>
      <c r="S186" s="497" t="n">
        <v>46241.47205480324</v>
      </c>
      <c r="T186" s="497" t="n">
        <v>46241.47319221065</v>
      </c>
      <c r="U186" s="500" t="n">
        <v>98.3</v>
      </c>
      <c r="V186" s="85" t="str">
        <v>无</v>
      </c>
      <c r="W186" s="211" t="str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</row>
    <row r="187" ht="24" customHeight="1">
      <c r="A187" s="282" t="inlineStr">
        <is>
          <t xml:space="preserve">P018</t>
        </is>
      </c>
      <c r="B187" s="283" t="n">
        <v>2</v>
      </c>
      <c r="C187" s="283" t="inlineStr">
        <is>
          <t xml:space="preserve">方法A</t>
        </is>
      </c>
      <c r="D187" s="283" t="inlineStr">
        <is>
          <t xml:space="preserve">EgoAnchor</t>
        </is>
      </c>
      <c r="E187" s="284" t="n">
        <v>5</v>
      </c>
      <c r="F187" s="284" t="n">
        <v>5</v>
      </c>
      <c r="G187" s="285" t="n">
        <v>1</v>
      </c>
      <c r="H187" s="284" t="n">
        <v>4</v>
      </c>
      <c r="I187" s="285" t="n">
        <v>2</v>
      </c>
      <c r="J187" s="284" t="n">
        <v>5</v>
      </c>
      <c r="K187" s="284" t="n">
        <v>5</v>
      </c>
      <c r="L187" s="285" t="n">
        <v>1</v>
      </c>
      <c r="M187" s="284" t="n">
        <v>4</v>
      </c>
      <c r="N187" s="285" t="n">
        <v>1</v>
      </c>
      <c r="O187" s="284" t="n">
        <v>5</v>
      </c>
      <c r="P187" s="284" t="n">
        <v>6</v>
      </c>
      <c r="Q187" s="284" t="n">
        <v>5</v>
      </c>
      <c r="R187" s="284" t="str">
        <v>是</v>
      </c>
      <c r="S187" s="508" t="n">
        <v>46241.47365590278</v>
      </c>
      <c r="T187" s="508" t="n">
        <v>46241.474700046296</v>
      </c>
      <c r="U187" s="509" t="n">
        <v>90.2</v>
      </c>
      <c r="V187" s="284" t="str">
        <v>无</v>
      </c>
      <c r="W187" s="284" t="str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</row>
    <row r="188" ht="24" customHeight="1">
      <c r="A188" s="65" t="inlineStr">
        <is>
          <t xml:space="preserve">P019</t>
        </is>
      </c>
      <c r="B188" s="96" t="n">
        <v>1</v>
      </c>
      <c r="C188" s="96" t="inlineStr">
        <is>
          <t xml:space="preserve">方法B</t>
        </is>
      </c>
      <c r="D188" s="96" t="inlineStr">
        <is>
          <t xml:space="preserve">EgoAnchor</t>
        </is>
      </c>
      <c r="E188" s="85" t="n">
        <v>4</v>
      </c>
      <c r="F188" s="85" t="n">
        <v>4</v>
      </c>
      <c r="G188" s="75" t="n">
        <v>2</v>
      </c>
      <c r="H188" s="85" t="n">
        <v>4</v>
      </c>
      <c r="I188" s="75" t="n">
        <v>1</v>
      </c>
      <c r="J188" s="85" t="n">
        <v>5</v>
      </c>
      <c r="K188" s="85" t="n">
        <v>4</v>
      </c>
      <c r="L188" s="75" t="n">
        <v>2</v>
      </c>
      <c r="M188" s="85" t="n">
        <v>3</v>
      </c>
      <c r="N188" s="75" t="n">
        <v>3</v>
      </c>
      <c r="O188" s="85" t="n">
        <v>5</v>
      </c>
      <c r="P188" s="85" t="n">
        <v>5</v>
      </c>
      <c r="Q188" s="85" t="n">
        <v>6</v>
      </c>
      <c r="R188" s="85" t="str">
        <v>是</v>
      </c>
      <c r="S188" s="497" t="n">
        <v>46241.590313229164</v>
      </c>
      <c r="T188" s="497" t="n">
        <v>46241.5920396875</v>
      </c>
      <c r="U188" s="500" t="n">
        <v>149.2</v>
      </c>
      <c r="V188" s="85" t="str">
        <v>无</v>
      </c>
      <c r="W188" s="211" t="str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</row>
    <row r="189" ht="24" customHeight="1">
      <c r="A189" s="282" t="inlineStr">
        <is>
          <t xml:space="preserve">P019</t>
        </is>
      </c>
      <c r="B189" s="283" t="n">
        <v>2</v>
      </c>
      <c r="C189" s="283" t="inlineStr">
        <is>
          <t xml:space="preserve">方法A</t>
        </is>
      </c>
      <c r="D189" s="283" t="inlineStr">
        <is>
          <t xml:space="preserve">One-Euro</t>
        </is>
      </c>
      <c r="E189" s="284" t="n">
        <v>4</v>
      </c>
      <c r="F189" s="284" t="n">
        <v>4</v>
      </c>
      <c r="G189" s="285" t="n">
        <v>2</v>
      </c>
      <c r="H189" s="284" t="n">
        <v>4</v>
      </c>
      <c r="I189" s="285" t="n">
        <v>2</v>
      </c>
      <c r="J189" s="284" t="n">
        <v>4</v>
      </c>
      <c r="K189" s="284" t="n">
        <v>4</v>
      </c>
      <c r="L189" s="285" t="n">
        <v>2</v>
      </c>
      <c r="M189" s="284" t="n">
        <v>4</v>
      </c>
      <c r="N189" s="285" t="n">
        <v>2</v>
      </c>
      <c r="O189" s="284" t="n">
        <v>5</v>
      </c>
      <c r="P189" s="284" t="n">
        <v>5</v>
      </c>
      <c r="Q189" s="284" t="n">
        <v>5</v>
      </c>
      <c r="R189" s="284" t="str">
        <v>是</v>
      </c>
      <c r="S189" s="508" t="n">
        <v>46241.5924703125</v>
      </c>
      <c r="T189" s="508" t="n">
        <v>46241.59370921296</v>
      </c>
      <c r="U189" s="509" t="n">
        <v>107</v>
      </c>
      <c r="V189" s="284" t="str">
        <v>无</v>
      </c>
      <c r="W189" s="284" t="str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</row>
    <row r="190" ht="24" customHeight="1">
      <c r="A190" s="65" t="inlineStr">
        <is>
          <t xml:space="preserve">P020</t>
        </is>
      </c>
      <c r="B190" s="96" t="n">
        <v>1</v>
      </c>
      <c r="C190" s="96" t="inlineStr">
        <is>
          <t xml:space="preserve">方法A</t>
        </is>
      </c>
      <c r="D190" s="96" t="inlineStr">
        <is>
          <t xml:space="preserve">One-Euro</t>
        </is>
      </c>
      <c r="E190" s="85" t="n">
        <v>4</v>
      </c>
      <c r="F190" s="85" t="n">
        <v>4</v>
      </c>
      <c r="G190" s="75" t="n">
        <v>2</v>
      </c>
      <c r="H190" s="85" t="n">
        <v>4</v>
      </c>
      <c r="I190" s="75" t="n">
        <v>2</v>
      </c>
      <c r="J190" s="85" t="n">
        <v>4</v>
      </c>
      <c r="K190" s="85" t="n">
        <v>4</v>
      </c>
      <c r="L190" s="75" t="n">
        <v>2</v>
      </c>
      <c r="M190" s="85" t="n">
        <v>3</v>
      </c>
      <c r="N190" s="75" t="n">
        <v>2</v>
      </c>
      <c r="O190" s="85" t="n">
        <v>5</v>
      </c>
      <c r="P190" s="85" t="n">
        <v>4</v>
      </c>
      <c r="Q190" s="85" t="n">
        <v>5</v>
      </c>
      <c r="R190" s="85" t="str">
        <v>是</v>
      </c>
      <c r="S190" s="497" t="n">
        <v>46241.65839885417</v>
      </c>
      <c r="T190" s="497" t="n">
        <v>46241.65973061343</v>
      </c>
      <c r="U190" s="500" t="n">
        <v>115.1</v>
      </c>
      <c r="V190" s="85" t="str">
        <v>无</v>
      </c>
      <c r="W190" s="211" t="str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</row>
    <row r="191" ht="24" customHeight="1">
      <c r="A191" s="282" t="inlineStr">
        <is>
          <t xml:space="preserve">P020</t>
        </is>
      </c>
      <c r="B191" s="283" t="n">
        <v>2</v>
      </c>
      <c r="C191" s="283" t="inlineStr">
        <is>
          <t xml:space="preserve">方法B</t>
        </is>
      </c>
      <c r="D191" s="283" t="inlineStr">
        <is>
          <t xml:space="preserve">EgoAnchor</t>
        </is>
      </c>
      <c r="E191" s="284" t="n">
        <v>4</v>
      </c>
      <c r="F191" s="284" t="n">
        <v>4</v>
      </c>
      <c r="G191" s="285" t="n">
        <v>2</v>
      </c>
      <c r="H191" s="284" t="n">
        <v>4</v>
      </c>
      <c r="I191" s="285" t="n">
        <v>3</v>
      </c>
      <c r="J191" s="284" t="n">
        <v>5</v>
      </c>
      <c r="K191" s="284" t="n">
        <v>4</v>
      </c>
      <c r="L191" s="285" t="n">
        <v>2</v>
      </c>
      <c r="M191" s="284" t="n">
        <v>4</v>
      </c>
      <c r="N191" s="285" t="n">
        <v>1</v>
      </c>
      <c r="O191" s="284" t="n">
        <v>6</v>
      </c>
      <c r="P191" s="284" t="n">
        <v>6</v>
      </c>
      <c r="Q191" s="284" t="n">
        <v>5</v>
      </c>
      <c r="R191" s="284" t="str">
        <v>是</v>
      </c>
      <c r="S191" s="508" t="n">
        <v>46241.66017815972</v>
      </c>
      <c r="T191" s="508" t="n">
        <v>46241.66194138889</v>
      </c>
      <c r="U191" s="509" t="n">
        <v>152.3</v>
      </c>
      <c r="V191" s="284" t="str">
        <v>无</v>
      </c>
      <c r="W191" s="284" t="str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</row>
    <row r="192" ht="24" customHeight="1">
      <c r="A192" s="65" t="inlineStr">
        <is>
          <t xml:space="preserve">P021</t>
        </is>
      </c>
      <c r="B192" s="96" t="n">
        <v>1</v>
      </c>
      <c r="C192" s="96" t="inlineStr">
        <is>
          <t xml:space="preserve">方法A</t>
        </is>
      </c>
      <c r="D192" s="96" t="inlineStr">
        <is>
          <t xml:space="preserve">EgoAnchor</t>
        </is>
      </c>
      <c r="E192" s="85" t="n">
        <v>4</v>
      </c>
      <c r="F192" s="85" t="n">
        <v>5</v>
      </c>
      <c r="G192" s="75" t="n">
        <v>2</v>
      </c>
      <c r="H192" s="85" t="n">
        <v>4</v>
      </c>
      <c r="I192" s="75" t="n">
        <v>1</v>
      </c>
      <c r="J192" s="85" t="n">
        <v>5</v>
      </c>
      <c r="K192" s="85" t="n">
        <v>5</v>
      </c>
      <c r="L192" s="75" t="n">
        <v>1</v>
      </c>
      <c r="M192" s="85" t="n">
        <v>5</v>
      </c>
      <c r="N192" s="75" t="n">
        <v>1</v>
      </c>
      <c r="O192" s="85" t="n">
        <v>6</v>
      </c>
      <c r="P192" s="85" t="n">
        <v>6</v>
      </c>
      <c r="Q192" s="85" t="n">
        <v>6</v>
      </c>
      <c r="R192" s="85" t="str">
        <v>是</v>
      </c>
      <c r="S192" s="497" t="n">
        <v>46242.39824408565</v>
      </c>
      <c r="T192" s="497" t="n">
        <v>46242.39948460648</v>
      </c>
      <c r="U192" s="500" t="n">
        <v>107.2</v>
      </c>
      <c r="V192" s="85" t="str">
        <v>无</v>
      </c>
      <c r="W192" s="211" t="str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</row>
    <row r="193" ht="24" customHeight="1">
      <c r="A193" s="282" t="inlineStr">
        <is>
          <t xml:space="preserve">P021</t>
        </is>
      </c>
      <c r="B193" s="283" t="n">
        <v>2</v>
      </c>
      <c r="C193" s="283" t="inlineStr">
        <is>
          <t xml:space="preserve">方法B</t>
        </is>
      </c>
      <c r="D193" s="283" t="inlineStr">
        <is>
          <t xml:space="preserve">One-Euro</t>
        </is>
      </c>
      <c r="E193" s="284" t="n">
        <v>5</v>
      </c>
      <c r="F193" s="284" t="n">
        <v>4</v>
      </c>
      <c r="G193" s="285" t="n">
        <v>2</v>
      </c>
      <c r="H193" s="284" t="n">
        <v>4</v>
      </c>
      <c r="I193" s="285" t="n">
        <v>2</v>
      </c>
      <c r="J193" s="284" t="n">
        <v>4</v>
      </c>
      <c r="K193" s="284" t="n">
        <v>4</v>
      </c>
      <c r="L193" s="285" t="n">
        <v>1</v>
      </c>
      <c r="M193" s="284" t="n">
        <v>5</v>
      </c>
      <c r="N193" s="285" t="n">
        <v>3</v>
      </c>
      <c r="O193" s="284" t="n">
        <v>6</v>
      </c>
      <c r="P193" s="284" t="n">
        <v>6</v>
      </c>
      <c r="Q193" s="284" t="n">
        <v>5</v>
      </c>
      <c r="R193" s="284" t="str">
        <v>是</v>
      </c>
      <c r="S193" s="508" t="n">
        <v>46242.39985451389</v>
      </c>
      <c r="T193" s="508" t="n">
        <v>46242.401342199075</v>
      </c>
      <c r="U193" s="509" t="n">
        <v>128.5</v>
      </c>
      <c r="V193" s="284" t="str">
        <v>无</v>
      </c>
      <c r="W193" s="284" t="str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</row>
    <row r="194" ht="24" customHeight="1">
      <c r="A194" s="65" t="inlineStr">
        <is>
          <t xml:space="preserve">P022</t>
        </is>
      </c>
      <c r="B194" s="96" t="n">
        <v>1</v>
      </c>
      <c r="C194" s="96" t="inlineStr">
        <is>
          <t xml:space="preserve">方法B</t>
        </is>
      </c>
      <c r="D194" s="96" t="inlineStr">
        <is>
          <t xml:space="preserve">One-Euro</t>
        </is>
      </c>
      <c r="E194" s="85" t="n">
        <v>4</v>
      </c>
      <c r="F194" s="85" t="n">
        <v>4</v>
      </c>
      <c r="G194" s="75" t="n">
        <v>1</v>
      </c>
      <c r="H194" s="85" t="n">
        <v>4</v>
      </c>
      <c r="I194" s="75" t="n">
        <v>1</v>
      </c>
      <c r="J194" s="85" t="n">
        <v>5</v>
      </c>
      <c r="K194" s="85" t="n">
        <v>4</v>
      </c>
      <c r="L194" s="75" t="n">
        <v>2</v>
      </c>
      <c r="M194" s="85" t="n">
        <v>4</v>
      </c>
      <c r="N194" s="75" t="n">
        <v>1</v>
      </c>
      <c r="O194" s="85" t="n">
        <v>5</v>
      </c>
      <c r="P194" s="85" t="n">
        <v>5</v>
      </c>
      <c r="Q194" s="85" t="n">
        <v>6</v>
      </c>
      <c r="R194" s="85" t="str">
        <v>是</v>
      </c>
      <c r="S194" s="497" t="n">
        <v>46242.475679953706</v>
      </c>
      <c r="T194" s="497" t="n">
        <v>46242.4772772338</v>
      </c>
      <c r="U194" s="500" t="n">
        <v>138</v>
      </c>
      <c r="V194" s="85" t="str">
        <v>无</v>
      </c>
      <c r="W194" s="211" t="str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</row>
    <row r="195" ht="24" customHeight="1">
      <c r="A195" s="282" t="inlineStr">
        <is>
          <t xml:space="preserve">P022</t>
        </is>
      </c>
      <c r="B195" s="283" t="n">
        <v>2</v>
      </c>
      <c r="C195" s="283" t="inlineStr">
        <is>
          <t xml:space="preserve">方法A</t>
        </is>
      </c>
      <c r="D195" s="283" t="inlineStr">
        <is>
          <t xml:space="preserve">EgoAnchor</t>
        </is>
      </c>
      <c r="E195" s="284" t="n">
        <v>5</v>
      </c>
      <c r="F195" s="284" t="n">
        <v>5</v>
      </c>
      <c r="G195" s="285" t="n">
        <v>1</v>
      </c>
      <c r="H195" s="284" t="n">
        <v>5</v>
      </c>
      <c r="I195" s="285" t="n">
        <v>2</v>
      </c>
      <c r="J195" s="284" t="n">
        <v>5</v>
      </c>
      <c r="K195" s="284" t="n">
        <v>5</v>
      </c>
      <c r="L195" s="285" t="n">
        <v>2</v>
      </c>
      <c r="M195" s="284" t="n">
        <v>5</v>
      </c>
      <c r="N195" s="285" t="n">
        <v>2</v>
      </c>
      <c r="O195" s="284" t="n">
        <v>6</v>
      </c>
      <c r="P195" s="284" t="n">
        <v>6</v>
      </c>
      <c r="Q195" s="284" t="n">
        <v>6</v>
      </c>
      <c r="R195" s="284" t="str">
        <v>是</v>
      </c>
      <c r="S195" s="508" t="n">
        <v>46242.47777758102</v>
      </c>
      <c r="T195" s="508" t="n">
        <v>46242.47909114583</v>
      </c>
      <c r="U195" s="509" t="n">
        <v>113.5</v>
      </c>
      <c r="V195" s="284" t="str">
        <v>无</v>
      </c>
      <c r="W195" s="284" t="str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</row>
    <row r="196" ht="24" customHeight="1">
      <c r="A196" s="65" t="inlineStr">
        <is>
          <t xml:space="preserve">P023</t>
        </is>
      </c>
      <c r="B196" s="96" t="n">
        <v>1</v>
      </c>
      <c r="C196" s="96" t="inlineStr">
        <is>
          <t xml:space="preserve">方法B</t>
        </is>
      </c>
      <c r="D196" s="96" t="inlineStr">
        <is>
          <t xml:space="preserve">EgoAnchor</t>
        </is>
      </c>
      <c r="E196" s="85" t="n">
        <v>4</v>
      </c>
      <c r="F196" s="85" t="n">
        <v>5</v>
      </c>
      <c r="G196" s="75" t="n">
        <v>2</v>
      </c>
      <c r="H196" s="85" t="n">
        <v>4</v>
      </c>
      <c r="I196" s="75" t="n">
        <v>3</v>
      </c>
      <c r="J196" s="85" t="n">
        <v>4</v>
      </c>
      <c r="K196" s="85" t="n">
        <v>4</v>
      </c>
      <c r="L196" s="75" t="n">
        <v>2</v>
      </c>
      <c r="M196" s="85" t="n">
        <v>4</v>
      </c>
      <c r="N196" s="75" t="n">
        <v>2</v>
      </c>
      <c r="O196" s="85" t="n">
        <v>6</v>
      </c>
      <c r="P196" s="85" t="n">
        <v>5</v>
      </c>
      <c r="Q196" s="85" t="n">
        <v>5</v>
      </c>
      <c r="R196" s="85" t="str">
        <v>是</v>
      </c>
      <c r="S196" s="497" t="n">
        <v>46242.58622542824</v>
      </c>
      <c r="T196" s="497" t="n">
        <v>46242.587522662034</v>
      </c>
      <c r="U196" s="500" t="n">
        <v>112.1</v>
      </c>
      <c r="V196" s="85" t="str">
        <v>无</v>
      </c>
      <c r="W196" s="211" t="str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</row>
    <row r="197" ht="24" customHeight="1">
      <c r="A197" s="282" t="inlineStr">
        <is>
          <t xml:space="preserve">P023</t>
        </is>
      </c>
      <c r="B197" s="283" t="n">
        <v>2</v>
      </c>
      <c r="C197" s="283" t="inlineStr">
        <is>
          <t xml:space="preserve">方法A</t>
        </is>
      </c>
      <c r="D197" s="283" t="inlineStr">
        <is>
          <t xml:space="preserve">One-Euro</t>
        </is>
      </c>
      <c r="E197" s="284" t="n">
        <v>4</v>
      </c>
      <c r="F197" s="284" t="n">
        <v>3</v>
      </c>
      <c r="G197" s="285" t="n">
        <v>2</v>
      </c>
      <c r="H197" s="284" t="n">
        <v>4</v>
      </c>
      <c r="I197" s="285" t="n">
        <v>3</v>
      </c>
      <c r="J197" s="284" t="n">
        <v>4</v>
      </c>
      <c r="K197" s="284" t="n">
        <v>4</v>
      </c>
      <c r="L197" s="285" t="n">
        <v>2</v>
      </c>
      <c r="M197" s="284" t="n">
        <v>3</v>
      </c>
      <c r="N197" s="285" t="n">
        <v>2</v>
      </c>
      <c r="O197" s="284" t="n">
        <v>4</v>
      </c>
      <c r="P197" s="284" t="n">
        <v>5</v>
      </c>
      <c r="Q197" s="284" t="n">
        <v>5</v>
      </c>
      <c r="R197" s="284" t="str">
        <v>是</v>
      </c>
      <c r="S197" s="508" t="n">
        <v>46242.58797976852</v>
      </c>
      <c r="T197" s="508" t="n">
        <v>46242.58974815972</v>
      </c>
      <c r="U197" s="509" t="n">
        <v>152.8</v>
      </c>
      <c r="V197" s="284" t="str">
        <v>无</v>
      </c>
      <c r="W197" s="284" t="str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</row>
    <row r="198" ht="24" customHeight="1">
      <c r="A198" s="65" t="inlineStr">
        <is>
          <t xml:space="preserve">P024</t>
        </is>
      </c>
      <c r="B198" s="96" t="n">
        <v>1</v>
      </c>
      <c r="C198" s="96" t="inlineStr">
        <is>
          <t xml:space="preserve">方法A</t>
        </is>
      </c>
      <c r="D198" s="96" t="inlineStr">
        <is>
          <t xml:space="preserve">One-Euro</t>
        </is>
      </c>
      <c r="E198" s="85" t="n">
        <v>4</v>
      </c>
      <c r="F198" s="85" t="n">
        <v>4</v>
      </c>
      <c r="G198" s="75" t="n">
        <v>1</v>
      </c>
      <c r="H198" s="85" t="n">
        <v>4</v>
      </c>
      <c r="I198" s="75" t="n">
        <v>3</v>
      </c>
      <c r="J198" s="85" t="n">
        <v>4</v>
      </c>
      <c r="K198" s="85" t="n">
        <v>4</v>
      </c>
      <c r="L198" s="75" t="n">
        <v>2</v>
      </c>
      <c r="M198" s="85" t="n">
        <v>4</v>
      </c>
      <c r="N198" s="75" t="n">
        <v>1</v>
      </c>
      <c r="O198" s="85" t="n">
        <v>6</v>
      </c>
      <c r="P198" s="85" t="n">
        <v>6</v>
      </c>
      <c r="Q198" s="85" t="n">
        <v>5</v>
      </c>
      <c r="R198" s="85" t="str">
        <v>是</v>
      </c>
      <c r="S198" s="497" t="n">
        <v>46242.65917427083</v>
      </c>
      <c r="T198" s="497" t="n">
        <v>46242.66061975694</v>
      </c>
      <c r="U198" s="500" t="n">
        <v>124.9</v>
      </c>
      <c r="V198" s="85" t="str">
        <v>无</v>
      </c>
      <c r="W198" s="211" t="str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</row>
    <row r="199" ht="24" customHeight="1">
      <c r="A199" s="282" t="inlineStr">
        <is>
          <t xml:space="preserve">P024</t>
        </is>
      </c>
      <c r="B199" s="283" t="n">
        <v>2</v>
      </c>
      <c r="C199" s="283" t="inlineStr">
        <is>
          <t xml:space="preserve">方法B</t>
        </is>
      </c>
      <c r="D199" s="283" t="inlineStr">
        <is>
          <t xml:space="preserve">EgoAnchor</t>
        </is>
      </c>
      <c r="E199" s="284" t="n">
        <v>4</v>
      </c>
      <c r="F199" s="284" t="n">
        <v>5</v>
      </c>
      <c r="G199" s="285" t="n">
        <v>1</v>
      </c>
      <c r="H199" s="284" t="n">
        <v>5</v>
      </c>
      <c r="I199" s="285" t="n">
        <v>2</v>
      </c>
      <c r="J199" s="284" t="n">
        <v>5</v>
      </c>
      <c r="K199" s="284" t="n">
        <v>5</v>
      </c>
      <c r="L199" s="285" t="n">
        <v>1</v>
      </c>
      <c r="M199" s="284" t="n">
        <v>5</v>
      </c>
      <c r="N199" s="285" t="n">
        <v>1</v>
      </c>
      <c r="O199" s="284" t="n">
        <v>6</v>
      </c>
      <c r="P199" s="284" t="n">
        <v>6</v>
      </c>
      <c r="Q199" s="284" t="n">
        <v>6</v>
      </c>
      <c r="R199" s="284" t="str">
        <v>是</v>
      </c>
      <c r="S199" s="508" t="n">
        <v>46242.66107414352</v>
      </c>
      <c r="T199" s="508" t="n">
        <v>46242.662266354164</v>
      </c>
      <c r="U199" s="509" t="n">
        <v>103</v>
      </c>
      <c r="V199" s="284" t="str">
        <v>无</v>
      </c>
      <c r="W199" s="284" t="str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</row>
    <row r="201" ht="38" customHeight="1">
      <c r="A201" s="73" t="inlineStr">
        <is>
          <t xml:space="preserve">C. 最终问卷记录（摘下头显后；解码列离场后由分析代码按 Participants 映射填写）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</row>
    <row r="202" ht="38" customHeight="1">
      <c r="A202" s="38" t="inlineStr">
        <is>
          <t xml:space="preserve">Participant_ID</t>
        </is>
      </c>
      <c r="B202" s="39" t="inlineStr">
        <is>
          <t xml:space="preserve">方法选择(标签)</t>
        </is>
      </c>
      <c r="C202" s="39" t="inlineStr">
        <is>
          <t xml:space="preserve">偏好强度(1-7/NA)</t>
        </is>
      </c>
      <c r="D202" s="39" t="inlineStr">
        <is>
          <t xml:space="preserve">信任选择(标签)</t>
        </is>
      </c>
      <c r="E202" s="39" t="inlineStr">
        <is>
          <t xml:space="preserve">区分信心(1-7)</t>
        </is>
      </c>
      <c r="F202" s="39" t="inlineStr">
        <is>
          <t xml:space="preserve">开放:最明显区别</t>
        </is>
      </c>
      <c r="G202" s="39" t="inlineStr">
        <is>
          <t xml:space="preserve">开放:最破坏信任的现象</t>
        </is>
      </c>
      <c r="H202" s="39" t="inlineStr">
        <is>
          <t xml:space="preserve">结束不适</t>
        </is>
      </c>
      <c r="I202" s="39" t="inlineStr">
        <is>
          <t xml:space="preserve">方法选择(解码)</t>
        </is>
      </c>
      <c r="J202" s="39" t="inlineStr">
        <is>
          <t xml:space="preserve">信任选择(解码)</t>
        </is>
      </c>
      <c r="K202" s="40" t="inlineStr">
        <is>
          <t xml:space="preserve">访谈备注</t>
        </is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</row>
    <row r="203" ht="30" customHeight="1">
      <c r="A203" s="64" t="inlineStr">
        <is>
          <t xml:space="preserve">P001</t>
        </is>
      </c>
      <c r="B203" s="84" t="str">
        <v>无明显偏好</v>
      </c>
      <c r="C203" s="84"/>
      <c r="D203" s="84" t="str">
        <v>方法A</v>
      </c>
      <c r="E203" s="84" t="n">
        <v>4</v>
      </c>
      <c r="F203" s="84" t="str">
        <v>一种方法静止和恢复时更稳，另一种移动时更跟手；不同物体上的差异不完全一致，所以我没有明显偏好。</v>
      </c>
      <c r="G203" s="84" t="str">
        <v>物体静止时虚拟内容持续抖动，随着我移动头部还会漂移。</v>
      </c>
      <c r="H203" s="84" t="str">
        <v>无</v>
      </c>
      <c r="I203" s="221" t="str">
        <v>无明显偏好</v>
      </c>
      <c r="J203" s="221" t="str">
        <v>EgoAnchor</v>
      </c>
      <c r="K203" s="210" t="str">
        <v>模拟主观轨迹：utility_diff=-0.24; trust_diff=2.37</v>
      </c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</row>
    <row r="204" ht="30" customHeight="1">
      <c r="A204" s="65" t="inlineStr">
        <is>
          <t xml:space="preserve">P002</t>
        </is>
      </c>
      <c r="B204" s="85" t="str">
        <v>方法A</v>
      </c>
      <c r="C204" s="85" t="n">
        <v>4</v>
      </c>
      <c r="D204" s="85" t="str">
        <v>方法A</v>
      </c>
      <c r="E204" s="85" t="n">
        <v>5</v>
      </c>
      <c r="F204" s="85" t="str">
        <v>方法A在静止观察和遮挡恢复后更稳，虚拟内容更像固定在物体上；另一种移动时略显轻快，但偶尔会抖或滑动。</v>
      </c>
      <c r="G204" s="85" t="str">
        <v>物体静止时虚拟内容持续抖动，随着我移动头部还会漂移。</v>
      </c>
      <c r="H204" s="85" t="str">
        <v>无</v>
      </c>
      <c r="I204" s="79" t="str">
        <v>EgoAnchor</v>
      </c>
      <c r="J204" s="79" t="str">
        <v>EgoAnchor</v>
      </c>
      <c r="K204" s="211" t="str">
        <v>模拟主观轨迹：utility_diff=1.22; trust_diff=1.51</v>
      </c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</row>
    <row r="205" ht="30" customHeight="1">
      <c r="A205" s="65" t="inlineStr">
        <is>
          <t xml:space="preserve">P003</t>
        </is>
      </c>
      <c r="B205" s="85" t="str">
        <v>方法B</v>
      </c>
      <c r="C205" s="85" t="n">
        <v>3</v>
      </c>
      <c r="D205" s="85" t="str">
        <v>方法B</v>
      </c>
      <c r="E205" s="85" t="n">
        <v>7</v>
      </c>
      <c r="F205" s="85" t="str">
        <v>方法B在静止观察和遮挡恢复后更稳，虚拟内容更像固定在物体上；另一种移动时略显轻快，但偶尔会抖或滑动。</v>
      </c>
      <c r="G205" s="85" t="str">
        <v>移动物体时虚拟内容从原来的附着位置滑开，尤其是旋转后对不上。</v>
      </c>
      <c r="H205" s="85" t="str">
        <v>轻微</v>
      </c>
      <c r="I205" s="79" t="str">
        <v>EgoAnchor</v>
      </c>
      <c r="J205" s="79" t="str">
        <v>EgoAnchor</v>
      </c>
      <c r="K205" s="211" t="str">
        <v>模拟主观轨迹：utility_diff=1.01; trust_diff=1.10</v>
      </c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</row>
    <row r="206" ht="30" customHeight="1">
      <c r="A206" s="65" t="inlineStr">
        <is>
          <t xml:space="preserve">P004</t>
        </is>
      </c>
      <c r="B206" s="85" t="str">
        <v>方法A</v>
      </c>
      <c r="C206" s="85" t="n">
        <v>2</v>
      </c>
      <c r="D206" s="85" t="str">
        <v>方法A</v>
      </c>
      <c r="E206" s="85" t="n">
        <v>5</v>
      </c>
      <c r="F206" s="85" t="str">
        <v>方法A在拿起和旋转时更跟手，响应更直接；另一种虽然静止更稳，但移动开始时有一点拖拽感。</v>
      </c>
      <c r="G206" s="85" t="str">
        <v>遮挡移除后虚拟内容突然跳到错误位置，或恢复到与物体明显错开的地方。</v>
      </c>
      <c r="H206" s="85" t="str">
        <v>无</v>
      </c>
      <c r="I206" s="79" t="str">
        <v>One-Euro</v>
      </c>
      <c r="J206" s="79" t="str">
        <v>One-Euro</v>
      </c>
      <c r="K206" s="211" t="str">
        <v>模拟主观轨迹：utility_diff=-0.53; trust_diff=-0.35</v>
      </c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</row>
    <row r="207" ht="30" customHeight="1">
      <c r="A207" s="65" t="inlineStr">
        <is>
          <t xml:space="preserve">P005</t>
        </is>
      </c>
      <c r="B207" s="85" t="str">
        <v>方法A</v>
      </c>
      <c r="C207" s="85" t="n">
        <v>6</v>
      </c>
      <c r="D207" s="85" t="str">
        <v>方法A</v>
      </c>
      <c r="E207" s="85" t="n">
        <v>7</v>
      </c>
      <c r="F207" s="85" t="str">
        <v>方法A在静止观察和遮挡恢复后更稳，虚拟内容更像固定在物体上；另一种移动时略显轻快，但偶尔会抖或滑动。</v>
      </c>
      <c r="G207" s="85" t="str">
        <v>移动物体时虚拟内容从原来的附着位置滑开，尤其是旋转后对不上。</v>
      </c>
      <c r="H207" s="85" t="str">
        <v>无</v>
      </c>
      <c r="I207" s="79" t="str">
        <v>EgoAnchor</v>
      </c>
      <c r="J207" s="79" t="str">
        <v>EgoAnchor</v>
      </c>
      <c r="K207" s="211" t="str">
        <v>模拟主观轨迹：utility_diff=1.83; trust_diff=1.11</v>
      </c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</row>
    <row r="208" ht="30" customHeight="1">
      <c r="A208" s="65" t="inlineStr">
        <is>
          <t xml:space="preserve">P006</t>
        </is>
      </c>
      <c r="B208" s="85" t="str">
        <v>无明显偏好</v>
      </c>
      <c r="C208" s="85"/>
      <c r="D208" s="85" t="str">
        <v>方法A</v>
      </c>
      <c r="E208" s="85" t="n">
        <v>5</v>
      </c>
      <c r="F208" s="85" t="str">
        <v>一种方法静止和恢复时更稳，另一种移动时更跟手；不同物体上的差异不完全一致，所以我没有明显偏好。</v>
      </c>
      <c r="G208" s="85" t="str">
        <v>物体静止时虚拟内容持续抖动，随着我移动头部还会漂移。</v>
      </c>
      <c r="H208" s="85" t="str">
        <v>无</v>
      </c>
      <c r="I208" s="79" t="str">
        <v>无明显偏好</v>
      </c>
      <c r="J208" s="79" t="str">
        <v>EgoAnchor</v>
      </c>
      <c r="K208" s="211" t="str">
        <v>模拟主观轨迹：utility_diff=0.26; trust_diff=1.32</v>
      </c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</row>
    <row r="209" ht="30" customHeight="1">
      <c r="A209" s="65" t="inlineStr">
        <is>
          <t xml:space="preserve">P007</t>
        </is>
      </c>
      <c r="B209" s="85" t="str">
        <v>方法B</v>
      </c>
      <c r="C209" s="85" t="n">
        <v>5</v>
      </c>
      <c r="D209" s="85" t="str">
        <v>方法B</v>
      </c>
      <c r="E209" s="85" t="n">
        <v>6</v>
      </c>
      <c r="F209" s="85" t="str">
        <v>方法B在静止观察和遮挡恢复后更稳，虚拟内容更像固定在物体上；另一种移动时略显轻快，但偶尔会抖或滑动。</v>
      </c>
      <c r="G209" s="85" t="str">
        <v>系统反应没有规律：有时很稳，有时突然延迟或跳变，让我无法预测下一步。</v>
      </c>
      <c r="H209" s="85" t="str">
        <v>无</v>
      </c>
      <c r="I209" s="79" t="str">
        <v>EgoAnchor</v>
      </c>
      <c r="J209" s="79" t="str">
        <v>EgoAnchor</v>
      </c>
      <c r="K209" s="211" t="str">
        <v>模拟主观轨迹：utility_diff=1.95; trust_diff=1.06</v>
      </c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</row>
    <row r="210" ht="30" customHeight="1">
      <c r="A210" s="65" t="inlineStr">
        <is>
          <t xml:space="preserve">P008</t>
        </is>
      </c>
      <c r="B210" s="85" t="str">
        <v>无明显偏好</v>
      </c>
      <c r="C210" s="85"/>
      <c r="D210" s="85" t="str">
        <v>无明显偏好</v>
      </c>
      <c r="E210" s="85" t="n">
        <v>5</v>
      </c>
      <c r="F210" s="85" t="str">
        <v>一种方法静止和恢复时更稳，另一种移动时更跟手；不同物体上的差异不完全一致，所以我没有明显偏好。</v>
      </c>
      <c r="G210" s="85" t="str">
        <v>遮挡移除后虚拟内容突然跳到错误位置，或恢复到与物体明显错开的地方。</v>
      </c>
      <c r="H210" s="85" t="str">
        <v>无</v>
      </c>
      <c r="I210" s="79" t="str">
        <v>无明显偏好</v>
      </c>
      <c r="J210" s="79" t="str">
        <v>无明显偏好</v>
      </c>
      <c r="K210" s="211" t="str">
        <v>模拟主观轨迹：utility_diff=-0.02; trust_diff=-0.21</v>
      </c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</row>
    <row r="211" ht="30" customHeight="1">
      <c r="A211" s="65" t="inlineStr">
        <is>
          <t xml:space="preserve">P009</t>
        </is>
      </c>
      <c r="B211" s="85" t="str">
        <v>方法B</v>
      </c>
      <c r="C211" s="85" t="n">
        <v>2</v>
      </c>
      <c r="D211" s="85" t="str">
        <v>方法A</v>
      </c>
      <c r="E211" s="85" t="n">
        <v>6</v>
      </c>
      <c r="F211" s="85" t="str">
        <v>方法B在拿起和旋转时更跟手，响应更直接；另一种虽然静止更稳，但移动开始时有一点拖拽感。</v>
      </c>
      <c r="G211" s="85" t="str">
        <v>物体静止时虚拟内容持续抖动，随着我移动头部还会漂移。</v>
      </c>
      <c r="H211" s="85" t="str">
        <v>无</v>
      </c>
      <c r="I211" s="79" t="str">
        <v>One-Euro</v>
      </c>
      <c r="J211" s="79" t="str">
        <v>EgoAnchor</v>
      </c>
      <c r="K211" s="211" t="str">
        <v>模拟主观轨迹：utility_diff=-0.35; trust_diff=0.88</v>
      </c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</row>
    <row r="212" ht="30" customHeight="1">
      <c r="A212" s="65" t="inlineStr">
        <is>
          <t xml:space="preserve">P010</t>
        </is>
      </c>
      <c r="B212" s="85" t="str">
        <v>方法B</v>
      </c>
      <c r="C212" s="85" t="n">
        <v>4</v>
      </c>
      <c r="D212" s="85" t="str">
        <v>无明显偏好</v>
      </c>
      <c r="E212" s="85" t="n">
        <v>6</v>
      </c>
      <c r="F212" s="85" t="str">
        <v>方法B在拿起和旋转时更跟手，响应更直接；另一种虽然静止更稳，但移动开始时有一点拖拽感。</v>
      </c>
      <c r="G212" s="85" t="str">
        <v>移动物体时虚拟内容从原来的附着位置滑开，尤其是旋转后对不上。</v>
      </c>
      <c r="H212" s="85" t="str">
        <v>无</v>
      </c>
      <c r="I212" s="79" t="str">
        <v>One-Euro</v>
      </c>
      <c r="J212" s="79" t="str">
        <v>无明显偏好</v>
      </c>
      <c r="K212" s="211" t="str">
        <v>模拟主观轨迹：utility_diff=-1.01; trust_diff=0.22</v>
      </c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</row>
    <row r="213" ht="30" customHeight="1">
      <c r="A213" s="65" t="inlineStr">
        <is>
          <t xml:space="preserve">P011</t>
        </is>
      </c>
      <c r="B213" s="85" t="str">
        <v>方法B</v>
      </c>
      <c r="C213" s="85" t="n">
        <v>5</v>
      </c>
      <c r="D213" s="85" t="str">
        <v>方法B</v>
      </c>
      <c r="E213" s="85" t="n">
        <v>7</v>
      </c>
      <c r="F213" s="85" t="str">
        <v>方法B在静止观察和遮挡恢复后更稳，虚拟内容更像固定在物体上；另一种移动时略显轻快，但偶尔会抖或滑动。</v>
      </c>
      <c r="G213" s="85" t="str">
        <v>物体静止时虚拟内容持续抖动，随着我移动头部还会漂移。</v>
      </c>
      <c r="H213" s="85" t="str">
        <v>无</v>
      </c>
      <c r="I213" s="79" t="str">
        <v>EgoAnchor</v>
      </c>
      <c r="J213" s="79" t="str">
        <v>EgoAnchor</v>
      </c>
      <c r="K213" s="211" t="str">
        <v>模拟主观轨迹：utility_diff=1.64; trust_diff=1.76</v>
      </c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</row>
    <row r="214" ht="30" customHeight="1">
      <c r="A214" s="65" t="inlineStr">
        <is>
          <t xml:space="preserve">P012</t>
        </is>
      </c>
      <c r="B214" s="85" t="str">
        <v>方法B</v>
      </c>
      <c r="C214" s="85" t="n">
        <v>6</v>
      </c>
      <c r="D214" s="85" t="str">
        <v>方法B</v>
      </c>
      <c r="E214" s="85" t="n">
        <v>6</v>
      </c>
      <c r="F214" s="85" t="str">
        <v>方法B在静止观察和遮挡恢复后更稳，虚拟内容更像固定在物体上；另一种移动时略显轻快，但偶尔会抖或滑动。</v>
      </c>
      <c r="G214" s="85" t="str">
        <v>遮挡移除后虚拟内容突然跳到错误位置，或恢复到与物体明显错开的地方。</v>
      </c>
      <c r="H214" s="85" t="str">
        <v>无</v>
      </c>
      <c r="I214" s="79" t="str">
        <v>EgoAnchor</v>
      </c>
      <c r="J214" s="79" t="str">
        <v>EgoAnchor</v>
      </c>
      <c r="K214" s="211" t="str">
        <v>模拟主观轨迹：utility_diff=2.74; trust_diff=2.54</v>
      </c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</row>
    <row r="215" ht="30" customHeight="1">
      <c r="A215" s="65" t="inlineStr">
        <is>
          <t xml:space="preserve">P013</t>
        </is>
      </c>
      <c r="B215" s="85" t="str">
        <v>无明显偏好</v>
      </c>
      <c r="C215" s="85"/>
      <c r="D215" s="85" t="str">
        <v>无明显偏好</v>
      </c>
      <c r="E215" s="85" t="n">
        <v>2</v>
      </c>
      <c r="F215" s="85" t="str">
        <v>一种方法静止和恢复时更稳，另一种移动时更跟手；不同物体上的差异不完全一致，所以我没有明显偏好。</v>
      </c>
      <c r="G215" s="85" t="str">
        <v>移动物体时虚拟内容从原来的附着位置滑开，尤其是旋转后对不上。</v>
      </c>
      <c r="H215" s="85" t="str">
        <v>无</v>
      </c>
      <c r="I215" s="79" t="str">
        <v>无明显偏好</v>
      </c>
      <c r="J215" s="79" t="str">
        <v>无明显偏好</v>
      </c>
      <c r="K215" s="211" t="str">
        <v>模拟主观轨迹：utility_diff=0.05; trust_diff=-0.10</v>
      </c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</row>
    <row r="216" ht="30" customHeight="1">
      <c r="A216" s="65" t="inlineStr">
        <is>
          <t xml:space="preserve">P014</t>
        </is>
      </c>
      <c r="B216" s="85" t="str">
        <v>方法A</v>
      </c>
      <c r="C216" s="85" t="n">
        <v>5</v>
      </c>
      <c r="D216" s="85" t="str">
        <v>无明显偏好</v>
      </c>
      <c r="E216" s="85" t="n">
        <v>7</v>
      </c>
      <c r="F216" s="85" t="str">
        <v>方法A在静止观察和遮挡恢复后更稳，虚拟内容更像固定在物体上；另一种移动时略显轻快，但偶尔会抖或滑动。</v>
      </c>
      <c r="G216" s="85" t="str">
        <v>遮挡移除后虚拟内容突然跳到错误位置，或恢复到与物体明显错开的地方。</v>
      </c>
      <c r="H216" s="85" t="str">
        <v>无</v>
      </c>
      <c r="I216" s="79" t="str">
        <v>EgoAnchor</v>
      </c>
      <c r="J216" s="79" t="str">
        <v>无明显偏好</v>
      </c>
      <c r="K216" s="211" t="str">
        <v>模拟主观轨迹：utility_diff=1.56; trust_diff=0.28</v>
      </c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</row>
    <row r="217" ht="30" customHeight="1">
      <c r="A217" s="65" t="inlineStr">
        <is>
          <t xml:space="preserve">P015</t>
        </is>
      </c>
      <c r="B217" s="85" t="str">
        <v>方法B</v>
      </c>
      <c r="C217" s="85" t="n">
        <v>3</v>
      </c>
      <c r="D217" s="85" t="str">
        <v>方法B</v>
      </c>
      <c r="E217" s="85" t="n">
        <v>6</v>
      </c>
      <c r="F217" s="85" t="str">
        <v>方法B在静止观察和遮挡恢复后更稳，虚拟内容更像固定在物体上；另一种移动时略显轻快，但偶尔会抖或滑动。</v>
      </c>
      <c r="G217" s="85" t="str">
        <v>遮挡移除后虚拟内容突然跳到错误位置，或恢复到与物体明显错开的地方。</v>
      </c>
      <c r="H217" s="85" t="str">
        <v>无</v>
      </c>
      <c r="I217" s="79" t="str">
        <v>EgoAnchor</v>
      </c>
      <c r="J217" s="79" t="str">
        <v>EgoAnchor</v>
      </c>
      <c r="K217" s="211" t="str">
        <v>模拟主观轨迹：utility_diff=1.03; trust_diff=1.16</v>
      </c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</row>
    <row r="218" ht="30" customHeight="1">
      <c r="A218" s="65" t="inlineStr">
        <is>
          <t xml:space="preserve">P016</t>
        </is>
      </c>
      <c r="B218" s="85" t="str">
        <v>方法B</v>
      </c>
      <c r="C218" s="85" t="n">
        <v>3</v>
      </c>
      <c r="D218" s="85" t="str">
        <v>方法B</v>
      </c>
      <c r="E218" s="85" t="n">
        <v>6</v>
      </c>
      <c r="F218" s="85" t="str">
        <v>方法B在静止观察和遮挡恢复后更稳，虚拟内容更像固定在物体上；另一种移动时略显轻快，但偶尔会抖或滑动。</v>
      </c>
      <c r="G218" s="85" t="str">
        <v>遮挡移除后虚拟内容突然跳到错误位置，或恢复到与物体明显错开的地方。</v>
      </c>
      <c r="H218" s="85" t="str">
        <v>中等</v>
      </c>
      <c r="I218" s="79" t="str">
        <v>EgoAnchor</v>
      </c>
      <c r="J218" s="79" t="str">
        <v>EgoAnchor</v>
      </c>
      <c r="K218" s="211" t="str">
        <v>模拟主观轨迹：utility_diff=0.63; trust_diff=0.87</v>
      </c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</row>
    <row r="219" ht="30" customHeight="1">
      <c r="A219" s="65" t="inlineStr">
        <is>
          <t xml:space="preserve">P017</t>
        </is>
      </c>
      <c r="B219" s="85" t="str">
        <v>方法A</v>
      </c>
      <c r="C219" s="85" t="n">
        <v>3</v>
      </c>
      <c r="D219" s="85" t="str">
        <v>方法A</v>
      </c>
      <c r="E219" s="85" t="n">
        <v>6</v>
      </c>
      <c r="F219" s="85" t="str">
        <v>方法A在静止观察和遮挡恢复后更稳，虚拟内容更像固定在物体上；另一种移动时略显轻快，但偶尔会抖或滑动。</v>
      </c>
      <c r="G219" s="85" t="str">
        <v>遮挡移除后虚拟内容突然跳到错误位置，或恢复到与物体明显错开的地方。</v>
      </c>
      <c r="H219" s="85" t="str">
        <v>无</v>
      </c>
      <c r="I219" s="79" t="str">
        <v>EgoAnchor</v>
      </c>
      <c r="J219" s="79" t="str">
        <v>EgoAnchor</v>
      </c>
      <c r="K219" s="211" t="str">
        <v>模拟主观轨迹：utility_diff=0.44; trust_diff=0.85</v>
      </c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</row>
    <row r="220" ht="30" customHeight="1">
      <c r="A220" s="65" t="inlineStr">
        <is>
          <t xml:space="preserve">P018</t>
        </is>
      </c>
      <c r="B220" s="85" t="str">
        <v>方法A</v>
      </c>
      <c r="C220" s="85" t="n">
        <v>5</v>
      </c>
      <c r="D220" s="85" t="str">
        <v>方法A</v>
      </c>
      <c r="E220" s="85" t="n">
        <v>7</v>
      </c>
      <c r="F220" s="85" t="str">
        <v>方法A在静止观察和遮挡恢复后更稳，虚拟内容更像固定在物体上；另一种移动时略显轻快，但偶尔会抖或滑动。</v>
      </c>
      <c r="G220" s="85" t="str">
        <v>物体静止时虚拟内容持续抖动，随着我移动头部还会漂移。</v>
      </c>
      <c r="H220" s="85" t="str">
        <v>无</v>
      </c>
      <c r="I220" s="79" t="str">
        <v>EgoAnchor</v>
      </c>
      <c r="J220" s="79" t="str">
        <v>EgoAnchor</v>
      </c>
      <c r="K220" s="211" t="str">
        <v>模拟主观轨迹：utility_diff=1.49; trust_diff=1.37</v>
      </c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</row>
    <row r="221" ht="30" customHeight="1">
      <c r="A221" s="65" t="inlineStr">
        <is>
          <t xml:space="preserve">P019</t>
        </is>
      </c>
      <c r="B221" s="85" t="str">
        <v>无明显偏好</v>
      </c>
      <c r="C221" s="85"/>
      <c r="D221" s="85" t="str">
        <v>方法B</v>
      </c>
      <c r="E221" s="85" t="n">
        <v>5</v>
      </c>
      <c r="F221" s="85" t="str">
        <v>一种方法静止和恢复时更稳，另一种移动时更跟手；不同物体上的差异不完全一致，所以我没有明显偏好。</v>
      </c>
      <c r="G221" s="85" t="str">
        <v>遮挡移除后虚拟内容突然跳到错误位置，或恢复到与物体明显错开的地方。</v>
      </c>
      <c r="H221" s="85" t="str">
        <v>无</v>
      </c>
      <c r="I221" s="79" t="str">
        <v>无明显偏好</v>
      </c>
      <c r="J221" s="79" t="str">
        <v>EgoAnchor</v>
      </c>
      <c r="K221" s="211" t="str">
        <v>模拟主观轨迹：utility_diff=0.18; trust_diff=0.58</v>
      </c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</row>
    <row r="222" ht="30" customHeight="1">
      <c r="A222" s="65" t="inlineStr">
        <is>
          <t xml:space="preserve">P020</t>
        </is>
      </c>
      <c r="B222" s="85" t="str">
        <v>方法A</v>
      </c>
      <c r="C222" s="85" t="n">
        <v>4</v>
      </c>
      <c r="D222" s="85" t="str">
        <v>无明显偏好</v>
      </c>
      <c r="E222" s="85" t="n">
        <v>4</v>
      </c>
      <c r="F222" s="85" t="str">
        <v>方法A在拿起和旋转时更跟手，响应更直接；另一种虽然静止更稳，但移动开始时有一点拖拽感。</v>
      </c>
      <c r="G222" s="85" t="str">
        <v>移动物体时虚拟内容从原来的附着位置滑开，尤其是旋转后对不上。</v>
      </c>
      <c r="H222" s="85" t="str">
        <v>无</v>
      </c>
      <c r="I222" s="79" t="str">
        <v>One-Euro</v>
      </c>
      <c r="J222" s="79" t="str">
        <v>无明显偏好</v>
      </c>
      <c r="K222" s="211" t="str">
        <v>模拟主观轨迹：utility_diff=-1.13; trust_diff=-0.10</v>
      </c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</row>
    <row r="223" ht="30" customHeight="1">
      <c r="A223" s="65" t="inlineStr">
        <is>
          <t xml:space="preserve">P021</t>
        </is>
      </c>
      <c r="B223" s="85" t="str">
        <v>方法A</v>
      </c>
      <c r="C223" s="85" t="n">
        <v>5</v>
      </c>
      <c r="D223" s="85" t="str">
        <v>方法A</v>
      </c>
      <c r="E223" s="85" t="n">
        <v>6</v>
      </c>
      <c r="F223" s="85" t="str">
        <v>方法A在静止观察和遮挡恢复后更稳，虚拟内容更像固定在物体上；另一种移动时略显轻快，但偶尔会抖或滑动。</v>
      </c>
      <c r="G223" s="85" t="str">
        <v>遮挡移除后虚拟内容突然跳到错误位置，或恢复到与物体明显错开的地方。</v>
      </c>
      <c r="H223" s="85" t="str">
        <v>无</v>
      </c>
      <c r="I223" s="79" t="str">
        <v>EgoAnchor</v>
      </c>
      <c r="J223" s="79" t="str">
        <v>EgoAnchor</v>
      </c>
      <c r="K223" s="211" t="str">
        <v>模拟主观轨迹：utility_diff=1.60; trust_diff=1.65</v>
      </c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</row>
    <row r="224" ht="30" customHeight="1">
      <c r="A224" s="65" t="inlineStr">
        <is>
          <t xml:space="preserve">P022</t>
        </is>
      </c>
      <c r="B224" s="85" t="str">
        <v>方法A</v>
      </c>
      <c r="C224" s="85" t="n">
        <v>5</v>
      </c>
      <c r="D224" s="85" t="str">
        <v>方法A</v>
      </c>
      <c r="E224" s="85" t="n">
        <v>7</v>
      </c>
      <c r="F224" s="85" t="str">
        <v>方法A在静止观察和遮挡恢复后更稳，虚拟内容更像固定在物体上；另一种移动时略显轻快，但偶尔会抖或滑动。</v>
      </c>
      <c r="G224" s="85" t="str">
        <v>遮挡移除后虚拟内容突然跳到错误位置，或恢复到与物体明显错开的地方。</v>
      </c>
      <c r="H224" s="85" t="str">
        <v>轻微</v>
      </c>
      <c r="I224" s="79" t="str">
        <v>EgoAnchor</v>
      </c>
      <c r="J224" s="79" t="str">
        <v>EgoAnchor</v>
      </c>
      <c r="K224" s="211" t="str">
        <v>模拟主观轨迹：utility_diff=2.58; trust_diff=1.05</v>
      </c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</row>
    <row r="225" ht="30" customHeight="1">
      <c r="A225" s="65" t="inlineStr">
        <is>
          <t xml:space="preserve">P023</t>
        </is>
      </c>
      <c r="B225" s="85" t="str">
        <v>方法B</v>
      </c>
      <c r="C225" s="85" t="n">
        <v>4</v>
      </c>
      <c r="D225" s="85" t="str">
        <v>方法B</v>
      </c>
      <c r="E225" s="85" t="n">
        <v>6</v>
      </c>
      <c r="F225" s="85" t="str">
        <v>方法B在静止观察和遮挡恢复后更稳，虚拟内容更像固定在物体上；另一种移动时略显轻快，但偶尔会抖或滑动。</v>
      </c>
      <c r="G225" s="85" t="str">
        <v>物体静止时虚拟内容持续抖动，随着我移动头部还会漂移。</v>
      </c>
      <c r="H225" s="85" t="str">
        <v>无</v>
      </c>
      <c r="I225" s="79" t="str">
        <v>EgoAnchor</v>
      </c>
      <c r="J225" s="79" t="str">
        <v>EgoAnchor</v>
      </c>
      <c r="K225" s="211" t="str">
        <v>模拟主观轨迹：utility_diff=1.57; trust_diff=1.07</v>
      </c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</row>
    <row r="226" ht="30" customHeight="1">
      <c r="A226" s="66" t="inlineStr">
        <is>
          <t xml:space="preserve">P024</t>
        </is>
      </c>
      <c r="B226" s="86" t="str">
        <v>方法B</v>
      </c>
      <c r="C226" s="86" t="n">
        <v>6</v>
      </c>
      <c r="D226" s="86" t="str">
        <v>方法B</v>
      </c>
      <c r="E226" s="86" t="n">
        <v>7</v>
      </c>
      <c r="F226" s="86" t="str">
        <v>方法B在静止观察和遮挡恢复后更稳，虚拟内容更像固定在物体上；另一种移动时略显轻快，但偶尔会抖或滑动。</v>
      </c>
      <c r="G226" s="86" t="str">
        <v>遮挡移除后虚拟内容突然跳到错误位置，或恢复到与物体明显错开的地方。</v>
      </c>
      <c r="H226" s="86" t="str">
        <v>中等</v>
      </c>
      <c r="I226" s="224" t="str">
        <v>EgoAnchor</v>
      </c>
      <c r="J226" s="224" t="str">
        <v>EgoAnchor</v>
      </c>
      <c r="K226" s="212" t="str">
        <v>模拟主观轨迹：utility_diff=2.19; trust_diff=1.93</v>
      </c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</row>
  </sheetData>
  <mergeCells>
    <mergeCell ref="A1:AO1"/>
    <mergeCell ref="A3:AO3"/>
    <mergeCell ref="A201:AO201"/>
    <mergeCell ref="A150:AO150"/>
  </mergeCells>
  <conditionalFormatting sqref="AB5:AD148">
    <cfRule type="expression" dxfId="0" priority="1">
      <formula>AB5="是"</formula>
    </cfRule>
    <cfRule type="expression" dxfId="1" priority="2">
      <formula>AB5="否"</formula>
    </cfRule>
  </conditionalFormatting>
  <conditionalFormatting sqref="R152:R199">
    <cfRule type="expression" dxfId="0" priority="3">
      <formula>R152="是"</formula>
    </cfRule>
    <cfRule type="expression" dxfId="1" priority="4">
      <formula>R152="否"</formula>
    </cfRule>
  </conditionalFormatting>
  <dataValidations count="12">
    <dataValidation type="list" allowBlank="0" showDropDown="0" showInputMessage="0" showErrorMessage="0" sqref="K5:X148">
      <formula1>"1,2,3,4,5,6,7"</formula1>
    </dataValidation>
    <dataValidation type="list" allowBlank="0" showDropDown="0" showInputMessage="0" showErrorMessage="0" sqref="AB5:AD148">
      <formula1>"是,否"</formula1>
    </dataValidation>
    <dataValidation type="list" allowBlank="0" showDropDown="0" showInputMessage="0" showErrorMessage="0" sqref="AK5:AK148">
      <formula1>"Tracking,FrozenCertain,FrozenUncertain,Lost"</formula1>
    </dataValidation>
    <dataValidation type="list" allowBlank="0" showDropDown="0" showInputMessage="0" showErrorMessage="0" sqref="AL5:AL148">
      <formula1>"是,否"</formula1>
    </dataValidation>
    <dataValidation type="list" allowBlank="0" showDropDown="0" showInputMessage="0" showErrorMessage="0" sqref="E152:N199">
      <formula1>"1,2,3,4,5"</formula1>
    </dataValidation>
    <dataValidation type="list" allowBlank="0" showDropDown="0" showInputMessage="0" showErrorMessage="0" sqref="O152:Q199">
      <formula1>"1,2,3,4,5,6,7"</formula1>
    </dataValidation>
    <dataValidation type="list" allowBlank="0" showDropDown="0" showInputMessage="0" showErrorMessage="0" sqref="R152:R199">
      <formula1>"是,否"</formula1>
    </dataValidation>
    <dataValidation type="list" allowBlank="0" showDropDown="0" showInputMessage="0" showErrorMessage="0" sqref="B203:B226">
      <formula1>"方法A,方法B,无明显偏好"</formula1>
    </dataValidation>
    <dataValidation type="list" allowBlank="0" showDropDown="0" showInputMessage="0" showErrorMessage="0" sqref="C203:C226">
      <formula1>"1,2,3,4,5,6,7"</formula1>
    </dataValidation>
    <dataValidation type="list" allowBlank="0" showDropDown="0" showInputMessage="0" showErrorMessage="0" sqref="D203:D226">
      <formula1>"方法A,方法B,无明显偏好"</formula1>
    </dataValidation>
    <dataValidation type="list" allowBlank="0" showDropDown="0" showInputMessage="0" showErrorMessage="0" sqref="E203:E226">
      <formula1>"1,2,3,4,5,6,7"</formula1>
    </dataValidation>
    <dataValidation type="list" allowBlank="0" showDropDown="0" showInputMessage="0" showErrorMessage="0" sqref="H203:H226">
      <formula1>"无,轻微,中等,明显,因不适中止"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baseColWidth="8" defaultRowHeight="15"/>
  <cols>
    <col min="1" max="1" width="18" hidden="0" customWidth="1"/>
    <col min="2" max="2" width="24" hidden="0" customWidth="1"/>
    <col min="3" max="3" width="20" hidden="0" customWidth="1"/>
    <col min="4" max="4" width="20" hidden="0" customWidth="1"/>
    <col min="5" max="5" width="12" hidden="0" customWidth="1"/>
    <col min="6" max="6" width="10" hidden="0" customWidth="1"/>
    <col min="7" max="7" width="12" hidden="0" customWidth="1"/>
    <col min="8" max="8" width="12" hidden="0" customWidth="1"/>
    <col min="9" max="9" width="13" hidden="0" customWidth="1"/>
    <col min="10" max="10" width="15" hidden="0" customWidth="1"/>
    <col min="11" max="11" width="32" hidden="0" customWidth="1"/>
    <col min="12" max="12" width="12" hidden="0" customWidth="1"/>
    <col min="13" max="13" width="24" hidden="0" customWidth="1"/>
    <col min="14" max="14" width="13" hidden="0" customWidth="1"/>
    <col min="15" max="15" width="13" hidden="0" customWidth="1"/>
    <col min="16" max="16" width="12" hidden="0" customWidth="1"/>
    <col min="17" max="17" width="26" hidden="0" customWidth="1"/>
    <col min="18" max="18" width="26" hidden="0" customWidth="1"/>
    <col min="19" max="19" width="34" hidden="0" customWidth="1"/>
    <col min="20" max="20" width="10" customWidth="1"/>
    <col min="21" max="21" width="10" customWidth="1"/>
  </cols>
  <sheetData>
    <row r="1" ht="32" customHeight="1">
      <c r="A1" s="26" t="str">
        <v>【SYNTHETIC / 模拟分析结果】GPT-5.6-Thinking v3；仅用于流程、计分与分析管线验证，不得作为真实被试证据</v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2" customHeight="1">
      <c r="A2" s="563" t="str">
        <v>核心模拟模式：EgoAnchor 在静止稳定、位置正确、遮挡恢复、依赖意愿与总体稳定—响应平衡上较高；运动附着与姿态一致差异较小。所有推断仅描述该合成生成结果。</v>
      </c>
      <c r="B2" s="563" t="n"/>
      <c r="C2" s="563" t="n"/>
      <c r="D2" s="563" t="n"/>
      <c r="E2" s="563" t="n"/>
      <c r="F2" s="563" t="n"/>
      <c r="G2" s="563" t="n"/>
      <c r="H2" s="563" t="n"/>
      <c r="I2" s="563" t="n"/>
      <c r="J2" s="563" t="n"/>
      <c r="K2" s="563" t="n"/>
      <c r="L2" s="563" t="n"/>
      <c r="M2" s="563" t="n"/>
      <c r="N2" s="563" t="n"/>
      <c r="O2" s="563" t="n"/>
      <c r="P2" s="563" t="n"/>
      <c r="Q2" s="563" t="n"/>
      <c r="R2" s="563" t="n"/>
      <c r="S2" s="563" t="n"/>
    </row>
    <row r="3" ht="30" customHeight="1">
      <c r="A3" s="73" t="inlineStr">
        <is>
          <t xml:space="preserve">A. 主证实家族（三物体均值 → 配对 Wilcoxon → 家族内 Holm）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566" t="str">
        <v>快速结果</v>
      </c>
      <c r="N3" s="566" t="str">
        <v>One-Euro M</v>
      </c>
      <c r="O3" s="566" t="str">
        <v>EgoAnchor M</v>
      </c>
      <c r="P3" s="566" t="str">
        <v>EA−OE</v>
      </c>
      <c r="Q3" s="3" t="n"/>
      <c r="R3" s="3" t="n"/>
      <c r="S3" s="3" t="n"/>
    </row>
    <row r="4" ht="38" customHeight="1">
      <c r="A4" s="38" t="inlineStr">
        <is>
          <t xml:space="preserve">条目</t>
        </is>
      </c>
      <c r="B4" s="39" t="inlineStr">
        <is>
          <t xml:space="preserve">简称</t>
        </is>
      </c>
      <c r="C4" s="39" t="inlineStr">
        <is>
          <t xml:space="preserve">One-Euro Mdn[IQR]</t>
        </is>
      </c>
      <c r="D4" s="39" t="inlineStr">
        <is>
          <t xml:space="preserve">EgoAnchor Mdn[IQR]</t>
        </is>
      </c>
      <c r="E4" s="39" t="inlineStr">
        <is>
          <t xml:space="preserve">配对差中位</t>
        </is>
      </c>
      <c r="F4" s="39" t="inlineStr">
        <is>
          <t xml:space="preserve">W</t>
        </is>
      </c>
      <c r="G4" s="39" t="inlineStr">
        <is>
          <t xml:space="preserve">p_raw</t>
        </is>
      </c>
      <c r="H4" s="39" t="inlineStr">
        <is>
          <t xml:space="preserve">p_Holm</t>
        </is>
      </c>
      <c r="I4" s="39" t="inlineStr">
        <is>
          <t xml:space="preserve">匹配秩双列r</t>
        </is>
      </c>
      <c r="J4" s="39" t="inlineStr">
        <is>
          <t xml:space="preserve">r 95%CI</t>
        </is>
      </c>
      <c r="K4" s="40" t="inlineStr">
        <is>
          <t xml:space="preserve">结论</t>
        </is>
      </c>
      <c r="L4" s="126" t="n"/>
      <c r="M4" s="567" t="str">
        <v>Q1 静止稳定</v>
      </c>
      <c r="N4" s="569" t="n">
        <v>4.25</v>
      </c>
      <c r="O4" s="569" t="n">
        <v>5.194444444444444</v>
      </c>
      <c r="P4" s="569" t="n">
        <v>0.9444444444444445</v>
      </c>
      <c r="Q4" s="126" t="n"/>
      <c r="R4" s="126" t="n"/>
      <c r="S4" s="127" t="n"/>
    </row>
    <row r="5" ht="26" customHeight="1">
      <c r="A5" s="65" t="inlineStr">
        <is>
          <t xml:space="preserve">Q1</t>
        </is>
      </c>
      <c r="B5" s="96" t="inlineStr">
        <is>
          <t xml:space="preserve">静止稳定</t>
        </is>
      </c>
      <c r="C5" s="482" t="str">
        <v>4.33 [3.92, 4.67]</v>
      </c>
      <c r="D5" s="482" t="str">
        <v>5.00 [4.58, 5.67]</v>
      </c>
      <c r="E5" s="571" t="n">
        <v>1</v>
      </c>
      <c r="F5" s="571" t="n">
        <v>14.5</v>
      </c>
      <c r="G5" s="571" t="n">
        <v>0.00016965554759561943</v>
      </c>
      <c r="H5" s="571" t="n">
        <v>0.001187588833169336</v>
      </c>
      <c r="I5" s="571" t="n">
        <v>0.894927536231884</v>
      </c>
      <c r="J5" s="571" t="str">
        <v>[0.67, 1.00]</v>
      </c>
      <c r="K5" s="485" t="str">
        <v>EgoAnchor 更高（Holm 校正后显著）</v>
      </c>
      <c r="L5" s="12" t="n"/>
      <c r="M5" s="568" t="str">
        <v>Q8 位置正确</v>
      </c>
      <c r="N5" s="570" t="n">
        <v>4.472222222222222</v>
      </c>
      <c r="O5" s="570" t="n">
        <v>5.166666666666667</v>
      </c>
      <c r="P5" s="570" t="n">
        <v>0.6944444444444445</v>
      </c>
      <c r="Q5" s="12" t="n"/>
      <c r="R5" s="12" t="n"/>
      <c r="S5" s="12" t="n"/>
    </row>
    <row r="6" ht="26" customHeight="1">
      <c r="A6" s="65" t="inlineStr">
        <is>
          <t xml:space="preserve">Q8</t>
        </is>
      </c>
      <c r="B6" s="96" t="inlineStr">
        <is>
          <t xml:space="preserve">位置正确</t>
        </is>
      </c>
      <c r="C6" s="482" t="str">
        <v>4.67 [4.00, 5.00]</v>
      </c>
      <c r="D6" s="482" t="str">
        <v>5.00 [4.67, 5.75]</v>
      </c>
      <c r="E6" s="571" t="n">
        <v>0.6666666666666667</v>
      </c>
      <c r="F6" s="571" t="n">
        <v>18</v>
      </c>
      <c r="G6" s="571" t="n">
        <v>0.0011314977280601672</v>
      </c>
      <c r="H6" s="571" t="n">
        <v>0.005657488640300836</v>
      </c>
      <c r="I6" s="571" t="n">
        <v>0.8285714285714286</v>
      </c>
      <c r="J6" s="571" t="str">
        <v>[0.54, 1.00]</v>
      </c>
      <c r="K6" s="485" t="str">
        <v>EgoAnchor 更高（Holm 校正后显著）</v>
      </c>
      <c r="L6" s="12" t="n"/>
      <c r="M6" s="568" t="str">
        <v>Q2 运动附着</v>
      </c>
      <c r="N6" s="570" t="n">
        <v>4.875</v>
      </c>
      <c r="O6" s="570" t="n">
        <v>4.986111111111112</v>
      </c>
      <c r="P6" s="570" t="n">
        <v>0.11111111111111109</v>
      </c>
      <c r="Q6" s="12" t="n"/>
      <c r="R6" s="12" t="n"/>
      <c r="S6" s="12" t="n"/>
    </row>
    <row r="7" ht="26" customHeight="1">
      <c r="A7" s="65" t="inlineStr">
        <is>
          <t xml:space="preserve">Q2</t>
        </is>
      </c>
      <c r="B7" s="96" t="inlineStr">
        <is>
          <t xml:space="preserve">运动附着</t>
        </is>
      </c>
      <c r="C7" s="482" t="str">
        <v>5.00 [4.33, 5.08]</v>
      </c>
      <c r="D7" s="482" t="str">
        <v>5.17 [4.58, 5.33]</v>
      </c>
      <c r="E7" s="571" t="n">
        <v>0.33333333333333304</v>
      </c>
      <c r="F7" s="571" t="n">
        <v>72.5</v>
      </c>
      <c r="G7" s="571" t="n">
        <v>0.3617545832159459</v>
      </c>
      <c r="H7" s="571" t="n">
        <v>0.7235091664318918</v>
      </c>
      <c r="I7" s="571" t="n">
        <v>0.23684210526315788</v>
      </c>
      <c r="J7" s="571" t="str">
        <v>[-0.28, 0.75]</v>
      </c>
      <c r="K7" s="485" t="str">
        <v>Holm 校正后未检出差异</v>
      </c>
      <c r="L7" s="12" t="n"/>
      <c r="M7" s="568" t="str">
        <v>Q9 姿态一致</v>
      </c>
      <c r="N7" s="570" t="n">
        <v>4.888888888888889</v>
      </c>
      <c r="O7" s="570" t="n">
        <v>4.986111111111111</v>
      </c>
      <c r="P7" s="570" t="n">
        <v>0.09722222222222206</v>
      </c>
      <c r="Q7" s="12" t="n"/>
      <c r="R7" s="12" t="n"/>
      <c r="S7" s="12" t="n"/>
    </row>
    <row r="8" ht="26" customHeight="1">
      <c r="A8" s="65" t="inlineStr">
        <is>
          <t xml:space="preserve">Q9</t>
        </is>
      </c>
      <c r="B8" s="96" t="inlineStr">
        <is>
          <t xml:space="preserve">姿态一致</t>
        </is>
      </c>
      <c r="C8" s="482" t="str">
        <v>4.67 [4.67, 5.33]</v>
      </c>
      <c r="D8" s="482" t="str">
        <v>5.00 [4.58, 5.33]</v>
      </c>
      <c r="E8" s="571" t="n">
        <v>0.16666666666666652</v>
      </c>
      <c r="F8" s="571" t="n">
        <v>115.5</v>
      </c>
      <c r="G8" s="571" t="n">
        <v>0.4916262453156325</v>
      </c>
      <c r="H8" s="571" t="n">
        <v>0.7235091664318918</v>
      </c>
      <c r="I8" s="571" t="n">
        <v>0.16304347826086957</v>
      </c>
      <c r="J8" s="571" t="str">
        <v>[-0.32, 0.60]</v>
      </c>
      <c r="K8" s="485" t="str">
        <v>Holm 校正后未检出差异</v>
      </c>
      <c r="L8" s="12" t="n"/>
      <c r="M8" s="568" t="str">
        <v>Q3 恢复一致</v>
      </c>
      <c r="N8" s="570" t="n">
        <v>4.152777777777778</v>
      </c>
      <c r="O8" s="570" t="n">
        <v>4.958333333333333</v>
      </c>
      <c r="P8" s="570" t="n">
        <v>0.8055555555555554</v>
      </c>
      <c r="Q8" s="12" t="n"/>
      <c r="R8" s="12" t="n"/>
      <c r="S8" s="12" t="n"/>
    </row>
    <row r="9" ht="26" customHeight="1">
      <c r="A9" s="65" t="inlineStr">
        <is>
          <t xml:space="preserve">Q3</t>
        </is>
      </c>
      <c r="B9" s="96" t="inlineStr">
        <is>
          <t xml:space="preserve">恢复一致</t>
        </is>
      </c>
      <c r="C9" s="482" t="str">
        <v>4.17 [3.92, 4.33]</v>
      </c>
      <c r="D9" s="482" t="str">
        <v>5.00 [4.33, 5.42]</v>
      </c>
      <c r="E9" s="571" t="n">
        <v>0.8333333333333335</v>
      </c>
      <c r="F9" s="571" t="n">
        <v>35</v>
      </c>
      <c r="G9" s="571" t="n">
        <v>0.002923129475596657</v>
      </c>
      <c r="H9" s="571" t="n">
        <v>0.008769388426789971</v>
      </c>
      <c r="I9" s="571" t="n">
        <v>0.7233201581027668</v>
      </c>
      <c r="J9" s="571" t="str">
        <v>[0.33, 0.99]</v>
      </c>
      <c r="K9" s="485" t="str">
        <v>EgoAnchor 更高（Holm 校正后显著）</v>
      </c>
      <c r="L9" s="12" t="n"/>
      <c r="M9" s="568" t="str">
        <v>Q6 依赖意愿</v>
      </c>
      <c r="N9" s="570" t="n">
        <v>4.152777777777778</v>
      </c>
      <c r="O9" s="570" t="n">
        <v>4.888888888888888</v>
      </c>
      <c r="P9" s="570" t="n">
        <v>0.736111111111111</v>
      </c>
      <c r="Q9" s="12" t="n"/>
      <c r="R9" s="12" t="n"/>
      <c r="S9" s="12" t="n"/>
    </row>
    <row r="10" ht="26" customHeight="1">
      <c r="A10" s="65" t="inlineStr">
        <is>
          <t xml:space="preserve">Q6</t>
        </is>
      </c>
      <c r="B10" s="96" t="inlineStr">
        <is>
          <t xml:space="preserve">依赖意愿</t>
        </is>
      </c>
      <c r="C10" s="482" t="str">
        <v>4.00 [4.00, 4.33]</v>
      </c>
      <c r="D10" s="482" t="str">
        <v>5.00 [4.33, 5.33]</v>
      </c>
      <c r="E10" s="571" t="n">
        <v>0.9999999999999998</v>
      </c>
      <c r="F10" s="571" t="n">
        <v>14.5</v>
      </c>
      <c r="G10" s="571" t="n">
        <v>0.00026884981347242824</v>
      </c>
      <c r="H10" s="571" t="n">
        <v>0.0016130988808345694</v>
      </c>
      <c r="I10" s="571" t="n">
        <v>0.8853754940711462</v>
      </c>
      <c r="J10" s="571" t="str">
        <v>[0.66, 1.00]</v>
      </c>
      <c r="K10" s="485" t="str">
        <v>EgoAnchor 更高（Holm 校正后显著）</v>
      </c>
      <c r="L10" s="12" t="n"/>
      <c r="M10" s="568" t="str">
        <v>Q7 稳定-响应平衡</v>
      </c>
      <c r="N10" s="570" t="n">
        <v>4.430555555555555</v>
      </c>
      <c r="O10" s="570" t="n">
        <v>4.902777777777778</v>
      </c>
      <c r="P10" s="570" t="n">
        <v>0.47222222222222227</v>
      </c>
      <c r="Q10" s="12" t="n"/>
      <c r="R10" s="12" t="n"/>
      <c r="S10" s="12" t="n"/>
    </row>
    <row r="11" ht="26" customHeight="1">
      <c r="A11" s="66" t="inlineStr">
        <is>
          <t xml:space="preserve">Q7</t>
        </is>
      </c>
      <c r="B11" s="192" t="inlineStr">
        <is>
          <t xml:space="preserve">稳定-响应平衡</t>
        </is>
      </c>
      <c r="C11" s="486" t="str">
        <v>4.50 [4.25, 4.75]</v>
      </c>
      <c r="D11" s="486" t="str">
        <v>4.83 [4.58, 5.33]</v>
      </c>
      <c r="E11" s="572" t="n">
        <v>0.3333333333333335</v>
      </c>
      <c r="F11" s="572" t="n">
        <v>4</v>
      </c>
      <c r="G11" s="572" t="n">
        <v>0.0014471173286683685</v>
      </c>
      <c r="H11" s="572" t="n">
        <v>0.005788469314673474</v>
      </c>
      <c r="I11" s="572" t="n">
        <v>0.9333333333333333</v>
      </c>
      <c r="J11" s="572" t="str">
        <v>[0.73, 1.00]</v>
      </c>
      <c r="K11" s="487" t="str">
        <v>EgoAnchor 更高（Holm 校正后显著）</v>
      </c>
      <c r="L11" s="12" t="n"/>
      <c r="M11" s="12"/>
      <c r="N11" s="12"/>
      <c r="O11" s="12"/>
      <c r="P11" s="12"/>
      <c r="Q11" s="12" t="n"/>
      <c r="R11" s="12" t="n"/>
      <c r="S11" s="12" t="n"/>
    </row>
    <row r="12" ht="2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26" customHeight="1">
      <c r="A13" s="73" t="str">
        <v>B. 已发表量表家族（TiA 反向项先按 6−raw 换向；α 为 Cronbach's α；ω 为单因子标准化 PCA 近似，仅作管线检查）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6" customHeight="1">
      <c r="A14" s="38" t="inlineStr">
        <is>
          <t xml:space="preserve">量表</t>
        </is>
      </c>
      <c r="B14" s="39" t="inlineStr">
        <is>
          <t xml:space="preserve">One-Euro Mdn [IQR]</t>
        </is>
      </c>
      <c r="C14" s="39" t="inlineStr">
        <is>
          <t xml:space="preserve">EgoAnchor Mdn [IQR]</t>
        </is>
      </c>
      <c r="D14" s="39" t="inlineStr">
        <is>
          <t xml:space="preserve">配对差中位</t>
        </is>
      </c>
      <c r="E14" s="39" t="inlineStr">
        <is>
          <t xml:space="preserve">W</t>
        </is>
      </c>
      <c r="F14" s="39" t="inlineStr">
        <is>
          <t xml:space="preserve">p_raw</t>
        </is>
      </c>
      <c r="G14" s="39" t="inlineStr">
        <is>
          <t xml:space="preserve">p_Holm</t>
        </is>
      </c>
      <c r="H14" s="39" t="inlineStr">
        <is>
          <t xml:space="preserve">匹配秩双列 r</t>
        </is>
      </c>
      <c r="I14" s="39" t="inlineStr">
        <is>
          <t xml:space="preserve">α(OE)</t>
        </is>
      </c>
      <c r="J14" s="39" t="inlineStr">
        <is>
          <t xml:space="preserve">α(EA)</t>
        </is>
      </c>
      <c r="K14" s="39" t="inlineStr">
        <is>
          <t xml:space="preserve">ω(OE)</t>
        </is>
      </c>
      <c r="L14" s="39" t="inlineStr">
        <is>
          <t xml:space="preserve">ω(EA)</t>
        </is>
      </c>
      <c r="M14" s="40" t="inlineStr">
        <is>
          <t xml:space="preserve">结论</t>
        </is>
      </c>
      <c r="N14" s="126" t="n"/>
      <c r="O14" s="126" t="n"/>
      <c r="P14" s="126" t="n"/>
      <c r="Q14" s="126" t="n"/>
      <c r="R14" s="126" t="n"/>
      <c r="S14" s="127" t="n"/>
    </row>
    <row r="15" ht="26" customHeight="1">
      <c r="A15" s="65" t="inlineStr">
        <is>
          <t xml:space="preserve">AQ-EQ（3 项均值）</t>
        </is>
      </c>
      <c r="B15" s="482" t="str">
        <v>4.78 [4.50, 5.03]</v>
      </c>
      <c r="C15" s="482" t="str">
        <v>5.17 [4.50, 5.47]</v>
      </c>
      <c r="D15" s="571" t="n">
        <v>0.4444444444444444</v>
      </c>
      <c r="E15" s="571" t="n">
        <v>32.5</v>
      </c>
      <c r="F15" s="571" t="n">
        <v>0.00226278668619542</v>
      </c>
      <c r="G15" s="571" t="n">
        <v>0.007866072202533034</v>
      </c>
      <c r="H15" s="571" t="n">
        <v>0.7430830039525692</v>
      </c>
      <c r="I15" s="571" t="n">
        <v>0.7680623563505544</v>
      </c>
      <c r="J15" s="571" t="n">
        <v>0.7687512176115332</v>
      </c>
      <c r="K15" s="571" t="n">
        <v>0.8660030557063227</v>
      </c>
      <c r="L15" s="571" t="n">
        <v>0.8672419475137694</v>
      </c>
      <c r="M15" s="485" t="str">
        <v>EgoAnchor 更高（Holm 校正后显著）</v>
      </c>
      <c r="N15" s="12" t="n"/>
      <c r="O15" s="12" t="n"/>
      <c r="P15" s="12" t="n"/>
      <c r="Q15" s="12" t="n"/>
      <c r="R15" s="12" t="n"/>
      <c r="S15" s="12" t="n"/>
    </row>
    <row r="16" ht="26" customHeight="1">
      <c r="A16" s="65" t="inlineStr">
        <is>
          <t xml:space="preserve">AQ-IQ（3 项均值）</t>
        </is>
      </c>
      <c r="B16" s="482" t="str">
        <v>4.89 [4.64, 5.14]</v>
      </c>
      <c r="C16" s="482" t="str">
        <v>5.06 [4.50, 5.33]</v>
      </c>
      <c r="D16" s="571" t="n">
        <v>0.0555555555555558</v>
      </c>
      <c r="E16" s="571" t="n">
        <v>104.5</v>
      </c>
      <c r="F16" s="571" t="n">
        <v>0.47440579819178375</v>
      </c>
      <c r="G16" s="571" t="n">
        <v>0.47440579819178375</v>
      </c>
      <c r="H16" s="571" t="n">
        <v>0.17391304347826086</v>
      </c>
      <c r="I16" s="571" t="n">
        <v>0.5042016806722691</v>
      </c>
      <c r="J16" s="571" t="n">
        <v>0.8923645178045825</v>
      </c>
      <c r="K16" s="571" t="n">
        <v>0.7517499222696615</v>
      </c>
      <c r="L16" s="571" t="n">
        <v>0.9356164928837969</v>
      </c>
      <c r="M16" s="485" t="str">
        <v>Holm 校正后未检出差异</v>
      </c>
      <c r="N16" s="12" t="n"/>
      <c r="O16" s="12" t="n"/>
      <c r="P16" s="12" t="n"/>
      <c r="Q16" s="12" t="n"/>
      <c r="R16" s="12" t="n"/>
      <c r="S16" s="12" t="n"/>
    </row>
    <row r="17" ht="26" customHeight="1">
      <c r="A17" s="65" t="inlineStr">
        <is>
          <t xml:space="preserve">TiA-R/C（6 项均值）</t>
        </is>
      </c>
      <c r="B17" s="482" t="str">
        <v>4.17 [3.83, 4.50]</v>
      </c>
      <c r="C17" s="482" t="str">
        <v>4.58 [4.29, 4.83]</v>
      </c>
      <c r="D17" s="571" t="n">
        <v>0.33333333333333326</v>
      </c>
      <c r="E17" s="571" t="n">
        <v>0</v>
      </c>
      <c r="F17" s="571" t="n">
        <v>0.0001291638348597159</v>
      </c>
      <c r="G17" s="571" t="n">
        <v>0.0006458191742985795</v>
      </c>
      <c r="H17" s="571" t="n">
        <v>1</v>
      </c>
      <c r="I17" s="571" t="n">
        <v>0.7917981072555204</v>
      </c>
      <c r="J17" s="571" t="n">
        <v>0.7511450381679389</v>
      </c>
      <c r="K17" s="571" t="n">
        <v>0.8566950519564573</v>
      </c>
      <c r="L17" s="571" t="n">
        <v>0.8300347835333307</v>
      </c>
      <c r="M17" s="485" t="str">
        <v>EgoAnchor 更高（Holm 校正后显著）</v>
      </c>
      <c r="N17" s="12" t="n"/>
      <c r="O17" s="12" t="n"/>
      <c r="P17" s="12" t="n"/>
      <c r="Q17" s="12" t="n"/>
      <c r="R17" s="12" t="n"/>
      <c r="S17" s="12" t="n"/>
    </row>
    <row r="18" ht="26" customHeight="1">
      <c r="A18" s="65" t="inlineStr">
        <is>
          <t xml:space="preserve">TiA-U/P（4 项均值）</t>
        </is>
      </c>
      <c r="B18" s="482" t="str">
        <v>4.00 [3.94, 4.25]</v>
      </c>
      <c r="C18" s="482" t="str">
        <v>4.38 [4.00, 5.00]</v>
      </c>
      <c r="D18" s="571" t="n">
        <v>0.375</v>
      </c>
      <c r="E18" s="571" t="n">
        <v>32</v>
      </c>
      <c r="F18" s="571" t="n">
        <v>0.0019665180506332584</v>
      </c>
      <c r="G18" s="571" t="n">
        <v>0.007866072202533034</v>
      </c>
      <c r="H18" s="571" t="n">
        <v>0.7470355731225297</v>
      </c>
      <c r="I18" s="571" t="n">
        <v>0.5645549318364075</v>
      </c>
      <c r="J18" s="571" t="n">
        <v>0.7685774946921443</v>
      </c>
      <c r="K18" s="571" t="n">
        <v>0.7601765478604827</v>
      </c>
      <c r="L18" s="571" t="n">
        <v>0.8532406059750139</v>
      </c>
      <c r="M18" s="485" t="str">
        <v>EgoAnchor 更高（Holm 校正后显著）</v>
      </c>
      <c r="N18" s="12" t="n"/>
      <c r="O18" s="12" t="n"/>
      <c r="P18" s="12" t="n"/>
      <c r="Q18" s="12" t="n"/>
      <c r="R18" s="12" t="n"/>
      <c r="S18" s="12" t="n"/>
    </row>
    <row r="19" ht="26" customHeight="1">
      <c r="A19" s="66" t="inlineStr">
        <is>
          <t xml:space="preserve">S-TIAS（3 项均值）</t>
        </is>
      </c>
      <c r="B19" s="486" t="str">
        <v>5.33 [4.92, 5.67]</v>
      </c>
      <c r="C19" s="486" t="str">
        <v>5.67 [5.33, 6.00]</v>
      </c>
      <c r="D19" s="572" t="n">
        <v>0.49999999999999956</v>
      </c>
      <c r="E19" s="572" t="n">
        <v>25</v>
      </c>
      <c r="F19" s="572" t="n">
        <v>0.0026651356736013087</v>
      </c>
      <c r="G19" s="572" t="n">
        <v>0.007866072202533034</v>
      </c>
      <c r="H19" s="572" t="n">
        <v>0.7619047619047619</v>
      </c>
      <c r="I19" s="572" t="n">
        <v>0.6716710182767623</v>
      </c>
      <c r="J19" s="572" t="n">
        <v>0.6972624798711757</v>
      </c>
      <c r="K19" s="572" t="n">
        <v>0.8297147089961295</v>
      </c>
      <c r="L19" s="572" t="n">
        <v>0.8302832719106567</v>
      </c>
      <c r="M19" s="487" t="str">
        <v>EgoAnchor 更高（Holm 校正后显著）</v>
      </c>
      <c r="N19" s="12" t="n"/>
      <c r="O19" s="12" t="n"/>
      <c r="P19" s="12" t="n"/>
      <c r="Q19" s="12" t="n"/>
      <c r="R19" s="12" t="n"/>
      <c r="S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</row>
    <row r="21" ht="30" customHeight="1">
      <c r="A21" s="73" t="str">
        <v>C. 次级序数模型（本环境用参与者固定效应累积 logit 近似 CLMM；正式分析须改用参与者随机截距 CLMM）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8" customHeight="1">
      <c r="A22" s="38" t="inlineStr">
        <is>
          <t xml:space="preserve">结局</t>
        </is>
      </c>
      <c r="B22" s="39" t="inlineStr">
        <is>
          <t xml:space="preserve">固定效应</t>
        </is>
      </c>
      <c r="C22" s="39" t="inlineStr">
        <is>
          <t xml:space="preserve">共同优势比</t>
        </is>
      </c>
      <c r="D22" s="39" t="inlineStr">
        <is>
          <t xml:space="preserve">95%CI</t>
        </is>
      </c>
      <c r="E22" s="39" t="inlineStr">
        <is>
          <t xml:space="preserve">p</t>
        </is>
      </c>
      <c r="F22" s="40" t="inlineStr">
        <is>
          <t xml:space="preserve">备注</t>
        </is>
      </c>
      <c r="G22" s="39" t="n"/>
      <c r="H22" s="39" t="n"/>
      <c r="I22" s="39" t="n"/>
      <c r="J22" s="39" t="n"/>
      <c r="K22" s="39" t="n"/>
      <c r="L22" s="39" t="n"/>
      <c r="M22" s="39" t="n"/>
      <c r="N22" s="126" t="n"/>
      <c r="O22" s="126" t="n"/>
      <c r="P22" s="126" t="n"/>
      <c r="Q22" s="126" t="n"/>
      <c r="R22" s="126" t="n"/>
      <c r="S22" s="127" t="n"/>
    </row>
    <row r="23" ht="27" customHeight="1">
      <c r="A23" s="488" t="str">
        <v>Q1</v>
      </c>
      <c r="B23" s="482" t="str">
        <v>EgoAnchor vs One-Euro（对象特异）</v>
      </c>
      <c r="C23" s="482" t="str">
        <v>鼠标 6.55; 订书机 32.41; 手柄 27.55</v>
      </c>
      <c r="D23" s="482" t="str">
        <v>鼠标 [1.99,21.55]; 订书机 [8.87,118.47]; 手柄 [8.09,93.83]</v>
      </c>
      <c r="E23" s="482" t="str">
        <v>鼠标 0.002; 订书机 0.000; 手柄 0.000</v>
      </c>
      <c r="F23" s="485" t="str">
        <v>参与者固定效应累积logit近似；含方法×物体、区块位置、对象内先后；正式论文改用CLMM随机截距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 ht="27" customHeight="1">
      <c r="A24" s="488" t="str">
        <v>Q8</v>
      </c>
      <c r="B24" s="482" t="str">
        <v>EgoAnchor vs One-Euro（对象特异）</v>
      </c>
      <c r="C24" s="482" t="str">
        <v>鼠标 4.38; 订书机 8.19; 手柄 12.40</v>
      </c>
      <c r="D24" s="482" t="str">
        <v>鼠标 [1.38,13.88]; 订书机 [2.46,27.25]; 手柄 [3.55,43.28]</v>
      </c>
      <c r="E24" s="482" t="str">
        <v>鼠标 0.012; 订书机 0.001; 手柄 0.000</v>
      </c>
      <c r="F24" s="485" t="str">
        <v>参与者固定效应累积logit近似；含方法×物体、区块位置、对象内先后；正式论文改用CLMM随机截距</v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</row>
    <row r="25" ht="27" customHeight="1">
      <c r="A25" s="488" t="str">
        <v>Q2</v>
      </c>
      <c r="B25" s="482" t="str">
        <v>EgoAnchor vs One-Euro（对象特异）</v>
      </c>
      <c r="C25" s="482" t="str">
        <v>鼠标 1.68; 订书机 0.83; 手柄 2.70</v>
      </c>
      <c r="D25" s="482" t="str">
        <v>鼠标 [0.57,4.96]; 订书机 [0.27,2.52]; 手柄 [0.89,8.23]</v>
      </c>
      <c r="E25" s="482" t="str">
        <v>鼠标 0.343; 订书机 0.741; 手柄 0.081</v>
      </c>
      <c r="F25" s="485" t="str">
        <v>参与者固定效应累积logit近似；含方法×物体、区块位置、对象内先后；正式论文改用CLMM随机截距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</row>
    <row r="26" ht="27" customHeight="1">
      <c r="A26" s="488" t="str">
        <v>Q9</v>
      </c>
      <c r="B26" s="482" t="str">
        <v>EgoAnchor vs One-Euro（对象特异）</v>
      </c>
      <c r="C26" s="482" t="str">
        <v>鼠标 1.31; 订书机 0.96; 手柄 1.96</v>
      </c>
      <c r="D26" s="482" t="str">
        <v>鼠标 [0.45,3.88]; 订书机 [0.32,2.89]; 手柄 [0.65,5.94]</v>
      </c>
      <c r="E26" s="482" t="str">
        <v>鼠标 0.621; 订书机 0.949; 手柄 0.235</v>
      </c>
      <c r="F26" s="485" t="str">
        <v>参与者固定效应累积logit近似；含方法×物体、区块位置、对象内先后；正式论文改用CLMM随机截距</v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</row>
    <row r="27" ht="27" customHeight="1">
      <c r="A27" s="488" t="str">
        <v>Q3</v>
      </c>
      <c r="B27" s="482" t="str">
        <v>EgoAnchor vs One-Euro（对象特异）</v>
      </c>
      <c r="C27" s="482" t="str">
        <v>鼠标 3.45; 订书机 10.18; 手柄 6.34</v>
      </c>
      <c r="D27" s="482" t="str">
        <v>鼠标 [1.19,9.96]; 订书机 [3.11,33.32]; 手柄 [2.09,19.25]</v>
      </c>
      <c r="E27" s="482" t="str">
        <v>鼠标 0.022; 订书机 0.000; 手柄 0.001</v>
      </c>
      <c r="F27" s="485" t="str">
        <v>参与者固定效应累积logit近似；含方法×物体、区块位置、对象内先后；正式论文改用CLMM随机截距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 ht="27" customHeight="1">
      <c r="A28" s="488" t="str">
        <v>Q6</v>
      </c>
      <c r="B28" s="482" t="str">
        <v>EgoAnchor vs One-Euro（对象特异）</v>
      </c>
      <c r="C28" s="482" t="str">
        <v>鼠标 3.71; 订书机 6.89; 手柄 14.52</v>
      </c>
      <c r="D28" s="482" t="str">
        <v>鼠标 [1.22,11.25]; 订书机 [2.19,21.66]; 手柄 [4.43,47.59]</v>
      </c>
      <c r="E28" s="482" t="str">
        <v>鼠标 0.020; 订书机 0.001; 手柄 0.000</v>
      </c>
      <c r="F28" s="485" t="str">
        <v>参与者固定效应累积logit近似；含方法×物体、区块位置、对象内先后；正式论文改用CLMM随机截距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 ht="27" customHeight="1">
      <c r="A29" s="488" t="str">
        <v>Q7</v>
      </c>
      <c r="B29" s="482" t="str">
        <v>EgoAnchor vs One-Euro（对象特异）</v>
      </c>
      <c r="C29" s="482" t="str">
        <v>鼠标 1.34; 订书机 2.05; 手柄 17.29</v>
      </c>
      <c r="D29" s="482" t="str">
        <v>鼠标 [0.44,4.05]; 订书机 [0.65,6.41]; 手柄 [5.10,58.60]</v>
      </c>
      <c r="E29" s="482" t="str">
        <v>鼠标 0.606; 订书机 0.218; 手柄 0.000</v>
      </c>
      <c r="F29" s="485" t="str">
        <v>参与者固定效应累积logit近似；含方法×物体、区块位置、对象内先后；正式论文改用CLMM随机截距</v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27" customHeight="1">
      <c r="A30" s="488" t="str">
        <v>模型说明</v>
      </c>
      <c r="B30" s="482" t="str">
        <v>非正式CLMM</v>
      </c>
      <c r="C30" s="482"/>
      <c r="D30" s="482"/>
      <c r="E30" s="482"/>
      <c r="F30" s="485" t="str">
        <v>每个条目含方法、物体、方法×物体、区块位置、对象内先后及参与者固定效应；OR 为各物体内 EgoAnchor 相对 One-Euro 的比例优势比。</v>
      </c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 ht="27" customHeight="1">
      <c r="A31" s="314"/>
      <c r="B31" s="302"/>
      <c r="C31" s="302"/>
      <c r="D31" s="302"/>
      <c r="E31" s="302"/>
      <c r="F31" s="308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 ht="27" customHeight="1">
      <c r="A32" s="314"/>
      <c r="B32" s="302"/>
      <c r="C32" s="302"/>
      <c r="D32" s="302"/>
      <c r="E32" s="302"/>
      <c r="F32" s="308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 ht="27" customHeight="1">
      <c r="A33" s="314"/>
      <c r="B33" s="302"/>
      <c r="C33" s="302"/>
      <c r="D33" s="302"/>
      <c r="E33" s="302"/>
      <c r="F33" s="308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</row>
    <row r="34" ht="27" customHeight="1">
      <c r="A34" s="314"/>
      <c r="B34" s="302"/>
      <c r="C34" s="302"/>
      <c r="D34" s="302"/>
      <c r="E34" s="302"/>
      <c r="F34" s="308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</row>
    <row r="35" ht="27" customHeight="1">
      <c r="A35" s="314"/>
      <c r="B35" s="302"/>
      <c r="C35" s="302"/>
      <c r="D35" s="302"/>
      <c r="E35" s="302"/>
      <c r="F35" s="308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</row>
    <row r="36" ht="27" customHeight="1">
      <c r="A36" s="314"/>
      <c r="B36" s="302"/>
      <c r="C36" s="302"/>
      <c r="D36" s="302"/>
      <c r="E36" s="302"/>
      <c r="F36" s="308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</row>
    <row r="37" ht="27" customHeight="1">
      <c r="A37" s="314"/>
      <c r="B37" s="302"/>
      <c r="C37" s="302"/>
      <c r="D37" s="302"/>
      <c r="E37" s="302"/>
      <c r="F37" s="308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</row>
    <row r="38" ht="27" customHeight="1">
      <c r="A38" s="315"/>
      <c r="B38" s="309"/>
      <c r="C38" s="309"/>
      <c r="D38" s="309"/>
      <c r="E38" s="309"/>
      <c r="F38" s="310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</row>
    <row r="39">
      <c r="A39" s="12"/>
      <c r="B39" s="12"/>
      <c r="C39" s="12"/>
      <c r="D39" s="12"/>
      <c r="E39" s="12"/>
      <c r="F39" s="12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</row>
    <row r="40" ht="30" customHeight="1">
      <c r="A40" s="73" t="inlineStr">
        <is>
          <t xml:space="preserve">D. 逐物体描述（探索性；方向一致性检查，不作未校正的逐物体检验）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38" customHeight="1">
      <c r="A41" s="38" t="inlineStr">
        <is>
          <t xml:space="preserve">结局</t>
        </is>
      </c>
      <c r="B41" s="39" t="inlineStr">
        <is>
          <t xml:space="preserve">物体</t>
        </is>
      </c>
      <c r="C41" s="39" t="inlineStr">
        <is>
          <t xml:space="preserve">One-Euro M</t>
        </is>
      </c>
      <c r="D41" s="39" t="inlineStr">
        <is>
          <t xml:space="preserve">EgoAnchor M</t>
        </is>
      </c>
      <c r="E41" s="39" t="inlineStr">
        <is>
          <t xml:space="preserve">差值</t>
        </is>
      </c>
      <c r="F41" s="39" t="inlineStr">
        <is>
          <t xml:space="preserve">方向</t>
        </is>
      </c>
      <c r="G41" s="40" t="inlineStr">
        <is>
          <t xml:space="preserve">备注</t>
        </is>
      </c>
      <c r="H41" s="39" t="n"/>
      <c r="I41" s="39" t="n"/>
      <c r="J41" s="39" t="n"/>
      <c r="K41" s="39" t="n"/>
      <c r="L41" s="39" t="n"/>
      <c r="M41" s="39" t="n"/>
      <c r="N41" s="126" t="n"/>
      <c r="O41" s="126" t="n"/>
      <c r="P41" s="126" t="n"/>
      <c r="Q41" s="126" t="n"/>
      <c r="R41" s="126" t="n"/>
      <c r="S41" s="127" t="n"/>
    </row>
    <row r="42" ht="24" customHeight="1">
      <c r="A42" s="65" t="inlineStr">
        <is>
          <t xml:space="preserve">Q1</t>
        </is>
      </c>
      <c r="B42" s="96" t="inlineStr">
        <is>
          <t xml:space="preserve">鼠标</t>
        </is>
      </c>
      <c r="C42" s="573" t="n">
        <v>4.375</v>
      </c>
      <c r="D42" s="573" t="n">
        <v>5</v>
      </c>
      <c r="E42" s="573" t="n">
        <v>0.625</v>
      </c>
      <c r="F42" s="302" t="str">
        <v>EgoAnchor↑</v>
      </c>
      <c r="G42" s="485" t="str">
        <v>n=24/方法；描述性</v>
      </c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</row>
    <row r="43" ht="24" customHeight="1">
      <c r="A43" s="65" t="inlineStr">
        <is>
          <t xml:space="preserve">Q1</t>
        </is>
      </c>
      <c r="B43" s="96" t="inlineStr">
        <is>
          <t xml:space="preserve">固定订书机</t>
        </is>
      </c>
      <c r="C43" s="573" t="n">
        <v>4.083333333333333</v>
      </c>
      <c r="D43" s="573" t="n">
        <v>5.166666666666667</v>
      </c>
      <c r="E43" s="573" t="n">
        <v>1.083333333333334</v>
      </c>
      <c r="F43" s="302" t="str">
        <v>EgoAnchor↑</v>
      </c>
      <c r="G43" s="485" t="str">
        <v>n=24/方法；描述性</v>
      </c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</row>
    <row r="44" ht="24" customHeight="1">
      <c r="A44" s="65" t="inlineStr">
        <is>
          <t xml:space="preserve">Q1</t>
        </is>
      </c>
      <c r="B44" s="96" t="inlineStr">
        <is>
          <t xml:space="preserve">游戏手柄</t>
        </is>
      </c>
      <c r="C44" s="573" t="n">
        <v>4.291666666666667</v>
      </c>
      <c r="D44" s="573" t="n">
        <v>5.416666666666667</v>
      </c>
      <c r="E44" s="573" t="n">
        <v>1.125</v>
      </c>
      <c r="F44" s="302" t="str">
        <v>EgoAnchor↑</v>
      </c>
      <c r="G44" s="485" t="str">
        <v>n=24/方法；描述性</v>
      </c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</row>
    <row r="45" ht="24" customHeight="1">
      <c r="A45" s="65" t="inlineStr">
        <is>
          <t xml:space="preserve">Q2</t>
        </is>
      </c>
      <c r="B45" s="96" t="inlineStr">
        <is>
          <t xml:space="preserve">鼠标</t>
        </is>
      </c>
      <c r="C45" s="573" t="n">
        <v>4.875</v>
      </c>
      <c r="D45" s="573" t="n">
        <v>5.041666666666667</v>
      </c>
      <c r="E45" s="573" t="n">
        <v>0.16666666666666696</v>
      </c>
      <c r="F45" s="302" t="str">
        <v>EgoAnchor↑</v>
      </c>
      <c r="G45" s="485" t="str">
        <v>n=24/方法；描述性</v>
      </c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</row>
    <row r="46" ht="24" customHeight="1">
      <c r="A46" s="65" t="inlineStr">
        <is>
          <t xml:space="preserve">Q2</t>
        </is>
      </c>
      <c r="B46" s="96" t="inlineStr">
        <is>
          <t xml:space="preserve">固定订书机</t>
        </is>
      </c>
      <c r="C46" s="573" t="n">
        <v>4.958333333333333</v>
      </c>
      <c r="D46" s="573" t="n">
        <v>4.916666666666667</v>
      </c>
      <c r="E46" s="573" t="n">
        <v>-0.041666666666666075</v>
      </c>
      <c r="F46" s="302" t="str">
        <v>近似相同</v>
      </c>
      <c r="G46" s="485" t="str">
        <v>n=24/方法；描述性</v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</row>
    <row r="47" ht="24" customHeight="1">
      <c r="A47" s="65" t="inlineStr">
        <is>
          <t xml:space="preserve">Q2</t>
        </is>
      </c>
      <c r="B47" s="96" t="inlineStr">
        <is>
          <t xml:space="preserve">游戏手柄</t>
        </is>
      </c>
      <c r="C47" s="573" t="n">
        <v>4.791666666666667</v>
      </c>
      <c r="D47" s="573" t="n">
        <v>5</v>
      </c>
      <c r="E47" s="573" t="n">
        <v>0.20833333333333304</v>
      </c>
      <c r="F47" s="302" t="str">
        <v>EgoAnchor↑</v>
      </c>
      <c r="G47" s="485" t="str">
        <v>n=24/方法；描述性</v>
      </c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</row>
    <row r="48" ht="24" customHeight="1">
      <c r="A48" s="65" t="inlineStr">
        <is>
          <t xml:space="preserve">Q9</t>
        </is>
      </c>
      <c r="B48" s="96" t="inlineStr">
        <is>
          <t xml:space="preserve">鼠标</t>
        </is>
      </c>
      <c r="C48" s="573" t="n">
        <v>4.708333333333333</v>
      </c>
      <c r="D48" s="573" t="n">
        <v>4.75</v>
      </c>
      <c r="E48" s="573" t="n">
        <v>0.04166666666666696</v>
      </c>
      <c r="F48" s="302" t="str">
        <v>近似相同</v>
      </c>
      <c r="G48" s="485" t="str">
        <v>n=24/方法；描述性</v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</row>
    <row r="49" ht="24" customHeight="1">
      <c r="A49" s="65" t="inlineStr">
        <is>
          <t xml:space="preserve">Q9</t>
        </is>
      </c>
      <c r="B49" s="96" t="inlineStr">
        <is>
          <t xml:space="preserve">固定订书机</t>
        </is>
      </c>
      <c r="C49" s="573" t="n">
        <v>5.208333333333333</v>
      </c>
      <c r="D49" s="573" t="n">
        <v>5.208333333333333</v>
      </c>
      <c r="E49" s="573" t="n">
        <v>0</v>
      </c>
      <c r="F49" s="302" t="str">
        <v>近似相同</v>
      </c>
      <c r="G49" s="485" t="str">
        <v>n=24/方法；描述性</v>
      </c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</row>
    <row r="50" ht="24" customHeight="1">
      <c r="A50" s="65" t="inlineStr">
        <is>
          <t xml:space="preserve">Q9</t>
        </is>
      </c>
      <c r="B50" s="96" t="inlineStr">
        <is>
          <t xml:space="preserve">游戏手柄</t>
        </is>
      </c>
      <c r="C50" s="573" t="n">
        <v>4.75</v>
      </c>
      <c r="D50" s="573" t="n">
        <v>5</v>
      </c>
      <c r="E50" s="573" t="n">
        <v>0.25</v>
      </c>
      <c r="F50" s="302" t="str">
        <v>EgoAnchor↑</v>
      </c>
      <c r="G50" s="485" t="str">
        <v>n=24/方法；描述性</v>
      </c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</row>
    <row r="51" ht="24" customHeight="1">
      <c r="A51" s="65" t="inlineStr">
        <is>
          <t xml:space="preserve">Q10_OPT</t>
        </is>
      </c>
      <c r="B51" s="96" t="inlineStr">
        <is>
          <t xml:space="preserve">鼠标</t>
        </is>
      </c>
      <c r="C51" s="573"/>
      <c r="D51" s="573"/>
      <c r="E51" s="573"/>
      <c r="F51" s="302" t="str">
        <v>未启用</v>
      </c>
      <c r="G51" s="485" t="str">
        <v>Q10 默认停用</v>
      </c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</row>
    <row r="52" ht="24" customHeight="1">
      <c r="A52" s="65" t="inlineStr">
        <is>
          <t xml:space="preserve">Q10_OPT</t>
        </is>
      </c>
      <c r="B52" s="96" t="inlineStr">
        <is>
          <t xml:space="preserve">固定订书机</t>
        </is>
      </c>
      <c r="C52" s="573"/>
      <c r="D52" s="573"/>
      <c r="E52" s="573"/>
      <c r="F52" s="302" t="str">
        <v>未启用</v>
      </c>
      <c r="G52" s="485" t="str">
        <v>Q10 默认停用</v>
      </c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 ht="24" customHeight="1">
      <c r="A53" s="65" t="inlineStr">
        <is>
          <t xml:space="preserve">Q10_OPT</t>
        </is>
      </c>
      <c r="B53" s="96" t="inlineStr">
        <is>
          <t xml:space="preserve">游戏手柄</t>
        </is>
      </c>
      <c r="C53" s="573"/>
      <c r="D53" s="573"/>
      <c r="E53" s="573"/>
      <c r="F53" s="302" t="str">
        <v>未启用</v>
      </c>
      <c r="G53" s="485" t="str">
        <v>Q10 默认停用</v>
      </c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</row>
    <row r="54" ht="24" customHeight="1">
      <c r="A54" s="65" t="inlineStr">
        <is>
          <t xml:space="preserve">Q3</t>
        </is>
      </c>
      <c r="B54" s="96" t="inlineStr">
        <is>
          <t xml:space="preserve">鼠标</t>
        </is>
      </c>
      <c r="C54" s="573" t="n">
        <v>4.333333333333333</v>
      </c>
      <c r="D54" s="573" t="n">
        <v>4.875</v>
      </c>
      <c r="E54" s="573" t="n">
        <v>0.541666666666667</v>
      </c>
      <c r="F54" s="302" t="str">
        <v>EgoAnchor↑</v>
      </c>
      <c r="G54" s="485" t="str">
        <v>n=24/方法；描述性</v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</row>
    <row r="55" ht="24" customHeight="1">
      <c r="A55" s="65" t="inlineStr">
        <is>
          <t xml:space="preserve">Q3</t>
        </is>
      </c>
      <c r="B55" s="96" t="inlineStr">
        <is>
          <t xml:space="preserve">固定订书机</t>
        </is>
      </c>
      <c r="C55" s="573" t="n">
        <v>4.125</v>
      </c>
      <c r="D55" s="573" t="n">
        <v>5.166666666666667</v>
      </c>
      <c r="E55" s="573" t="n">
        <v>1.041666666666667</v>
      </c>
      <c r="F55" s="302" t="str">
        <v>EgoAnchor↑</v>
      </c>
      <c r="G55" s="485" t="str">
        <v>n=24/方法；描述性</v>
      </c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</row>
    <row r="56" ht="24" customHeight="1">
      <c r="A56" s="65" t="inlineStr">
        <is>
          <t xml:space="preserve">Q3</t>
        </is>
      </c>
      <c r="B56" s="96" t="inlineStr">
        <is>
          <t xml:space="preserve">游戏手柄</t>
        </is>
      </c>
      <c r="C56" s="573" t="n">
        <v>4</v>
      </c>
      <c r="D56" s="573" t="n">
        <v>4.833333333333333</v>
      </c>
      <c r="E56" s="573" t="n">
        <v>0.833333333333333</v>
      </c>
      <c r="F56" s="302" t="str">
        <v>EgoAnchor↑</v>
      </c>
      <c r="G56" s="485" t="str">
        <v>n=24/方法；描述性</v>
      </c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</row>
    <row r="57" ht="24" customHeight="1">
      <c r="A57" s="65" t="inlineStr">
        <is>
          <t xml:space="preserve">Q8</t>
        </is>
      </c>
      <c r="B57" s="96" t="inlineStr">
        <is>
          <t xml:space="preserve">鼠标</t>
        </is>
      </c>
      <c r="C57" s="573" t="n">
        <v>4.5</v>
      </c>
      <c r="D57" s="573" t="n">
        <v>5</v>
      </c>
      <c r="E57" s="573" t="n">
        <v>0.5</v>
      </c>
      <c r="F57" s="302" t="str">
        <v>EgoAnchor↑</v>
      </c>
      <c r="G57" s="485" t="str">
        <v>n=24/方法；描述性</v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</row>
    <row r="58" ht="24" customHeight="1">
      <c r="A58" s="65" t="inlineStr">
        <is>
          <t xml:space="preserve">Q8</t>
        </is>
      </c>
      <c r="B58" s="96" t="inlineStr">
        <is>
          <t xml:space="preserve">固定订书机</t>
        </is>
      </c>
      <c r="C58" s="573" t="n">
        <v>4.583333333333333</v>
      </c>
      <c r="D58" s="573" t="n">
        <v>5.291666666666667</v>
      </c>
      <c r="E58" s="573" t="n">
        <v>0.7083333333333339</v>
      </c>
      <c r="F58" s="302" t="str">
        <v>EgoAnchor↑</v>
      </c>
      <c r="G58" s="485" t="str">
        <v>n=24/方法；描述性</v>
      </c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</row>
    <row r="59" ht="24" customHeight="1">
      <c r="A59" s="65" t="inlineStr">
        <is>
          <t xml:space="preserve">Q8</t>
        </is>
      </c>
      <c r="B59" s="96" t="inlineStr">
        <is>
          <t xml:space="preserve">游戏手柄</t>
        </is>
      </c>
      <c r="C59" s="573" t="n">
        <v>4.333333333333333</v>
      </c>
      <c r="D59" s="573" t="n">
        <v>5.208333333333333</v>
      </c>
      <c r="E59" s="573" t="n">
        <v>0.875</v>
      </c>
      <c r="F59" s="302" t="str">
        <v>EgoAnchor↑</v>
      </c>
      <c r="G59" s="485" t="str">
        <v>n=24/方法；描述性</v>
      </c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</row>
    <row r="60" ht="24" customHeight="1">
      <c r="A60" s="65" t="inlineStr">
        <is>
          <t xml:space="preserve">Q6</t>
        </is>
      </c>
      <c r="B60" s="96" t="inlineStr">
        <is>
          <t xml:space="preserve">鼠标</t>
        </is>
      </c>
      <c r="C60" s="573" t="n">
        <v>4.208333333333333</v>
      </c>
      <c r="D60" s="573" t="n">
        <v>4.708333333333333</v>
      </c>
      <c r="E60" s="573" t="n">
        <v>0.5</v>
      </c>
      <c r="F60" s="302" t="str">
        <v>EgoAnchor↑</v>
      </c>
      <c r="G60" s="485" t="str">
        <v>n=24/方法；描述性</v>
      </c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</row>
    <row r="61" ht="24" customHeight="1">
      <c r="A61" s="65" t="inlineStr">
        <is>
          <t xml:space="preserve">Q6</t>
        </is>
      </c>
      <c r="B61" s="96" t="inlineStr">
        <is>
          <t xml:space="preserve">固定订书机</t>
        </is>
      </c>
      <c r="C61" s="573" t="n">
        <v>4.291666666666667</v>
      </c>
      <c r="D61" s="573" t="n">
        <v>5</v>
      </c>
      <c r="E61" s="573" t="n">
        <v>0.708333333333333</v>
      </c>
      <c r="F61" s="302" t="str">
        <v>EgoAnchor↑</v>
      </c>
      <c r="G61" s="485" t="str">
        <v>n=24/方法；描述性</v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</row>
    <row r="62" ht="24" customHeight="1">
      <c r="A62" s="65" t="inlineStr">
        <is>
          <t xml:space="preserve">Q6</t>
        </is>
      </c>
      <c r="B62" s="96" t="inlineStr">
        <is>
          <t xml:space="preserve">游戏手柄</t>
        </is>
      </c>
      <c r="C62" s="573" t="n">
        <v>3.9583333333333335</v>
      </c>
      <c r="D62" s="573" t="n">
        <v>4.958333333333333</v>
      </c>
      <c r="E62" s="573" t="n">
        <v>0.9999999999999996</v>
      </c>
      <c r="F62" s="302" t="str">
        <v>EgoAnchor↑</v>
      </c>
      <c r="G62" s="485" t="str">
        <v>n=24/方法；描述性</v>
      </c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</row>
    <row r="63" ht="24" customHeight="1">
      <c r="A63" s="65" t="inlineStr">
        <is>
          <t xml:space="preserve">Q7</t>
        </is>
      </c>
      <c r="B63" s="96" t="inlineStr">
        <is>
          <t xml:space="preserve">鼠标</t>
        </is>
      </c>
      <c r="C63" s="573" t="n">
        <v>4.666666666666667</v>
      </c>
      <c r="D63" s="573" t="n">
        <v>4.791666666666667</v>
      </c>
      <c r="E63" s="573" t="n">
        <v>0.125</v>
      </c>
      <c r="F63" s="302" t="str">
        <v>EgoAnchor↑</v>
      </c>
      <c r="G63" s="485" t="str">
        <v>n=24/方法；描述性</v>
      </c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</row>
    <row r="64" ht="24" customHeight="1">
      <c r="A64" s="65" t="inlineStr">
        <is>
          <t xml:space="preserve">Q7</t>
        </is>
      </c>
      <c r="B64" s="96" t="inlineStr">
        <is>
          <t xml:space="preserve">固定订书机</t>
        </is>
      </c>
      <c r="C64" s="573" t="n">
        <v>4.5</v>
      </c>
      <c r="D64" s="573" t="n">
        <v>4.791666666666667</v>
      </c>
      <c r="E64" s="573" t="n">
        <v>0.29166666666666696</v>
      </c>
      <c r="F64" s="302" t="str">
        <v>EgoAnchor↑</v>
      </c>
      <c r="G64" s="485" t="str">
        <v>n=24/方法；描述性</v>
      </c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</row>
    <row r="65" ht="24" customHeight="1">
      <c r="A65" s="65" t="inlineStr">
        <is>
          <t xml:space="preserve">Q7</t>
        </is>
      </c>
      <c r="B65" s="96" t="inlineStr">
        <is>
          <t xml:space="preserve">游戏手柄</t>
        </is>
      </c>
      <c r="C65" s="573" t="n">
        <v>4.125</v>
      </c>
      <c r="D65" s="573" t="n">
        <v>5.125</v>
      </c>
      <c r="E65" s="573" t="n">
        <v>1</v>
      </c>
      <c r="F65" s="302" t="str">
        <v>EgoAnchor↑</v>
      </c>
      <c r="G65" s="485" t="str">
        <v>n=24/方法；描述性</v>
      </c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</row>
    <row r="66" ht="24" customHeight="1">
      <c r="A66" s="65" t="inlineStr">
        <is>
          <t xml:space="preserve">AQ-EQ</t>
        </is>
      </c>
      <c r="B66" s="96" t="inlineStr">
        <is>
          <t xml:space="preserve">鼠标</t>
        </is>
      </c>
      <c r="C66" s="573" t="n">
        <v>4.611111111111111</v>
      </c>
      <c r="D66" s="573" t="n">
        <v>4.986111111111111</v>
      </c>
      <c r="E66" s="573" t="n">
        <v>0.375</v>
      </c>
      <c r="F66" s="302" t="str">
        <v>EgoAnchor↑</v>
      </c>
      <c r="G66" s="485" t="str">
        <v>n=24/方法；描述性</v>
      </c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</row>
    <row r="67" ht="24" customHeight="1">
      <c r="A67" s="65" t="inlineStr">
        <is>
          <t xml:space="preserve">AQ-EQ</t>
        </is>
      </c>
      <c r="B67" s="96" t="inlineStr">
        <is>
          <t xml:space="preserve">固定订书机</t>
        </is>
      </c>
      <c r="C67" s="573" t="n">
        <v>4.847222222222221</v>
      </c>
      <c r="D67" s="573" t="n">
        <v>5.166666666666667</v>
      </c>
      <c r="E67" s="573" t="n">
        <v>0.31944444444444553</v>
      </c>
      <c r="F67" s="302" t="str">
        <v>EgoAnchor↑</v>
      </c>
      <c r="G67" s="485" t="str">
        <v>n=24/方法；描述性</v>
      </c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</row>
    <row r="68" ht="24" customHeight="1">
      <c r="A68" s="65" t="inlineStr">
        <is>
          <t xml:space="preserve">AQ-EQ</t>
        </is>
      </c>
      <c r="B68" s="96" t="inlineStr">
        <is>
          <t xml:space="preserve">游戏手柄</t>
        </is>
      </c>
      <c r="C68" s="573" t="n">
        <v>4.638888888888889</v>
      </c>
      <c r="D68" s="573" t="n">
        <v>4.972222222222222</v>
      </c>
      <c r="E68" s="573" t="n">
        <v>0.33333333333333304</v>
      </c>
      <c r="F68" s="302" t="str">
        <v>EgoAnchor↑</v>
      </c>
      <c r="G68" s="485" t="str">
        <v>n=24/方法；描述性</v>
      </c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</row>
    <row r="69" ht="24" customHeight="1">
      <c r="A69" s="65" t="inlineStr">
        <is>
          <t xml:space="preserve">AQ-IQ</t>
        </is>
      </c>
      <c r="B69" s="96" t="inlineStr">
        <is>
          <t xml:space="preserve">鼠标</t>
        </is>
      </c>
      <c r="C69" s="573" t="n">
        <v>4.958333333333333</v>
      </c>
      <c r="D69" s="573" t="n">
        <v>4.888888888888888</v>
      </c>
      <c r="E69" s="573" t="n">
        <v>-0.06944444444444464</v>
      </c>
      <c r="F69" s="302" t="str">
        <v>One-Euro↑</v>
      </c>
      <c r="G69" s="485" t="str">
        <v>n=24/方法；描述性</v>
      </c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</row>
    <row r="70" ht="24" customHeight="1">
      <c r="A70" s="65" t="inlineStr">
        <is>
          <t xml:space="preserve">AQ-IQ</t>
        </is>
      </c>
      <c r="B70" s="96" t="inlineStr">
        <is>
          <t xml:space="preserve">固定订书机</t>
        </is>
      </c>
      <c r="C70" s="573" t="n">
        <v>4.833333333333333</v>
      </c>
      <c r="D70" s="573" t="n">
        <v>4.986111111111111</v>
      </c>
      <c r="E70" s="573" t="n">
        <v>0.15277777777777768</v>
      </c>
      <c r="F70" s="302" t="str">
        <v>EgoAnchor↑</v>
      </c>
      <c r="G70" s="485" t="str">
        <v>n=24/方法；描述性</v>
      </c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</row>
    <row r="71" ht="24" customHeight="1">
      <c r="A71" s="65" t="inlineStr">
        <is>
          <t xml:space="preserve">AQ-IQ</t>
        </is>
      </c>
      <c r="B71" s="96" t="inlineStr">
        <is>
          <t xml:space="preserve">游戏手柄</t>
        </is>
      </c>
      <c r="C71" s="573" t="n">
        <v>4.888888888888889</v>
      </c>
      <c r="D71" s="573" t="n">
        <v>4.972222222222222</v>
      </c>
      <c r="E71" s="573" t="n">
        <v>0.08333333333333304</v>
      </c>
      <c r="F71" s="302" t="str">
        <v>EgoAnchor↑</v>
      </c>
      <c r="G71" s="485" t="str">
        <v>n=24/方法；描述性</v>
      </c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</row>
    <row r="72" ht="24" customHeight="1">
      <c r="A72" s="65" t="n"/>
      <c r="B72" s="96" t="n"/>
      <c r="C72" s="302" t="n"/>
      <c r="D72" s="302" t="n"/>
      <c r="E72" s="302" t="n"/>
      <c r="F72" s="302" t="n"/>
      <c r="G72" s="308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</row>
    <row r="73" ht="24" customHeight="1">
      <c r="A73" s="318" t="inlineStr">
        <is>
          <t xml:space="preserve">E. 操纵检验（等价界在预实验前冻结后填入；用 TOST，不以“不显著”代替等价）</t>
        </is>
      </c>
      <c r="B73" s="304" t="n"/>
      <c r="C73" s="306" t="n"/>
      <c r="D73" s="306" t="n"/>
      <c r="E73" s="306" t="n"/>
      <c r="F73" s="306" t="n"/>
      <c r="G73" s="319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2" t="n"/>
      <c r="Q73" s="12" t="n"/>
      <c r="R73" s="12" t="n"/>
      <c r="S73" s="12" t="n"/>
    </row>
    <row r="74" ht="24" customHeight="1">
      <c r="A74" s="318" t="inlineStr">
        <is>
          <t xml:space="preserve">检验项</t>
        </is>
      </c>
      <c r="B74" s="304" t="inlineStr">
        <is>
          <t xml:space="preserve">One-Euro</t>
        </is>
      </c>
      <c r="C74" s="306" t="inlineStr">
        <is>
          <t xml:space="preserve">EgoAnchor</t>
        </is>
      </c>
      <c r="D74" s="306" t="inlineStr">
        <is>
          <t xml:space="preserve">差值/分布</t>
        </is>
      </c>
      <c r="E74" s="306" t="inlineStr">
        <is>
          <t xml:space="preserve">等价界(冻结)</t>
        </is>
      </c>
      <c r="F74" s="306" t="inlineStr">
        <is>
          <t xml:space="preserve">TOST_p</t>
        </is>
      </c>
      <c r="G74" s="319" t="inlineStr">
        <is>
          <t xml:space="preserve">判定</t>
        </is>
      </c>
      <c r="H74" s="11" t="inlineStr">
        <is>
          <t xml:space="preserve">备注</t>
        </is>
      </c>
      <c r="I74" s="11" t="n"/>
      <c r="J74" s="11" t="n"/>
      <c r="K74" s="11" t="n"/>
      <c r="L74" s="11" t="n"/>
      <c r="M74" s="11" t="n"/>
      <c r="N74" s="12" t="n"/>
      <c r="O74" s="12" t="n"/>
      <c r="P74" s="12" t="n"/>
      <c r="Q74" s="12" t="n"/>
      <c r="R74" s="12" t="n"/>
      <c r="S74" s="12" t="n"/>
    </row>
    <row r="75" ht="24" customHeight="1">
      <c r="A75" s="65" t="inlineStr">
        <is>
          <t xml:space="preserve">候选到达率 Hz</t>
        </is>
      </c>
      <c r="B75" s="379" t="str">
        <v>12.85 ± 0.58</v>
      </c>
      <c r="C75" s="482" t="str">
        <v>12.86 ± 0.48</v>
      </c>
      <c r="D75" s="482" t="str">
        <v>+0.007</v>
      </c>
      <c r="E75" s="482" t="str">
        <v>未提供</v>
      </c>
      <c r="F75" s="482" t="str">
        <v>NA</v>
      </c>
      <c r="G75" s="485" t="str">
        <v>仅描述</v>
      </c>
      <c r="H75" s="340" t="str">
        <v>未提供预冻结方法差等价界，不宣称等价</v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</row>
    <row r="76" ht="24" customHeight="1">
      <c r="A76" s="66" t="inlineStr">
        <is>
          <t xml:space="preserve">VCD 分数中位</t>
        </is>
      </c>
      <c r="B76" s="427" t="str">
        <v>0.785 ± 0.040</v>
      </c>
      <c r="C76" s="486" t="str">
        <v>0.798 ± 0.033</v>
      </c>
      <c r="D76" s="486" t="str">
        <v>+0.013</v>
      </c>
      <c r="E76" s="486" t="str">
        <v>未提供</v>
      </c>
      <c r="F76" s="486" t="str">
        <v>NA</v>
      </c>
      <c r="G76" s="487" t="str">
        <v>仅描述</v>
      </c>
      <c r="H76" s="340" t="str">
        <v>未提供预冻结方法差等价界，不宣称等价</v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2" t="inlineStr">
        <is>
          <t xml:space="preserve">VCD 接纳率</t>
        </is>
      </c>
      <c r="B77" s="340" t="str">
        <v>88.6 ± 2.9%</v>
      </c>
      <c r="C77" s="340" t="str">
        <v>88.2 ± 2.9%</v>
      </c>
      <c r="D77" s="340" t="str">
        <v>-0.41 pp</v>
      </c>
      <c r="E77" s="340" t="str">
        <v>未提供</v>
      </c>
      <c r="F77" s="340" t="str">
        <v>NA</v>
      </c>
      <c r="G77" s="340" t="str">
        <v>仅描述</v>
      </c>
      <c r="H77" s="340" t="str">
        <v>未提供预冻结方法差等价界，不宣称等价</v>
      </c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</row>
    <row r="78" ht="30" customHeight="1">
      <c r="A78" s="121" t="inlineStr">
        <is>
          <t xml:space="preserve">输出可用率</t>
        </is>
      </c>
      <c r="B78" s="517" t="str">
        <v>99.1 ± 0.6%</v>
      </c>
      <c r="C78" s="517" t="str">
        <v>99.1 ± 0.5%</v>
      </c>
      <c r="D78" s="517" t="str">
        <v>-0.04 pp</v>
      </c>
      <c r="E78" s="517" t="str">
        <v>未提供</v>
      </c>
      <c r="F78" s="517" t="str">
        <v>NA</v>
      </c>
      <c r="G78" s="517" t="str">
        <v>仅描述</v>
      </c>
      <c r="H78" s="517" t="str">
        <v>未提供预冻结方法差等价界，不宣称等价</v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 ht="38" customHeight="1">
      <c r="A79" s="299" t="inlineStr">
        <is>
          <t xml:space="preserve">遮挡时长 s</t>
        </is>
      </c>
      <c r="B79" s="396" t="str">
        <v>0.759 ± 0.037</v>
      </c>
      <c r="C79" s="396" t="str">
        <v>0.757 ± 0.034</v>
      </c>
      <c r="D79" s="396" t="str">
        <v>-0.002</v>
      </c>
      <c r="E79" s="396" t="str">
        <v>未提供</v>
      </c>
      <c r="F79" s="396" t="str">
        <v>NA</v>
      </c>
      <c r="G79" s="396" t="str">
        <v>仅描述</v>
      </c>
      <c r="H79" s="397" t="str">
        <v>未提供预冻结方法差等价界，不宣称等价</v>
      </c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7" t="n"/>
    </row>
    <row r="80" ht="26" customHeight="1">
      <c r="A80" s="65" t="inlineStr">
        <is>
          <t xml:space="preserve">FrozenUncertain 事件占比</t>
        </is>
      </c>
      <c r="B80" s="482" t="str">
        <v>72/72 (100.0%)</v>
      </c>
      <c r="C80" s="482" t="str">
        <v>72/72 (100.0%)</v>
      </c>
      <c r="D80" s="482" t="str">
        <v>+0.0 pp</v>
      </c>
      <c r="E80" s="482" t="str">
        <v>未提供</v>
      </c>
      <c r="F80" s="482" t="str">
        <v>NA</v>
      </c>
      <c r="G80" s="482" t="str">
        <v>仅描述</v>
      </c>
      <c r="H80" s="485" t="str">
        <v>须为多数</v>
      </c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</row>
    <row r="81" ht="26" customHeight="1">
      <c r="A81" s="65" t="inlineStr">
        <is>
          <t xml:space="preserve">Lost 事件占比</t>
        </is>
      </c>
      <c r="B81" s="482" t="str">
        <v>0/72 (0.0%)</v>
      </c>
      <c r="C81" s="482" t="str">
        <v>0/72 (0.0%)</v>
      </c>
      <c r="D81" s="482" t="str">
        <v>+0.0 pp</v>
      </c>
      <c r="E81" s="482" t="str">
        <v>未提供</v>
      </c>
      <c r="F81" s="482" t="str">
        <v>NA</v>
      </c>
      <c r="G81" s="482" t="str">
        <v>仅描述</v>
      </c>
      <c r="H81" s="485" t="str">
        <v>方法间平衡</v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</row>
    <row r="82" ht="26" customHeight="1">
      <c r="A82" s="66" t="inlineStr">
        <is>
          <t xml:space="preserve">服务器重获取次数</t>
        </is>
      </c>
      <c r="B82" s="486" t="str">
        <v>总计 61; 1.0 [1.0, 1.0]</v>
      </c>
      <c r="C82" s="486" t="str">
        <v>总计 62; 1.0 [1.0, 1.0]</v>
      </c>
      <c r="D82" s="486" t="str">
        <v>+1 次</v>
      </c>
      <c r="E82" s="486" t="str">
        <v>未提供</v>
      </c>
      <c r="F82" s="486" t="str">
        <v>NA</v>
      </c>
      <c r="G82" s="486" t="str">
        <v>仅描述</v>
      </c>
      <c r="H82" s="487" t="str">
        <v>描述性</v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</row>
    <row r="83" ht="26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</row>
    <row r="84" ht="26" customHeight="1">
      <c r="A84" s="73" t="inlineStr">
        <is>
          <t xml:space="preserve">F. 最终测量计数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26" customHeight="1">
      <c r="A85" s="38" t="inlineStr">
        <is>
          <t xml:space="preserve">测量</t>
        </is>
      </c>
      <c r="B85" s="39" t="inlineStr">
        <is>
          <t xml:space="preserve">方法A/先应</t>
        </is>
      </c>
      <c r="C85" s="39" t="inlineStr">
        <is>
          <t xml:space="preserve">方法B/后应</t>
        </is>
      </c>
      <c r="D85" s="39" t="inlineStr">
        <is>
          <t xml:space="preserve">无明显偏好/NA</t>
        </is>
      </c>
      <c r="E85" s="39" t="inlineStr">
        <is>
          <t xml:space="preserve">解码后 EgoAnchor</t>
        </is>
      </c>
      <c r="F85" s="39" t="inlineStr">
        <is>
          <t xml:space="preserve">解码后 One-Euro</t>
        </is>
      </c>
      <c r="G85" s="40" t="inlineStr">
        <is>
          <t xml:space="preserve">备注</t>
        </is>
      </c>
      <c r="H85" s="39" t="n"/>
      <c r="I85" s="39" t="n"/>
      <c r="J85" s="39" t="n"/>
      <c r="K85" s="39" t="n"/>
      <c r="L85" s="39" t="n"/>
      <c r="M85" s="39" t="n"/>
      <c r="N85" s="126" t="n"/>
      <c r="O85" s="126" t="n"/>
      <c r="P85" s="126" t="n"/>
      <c r="Q85" s="126" t="n"/>
      <c r="R85" s="126" t="n"/>
      <c r="S85" s="127" t="n"/>
    </row>
    <row r="86" ht="26" customHeight="1">
      <c r="A86" s="65" t="inlineStr">
        <is>
          <t xml:space="preserve">方法选择</t>
        </is>
      </c>
      <c r="B86" s="302" t="inlineStr">
        <is>
          <t xml:space="preserve"/>
        </is>
      </c>
      <c r="C86" s="302" t="inlineStr">
        <is>
          <t xml:space="preserve"/>
        </is>
      </c>
      <c r="D86" s="302" t="inlineStr">
        <is>
          <t xml:space="preserve"/>
        </is>
      </c>
      <c r="E86" s="302" t="inlineStr">
        <is>
          <t xml:space="preserve"/>
        </is>
      </c>
      <c r="F86" s="302" t="inlineStr">
        <is>
          <t xml:space="preserve"/>
        </is>
      </c>
      <c r="G86" s="308" t="inlineStr">
        <is>
          <t xml:space="preserve"/>
        </is>
      </c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</row>
    <row r="87" ht="26" customHeight="1">
      <c r="A87" s="65" t="inlineStr">
        <is>
          <t xml:space="preserve">信任选择</t>
        </is>
      </c>
      <c r="B87" s="302" t="n">
        <v>9</v>
      </c>
      <c r="C87" s="302" t="n">
        <v>10</v>
      </c>
      <c r="D87" s="302" t="n">
        <v>5</v>
      </c>
      <c r="E87" s="302" t="n">
        <v>15</v>
      </c>
      <c r="F87" s="302" t="n">
        <v>4</v>
      </c>
      <c r="G87" s="308" t="str">
        <v>标签计数与离场后解码计数</v>
      </c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</row>
    <row r="88" ht="26" customHeight="1">
      <c r="A88" s="65" t="inlineStr">
        <is>
          <t xml:space="preserve">偏好强度分布(1-7)</t>
        </is>
      </c>
      <c r="B88" s="302" t="n">
        <v>10</v>
      </c>
      <c r="C88" s="302" t="n">
        <v>9</v>
      </c>
      <c r="D88" s="302" t="n">
        <v>5</v>
      </c>
      <c r="E88" s="302" t="n">
        <v>18</v>
      </c>
      <c r="F88" s="302" t="n">
        <v>1</v>
      </c>
      <c r="G88" s="308" t="str">
        <v>标签计数与离场后解码计数</v>
      </c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</row>
    <row r="89" ht="26" customHeight="1">
      <c r="A89" s="65" t="inlineStr">
        <is>
          <t xml:space="preserve">区分信心分布(1-7)</t>
        </is>
      </c>
      <c r="B89" s="302" t="str">
        <v>1:0; 2:2; 3:4; 4:4; 5:6; 6:3; 7:0</v>
      </c>
      <c r="C89" s="302"/>
      <c r="D89" s="302" t="str">
        <v>NA=5</v>
      </c>
      <c r="E89" s="302"/>
      <c r="F89" s="302"/>
      <c r="G89" s="308" t="str">
        <v>仅 19 名作出方向性偏好的参与者填写</v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</row>
    <row r="90" ht="26" customHeight="1">
      <c r="A90" s="66" t="inlineStr">
        <is>
          <t xml:space="preserve">偏好×信任不一致人数</t>
        </is>
      </c>
      <c r="B90" s="309" t="str">
        <v>1:0; 2:1; 3:0; 4:2; 5:5; 6:9; 7:7</v>
      </c>
      <c r="C90" s="309"/>
      <c r="D90" s="309"/>
      <c r="E90" s="309"/>
      <c r="F90" s="309"/>
      <c r="G90" s="310" t="str">
        <v>1–7 分；所有参与者填写</v>
      </c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</row>
    <row r="91">
      <c r="A91" s="12" t="inlineStr">
        <is>
          <t xml:space="preserve">结束不适分布</t>
        </is>
      </c>
      <c r="B91" s="12" t="n">
        <v>7</v>
      </c>
      <c r="C91" s="12"/>
      <c r="D91" s="12"/>
      <c r="E91" s="12"/>
      <c r="F91" s="12"/>
      <c r="G91" s="12" t="str">
        <v>含偏好/信任中的无明显选择；严格相反方法=1 人</v>
      </c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</row>
    <row r="92" ht="30" customHeight="1">
      <c r="A92" s="121" t="n"/>
      <c r="B92" s="3" t="str">
        <v>无:20</v>
      </c>
      <c r="C92" s="3" t="str">
        <v>轻微:2</v>
      </c>
      <c r="D92" s="3" t="str">
        <v>中等:2</v>
      </c>
      <c r="E92" s="3"/>
      <c r="F92" s="3"/>
      <c r="G92" s="3" t="str">
        <v>无严重不适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38" customHeight="1">
      <c r="A93" s="38" t="inlineStr">
        <is>
          <t xml:space="preserve">G. 开放题双编码工作区（0/1 编码；两名编码者独立后讨论分歧；允许新增主题记入 Other）</t>
        </is>
      </c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126" t="n"/>
      <c r="O93" s="126" t="n"/>
      <c r="P93" s="126" t="n"/>
      <c r="Q93" s="126" t="n"/>
      <c r="R93" s="126" t="n"/>
      <c r="S93" s="127" t="n"/>
    </row>
    <row r="94" ht="30" customHeight="1">
      <c r="A94" s="318" t="inlineStr">
        <is>
          <t xml:space="preserve">Participant_ID</t>
        </is>
      </c>
      <c r="B94" s="306" t="inlineStr">
        <is>
          <t xml:space="preserve">最明显区别(原文摘录)</t>
        </is>
      </c>
      <c r="C94" s="306" t="inlineStr">
        <is>
          <t xml:space="preserve">破坏信任(原文摘录)</t>
        </is>
      </c>
      <c r="D94" s="306" t="inlineStr">
        <is>
          <t xml:space="preserve">Stationary_Jitter</t>
        </is>
      </c>
      <c r="E94" s="306" t="inlineStr">
        <is>
          <t xml:space="preserve">Viewpoint_Drift</t>
        </is>
      </c>
      <c r="F94" s="306" t="inlineStr">
        <is>
          <t xml:space="preserve">Absolute_Offset</t>
        </is>
      </c>
      <c r="G94" s="306" t="inlineStr">
        <is>
          <t xml:space="preserve">Motion_Lag</t>
        </is>
      </c>
      <c r="H94" s="306" t="inlineStr">
        <is>
          <t xml:space="preserve">Motion_Sliding</t>
        </is>
      </c>
      <c r="I94" s="306" t="inlineStr">
        <is>
          <t xml:space="preserve">Orientation_Mismatch</t>
        </is>
      </c>
      <c r="J94" s="306" t="inlineStr">
        <is>
          <t xml:space="preserve">PostPlacement_Settling</t>
        </is>
      </c>
      <c r="K94" s="306" t="inlineStr">
        <is>
          <t xml:space="preserve">Recovery_Jump</t>
        </is>
      </c>
      <c r="L94" s="306" t="inlineStr">
        <is>
          <t xml:space="preserve">Wrong_Recovery</t>
        </is>
      </c>
      <c r="M94" s="306" t="inlineStr">
        <is>
          <t xml:space="preserve">Predictability</t>
        </is>
      </c>
      <c r="N94" s="306" t="inlineStr">
        <is>
          <t xml:space="preserve">Embedding_Blending</t>
        </is>
      </c>
      <c r="O94" s="306" t="inlineStr">
        <is>
          <t xml:space="preserve">No_Noticeable_Difference</t>
        </is>
      </c>
      <c r="P94" s="306" t="inlineStr">
        <is>
          <t xml:space="preserve">Other</t>
        </is>
      </c>
      <c r="Q94" s="306" t="inlineStr">
        <is>
          <t xml:space="preserve">Coder1</t>
        </is>
      </c>
      <c r="R94" s="306" t="inlineStr">
        <is>
          <t xml:space="preserve">Coder2</t>
        </is>
      </c>
      <c r="S94" s="319" t="inlineStr">
        <is>
          <t xml:space="preserve">分歧备注</t>
        </is>
      </c>
    </row>
    <row r="95" ht="30" customHeight="1">
      <c r="A95" s="65" t="inlineStr">
        <is>
          <t xml:space="preserve">P001</t>
        </is>
      </c>
      <c r="B95" s="482" t="str">
        <v>一种方法静止和恢复时更稳，另一种移动时更跟手；不同物体上的差异不完全一致，所以我没有明显偏好。</v>
      </c>
      <c r="C95" s="482" t="str">
        <v>物体静止时虚拟内容持续抖动，随着我移动头部还会漂移。</v>
      </c>
      <c r="D95" s="577" t="n">
        <v>1</v>
      </c>
      <c r="E95" s="577" t="n">
        <v>1</v>
      </c>
      <c r="F95" s="577" t="n">
        <v>0</v>
      </c>
      <c r="G95" s="577" t="n">
        <v>1</v>
      </c>
      <c r="H95" s="577" t="n">
        <v>0</v>
      </c>
      <c r="I95" s="577" t="n">
        <v>0</v>
      </c>
      <c r="J95" s="577" t="n">
        <v>0</v>
      </c>
      <c r="K95" s="577" t="n">
        <v>1</v>
      </c>
      <c r="L95" s="577" t="n">
        <v>0</v>
      </c>
      <c r="M95" s="577" t="n">
        <v>0</v>
      </c>
      <c r="N95" s="577" t="n">
        <v>0</v>
      </c>
      <c r="O95" s="577" t="n">
        <v>0</v>
      </c>
      <c r="P95" s="577" t="n">
        <v>0</v>
      </c>
      <c r="Q95" s="482" t="str">
        <v>Recovery_Jump, Stationary_Jitter, Viewpoint_Drift</v>
      </c>
      <c r="R95" s="482" t="str">
        <v>Motion_Lag, Stationary_Jitter, Viewpoint_Drift</v>
      </c>
      <c r="S95" s="485" t="str">
        <v>讨论后取有文本依据的并集；分歧：Motion_Lag, Recovery_Jump</v>
      </c>
    </row>
    <row r="96" ht="30" customHeight="1">
      <c r="A96" s="65" t="inlineStr">
        <is>
          <t xml:space="preserve">P002</t>
        </is>
      </c>
      <c r="B96" s="482" t="str">
        <v>方法A在静止观察和遮挡恢复后更稳，虚拟内容更像固定在物体上；另一种移动时略显轻快，但偶尔会抖或滑动。</v>
      </c>
      <c r="C96" s="482" t="str">
        <v>物体静止时虚拟内容持续抖动，随着我移动头部还会漂移。</v>
      </c>
      <c r="D96" s="577" t="n">
        <v>1</v>
      </c>
      <c r="E96" s="577" t="n">
        <v>1</v>
      </c>
      <c r="F96" s="577" t="n">
        <v>0</v>
      </c>
      <c r="G96" s="577" t="n">
        <v>0</v>
      </c>
      <c r="H96" s="577" t="n">
        <v>1</v>
      </c>
      <c r="I96" s="577" t="n">
        <v>0</v>
      </c>
      <c r="J96" s="577" t="n">
        <v>0</v>
      </c>
      <c r="K96" s="577" t="n">
        <v>1</v>
      </c>
      <c r="L96" s="577" t="n">
        <v>0</v>
      </c>
      <c r="M96" s="577" t="n">
        <v>0</v>
      </c>
      <c r="N96" s="577" t="n">
        <v>1</v>
      </c>
      <c r="O96" s="577" t="n">
        <v>0</v>
      </c>
      <c r="P96" s="577" t="n">
        <v>0</v>
      </c>
      <c r="Q96" s="482" t="str">
        <v>Embedding_Blending, Motion_Sliding, Recovery_Jump, Stationary_Jitter, Viewpoint_Drift</v>
      </c>
      <c r="R96" s="482" t="str">
        <v>Embedding_Blending, Motion_Sliding, Recovery_Jump, Stationary_Jitter, Viewpoint_Drift</v>
      </c>
      <c r="S96" s="485" t="str">
        <v>无分歧</v>
      </c>
    </row>
    <row r="97" ht="30" customHeight="1">
      <c r="A97" s="65" t="inlineStr">
        <is>
          <t xml:space="preserve">P003</t>
        </is>
      </c>
      <c r="B97" s="482" t="str">
        <v>方法B在静止观察和遮挡恢复后更稳，虚拟内容更像固定在物体上；另一种移动时略显轻快，但偶尔会抖或滑动。</v>
      </c>
      <c r="C97" s="482" t="str">
        <v>移动物体时虚拟内容从原来的附着位置滑开，尤其是旋转后对不上。</v>
      </c>
      <c r="D97" s="577" t="n">
        <v>1</v>
      </c>
      <c r="E97" s="577" t="n">
        <v>0</v>
      </c>
      <c r="F97" s="577" t="n">
        <v>1</v>
      </c>
      <c r="G97" s="577" t="n">
        <v>0</v>
      </c>
      <c r="H97" s="577" t="n">
        <v>1</v>
      </c>
      <c r="I97" s="577" t="n">
        <v>1</v>
      </c>
      <c r="J97" s="577" t="n">
        <v>0</v>
      </c>
      <c r="K97" s="577" t="n">
        <v>1</v>
      </c>
      <c r="L97" s="577" t="n">
        <v>0</v>
      </c>
      <c r="M97" s="577" t="n">
        <v>0</v>
      </c>
      <c r="N97" s="577" t="n">
        <v>1</v>
      </c>
      <c r="O97" s="577" t="n">
        <v>0</v>
      </c>
      <c r="P97" s="577" t="n">
        <v>0</v>
      </c>
      <c r="Q97" s="482" t="str">
        <v>Absolute_Offset, Embedding_Blending, Motion_Sliding, Orientation_Mismatch, Recovery_Jump, Stationary_Jitter</v>
      </c>
      <c r="R97" s="482" t="str">
        <v>Absolute_Offset, Embedding_Blending, Motion_Sliding, Orientation_Mismatch, Recovery_Jump, Stationary_Jitter</v>
      </c>
      <c r="S97" s="485" t="str">
        <v>无分歧</v>
      </c>
    </row>
    <row r="98" ht="30" customHeight="1">
      <c r="A98" s="65" t="inlineStr">
        <is>
          <t xml:space="preserve">P004</t>
        </is>
      </c>
      <c r="B98" s="482" t="str">
        <v>方法A在拿起和旋转时更跟手，响应更直接；另一种虽然静止更稳，但移动开始时有一点拖拽感。</v>
      </c>
      <c r="C98" s="482" t="str">
        <v>遮挡移除后虚拟内容突然跳到错误位置，或恢复到与物体明显错开的地方。</v>
      </c>
      <c r="D98" s="577" t="n">
        <v>0</v>
      </c>
      <c r="E98" s="577" t="n">
        <v>0</v>
      </c>
      <c r="F98" s="577" t="n">
        <v>1</v>
      </c>
      <c r="G98" s="577" t="n">
        <v>1</v>
      </c>
      <c r="H98" s="577" t="n">
        <v>0</v>
      </c>
      <c r="I98" s="577" t="n">
        <v>1</v>
      </c>
      <c r="J98" s="577" t="n">
        <v>0</v>
      </c>
      <c r="K98" s="577" t="n">
        <v>1</v>
      </c>
      <c r="L98" s="577" t="n">
        <v>1</v>
      </c>
      <c r="M98" s="577" t="n">
        <v>1</v>
      </c>
      <c r="N98" s="577" t="n">
        <v>0</v>
      </c>
      <c r="O98" s="577" t="n">
        <v>0</v>
      </c>
      <c r="P98" s="577" t="n">
        <v>0</v>
      </c>
      <c r="Q98" s="482" t="str">
        <v>Absolute_Offset, Motion_Lag, Recovery_Jump, Wrong_Recovery</v>
      </c>
      <c r="R98" s="482" t="str">
        <v>Absolute_Offset, Motion_Lag, Orientation_Mismatch, Predictability, Recovery_Jump, Wrong_Recovery</v>
      </c>
      <c r="S98" s="485" t="str">
        <v>讨论后取有文本依据的并集；分歧：Orientation_Mismatch, Predictability</v>
      </c>
    </row>
    <row r="99" ht="30" customHeight="1">
      <c r="A99" s="65" t="inlineStr">
        <is>
          <t xml:space="preserve">P005</t>
        </is>
      </c>
      <c r="B99" s="482" t="str">
        <v>方法A在静止观察和遮挡恢复后更稳，虚拟内容更像固定在物体上；另一种移动时略显轻快，但偶尔会抖或滑动。</v>
      </c>
      <c r="C99" s="482" t="str">
        <v>移动物体时虚拟内容从原来的附着位置滑开，尤其是旋转后对不上。</v>
      </c>
      <c r="D99" s="577" t="n">
        <v>1</v>
      </c>
      <c r="E99" s="577" t="n">
        <v>0</v>
      </c>
      <c r="F99" s="577" t="n">
        <v>1</v>
      </c>
      <c r="G99" s="577" t="n">
        <v>0</v>
      </c>
      <c r="H99" s="577" t="n">
        <v>1</v>
      </c>
      <c r="I99" s="577" t="n">
        <v>1</v>
      </c>
      <c r="J99" s="577" t="n">
        <v>0</v>
      </c>
      <c r="K99" s="577" t="n">
        <v>1</v>
      </c>
      <c r="L99" s="577" t="n">
        <v>0</v>
      </c>
      <c r="M99" s="577" t="n">
        <v>0</v>
      </c>
      <c r="N99" s="577" t="n">
        <v>1</v>
      </c>
      <c r="O99" s="577" t="n">
        <v>0</v>
      </c>
      <c r="P99" s="577" t="n">
        <v>0</v>
      </c>
      <c r="Q99" s="482" t="str">
        <v>Absolute_Offset, Embedding_Blending, Motion_Sliding, Orientation_Mismatch, Recovery_Jump, Stationary_Jitter</v>
      </c>
      <c r="R99" s="482" t="str">
        <v>Absolute_Offset, Embedding_Blending, Motion_Sliding, Orientation_Mismatch, Recovery_Jump, Stationary_Jitter</v>
      </c>
      <c r="S99" s="485" t="str">
        <v>无分歧</v>
      </c>
    </row>
    <row r="100" ht="30" customHeight="1">
      <c r="A100" s="65" t="inlineStr">
        <is>
          <t xml:space="preserve">P006</t>
        </is>
      </c>
      <c r="B100" s="482" t="str">
        <v>一种方法静止和恢复时更稳，另一种移动时更跟手；不同物体上的差异不完全一致，所以我没有明显偏好。</v>
      </c>
      <c r="C100" s="482" t="str">
        <v>物体静止时虚拟内容持续抖动，随着我移动头部还会漂移。</v>
      </c>
      <c r="D100" s="577" t="n">
        <v>1</v>
      </c>
      <c r="E100" s="577" t="n">
        <v>1</v>
      </c>
      <c r="F100" s="577" t="n">
        <v>0</v>
      </c>
      <c r="G100" s="577" t="n">
        <v>1</v>
      </c>
      <c r="H100" s="577" t="n">
        <v>0</v>
      </c>
      <c r="I100" s="577" t="n">
        <v>0</v>
      </c>
      <c r="J100" s="577" t="n">
        <v>0</v>
      </c>
      <c r="K100" s="577" t="n">
        <v>1</v>
      </c>
      <c r="L100" s="577" t="n">
        <v>0</v>
      </c>
      <c r="M100" s="577" t="n">
        <v>0</v>
      </c>
      <c r="N100" s="577" t="n">
        <v>0</v>
      </c>
      <c r="O100" s="577" t="n">
        <v>0</v>
      </c>
      <c r="P100" s="577" t="n">
        <v>0</v>
      </c>
      <c r="Q100" s="482" t="str">
        <v>Recovery_Jump, Stationary_Jitter, Viewpoint_Drift</v>
      </c>
      <c r="R100" s="482" t="str">
        <v>Motion_Lag, Stationary_Jitter, Viewpoint_Drift</v>
      </c>
      <c r="S100" s="485" t="str">
        <v>讨论后取有文本依据的并集；分歧：Motion_Lag, Recovery_Jump</v>
      </c>
    </row>
    <row r="101" ht="30" customHeight="1">
      <c r="A101" s="65" t="inlineStr">
        <is>
          <t xml:space="preserve">P007</t>
        </is>
      </c>
      <c r="B101" s="482" t="str">
        <v>方法B在静止观察和遮挡恢复后更稳，虚拟内容更像固定在物体上；另一种移动时略显轻快，但偶尔会抖或滑动。</v>
      </c>
      <c r="C101" s="482" t="str">
        <v>系统反应没有规律：有时很稳，有时突然延迟或跳变，让我无法预测下一步。</v>
      </c>
      <c r="D101" s="577" t="n">
        <v>1</v>
      </c>
      <c r="E101" s="577" t="n">
        <v>0</v>
      </c>
      <c r="F101" s="577" t="n">
        <v>0</v>
      </c>
      <c r="G101" s="577" t="n">
        <v>1</v>
      </c>
      <c r="H101" s="577" t="n">
        <v>1</v>
      </c>
      <c r="I101" s="577" t="n">
        <v>0</v>
      </c>
      <c r="J101" s="577" t="n">
        <v>0</v>
      </c>
      <c r="K101" s="577" t="n">
        <v>1</v>
      </c>
      <c r="L101" s="577" t="n">
        <v>0</v>
      </c>
      <c r="M101" s="577" t="n">
        <v>1</v>
      </c>
      <c r="N101" s="577" t="n">
        <v>1</v>
      </c>
      <c r="O101" s="577" t="n">
        <v>0</v>
      </c>
      <c r="P101" s="577" t="n">
        <v>0</v>
      </c>
      <c r="Q101" s="482" t="str">
        <v>Embedding_Blending, Motion_Lag, Motion_Sliding, Predictability, Recovery_Jump, Stationary_Jitter</v>
      </c>
      <c r="R101" s="482" t="str">
        <v>Embedding_Blending, Motion_Lag, Motion_Sliding, Predictability, Recovery_Jump, Stationary_Jitter</v>
      </c>
      <c r="S101" s="485" t="str">
        <v>无分歧</v>
      </c>
    </row>
    <row r="102" ht="30" customHeight="1">
      <c r="A102" s="65" t="inlineStr">
        <is>
          <t xml:space="preserve">P008</t>
        </is>
      </c>
      <c r="B102" s="482" t="str">
        <v>一种方法静止和恢复时更稳，另一种移动时更跟手；不同物体上的差异不完全一致，所以我没有明显偏好。</v>
      </c>
      <c r="C102" s="482" t="str">
        <v>遮挡移除后虚拟内容突然跳到错误位置，或恢复到与物体明显错开的地方。</v>
      </c>
      <c r="D102" s="577" t="n">
        <v>0</v>
      </c>
      <c r="E102" s="577" t="n">
        <v>0</v>
      </c>
      <c r="F102" s="577" t="n">
        <v>1</v>
      </c>
      <c r="G102" s="577" t="n">
        <v>1</v>
      </c>
      <c r="H102" s="577" t="n">
        <v>0</v>
      </c>
      <c r="I102" s="577" t="n">
        <v>0</v>
      </c>
      <c r="J102" s="577" t="n">
        <v>0</v>
      </c>
      <c r="K102" s="577" t="n">
        <v>1</v>
      </c>
      <c r="L102" s="577" t="n">
        <v>1</v>
      </c>
      <c r="M102" s="577" t="n">
        <v>1</v>
      </c>
      <c r="N102" s="577" t="n">
        <v>0</v>
      </c>
      <c r="O102" s="577" t="n">
        <v>0</v>
      </c>
      <c r="P102" s="577" t="n">
        <v>0</v>
      </c>
      <c r="Q102" s="482" t="str">
        <v>Absolute_Offset, Recovery_Jump, Wrong_Recovery</v>
      </c>
      <c r="R102" s="482" t="str">
        <v>Absolute_Offset, Motion_Lag, Predictability, Recovery_Jump, Wrong_Recovery</v>
      </c>
      <c r="S102" s="485" t="str">
        <v>讨论后取有文本依据的并集；分歧：Motion_Lag, Predictability</v>
      </c>
    </row>
    <row r="103" ht="30" customHeight="1">
      <c r="A103" s="65" t="inlineStr">
        <is>
          <t xml:space="preserve">P009</t>
        </is>
      </c>
      <c r="B103" s="482" t="str">
        <v>方法B在拿起和旋转时更跟手，响应更直接；另一种虽然静止更稳，但移动开始时有一点拖拽感。</v>
      </c>
      <c r="C103" s="482" t="str">
        <v>物体静止时虚拟内容持续抖动，随着我移动头部还会漂移。</v>
      </c>
      <c r="D103" s="577" t="n">
        <v>1</v>
      </c>
      <c r="E103" s="577" t="n">
        <v>1</v>
      </c>
      <c r="F103" s="577" t="n">
        <v>0</v>
      </c>
      <c r="G103" s="577" t="n">
        <v>1</v>
      </c>
      <c r="H103" s="577" t="n">
        <v>0</v>
      </c>
      <c r="I103" s="577" t="n">
        <v>1</v>
      </c>
      <c r="J103" s="577" t="n">
        <v>0</v>
      </c>
      <c r="K103" s="577" t="n">
        <v>0</v>
      </c>
      <c r="L103" s="577" t="n">
        <v>0</v>
      </c>
      <c r="M103" s="577" t="n">
        <v>0</v>
      </c>
      <c r="N103" s="577" t="n">
        <v>0</v>
      </c>
      <c r="O103" s="577" t="n">
        <v>0</v>
      </c>
      <c r="P103" s="577" t="n">
        <v>0</v>
      </c>
      <c r="Q103" s="482" t="str">
        <v>Motion_Lag, Stationary_Jitter, Viewpoint_Drift</v>
      </c>
      <c r="R103" s="482" t="str">
        <v>Motion_Lag, Orientation_Mismatch, Stationary_Jitter, Viewpoint_Drift</v>
      </c>
      <c r="S103" s="485" t="str">
        <v>讨论后取有文本依据的并集；分歧：Orientation_Mismatch</v>
      </c>
    </row>
    <row r="104" ht="30" customHeight="1">
      <c r="A104" s="65" t="inlineStr">
        <is>
          <t xml:space="preserve">P010</t>
        </is>
      </c>
      <c r="B104" s="482" t="str">
        <v>方法B在拿起和旋转时更跟手，响应更直接；另一种虽然静止更稳，但移动开始时有一点拖拽感。</v>
      </c>
      <c r="C104" s="482" t="str">
        <v>移动物体时虚拟内容从原来的附着位置滑开，尤其是旋转后对不上。</v>
      </c>
      <c r="D104" s="577" t="n">
        <v>0</v>
      </c>
      <c r="E104" s="577" t="n">
        <v>0</v>
      </c>
      <c r="F104" s="577" t="n">
        <v>1</v>
      </c>
      <c r="G104" s="577" t="n">
        <v>1</v>
      </c>
      <c r="H104" s="577" t="n">
        <v>1</v>
      </c>
      <c r="I104" s="577" t="n">
        <v>1</v>
      </c>
      <c r="J104" s="577" t="n">
        <v>0</v>
      </c>
      <c r="K104" s="577" t="n">
        <v>0</v>
      </c>
      <c r="L104" s="577" t="n">
        <v>0</v>
      </c>
      <c r="M104" s="577" t="n">
        <v>0</v>
      </c>
      <c r="N104" s="577" t="n">
        <v>1</v>
      </c>
      <c r="O104" s="577" t="n">
        <v>0</v>
      </c>
      <c r="P104" s="577" t="n">
        <v>0</v>
      </c>
      <c r="Q104" s="482" t="str">
        <v>Absolute_Offset, Motion_Lag, Motion_Sliding, Orientation_Mismatch</v>
      </c>
      <c r="R104" s="482" t="str">
        <v>Absolute_Offset, Embedding_Blending, Motion_Lag, Motion_Sliding, Orientation_Mismatch</v>
      </c>
      <c r="S104" s="485" t="str">
        <v>讨论后取有文本依据的并集；分歧：Embedding_Blending</v>
      </c>
    </row>
    <row r="105" ht="30" customHeight="1">
      <c r="A105" s="65" t="inlineStr">
        <is>
          <t xml:space="preserve">P011</t>
        </is>
      </c>
      <c r="B105" s="482" t="str">
        <v>方法B在静止观察和遮挡恢复后更稳，虚拟内容更像固定在物体上；另一种移动时略显轻快，但偶尔会抖或滑动。</v>
      </c>
      <c r="C105" s="482" t="str">
        <v>物体静止时虚拟内容持续抖动，随着我移动头部还会漂移。</v>
      </c>
      <c r="D105" s="577" t="n">
        <v>1</v>
      </c>
      <c r="E105" s="577" t="n">
        <v>1</v>
      </c>
      <c r="F105" s="577" t="n">
        <v>0</v>
      </c>
      <c r="G105" s="577" t="n">
        <v>0</v>
      </c>
      <c r="H105" s="577" t="n">
        <v>1</v>
      </c>
      <c r="I105" s="577" t="n">
        <v>0</v>
      </c>
      <c r="J105" s="577" t="n">
        <v>0</v>
      </c>
      <c r="K105" s="577" t="n">
        <v>1</v>
      </c>
      <c r="L105" s="577" t="n">
        <v>0</v>
      </c>
      <c r="M105" s="577" t="n">
        <v>0</v>
      </c>
      <c r="N105" s="577" t="n">
        <v>1</v>
      </c>
      <c r="O105" s="577" t="n">
        <v>0</v>
      </c>
      <c r="P105" s="577" t="n">
        <v>0</v>
      </c>
      <c r="Q105" s="482" t="str">
        <v>Embedding_Blending, Motion_Sliding, Recovery_Jump, Stationary_Jitter, Viewpoint_Drift</v>
      </c>
      <c r="R105" s="482" t="str">
        <v>Embedding_Blending, Motion_Sliding, Recovery_Jump, Stationary_Jitter, Viewpoint_Drift</v>
      </c>
      <c r="S105" s="485" t="str">
        <v>无分歧</v>
      </c>
    </row>
    <row r="106" ht="30" customHeight="1">
      <c r="A106" s="65" t="inlineStr">
        <is>
          <t xml:space="preserve">P012</t>
        </is>
      </c>
      <c r="B106" s="482" t="str">
        <v>方法B在静止观察和遮挡恢复后更稳，虚拟内容更像固定在物体上；另一种移动时略显轻快，但偶尔会抖或滑动。</v>
      </c>
      <c r="C106" s="482" t="str">
        <v>遮挡移除后虚拟内容突然跳到错误位置，或恢复到与物体明显错开的地方。</v>
      </c>
      <c r="D106" s="577" t="n">
        <v>1</v>
      </c>
      <c r="E106" s="577" t="n">
        <v>0</v>
      </c>
      <c r="F106" s="577" t="n">
        <v>1</v>
      </c>
      <c r="G106" s="577" t="n">
        <v>0</v>
      </c>
      <c r="H106" s="577" t="n">
        <v>1</v>
      </c>
      <c r="I106" s="577" t="n">
        <v>0</v>
      </c>
      <c r="J106" s="577" t="n">
        <v>0</v>
      </c>
      <c r="K106" s="577" t="n">
        <v>1</v>
      </c>
      <c r="L106" s="577" t="n">
        <v>1</v>
      </c>
      <c r="M106" s="577" t="n">
        <v>1</v>
      </c>
      <c r="N106" s="577" t="n">
        <v>1</v>
      </c>
      <c r="O106" s="577" t="n">
        <v>0</v>
      </c>
      <c r="P106" s="577" t="n">
        <v>0</v>
      </c>
      <c r="Q106" s="482" t="str">
        <v>Absolute_Offset, Embedding_Blending, Motion_Sliding, Recovery_Jump, Stationary_Jitter, Wrong_Recovery</v>
      </c>
      <c r="R106" s="482" t="str">
        <v>Absolute_Offset, Embedding_Blending, Motion_Sliding, Predictability, Recovery_Jump, Stationary_Jitter, Wrong_Recovery</v>
      </c>
      <c r="S106" s="485" t="str">
        <v>讨论后取有文本依据的并集；分歧：Predictability</v>
      </c>
    </row>
    <row r="107" ht="30" customHeight="1">
      <c r="A107" s="65" t="inlineStr">
        <is>
          <t xml:space="preserve">P013</t>
        </is>
      </c>
      <c r="B107" s="482" t="str">
        <v>一种方法静止和恢复时更稳，另一种移动时更跟手；不同物体上的差异不完全一致，所以我没有明显偏好。</v>
      </c>
      <c r="C107" s="482" t="str">
        <v>移动物体时虚拟内容从原来的附着位置滑开，尤其是旋转后对不上。</v>
      </c>
      <c r="D107" s="577" t="n">
        <v>0</v>
      </c>
      <c r="E107" s="577" t="n">
        <v>0</v>
      </c>
      <c r="F107" s="577" t="n">
        <v>1</v>
      </c>
      <c r="G107" s="577" t="n">
        <v>1</v>
      </c>
      <c r="H107" s="577" t="n">
        <v>1</v>
      </c>
      <c r="I107" s="577" t="n">
        <v>1</v>
      </c>
      <c r="J107" s="577" t="n">
        <v>0</v>
      </c>
      <c r="K107" s="577" t="n">
        <v>1</v>
      </c>
      <c r="L107" s="577" t="n">
        <v>0</v>
      </c>
      <c r="M107" s="577" t="n">
        <v>0</v>
      </c>
      <c r="N107" s="577" t="n">
        <v>1</v>
      </c>
      <c r="O107" s="577" t="n">
        <v>0</v>
      </c>
      <c r="P107" s="577" t="n">
        <v>0</v>
      </c>
      <c r="Q107" s="482" t="str">
        <v>Absolute_Offset, Motion_Sliding, Orientation_Mismatch, Recovery_Jump</v>
      </c>
      <c r="R107" s="482" t="str">
        <v>Absolute_Offset, Embedding_Blending, Motion_Lag, Motion_Sliding, Orientation_Mismatch</v>
      </c>
      <c r="S107" s="485" t="str">
        <v>讨论后取有文本依据的并集；分歧：Embedding_Blending, Motion_Lag, Recovery_Jump</v>
      </c>
    </row>
    <row r="108" ht="30" customHeight="1">
      <c r="A108" s="65" t="inlineStr">
        <is>
          <t xml:space="preserve">P014</t>
        </is>
      </c>
      <c r="B108" s="482" t="str">
        <v>方法A在静止观察和遮挡恢复后更稳，虚拟内容更像固定在物体上；另一种移动时略显轻快，但偶尔会抖或滑动。</v>
      </c>
      <c r="C108" s="482" t="str">
        <v>遮挡移除后虚拟内容突然跳到错误位置，或恢复到与物体明显错开的地方。</v>
      </c>
      <c r="D108" s="577" t="n">
        <v>1</v>
      </c>
      <c r="E108" s="577" t="n">
        <v>0</v>
      </c>
      <c r="F108" s="577" t="n">
        <v>1</v>
      </c>
      <c r="G108" s="577" t="n">
        <v>0</v>
      </c>
      <c r="H108" s="577" t="n">
        <v>1</v>
      </c>
      <c r="I108" s="577" t="n">
        <v>0</v>
      </c>
      <c r="J108" s="577" t="n">
        <v>0</v>
      </c>
      <c r="K108" s="577" t="n">
        <v>1</v>
      </c>
      <c r="L108" s="577" t="n">
        <v>1</v>
      </c>
      <c r="M108" s="577" t="n">
        <v>1</v>
      </c>
      <c r="N108" s="577" t="n">
        <v>1</v>
      </c>
      <c r="O108" s="577" t="n">
        <v>0</v>
      </c>
      <c r="P108" s="577" t="n">
        <v>0</v>
      </c>
      <c r="Q108" s="482" t="str">
        <v>Absolute_Offset, Embedding_Blending, Motion_Sliding, Recovery_Jump, Stationary_Jitter, Wrong_Recovery</v>
      </c>
      <c r="R108" s="482" t="str">
        <v>Absolute_Offset, Embedding_Blending, Motion_Sliding, Predictability, Recovery_Jump, Stationary_Jitter, Wrong_Recovery</v>
      </c>
      <c r="S108" s="485" t="str">
        <v>讨论后取有文本依据的并集；分歧：Predictability</v>
      </c>
    </row>
    <row r="109" ht="30" customHeight="1">
      <c r="A109" s="65" t="inlineStr">
        <is>
          <t xml:space="preserve">P015</t>
        </is>
      </c>
      <c r="B109" s="482" t="str">
        <v>方法B在静止观察和遮挡恢复后更稳，虚拟内容更像固定在物体上；另一种移动时略显轻快，但偶尔会抖或滑动。</v>
      </c>
      <c r="C109" s="482" t="str">
        <v>遮挡移除后虚拟内容突然跳到错误位置，或恢复到与物体明显错开的地方。</v>
      </c>
      <c r="D109" s="577" t="n">
        <v>1</v>
      </c>
      <c r="E109" s="577" t="n">
        <v>0</v>
      </c>
      <c r="F109" s="577" t="n">
        <v>1</v>
      </c>
      <c r="G109" s="577" t="n">
        <v>0</v>
      </c>
      <c r="H109" s="577" t="n">
        <v>1</v>
      </c>
      <c r="I109" s="577" t="n">
        <v>0</v>
      </c>
      <c r="J109" s="577" t="n">
        <v>0</v>
      </c>
      <c r="K109" s="577" t="n">
        <v>1</v>
      </c>
      <c r="L109" s="577" t="n">
        <v>1</v>
      </c>
      <c r="M109" s="577" t="n">
        <v>1</v>
      </c>
      <c r="N109" s="577" t="n">
        <v>1</v>
      </c>
      <c r="O109" s="577" t="n">
        <v>0</v>
      </c>
      <c r="P109" s="577" t="n">
        <v>0</v>
      </c>
      <c r="Q109" s="482" t="str">
        <v>Absolute_Offset, Embedding_Blending, Motion_Sliding, Recovery_Jump, Stationary_Jitter, Wrong_Recovery</v>
      </c>
      <c r="R109" s="482" t="str">
        <v>Absolute_Offset, Embedding_Blending, Motion_Sliding, Predictability, Recovery_Jump, Stationary_Jitter, Wrong_Recovery</v>
      </c>
      <c r="S109" s="485" t="str">
        <v>讨论后取有文本依据的并集；分歧：Predictability</v>
      </c>
    </row>
    <row r="110" ht="30" customHeight="1">
      <c r="A110" s="65" t="inlineStr">
        <is>
          <t xml:space="preserve">P016</t>
        </is>
      </c>
      <c r="B110" s="482" t="str">
        <v>方法B在静止观察和遮挡恢复后更稳，虚拟内容更像固定在物体上；另一种移动时略显轻快，但偶尔会抖或滑动。</v>
      </c>
      <c r="C110" s="482" t="str">
        <v>遮挡移除后虚拟内容突然跳到错误位置，或恢复到与物体明显错开的地方。</v>
      </c>
      <c r="D110" s="577" t="n">
        <v>1</v>
      </c>
      <c r="E110" s="577" t="n">
        <v>0</v>
      </c>
      <c r="F110" s="577" t="n">
        <v>1</v>
      </c>
      <c r="G110" s="577" t="n">
        <v>0</v>
      </c>
      <c r="H110" s="577" t="n">
        <v>1</v>
      </c>
      <c r="I110" s="577" t="n">
        <v>0</v>
      </c>
      <c r="J110" s="577" t="n">
        <v>0</v>
      </c>
      <c r="K110" s="577" t="n">
        <v>1</v>
      </c>
      <c r="L110" s="577" t="n">
        <v>1</v>
      </c>
      <c r="M110" s="577" t="n">
        <v>1</v>
      </c>
      <c r="N110" s="577" t="n">
        <v>1</v>
      </c>
      <c r="O110" s="577" t="n">
        <v>0</v>
      </c>
      <c r="P110" s="577" t="n">
        <v>0</v>
      </c>
      <c r="Q110" s="482" t="str">
        <v>Absolute_Offset, Embedding_Blending, Motion_Sliding, Recovery_Jump, Stationary_Jitter, Wrong_Recovery</v>
      </c>
      <c r="R110" s="482" t="str">
        <v>Absolute_Offset, Embedding_Blending, Motion_Sliding, Predictability, Recovery_Jump, Stationary_Jitter, Wrong_Recovery</v>
      </c>
      <c r="S110" s="485" t="str">
        <v>讨论后取有文本依据的并集；分歧：Predictability</v>
      </c>
    </row>
    <row r="111" ht="30" customHeight="1">
      <c r="A111" s="65" t="inlineStr">
        <is>
          <t xml:space="preserve">P017</t>
        </is>
      </c>
      <c r="B111" s="482" t="str">
        <v>方法A在静止观察和遮挡恢复后更稳，虚拟内容更像固定在物体上；另一种移动时略显轻快，但偶尔会抖或滑动。</v>
      </c>
      <c r="C111" s="482" t="str">
        <v>遮挡移除后虚拟内容突然跳到错误位置，或恢复到与物体明显错开的地方。</v>
      </c>
      <c r="D111" s="577" t="n">
        <v>1</v>
      </c>
      <c r="E111" s="577" t="n">
        <v>0</v>
      </c>
      <c r="F111" s="577" t="n">
        <v>1</v>
      </c>
      <c r="G111" s="577" t="n">
        <v>0</v>
      </c>
      <c r="H111" s="577" t="n">
        <v>1</v>
      </c>
      <c r="I111" s="577" t="n">
        <v>0</v>
      </c>
      <c r="J111" s="577" t="n">
        <v>0</v>
      </c>
      <c r="K111" s="577" t="n">
        <v>1</v>
      </c>
      <c r="L111" s="577" t="n">
        <v>1</v>
      </c>
      <c r="M111" s="577" t="n">
        <v>1</v>
      </c>
      <c r="N111" s="577" t="n">
        <v>1</v>
      </c>
      <c r="O111" s="577" t="n">
        <v>0</v>
      </c>
      <c r="P111" s="577" t="n">
        <v>0</v>
      </c>
      <c r="Q111" s="482" t="str">
        <v>Absolute_Offset, Embedding_Blending, Motion_Sliding, Recovery_Jump, Stationary_Jitter, Wrong_Recovery</v>
      </c>
      <c r="R111" s="482" t="str">
        <v>Absolute_Offset, Embedding_Blending, Motion_Sliding, Predictability, Recovery_Jump, Stationary_Jitter, Wrong_Recovery</v>
      </c>
      <c r="S111" s="485" t="str">
        <v>讨论后取有文本依据的并集；分歧：Predictability</v>
      </c>
    </row>
    <row r="112" ht="30" customHeight="1">
      <c r="A112" s="65" t="inlineStr">
        <is>
          <t xml:space="preserve">P018</t>
        </is>
      </c>
      <c r="B112" s="482" t="str">
        <v>方法A在静止观察和遮挡恢复后更稳，虚拟内容更像固定在物体上；另一种移动时略显轻快，但偶尔会抖或滑动。</v>
      </c>
      <c r="C112" s="482" t="str">
        <v>物体静止时虚拟内容持续抖动，随着我移动头部还会漂移。</v>
      </c>
      <c r="D112" s="577" t="n">
        <v>1</v>
      </c>
      <c r="E112" s="577" t="n">
        <v>1</v>
      </c>
      <c r="F112" s="577" t="n">
        <v>0</v>
      </c>
      <c r="G112" s="577" t="n">
        <v>0</v>
      </c>
      <c r="H112" s="577" t="n">
        <v>1</v>
      </c>
      <c r="I112" s="577" t="n">
        <v>0</v>
      </c>
      <c r="J112" s="577" t="n">
        <v>0</v>
      </c>
      <c r="K112" s="577" t="n">
        <v>1</v>
      </c>
      <c r="L112" s="577" t="n">
        <v>0</v>
      </c>
      <c r="M112" s="577" t="n">
        <v>0</v>
      </c>
      <c r="N112" s="577" t="n">
        <v>1</v>
      </c>
      <c r="O112" s="577" t="n">
        <v>0</v>
      </c>
      <c r="P112" s="577" t="n">
        <v>0</v>
      </c>
      <c r="Q112" s="482" t="str">
        <v>Embedding_Blending, Motion_Sliding, Recovery_Jump, Stationary_Jitter, Viewpoint_Drift</v>
      </c>
      <c r="R112" s="482" t="str">
        <v>Embedding_Blending, Motion_Sliding, Recovery_Jump, Stationary_Jitter, Viewpoint_Drift</v>
      </c>
      <c r="S112" s="485" t="str">
        <v>无分歧</v>
      </c>
    </row>
    <row r="113" ht="30" customHeight="1">
      <c r="A113" s="65" t="inlineStr">
        <is>
          <t xml:space="preserve">P019</t>
        </is>
      </c>
      <c r="B113" s="482" t="str">
        <v>一种方法静止和恢复时更稳，另一种移动时更跟手；不同物体上的差异不完全一致，所以我没有明显偏好。</v>
      </c>
      <c r="C113" s="482" t="str">
        <v>遮挡移除后虚拟内容突然跳到错误位置，或恢复到与物体明显错开的地方。</v>
      </c>
      <c r="D113" s="577" t="n">
        <v>0</v>
      </c>
      <c r="E113" s="577" t="n">
        <v>0</v>
      </c>
      <c r="F113" s="577" t="n">
        <v>1</v>
      </c>
      <c r="G113" s="577" t="n">
        <v>1</v>
      </c>
      <c r="H113" s="577" t="n">
        <v>0</v>
      </c>
      <c r="I113" s="577" t="n">
        <v>0</v>
      </c>
      <c r="J113" s="577" t="n">
        <v>0</v>
      </c>
      <c r="K113" s="577" t="n">
        <v>1</v>
      </c>
      <c r="L113" s="577" t="n">
        <v>1</v>
      </c>
      <c r="M113" s="577" t="n">
        <v>1</v>
      </c>
      <c r="N113" s="577" t="n">
        <v>0</v>
      </c>
      <c r="O113" s="577" t="n">
        <v>0</v>
      </c>
      <c r="P113" s="577" t="n">
        <v>0</v>
      </c>
      <c r="Q113" s="482" t="str">
        <v>Absolute_Offset, Recovery_Jump, Wrong_Recovery</v>
      </c>
      <c r="R113" s="482" t="str">
        <v>Absolute_Offset, Motion_Lag, Predictability, Recovery_Jump, Wrong_Recovery</v>
      </c>
      <c r="S113" s="485" t="str">
        <v>讨论后取有文本依据的并集；分歧：Motion_Lag, Predictability</v>
      </c>
    </row>
    <row r="114" ht="30" customHeight="1">
      <c r="A114" s="65" t="inlineStr">
        <is>
          <t xml:space="preserve">P020</t>
        </is>
      </c>
      <c r="B114" s="482" t="str">
        <v>方法A在拿起和旋转时更跟手，响应更直接；另一种虽然静止更稳，但移动开始时有一点拖拽感。</v>
      </c>
      <c r="C114" s="482" t="str">
        <v>移动物体时虚拟内容从原来的附着位置滑开，尤其是旋转后对不上。</v>
      </c>
      <c r="D114" s="577" t="n">
        <v>0</v>
      </c>
      <c r="E114" s="577" t="n">
        <v>0</v>
      </c>
      <c r="F114" s="577" t="n">
        <v>1</v>
      </c>
      <c r="G114" s="577" t="n">
        <v>1</v>
      </c>
      <c r="H114" s="577" t="n">
        <v>1</v>
      </c>
      <c r="I114" s="577" t="n">
        <v>1</v>
      </c>
      <c r="J114" s="577" t="n">
        <v>0</v>
      </c>
      <c r="K114" s="577" t="n">
        <v>0</v>
      </c>
      <c r="L114" s="577" t="n">
        <v>0</v>
      </c>
      <c r="M114" s="577" t="n">
        <v>0</v>
      </c>
      <c r="N114" s="577" t="n">
        <v>1</v>
      </c>
      <c r="O114" s="577" t="n">
        <v>0</v>
      </c>
      <c r="P114" s="577" t="n">
        <v>0</v>
      </c>
      <c r="Q114" s="482" t="str">
        <v>Absolute_Offset, Motion_Lag, Motion_Sliding, Orientation_Mismatch</v>
      </c>
      <c r="R114" s="482" t="str">
        <v>Absolute_Offset, Embedding_Blending, Motion_Lag, Motion_Sliding, Orientation_Mismatch</v>
      </c>
      <c r="S114" s="485" t="str">
        <v>讨论后取有文本依据的并集；分歧：Embedding_Blending</v>
      </c>
    </row>
    <row r="115" ht="30" customHeight="1">
      <c r="A115" s="65" t="inlineStr">
        <is>
          <t xml:space="preserve">P021</t>
        </is>
      </c>
      <c r="B115" s="482" t="str">
        <v>方法A在静止观察和遮挡恢复后更稳，虚拟内容更像固定在物体上；另一种移动时略显轻快，但偶尔会抖或滑动。</v>
      </c>
      <c r="C115" s="482" t="str">
        <v>遮挡移除后虚拟内容突然跳到错误位置，或恢复到与物体明显错开的地方。</v>
      </c>
      <c r="D115" s="577" t="n">
        <v>1</v>
      </c>
      <c r="E115" s="577" t="n">
        <v>0</v>
      </c>
      <c r="F115" s="577" t="n">
        <v>1</v>
      </c>
      <c r="G115" s="577" t="n">
        <v>0</v>
      </c>
      <c r="H115" s="577" t="n">
        <v>1</v>
      </c>
      <c r="I115" s="577" t="n">
        <v>0</v>
      </c>
      <c r="J115" s="577" t="n">
        <v>0</v>
      </c>
      <c r="K115" s="577" t="n">
        <v>1</v>
      </c>
      <c r="L115" s="577" t="n">
        <v>1</v>
      </c>
      <c r="M115" s="577" t="n">
        <v>1</v>
      </c>
      <c r="N115" s="577" t="n">
        <v>1</v>
      </c>
      <c r="O115" s="577" t="n">
        <v>0</v>
      </c>
      <c r="P115" s="577" t="n">
        <v>0</v>
      </c>
      <c r="Q115" s="482" t="str">
        <v>Absolute_Offset, Embedding_Blending, Motion_Sliding, Recovery_Jump, Stationary_Jitter, Wrong_Recovery</v>
      </c>
      <c r="R115" s="482" t="str">
        <v>Absolute_Offset, Embedding_Blending, Motion_Sliding, Predictability, Recovery_Jump, Stationary_Jitter, Wrong_Recovery</v>
      </c>
      <c r="S115" s="485" t="str">
        <v>讨论后取有文本依据的并集；分歧：Predictability</v>
      </c>
    </row>
    <row r="116" ht="30" customHeight="1">
      <c r="A116" s="65" t="inlineStr">
        <is>
          <t xml:space="preserve">P022</t>
        </is>
      </c>
      <c r="B116" s="482" t="str">
        <v>方法A在静止观察和遮挡恢复后更稳，虚拟内容更像固定在物体上；另一种移动时略显轻快，但偶尔会抖或滑动。</v>
      </c>
      <c r="C116" s="482" t="str">
        <v>遮挡移除后虚拟内容突然跳到错误位置，或恢复到与物体明显错开的地方。</v>
      </c>
      <c r="D116" s="577" t="n">
        <v>1</v>
      </c>
      <c r="E116" s="577" t="n">
        <v>0</v>
      </c>
      <c r="F116" s="577" t="n">
        <v>1</v>
      </c>
      <c r="G116" s="577" t="n">
        <v>0</v>
      </c>
      <c r="H116" s="577" t="n">
        <v>1</v>
      </c>
      <c r="I116" s="577" t="n">
        <v>0</v>
      </c>
      <c r="J116" s="577" t="n">
        <v>0</v>
      </c>
      <c r="K116" s="577" t="n">
        <v>1</v>
      </c>
      <c r="L116" s="577" t="n">
        <v>1</v>
      </c>
      <c r="M116" s="577" t="n">
        <v>1</v>
      </c>
      <c r="N116" s="577" t="n">
        <v>1</v>
      </c>
      <c r="O116" s="577" t="n">
        <v>0</v>
      </c>
      <c r="P116" s="577" t="n">
        <v>0</v>
      </c>
      <c r="Q116" s="482" t="str">
        <v>Absolute_Offset, Embedding_Blending, Motion_Sliding, Recovery_Jump, Stationary_Jitter, Wrong_Recovery</v>
      </c>
      <c r="R116" s="482" t="str">
        <v>Absolute_Offset, Embedding_Blending, Motion_Sliding, Predictability, Recovery_Jump, Stationary_Jitter, Wrong_Recovery</v>
      </c>
      <c r="S116" s="485" t="str">
        <v>讨论后取有文本依据的并集；分歧：Predictability</v>
      </c>
    </row>
    <row r="117" ht="30" customHeight="1">
      <c r="A117" s="66" t="inlineStr">
        <is>
          <t xml:space="preserve">P023</t>
        </is>
      </c>
      <c r="B117" s="486" t="str">
        <v>方法B在静止观察和遮挡恢复后更稳，虚拟内容更像固定在物体上；另一种移动时略显轻快，但偶尔会抖或滑动。</v>
      </c>
      <c r="C117" s="486" t="str">
        <v>物体静止时虚拟内容持续抖动，随着我移动头部还会漂移。</v>
      </c>
      <c r="D117" s="578" t="n">
        <v>1</v>
      </c>
      <c r="E117" s="578" t="n">
        <v>1</v>
      </c>
      <c r="F117" s="578" t="n">
        <v>0</v>
      </c>
      <c r="G117" s="578" t="n">
        <v>0</v>
      </c>
      <c r="H117" s="578" t="n">
        <v>1</v>
      </c>
      <c r="I117" s="578" t="n">
        <v>0</v>
      </c>
      <c r="J117" s="578" t="n">
        <v>0</v>
      </c>
      <c r="K117" s="578" t="n">
        <v>1</v>
      </c>
      <c r="L117" s="578" t="n">
        <v>0</v>
      </c>
      <c r="M117" s="578" t="n">
        <v>0</v>
      </c>
      <c r="N117" s="578" t="n">
        <v>1</v>
      </c>
      <c r="O117" s="578" t="n">
        <v>0</v>
      </c>
      <c r="P117" s="578" t="n">
        <v>0</v>
      </c>
      <c r="Q117" s="486" t="str">
        <v>Embedding_Blending, Motion_Sliding, Recovery_Jump, Stationary_Jitter, Viewpoint_Drift</v>
      </c>
      <c r="R117" s="486" t="str">
        <v>Embedding_Blending, Motion_Sliding, Recovery_Jump, Stationary_Jitter, Viewpoint_Drift</v>
      </c>
      <c r="S117" s="487" t="str">
        <v>无分歧</v>
      </c>
    </row>
    <row r="118">
      <c r="A118" s="12" t="inlineStr">
        <is>
          <t xml:space="preserve">P024</t>
        </is>
      </c>
      <c r="B118" s="340" t="str">
        <v>方法B在静止观察和遮挡恢复后更稳，虚拟内容更像固定在物体上；另一种移动时略显轻快，但偶尔会抖或滑动。</v>
      </c>
      <c r="C118" s="340" t="str">
        <v>遮挡移除后虚拟内容突然跳到错误位置，或恢复到与物体明显错开的地方。</v>
      </c>
      <c r="D118" s="579" t="n">
        <v>1</v>
      </c>
      <c r="E118" s="579" t="n">
        <v>0</v>
      </c>
      <c r="F118" s="579" t="n">
        <v>1</v>
      </c>
      <c r="G118" s="579" t="n">
        <v>0</v>
      </c>
      <c r="H118" s="579" t="n">
        <v>1</v>
      </c>
      <c r="I118" s="579" t="n">
        <v>0</v>
      </c>
      <c r="J118" s="579" t="n">
        <v>0</v>
      </c>
      <c r="K118" s="579" t="n">
        <v>1</v>
      </c>
      <c r="L118" s="579" t="n">
        <v>1</v>
      </c>
      <c r="M118" s="579" t="n">
        <v>1</v>
      </c>
      <c r="N118" s="579" t="n">
        <v>1</v>
      </c>
      <c r="O118" s="579" t="n">
        <v>0</v>
      </c>
      <c r="P118" s="579" t="n">
        <v>0</v>
      </c>
      <c r="Q118" s="340" t="str">
        <v>Absolute_Offset, Embedding_Blending, Motion_Sliding, Recovery_Jump, Stationary_Jitter, Wrong_Recovery</v>
      </c>
      <c r="R118" s="340" t="str">
        <v>Absolute_Offset, Embedding_Blending, Motion_Sliding, Predictability, Recovery_Jump, Stationary_Jitter, Wrong_Recovery</v>
      </c>
      <c r="S118" s="340" t="str">
        <v>讨论后取有文本依据的并集；分歧：Predictability</v>
      </c>
    </row>
  </sheetData>
  <mergeCells>
    <mergeCell ref="A78:S78"/>
    <mergeCell ref="A84:S84"/>
    <mergeCell ref="A13:S13"/>
    <mergeCell ref="A1:S1"/>
    <mergeCell ref="A40:S40"/>
    <mergeCell ref="A3:S3"/>
    <mergeCell ref="A21:S21"/>
    <mergeCell ref="A92:S92"/>
    <mergeCell ref="A2:S2"/>
  </mergeCells>
  <conditionalFormatting sqref="P4:P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list" allowBlank="0" showDropDown="0" showInputMessage="0" showErrorMessage="0" sqref="D94:P117">
      <formula1>"0,1"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FormatPr defaultRowHeight="15"/>
  <cols>
    <col min="1" max="1" width="20" hidden="0" customWidth="1"/>
    <col min="2" max="2" width="88" hidden="0" customWidth="1"/>
  </cols>
  <sheetData>
    <row r="1">
      <c r="A1" s="522" t="str">
        <v>SYNTHETIC DATA NOTICE / 模拟数据声明</v>
      </c>
      <c r="B1" s="522"/>
      <c r="C1" s="522"/>
      <c r="D1" s="522"/>
      <c r="E1" s="522"/>
      <c r="F1" s="522"/>
      <c r="G1" s="522"/>
      <c r="H1" s="522"/>
    </row>
    <row r="2">
      <c r="A2" s="523"/>
      <c r="B2" s="523"/>
      <c r="C2" s="523"/>
      <c r="D2" s="523"/>
      <c r="E2" s="523"/>
      <c r="F2" s="523"/>
      <c r="G2" s="523"/>
      <c r="H2" s="523"/>
    </row>
    <row r="3">
      <c r="A3" s="524" t="str">
        <v>字段</v>
      </c>
      <c r="B3" s="524" t="str">
        <v>内容</v>
      </c>
      <c r="C3" s="523"/>
      <c r="D3" s="523"/>
      <c r="E3" s="523"/>
      <c r="F3" s="523"/>
      <c r="G3" s="523"/>
      <c r="H3" s="523"/>
    </row>
    <row r="4">
      <c r="A4" s="525" t="str">
        <v>模型</v>
      </c>
      <c r="B4" s="525" t="str">
        <v>GPT-5.6-Thinking</v>
      </c>
      <c r="C4" s="523"/>
      <c r="D4" s="523"/>
      <c r="E4" s="523"/>
      <c r="F4" s="523"/>
      <c r="G4" s="523"/>
      <c r="H4" s="523"/>
    </row>
    <row r="5">
      <c r="A5" s="525" t="str">
        <v>版本</v>
      </c>
      <c r="B5" s="525" t="str">
        <v>v3</v>
      </c>
      <c r="C5" s="523"/>
      <c r="D5" s="523"/>
      <c r="E5" s="523"/>
      <c r="F5" s="523"/>
      <c r="G5" s="523"/>
      <c r="H5" s="523"/>
    </row>
    <row r="6">
      <c r="A6" s="525" t="str">
        <v>生成日期</v>
      </c>
      <c r="B6" s="525" t="str">
        <v>2026-07-27</v>
      </c>
      <c r="C6" s="523"/>
      <c r="D6" s="523"/>
      <c r="E6" s="523"/>
      <c r="F6" s="523"/>
      <c r="G6" s="523"/>
      <c r="H6" s="523"/>
    </row>
    <row r="7">
      <c r="A7" s="525" t="str">
        <v>主随机种子</v>
      </c>
      <c r="B7" s="525" t="n">
        <v>560327</v>
      </c>
      <c r="C7" s="523"/>
      <c r="D7" s="523"/>
      <c r="E7" s="523"/>
      <c r="F7" s="523"/>
      <c r="G7" s="523"/>
      <c r="H7" s="523"/>
    </row>
    <row r="8">
      <c r="A8" s="525" t="str">
        <v>模拟规模</v>
      </c>
      <c r="B8" s="525" t="str">
        <v>24 名独立模拟参与者；144 个方法×物体区块；48 份方法级问卷；24 份最终问卷</v>
      </c>
      <c r="C8" s="523"/>
      <c r="D8" s="523"/>
      <c r="E8" s="523"/>
      <c r="F8" s="523"/>
      <c r="G8" s="523"/>
      <c r="H8" s="523"/>
    </row>
    <row r="9">
      <c r="A9" s="525" t="str">
        <v>数据性质</v>
      </c>
      <c r="B9" s="525" t="str">
        <v>全部为合成数据，不代表真实人类参与者，不得作为 IEEE VR 论文的实证结果或伦理审批下的被试数据。</v>
      </c>
      <c r="C9" s="523"/>
      <c r="D9" s="523"/>
      <c r="E9" s="523"/>
      <c r="F9" s="523"/>
      <c r="G9" s="523"/>
      <c r="H9" s="523"/>
    </row>
    <row r="10">
      <c r="A10" s="525" t="str">
        <v>已读取输入</v>
      </c>
      <c r="B10" s="525" t="str">
        <v>实验三 v5.1 空白采集模板、论文手稿中的实验三设计、replay_grid 图与 JSON 配置。</v>
      </c>
      <c r="C10" s="523"/>
      <c r="D10" s="523"/>
      <c r="E10" s="523"/>
      <c r="F10" s="523"/>
      <c r="G10" s="523"/>
      <c r="H10" s="523"/>
    </row>
    <row r="11">
      <c r="A11" s="525" t="str">
        <v>明确未读取</v>
      </c>
      <c r="B11" s="525" t="str">
        <v>task_4_complete(3).xlsx、task_5_complete(4).xlsx，以及任何其他既有模拟结果。</v>
      </c>
      <c r="C11" s="523"/>
      <c r="D11" s="523"/>
      <c r="E11" s="523"/>
      <c r="F11" s="523"/>
      <c r="G11" s="523"/>
      <c r="H11" s="523"/>
    </row>
    <row r="12">
      <c r="A12" s="525" t="str">
        <v>独立性</v>
      </c>
      <c r="B12" s="525" t="str">
        <v>每位模拟参与者使用独立随机种子，并具有独立的人口学、经验、稳定性偏好、响应性偏好、信任倾向、疲劳与噪声。</v>
      </c>
      <c r="C12" s="523"/>
      <c r="D12" s="523"/>
      <c r="E12" s="523"/>
      <c r="F12" s="523"/>
      <c r="G12" s="523"/>
      <c r="H12" s="523"/>
    </row>
    <row r="13">
      <c r="A13" s="523"/>
      <c r="B13" s="523"/>
      <c r="C13" s="523"/>
      <c r="D13" s="523"/>
      <c r="E13" s="523"/>
      <c r="F13" s="523"/>
      <c r="G13" s="523"/>
      <c r="H13" s="523"/>
    </row>
    <row r="14" ht="28" customHeight="1">
      <c r="A14" s="526" t="str">
        <v>用途边界：本工作簿用于流程演练、问卷计分公式验证、分析脚本调试与功效/稳健性管线测试。正式投稿中的用户研究结果必须由真实招募、知情同意、伦理审批/豁免与冻结协议下的实际采集产生。</v>
      </c>
      <c r="B14" s="526"/>
      <c r="C14" s="526"/>
      <c r="D14" s="526"/>
      <c r="E14" s="526"/>
      <c r="F14" s="526"/>
      <c r="G14" s="526"/>
      <c r="H14" s="526"/>
    </row>
    <row r="15" ht="28" customHeight="1">
      <c r="A15" s="526"/>
      <c r="B15" s="526"/>
      <c r="C15" s="526"/>
      <c r="D15" s="526"/>
      <c r="E15" s="526"/>
      <c r="F15" s="526"/>
      <c r="G15" s="526"/>
      <c r="H15" s="526"/>
    </row>
    <row r="16" ht="28" customHeight="1">
      <c r="A16" s="526"/>
      <c r="B16" s="526"/>
      <c r="C16" s="526"/>
      <c r="D16" s="526"/>
      <c r="E16" s="526"/>
      <c r="F16" s="526"/>
      <c r="G16" s="526"/>
      <c r="H16" s="526"/>
    </row>
    <row r="17" ht="28" customHeight="1">
      <c r="A17" s="526"/>
      <c r="B17" s="526"/>
      <c r="C17" s="526"/>
      <c r="D17" s="526"/>
      <c r="E17" s="526"/>
      <c r="F17" s="526"/>
      <c r="G17" s="526"/>
      <c r="H17" s="526"/>
    </row>
    <row r="18" ht="28" customHeight="1">
      <c r="A18" s="526"/>
      <c r="B18" s="526"/>
      <c r="C18" s="526"/>
      <c r="D18" s="526"/>
      <c r="E18" s="526"/>
      <c r="F18" s="526"/>
      <c r="G18" s="526"/>
      <c r="H18" s="526"/>
    </row>
  </sheetData>
  <mergeCells>
    <mergeCell ref="A1:H1"/>
    <mergeCell ref="A14:H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3" hidden="0" customWidth="1"/>
    <col min="16" max="16" width="12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18" hidden="0" customWidth="1"/>
    <col min="22" max="22" width="18" hidden="0" customWidth="1"/>
  </cols>
  <sheetData>
    <row r="1">
      <c r="A1" s="540" t="str">
        <v>Formula-driven questionnaire subscores / 公式驱动问卷小分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23"/>
      <c r="R1" s="523"/>
      <c r="S1" s="523"/>
      <c r="T1" s="523"/>
      <c r="U1" s="523"/>
      <c r="V1" s="523"/>
    </row>
    <row r="2">
      <c r="A2" s="541" t="str">
        <v>所有小分直接引用 Records 原始应答；修改原始分后，Excel 将自动重算。TiA 反向项仅在本表派生，不覆盖原始分。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23"/>
      <c r="R2" s="523"/>
      <c r="S2" s="523"/>
      <c r="T2" s="523"/>
      <c r="U2" s="523"/>
      <c r="V2" s="523"/>
    </row>
    <row r="3">
      <c r="A3" s="523"/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</row>
    <row r="4">
      <c r="A4" s="542" t="str">
        <v>Participant_ID</v>
      </c>
      <c r="B4" s="542" t="str">
        <v>Block_Index</v>
      </c>
      <c r="C4" s="542" t="str">
        <v>物体</v>
      </c>
      <c r="D4" s="542" t="str">
        <v>Shown_Label</v>
      </c>
      <c r="E4" s="542" t="str">
        <v>Condition</v>
      </c>
      <c r="F4" s="542" t="str">
        <v>Q1</v>
      </c>
      <c r="G4" s="542" t="str">
        <v>Q8</v>
      </c>
      <c r="H4" s="542" t="str">
        <v>Q2</v>
      </c>
      <c r="I4" s="542" t="str">
        <v>Q9</v>
      </c>
      <c r="J4" s="542" t="str">
        <v>Q3</v>
      </c>
      <c r="K4" s="542" t="str">
        <v>Q6</v>
      </c>
      <c r="L4" s="542" t="str">
        <v>Q7</v>
      </c>
      <c r="M4" s="542" t="str">
        <v>AQ_EQ_mean</v>
      </c>
      <c r="N4" s="542" t="str">
        <v>AQ_IQ_mean</v>
      </c>
      <c r="O4" s="542" t="str">
        <v>Block_Valid</v>
      </c>
      <c r="P4" s="542" t="str">
        <v>Source_Row</v>
      </c>
      <c r="Q4" s="523"/>
      <c r="R4" s="523"/>
      <c r="S4" s="523"/>
      <c r="T4" s="523"/>
      <c r="U4" s="523"/>
      <c r="V4" s="523"/>
    </row>
    <row r="5">
      <c r="A5" s="523" t="str">
        <f>Records!A5</f>
        <v>P001</v>
      </c>
      <c r="B5" s="523" t="n">
        <f>Records!B5</f>
        <v>1</v>
      </c>
      <c r="C5" s="523" t="str">
        <f>Records!E5</f>
        <v>鼠标</v>
      </c>
      <c r="D5" s="523" t="str">
        <f>Records!G5</f>
        <v>方法A</v>
      </c>
      <c r="E5" s="523" t="str">
        <f>Records!H5</f>
        <v>EgoAnchor</v>
      </c>
      <c r="F5" s="543" t="n">
        <f>Records!K5</f>
        <v>5</v>
      </c>
      <c r="G5" s="543" t="n">
        <f>Records!R5</f>
        <v>5</v>
      </c>
      <c r="H5" s="543" t="n">
        <f>Records!L5</f>
        <v>5</v>
      </c>
      <c r="I5" s="543" t="n">
        <f>Records!M5</f>
        <v>5</v>
      </c>
      <c r="J5" s="543" t="n">
        <f>Records!Q5</f>
        <v>5</v>
      </c>
      <c r="K5" s="543" t="n">
        <f>Records!W5</f>
        <v>4</v>
      </c>
      <c r="L5" s="543" t="n">
        <f>Records!X5</f>
        <v>5</v>
      </c>
      <c r="M5" s="543" t="n">
        <f>IF(COUNT(Records!S5:U5)=0,"",AVERAGE(Records!S5:U5))</f>
        <v>5</v>
      </c>
      <c r="N5" s="543" t="n">
        <f>IF(COUNT(Records!O5,Records!P5,Records!V5)=0,"",AVERAGE(Records!O5,Records!P5,Records!V5))</f>
        <v>4.666666666666667</v>
      </c>
      <c r="O5" s="523" t="str">
        <f>Records!AD5</f>
        <v>是</v>
      </c>
      <c r="P5" s="544" t="n">
        <f>5</f>
        <v>5</v>
      </c>
      <c r="Q5" s="523"/>
      <c r="R5" s="523"/>
      <c r="S5" s="523"/>
      <c r="T5" s="523"/>
      <c r="U5" s="523"/>
      <c r="V5" s="523"/>
    </row>
    <row r="6">
      <c r="A6" s="523" t="str">
        <f>Records!A6</f>
        <v>P001</v>
      </c>
      <c r="B6" s="523" t="n">
        <f>Records!B6</f>
        <v>2</v>
      </c>
      <c r="C6" s="523" t="str">
        <f>Records!E6</f>
        <v>鼠标</v>
      </c>
      <c r="D6" s="523" t="str">
        <f>Records!G6</f>
        <v>方法B</v>
      </c>
      <c r="E6" s="523" t="str">
        <f>Records!H6</f>
        <v>One-Euro</v>
      </c>
      <c r="F6" s="543" t="n">
        <f>Records!K6</f>
        <v>3</v>
      </c>
      <c r="G6" s="543" t="n">
        <f>Records!R6</f>
        <v>5</v>
      </c>
      <c r="H6" s="543" t="n">
        <f>Records!L6</f>
        <v>6</v>
      </c>
      <c r="I6" s="543" t="n">
        <f>Records!M6</f>
        <v>4</v>
      </c>
      <c r="J6" s="543" t="n">
        <f>Records!Q6</f>
        <v>4</v>
      </c>
      <c r="K6" s="543" t="n">
        <f>Records!W6</f>
        <v>3</v>
      </c>
      <c r="L6" s="543" t="n">
        <f>Records!X6</f>
        <v>4</v>
      </c>
      <c r="M6" s="543" t="n">
        <f>IF(COUNT(Records!S6:U6)=0,"",AVERAGE(Records!S6:U6))</f>
        <v>4.666666666666667</v>
      </c>
      <c r="N6" s="543" t="n">
        <f>IF(COUNT(Records!O6,Records!P6,Records!V6)=0,"",AVERAGE(Records!O6,Records!P6,Records!V6))</f>
        <v>5.333333333333333</v>
      </c>
      <c r="O6" s="523" t="str">
        <f>Records!AD6</f>
        <v>是</v>
      </c>
      <c r="P6" s="544" t="n">
        <f>6</f>
        <v>6</v>
      </c>
      <c r="Q6" s="523"/>
      <c r="R6" s="523"/>
      <c r="S6" s="523"/>
      <c r="T6" s="523"/>
      <c r="U6" s="523"/>
      <c r="V6" s="523"/>
    </row>
    <row r="7">
      <c r="A7" s="523" t="str">
        <f>Records!A7</f>
        <v>P001</v>
      </c>
      <c r="B7" s="523" t="n">
        <f>Records!B7</f>
        <v>3</v>
      </c>
      <c r="C7" s="523" t="str">
        <f>Records!E7</f>
        <v>固定订书机</v>
      </c>
      <c r="D7" s="523" t="str">
        <f>Records!G7</f>
        <v>方法B</v>
      </c>
      <c r="E7" s="523" t="str">
        <f>Records!H7</f>
        <v>One-Euro</v>
      </c>
      <c r="F7" s="543" t="n">
        <f>Records!K7</f>
        <v>4</v>
      </c>
      <c r="G7" s="543" t="n">
        <f>Records!R7</f>
        <v>6</v>
      </c>
      <c r="H7" s="543" t="n">
        <f>Records!L7</f>
        <v>4</v>
      </c>
      <c r="I7" s="543" t="n">
        <f>Records!M7</f>
        <v>3</v>
      </c>
      <c r="J7" s="543" t="n">
        <f>Records!Q7</f>
        <v>3</v>
      </c>
      <c r="K7" s="543" t="n">
        <f>Records!W7</f>
        <v>5</v>
      </c>
      <c r="L7" s="543" t="n">
        <f>Records!X7</f>
        <v>5</v>
      </c>
      <c r="M7" s="543" t="n">
        <f>IF(COUNT(Records!S7:U7)=0,"",AVERAGE(Records!S7:U7))</f>
        <v>5.333333333333333</v>
      </c>
      <c r="N7" s="543" t="n">
        <f>IF(COUNT(Records!O7,Records!P7,Records!V7)=0,"",AVERAGE(Records!O7,Records!P7,Records!V7))</f>
        <v>4.666666666666667</v>
      </c>
      <c r="O7" s="523" t="str">
        <f>Records!AD7</f>
        <v>是</v>
      </c>
      <c r="P7" s="544" t="n">
        <f>7</f>
        <v>7</v>
      </c>
      <c r="Q7" s="523"/>
      <c r="R7" s="523"/>
      <c r="S7" s="523"/>
      <c r="T7" s="523"/>
      <c r="U7" s="523"/>
      <c r="V7" s="523"/>
    </row>
    <row r="8">
      <c r="A8" s="523" t="str">
        <f>Records!A8</f>
        <v>P001</v>
      </c>
      <c r="B8" s="523" t="n">
        <f>Records!B8</f>
        <v>4</v>
      </c>
      <c r="C8" s="523" t="str">
        <f>Records!E8</f>
        <v>固定订书机</v>
      </c>
      <c r="D8" s="523" t="str">
        <f>Records!G8</f>
        <v>方法A</v>
      </c>
      <c r="E8" s="523" t="str">
        <f>Records!H8</f>
        <v>EgoAnchor</v>
      </c>
      <c r="F8" s="543" t="n">
        <f>Records!K8</f>
        <v>5</v>
      </c>
      <c r="G8" s="543" t="n">
        <f>Records!R8</f>
        <v>6</v>
      </c>
      <c r="H8" s="543" t="n">
        <f>Records!L8</f>
        <v>6</v>
      </c>
      <c r="I8" s="543" t="n">
        <f>Records!M8</f>
        <v>5</v>
      </c>
      <c r="J8" s="543" t="n">
        <f>Records!Q8</f>
        <v>6</v>
      </c>
      <c r="K8" s="543" t="n">
        <f>Records!W8</f>
        <v>6</v>
      </c>
      <c r="L8" s="543" t="n">
        <f>Records!X8</f>
        <v>4</v>
      </c>
      <c r="M8" s="543" t="n">
        <f>IF(COUNT(Records!S8:U8)=0,"",AVERAGE(Records!S8:U8))</f>
        <v>5.333333333333333</v>
      </c>
      <c r="N8" s="543" t="n">
        <f>IF(COUNT(Records!O8,Records!P8,Records!V8)=0,"",AVERAGE(Records!O8,Records!P8,Records!V8))</f>
        <v>5</v>
      </c>
      <c r="O8" s="523" t="str">
        <f>Records!AD8</f>
        <v>是</v>
      </c>
      <c r="P8" s="544" t="n">
        <f>8</f>
        <v>8</v>
      </c>
      <c r="Q8" s="523"/>
      <c r="R8" s="523"/>
      <c r="S8" s="523"/>
      <c r="T8" s="523"/>
      <c r="U8" s="523"/>
      <c r="V8" s="523"/>
    </row>
    <row r="9">
      <c r="A9" s="523" t="str">
        <f>Records!A9</f>
        <v>P001</v>
      </c>
      <c r="B9" s="523" t="n">
        <f>Records!B9</f>
        <v>5</v>
      </c>
      <c r="C9" s="523" t="str">
        <f>Records!E9</f>
        <v>游戏手柄</v>
      </c>
      <c r="D9" s="523" t="str">
        <f>Records!G9</f>
        <v>方法A</v>
      </c>
      <c r="E9" s="523" t="str">
        <f>Records!H9</f>
        <v>EgoAnchor</v>
      </c>
      <c r="F9" s="543" t="n">
        <f>Records!K9</f>
        <v>5</v>
      </c>
      <c r="G9" s="543" t="n">
        <f>Records!R9</f>
        <v>5</v>
      </c>
      <c r="H9" s="543" t="n">
        <f>Records!L9</f>
        <v>5</v>
      </c>
      <c r="I9" s="543" t="n">
        <f>Records!M9</f>
        <v>4</v>
      </c>
      <c r="J9" s="543" t="n">
        <f>Records!Q9</f>
        <v>5</v>
      </c>
      <c r="K9" s="543" t="n">
        <f>Records!W9</f>
        <v>5</v>
      </c>
      <c r="L9" s="543" t="n">
        <f>Records!X9</f>
        <v>5</v>
      </c>
      <c r="M9" s="543" t="n">
        <f>IF(COUNT(Records!S9:U9)=0,"",AVERAGE(Records!S9:U9))</f>
        <v>4.333333333333333</v>
      </c>
      <c r="N9" s="543" t="n">
        <f>IF(COUNT(Records!O9,Records!P9,Records!V9)=0,"",AVERAGE(Records!O9,Records!P9,Records!V9))</f>
        <v>5</v>
      </c>
      <c r="O9" s="523" t="str">
        <f>Records!AD9</f>
        <v>是</v>
      </c>
      <c r="P9" s="544" t="n">
        <f>9</f>
        <v>9</v>
      </c>
      <c r="Q9" s="523"/>
      <c r="R9" s="523"/>
      <c r="S9" s="523"/>
      <c r="T9" s="523"/>
      <c r="U9" s="523"/>
      <c r="V9" s="523"/>
    </row>
    <row r="10">
      <c r="A10" s="523" t="str">
        <f>Records!A10</f>
        <v>P001</v>
      </c>
      <c r="B10" s="523" t="n">
        <f>Records!B10</f>
        <v>6</v>
      </c>
      <c r="C10" s="523" t="str">
        <f>Records!E10</f>
        <v>游戏手柄</v>
      </c>
      <c r="D10" s="523" t="str">
        <f>Records!G10</f>
        <v>方法B</v>
      </c>
      <c r="E10" s="523" t="str">
        <f>Records!H10</f>
        <v>One-Euro</v>
      </c>
      <c r="F10" s="543" t="n">
        <f>Records!K10</f>
        <v>3</v>
      </c>
      <c r="G10" s="543" t="n">
        <f>Records!R10</f>
        <v>5</v>
      </c>
      <c r="H10" s="543" t="n">
        <f>Records!L10</f>
        <v>5</v>
      </c>
      <c r="I10" s="543" t="n">
        <f>Records!M10</f>
        <v>6</v>
      </c>
      <c r="J10" s="543" t="n">
        <f>Records!Q10</f>
        <v>4</v>
      </c>
      <c r="K10" s="543" t="n">
        <f>Records!W10</f>
        <v>4</v>
      </c>
      <c r="L10" s="543" t="n">
        <f>Records!X10</f>
        <v>4</v>
      </c>
      <c r="M10" s="543" t="n">
        <f>IF(COUNT(Records!S10:U10)=0,"",AVERAGE(Records!S10:U10))</f>
        <v>4</v>
      </c>
      <c r="N10" s="543" t="n">
        <f>IF(COUNT(Records!O10,Records!P10,Records!V10)=0,"",AVERAGE(Records!O10,Records!P10,Records!V10))</f>
        <v>4.666666666666667</v>
      </c>
      <c r="O10" s="523" t="str">
        <f>Records!AD10</f>
        <v>是</v>
      </c>
      <c r="P10" s="544" t="n">
        <f>10</f>
        <v>10</v>
      </c>
      <c r="Q10" s="523"/>
      <c r="R10" s="523"/>
      <c r="S10" s="523"/>
      <c r="T10" s="523"/>
      <c r="U10" s="523"/>
      <c r="V10" s="523"/>
    </row>
    <row r="11">
      <c r="A11" s="523" t="str">
        <f>Records!A11</f>
        <v>P002</v>
      </c>
      <c r="B11" s="523" t="n">
        <f>Records!B11</f>
        <v>1</v>
      </c>
      <c r="C11" s="523" t="str">
        <f>Records!E11</f>
        <v>鼠标</v>
      </c>
      <c r="D11" s="523" t="str">
        <f>Records!G11</f>
        <v>方法B</v>
      </c>
      <c r="E11" s="523" t="str">
        <f>Records!H11</f>
        <v>One-Euro</v>
      </c>
      <c r="F11" s="543" t="n">
        <f>Records!K11</f>
        <v>5</v>
      </c>
      <c r="G11" s="543" t="n">
        <f>Records!R11</f>
        <v>5</v>
      </c>
      <c r="H11" s="543" t="n">
        <f>Records!L11</f>
        <v>7</v>
      </c>
      <c r="I11" s="543" t="n">
        <f>Records!M11</f>
        <v>4</v>
      </c>
      <c r="J11" s="543" t="n">
        <f>Records!Q11</f>
        <v>6</v>
      </c>
      <c r="K11" s="543" t="n">
        <f>Records!W11</f>
        <v>4</v>
      </c>
      <c r="L11" s="543" t="n">
        <f>Records!X11</f>
        <v>6</v>
      </c>
      <c r="M11" s="543" t="n">
        <f>IF(COUNT(Records!S11:U11)=0,"",AVERAGE(Records!S11:U11))</f>
        <v>5.333333333333333</v>
      </c>
      <c r="N11" s="543" t="n">
        <f>IF(COUNT(Records!O11,Records!P11,Records!V11)=0,"",AVERAGE(Records!O11,Records!P11,Records!V11))</f>
        <v>5.666666666666667</v>
      </c>
      <c r="O11" s="523" t="str">
        <f>Records!AD11</f>
        <v>是</v>
      </c>
      <c r="P11" s="544" t="n">
        <f>11</f>
        <v>11</v>
      </c>
      <c r="Q11" s="523"/>
      <c r="R11" s="523"/>
      <c r="S11" s="523"/>
      <c r="T11" s="523"/>
      <c r="U11" s="523"/>
      <c r="V11" s="523"/>
    </row>
    <row r="12">
      <c r="A12" s="523" t="str">
        <f>Records!A12</f>
        <v>P002</v>
      </c>
      <c r="B12" s="523" t="n">
        <f>Records!B12</f>
        <v>2</v>
      </c>
      <c r="C12" s="523" t="str">
        <f>Records!E12</f>
        <v>鼠标</v>
      </c>
      <c r="D12" s="523" t="str">
        <f>Records!G12</f>
        <v>方法A</v>
      </c>
      <c r="E12" s="523" t="str">
        <f>Records!H12</f>
        <v>EgoAnchor</v>
      </c>
      <c r="F12" s="543" t="n">
        <f>Records!K12</f>
        <v>5</v>
      </c>
      <c r="G12" s="543" t="n">
        <f>Records!R12</f>
        <v>5</v>
      </c>
      <c r="H12" s="543" t="n">
        <f>Records!L12</f>
        <v>7</v>
      </c>
      <c r="I12" s="543" t="n">
        <f>Records!M12</f>
        <v>6</v>
      </c>
      <c r="J12" s="543" t="n">
        <f>Records!Q12</f>
        <v>6</v>
      </c>
      <c r="K12" s="543" t="n">
        <f>Records!W12</f>
        <v>7</v>
      </c>
      <c r="L12" s="543" t="n">
        <f>Records!X12</f>
        <v>6</v>
      </c>
      <c r="M12" s="543" t="n">
        <f>IF(COUNT(Records!S12:U12)=0,"",AVERAGE(Records!S12:U12))</f>
        <v>6</v>
      </c>
      <c r="N12" s="543" t="n">
        <f>IF(COUNT(Records!O12,Records!P12,Records!V12)=0,"",AVERAGE(Records!O12,Records!P12,Records!V12))</f>
        <v>4.666666666666667</v>
      </c>
      <c r="O12" s="523" t="str">
        <f>Records!AD12</f>
        <v>是</v>
      </c>
      <c r="P12" s="544" t="n">
        <f>12</f>
        <v>12</v>
      </c>
      <c r="Q12" s="523"/>
      <c r="R12" s="523"/>
      <c r="S12" s="523"/>
      <c r="T12" s="523"/>
      <c r="U12" s="523"/>
      <c r="V12" s="523"/>
    </row>
    <row r="13">
      <c r="A13" s="523" t="str">
        <f>Records!A13</f>
        <v>P002</v>
      </c>
      <c r="B13" s="523" t="n">
        <f>Records!B13</f>
        <v>3</v>
      </c>
      <c r="C13" s="523" t="str">
        <f>Records!E13</f>
        <v>固定订书机</v>
      </c>
      <c r="D13" s="523" t="str">
        <f>Records!G13</f>
        <v>方法A</v>
      </c>
      <c r="E13" s="523" t="str">
        <f>Records!H13</f>
        <v>EgoAnchor</v>
      </c>
      <c r="F13" s="543" t="n">
        <f>Records!K13</f>
        <v>5</v>
      </c>
      <c r="G13" s="543" t="n">
        <f>Records!R13</f>
        <v>6</v>
      </c>
      <c r="H13" s="543" t="n">
        <f>Records!L13</f>
        <v>5</v>
      </c>
      <c r="I13" s="543" t="n">
        <f>Records!M13</f>
        <v>6</v>
      </c>
      <c r="J13" s="543" t="n">
        <f>Records!Q13</f>
        <v>7</v>
      </c>
      <c r="K13" s="543" t="n">
        <f>Records!W13</f>
        <v>7</v>
      </c>
      <c r="L13" s="543" t="n">
        <f>Records!X13</f>
        <v>6</v>
      </c>
      <c r="M13" s="543" t="n">
        <f>IF(COUNT(Records!S13:U13)=0,"",AVERAGE(Records!S13:U13))</f>
        <v>5.333333333333333</v>
      </c>
      <c r="N13" s="543" t="n">
        <f>IF(COUNT(Records!O13,Records!P13,Records!V13)=0,"",AVERAGE(Records!O13,Records!P13,Records!V13))</f>
        <v>6.333333333333333</v>
      </c>
      <c r="O13" s="523" t="str">
        <f>Records!AD13</f>
        <v>是</v>
      </c>
      <c r="P13" s="544" t="n">
        <f>13</f>
        <v>13</v>
      </c>
      <c r="Q13" s="523"/>
      <c r="R13" s="523"/>
      <c r="S13" s="523"/>
      <c r="T13" s="523"/>
      <c r="U13" s="523"/>
      <c r="V13" s="523"/>
    </row>
    <row r="14">
      <c r="A14" s="523" t="str">
        <f>Records!A14</f>
        <v>P002</v>
      </c>
      <c r="B14" s="523" t="n">
        <f>Records!B14</f>
        <v>4</v>
      </c>
      <c r="C14" s="523" t="str">
        <f>Records!E14</f>
        <v>固定订书机</v>
      </c>
      <c r="D14" s="523" t="str">
        <f>Records!G14</f>
        <v>方法B</v>
      </c>
      <c r="E14" s="523" t="str">
        <f>Records!H14</f>
        <v>One-Euro</v>
      </c>
      <c r="F14" s="543" t="n">
        <f>Records!K14</f>
        <v>5</v>
      </c>
      <c r="G14" s="543" t="n">
        <f>Records!R14</f>
        <v>5</v>
      </c>
      <c r="H14" s="543" t="n">
        <f>Records!L14</f>
        <v>7</v>
      </c>
      <c r="I14" s="543" t="n">
        <f>Records!M14</f>
        <v>5</v>
      </c>
      <c r="J14" s="543" t="n">
        <f>Records!Q14</f>
        <v>3</v>
      </c>
      <c r="K14" s="543" t="n">
        <f>Records!W14</f>
        <v>5</v>
      </c>
      <c r="L14" s="543" t="n">
        <f>Records!X14</f>
        <v>5</v>
      </c>
      <c r="M14" s="543" t="n">
        <f>IF(COUNT(Records!S14:U14)=0,"",AVERAGE(Records!S14:U14))</f>
        <v>5.333333333333333</v>
      </c>
      <c r="N14" s="543" t="n">
        <f>IF(COUNT(Records!O14,Records!P14,Records!V14)=0,"",AVERAGE(Records!O14,Records!P14,Records!V14))</f>
        <v>6.333333333333333</v>
      </c>
      <c r="O14" s="523" t="str">
        <f>Records!AD14</f>
        <v>是</v>
      </c>
      <c r="P14" s="544" t="n">
        <f>14</f>
        <v>14</v>
      </c>
      <c r="Q14" s="523"/>
      <c r="R14" s="523"/>
      <c r="S14" s="523"/>
      <c r="T14" s="523"/>
      <c r="U14" s="523"/>
      <c r="V14" s="523"/>
    </row>
    <row r="15">
      <c r="A15" s="523" t="str">
        <f>Records!A15</f>
        <v>P002</v>
      </c>
      <c r="B15" s="523" t="n">
        <f>Records!B15</f>
        <v>5</v>
      </c>
      <c r="C15" s="523" t="str">
        <f>Records!E15</f>
        <v>游戏手柄</v>
      </c>
      <c r="D15" s="523" t="str">
        <f>Records!G15</f>
        <v>方法B</v>
      </c>
      <c r="E15" s="523" t="str">
        <f>Records!H15</f>
        <v>One-Euro</v>
      </c>
      <c r="F15" s="543" t="n">
        <f>Records!K15</f>
        <v>4</v>
      </c>
      <c r="G15" s="543" t="n">
        <f>Records!R15</f>
        <v>4</v>
      </c>
      <c r="H15" s="543" t="n">
        <f>Records!L15</f>
        <v>5</v>
      </c>
      <c r="I15" s="543" t="n">
        <f>Records!M15</f>
        <v>4</v>
      </c>
      <c r="J15" s="543" t="n">
        <f>Records!Q15</f>
        <v>5</v>
      </c>
      <c r="K15" s="543" t="n">
        <f>Records!W15</f>
        <v>6</v>
      </c>
      <c r="L15" s="543" t="n">
        <f>Records!X15</f>
        <v>3</v>
      </c>
      <c r="M15" s="543" t="n">
        <f>IF(COUNT(Records!S15:U15)=0,"",AVERAGE(Records!S15:U15))</f>
        <v>5</v>
      </c>
      <c r="N15" s="543" t="n">
        <f>IF(COUNT(Records!O15,Records!P15,Records!V15)=0,"",AVERAGE(Records!O15,Records!P15,Records!V15))</f>
        <v>5</v>
      </c>
      <c r="O15" s="523" t="str">
        <f>Records!AD15</f>
        <v>是</v>
      </c>
      <c r="P15" s="544" t="n">
        <f>15</f>
        <v>15</v>
      </c>
      <c r="Q15" s="523"/>
      <c r="R15" s="523"/>
      <c r="S15" s="523"/>
      <c r="T15" s="523"/>
      <c r="U15" s="523"/>
      <c r="V15" s="523"/>
    </row>
    <row r="16">
      <c r="A16" s="523" t="str">
        <f>Records!A16</f>
        <v>P002</v>
      </c>
      <c r="B16" s="523" t="n">
        <f>Records!B16</f>
        <v>6</v>
      </c>
      <c r="C16" s="523" t="str">
        <f>Records!E16</f>
        <v>游戏手柄</v>
      </c>
      <c r="D16" s="523" t="str">
        <f>Records!G16</f>
        <v>方法A</v>
      </c>
      <c r="E16" s="523" t="str">
        <f>Records!H16</f>
        <v>EgoAnchor</v>
      </c>
      <c r="F16" s="543" t="n">
        <f>Records!K16</f>
        <v>6</v>
      </c>
      <c r="G16" s="543" t="n">
        <f>Records!R16</f>
        <v>7</v>
      </c>
      <c r="H16" s="543" t="n">
        <f>Records!L16</f>
        <v>3</v>
      </c>
      <c r="I16" s="543" t="n">
        <f>Records!M16</f>
        <v>6</v>
      </c>
      <c r="J16" s="543" t="n">
        <f>Records!Q16</f>
        <v>6</v>
      </c>
      <c r="K16" s="543" t="n">
        <f>Records!W16</f>
        <v>6</v>
      </c>
      <c r="L16" s="543" t="n">
        <f>Records!X16</f>
        <v>4</v>
      </c>
      <c r="M16" s="543" t="n">
        <f>IF(COUNT(Records!S16:U16)=0,"",AVERAGE(Records!S16:U16))</f>
        <v>5.666666666666667</v>
      </c>
      <c r="N16" s="543" t="n">
        <f>IF(COUNT(Records!O16,Records!P16,Records!V16)=0,"",AVERAGE(Records!O16,Records!P16,Records!V16))</f>
        <v>5.666666666666667</v>
      </c>
      <c r="O16" s="523" t="str">
        <f>Records!AD16</f>
        <v>是</v>
      </c>
      <c r="P16" s="544" t="n">
        <f>16</f>
        <v>16</v>
      </c>
      <c r="Q16" s="523"/>
      <c r="R16" s="523"/>
      <c r="S16" s="523"/>
      <c r="T16" s="523"/>
      <c r="U16" s="523"/>
      <c r="V16" s="523"/>
    </row>
    <row r="17">
      <c r="A17" s="523" t="str">
        <f>Records!A17</f>
        <v>P003</v>
      </c>
      <c r="B17" s="523" t="n">
        <f>Records!B17</f>
        <v>1</v>
      </c>
      <c r="C17" s="523" t="str">
        <f>Records!E17</f>
        <v>鼠标</v>
      </c>
      <c r="D17" s="523" t="str">
        <f>Records!G17</f>
        <v>方法B</v>
      </c>
      <c r="E17" s="523" t="str">
        <f>Records!H17</f>
        <v>EgoAnchor</v>
      </c>
      <c r="F17" s="543" t="n">
        <f>Records!K17</f>
        <v>5</v>
      </c>
      <c r="G17" s="543" t="n">
        <f>Records!R17</f>
        <v>5</v>
      </c>
      <c r="H17" s="543" t="n">
        <f>Records!L17</f>
        <v>4</v>
      </c>
      <c r="I17" s="543" t="n">
        <f>Records!M17</f>
        <v>5</v>
      </c>
      <c r="J17" s="543" t="n">
        <f>Records!Q17</f>
        <v>6</v>
      </c>
      <c r="K17" s="543" t="n">
        <f>Records!W17</f>
        <v>5</v>
      </c>
      <c r="L17" s="543" t="n">
        <f>Records!X17</f>
        <v>5</v>
      </c>
      <c r="M17" s="543" t="n">
        <f>IF(COUNT(Records!S17:U17)=0,"",AVERAGE(Records!S17:U17))</f>
        <v>5.666666666666667</v>
      </c>
      <c r="N17" s="543" t="n">
        <f>IF(COUNT(Records!O17,Records!P17,Records!V17)=0,"",AVERAGE(Records!O17,Records!P17,Records!V17))</f>
        <v>5.333333333333333</v>
      </c>
      <c r="O17" s="523" t="str">
        <f>Records!AD17</f>
        <v>是</v>
      </c>
      <c r="P17" s="544" t="n">
        <f>17</f>
        <v>17</v>
      </c>
      <c r="Q17" s="523"/>
      <c r="R17" s="523"/>
      <c r="S17" s="523"/>
      <c r="T17" s="523"/>
      <c r="U17" s="523"/>
      <c r="V17" s="523"/>
    </row>
    <row r="18">
      <c r="A18" s="523" t="str">
        <f>Records!A18</f>
        <v>P003</v>
      </c>
      <c r="B18" s="523" t="n">
        <f>Records!B18</f>
        <v>2</v>
      </c>
      <c r="C18" s="523" t="str">
        <f>Records!E18</f>
        <v>鼠标</v>
      </c>
      <c r="D18" s="523" t="str">
        <f>Records!G18</f>
        <v>方法A</v>
      </c>
      <c r="E18" s="523" t="str">
        <f>Records!H18</f>
        <v>One-Euro</v>
      </c>
      <c r="F18" s="543" t="n">
        <f>Records!K18</f>
        <v>5</v>
      </c>
      <c r="G18" s="543" t="n">
        <f>Records!R18</f>
        <v>5</v>
      </c>
      <c r="H18" s="543" t="n">
        <f>Records!L18</f>
        <v>5</v>
      </c>
      <c r="I18" s="543" t="n">
        <f>Records!M18</f>
        <v>4</v>
      </c>
      <c r="J18" s="543" t="n">
        <f>Records!Q18</f>
        <v>5</v>
      </c>
      <c r="K18" s="543" t="n">
        <f>Records!W18</f>
        <v>4</v>
      </c>
      <c r="L18" s="543" t="n">
        <f>Records!X18</f>
        <v>6</v>
      </c>
      <c r="M18" s="543" t="n">
        <f>IF(COUNT(Records!S18:U18)=0,"",AVERAGE(Records!S18:U18))</f>
        <v>4.666666666666667</v>
      </c>
      <c r="N18" s="543" t="n">
        <f>IF(COUNT(Records!O18,Records!P18,Records!V18)=0,"",AVERAGE(Records!O18,Records!P18,Records!V18))</f>
        <v>6</v>
      </c>
      <c r="O18" s="523" t="str">
        <f>Records!AD18</f>
        <v>是</v>
      </c>
      <c r="P18" s="544" t="n">
        <f>18</f>
        <v>18</v>
      </c>
      <c r="Q18" s="523"/>
      <c r="R18" s="523"/>
      <c r="S18" s="523"/>
      <c r="T18" s="523"/>
      <c r="U18" s="523"/>
      <c r="V18" s="523"/>
    </row>
    <row r="19">
      <c r="A19" s="523" t="str">
        <f>Records!A19</f>
        <v>P003</v>
      </c>
      <c r="B19" s="523" t="n">
        <f>Records!B19</f>
        <v>3</v>
      </c>
      <c r="C19" s="523" t="str">
        <f>Records!E19</f>
        <v>固定订书机</v>
      </c>
      <c r="D19" s="523" t="str">
        <f>Records!G19</f>
        <v>方法A</v>
      </c>
      <c r="E19" s="523" t="str">
        <f>Records!H19</f>
        <v>One-Euro</v>
      </c>
      <c r="F19" s="543" t="n">
        <f>Records!K19</f>
        <v>4</v>
      </c>
      <c r="G19" s="543" t="n">
        <f>Records!R19</f>
        <v>6</v>
      </c>
      <c r="H19" s="543" t="n">
        <f>Records!L19</f>
        <v>3</v>
      </c>
      <c r="I19" s="543" t="n">
        <f>Records!M19</f>
        <v>4</v>
      </c>
      <c r="J19" s="543" t="n">
        <f>Records!Q19</f>
        <v>5</v>
      </c>
      <c r="K19" s="543" t="n">
        <f>Records!W19</f>
        <v>5</v>
      </c>
      <c r="L19" s="543" t="n">
        <f>Records!X19</f>
        <v>5</v>
      </c>
      <c r="M19" s="543" t="n">
        <f>IF(COUNT(Records!S19:U19)=0,"",AVERAGE(Records!S19:U19))</f>
        <v>5.333333333333333</v>
      </c>
      <c r="N19" s="543" t="n">
        <f>IF(COUNT(Records!O19,Records!P19,Records!V19)=0,"",AVERAGE(Records!O19,Records!P19,Records!V19))</f>
        <v>4.666666666666667</v>
      </c>
      <c r="O19" s="523" t="str">
        <f>Records!AD19</f>
        <v>是</v>
      </c>
      <c r="P19" s="544" t="n">
        <f>19</f>
        <v>19</v>
      </c>
      <c r="Q19" s="523"/>
      <c r="R19" s="523"/>
      <c r="S19" s="523"/>
      <c r="T19" s="523"/>
      <c r="U19" s="523"/>
      <c r="V19" s="523"/>
    </row>
    <row r="20">
      <c r="A20" s="523" t="str">
        <f>Records!A20</f>
        <v>P003</v>
      </c>
      <c r="B20" s="523" t="n">
        <f>Records!B20</f>
        <v>4</v>
      </c>
      <c r="C20" s="523" t="str">
        <f>Records!E20</f>
        <v>固定订书机</v>
      </c>
      <c r="D20" s="523" t="str">
        <f>Records!G20</f>
        <v>方法B</v>
      </c>
      <c r="E20" s="523" t="str">
        <f>Records!H20</f>
        <v>EgoAnchor</v>
      </c>
      <c r="F20" s="543" t="n">
        <f>Records!K20</f>
        <v>6</v>
      </c>
      <c r="G20" s="543" t="n">
        <f>Records!R20</f>
        <v>5</v>
      </c>
      <c r="H20" s="543" t="n">
        <f>Records!L20</f>
        <v>5</v>
      </c>
      <c r="I20" s="543" t="n">
        <f>Records!M20</f>
        <v>5</v>
      </c>
      <c r="J20" s="543" t="n">
        <f>Records!Q20</f>
        <v>5</v>
      </c>
      <c r="K20" s="543" t="n">
        <f>Records!W20</f>
        <v>5</v>
      </c>
      <c r="L20" s="543" t="n">
        <f>Records!X20</f>
        <v>5</v>
      </c>
      <c r="M20" s="543" t="n">
        <f>IF(COUNT(Records!S20:U20)=0,"",AVERAGE(Records!S20:U20))</f>
        <v>5.333333333333333</v>
      </c>
      <c r="N20" s="543" t="n">
        <f>IF(COUNT(Records!O20,Records!P20,Records!V20)=0,"",AVERAGE(Records!O20,Records!P20,Records!V20))</f>
        <v>6.333333333333333</v>
      </c>
      <c r="O20" s="523" t="str">
        <f>Records!AD20</f>
        <v>是</v>
      </c>
      <c r="P20" s="544" t="n">
        <f>20</f>
        <v>20</v>
      </c>
      <c r="Q20" s="523"/>
      <c r="R20" s="523"/>
      <c r="S20" s="523"/>
      <c r="T20" s="523"/>
      <c r="U20" s="523"/>
      <c r="V20" s="523"/>
    </row>
    <row r="21">
      <c r="A21" s="523" t="str">
        <f>Records!A21</f>
        <v>P003</v>
      </c>
      <c r="B21" s="523" t="n">
        <f>Records!B21</f>
        <v>5</v>
      </c>
      <c r="C21" s="523" t="str">
        <f>Records!E21</f>
        <v>游戏手柄</v>
      </c>
      <c r="D21" s="523" t="str">
        <f>Records!G21</f>
        <v>方法B</v>
      </c>
      <c r="E21" s="523" t="str">
        <f>Records!H21</f>
        <v>EgoAnchor</v>
      </c>
      <c r="F21" s="543" t="n">
        <f>Records!K21</f>
        <v>6</v>
      </c>
      <c r="G21" s="543" t="n">
        <f>Records!R21</f>
        <v>5</v>
      </c>
      <c r="H21" s="543" t="n">
        <f>Records!L21</f>
        <v>5</v>
      </c>
      <c r="I21" s="543" t="n">
        <f>Records!M21</f>
        <v>6</v>
      </c>
      <c r="J21" s="543" t="n">
        <f>Records!Q21</f>
        <v>6</v>
      </c>
      <c r="K21" s="543" t="n">
        <f>Records!W21</f>
        <v>6</v>
      </c>
      <c r="L21" s="543" t="n">
        <f>Records!X21</f>
        <v>5</v>
      </c>
      <c r="M21" s="543" t="n">
        <f>IF(COUNT(Records!S21:U21)=0,"",AVERAGE(Records!S21:U21))</f>
        <v>6</v>
      </c>
      <c r="N21" s="543" t="n">
        <f>IF(COUNT(Records!O21,Records!P21,Records!V21)=0,"",AVERAGE(Records!O21,Records!P21,Records!V21))</f>
        <v>5.666666666666667</v>
      </c>
      <c r="O21" s="523" t="str">
        <f>Records!AD21</f>
        <v>是</v>
      </c>
      <c r="P21" s="544" t="n">
        <f>21</f>
        <v>21</v>
      </c>
      <c r="Q21" s="523"/>
      <c r="R21" s="523"/>
      <c r="S21" s="523"/>
      <c r="T21" s="523"/>
      <c r="U21" s="523"/>
      <c r="V21" s="523"/>
    </row>
    <row r="22">
      <c r="A22" s="523" t="str">
        <f>Records!A22</f>
        <v>P003</v>
      </c>
      <c r="B22" s="523" t="n">
        <f>Records!B22</f>
        <v>6</v>
      </c>
      <c r="C22" s="523" t="str">
        <f>Records!E22</f>
        <v>游戏手柄</v>
      </c>
      <c r="D22" s="523" t="str">
        <f>Records!G22</f>
        <v>方法A</v>
      </c>
      <c r="E22" s="523" t="str">
        <f>Records!H22</f>
        <v>One-Euro</v>
      </c>
      <c r="F22" s="543" t="n">
        <f>Records!K22</f>
        <v>5</v>
      </c>
      <c r="G22" s="543" t="n">
        <f>Records!R22</f>
        <v>4</v>
      </c>
      <c r="H22" s="543" t="n">
        <f>Records!L22</f>
        <v>7</v>
      </c>
      <c r="I22" s="543" t="n">
        <f>Records!M22</f>
        <v>5</v>
      </c>
      <c r="J22" s="543" t="n">
        <f>Records!Q22</f>
        <v>4</v>
      </c>
      <c r="K22" s="543" t="n">
        <f>Records!W22</f>
        <v>4</v>
      </c>
      <c r="L22" s="543" t="n">
        <f>Records!X22</f>
        <v>4</v>
      </c>
      <c r="M22" s="543" t="n">
        <f>IF(COUNT(Records!S22:U22)=0,"",AVERAGE(Records!S22:U22))</f>
        <v>5</v>
      </c>
      <c r="N22" s="543" t="n">
        <f>IF(COUNT(Records!O22,Records!P22,Records!V22)=0,"",AVERAGE(Records!O22,Records!P22,Records!V22))</f>
        <v>5.333333333333333</v>
      </c>
      <c r="O22" s="523" t="str">
        <f>Records!AD22</f>
        <v>是</v>
      </c>
      <c r="P22" s="544" t="n">
        <f>22</f>
        <v>22</v>
      </c>
      <c r="Q22" s="523"/>
      <c r="R22" s="523"/>
      <c r="S22" s="523"/>
      <c r="T22" s="523"/>
      <c r="U22" s="523"/>
      <c r="V22" s="523"/>
    </row>
    <row r="23">
      <c r="A23" s="523" t="str">
        <f>Records!A23</f>
        <v>P004</v>
      </c>
      <c r="B23" s="523" t="n">
        <f>Records!B23</f>
        <v>1</v>
      </c>
      <c r="C23" s="523" t="str">
        <f>Records!E23</f>
        <v>鼠标</v>
      </c>
      <c r="D23" s="523" t="str">
        <f>Records!G23</f>
        <v>方法A</v>
      </c>
      <c r="E23" s="523" t="str">
        <f>Records!H23</f>
        <v>One-Euro</v>
      </c>
      <c r="F23" s="543" t="n">
        <f>Records!K23</f>
        <v>5</v>
      </c>
      <c r="G23" s="543" t="n">
        <f>Records!R23</f>
        <v>5</v>
      </c>
      <c r="H23" s="543" t="n">
        <f>Records!L23</f>
        <v>4</v>
      </c>
      <c r="I23" s="543" t="n">
        <f>Records!M23</f>
        <v>3</v>
      </c>
      <c r="J23" s="543" t="n">
        <f>Records!Q23</f>
        <v>5</v>
      </c>
      <c r="K23" s="543" t="n">
        <f>Records!W23</f>
        <v>5</v>
      </c>
      <c r="L23" s="543" t="n">
        <f>Records!X23</f>
        <v>4</v>
      </c>
      <c r="M23" s="543" t="n">
        <f>IF(COUNT(Records!S23:U23)=0,"",AVERAGE(Records!S23:U23))</f>
        <v>4.333333333333333</v>
      </c>
      <c r="N23" s="543" t="n">
        <f>IF(COUNT(Records!O23,Records!P23,Records!V23)=0,"",AVERAGE(Records!O23,Records!P23,Records!V23))</f>
        <v>4.333333333333333</v>
      </c>
      <c r="O23" s="523" t="str">
        <f>Records!AD23</f>
        <v>是</v>
      </c>
      <c r="P23" s="544" t="n">
        <f>23</f>
        <v>23</v>
      </c>
      <c r="Q23" s="523"/>
      <c r="R23" s="523"/>
      <c r="S23" s="523"/>
      <c r="T23" s="523"/>
      <c r="U23" s="523"/>
      <c r="V23" s="523"/>
    </row>
    <row r="24">
      <c r="A24" s="523" t="str">
        <f>Records!A24</f>
        <v>P004</v>
      </c>
      <c r="B24" s="523" t="n">
        <f>Records!B24</f>
        <v>2</v>
      </c>
      <c r="C24" s="523" t="str">
        <f>Records!E24</f>
        <v>鼠标</v>
      </c>
      <c r="D24" s="523" t="str">
        <f>Records!G24</f>
        <v>方法B</v>
      </c>
      <c r="E24" s="523" t="str">
        <f>Records!H24</f>
        <v>EgoAnchor</v>
      </c>
      <c r="F24" s="543" t="n">
        <f>Records!K24</f>
        <v>4</v>
      </c>
      <c r="G24" s="543" t="n">
        <f>Records!R24</f>
        <v>5</v>
      </c>
      <c r="H24" s="543" t="n">
        <f>Records!L24</f>
        <v>5</v>
      </c>
      <c r="I24" s="543" t="n">
        <f>Records!M24</f>
        <v>4</v>
      </c>
      <c r="J24" s="543" t="n">
        <f>Records!Q24</f>
        <v>3</v>
      </c>
      <c r="K24" s="543" t="n">
        <f>Records!W24</f>
        <v>5</v>
      </c>
      <c r="L24" s="543" t="n">
        <f>Records!X24</f>
        <v>5</v>
      </c>
      <c r="M24" s="543" t="n">
        <f>IF(COUNT(Records!S24:U24)=0,"",AVERAGE(Records!S24:U24))</f>
        <v>4.666666666666667</v>
      </c>
      <c r="N24" s="543" t="n">
        <f>IF(COUNT(Records!O24,Records!P24,Records!V24)=0,"",AVERAGE(Records!O24,Records!P24,Records!V24))</f>
        <v>4.666666666666667</v>
      </c>
      <c r="O24" s="523" t="str">
        <f>Records!AD24</f>
        <v>是</v>
      </c>
      <c r="P24" s="544" t="n">
        <f>24</f>
        <v>24</v>
      </c>
      <c r="Q24" s="523"/>
      <c r="R24" s="523"/>
      <c r="S24" s="523"/>
      <c r="T24" s="523"/>
      <c r="U24" s="523"/>
      <c r="V24" s="523"/>
    </row>
    <row r="25">
      <c r="A25" s="523" t="str">
        <f>Records!A25</f>
        <v>P004</v>
      </c>
      <c r="B25" s="523" t="n">
        <f>Records!B25</f>
        <v>3</v>
      </c>
      <c r="C25" s="523" t="str">
        <f>Records!E25</f>
        <v>固定订书机</v>
      </c>
      <c r="D25" s="523" t="str">
        <f>Records!G25</f>
        <v>方法B</v>
      </c>
      <c r="E25" s="523" t="str">
        <f>Records!H25</f>
        <v>EgoAnchor</v>
      </c>
      <c r="F25" s="543" t="n">
        <f>Records!K25</f>
        <v>4</v>
      </c>
      <c r="G25" s="543" t="n">
        <f>Records!R25</f>
        <v>6</v>
      </c>
      <c r="H25" s="543" t="n">
        <f>Records!L25</f>
        <v>4</v>
      </c>
      <c r="I25" s="543" t="n">
        <f>Records!M25</f>
        <v>4</v>
      </c>
      <c r="J25" s="543" t="n">
        <f>Records!Q25</f>
        <v>3</v>
      </c>
      <c r="K25" s="543" t="n">
        <f>Records!W25</f>
        <v>5</v>
      </c>
      <c r="L25" s="543" t="n">
        <f>Records!X25</f>
        <v>4</v>
      </c>
      <c r="M25" s="543" t="n">
        <f>IF(COUNT(Records!S25:U25)=0,"",AVERAGE(Records!S25:U25))</f>
        <v>4.333333333333333</v>
      </c>
      <c r="N25" s="543" t="n">
        <f>IF(COUNT(Records!O25,Records!P25,Records!V25)=0,"",AVERAGE(Records!O25,Records!P25,Records!V25))</f>
        <v>5.333333333333333</v>
      </c>
      <c r="O25" s="523" t="str">
        <f>Records!AD25</f>
        <v>是</v>
      </c>
      <c r="P25" s="544" t="n">
        <f>25</f>
        <v>25</v>
      </c>
      <c r="Q25" s="523"/>
      <c r="R25" s="523"/>
      <c r="S25" s="523"/>
      <c r="T25" s="523"/>
      <c r="U25" s="523"/>
      <c r="V25" s="523"/>
    </row>
    <row r="26">
      <c r="A26" s="523" t="str">
        <f>Records!A26</f>
        <v>P004</v>
      </c>
      <c r="B26" s="523" t="n">
        <f>Records!B26</f>
        <v>4</v>
      </c>
      <c r="C26" s="523" t="str">
        <f>Records!E26</f>
        <v>固定订书机</v>
      </c>
      <c r="D26" s="523" t="str">
        <f>Records!G26</f>
        <v>方法A</v>
      </c>
      <c r="E26" s="523" t="str">
        <f>Records!H26</f>
        <v>One-Euro</v>
      </c>
      <c r="F26" s="543" t="n">
        <f>Records!K26</f>
        <v>6</v>
      </c>
      <c r="G26" s="543" t="n">
        <f>Records!R26</f>
        <v>4</v>
      </c>
      <c r="H26" s="543" t="n">
        <f>Records!L26</f>
        <v>4</v>
      </c>
      <c r="I26" s="543" t="n">
        <f>Records!M26</f>
        <v>5</v>
      </c>
      <c r="J26" s="543" t="n">
        <f>Records!Q26</f>
        <v>5</v>
      </c>
      <c r="K26" s="543" t="n">
        <f>Records!W26</f>
        <v>3</v>
      </c>
      <c r="L26" s="543" t="n">
        <f>Records!X26</f>
        <v>3</v>
      </c>
      <c r="M26" s="543" t="n">
        <f>IF(COUNT(Records!S26:U26)=0,"",AVERAGE(Records!S26:U26))</f>
        <v>4.333333333333333</v>
      </c>
      <c r="N26" s="543" t="n">
        <f>IF(COUNT(Records!O26,Records!P26,Records!V26)=0,"",AVERAGE(Records!O26,Records!P26,Records!V26))</f>
        <v>4.666666666666667</v>
      </c>
      <c r="O26" s="523" t="str">
        <f>Records!AD26</f>
        <v>是</v>
      </c>
      <c r="P26" s="544" t="n">
        <f>26</f>
        <v>26</v>
      </c>
      <c r="Q26" s="523"/>
      <c r="R26" s="523"/>
      <c r="S26" s="523"/>
      <c r="T26" s="523"/>
      <c r="U26" s="523"/>
      <c r="V26" s="523"/>
    </row>
    <row r="27">
      <c r="A27" s="523" t="str">
        <f>Records!A27</f>
        <v>P004</v>
      </c>
      <c r="B27" s="523" t="n">
        <f>Records!B27</f>
        <v>5</v>
      </c>
      <c r="C27" s="523" t="str">
        <f>Records!E27</f>
        <v>游戏手柄</v>
      </c>
      <c r="D27" s="523" t="str">
        <f>Records!G27</f>
        <v>方法A</v>
      </c>
      <c r="E27" s="523" t="str">
        <f>Records!H27</f>
        <v>One-Euro</v>
      </c>
      <c r="F27" s="543" t="n">
        <f>Records!K27</f>
        <v>5</v>
      </c>
      <c r="G27" s="543" t="n">
        <f>Records!R27</f>
        <v>5</v>
      </c>
      <c r="H27" s="543" t="n">
        <f>Records!L27</f>
        <v>4</v>
      </c>
      <c r="I27" s="543" t="n">
        <f>Records!M27</f>
        <v>4</v>
      </c>
      <c r="J27" s="543" t="n">
        <f>Records!Q27</f>
        <v>4</v>
      </c>
      <c r="K27" s="543" t="n">
        <f>Records!W27</f>
        <v>5</v>
      </c>
      <c r="L27" s="543" t="n">
        <f>Records!X27</f>
        <v>4</v>
      </c>
      <c r="M27" s="543" t="n">
        <f>IF(COUNT(Records!S27:U27)=0,"",AVERAGE(Records!S27:U27))</f>
        <v>4</v>
      </c>
      <c r="N27" s="543" t="n">
        <f>IF(COUNT(Records!O27,Records!P27,Records!V27)=0,"",AVERAGE(Records!O27,Records!P27,Records!V27))</f>
        <v>4.333333333333333</v>
      </c>
      <c r="O27" s="523" t="str">
        <f>Records!AD27</f>
        <v>是</v>
      </c>
      <c r="P27" s="544" t="n">
        <f>27</f>
        <v>27</v>
      </c>
      <c r="Q27" s="523"/>
      <c r="R27" s="523"/>
      <c r="S27" s="523"/>
      <c r="T27" s="523"/>
      <c r="U27" s="523"/>
      <c r="V27" s="523"/>
    </row>
    <row r="28">
      <c r="A28" s="523" t="str">
        <f>Records!A28</f>
        <v>P004</v>
      </c>
      <c r="B28" s="523" t="n">
        <f>Records!B28</f>
        <v>6</v>
      </c>
      <c r="C28" s="523" t="str">
        <f>Records!E28</f>
        <v>游戏手柄</v>
      </c>
      <c r="D28" s="523" t="str">
        <f>Records!G28</f>
        <v>方法B</v>
      </c>
      <c r="E28" s="523" t="str">
        <f>Records!H28</f>
        <v>EgoAnchor</v>
      </c>
      <c r="F28" s="543" t="n">
        <f>Records!K28</f>
        <v>5</v>
      </c>
      <c r="G28" s="543" t="n">
        <f>Records!R28</f>
        <v>5</v>
      </c>
      <c r="H28" s="543" t="n">
        <f>Records!L28</f>
        <v>4</v>
      </c>
      <c r="I28" s="543" t="n">
        <f>Records!M28</f>
        <v>6</v>
      </c>
      <c r="J28" s="543" t="n">
        <f>Records!Q28</f>
        <v>2</v>
      </c>
      <c r="K28" s="543" t="n">
        <f>Records!W28</f>
        <v>2</v>
      </c>
      <c r="L28" s="543" t="n">
        <f>Records!X28</f>
        <v>5</v>
      </c>
      <c r="M28" s="543" t="n">
        <f>IF(COUNT(Records!S28:U28)=0,"",AVERAGE(Records!S28:U28))</f>
        <v>5</v>
      </c>
      <c r="N28" s="543" t="n">
        <f>IF(COUNT(Records!O28,Records!P28,Records!V28)=0,"",AVERAGE(Records!O28,Records!P28,Records!V28))</f>
        <v>3.6666666666666665</v>
      </c>
      <c r="O28" s="523" t="str">
        <f>Records!AD28</f>
        <v>是</v>
      </c>
      <c r="P28" s="544" t="n">
        <f>28</f>
        <v>28</v>
      </c>
      <c r="Q28" s="523"/>
      <c r="R28" s="523"/>
      <c r="S28" s="523"/>
      <c r="T28" s="523"/>
      <c r="U28" s="523"/>
      <c r="V28" s="523"/>
    </row>
    <row r="29">
      <c r="A29" s="523" t="str">
        <f>Records!A29</f>
        <v>P005</v>
      </c>
      <c r="B29" s="523" t="n">
        <f>Records!B29</f>
        <v>1</v>
      </c>
      <c r="C29" s="523" t="str">
        <f>Records!E29</f>
        <v>鼠标</v>
      </c>
      <c r="D29" s="523" t="str">
        <f>Records!G29</f>
        <v>方法A</v>
      </c>
      <c r="E29" s="523" t="str">
        <f>Records!H29</f>
        <v>EgoAnchor</v>
      </c>
      <c r="F29" s="543" t="n">
        <f>Records!K29</f>
        <v>7</v>
      </c>
      <c r="G29" s="543" t="n">
        <f>Records!R29</f>
        <v>5</v>
      </c>
      <c r="H29" s="543" t="n">
        <f>Records!L29</f>
        <v>5</v>
      </c>
      <c r="I29" s="543" t="n">
        <f>Records!M29</f>
        <v>4</v>
      </c>
      <c r="J29" s="543" t="n">
        <f>Records!Q29</f>
        <v>6</v>
      </c>
      <c r="K29" s="543" t="n">
        <f>Records!W29</f>
        <v>5</v>
      </c>
      <c r="L29" s="543" t="n">
        <f>Records!X29</f>
        <v>6</v>
      </c>
      <c r="M29" s="543" t="n">
        <f>IF(COUNT(Records!S29:U29)=0,"",AVERAGE(Records!S29:U29))</f>
        <v>5</v>
      </c>
      <c r="N29" s="543" t="n">
        <f>IF(COUNT(Records!O29,Records!P29,Records!V29)=0,"",AVERAGE(Records!O29,Records!P29,Records!V29))</f>
        <v>5</v>
      </c>
      <c r="O29" s="523" t="str">
        <f>Records!AD29</f>
        <v>是</v>
      </c>
      <c r="P29" s="544" t="n">
        <f>29</f>
        <v>29</v>
      </c>
      <c r="Q29" s="523"/>
      <c r="R29" s="523"/>
      <c r="S29" s="523"/>
      <c r="T29" s="523"/>
      <c r="U29" s="523"/>
      <c r="V29" s="523"/>
    </row>
    <row r="30">
      <c r="A30" s="523" t="str">
        <f>Records!A30</f>
        <v>P005</v>
      </c>
      <c r="B30" s="523" t="n">
        <f>Records!B30</f>
        <v>2</v>
      </c>
      <c r="C30" s="523" t="str">
        <f>Records!E30</f>
        <v>鼠标</v>
      </c>
      <c r="D30" s="523" t="str">
        <f>Records!G30</f>
        <v>方法B</v>
      </c>
      <c r="E30" s="523" t="str">
        <f>Records!H30</f>
        <v>One-Euro</v>
      </c>
      <c r="F30" s="543" t="n">
        <f>Records!K30</f>
        <v>4</v>
      </c>
      <c r="G30" s="543" t="n">
        <f>Records!R30</f>
        <v>5</v>
      </c>
      <c r="H30" s="543" t="n">
        <f>Records!L30</f>
        <v>5</v>
      </c>
      <c r="I30" s="543" t="n">
        <f>Records!M30</f>
        <v>5</v>
      </c>
      <c r="J30" s="543" t="n">
        <f>Records!Q30</f>
        <v>3</v>
      </c>
      <c r="K30" s="543" t="n">
        <f>Records!W30</f>
        <v>4</v>
      </c>
      <c r="L30" s="543" t="n">
        <f>Records!X30</f>
        <v>5</v>
      </c>
      <c r="M30" s="543" t="n">
        <f>IF(COUNT(Records!S30:U30)=0,"",AVERAGE(Records!S30:U30))</f>
        <v>4.666666666666667</v>
      </c>
      <c r="N30" s="543" t="n">
        <f>IF(COUNT(Records!O30,Records!P30,Records!V30)=0,"",AVERAGE(Records!O30,Records!P30,Records!V30))</f>
        <v>5</v>
      </c>
      <c r="O30" s="523" t="str">
        <f>Records!AD30</f>
        <v>是</v>
      </c>
      <c r="P30" s="544" t="n">
        <f>30</f>
        <v>30</v>
      </c>
      <c r="Q30" s="523"/>
      <c r="R30" s="523"/>
      <c r="S30" s="523"/>
      <c r="T30" s="523"/>
      <c r="U30" s="523"/>
      <c r="V30" s="523"/>
    </row>
    <row r="31">
      <c r="A31" s="523" t="str">
        <f>Records!A31</f>
        <v>P005</v>
      </c>
      <c r="B31" s="523" t="n">
        <f>Records!B31</f>
        <v>3</v>
      </c>
      <c r="C31" s="523" t="str">
        <f>Records!E31</f>
        <v>游戏手柄</v>
      </c>
      <c r="D31" s="523" t="str">
        <f>Records!G31</f>
        <v>方法B</v>
      </c>
      <c r="E31" s="523" t="str">
        <f>Records!H31</f>
        <v>One-Euro</v>
      </c>
      <c r="F31" s="543" t="n">
        <f>Records!K31</f>
        <v>5</v>
      </c>
      <c r="G31" s="543" t="n">
        <f>Records!R31</f>
        <v>4</v>
      </c>
      <c r="H31" s="543" t="n">
        <f>Records!L31</f>
        <v>5</v>
      </c>
      <c r="I31" s="543" t="n">
        <f>Records!M31</f>
        <v>4</v>
      </c>
      <c r="J31" s="543" t="n">
        <f>Records!Q31</f>
        <v>4</v>
      </c>
      <c r="K31" s="543" t="n">
        <f>Records!W31</f>
        <v>5</v>
      </c>
      <c r="L31" s="543" t="n">
        <f>Records!X31</f>
        <v>5</v>
      </c>
      <c r="M31" s="543" t="n">
        <f>IF(COUNT(Records!S31:U31)=0,"",AVERAGE(Records!S31:U31))</f>
        <v>5.333333333333333</v>
      </c>
      <c r="N31" s="543" t="n">
        <f>IF(COUNT(Records!O31,Records!P31,Records!V31)=0,"",AVERAGE(Records!O31,Records!P31,Records!V31))</f>
        <v>5.333333333333333</v>
      </c>
      <c r="O31" s="523" t="str">
        <f>Records!AD31</f>
        <v>是</v>
      </c>
      <c r="P31" s="544" t="n">
        <f>31</f>
        <v>31</v>
      </c>
      <c r="Q31" s="523"/>
      <c r="R31" s="523"/>
      <c r="S31" s="523"/>
      <c r="T31" s="523"/>
      <c r="U31" s="523"/>
      <c r="V31" s="523"/>
    </row>
    <row r="32">
      <c r="A32" s="523" t="str">
        <f>Records!A32</f>
        <v>P005</v>
      </c>
      <c r="B32" s="523" t="n">
        <f>Records!B32</f>
        <v>4</v>
      </c>
      <c r="C32" s="523" t="str">
        <f>Records!E32</f>
        <v>游戏手柄</v>
      </c>
      <c r="D32" s="523" t="str">
        <f>Records!G32</f>
        <v>方法A</v>
      </c>
      <c r="E32" s="523" t="str">
        <f>Records!H32</f>
        <v>EgoAnchor</v>
      </c>
      <c r="F32" s="543" t="n">
        <f>Records!K32</f>
        <v>6</v>
      </c>
      <c r="G32" s="543" t="n">
        <f>Records!R32</f>
        <v>7</v>
      </c>
      <c r="H32" s="543" t="n">
        <f>Records!L32</f>
        <v>5</v>
      </c>
      <c r="I32" s="543" t="n">
        <f>Records!M32</f>
        <v>6</v>
      </c>
      <c r="J32" s="543" t="n">
        <f>Records!Q32</f>
        <v>6</v>
      </c>
      <c r="K32" s="543" t="n">
        <f>Records!W32</f>
        <v>4</v>
      </c>
      <c r="L32" s="543" t="n">
        <f>Records!X32</f>
        <v>5</v>
      </c>
      <c r="M32" s="543" t="n">
        <f>IF(COUNT(Records!S32:U32)=0,"",AVERAGE(Records!S32:U32))</f>
        <v>5.666666666666667</v>
      </c>
      <c r="N32" s="543" t="n">
        <f>IF(COUNT(Records!O32,Records!P32,Records!V32)=0,"",AVERAGE(Records!O32,Records!P32,Records!V32))</f>
        <v>5.333333333333333</v>
      </c>
      <c r="O32" s="523" t="str">
        <f>Records!AD32</f>
        <v>是</v>
      </c>
      <c r="P32" s="544" t="n">
        <f>32</f>
        <v>32</v>
      </c>
      <c r="Q32" s="523"/>
      <c r="R32" s="523"/>
      <c r="S32" s="523"/>
      <c r="T32" s="523"/>
      <c r="U32" s="523"/>
      <c r="V32" s="523"/>
    </row>
    <row r="33">
      <c r="A33" s="523" t="str">
        <f>Records!A33</f>
        <v>P005</v>
      </c>
      <c r="B33" s="523" t="n">
        <f>Records!B33</f>
        <v>5</v>
      </c>
      <c r="C33" s="523" t="str">
        <f>Records!E33</f>
        <v>固定订书机</v>
      </c>
      <c r="D33" s="523" t="str">
        <f>Records!G33</f>
        <v>方法A</v>
      </c>
      <c r="E33" s="523" t="str">
        <f>Records!H33</f>
        <v>EgoAnchor</v>
      </c>
      <c r="F33" s="543" t="n">
        <f>Records!K33</f>
        <v>6</v>
      </c>
      <c r="G33" s="543" t="n">
        <f>Records!R33</f>
        <v>7</v>
      </c>
      <c r="H33" s="543" t="n">
        <f>Records!L33</f>
        <v>6</v>
      </c>
      <c r="I33" s="543" t="n">
        <f>Records!M33</f>
        <v>6</v>
      </c>
      <c r="J33" s="543" t="n">
        <f>Records!Q33</f>
        <v>7</v>
      </c>
      <c r="K33" s="543" t="n">
        <f>Records!W33</f>
        <v>6</v>
      </c>
      <c r="L33" s="543" t="n">
        <f>Records!X33</f>
        <v>4</v>
      </c>
      <c r="M33" s="543" t="n">
        <f>IF(COUNT(Records!S33:U33)=0,"",AVERAGE(Records!S33:U33))</f>
        <v>5.666666666666667</v>
      </c>
      <c r="N33" s="543" t="n">
        <f>IF(COUNT(Records!O33,Records!P33,Records!V33)=0,"",AVERAGE(Records!O33,Records!P33,Records!V33))</f>
        <v>5</v>
      </c>
      <c r="O33" s="523" t="str">
        <f>Records!AD33</f>
        <v>是</v>
      </c>
      <c r="P33" s="544" t="n">
        <f>33</f>
        <v>33</v>
      </c>
      <c r="Q33" s="523"/>
      <c r="R33" s="523"/>
      <c r="S33" s="523"/>
      <c r="T33" s="523"/>
      <c r="U33" s="523"/>
      <c r="V33" s="523"/>
    </row>
    <row r="34">
      <c r="A34" s="523" t="str">
        <f>Records!A34</f>
        <v>P005</v>
      </c>
      <c r="B34" s="523" t="n">
        <f>Records!B34</f>
        <v>6</v>
      </c>
      <c r="C34" s="523" t="str">
        <f>Records!E34</f>
        <v>固定订书机</v>
      </c>
      <c r="D34" s="523" t="str">
        <f>Records!G34</f>
        <v>方法B</v>
      </c>
      <c r="E34" s="523" t="str">
        <f>Records!H34</f>
        <v>One-Euro</v>
      </c>
      <c r="F34" s="543" t="n">
        <f>Records!K34</f>
        <v>4</v>
      </c>
      <c r="G34" s="543" t="n">
        <f>Records!R34</f>
        <v>4</v>
      </c>
      <c r="H34" s="543" t="n">
        <f>Records!L34</f>
        <v>3</v>
      </c>
      <c r="I34" s="543" t="n">
        <f>Records!M34</f>
        <v>5</v>
      </c>
      <c r="J34" s="543" t="n">
        <f>Records!Q34</f>
        <v>3</v>
      </c>
      <c r="K34" s="543" t="n">
        <f>Records!W34</f>
        <v>5</v>
      </c>
      <c r="L34" s="543" t="n">
        <f>Records!X34</f>
        <v>5</v>
      </c>
      <c r="M34" s="543" t="n">
        <f>IF(COUNT(Records!S34:U34)=0,"",AVERAGE(Records!S34:U34))</f>
        <v>5.333333333333333</v>
      </c>
      <c r="N34" s="543" t="n">
        <f>IF(COUNT(Records!O34,Records!P34,Records!V34)=0,"",AVERAGE(Records!O34,Records!P34,Records!V34))</f>
        <v>5.666666666666667</v>
      </c>
      <c r="O34" s="523" t="str">
        <f>Records!AD34</f>
        <v>是</v>
      </c>
      <c r="P34" s="544" t="n">
        <f>34</f>
        <v>34</v>
      </c>
      <c r="Q34" s="523"/>
      <c r="R34" s="523"/>
      <c r="S34" s="523"/>
      <c r="T34" s="523"/>
      <c r="U34" s="523"/>
      <c r="V34" s="523"/>
    </row>
    <row r="35">
      <c r="A35" s="523" t="str">
        <f>Records!A35</f>
        <v>P006</v>
      </c>
      <c r="B35" s="523" t="n">
        <f>Records!B35</f>
        <v>1</v>
      </c>
      <c r="C35" s="523" t="str">
        <f>Records!E35</f>
        <v>鼠标</v>
      </c>
      <c r="D35" s="523" t="str">
        <f>Records!G35</f>
        <v>方法B</v>
      </c>
      <c r="E35" s="523" t="str">
        <f>Records!H35</f>
        <v>One-Euro</v>
      </c>
      <c r="F35" s="543" t="n">
        <f>Records!K35</f>
        <v>5</v>
      </c>
      <c r="G35" s="543" t="n">
        <f>Records!R35</f>
        <v>5</v>
      </c>
      <c r="H35" s="543" t="n">
        <f>Records!L35</f>
        <v>4</v>
      </c>
      <c r="I35" s="543" t="n">
        <f>Records!M35</f>
        <v>5</v>
      </c>
      <c r="J35" s="543" t="n">
        <f>Records!Q35</f>
        <v>4</v>
      </c>
      <c r="K35" s="543" t="n">
        <f>Records!W35</f>
        <v>4</v>
      </c>
      <c r="L35" s="543" t="n">
        <f>Records!X35</f>
        <v>4</v>
      </c>
      <c r="M35" s="543" t="n">
        <f>IF(COUNT(Records!S35:U35)=0,"",AVERAGE(Records!S35:U35))</f>
        <v>5</v>
      </c>
      <c r="N35" s="543" t="n">
        <f>IF(COUNT(Records!O35,Records!P35,Records!V35)=0,"",AVERAGE(Records!O35,Records!P35,Records!V35))</f>
        <v>5.666666666666667</v>
      </c>
      <c r="O35" s="523" t="str">
        <f>Records!AD35</f>
        <v>是</v>
      </c>
      <c r="P35" s="544" t="n">
        <f>35</f>
        <v>35</v>
      </c>
      <c r="Q35" s="523"/>
      <c r="R35" s="523"/>
      <c r="S35" s="523"/>
      <c r="T35" s="523"/>
      <c r="U35" s="523"/>
      <c r="V35" s="523"/>
    </row>
    <row r="36">
      <c r="A36" s="523" t="str">
        <f>Records!A36</f>
        <v>P006</v>
      </c>
      <c r="B36" s="523" t="n">
        <f>Records!B36</f>
        <v>2</v>
      </c>
      <c r="C36" s="523" t="str">
        <f>Records!E36</f>
        <v>鼠标</v>
      </c>
      <c r="D36" s="523" t="str">
        <f>Records!G36</f>
        <v>方法A</v>
      </c>
      <c r="E36" s="523" t="str">
        <f>Records!H36</f>
        <v>EgoAnchor</v>
      </c>
      <c r="F36" s="543" t="n">
        <f>Records!K36</f>
        <v>4</v>
      </c>
      <c r="G36" s="543" t="n">
        <f>Records!R36</f>
        <v>5</v>
      </c>
      <c r="H36" s="543" t="n">
        <f>Records!L36</f>
        <v>5</v>
      </c>
      <c r="I36" s="543" t="n">
        <f>Records!M36</f>
        <v>3</v>
      </c>
      <c r="J36" s="543" t="n">
        <f>Records!Q36</f>
        <v>5</v>
      </c>
      <c r="K36" s="543" t="n">
        <f>Records!W36</f>
        <v>5</v>
      </c>
      <c r="L36" s="543" t="n">
        <f>Records!X36</f>
        <v>4</v>
      </c>
      <c r="M36" s="543" t="n">
        <f>IF(COUNT(Records!S36:U36)=0,"",AVERAGE(Records!S36:U36))</f>
        <v>5</v>
      </c>
      <c r="N36" s="543" t="n">
        <f>IF(COUNT(Records!O36,Records!P36,Records!V36)=0,"",AVERAGE(Records!O36,Records!P36,Records!V36))</f>
        <v>4.666666666666667</v>
      </c>
      <c r="O36" s="523" t="str">
        <f>Records!AD36</f>
        <v>是</v>
      </c>
      <c r="P36" s="544" t="n">
        <f>36</f>
        <v>36</v>
      </c>
      <c r="Q36" s="523"/>
      <c r="R36" s="523"/>
      <c r="S36" s="523"/>
      <c r="T36" s="523"/>
      <c r="U36" s="523"/>
      <c r="V36" s="523"/>
    </row>
    <row r="37">
      <c r="A37" s="523" t="str">
        <f>Records!A37</f>
        <v>P006</v>
      </c>
      <c r="B37" s="523" t="n">
        <f>Records!B37</f>
        <v>3</v>
      </c>
      <c r="C37" s="523" t="str">
        <f>Records!E37</f>
        <v>游戏手柄</v>
      </c>
      <c r="D37" s="523" t="str">
        <f>Records!G37</f>
        <v>方法A</v>
      </c>
      <c r="E37" s="523" t="str">
        <f>Records!H37</f>
        <v>EgoAnchor</v>
      </c>
      <c r="F37" s="543" t="n">
        <f>Records!K37</f>
        <v>4</v>
      </c>
      <c r="G37" s="543" t="n">
        <f>Records!R37</f>
        <v>5</v>
      </c>
      <c r="H37" s="543" t="n">
        <f>Records!L37</f>
        <v>5</v>
      </c>
      <c r="I37" s="543" t="n">
        <f>Records!M37</f>
        <v>5</v>
      </c>
      <c r="J37" s="543" t="n">
        <f>Records!Q37</f>
        <v>6</v>
      </c>
      <c r="K37" s="543" t="n">
        <f>Records!W37</f>
        <v>5</v>
      </c>
      <c r="L37" s="543" t="n">
        <f>Records!X37</f>
        <v>6</v>
      </c>
      <c r="M37" s="543" t="n">
        <f>IF(COUNT(Records!S37:U37)=0,"",AVERAGE(Records!S37:U37))</f>
        <v>5</v>
      </c>
      <c r="N37" s="543" t="n">
        <f>IF(COUNT(Records!O37,Records!P37,Records!V37)=0,"",AVERAGE(Records!O37,Records!P37,Records!V37))</f>
        <v>4.333333333333333</v>
      </c>
      <c r="O37" s="523" t="str">
        <f>Records!AD37</f>
        <v>是</v>
      </c>
      <c r="P37" s="544" t="n">
        <f>37</f>
        <v>37</v>
      </c>
      <c r="Q37" s="523"/>
      <c r="R37" s="523"/>
      <c r="S37" s="523"/>
      <c r="T37" s="523"/>
      <c r="U37" s="523"/>
      <c r="V37" s="523"/>
    </row>
    <row r="38">
      <c r="A38" s="523" t="str">
        <f>Records!A38</f>
        <v>P006</v>
      </c>
      <c r="B38" s="523" t="n">
        <f>Records!B38</f>
        <v>4</v>
      </c>
      <c r="C38" s="523" t="str">
        <f>Records!E38</f>
        <v>游戏手柄</v>
      </c>
      <c r="D38" s="523" t="str">
        <f>Records!G38</f>
        <v>方法B</v>
      </c>
      <c r="E38" s="523" t="str">
        <f>Records!H38</f>
        <v>One-Euro</v>
      </c>
      <c r="F38" s="543" t="n">
        <f>Records!K38</f>
        <v>3</v>
      </c>
      <c r="G38" s="543" t="n">
        <f>Records!R38</f>
        <v>6</v>
      </c>
      <c r="H38" s="543" t="n">
        <f>Records!L38</f>
        <v>4</v>
      </c>
      <c r="I38" s="543" t="n">
        <f>Records!M38</f>
        <v>4</v>
      </c>
      <c r="J38" s="543" t="n">
        <f>Records!Q38</f>
        <v>3</v>
      </c>
      <c r="K38" s="543" t="n">
        <f>Records!W38</f>
        <v>4</v>
      </c>
      <c r="L38" s="543" t="n">
        <f>Records!X38</f>
        <v>5</v>
      </c>
      <c r="M38" s="543" t="n">
        <f>IF(COUNT(Records!S38:U38)=0,"",AVERAGE(Records!S38:U38))</f>
        <v>5</v>
      </c>
      <c r="N38" s="543" t="n">
        <f>IF(COUNT(Records!O38,Records!P38,Records!V38)=0,"",AVERAGE(Records!O38,Records!P38,Records!V38))</f>
        <v>4.333333333333333</v>
      </c>
      <c r="O38" s="523" t="str">
        <f>Records!AD38</f>
        <v>是</v>
      </c>
      <c r="P38" s="544" t="n">
        <f>38</f>
        <v>38</v>
      </c>
      <c r="Q38" s="523"/>
      <c r="R38" s="523"/>
      <c r="S38" s="523"/>
      <c r="T38" s="523"/>
      <c r="U38" s="523"/>
      <c r="V38" s="523"/>
    </row>
    <row r="39">
      <c r="A39" s="523" t="str">
        <f>Records!A39</f>
        <v>P006</v>
      </c>
      <c r="B39" s="523" t="n">
        <f>Records!B39</f>
        <v>5</v>
      </c>
      <c r="C39" s="523" t="str">
        <f>Records!E39</f>
        <v>固定订书机</v>
      </c>
      <c r="D39" s="523" t="str">
        <f>Records!G39</f>
        <v>方法B</v>
      </c>
      <c r="E39" s="523" t="str">
        <f>Records!H39</f>
        <v>One-Euro</v>
      </c>
      <c r="F39" s="543" t="n">
        <f>Records!K39</f>
        <v>3</v>
      </c>
      <c r="G39" s="543" t="n">
        <f>Records!R39</f>
        <v>5</v>
      </c>
      <c r="H39" s="543" t="n">
        <f>Records!L39</f>
        <v>4</v>
      </c>
      <c r="I39" s="543" t="n">
        <f>Records!M39</f>
        <v>5</v>
      </c>
      <c r="J39" s="543" t="n">
        <f>Records!Q39</f>
        <v>3</v>
      </c>
      <c r="K39" s="543" t="n">
        <f>Records!W39</f>
        <v>5</v>
      </c>
      <c r="L39" s="543" t="n">
        <f>Records!X39</f>
        <v>5</v>
      </c>
      <c r="M39" s="543" t="n">
        <f>IF(COUNT(Records!S39:U39)=0,"",AVERAGE(Records!S39:U39))</f>
        <v>4.333333333333333</v>
      </c>
      <c r="N39" s="543" t="n">
        <f>IF(COUNT(Records!O39,Records!P39,Records!V39)=0,"",AVERAGE(Records!O39,Records!P39,Records!V39))</f>
        <v>4.666666666666667</v>
      </c>
      <c r="O39" s="523" t="str">
        <f>Records!AD39</f>
        <v>是</v>
      </c>
      <c r="P39" s="544" t="n">
        <f>39</f>
        <v>39</v>
      </c>
      <c r="Q39" s="523"/>
      <c r="R39" s="523"/>
      <c r="S39" s="523"/>
      <c r="T39" s="523"/>
      <c r="U39" s="523"/>
      <c r="V39" s="523"/>
    </row>
    <row r="40">
      <c r="A40" s="523" t="str">
        <f>Records!A40</f>
        <v>P006</v>
      </c>
      <c r="B40" s="523" t="n">
        <f>Records!B40</f>
        <v>6</v>
      </c>
      <c r="C40" s="523" t="str">
        <f>Records!E40</f>
        <v>固定订书机</v>
      </c>
      <c r="D40" s="523" t="str">
        <f>Records!G40</f>
        <v>方法A</v>
      </c>
      <c r="E40" s="523" t="str">
        <f>Records!H40</f>
        <v>EgoAnchor</v>
      </c>
      <c r="F40" s="543" t="n">
        <f>Records!K40</f>
        <v>5</v>
      </c>
      <c r="G40" s="543" t="n">
        <f>Records!R40</f>
        <v>6</v>
      </c>
      <c r="H40" s="543" t="n">
        <f>Records!L40</f>
        <v>4</v>
      </c>
      <c r="I40" s="543" t="n">
        <f>Records!M40</f>
        <v>5</v>
      </c>
      <c r="J40" s="543" t="n">
        <f>Records!Q40</f>
        <v>5</v>
      </c>
      <c r="K40" s="543" t="n">
        <f>Records!W40</f>
        <v>5</v>
      </c>
      <c r="L40" s="543" t="n">
        <f>Records!X40</f>
        <v>5</v>
      </c>
      <c r="M40" s="543" t="n">
        <f>IF(COUNT(Records!S40:U40)=0,"",AVERAGE(Records!S40:U40))</f>
        <v>5.333333333333333</v>
      </c>
      <c r="N40" s="543" t="n">
        <f>IF(COUNT(Records!O40,Records!P40,Records!V40)=0,"",AVERAGE(Records!O40,Records!P40,Records!V40))</f>
        <v>5</v>
      </c>
      <c r="O40" s="523" t="str">
        <f>Records!AD40</f>
        <v>是</v>
      </c>
      <c r="P40" s="544" t="n">
        <f>40</f>
        <v>40</v>
      </c>
      <c r="Q40" s="523"/>
      <c r="R40" s="523"/>
      <c r="S40" s="523"/>
      <c r="T40" s="523"/>
      <c r="U40" s="523"/>
      <c r="V40" s="523"/>
    </row>
    <row r="41">
      <c r="A41" s="523" t="str">
        <f>Records!A41</f>
        <v>P007</v>
      </c>
      <c r="B41" s="523" t="n">
        <f>Records!B41</f>
        <v>1</v>
      </c>
      <c r="C41" s="523" t="str">
        <f>Records!E41</f>
        <v>鼠标</v>
      </c>
      <c r="D41" s="523" t="str">
        <f>Records!G41</f>
        <v>方法B</v>
      </c>
      <c r="E41" s="523" t="str">
        <f>Records!H41</f>
        <v>EgoAnchor</v>
      </c>
      <c r="F41" s="543" t="n">
        <f>Records!K41</f>
        <v>5</v>
      </c>
      <c r="G41" s="543" t="n">
        <f>Records!R41</f>
        <v>6</v>
      </c>
      <c r="H41" s="543" t="n">
        <f>Records!L41</f>
        <v>6</v>
      </c>
      <c r="I41" s="543" t="n">
        <f>Records!M41</f>
        <v>5</v>
      </c>
      <c r="J41" s="543" t="n">
        <f>Records!Q41</f>
        <v>5</v>
      </c>
      <c r="K41" s="543" t="n">
        <f>Records!W41</f>
        <v>3</v>
      </c>
      <c r="L41" s="543" t="n">
        <f>Records!X41</f>
        <v>5</v>
      </c>
      <c r="M41" s="543" t="n">
        <f>IF(COUNT(Records!S41:U41)=0,"",AVERAGE(Records!S41:U41))</f>
        <v>5.333333333333333</v>
      </c>
      <c r="N41" s="543" t="n">
        <f>IF(COUNT(Records!O41,Records!P41,Records!V41)=0,"",AVERAGE(Records!O41,Records!P41,Records!V41))</f>
        <v>6</v>
      </c>
      <c r="O41" s="523" t="str">
        <f>Records!AD41</f>
        <v>是</v>
      </c>
      <c r="P41" s="544" t="n">
        <f>41</f>
        <v>41</v>
      </c>
      <c r="Q41" s="523"/>
      <c r="R41" s="523"/>
      <c r="S41" s="523"/>
      <c r="T41" s="523"/>
      <c r="U41" s="523"/>
      <c r="V41" s="523"/>
    </row>
    <row r="42">
      <c r="A42" s="523" t="str">
        <f>Records!A42</f>
        <v>P007</v>
      </c>
      <c r="B42" s="523" t="n">
        <f>Records!B42</f>
        <v>2</v>
      </c>
      <c r="C42" s="523" t="str">
        <f>Records!E42</f>
        <v>鼠标</v>
      </c>
      <c r="D42" s="523" t="str">
        <f>Records!G42</f>
        <v>方法A</v>
      </c>
      <c r="E42" s="523" t="str">
        <f>Records!H42</f>
        <v>One-Euro</v>
      </c>
      <c r="F42" s="543" t="n">
        <f>Records!K42</f>
        <v>5</v>
      </c>
      <c r="G42" s="543" t="n">
        <f>Records!R42</f>
        <v>4</v>
      </c>
      <c r="H42" s="543" t="n">
        <f>Records!L42</f>
        <v>5</v>
      </c>
      <c r="I42" s="543" t="n">
        <f>Records!M42</f>
        <v>5</v>
      </c>
      <c r="J42" s="543" t="n">
        <f>Records!Q42</f>
        <v>4</v>
      </c>
      <c r="K42" s="543" t="n">
        <f>Records!W42</f>
        <v>4</v>
      </c>
      <c r="L42" s="543" t="n">
        <f>Records!X42</f>
        <v>5</v>
      </c>
      <c r="M42" s="543" t="n">
        <f>IF(COUNT(Records!S42:U42)=0,"",AVERAGE(Records!S42:U42))</f>
        <v>5.666666666666667</v>
      </c>
      <c r="N42" s="543" t="n">
        <f>IF(COUNT(Records!O42,Records!P42,Records!V42)=0,"",AVERAGE(Records!O42,Records!P42,Records!V42))</f>
        <v>5</v>
      </c>
      <c r="O42" s="523" t="str">
        <f>Records!AD42</f>
        <v>是</v>
      </c>
      <c r="P42" s="544" t="n">
        <f>42</f>
        <v>42</v>
      </c>
      <c r="Q42" s="523"/>
      <c r="R42" s="523"/>
      <c r="S42" s="523"/>
      <c r="T42" s="523"/>
      <c r="U42" s="523"/>
      <c r="V42" s="523"/>
    </row>
    <row r="43">
      <c r="A43" s="523" t="str">
        <f>Records!A43</f>
        <v>P007</v>
      </c>
      <c r="B43" s="523" t="n">
        <f>Records!B43</f>
        <v>3</v>
      </c>
      <c r="C43" s="523" t="str">
        <f>Records!E43</f>
        <v>游戏手柄</v>
      </c>
      <c r="D43" s="523" t="str">
        <f>Records!G43</f>
        <v>方法A</v>
      </c>
      <c r="E43" s="523" t="str">
        <f>Records!H43</f>
        <v>One-Euro</v>
      </c>
      <c r="F43" s="543" t="n">
        <f>Records!K43</f>
        <v>5</v>
      </c>
      <c r="G43" s="543" t="n">
        <f>Records!R43</f>
        <v>4</v>
      </c>
      <c r="H43" s="543" t="n">
        <f>Records!L43</f>
        <v>5</v>
      </c>
      <c r="I43" s="543" t="n">
        <f>Records!M43</f>
        <v>6</v>
      </c>
      <c r="J43" s="543" t="n">
        <f>Records!Q43</f>
        <v>4</v>
      </c>
      <c r="K43" s="543" t="n">
        <f>Records!W43</f>
        <v>3</v>
      </c>
      <c r="L43" s="543" t="n">
        <f>Records!X43</f>
        <v>4</v>
      </c>
      <c r="M43" s="543" t="n">
        <f>IF(COUNT(Records!S43:U43)=0,"",AVERAGE(Records!S43:U43))</f>
        <v>4.333333333333333</v>
      </c>
      <c r="N43" s="543" t="n">
        <f>IF(COUNT(Records!O43,Records!P43,Records!V43)=0,"",AVERAGE(Records!O43,Records!P43,Records!V43))</f>
        <v>5.666666666666667</v>
      </c>
      <c r="O43" s="523" t="str">
        <f>Records!AD43</f>
        <v>是</v>
      </c>
      <c r="P43" s="544" t="n">
        <f>43</f>
        <v>43</v>
      </c>
      <c r="Q43" s="523"/>
      <c r="R43" s="523"/>
      <c r="S43" s="523"/>
      <c r="T43" s="523"/>
      <c r="U43" s="523"/>
      <c r="V43" s="523"/>
    </row>
    <row r="44">
      <c r="A44" s="523" t="str">
        <f>Records!A44</f>
        <v>P007</v>
      </c>
      <c r="B44" s="523" t="n">
        <f>Records!B44</f>
        <v>4</v>
      </c>
      <c r="C44" s="523" t="str">
        <f>Records!E44</f>
        <v>游戏手柄</v>
      </c>
      <c r="D44" s="523" t="str">
        <f>Records!G44</f>
        <v>方法B</v>
      </c>
      <c r="E44" s="523" t="str">
        <f>Records!H44</f>
        <v>EgoAnchor</v>
      </c>
      <c r="F44" s="543" t="n">
        <f>Records!K44</f>
        <v>5</v>
      </c>
      <c r="G44" s="543" t="n">
        <f>Records!R44</f>
        <v>4</v>
      </c>
      <c r="H44" s="543" t="n">
        <f>Records!L44</f>
        <v>5</v>
      </c>
      <c r="I44" s="543" t="n">
        <f>Records!M44</f>
        <v>5</v>
      </c>
      <c r="J44" s="543" t="n">
        <f>Records!Q44</f>
        <v>5</v>
      </c>
      <c r="K44" s="543" t="n">
        <f>Records!W44</f>
        <v>5</v>
      </c>
      <c r="L44" s="543" t="n">
        <f>Records!X44</f>
        <v>5</v>
      </c>
      <c r="M44" s="543" t="n">
        <f>IF(COUNT(Records!S44:U44)=0,"",AVERAGE(Records!S44:U44))</f>
        <v>5</v>
      </c>
      <c r="N44" s="543" t="n">
        <f>IF(COUNT(Records!O44,Records!P44,Records!V44)=0,"",AVERAGE(Records!O44,Records!P44,Records!V44))</f>
        <v>5.333333333333333</v>
      </c>
      <c r="O44" s="523" t="str">
        <f>Records!AD44</f>
        <v>是</v>
      </c>
      <c r="P44" s="544" t="n">
        <f>44</f>
        <v>44</v>
      </c>
      <c r="Q44" s="523"/>
      <c r="R44" s="523"/>
      <c r="S44" s="523"/>
      <c r="T44" s="523"/>
      <c r="U44" s="523"/>
      <c r="V44" s="523"/>
    </row>
    <row r="45">
      <c r="A45" s="523" t="str">
        <f>Records!A45</f>
        <v>P007</v>
      </c>
      <c r="B45" s="523" t="n">
        <f>Records!B45</f>
        <v>5</v>
      </c>
      <c r="C45" s="523" t="str">
        <f>Records!E45</f>
        <v>固定订书机</v>
      </c>
      <c r="D45" s="523" t="str">
        <f>Records!G45</f>
        <v>方法B</v>
      </c>
      <c r="E45" s="523" t="str">
        <f>Records!H45</f>
        <v>EgoAnchor</v>
      </c>
      <c r="F45" s="543" t="n">
        <f>Records!K45</f>
        <v>5</v>
      </c>
      <c r="G45" s="543" t="n">
        <f>Records!R45</f>
        <v>5</v>
      </c>
      <c r="H45" s="543" t="n">
        <f>Records!L45</f>
        <v>5</v>
      </c>
      <c r="I45" s="543" t="n">
        <f>Records!M45</f>
        <v>6</v>
      </c>
      <c r="J45" s="543" t="n">
        <f>Records!Q45</f>
        <v>7</v>
      </c>
      <c r="K45" s="543" t="n">
        <f>Records!W45</f>
        <v>6</v>
      </c>
      <c r="L45" s="543" t="n">
        <f>Records!X45</f>
        <v>6</v>
      </c>
      <c r="M45" s="543" t="n">
        <f>IF(COUNT(Records!S45:U45)=0,"",AVERAGE(Records!S45:U45))</f>
        <v>5.333333333333333</v>
      </c>
      <c r="N45" s="543" t="n">
        <f>IF(COUNT(Records!O45,Records!P45,Records!V45)=0,"",AVERAGE(Records!O45,Records!P45,Records!V45))</f>
        <v>5</v>
      </c>
      <c r="O45" s="523" t="str">
        <f>Records!AD45</f>
        <v>是</v>
      </c>
      <c r="P45" s="544" t="n">
        <f>45</f>
        <v>45</v>
      </c>
      <c r="Q45" s="523"/>
      <c r="R45" s="523"/>
      <c r="S45" s="523"/>
      <c r="T45" s="523"/>
      <c r="U45" s="523"/>
      <c r="V45" s="523"/>
    </row>
    <row r="46">
      <c r="A46" s="523" t="str">
        <f>Records!A46</f>
        <v>P007</v>
      </c>
      <c r="B46" s="523" t="n">
        <f>Records!B46</f>
        <v>6</v>
      </c>
      <c r="C46" s="523" t="str">
        <f>Records!E46</f>
        <v>固定订书机</v>
      </c>
      <c r="D46" s="523" t="str">
        <f>Records!G46</f>
        <v>方法A</v>
      </c>
      <c r="E46" s="523" t="str">
        <f>Records!H46</f>
        <v>One-Euro</v>
      </c>
      <c r="F46" s="543" t="n">
        <f>Records!K46</f>
        <v>3</v>
      </c>
      <c r="G46" s="543" t="n">
        <f>Records!R46</f>
        <v>4</v>
      </c>
      <c r="H46" s="543" t="n">
        <f>Records!L46</f>
        <v>5</v>
      </c>
      <c r="I46" s="543" t="n">
        <f>Records!M46</f>
        <v>5</v>
      </c>
      <c r="J46" s="543" t="n">
        <f>Records!Q46</f>
        <v>5</v>
      </c>
      <c r="K46" s="543" t="n">
        <f>Records!W46</f>
        <v>4</v>
      </c>
      <c r="L46" s="543" t="n">
        <f>Records!X46</f>
        <v>5</v>
      </c>
      <c r="M46" s="543" t="n">
        <f>IF(COUNT(Records!S46:U46)=0,"",AVERAGE(Records!S46:U46))</f>
        <v>5.333333333333333</v>
      </c>
      <c r="N46" s="543" t="n">
        <f>IF(COUNT(Records!O46,Records!P46,Records!V46)=0,"",AVERAGE(Records!O46,Records!P46,Records!V46))</f>
        <v>5</v>
      </c>
      <c r="O46" s="523" t="str">
        <f>Records!AD46</f>
        <v>是</v>
      </c>
      <c r="P46" s="544" t="n">
        <f>46</f>
        <v>46</v>
      </c>
      <c r="Q46" s="523"/>
      <c r="R46" s="523"/>
      <c r="S46" s="523"/>
      <c r="T46" s="523"/>
      <c r="U46" s="523"/>
      <c r="V46" s="523"/>
    </row>
    <row r="47">
      <c r="A47" s="523" t="str">
        <f>Records!A47</f>
        <v>P008</v>
      </c>
      <c r="B47" s="523" t="n">
        <f>Records!B47</f>
        <v>1</v>
      </c>
      <c r="C47" s="523" t="str">
        <f>Records!E47</f>
        <v>鼠标</v>
      </c>
      <c r="D47" s="523" t="str">
        <f>Records!G47</f>
        <v>方法A</v>
      </c>
      <c r="E47" s="523" t="str">
        <f>Records!H47</f>
        <v>One-Euro</v>
      </c>
      <c r="F47" s="543" t="n">
        <f>Records!K47</f>
        <v>4</v>
      </c>
      <c r="G47" s="543" t="n">
        <f>Records!R47</f>
        <v>5</v>
      </c>
      <c r="H47" s="543" t="n">
        <f>Records!L47</f>
        <v>4</v>
      </c>
      <c r="I47" s="543" t="n">
        <f>Records!M47</f>
        <v>5</v>
      </c>
      <c r="J47" s="543" t="n">
        <f>Records!Q47</f>
        <v>5</v>
      </c>
      <c r="K47" s="543" t="n">
        <f>Records!W47</f>
        <v>5</v>
      </c>
      <c r="L47" s="543" t="n">
        <f>Records!X47</f>
        <v>6</v>
      </c>
      <c r="M47" s="543" t="n">
        <f>IF(COUNT(Records!S47:U47)=0,"",AVERAGE(Records!S47:U47))</f>
        <v>4.666666666666667</v>
      </c>
      <c r="N47" s="543" t="n">
        <f>IF(COUNT(Records!O47,Records!P47,Records!V47)=0,"",AVERAGE(Records!O47,Records!P47,Records!V47))</f>
        <v>5</v>
      </c>
      <c r="O47" s="523" t="str">
        <f>Records!AD47</f>
        <v>是</v>
      </c>
      <c r="P47" s="544" t="n">
        <f>47</f>
        <v>47</v>
      </c>
      <c r="Q47" s="523"/>
      <c r="R47" s="523"/>
      <c r="S47" s="523"/>
      <c r="T47" s="523"/>
      <c r="U47" s="523"/>
      <c r="V47" s="523"/>
    </row>
    <row r="48">
      <c r="A48" s="523" t="str">
        <f>Records!A48</f>
        <v>P008</v>
      </c>
      <c r="B48" s="523" t="n">
        <f>Records!B48</f>
        <v>2</v>
      </c>
      <c r="C48" s="523" t="str">
        <f>Records!E48</f>
        <v>鼠标</v>
      </c>
      <c r="D48" s="523" t="str">
        <f>Records!G48</f>
        <v>方法B</v>
      </c>
      <c r="E48" s="523" t="str">
        <f>Records!H48</f>
        <v>EgoAnchor</v>
      </c>
      <c r="F48" s="543" t="n">
        <f>Records!K48</f>
        <v>5</v>
      </c>
      <c r="G48" s="543" t="n">
        <f>Records!R48</f>
        <v>6</v>
      </c>
      <c r="H48" s="543" t="n">
        <f>Records!L48</f>
        <v>6</v>
      </c>
      <c r="I48" s="543" t="n">
        <f>Records!M48</f>
        <v>5</v>
      </c>
      <c r="J48" s="543" t="n">
        <f>Records!Q48</f>
        <v>4</v>
      </c>
      <c r="K48" s="543" t="n">
        <f>Records!W48</f>
        <v>4</v>
      </c>
      <c r="L48" s="543" t="n">
        <f>Records!X48</f>
        <v>4</v>
      </c>
      <c r="M48" s="543" t="n">
        <f>IF(COUNT(Records!S48:U48)=0,"",AVERAGE(Records!S48:U48))</f>
        <v>4.333333333333333</v>
      </c>
      <c r="N48" s="543" t="n">
        <f>IF(COUNT(Records!O48,Records!P48,Records!V48)=0,"",AVERAGE(Records!O48,Records!P48,Records!V48))</f>
        <v>4.666666666666667</v>
      </c>
      <c r="O48" s="523" t="str">
        <f>Records!AD48</f>
        <v>是</v>
      </c>
      <c r="P48" s="544" t="n">
        <f>48</f>
        <v>48</v>
      </c>
      <c r="Q48" s="523"/>
      <c r="R48" s="523"/>
      <c r="S48" s="523"/>
      <c r="T48" s="523"/>
      <c r="U48" s="523"/>
      <c r="V48" s="523"/>
    </row>
    <row r="49">
      <c r="A49" s="523" t="str">
        <f>Records!A49</f>
        <v>P008</v>
      </c>
      <c r="B49" s="523" t="n">
        <f>Records!B49</f>
        <v>3</v>
      </c>
      <c r="C49" s="523" t="str">
        <f>Records!E49</f>
        <v>游戏手柄</v>
      </c>
      <c r="D49" s="523" t="str">
        <f>Records!G49</f>
        <v>方法B</v>
      </c>
      <c r="E49" s="523" t="str">
        <f>Records!H49</f>
        <v>EgoAnchor</v>
      </c>
      <c r="F49" s="543" t="n">
        <f>Records!K49</f>
        <v>4</v>
      </c>
      <c r="G49" s="543" t="n">
        <f>Records!R49</f>
        <v>5</v>
      </c>
      <c r="H49" s="543" t="n">
        <f>Records!L49</f>
        <v>5</v>
      </c>
      <c r="I49" s="543" t="n">
        <f>Records!M49</f>
        <v>6</v>
      </c>
      <c r="J49" s="543" t="n">
        <f>Records!Q49</f>
        <v>3</v>
      </c>
      <c r="K49" s="543" t="n">
        <f>Records!W49</f>
        <v>3</v>
      </c>
      <c r="L49" s="543" t="n">
        <f>Records!X49</f>
        <v>5</v>
      </c>
      <c r="M49" s="543" t="n">
        <f>IF(COUNT(Records!S49:U49)=0,"",AVERAGE(Records!S49:U49))</f>
        <v>4</v>
      </c>
      <c r="N49" s="543" t="n">
        <f>IF(COUNT(Records!O49,Records!P49,Records!V49)=0,"",AVERAGE(Records!O49,Records!P49,Records!V49))</f>
        <v>4.333333333333333</v>
      </c>
      <c r="O49" s="523" t="str">
        <f>Records!AD49</f>
        <v>是</v>
      </c>
      <c r="P49" s="544" t="n">
        <f>49</f>
        <v>49</v>
      </c>
      <c r="Q49" s="523"/>
      <c r="R49" s="523"/>
      <c r="S49" s="523"/>
      <c r="T49" s="523"/>
      <c r="U49" s="523"/>
      <c r="V49" s="523"/>
    </row>
    <row r="50">
      <c r="A50" s="523" t="str">
        <f>Records!A50</f>
        <v>P008</v>
      </c>
      <c r="B50" s="523" t="n">
        <f>Records!B50</f>
        <v>4</v>
      </c>
      <c r="C50" s="523" t="str">
        <f>Records!E50</f>
        <v>游戏手柄</v>
      </c>
      <c r="D50" s="523" t="str">
        <f>Records!G50</f>
        <v>方法A</v>
      </c>
      <c r="E50" s="523" t="str">
        <f>Records!H50</f>
        <v>One-Euro</v>
      </c>
      <c r="F50" s="543" t="n">
        <f>Records!K50</f>
        <v>5</v>
      </c>
      <c r="G50" s="543" t="n">
        <f>Records!R50</f>
        <v>5</v>
      </c>
      <c r="H50" s="543" t="n">
        <f>Records!L50</f>
        <v>4</v>
      </c>
      <c r="I50" s="543" t="n">
        <f>Records!M50</f>
        <v>5</v>
      </c>
      <c r="J50" s="543" t="n">
        <f>Records!Q50</f>
        <v>4</v>
      </c>
      <c r="K50" s="543" t="n">
        <f>Records!W50</f>
        <v>4</v>
      </c>
      <c r="L50" s="543" t="n">
        <f>Records!X50</f>
        <v>4</v>
      </c>
      <c r="M50" s="543" t="n">
        <f>IF(COUNT(Records!S50:U50)=0,"",AVERAGE(Records!S50:U50))</f>
        <v>5</v>
      </c>
      <c r="N50" s="543" t="n">
        <f>IF(COUNT(Records!O50,Records!P50,Records!V50)=0,"",AVERAGE(Records!O50,Records!P50,Records!V50))</f>
        <v>4.333333333333333</v>
      </c>
      <c r="O50" s="523" t="str">
        <f>Records!AD50</f>
        <v>是</v>
      </c>
      <c r="P50" s="544" t="n">
        <f>50</f>
        <v>50</v>
      </c>
      <c r="Q50" s="523"/>
      <c r="R50" s="523"/>
      <c r="S50" s="523"/>
      <c r="T50" s="523"/>
      <c r="U50" s="523"/>
      <c r="V50" s="523"/>
    </row>
    <row r="51">
      <c r="A51" s="523" t="str">
        <f>Records!A51</f>
        <v>P008</v>
      </c>
      <c r="B51" s="523" t="n">
        <f>Records!B51</f>
        <v>5</v>
      </c>
      <c r="C51" s="523" t="str">
        <f>Records!E51</f>
        <v>固定订书机</v>
      </c>
      <c r="D51" s="523" t="str">
        <f>Records!G51</f>
        <v>方法A</v>
      </c>
      <c r="E51" s="523" t="str">
        <f>Records!H51</f>
        <v>One-Euro</v>
      </c>
      <c r="F51" s="543" t="n">
        <f>Records!K51</f>
        <v>5</v>
      </c>
      <c r="G51" s="543" t="n">
        <f>Records!R51</f>
        <v>4</v>
      </c>
      <c r="H51" s="543" t="n">
        <f>Records!L51</f>
        <v>5</v>
      </c>
      <c r="I51" s="543" t="n">
        <f>Records!M51</f>
        <v>4</v>
      </c>
      <c r="J51" s="543" t="n">
        <f>Records!Q51</f>
        <v>3</v>
      </c>
      <c r="K51" s="543" t="n">
        <f>Records!W51</f>
        <v>4</v>
      </c>
      <c r="L51" s="543" t="n">
        <f>Records!X51</f>
        <v>5</v>
      </c>
      <c r="M51" s="543" t="n">
        <f>IF(COUNT(Records!S51:U51)=0,"",AVERAGE(Records!S51:U51))</f>
        <v>4.333333333333333</v>
      </c>
      <c r="N51" s="543" t="n">
        <f>IF(COUNT(Records!O51,Records!P51,Records!V51)=0,"",AVERAGE(Records!O51,Records!P51,Records!V51))</f>
        <v>4.333333333333333</v>
      </c>
      <c r="O51" s="523" t="str">
        <f>Records!AD51</f>
        <v>是</v>
      </c>
      <c r="P51" s="544" t="n">
        <f>51</f>
        <v>51</v>
      </c>
      <c r="Q51" s="523"/>
      <c r="R51" s="523"/>
      <c r="S51" s="523"/>
      <c r="T51" s="523"/>
      <c r="U51" s="523"/>
      <c r="V51" s="523"/>
    </row>
    <row r="52">
      <c r="A52" s="523" t="str">
        <f>Records!A52</f>
        <v>P008</v>
      </c>
      <c r="B52" s="523" t="n">
        <f>Records!B52</f>
        <v>6</v>
      </c>
      <c r="C52" s="523" t="str">
        <f>Records!E52</f>
        <v>固定订书机</v>
      </c>
      <c r="D52" s="523" t="str">
        <f>Records!G52</f>
        <v>方法B</v>
      </c>
      <c r="E52" s="523" t="str">
        <f>Records!H52</f>
        <v>EgoAnchor</v>
      </c>
      <c r="F52" s="543" t="n">
        <f>Records!K52</f>
        <v>4</v>
      </c>
      <c r="G52" s="543" t="n">
        <f>Records!R52</f>
        <v>4</v>
      </c>
      <c r="H52" s="543" t="n">
        <f>Records!L52</f>
        <v>5</v>
      </c>
      <c r="I52" s="543" t="n">
        <f>Records!M52</f>
        <v>5</v>
      </c>
      <c r="J52" s="543" t="n">
        <f>Records!Q52</f>
        <v>5</v>
      </c>
      <c r="K52" s="543" t="n">
        <f>Records!W52</f>
        <v>4</v>
      </c>
      <c r="L52" s="543" t="n">
        <f>Records!X52</f>
        <v>5</v>
      </c>
      <c r="M52" s="543" t="n">
        <f>IF(COUNT(Records!S52:U52)=0,"",AVERAGE(Records!S52:U52))</f>
        <v>4.666666666666667</v>
      </c>
      <c r="N52" s="543" t="n">
        <f>IF(COUNT(Records!O52,Records!P52,Records!V52)=0,"",AVERAGE(Records!O52,Records!P52,Records!V52))</f>
        <v>4</v>
      </c>
      <c r="O52" s="523" t="str">
        <f>Records!AD52</f>
        <v>是</v>
      </c>
      <c r="P52" s="544" t="n">
        <f>52</f>
        <v>52</v>
      </c>
      <c r="Q52" s="523"/>
      <c r="R52" s="523"/>
      <c r="S52" s="523"/>
      <c r="T52" s="523"/>
      <c r="U52" s="523"/>
      <c r="V52" s="523"/>
    </row>
    <row r="53">
      <c r="A53" s="523" t="str">
        <f>Records!A53</f>
        <v>P009</v>
      </c>
      <c r="B53" s="523" t="n">
        <f>Records!B53</f>
        <v>1</v>
      </c>
      <c r="C53" s="523" t="str">
        <f>Records!E53</f>
        <v>固定订书机</v>
      </c>
      <c r="D53" s="523" t="str">
        <f>Records!G53</f>
        <v>方法A</v>
      </c>
      <c r="E53" s="523" t="str">
        <f>Records!H53</f>
        <v>EgoAnchor</v>
      </c>
      <c r="F53" s="543" t="n">
        <f>Records!K53</f>
        <v>5</v>
      </c>
      <c r="G53" s="543" t="n">
        <f>Records!R53</f>
        <v>5</v>
      </c>
      <c r="H53" s="543" t="n">
        <f>Records!L53</f>
        <v>5</v>
      </c>
      <c r="I53" s="543" t="n">
        <f>Records!M53</f>
        <v>5</v>
      </c>
      <c r="J53" s="543" t="n">
        <f>Records!Q53</f>
        <v>5</v>
      </c>
      <c r="K53" s="543" t="n">
        <f>Records!W53</f>
        <v>4</v>
      </c>
      <c r="L53" s="543" t="n">
        <f>Records!X53</f>
        <v>3</v>
      </c>
      <c r="M53" s="543" t="n">
        <f>IF(COUNT(Records!S53:U53)=0,"",AVERAGE(Records!S53:U53))</f>
        <v>5</v>
      </c>
      <c r="N53" s="543" t="n">
        <f>IF(COUNT(Records!O53,Records!P53,Records!V53)=0,"",AVERAGE(Records!O53,Records!P53,Records!V53))</f>
        <v>2.6666666666666665</v>
      </c>
      <c r="O53" s="523" t="str">
        <f>Records!AD53</f>
        <v>是</v>
      </c>
      <c r="P53" s="544" t="n">
        <f>53</f>
        <v>53</v>
      </c>
      <c r="Q53" s="523"/>
      <c r="R53" s="523"/>
      <c r="S53" s="523"/>
      <c r="T53" s="523"/>
      <c r="U53" s="523"/>
      <c r="V53" s="523"/>
    </row>
    <row r="54">
      <c r="A54" s="523" t="str">
        <f>Records!A54</f>
        <v>P009</v>
      </c>
      <c r="B54" s="523" t="n">
        <f>Records!B54</f>
        <v>2</v>
      </c>
      <c r="C54" s="523" t="str">
        <f>Records!E54</f>
        <v>固定订书机</v>
      </c>
      <c r="D54" s="523" t="str">
        <f>Records!G54</f>
        <v>方法B</v>
      </c>
      <c r="E54" s="523" t="str">
        <f>Records!H54</f>
        <v>One-Euro</v>
      </c>
      <c r="F54" s="543" t="n">
        <f>Records!K54</f>
        <v>4</v>
      </c>
      <c r="G54" s="543" t="n">
        <f>Records!R54</f>
        <v>4</v>
      </c>
      <c r="H54" s="543" t="n">
        <f>Records!L54</f>
        <v>5</v>
      </c>
      <c r="I54" s="543" t="n">
        <f>Records!M54</f>
        <v>6</v>
      </c>
      <c r="J54" s="543" t="n">
        <f>Records!Q54</f>
        <v>3</v>
      </c>
      <c r="K54" s="543" t="n">
        <f>Records!W54</f>
        <v>4</v>
      </c>
      <c r="L54" s="543" t="n">
        <f>Records!X54</f>
        <v>4</v>
      </c>
      <c r="M54" s="543" t="n">
        <f>IF(COUNT(Records!S54:U54)=0,"",AVERAGE(Records!S54:U54))</f>
        <v>4</v>
      </c>
      <c r="N54" s="543" t="n">
        <f>IF(COUNT(Records!O54,Records!P54,Records!V54)=0,"",AVERAGE(Records!O54,Records!P54,Records!V54))</f>
        <v>4.333333333333333</v>
      </c>
      <c r="O54" s="523" t="str">
        <f>Records!AD54</f>
        <v>是</v>
      </c>
      <c r="P54" s="544" t="n">
        <f>54</f>
        <v>54</v>
      </c>
      <c r="Q54" s="523"/>
      <c r="R54" s="523"/>
      <c r="S54" s="523"/>
      <c r="T54" s="523"/>
      <c r="U54" s="523"/>
      <c r="V54" s="523"/>
    </row>
    <row r="55">
      <c r="A55" s="523" t="str">
        <f>Records!A55</f>
        <v>P009</v>
      </c>
      <c r="B55" s="523" t="n">
        <f>Records!B55</f>
        <v>3</v>
      </c>
      <c r="C55" s="523" t="str">
        <f>Records!E55</f>
        <v>鼠标</v>
      </c>
      <c r="D55" s="523" t="str">
        <f>Records!G55</f>
        <v>方法B</v>
      </c>
      <c r="E55" s="523" t="str">
        <f>Records!H55</f>
        <v>One-Euro</v>
      </c>
      <c r="F55" s="543" t="n">
        <f>Records!K55</f>
        <v>4</v>
      </c>
      <c r="G55" s="543" t="n">
        <f>Records!R55</f>
        <v>4</v>
      </c>
      <c r="H55" s="543" t="n">
        <f>Records!L55</f>
        <v>6</v>
      </c>
      <c r="I55" s="543" t="n">
        <f>Records!M55</f>
        <v>5</v>
      </c>
      <c r="J55" s="543" t="n">
        <f>Records!Q55</f>
        <v>4</v>
      </c>
      <c r="K55" s="543" t="n">
        <f>Records!W55</f>
        <v>4</v>
      </c>
      <c r="L55" s="543" t="n">
        <f>Records!X55</f>
        <v>4</v>
      </c>
      <c r="M55" s="543" t="n">
        <f>IF(COUNT(Records!S55:U55)=0,"",AVERAGE(Records!S55:U55))</f>
        <v>4</v>
      </c>
      <c r="N55" s="543" t="n">
        <f>IF(COUNT(Records!O55,Records!P55,Records!V55)=0,"",AVERAGE(Records!O55,Records!P55,Records!V55))</f>
        <v>5.333333333333333</v>
      </c>
      <c r="O55" s="523" t="str">
        <f>Records!AD55</f>
        <v>是</v>
      </c>
      <c r="P55" s="544" t="n">
        <f>55</f>
        <v>55</v>
      </c>
      <c r="Q55" s="523"/>
      <c r="R55" s="523"/>
      <c r="S55" s="523"/>
      <c r="T55" s="523"/>
      <c r="U55" s="523"/>
      <c r="V55" s="523"/>
    </row>
    <row r="56">
      <c r="A56" s="523" t="str">
        <f>Records!A56</f>
        <v>P009</v>
      </c>
      <c r="B56" s="523" t="n">
        <f>Records!B56</f>
        <v>4</v>
      </c>
      <c r="C56" s="523" t="str">
        <f>Records!E56</f>
        <v>鼠标</v>
      </c>
      <c r="D56" s="523" t="str">
        <f>Records!G56</f>
        <v>方法A</v>
      </c>
      <c r="E56" s="523" t="str">
        <f>Records!H56</f>
        <v>EgoAnchor</v>
      </c>
      <c r="F56" s="543" t="n">
        <f>Records!K56</f>
        <v>4</v>
      </c>
      <c r="G56" s="543" t="n">
        <f>Records!R56</f>
        <v>4</v>
      </c>
      <c r="H56" s="543" t="n">
        <f>Records!L56</f>
        <v>5</v>
      </c>
      <c r="I56" s="543" t="n">
        <f>Records!M56</f>
        <v>5</v>
      </c>
      <c r="J56" s="543" t="n">
        <f>Records!Q56</f>
        <v>5</v>
      </c>
      <c r="K56" s="543" t="n">
        <f>Records!W56</f>
        <v>5</v>
      </c>
      <c r="L56" s="543" t="n">
        <f>Records!X56</f>
        <v>4</v>
      </c>
      <c r="M56" s="543" t="n">
        <f>IF(COUNT(Records!S56:U56)=0,"",AVERAGE(Records!S56:U56))</f>
        <v>4.333333333333333</v>
      </c>
      <c r="N56" s="543" t="n">
        <f>IF(COUNT(Records!O56,Records!P56,Records!V56)=0,"",AVERAGE(Records!O56,Records!P56,Records!V56))</f>
        <v>4.333333333333333</v>
      </c>
      <c r="O56" s="523" t="str">
        <f>Records!AD56</f>
        <v>是</v>
      </c>
      <c r="P56" s="544" t="n">
        <f>56</f>
        <v>56</v>
      </c>
      <c r="Q56" s="523"/>
      <c r="R56" s="523"/>
      <c r="S56" s="523"/>
      <c r="T56" s="523"/>
      <c r="U56" s="523"/>
      <c r="V56" s="523"/>
    </row>
    <row r="57">
      <c r="A57" s="523" t="str">
        <f>Records!A57</f>
        <v>P009</v>
      </c>
      <c r="B57" s="523" t="n">
        <f>Records!B57</f>
        <v>5</v>
      </c>
      <c r="C57" s="523" t="str">
        <f>Records!E57</f>
        <v>游戏手柄</v>
      </c>
      <c r="D57" s="523" t="str">
        <f>Records!G57</f>
        <v>方法A</v>
      </c>
      <c r="E57" s="523" t="str">
        <f>Records!H57</f>
        <v>EgoAnchor</v>
      </c>
      <c r="F57" s="543" t="n">
        <f>Records!K57</f>
        <v>4</v>
      </c>
      <c r="G57" s="543" t="n">
        <f>Records!R57</f>
        <v>4</v>
      </c>
      <c r="H57" s="543" t="n">
        <f>Records!L57</f>
        <v>6</v>
      </c>
      <c r="I57" s="543" t="n">
        <f>Records!M57</f>
        <v>4</v>
      </c>
      <c r="J57" s="543" t="n">
        <f>Records!Q57</f>
        <v>5</v>
      </c>
      <c r="K57" s="543" t="n">
        <f>Records!W57</f>
        <v>4</v>
      </c>
      <c r="L57" s="543" t="n">
        <f>Records!X57</f>
        <v>4</v>
      </c>
      <c r="M57" s="543" t="n">
        <f>IF(COUNT(Records!S57:U57)=0,"",AVERAGE(Records!S57:U57))</f>
        <v>3.6666666666666665</v>
      </c>
      <c r="N57" s="543" t="n">
        <f>IF(COUNT(Records!O57,Records!P57,Records!V57)=0,"",AVERAGE(Records!O57,Records!P57,Records!V57))</f>
        <v>4.666666666666667</v>
      </c>
      <c r="O57" s="523" t="str">
        <f>Records!AD57</f>
        <v>是</v>
      </c>
      <c r="P57" s="544" t="n">
        <f>57</f>
        <v>57</v>
      </c>
      <c r="Q57" s="523"/>
      <c r="R57" s="523"/>
      <c r="S57" s="523"/>
      <c r="T57" s="523"/>
      <c r="U57" s="523"/>
      <c r="V57" s="523"/>
    </row>
    <row r="58">
      <c r="A58" s="523" t="str">
        <f>Records!A58</f>
        <v>P009</v>
      </c>
      <c r="B58" s="523" t="n">
        <f>Records!B58</f>
        <v>6</v>
      </c>
      <c r="C58" s="523" t="str">
        <f>Records!E58</f>
        <v>游戏手柄</v>
      </c>
      <c r="D58" s="523" t="str">
        <f>Records!G58</f>
        <v>方法B</v>
      </c>
      <c r="E58" s="523" t="str">
        <f>Records!H58</f>
        <v>One-Euro</v>
      </c>
      <c r="F58" s="543" t="n">
        <f>Records!K58</f>
        <v>2</v>
      </c>
      <c r="G58" s="543" t="n">
        <f>Records!R58</f>
        <v>3</v>
      </c>
      <c r="H58" s="543" t="n">
        <f>Records!L58</f>
        <v>4</v>
      </c>
      <c r="I58" s="543" t="n">
        <f>Records!M58</f>
        <v>5</v>
      </c>
      <c r="J58" s="543" t="n">
        <f>Records!Q58</f>
        <v>5</v>
      </c>
      <c r="K58" s="543" t="n">
        <f>Records!W58</f>
        <v>4</v>
      </c>
      <c r="L58" s="543" t="n">
        <f>Records!X58</f>
        <v>3</v>
      </c>
      <c r="M58" s="543" t="n">
        <f>IF(COUNT(Records!S58:U58)=0,"",AVERAGE(Records!S58:U58))</f>
        <v>3.6666666666666665</v>
      </c>
      <c r="N58" s="543" t="n">
        <f>IF(COUNT(Records!O58,Records!P58,Records!V58)=0,"",AVERAGE(Records!O58,Records!P58,Records!V58))</f>
        <v>5</v>
      </c>
      <c r="O58" s="523" t="str">
        <f>Records!AD58</f>
        <v>是</v>
      </c>
      <c r="P58" s="544" t="n">
        <f>58</f>
        <v>58</v>
      </c>
      <c r="Q58" s="523"/>
      <c r="R58" s="523"/>
      <c r="S58" s="523"/>
      <c r="T58" s="523"/>
      <c r="U58" s="523"/>
      <c r="V58" s="523"/>
    </row>
    <row r="59">
      <c r="A59" s="523" t="str">
        <f>Records!A59</f>
        <v>P010</v>
      </c>
      <c r="B59" s="523" t="n">
        <f>Records!B59</f>
        <v>1</v>
      </c>
      <c r="C59" s="523" t="str">
        <f>Records!E59</f>
        <v>固定订书机</v>
      </c>
      <c r="D59" s="523" t="str">
        <f>Records!G59</f>
        <v>方法B</v>
      </c>
      <c r="E59" s="523" t="str">
        <f>Records!H59</f>
        <v>One-Euro</v>
      </c>
      <c r="F59" s="543" t="n">
        <f>Records!K59</f>
        <v>4</v>
      </c>
      <c r="G59" s="543" t="n">
        <f>Records!R59</f>
        <v>5</v>
      </c>
      <c r="H59" s="543" t="n">
        <f>Records!L59</f>
        <v>5</v>
      </c>
      <c r="I59" s="543" t="n">
        <f>Records!M59</f>
        <v>7</v>
      </c>
      <c r="J59" s="543" t="n">
        <f>Records!Q59</f>
        <v>5</v>
      </c>
      <c r="K59" s="543" t="n">
        <f>Records!W59</f>
        <v>3</v>
      </c>
      <c r="L59" s="543" t="n">
        <f>Records!X59</f>
        <v>4</v>
      </c>
      <c r="M59" s="543" t="n">
        <f>IF(COUNT(Records!S59:U59)=0,"",AVERAGE(Records!S59:U59))</f>
        <v>4.666666666666667</v>
      </c>
      <c r="N59" s="543" t="n">
        <f>IF(COUNT(Records!O59,Records!P59,Records!V59)=0,"",AVERAGE(Records!O59,Records!P59,Records!V59))</f>
        <v>4.333333333333333</v>
      </c>
      <c r="O59" s="523" t="str">
        <f>Records!AD59</f>
        <v>是</v>
      </c>
      <c r="P59" s="544" t="n">
        <f>59</f>
        <v>59</v>
      </c>
      <c r="Q59" s="523"/>
      <c r="R59" s="523"/>
      <c r="S59" s="523"/>
      <c r="T59" s="523"/>
      <c r="U59" s="523"/>
      <c r="V59" s="523"/>
    </row>
    <row r="60">
      <c r="A60" s="523" t="str">
        <f>Records!A60</f>
        <v>P010</v>
      </c>
      <c r="B60" s="523" t="n">
        <f>Records!B60</f>
        <v>2</v>
      </c>
      <c r="C60" s="523" t="str">
        <f>Records!E60</f>
        <v>固定订书机</v>
      </c>
      <c r="D60" s="523" t="str">
        <f>Records!G60</f>
        <v>方法A</v>
      </c>
      <c r="E60" s="523" t="str">
        <f>Records!H60</f>
        <v>EgoAnchor</v>
      </c>
      <c r="F60" s="543" t="n">
        <f>Records!K60</f>
        <v>6</v>
      </c>
      <c r="G60" s="543" t="n">
        <f>Records!R60</f>
        <v>5</v>
      </c>
      <c r="H60" s="543" t="n">
        <f>Records!L60</f>
        <v>3</v>
      </c>
      <c r="I60" s="543" t="n">
        <f>Records!M60</f>
        <v>5</v>
      </c>
      <c r="J60" s="543" t="n">
        <f>Records!Q60</f>
        <v>4</v>
      </c>
      <c r="K60" s="543" t="n">
        <f>Records!W60</f>
        <v>5</v>
      </c>
      <c r="L60" s="543" t="n">
        <f>Records!X60</f>
        <v>5</v>
      </c>
      <c r="M60" s="543" t="n">
        <f>IF(COUNT(Records!S60:U60)=0,"",AVERAGE(Records!S60:U60))</f>
        <v>4</v>
      </c>
      <c r="N60" s="543" t="n">
        <f>IF(COUNT(Records!O60,Records!P60,Records!V60)=0,"",AVERAGE(Records!O60,Records!P60,Records!V60))</f>
        <v>4.333333333333333</v>
      </c>
      <c r="O60" s="523" t="str">
        <f>Records!AD60</f>
        <v>是</v>
      </c>
      <c r="P60" s="544" t="n">
        <f>60</f>
        <v>60</v>
      </c>
      <c r="Q60" s="523"/>
      <c r="R60" s="523"/>
      <c r="S60" s="523"/>
      <c r="T60" s="523"/>
      <c r="U60" s="523"/>
      <c r="V60" s="523"/>
    </row>
    <row r="61">
      <c r="A61" s="523" t="str">
        <f>Records!A61</f>
        <v>P010</v>
      </c>
      <c r="B61" s="523" t="n">
        <f>Records!B61</f>
        <v>3</v>
      </c>
      <c r="C61" s="523" t="str">
        <f>Records!E61</f>
        <v>鼠标</v>
      </c>
      <c r="D61" s="523" t="str">
        <f>Records!G61</f>
        <v>方法A</v>
      </c>
      <c r="E61" s="523" t="str">
        <f>Records!H61</f>
        <v>EgoAnchor</v>
      </c>
      <c r="F61" s="543" t="n">
        <f>Records!K61</f>
        <v>4</v>
      </c>
      <c r="G61" s="543" t="n">
        <f>Records!R61</f>
        <v>4</v>
      </c>
      <c r="H61" s="543" t="n">
        <f>Records!L61</f>
        <v>2</v>
      </c>
      <c r="I61" s="543" t="n">
        <f>Records!M61</f>
        <v>3</v>
      </c>
      <c r="J61" s="543" t="n">
        <f>Records!Q61</f>
        <v>4</v>
      </c>
      <c r="K61" s="543" t="n">
        <f>Records!W61</f>
        <v>5</v>
      </c>
      <c r="L61" s="543" t="n">
        <f>Records!X61</f>
        <v>3</v>
      </c>
      <c r="M61" s="543" t="n">
        <f>IF(COUNT(Records!S61:U61)=0,"",AVERAGE(Records!S61:U61))</f>
        <v>4.666666666666667</v>
      </c>
      <c r="N61" s="543" t="n">
        <f>IF(COUNT(Records!O61,Records!P61,Records!V61)=0,"",AVERAGE(Records!O61,Records!P61,Records!V61))</f>
        <v>4</v>
      </c>
      <c r="O61" s="523" t="str">
        <f>Records!AD61</f>
        <v>是</v>
      </c>
      <c r="P61" s="544" t="n">
        <f>61</f>
        <v>61</v>
      </c>
      <c r="Q61" s="523"/>
      <c r="R61" s="523"/>
      <c r="S61" s="523"/>
      <c r="T61" s="523"/>
      <c r="U61" s="523"/>
      <c r="V61" s="523"/>
    </row>
    <row r="62">
      <c r="A62" s="523" t="str">
        <f>Records!A62</f>
        <v>P010</v>
      </c>
      <c r="B62" s="523" t="n">
        <f>Records!B62</f>
        <v>4</v>
      </c>
      <c r="C62" s="523" t="str">
        <f>Records!E62</f>
        <v>鼠标</v>
      </c>
      <c r="D62" s="523" t="str">
        <f>Records!G62</f>
        <v>方法B</v>
      </c>
      <c r="E62" s="523" t="str">
        <f>Records!H62</f>
        <v>One-Euro</v>
      </c>
      <c r="F62" s="543" t="n">
        <f>Records!K62</f>
        <v>4</v>
      </c>
      <c r="G62" s="543" t="n">
        <f>Records!R62</f>
        <v>5</v>
      </c>
      <c r="H62" s="543" t="n">
        <f>Records!L62</f>
        <v>5</v>
      </c>
      <c r="I62" s="543" t="n">
        <f>Records!M62</f>
        <v>4</v>
      </c>
      <c r="J62" s="543" t="n">
        <f>Records!Q62</f>
        <v>5</v>
      </c>
      <c r="K62" s="543" t="n">
        <f>Records!W62</f>
        <v>4</v>
      </c>
      <c r="L62" s="543" t="n">
        <f>Records!X62</f>
        <v>3</v>
      </c>
      <c r="M62" s="543" t="n">
        <f>IF(COUNT(Records!S62:U62)=0,"",AVERAGE(Records!S62:U62))</f>
        <v>4.666666666666667</v>
      </c>
      <c r="N62" s="543" t="n">
        <f>IF(COUNT(Records!O62,Records!P62,Records!V62)=0,"",AVERAGE(Records!O62,Records!P62,Records!V62))</f>
        <v>5</v>
      </c>
      <c r="O62" s="523" t="str">
        <f>Records!AD62</f>
        <v>是</v>
      </c>
      <c r="P62" s="544" t="n">
        <f>62</f>
        <v>62</v>
      </c>
      <c r="Q62" s="523"/>
      <c r="R62" s="523"/>
      <c r="S62" s="523"/>
      <c r="T62" s="523"/>
      <c r="U62" s="523"/>
      <c r="V62" s="523"/>
    </row>
    <row r="63">
      <c r="A63" s="523" t="str">
        <f>Records!A63</f>
        <v>P010</v>
      </c>
      <c r="B63" s="523" t="n">
        <f>Records!B63</f>
        <v>5</v>
      </c>
      <c r="C63" s="523" t="str">
        <f>Records!E63</f>
        <v>游戏手柄</v>
      </c>
      <c r="D63" s="523" t="str">
        <f>Records!G63</f>
        <v>方法B</v>
      </c>
      <c r="E63" s="523" t="str">
        <f>Records!H63</f>
        <v>One-Euro</v>
      </c>
      <c r="F63" s="543" t="n">
        <f>Records!K63</f>
        <v>4</v>
      </c>
      <c r="G63" s="543" t="n">
        <f>Records!R63</f>
        <v>5</v>
      </c>
      <c r="H63" s="543" t="n">
        <f>Records!L63</f>
        <v>5</v>
      </c>
      <c r="I63" s="543" t="n">
        <f>Records!M63</f>
        <v>5</v>
      </c>
      <c r="J63" s="543" t="n">
        <f>Records!Q63</f>
        <v>3</v>
      </c>
      <c r="K63" s="543" t="n">
        <f>Records!W63</f>
        <v>4</v>
      </c>
      <c r="L63" s="543" t="n">
        <f>Records!X63</f>
        <v>3</v>
      </c>
      <c r="M63" s="543" t="n">
        <f>IF(COUNT(Records!S63:U63)=0,"",AVERAGE(Records!S63:U63))</f>
        <v>4.666666666666667</v>
      </c>
      <c r="N63" s="543" t="n">
        <f>IF(COUNT(Records!O63,Records!P63,Records!V63)=0,"",AVERAGE(Records!O63,Records!P63,Records!V63))</f>
        <v>5</v>
      </c>
      <c r="O63" s="523" t="str">
        <f>Records!AD63</f>
        <v>是</v>
      </c>
      <c r="P63" s="544" t="n">
        <f>63</f>
        <v>63</v>
      </c>
      <c r="Q63" s="523"/>
      <c r="R63" s="523"/>
      <c r="S63" s="523"/>
      <c r="T63" s="523"/>
      <c r="U63" s="523"/>
      <c r="V63" s="523"/>
    </row>
    <row r="64">
      <c r="A64" s="523" t="str">
        <f>Records!A64</f>
        <v>P010</v>
      </c>
      <c r="B64" s="523" t="n">
        <f>Records!B64</f>
        <v>6</v>
      </c>
      <c r="C64" s="523" t="str">
        <f>Records!E64</f>
        <v>游戏手柄</v>
      </c>
      <c r="D64" s="523" t="str">
        <f>Records!G64</f>
        <v>方法A</v>
      </c>
      <c r="E64" s="523" t="str">
        <f>Records!H64</f>
        <v>EgoAnchor</v>
      </c>
      <c r="F64" s="543" t="n">
        <f>Records!K64</f>
        <v>5</v>
      </c>
      <c r="G64" s="543" t="n">
        <f>Records!R64</f>
        <v>4</v>
      </c>
      <c r="H64" s="543" t="n">
        <f>Records!L64</f>
        <v>4</v>
      </c>
      <c r="I64" s="543" t="n">
        <f>Records!M64</f>
        <v>5</v>
      </c>
      <c r="J64" s="543" t="n">
        <f>Records!Q64</f>
        <v>4</v>
      </c>
      <c r="K64" s="543" t="n">
        <f>Records!W64</f>
        <v>6</v>
      </c>
      <c r="L64" s="543" t="n">
        <f>Records!X64</f>
        <v>5</v>
      </c>
      <c r="M64" s="543" t="n">
        <f>IF(COUNT(Records!S64:U64)=0,"",AVERAGE(Records!S64:U64))</f>
        <v>4.333333333333333</v>
      </c>
      <c r="N64" s="543" t="n">
        <f>IF(COUNT(Records!O64,Records!P64,Records!V64)=0,"",AVERAGE(Records!O64,Records!P64,Records!V64))</f>
        <v>4</v>
      </c>
      <c r="O64" s="523" t="str">
        <f>Records!AD64</f>
        <v>是</v>
      </c>
      <c r="P64" s="544" t="n">
        <f>64</f>
        <v>64</v>
      </c>
      <c r="Q64" s="523"/>
      <c r="R64" s="523"/>
      <c r="S64" s="523"/>
      <c r="T64" s="523"/>
      <c r="U64" s="523"/>
      <c r="V64" s="523"/>
    </row>
    <row r="65">
      <c r="A65" s="523" t="str">
        <f>Records!A65</f>
        <v>P011</v>
      </c>
      <c r="B65" s="523" t="n">
        <f>Records!B65</f>
        <v>1</v>
      </c>
      <c r="C65" s="523" t="str">
        <f>Records!E65</f>
        <v>固定订书机</v>
      </c>
      <c r="D65" s="523" t="str">
        <f>Records!G65</f>
        <v>方法B</v>
      </c>
      <c r="E65" s="523" t="str">
        <f>Records!H65</f>
        <v>EgoAnchor</v>
      </c>
      <c r="F65" s="543" t="n">
        <f>Records!K65</f>
        <v>5</v>
      </c>
      <c r="G65" s="543" t="n">
        <f>Records!R65</f>
        <v>5</v>
      </c>
      <c r="H65" s="543" t="n">
        <f>Records!L65</f>
        <v>6</v>
      </c>
      <c r="I65" s="543" t="n">
        <f>Records!M65</f>
        <v>5</v>
      </c>
      <c r="J65" s="543" t="n">
        <f>Records!Q65</f>
        <v>5</v>
      </c>
      <c r="K65" s="543" t="n">
        <f>Records!W65</f>
        <v>6</v>
      </c>
      <c r="L65" s="543" t="n">
        <f>Records!X65</f>
        <v>5</v>
      </c>
      <c r="M65" s="543" t="n">
        <f>IF(COUNT(Records!S65:U65)=0,"",AVERAGE(Records!S65:U65))</f>
        <v>6</v>
      </c>
      <c r="N65" s="543" t="n">
        <f>IF(COUNT(Records!O65,Records!P65,Records!V65)=0,"",AVERAGE(Records!O65,Records!P65,Records!V65))</f>
        <v>5.333333333333333</v>
      </c>
      <c r="O65" s="523" t="str">
        <f>Records!AD65</f>
        <v>是</v>
      </c>
      <c r="P65" s="544" t="n">
        <f>65</f>
        <v>65</v>
      </c>
      <c r="Q65" s="523"/>
      <c r="R65" s="523"/>
      <c r="S65" s="523"/>
      <c r="T65" s="523"/>
      <c r="U65" s="523"/>
      <c r="V65" s="523"/>
    </row>
    <row r="66">
      <c r="A66" s="523" t="str">
        <f>Records!A66</f>
        <v>P011</v>
      </c>
      <c r="B66" s="523" t="n">
        <f>Records!B66</f>
        <v>2</v>
      </c>
      <c r="C66" s="523" t="str">
        <f>Records!E66</f>
        <v>固定订书机</v>
      </c>
      <c r="D66" s="523" t="str">
        <f>Records!G66</f>
        <v>方法A</v>
      </c>
      <c r="E66" s="523" t="str">
        <f>Records!H66</f>
        <v>One-Euro</v>
      </c>
      <c r="F66" s="543" t="n">
        <f>Records!K66</f>
        <v>3</v>
      </c>
      <c r="G66" s="543" t="n">
        <f>Records!R66</f>
        <v>5</v>
      </c>
      <c r="H66" s="543" t="n">
        <f>Records!L66</f>
        <v>6</v>
      </c>
      <c r="I66" s="543" t="n">
        <f>Records!M66</f>
        <v>6</v>
      </c>
      <c r="J66" s="543" t="n">
        <f>Records!Q66</f>
        <v>4</v>
      </c>
      <c r="K66" s="543" t="n">
        <f>Records!W66</f>
        <v>5</v>
      </c>
      <c r="L66" s="543" t="n">
        <f>Records!X66</f>
        <v>4</v>
      </c>
      <c r="M66" s="543" t="n">
        <f>IF(COUNT(Records!S66:U66)=0,"",AVERAGE(Records!S66:U66))</f>
        <v>5</v>
      </c>
      <c r="N66" s="543" t="n">
        <f>IF(COUNT(Records!O66,Records!P66,Records!V66)=0,"",AVERAGE(Records!O66,Records!P66,Records!V66))</f>
        <v>4.666666666666667</v>
      </c>
      <c r="O66" s="523" t="str">
        <f>Records!AD66</f>
        <v>是</v>
      </c>
      <c r="P66" s="544" t="n">
        <f>66</f>
        <v>66</v>
      </c>
      <c r="Q66" s="523"/>
      <c r="R66" s="523"/>
      <c r="S66" s="523"/>
      <c r="T66" s="523"/>
      <c r="U66" s="523"/>
      <c r="V66" s="523"/>
    </row>
    <row r="67">
      <c r="A67" s="523" t="str">
        <f>Records!A67</f>
        <v>P011</v>
      </c>
      <c r="B67" s="523" t="n">
        <f>Records!B67</f>
        <v>3</v>
      </c>
      <c r="C67" s="523" t="str">
        <f>Records!E67</f>
        <v>鼠标</v>
      </c>
      <c r="D67" s="523" t="str">
        <f>Records!G67</f>
        <v>方法A</v>
      </c>
      <c r="E67" s="523" t="str">
        <f>Records!H67</f>
        <v>One-Euro</v>
      </c>
      <c r="F67" s="543" t="n">
        <f>Records!K67</f>
        <v>4</v>
      </c>
      <c r="G67" s="543" t="n">
        <f>Records!R67</f>
        <v>4</v>
      </c>
      <c r="H67" s="543" t="n">
        <f>Records!L67</f>
        <v>4</v>
      </c>
      <c r="I67" s="543" t="n">
        <f>Records!M67</f>
        <v>5</v>
      </c>
      <c r="J67" s="543" t="n">
        <f>Records!Q67</f>
        <v>5</v>
      </c>
      <c r="K67" s="543" t="n">
        <f>Records!W67</f>
        <v>5</v>
      </c>
      <c r="L67" s="543" t="n">
        <f>Records!X67</f>
        <v>4</v>
      </c>
      <c r="M67" s="543" t="n">
        <f>IF(COUNT(Records!S67:U67)=0,"",AVERAGE(Records!S67:U67))</f>
        <v>5</v>
      </c>
      <c r="N67" s="543" t="n">
        <f>IF(COUNT(Records!O67,Records!P67,Records!V67)=0,"",AVERAGE(Records!O67,Records!P67,Records!V67))</f>
        <v>5</v>
      </c>
      <c r="O67" s="523" t="str">
        <f>Records!AD67</f>
        <v>是</v>
      </c>
      <c r="P67" s="544" t="n">
        <f>67</f>
        <v>67</v>
      </c>
      <c r="Q67" s="523"/>
      <c r="R67" s="523"/>
      <c r="S67" s="523"/>
      <c r="T67" s="523"/>
      <c r="U67" s="523"/>
      <c r="V67" s="523"/>
    </row>
    <row r="68">
      <c r="A68" s="523" t="str">
        <f>Records!A68</f>
        <v>P011</v>
      </c>
      <c r="B68" s="523" t="n">
        <f>Records!B68</f>
        <v>4</v>
      </c>
      <c r="C68" s="523" t="str">
        <f>Records!E68</f>
        <v>鼠标</v>
      </c>
      <c r="D68" s="523" t="str">
        <f>Records!G68</f>
        <v>方法B</v>
      </c>
      <c r="E68" s="523" t="str">
        <f>Records!H68</f>
        <v>EgoAnchor</v>
      </c>
      <c r="F68" s="543" t="n">
        <f>Records!K68</f>
        <v>5</v>
      </c>
      <c r="G68" s="543" t="n">
        <f>Records!R68</f>
        <v>5</v>
      </c>
      <c r="H68" s="543" t="n">
        <f>Records!L68</f>
        <v>6</v>
      </c>
      <c r="I68" s="543" t="n">
        <f>Records!M68</f>
        <v>4</v>
      </c>
      <c r="J68" s="543" t="n">
        <f>Records!Q68</f>
        <v>4</v>
      </c>
      <c r="K68" s="543" t="n">
        <f>Records!W68</f>
        <v>5</v>
      </c>
      <c r="L68" s="543" t="n">
        <f>Records!X68</f>
        <v>5</v>
      </c>
      <c r="M68" s="543" t="n">
        <f>IF(COUNT(Records!S68:U68)=0,"",AVERAGE(Records!S68:U68))</f>
        <v>5</v>
      </c>
      <c r="N68" s="543" t="n">
        <f>IF(COUNT(Records!O68,Records!P68,Records!V68)=0,"",AVERAGE(Records!O68,Records!P68,Records!V68))</f>
        <v>5.333333333333333</v>
      </c>
      <c r="O68" s="523" t="str">
        <f>Records!AD68</f>
        <v>是</v>
      </c>
      <c r="P68" s="544" t="n">
        <f>68</f>
        <v>68</v>
      </c>
      <c r="Q68" s="523"/>
      <c r="R68" s="523"/>
      <c r="S68" s="523"/>
      <c r="T68" s="523"/>
      <c r="U68" s="523"/>
      <c r="V68" s="523"/>
    </row>
    <row r="69">
      <c r="A69" s="523" t="str">
        <f>Records!A69</f>
        <v>P011</v>
      </c>
      <c r="B69" s="523" t="n">
        <f>Records!B69</f>
        <v>5</v>
      </c>
      <c r="C69" s="523" t="str">
        <f>Records!E69</f>
        <v>游戏手柄</v>
      </c>
      <c r="D69" s="523" t="str">
        <f>Records!G69</f>
        <v>方法B</v>
      </c>
      <c r="E69" s="523" t="str">
        <f>Records!H69</f>
        <v>EgoAnchor</v>
      </c>
      <c r="F69" s="543" t="n">
        <f>Records!K69</f>
        <v>5</v>
      </c>
      <c r="G69" s="543" t="n">
        <f>Records!R69</f>
        <v>5</v>
      </c>
      <c r="H69" s="543" t="n">
        <f>Records!L69</f>
        <v>6</v>
      </c>
      <c r="I69" s="543" t="n">
        <f>Records!M69</f>
        <v>5</v>
      </c>
      <c r="J69" s="543" t="n">
        <f>Records!Q69</f>
        <v>7</v>
      </c>
      <c r="K69" s="543" t="n">
        <f>Records!W69</f>
        <v>5</v>
      </c>
      <c r="L69" s="543" t="n">
        <f>Records!X69</f>
        <v>5</v>
      </c>
      <c r="M69" s="543" t="n">
        <f>IF(COUNT(Records!S69:U69)=0,"",AVERAGE(Records!S69:U69))</f>
        <v>5</v>
      </c>
      <c r="N69" s="543" t="n">
        <f>IF(COUNT(Records!O69,Records!P69,Records!V69)=0,"",AVERAGE(Records!O69,Records!P69,Records!V69))</f>
        <v>4.666666666666667</v>
      </c>
      <c r="O69" s="523" t="str">
        <f>Records!AD69</f>
        <v>是</v>
      </c>
      <c r="P69" s="544" t="n">
        <f>69</f>
        <v>69</v>
      </c>
      <c r="Q69" s="523"/>
      <c r="R69" s="523"/>
      <c r="S69" s="523"/>
      <c r="T69" s="523"/>
      <c r="U69" s="523"/>
      <c r="V69" s="523"/>
    </row>
    <row r="70">
      <c r="A70" s="523" t="str">
        <f>Records!A70</f>
        <v>P011</v>
      </c>
      <c r="B70" s="523" t="n">
        <f>Records!B70</f>
        <v>6</v>
      </c>
      <c r="C70" s="523" t="str">
        <f>Records!E70</f>
        <v>游戏手柄</v>
      </c>
      <c r="D70" s="523" t="str">
        <f>Records!G70</f>
        <v>方法A</v>
      </c>
      <c r="E70" s="523" t="str">
        <f>Records!H70</f>
        <v>One-Euro</v>
      </c>
      <c r="F70" s="543" t="n">
        <f>Records!K70</f>
        <v>4</v>
      </c>
      <c r="G70" s="543" t="n">
        <f>Records!R70</f>
        <v>3</v>
      </c>
      <c r="H70" s="543" t="n">
        <f>Records!L70</f>
        <v>5</v>
      </c>
      <c r="I70" s="543" t="n">
        <f>Records!M70</f>
        <v>4</v>
      </c>
      <c r="J70" s="543" t="n">
        <f>Records!Q70</f>
        <v>4</v>
      </c>
      <c r="K70" s="543" t="n">
        <f>Records!W70</f>
        <v>2</v>
      </c>
      <c r="L70" s="543" t="n">
        <f>Records!X70</f>
        <v>3</v>
      </c>
      <c r="M70" s="543" t="n">
        <f>IF(COUNT(Records!S70:U70)=0,"",AVERAGE(Records!S70:U70))</f>
        <v>4</v>
      </c>
      <c r="N70" s="543" t="n">
        <f>IF(COUNT(Records!O70,Records!P70,Records!V70)=0,"",AVERAGE(Records!O70,Records!P70,Records!V70))</f>
        <v>4.333333333333333</v>
      </c>
      <c r="O70" s="523" t="str">
        <f>Records!AD70</f>
        <v>是</v>
      </c>
      <c r="P70" s="544" t="n">
        <f>70</f>
        <v>70</v>
      </c>
      <c r="Q70" s="523"/>
      <c r="R70" s="523"/>
      <c r="S70" s="523"/>
      <c r="T70" s="523"/>
      <c r="U70" s="523"/>
      <c r="V70" s="523"/>
    </row>
    <row r="71">
      <c r="A71" s="523" t="str">
        <f>Records!A71</f>
        <v>P012</v>
      </c>
      <c r="B71" s="523" t="n">
        <f>Records!B71</f>
        <v>1</v>
      </c>
      <c r="C71" s="523" t="str">
        <f>Records!E71</f>
        <v>固定订书机</v>
      </c>
      <c r="D71" s="523" t="str">
        <f>Records!G71</f>
        <v>方法A</v>
      </c>
      <c r="E71" s="523" t="str">
        <f>Records!H71</f>
        <v>One-Euro</v>
      </c>
      <c r="F71" s="543" t="n">
        <f>Records!K71</f>
        <v>4</v>
      </c>
      <c r="G71" s="543" t="n">
        <f>Records!R71</f>
        <v>6</v>
      </c>
      <c r="H71" s="543" t="n">
        <f>Records!L71</f>
        <v>5</v>
      </c>
      <c r="I71" s="543" t="n">
        <f>Records!M71</f>
        <v>5</v>
      </c>
      <c r="J71" s="543" t="n">
        <f>Records!Q71</f>
        <v>4</v>
      </c>
      <c r="K71" s="543" t="n">
        <f>Records!W71</f>
        <v>5</v>
      </c>
      <c r="L71" s="543" t="n">
        <f>Records!X71</f>
        <v>5</v>
      </c>
      <c r="M71" s="543" t="n">
        <f>IF(COUNT(Records!S71:U71)=0,"",AVERAGE(Records!S71:U71))</f>
        <v>6</v>
      </c>
      <c r="N71" s="543" t="n">
        <f>IF(COUNT(Records!O71,Records!P71,Records!V71)=0,"",AVERAGE(Records!O71,Records!P71,Records!V71))</f>
        <v>5.666666666666667</v>
      </c>
      <c r="O71" s="523" t="str">
        <f>Records!AD71</f>
        <v>是</v>
      </c>
      <c r="P71" s="544" t="n">
        <f>71</f>
        <v>71</v>
      </c>
      <c r="Q71" s="523"/>
      <c r="R71" s="523"/>
      <c r="S71" s="523"/>
      <c r="T71" s="523"/>
      <c r="U71" s="523"/>
      <c r="V71" s="523"/>
    </row>
    <row r="72">
      <c r="A72" s="523" t="str">
        <f>Records!A72</f>
        <v>P012</v>
      </c>
      <c r="B72" s="523" t="n">
        <f>Records!B72</f>
        <v>2</v>
      </c>
      <c r="C72" s="523" t="str">
        <f>Records!E72</f>
        <v>固定订书机</v>
      </c>
      <c r="D72" s="523" t="str">
        <f>Records!G72</f>
        <v>方法B</v>
      </c>
      <c r="E72" s="523" t="str">
        <f>Records!H72</f>
        <v>EgoAnchor</v>
      </c>
      <c r="F72" s="543" t="n">
        <f>Records!K72</f>
        <v>6</v>
      </c>
      <c r="G72" s="543" t="n">
        <f>Records!R72</f>
        <v>6</v>
      </c>
      <c r="H72" s="543" t="n">
        <f>Records!L72</f>
        <v>5</v>
      </c>
      <c r="I72" s="543" t="n">
        <f>Records!M72</f>
        <v>7</v>
      </c>
      <c r="J72" s="543" t="n">
        <f>Records!Q72</f>
        <v>7</v>
      </c>
      <c r="K72" s="543" t="n">
        <f>Records!W72</f>
        <v>6</v>
      </c>
      <c r="L72" s="543" t="n">
        <f>Records!X72</f>
        <v>7</v>
      </c>
      <c r="M72" s="543" t="n">
        <f>IF(COUNT(Records!S72:U72)=0,"",AVERAGE(Records!S72:U72))</f>
        <v>6.666666666666667</v>
      </c>
      <c r="N72" s="543" t="n">
        <f>IF(COUNT(Records!O72,Records!P72,Records!V72)=0,"",AVERAGE(Records!O72,Records!P72,Records!V72))</f>
        <v>6</v>
      </c>
      <c r="O72" s="523" t="str">
        <f>Records!AD72</f>
        <v>是</v>
      </c>
      <c r="P72" s="544" t="n">
        <f>72</f>
        <v>72</v>
      </c>
      <c r="Q72" s="523"/>
      <c r="R72" s="523"/>
      <c r="S72" s="523"/>
      <c r="T72" s="523"/>
      <c r="U72" s="523"/>
      <c r="V72" s="523"/>
    </row>
    <row r="73">
      <c r="A73" s="523" t="str">
        <f>Records!A73</f>
        <v>P012</v>
      </c>
      <c r="B73" s="523" t="n">
        <f>Records!B73</f>
        <v>3</v>
      </c>
      <c r="C73" s="523" t="str">
        <f>Records!E73</f>
        <v>鼠标</v>
      </c>
      <c r="D73" s="523" t="str">
        <f>Records!G73</f>
        <v>方法B</v>
      </c>
      <c r="E73" s="523" t="str">
        <f>Records!H73</f>
        <v>EgoAnchor</v>
      </c>
      <c r="F73" s="543" t="n">
        <f>Records!K73</f>
        <v>7</v>
      </c>
      <c r="G73" s="543" t="n">
        <f>Records!R73</f>
        <v>6</v>
      </c>
      <c r="H73" s="543" t="n">
        <f>Records!L73</f>
        <v>6</v>
      </c>
      <c r="I73" s="543" t="n">
        <f>Records!M73</f>
        <v>6</v>
      </c>
      <c r="J73" s="543" t="n">
        <f>Records!Q73</f>
        <v>5</v>
      </c>
      <c r="K73" s="543" t="n">
        <f>Records!W73</f>
        <v>5</v>
      </c>
      <c r="L73" s="543" t="n">
        <f>Records!X73</f>
        <v>7</v>
      </c>
      <c r="M73" s="543" t="n">
        <f>IF(COUNT(Records!S73:U73)=0,"",AVERAGE(Records!S73:U73))</f>
        <v>5.333333333333333</v>
      </c>
      <c r="N73" s="543" t="n">
        <f>IF(COUNT(Records!O73,Records!P73,Records!V73)=0,"",AVERAGE(Records!O73,Records!P73,Records!V73))</f>
        <v>6.333333333333333</v>
      </c>
      <c r="O73" s="523" t="str">
        <f>Records!AD73</f>
        <v>是</v>
      </c>
      <c r="P73" s="544" t="n">
        <f>73</f>
        <v>73</v>
      </c>
      <c r="Q73" s="523"/>
      <c r="R73" s="523"/>
      <c r="S73" s="523"/>
      <c r="T73" s="523"/>
      <c r="U73" s="523"/>
      <c r="V73" s="523"/>
    </row>
    <row r="74">
      <c r="A74" s="523" t="str">
        <f>Records!A74</f>
        <v>P012</v>
      </c>
      <c r="B74" s="523" t="n">
        <f>Records!B74</f>
        <v>4</v>
      </c>
      <c r="C74" s="523" t="str">
        <f>Records!E74</f>
        <v>鼠标</v>
      </c>
      <c r="D74" s="523" t="str">
        <f>Records!G74</f>
        <v>方法A</v>
      </c>
      <c r="E74" s="523" t="str">
        <f>Records!H74</f>
        <v>One-Euro</v>
      </c>
      <c r="F74" s="543" t="n">
        <f>Records!K74</f>
        <v>6</v>
      </c>
      <c r="G74" s="543" t="n">
        <f>Records!R74</f>
        <v>5</v>
      </c>
      <c r="H74" s="543" t="n">
        <f>Records!L74</f>
        <v>6</v>
      </c>
      <c r="I74" s="543" t="n">
        <f>Records!M74</f>
        <v>5</v>
      </c>
      <c r="J74" s="543" t="n">
        <f>Records!Q74</f>
        <v>5</v>
      </c>
      <c r="K74" s="543" t="n">
        <f>Records!W74</f>
        <v>5</v>
      </c>
      <c r="L74" s="543" t="n">
        <f>Records!X74</f>
        <v>5</v>
      </c>
      <c r="M74" s="543" t="n">
        <f>IF(COUNT(Records!S74:U74)=0,"",AVERAGE(Records!S74:U74))</f>
        <v>5.333333333333333</v>
      </c>
      <c r="N74" s="543" t="n">
        <f>IF(COUNT(Records!O74,Records!P74,Records!V74)=0,"",AVERAGE(Records!O74,Records!P74,Records!V74))</f>
        <v>5</v>
      </c>
      <c r="O74" s="523" t="str">
        <f>Records!AD74</f>
        <v>是</v>
      </c>
      <c r="P74" s="544" t="n">
        <f>74</f>
        <v>74</v>
      </c>
      <c r="Q74" s="523"/>
      <c r="R74" s="523"/>
      <c r="S74" s="523"/>
      <c r="T74" s="523"/>
      <c r="U74" s="523"/>
      <c r="V74" s="523"/>
    </row>
    <row r="75">
      <c r="A75" s="523" t="str">
        <f>Records!A75</f>
        <v>P012</v>
      </c>
      <c r="B75" s="523" t="n">
        <f>Records!B75</f>
        <v>5</v>
      </c>
      <c r="C75" s="523" t="str">
        <f>Records!E75</f>
        <v>游戏手柄</v>
      </c>
      <c r="D75" s="523" t="str">
        <f>Records!G75</f>
        <v>方法A</v>
      </c>
      <c r="E75" s="523" t="str">
        <f>Records!H75</f>
        <v>One-Euro</v>
      </c>
      <c r="F75" s="543" t="n">
        <f>Records!K75</f>
        <v>5</v>
      </c>
      <c r="G75" s="543" t="n">
        <f>Records!R75</f>
        <v>5</v>
      </c>
      <c r="H75" s="543" t="n">
        <f>Records!L75</f>
        <v>5</v>
      </c>
      <c r="I75" s="543" t="n">
        <f>Records!M75</f>
        <v>7</v>
      </c>
      <c r="J75" s="543" t="n">
        <f>Records!Q75</f>
        <v>4</v>
      </c>
      <c r="K75" s="543" t="n">
        <f>Records!W75</f>
        <v>5</v>
      </c>
      <c r="L75" s="543" t="n">
        <f>Records!X75</f>
        <v>4</v>
      </c>
      <c r="M75" s="543" t="n">
        <f>IF(COUNT(Records!S75:U75)=0,"",AVERAGE(Records!S75:U75))</f>
        <v>5</v>
      </c>
      <c r="N75" s="543" t="n">
        <f>IF(COUNT(Records!O75,Records!P75,Records!V75)=0,"",AVERAGE(Records!O75,Records!P75,Records!V75))</f>
        <v>5.666666666666667</v>
      </c>
      <c r="O75" s="523" t="str">
        <f>Records!AD75</f>
        <v>是</v>
      </c>
      <c r="P75" s="544" t="n">
        <f>75</f>
        <v>75</v>
      </c>
      <c r="Q75" s="523"/>
      <c r="R75" s="523"/>
      <c r="S75" s="523"/>
      <c r="T75" s="523"/>
      <c r="U75" s="523"/>
      <c r="V75" s="523"/>
    </row>
    <row r="76">
      <c r="A76" s="523" t="str">
        <f>Records!A76</f>
        <v>P012</v>
      </c>
      <c r="B76" s="523" t="n">
        <f>Records!B76</f>
        <v>6</v>
      </c>
      <c r="C76" s="523" t="str">
        <f>Records!E76</f>
        <v>游戏手柄</v>
      </c>
      <c r="D76" s="523" t="str">
        <f>Records!G76</f>
        <v>方法B</v>
      </c>
      <c r="E76" s="523" t="str">
        <f>Records!H76</f>
        <v>EgoAnchor</v>
      </c>
      <c r="F76" s="543" t="n">
        <f>Records!K76</f>
        <v>7</v>
      </c>
      <c r="G76" s="543" t="n">
        <f>Records!R76</f>
        <v>6</v>
      </c>
      <c r="H76" s="543" t="n">
        <f>Records!L76</f>
        <v>6</v>
      </c>
      <c r="I76" s="543" t="n">
        <f>Records!M76</f>
        <v>6</v>
      </c>
      <c r="J76" s="543" t="n">
        <f>Records!Q76</f>
        <v>7</v>
      </c>
      <c r="K76" s="543" t="n">
        <f>Records!W76</f>
        <v>7</v>
      </c>
      <c r="L76" s="543" t="n">
        <f>Records!X76</f>
        <v>5</v>
      </c>
      <c r="M76" s="543" t="n">
        <f>IF(COUNT(Records!S76:U76)=0,"",AVERAGE(Records!S76:U76))</f>
        <v>6.333333333333333</v>
      </c>
      <c r="N76" s="543" t="n">
        <f>IF(COUNT(Records!O76,Records!P76,Records!V76)=0,"",AVERAGE(Records!O76,Records!P76,Records!V76))</f>
        <v>6.666666666666667</v>
      </c>
      <c r="O76" s="523" t="str">
        <f>Records!AD76</f>
        <v>是</v>
      </c>
      <c r="P76" s="544" t="n">
        <f>76</f>
        <v>76</v>
      </c>
      <c r="Q76" s="523"/>
      <c r="R76" s="523"/>
      <c r="S76" s="523"/>
      <c r="T76" s="523"/>
      <c r="U76" s="523"/>
      <c r="V76" s="523"/>
    </row>
    <row r="77">
      <c r="A77" s="523" t="str">
        <f>Records!A77</f>
        <v>P013</v>
      </c>
      <c r="B77" s="523" t="n">
        <f>Records!B77</f>
        <v>1</v>
      </c>
      <c r="C77" s="523" t="str">
        <f>Records!E77</f>
        <v>固定订书机</v>
      </c>
      <c r="D77" s="523" t="str">
        <f>Records!G77</f>
        <v>方法A</v>
      </c>
      <c r="E77" s="523" t="str">
        <f>Records!H77</f>
        <v>EgoAnchor</v>
      </c>
      <c r="F77" s="543" t="n">
        <f>Records!K77</f>
        <v>4</v>
      </c>
      <c r="G77" s="543" t="n">
        <f>Records!R77</f>
        <v>5</v>
      </c>
      <c r="H77" s="543" t="n">
        <f>Records!L77</f>
        <v>5</v>
      </c>
      <c r="I77" s="543" t="n">
        <f>Records!M77</f>
        <v>4</v>
      </c>
      <c r="J77" s="543" t="n">
        <f>Records!Q77</f>
        <v>5</v>
      </c>
      <c r="K77" s="543" t="n">
        <f>Records!W77</f>
        <v>5</v>
      </c>
      <c r="L77" s="543" t="n">
        <f>Records!X77</f>
        <v>4</v>
      </c>
      <c r="M77" s="543" t="n">
        <f>IF(COUNT(Records!S77:U77)=0,"",AVERAGE(Records!S77:U77))</f>
        <v>4.666666666666667</v>
      </c>
      <c r="N77" s="543" t="n">
        <f>IF(COUNT(Records!O77,Records!P77,Records!V77)=0,"",AVERAGE(Records!O77,Records!P77,Records!V77))</f>
        <v>5.333333333333333</v>
      </c>
      <c r="O77" s="523" t="str">
        <f>Records!AD77</f>
        <v>是</v>
      </c>
      <c r="P77" s="544" t="n">
        <f>77</f>
        <v>77</v>
      </c>
      <c r="Q77" s="523"/>
      <c r="R77" s="523"/>
      <c r="S77" s="523"/>
      <c r="T77" s="523"/>
      <c r="U77" s="523"/>
      <c r="V77" s="523"/>
    </row>
    <row r="78">
      <c r="A78" s="523" t="str">
        <f>Records!A78</f>
        <v>P013</v>
      </c>
      <c r="B78" s="523" t="n">
        <f>Records!B78</f>
        <v>2</v>
      </c>
      <c r="C78" s="523" t="str">
        <f>Records!E78</f>
        <v>固定订书机</v>
      </c>
      <c r="D78" s="523" t="str">
        <f>Records!G78</f>
        <v>方法B</v>
      </c>
      <c r="E78" s="523" t="str">
        <f>Records!H78</f>
        <v>One-Euro</v>
      </c>
      <c r="F78" s="543" t="n">
        <f>Records!K78</f>
        <v>5</v>
      </c>
      <c r="G78" s="543" t="n">
        <f>Records!R78</f>
        <v>4</v>
      </c>
      <c r="H78" s="543" t="n">
        <f>Records!L78</f>
        <v>4</v>
      </c>
      <c r="I78" s="543" t="n">
        <f>Records!M78</f>
        <v>5</v>
      </c>
      <c r="J78" s="543" t="n">
        <f>Records!Q78</f>
        <v>6</v>
      </c>
      <c r="K78" s="543" t="n">
        <f>Records!W78</f>
        <v>6</v>
      </c>
      <c r="L78" s="543" t="n">
        <f>Records!X78</f>
        <v>6</v>
      </c>
      <c r="M78" s="543" t="n">
        <f>IF(COUNT(Records!S78:U78)=0,"",AVERAGE(Records!S78:U78))</f>
        <v>5.333333333333333</v>
      </c>
      <c r="N78" s="543" t="n">
        <f>IF(COUNT(Records!O78,Records!P78,Records!V78)=0,"",AVERAGE(Records!O78,Records!P78,Records!V78))</f>
        <v>4.666666666666667</v>
      </c>
      <c r="O78" s="523" t="str">
        <f>Records!AD78</f>
        <v>是</v>
      </c>
      <c r="P78" s="544" t="n">
        <f>78</f>
        <v>78</v>
      </c>
      <c r="Q78" s="523"/>
      <c r="R78" s="523"/>
      <c r="S78" s="523"/>
      <c r="T78" s="523"/>
      <c r="U78" s="523"/>
      <c r="V78" s="523"/>
    </row>
    <row r="79">
      <c r="A79" s="523" t="str">
        <f>Records!A79</f>
        <v>P013</v>
      </c>
      <c r="B79" s="523" t="n">
        <f>Records!B79</f>
        <v>3</v>
      </c>
      <c r="C79" s="523" t="str">
        <f>Records!E79</f>
        <v>游戏手柄</v>
      </c>
      <c r="D79" s="523" t="str">
        <f>Records!G79</f>
        <v>方法B</v>
      </c>
      <c r="E79" s="523" t="str">
        <f>Records!H79</f>
        <v>One-Euro</v>
      </c>
      <c r="F79" s="543" t="n">
        <f>Records!K79</f>
        <v>4</v>
      </c>
      <c r="G79" s="543" t="n">
        <f>Records!R79</f>
        <v>5</v>
      </c>
      <c r="H79" s="543" t="n">
        <f>Records!L79</f>
        <v>5</v>
      </c>
      <c r="I79" s="543" t="n">
        <f>Records!M79</f>
        <v>4</v>
      </c>
      <c r="J79" s="543" t="n">
        <f>Records!Q79</f>
        <v>4</v>
      </c>
      <c r="K79" s="543" t="n">
        <f>Records!W79</f>
        <v>4</v>
      </c>
      <c r="L79" s="543" t="n">
        <f>Records!X79</f>
        <v>4</v>
      </c>
      <c r="M79" s="543" t="n">
        <f>IF(COUNT(Records!S79:U79)=0,"",AVERAGE(Records!S79:U79))</f>
        <v>4.666666666666667</v>
      </c>
      <c r="N79" s="543" t="n">
        <f>IF(COUNT(Records!O79,Records!P79,Records!V79)=0,"",AVERAGE(Records!O79,Records!P79,Records!V79))</f>
        <v>5.333333333333333</v>
      </c>
      <c r="O79" s="523" t="str">
        <f>Records!AD79</f>
        <v>是</v>
      </c>
      <c r="P79" s="544" t="n">
        <f>79</f>
        <v>79</v>
      </c>
      <c r="Q79" s="523"/>
      <c r="R79" s="523"/>
      <c r="S79" s="523"/>
      <c r="T79" s="523"/>
      <c r="U79" s="523"/>
      <c r="V79" s="523"/>
    </row>
    <row r="80">
      <c r="A80" s="523" t="str">
        <f>Records!A80</f>
        <v>P013</v>
      </c>
      <c r="B80" s="523" t="n">
        <f>Records!B80</f>
        <v>4</v>
      </c>
      <c r="C80" s="523" t="str">
        <f>Records!E80</f>
        <v>游戏手柄</v>
      </c>
      <c r="D80" s="523" t="str">
        <f>Records!G80</f>
        <v>方法A</v>
      </c>
      <c r="E80" s="523" t="str">
        <f>Records!H80</f>
        <v>EgoAnchor</v>
      </c>
      <c r="F80" s="543" t="n">
        <f>Records!K80</f>
        <v>5</v>
      </c>
      <c r="G80" s="543" t="n">
        <f>Records!R80</f>
        <v>5</v>
      </c>
      <c r="H80" s="543" t="n">
        <f>Records!L80</f>
        <v>4</v>
      </c>
      <c r="I80" s="543" t="n">
        <f>Records!M80</f>
        <v>4</v>
      </c>
      <c r="J80" s="543" t="n">
        <f>Records!Q80</f>
        <v>4</v>
      </c>
      <c r="K80" s="543" t="n">
        <f>Records!W80</f>
        <v>5</v>
      </c>
      <c r="L80" s="543" t="n">
        <f>Records!X80</f>
        <v>5</v>
      </c>
      <c r="M80" s="543" t="n">
        <f>IF(COUNT(Records!S80:U80)=0,"",AVERAGE(Records!S80:U80))</f>
        <v>4.666666666666667</v>
      </c>
      <c r="N80" s="543" t="n">
        <f>IF(COUNT(Records!O80,Records!P80,Records!V80)=0,"",AVERAGE(Records!O80,Records!P80,Records!V80))</f>
        <v>5.666666666666667</v>
      </c>
      <c r="O80" s="523" t="str">
        <f>Records!AD80</f>
        <v>是</v>
      </c>
      <c r="P80" s="544" t="n">
        <f>80</f>
        <v>80</v>
      </c>
      <c r="Q80" s="523"/>
      <c r="R80" s="523"/>
      <c r="S80" s="523"/>
      <c r="T80" s="523"/>
      <c r="U80" s="523"/>
      <c r="V80" s="523"/>
    </row>
    <row r="81">
      <c r="A81" s="523" t="str">
        <f>Records!A81</f>
        <v>P013</v>
      </c>
      <c r="B81" s="523" t="n">
        <f>Records!B81</f>
        <v>5</v>
      </c>
      <c r="C81" s="523" t="str">
        <f>Records!E81</f>
        <v>鼠标</v>
      </c>
      <c r="D81" s="523" t="str">
        <f>Records!G81</f>
        <v>方法A</v>
      </c>
      <c r="E81" s="523" t="str">
        <f>Records!H81</f>
        <v>EgoAnchor</v>
      </c>
      <c r="F81" s="543" t="n">
        <f>Records!K81</f>
        <v>6</v>
      </c>
      <c r="G81" s="543" t="n">
        <f>Records!R81</f>
        <v>5</v>
      </c>
      <c r="H81" s="543" t="n">
        <f>Records!L81</f>
        <v>4</v>
      </c>
      <c r="I81" s="543" t="n">
        <f>Records!M81</f>
        <v>4</v>
      </c>
      <c r="J81" s="543" t="n">
        <f>Records!Q81</f>
        <v>4</v>
      </c>
      <c r="K81" s="543" t="n">
        <f>Records!W81</f>
        <v>4</v>
      </c>
      <c r="L81" s="543" t="n">
        <f>Records!X81</f>
        <v>5</v>
      </c>
      <c r="M81" s="543" t="n">
        <f>IF(COUNT(Records!S81:U81)=0,"",AVERAGE(Records!S81:U81))</f>
        <v>3.6666666666666665</v>
      </c>
      <c r="N81" s="543" t="n">
        <f>IF(COUNT(Records!O81,Records!P81,Records!V81)=0,"",AVERAGE(Records!O81,Records!P81,Records!V81))</f>
        <v>4.666666666666667</v>
      </c>
      <c r="O81" s="523" t="str">
        <f>Records!AD81</f>
        <v>是</v>
      </c>
      <c r="P81" s="544" t="n">
        <f>81</f>
        <v>81</v>
      </c>
      <c r="Q81" s="523"/>
      <c r="R81" s="523"/>
      <c r="S81" s="523"/>
      <c r="T81" s="523"/>
      <c r="U81" s="523"/>
      <c r="V81" s="523"/>
    </row>
    <row r="82">
      <c r="A82" s="523" t="str">
        <f>Records!A82</f>
        <v>P013</v>
      </c>
      <c r="B82" s="523" t="n">
        <f>Records!B82</f>
        <v>6</v>
      </c>
      <c r="C82" s="523" t="str">
        <f>Records!E82</f>
        <v>鼠标</v>
      </c>
      <c r="D82" s="523" t="str">
        <f>Records!G82</f>
        <v>方法B</v>
      </c>
      <c r="E82" s="523" t="str">
        <f>Records!H82</f>
        <v>One-Euro</v>
      </c>
      <c r="F82" s="543" t="n">
        <f>Records!K82</f>
        <v>4</v>
      </c>
      <c r="G82" s="543" t="n">
        <f>Records!R82</f>
        <v>4</v>
      </c>
      <c r="H82" s="543" t="n">
        <f>Records!L82</f>
        <v>5</v>
      </c>
      <c r="I82" s="543" t="n">
        <f>Records!M82</f>
        <v>6</v>
      </c>
      <c r="J82" s="543" t="n">
        <f>Records!Q82</f>
        <v>6</v>
      </c>
      <c r="K82" s="543" t="n">
        <f>Records!W82</f>
        <v>4</v>
      </c>
      <c r="L82" s="543" t="n">
        <f>Records!X82</f>
        <v>5</v>
      </c>
      <c r="M82" s="543" t="n">
        <f>IF(COUNT(Records!S82:U82)=0,"",AVERAGE(Records!S82:U82))</f>
        <v>4.666666666666667</v>
      </c>
      <c r="N82" s="543" t="n">
        <f>IF(COUNT(Records!O82,Records!P82,Records!V82)=0,"",AVERAGE(Records!O82,Records!P82,Records!V82))</f>
        <v>4.666666666666667</v>
      </c>
      <c r="O82" s="523" t="str">
        <f>Records!AD82</f>
        <v>是</v>
      </c>
      <c r="P82" s="544" t="n">
        <f>82</f>
        <v>82</v>
      </c>
      <c r="Q82" s="523"/>
      <c r="R82" s="523"/>
      <c r="S82" s="523"/>
      <c r="T82" s="523"/>
      <c r="U82" s="523"/>
      <c r="V82" s="523"/>
    </row>
    <row r="83">
      <c r="A83" s="523" t="str">
        <f>Records!A83</f>
        <v>P014</v>
      </c>
      <c r="B83" s="523" t="n">
        <f>Records!B83</f>
        <v>1</v>
      </c>
      <c r="C83" s="523" t="str">
        <f>Records!E83</f>
        <v>固定订书机</v>
      </c>
      <c r="D83" s="523" t="str">
        <f>Records!G83</f>
        <v>方法B</v>
      </c>
      <c r="E83" s="523" t="str">
        <f>Records!H83</f>
        <v>One-Euro</v>
      </c>
      <c r="F83" s="543" t="n">
        <f>Records!K83</f>
        <v>4</v>
      </c>
      <c r="G83" s="543" t="n">
        <f>Records!R83</f>
        <v>5</v>
      </c>
      <c r="H83" s="543" t="n">
        <f>Records!L83</f>
        <v>5</v>
      </c>
      <c r="I83" s="543" t="n">
        <f>Records!M83</f>
        <v>6</v>
      </c>
      <c r="J83" s="543" t="n">
        <f>Records!Q83</f>
        <v>4</v>
      </c>
      <c r="K83" s="543" t="n">
        <f>Records!W83</f>
        <v>4</v>
      </c>
      <c r="L83" s="543" t="n">
        <f>Records!X83</f>
        <v>4</v>
      </c>
      <c r="M83" s="543" t="n">
        <f>IF(COUNT(Records!S83:U83)=0,"",AVERAGE(Records!S83:U83))</f>
        <v>5</v>
      </c>
      <c r="N83" s="543" t="n">
        <f>IF(COUNT(Records!O83,Records!P83,Records!V83)=0,"",AVERAGE(Records!O83,Records!P83,Records!V83))</f>
        <v>4.333333333333333</v>
      </c>
      <c r="O83" s="523" t="str">
        <f>Records!AD83</f>
        <v>是</v>
      </c>
      <c r="P83" s="544" t="n">
        <f>83</f>
        <v>83</v>
      </c>
      <c r="Q83" s="523"/>
      <c r="R83" s="523"/>
      <c r="S83" s="523"/>
      <c r="T83" s="523"/>
      <c r="U83" s="523"/>
      <c r="V83" s="523"/>
    </row>
    <row r="84">
      <c r="A84" s="523" t="str">
        <f>Records!A84</f>
        <v>P014</v>
      </c>
      <c r="B84" s="523" t="n">
        <f>Records!B84</f>
        <v>2</v>
      </c>
      <c r="C84" s="523" t="str">
        <f>Records!E84</f>
        <v>固定订书机</v>
      </c>
      <c r="D84" s="523" t="str">
        <f>Records!G84</f>
        <v>方法A</v>
      </c>
      <c r="E84" s="523" t="str">
        <f>Records!H84</f>
        <v>EgoAnchor</v>
      </c>
      <c r="F84" s="543" t="n">
        <f>Records!K84</f>
        <v>4</v>
      </c>
      <c r="G84" s="543" t="n">
        <f>Records!R84</f>
        <v>5</v>
      </c>
      <c r="H84" s="543" t="n">
        <f>Records!L84</f>
        <v>4</v>
      </c>
      <c r="I84" s="543" t="n">
        <f>Records!M84</f>
        <v>5</v>
      </c>
      <c r="J84" s="543" t="n">
        <f>Records!Q84</f>
        <v>5</v>
      </c>
      <c r="K84" s="543" t="n">
        <f>Records!W84</f>
        <v>4</v>
      </c>
      <c r="L84" s="543" t="n">
        <f>Records!X84</f>
        <v>5</v>
      </c>
      <c r="M84" s="543" t="n">
        <f>IF(COUNT(Records!S84:U84)=0,"",AVERAGE(Records!S84:U84))</f>
        <v>5.333333333333333</v>
      </c>
      <c r="N84" s="543" t="n">
        <f>IF(COUNT(Records!O84,Records!P84,Records!V84)=0,"",AVERAGE(Records!O84,Records!P84,Records!V84))</f>
        <v>5.333333333333333</v>
      </c>
      <c r="O84" s="523" t="str">
        <f>Records!AD84</f>
        <v>是</v>
      </c>
      <c r="P84" s="544" t="n">
        <f>84</f>
        <v>84</v>
      </c>
      <c r="Q84" s="523"/>
      <c r="R84" s="523"/>
      <c r="S84" s="523"/>
      <c r="T84" s="523"/>
      <c r="U84" s="523"/>
      <c r="V84" s="523"/>
    </row>
    <row r="85">
      <c r="A85" s="523" t="str">
        <f>Records!A85</f>
        <v>P014</v>
      </c>
      <c r="B85" s="523" t="n">
        <f>Records!B85</f>
        <v>3</v>
      </c>
      <c r="C85" s="523" t="str">
        <f>Records!E85</f>
        <v>游戏手柄</v>
      </c>
      <c r="D85" s="523" t="str">
        <f>Records!G85</f>
        <v>方法A</v>
      </c>
      <c r="E85" s="523" t="str">
        <f>Records!H85</f>
        <v>EgoAnchor</v>
      </c>
      <c r="F85" s="543" t="n">
        <f>Records!K85</f>
        <v>5</v>
      </c>
      <c r="G85" s="543" t="n">
        <f>Records!R85</f>
        <v>4</v>
      </c>
      <c r="H85" s="543" t="n">
        <f>Records!L85</f>
        <v>6</v>
      </c>
      <c r="I85" s="543" t="n">
        <f>Records!M85</f>
        <v>5</v>
      </c>
      <c r="J85" s="543" t="n">
        <f>Records!Q85</f>
        <v>4</v>
      </c>
      <c r="K85" s="543" t="n">
        <f>Records!W85</f>
        <v>5</v>
      </c>
      <c r="L85" s="543" t="n">
        <f>Records!X85</f>
        <v>5</v>
      </c>
      <c r="M85" s="543" t="n">
        <f>IF(COUNT(Records!S85:U85)=0,"",AVERAGE(Records!S85:U85))</f>
        <v>5.333333333333333</v>
      </c>
      <c r="N85" s="543" t="n">
        <f>IF(COUNT(Records!O85,Records!P85,Records!V85)=0,"",AVERAGE(Records!O85,Records!P85,Records!V85))</f>
        <v>4.333333333333333</v>
      </c>
      <c r="O85" s="523" t="str">
        <f>Records!AD85</f>
        <v>是</v>
      </c>
      <c r="P85" s="544" t="n">
        <f>85</f>
        <v>85</v>
      </c>
      <c r="Q85" s="523"/>
      <c r="R85" s="523"/>
      <c r="S85" s="523"/>
      <c r="T85" s="523"/>
      <c r="U85" s="523"/>
      <c r="V85" s="523"/>
    </row>
    <row r="86">
      <c r="A86" s="523" t="str">
        <f>Records!A86</f>
        <v>P014</v>
      </c>
      <c r="B86" s="523" t="n">
        <f>Records!B86</f>
        <v>4</v>
      </c>
      <c r="C86" s="523" t="str">
        <f>Records!E86</f>
        <v>游戏手柄</v>
      </c>
      <c r="D86" s="523" t="str">
        <f>Records!G86</f>
        <v>方法B</v>
      </c>
      <c r="E86" s="523" t="str">
        <f>Records!H86</f>
        <v>One-Euro</v>
      </c>
      <c r="F86" s="543" t="n">
        <f>Records!K86</f>
        <v>5</v>
      </c>
      <c r="G86" s="543" t="n">
        <f>Records!R86</f>
        <v>4</v>
      </c>
      <c r="H86" s="543" t="n">
        <f>Records!L86</f>
        <v>4</v>
      </c>
      <c r="I86" s="543" t="n">
        <f>Records!M86</f>
        <v>4</v>
      </c>
      <c r="J86" s="543" t="n">
        <f>Records!Q86</f>
        <v>4</v>
      </c>
      <c r="K86" s="543" t="n">
        <f>Records!W86</f>
        <v>4</v>
      </c>
      <c r="L86" s="543" t="n">
        <f>Records!X86</f>
        <v>5</v>
      </c>
      <c r="M86" s="543" t="n">
        <f>IF(COUNT(Records!S86:U86)=0,"",AVERAGE(Records!S86:U86))</f>
        <v>4.333333333333333</v>
      </c>
      <c r="N86" s="543" t="n">
        <f>IF(COUNT(Records!O86,Records!P86,Records!V86)=0,"",AVERAGE(Records!O86,Records!P86,Records!V86))</f>
        <v>4.333333333333333</v>
      </c>
      <c r="O86" s="523" t="str">
        <f>Records!AD86</f>
        <v>是</v>
      </c>
      <c r="P86" s="544" t="n">
        <f>86</f>
        <v>86</v>
      </c>
      <c r="Q86" s="523"/>
      <c r="R86" s="523"/>
      <c r="S86" s="523"/>
      <c r="T86" s="523"/>
      <c r="U86" s="523"/>
      <c r="V86" s="523"/>
    </row>
    <row r="87">
      <c r="A87" s="523" t="str">
        <f>Records!A87</f>
        <v>P014</v>
      </c>
      <c r="B87" s="523" t="n">
        <f>Records!B87</f>
        <v>5</v>
      </c>
      <c r="C87" s="523" t="str">
        <f>Records!E87</f>
        <v>鼠标</v>
      </c>
      <c r="D87" s="523" t="str">
        <f>Records!G87</f>
        <v>方法B</v>
      </c>
      <c r="E87" s="523" t="str">
        <f>Records!H87</f>
        <v>One-Euro</v>
      </c>
      <c r="F87" s="543" t="n">
        <f>Records!K87</f>
        <v>5</v>
      </c>
      <c r="G87" s="543" t="n">
        <f>Records!R87</f>
        <v>4</v>
      </c>
      <c r="H87" s="543" t="n">
        <f>Records!L87</f>
        <v>4</v>
      </c>
      <c r="I87" s="543" t="n">
        <f>Records!M87</f>
        <v>6</v>
      </c>
      <c r="J87" s="543" t="n">
        <f>Records!Q87</f>
        <v>3</v>
      </c>
      <c r="K87" s="543" t="n">
        <f>Records!W87</f>
        <v>4</v>
      </c>
      <c r="L87" s="543" t="n">
        <f>Records!X87</f>
        <v>4</v>
      </c>
      <c r="M87" s="543" t="n">
        <f>IF(COUNT(Records!S87:U87)=0,"",AVERAGE(Records!S87:U87))</f>
        <v>4.333333333333333</v>
      </c>
      <c r="N87" s="543" t="n">
        <f>IF(COUNT(Records!O87,Records!P87,Records!V87)=0,"",AVERAGE(Records!O87,Records!P87,Records!V87))</f>
        <v>5</v>
      </c>
      <c r="O87" s="523" t="str">
        <f>Records!AD87</f>
        <v>是</v>
      </c>
      <c r="P87" s="544" t="n">
        <f>87</f>
        <v>87</v>
      </c>
      <c r="Q87" s="523"/>
      <c r="R87" s="523"/>
      <c r="S87" s="523"/>
      <c r="T87" s="523"/>
      <c r="U87" s="523"/>
      <c r="V87" s="523"/>
    </row>
    <row r="88">
      <c r="A88" s="523" t="str">
        <f>Records!A88</f>
        <v>P014</v>
      </c>
      <c r="B88" s="523" t="n">
        <f>Records!B88</f>
        <v>6</v>
      </c>
      <c r="C88" s="523" t="str">
        <f>Records!E88</f>
        <v>鼠标</v>
      </c>
      <c r="D88" s="523" t="str">
        <f>Records!G88</f>
        <v>方法A</v>
      </c>
      <c r="E88" s="523" t="str">
        <f>Records!H88</f>
        <v>EgoAnchor</v>
      </c>
      <c r="F88" s="543" t="n">
        <f>Records!K88</f>
        <v>5</v>
      </c>
      <c r="G88" s="543" t="n">
        <f>Records!R88</f>
        <v>5</v>
      </c>
      <c r="H88" s="543" t="n">
        <f>Records!L88</f>
        <v>5</v>
      </c>
      <c r="I88" s="543" t="n">
        <f>Records!M88</f>
        <v>5</v>
      </c>
      <c r="J88" s="543" t="n">
        <f>Records!Q88</f>
        <v>4</v>
      </c>
      <c r="K88" s="543" t="n">
        <f>Records!W88</f>
        <v>3</v>
      </c>
      <c r="L88" s="543" t="n">
        <f>Records!X88</f>
        <v>3</v>
      </c>
      <c r="M88" s="543" t="n">
        <f>IF(COUNT(Records!S88:U88)=0,"",AVERAGE(Records!S88:U88))</f>
        <v>5</v>
      </c>
      <c r="N88" s="543" t="n">
        <f>IF(COUNT(Records!O88,Records!P88,Records!V88)=0,"",AVERAGE(Records!O88,Records!P88,Records!V88))</f>
        <v>5</v>
      </c>
      <c r="O88" s="523" t="str">
        <f>Records!AD88</f>
        <v>是</v>
      </c>
      <c r="P88" s="544" t="n">
        <f>88</f>
        <v>88</v>
      </c>
      <c r="Q88" s="523"/>
      <c r="R88" s="523"/>
      <c r="S88" s="523"/>
      <c r="T88" s="523"/>
      <c r="U88" s="523"/>
      <c r="V88" s="523"/>
    </row>
    <row r="89">
      <c r="A89" s="523" t="str">
        <f>Records!A89</f>
        <v>P015</v>
      </c>
      <c r="B89" s="523" t="n">
        <f>Records!B89</f>
        <v>1</v>
      </c>
      <c r="C89" s="523" t="str">
        <f>Records!E89</f>
        <v>固定订书机</v>
      </c>
      <c r="D89" s="523" t="str">
        <f>Records!G89</f>
        <v>方法B</v>
      </c>
      <c r="E89" s="523" t="str">
        <f>Records!H89</f>
        <v>EgoAnchor</v>
      </c>
      <c r="F89" s="543" t="n">
        <f>Records!K89</f>
        <v>6</v>
      </c>
      <c r="G89" s="543" t="n">
        <f>Records!R89</f>
        <v>5</v>
      </c>
      <c r="H89" s="543" t="n">
        <f>Records!L89</f>
        <v>6</v>
      </c>
      <c r="I89" s="543" t="n">
        <f>Records!M89</f>
        <v>6</v>
      </c>
      <c r="J89" s="543" t="n">
        <f>Records!Q89</f>
        <v>5</v>
      </c>
      <c r="K89" s="543" t="n">
        <f>Records!W89</f>
        <v>5</v>
      </c>
      <c r="L89" s="543" t="n">
        <f>Records!X89</f>
        <v>4</v>
      </c>
      <c r="M89" s="543" t="n">
        <f>IF(COUNT(Records!S89:U89)=0,"",AVERAGE(Records!S89:U89))</f>
        <v>4.666666666666667</v>
      </c>
      <c r="N89" s="543" t="n">
        <f>IF(COUNT(Records!O89,Records!P89,Records!V89)=0,"",AVERAGE(Records!O89,Records!P89,Records!V89))</f>
        <v>6</v>
      </c>
      <c r="O89" s="523" t="str">
        <f>Records!AD89</f>
        <v>是</v>
      </c>
      <c r="P89" s="544" t="n">
        <f>89</f>
        <v>89</v>
      </c>
      <c r="Q89" s="523"/>
      <c r="R89" s="523"/>
      <c r="S89" s="523"/>
      <c r="T89" s="523"/>
      <c r="U89" s="523"/>
      <c r="V89" s="523"/>
    </row>
    <row r="90">
      <c r="A90" s="523" t="str">
        <f>Records!A90</f>
        <v>P015</v>
      </c>
      <c r="B90" s="523" t="n">
        <f>Records!B90</f>
        <v>2</v>
      </c>
      <c r="C90" s="523" t="str">
        <f>Records!E90</f>
        <v>固定订书机</v>
      </c>
      <c r="D90" s="523" t="str">
        <f>Records!G90</f>
        <v>方法A</v>
      </c>
      <c r="E90" s="523" t="str">
        <f>Records!H90</f>
        <v>One-Euro</v>
      </c>
      <c r="F90" s="543" t="n">
        <f>Records!K90</f>
        <v>5</v>
      </c>
      <c r="G90" s="543" t="n">
        <f>Records!R90</f>
        <v>4</v>
      </c>
      <c r="H90" s="543" t="n">
        <f>Records!L90</f>
        <v>4</v>
      </c>
      <c r="I90" s="543" t="n">
        <f>Records!M90</f>
        <v>5</v>
      </c>
      <c r="J90" s="543" t="n">
        <f>Records!Q90</f>
        <v>5</v>
      </c>
      <c r="K90" s="543" t="n">
        <f>Records!W90</f>
        <v>4</v>
      </c>
      <c r="L90" s="543" t="n">
        <f>Records!X90</f>
        <v>4</v>
      </c>
      <c r="M90" s="543" t="n">
        <f>IF(COUNT(Records!S90:U90)=0,"",AVERAGE(Records!S90:U90))</f>
        <v>4.666666666666667</v>
      </c>
      <c r="N90" s="543" t="n">
        <f>IF(COUNT(Records!O90,Records!P90,Records!V90)=0,"",AVERAGE(Records!O90,Records!P90,Records!V90))</f>
        <v>5.666666666666667</v>
      </c>
      <c r="O90" s="523" t="str">
        <f>Records!AD90</f>
        <v>是</v>
      </c>
      <c r="P90" s="544" t="n">
        <f>90</f>
        <v>90</v>
      </c>
      <c r="Q90" s="523"/>
      <c r="R90" s="523"/>
      <c r="S90" s="523"/>
      <c r="T90" s="523"/>
      <c r="U90" s="523"/>
      <c r="V90" s="523"/>
    </row>
    <row r="91">
      <c r="A91" s="523" t="str">
        <f>Records!A91</f>
        <v>P015</v>
      </c>
      <c r="B91" s="523" t="n">
        <f>Records!B91</f>
        <v>3</v>
      </c>
      <c r="C91" s="523" t="str">
        <f>Records!E91</f>
        <v>游戏手柄</v>
      </c>
      <c r="D91" s="523" t="str">
        <f>Records!G91</f>
        <v>方法A</v>
      </c>
      <c r="E91" s="523" t="str">
        <f>Records!H91</f>
        <v>One-Euro</v>
      </c>
      <c r="F91" s="543" t="n">
        <f>Records!K91</f>
        <v>5</v>
      </c>
      <c r="G91" s="543" t="n">
        <f>Records!R91</f>
        <v>3</v>
      </c>
      <c r="H91" s="543" t="n">
        <f>Records!L91</f>
        <v>4</v>
      </c>
      <c r="I91" s="543" t="n">
        <f>Records!M91</f>
        <v>5</v>
      </c>
      <c r="J91" s="543" t="n">
        <f>Records!Q91</f>
        <v>3</v>
      </c>
      <c r="K91" s="543" t="n">
        <f>Records!W91</f>
        <v>3</v>
      </c>
      <c r="L91" s="543" t="n">
        <f>Records!X91</f>
        <v>5</v>
      </c>
      <c r="M91" s="543" t="n">
        <f>IF(COUNT(Records!S91:U91)=0,"",AVERAGE(Records!S91:U91))</f>
        <v>5.333333333333333</v>
      </c>
      <c r="N91" s="543" t="n">
        <f>IF(COUNT(Records!O91,Records!P91,Records!V91)=0,"",AVERAGE(Records!O91,Records!P91,Records!V91))</f>
        <v>5.666666666666667</v>
      </c>
      <c r="O91" s="523" t="str">
        <f>Records!AD91</f>
        <v>是</v>
      </c>
      <c r="P91" s="544" t="n">
        <f>91</f>
        <v>91</v>
      </c>
      <c r="Q91" s="523"/>
      <c r="R91" s="523"/>
      <c r="S91" s="523"/>
      <c r="T91" s="523"/>
      <c r="U91" s="523"/>
      <c r="V91" s="523"/>
    </row>
    <row r="92">
      <c r="A92" s="523" t="str">
        <f>Records!A92</f>
        <v>P015</v>
      </c>
      <c r="B92" s="523" t="n">
        <f>Records!B92</f>
        <v>4</v>
      </c>
      <c r="C92" s="523" t="str">
        <f>Records!E92</f>
        <v>游戏手柄</v>
      </c>
      <c r="D92" s="523" t="str">
        <f>Records!G92</f>
        <v>方法B</v>
      </c>
      <c r="E92" s="523" t="str">
        <f>Records!H92</f>
        <v>EgoAnchor</v>
      </c>
      <c r="F92" s="543" t="n">
        <f>Records!K92</f>
        <v>6</v>
      </c>
      <c r="G92" s="543" t="n">
        <f>Records!R92</f>
        <v>7</v>
      </c>
      <c r="H92" s="543" t="n">
        <f>Records!L92</f>
        <v>6</v>
      </c>
      <c r="I92" s="543" t="n">
        <f>Records!M92</f>
        <v>4</v>
      </c>
      <c r="J92" s="543" t="n">
        <f>Records!Q92</f>
        <v>4</v>
      </c>
      <c r="K92" s="543" t="n">
        <f>Records!W92</f>
        <v>5</v>
      </c>
      <c r="L92" s="543" t="n">
        <f>Records!X92</f>
        <v>5</v>
      </c>
      <c r="M92" s="543" t="n">
        <f>IF(COUNT(Records!S92:U92)=0,"",AVERAGE(Records!S92:U92))</f>
        <v>5.666666666666667</v>
      </c>
      <c r="N92" s="543" t="n">
        <f>IF(COUNT(Records!O92,Records!P92,Records!V92)=0,"",AVERAGE(Records!O92,Records!P92,Records!V92))</f>
        <v>4.333333333333333</v>
      </c>
      <c r="O92" s="523" t="str">
        <f>Records!AD92</f>
        <v>是</v>
      </c>
      <c r="P92" s="544" t="n">
        <f>92</f>
        <v>92</v>
      </c>
      <c r="Q92" s="523"/>
      <c r="R92" s="523"/>
      <c r="S92" s="523"/>
      <c r="T92" s="523"/>
      <c r="U92" s="523"/>
      <c r="V92" s="523"/>
    </row>
    <row r="93">
      <c r="A93" s="523" t="str">
        <f>Records!A93</f>
        <v>P015</v>
      </c>
      <c r="B93" s="523" t="n">
        <f>Records!B93</f>
        <v>5</v>
      </c>
      <c r="C93" s="523" t="str">
        <f>Records!E93</f>
        <v>鼠标</v>
      </c>
      <c r="D93" s="523" t="str">
        <f>Records!G93</f>
        <v>方法B</v>
      </c>
      <c r="E93" s="523" t="str">
        <f>Records!H93</f>
        <v>EgoAnchor</v>
      </c>
      <c r="F93" s="543" t="n">
        <f>Records!K93</f>
        <v>7</v>
      </c>
      <c r="G93" s="543" t="n">
        <f>Records!R93</f>
        <v>6</v>
      </c>
      <c r="H93" s="543" t="n">
        <f>Records!L93</f>
        <v>5</v>
      </c>
      <c r="I93" s="543" t="n">
        <f>Records!M93</f>
        <v>5</v>
      </c>
      <c r="J93" s="543" t="n">
        <f>Records!Q93</f>
        <v>5</v>
      </c>
      <c r="K93" s="543" t="n">
        <f>Records!W93</f>
        <v>5</v>
      </c>
      <c r="L93" s="543" t="n">
        <f>Records!X93</f>
        <v>5</v>
      </c>
      <c r="M93" s="543" t="n">
        <f>IF(COUNT(Records!S93:U93)=0,"",AVERAGE(Records!S93:U93))</f>
        <v>4.333333333333333</v>
      </c>
      <c r="N93" s="543" t="n">
        <f>IF(COUNT(Records!O93,Records!P93,Records!V93)=0,"",AVERAGE(Records!O93,Records!P93,Records!V93))</f>
        <v>5</v>
      </c>
      <c r="O93" s="523" t="str">
        <f>Records!AD93</f>
        <v>是</v>
      </c>
      <c r="P93" s="544" t="n">
        <f>93</f>
        <v>93</v>
      </c>
      <c r="Q93" s="523"/>
      <c r="R93" s="523"/>
      <c r="S93" s="523"/>
      <c r="T93" s="523"/>
      <c r="U93" s="523"/>
      <c r="V93" s="523"/>
    </row>
    <row r="94">
      <c r="A94" s="523" t="str">
        <f>Records!A94</f>
        <v>P015</v>
      </c>
      <c r="B94" s="523" t="n">
        <f>Records!B94</f>
        <v>6</v>
      </c>
      <c r="C94" s="523" t="str">
        <f>Records!E94</f>
        <v>鼠标</v>
      </c>
      <c r="D94" s="523" t="str">
        <f>Records!G94</f>
        <v>方法A</v>
      </c>
      <c r="E94" s="523" t="str">
        <f>Records!H94</f>
        <v>One-Euro</v>
      </c>
      <c r="F94" s="543" t="n">
        <f>Records!K94</f>
        <v>4</v>
      </c>
      <c r="G94" s="543" t="n">
        <f>Records!R94</f>
        <v>4</v>
      </c>
      <c r="H94" s="543" t="n">
        <f>Records!L94</f>
        <v>5</v>
      </c>
      <c r="I94" s="543" t="n">
        <f>Records!M94</f>
        <v>4</v>
      </c>
      <c r="J94" s="543" t="n">
        <f>Records!Q94</f>
        <v>4</v>
      </c>
      <c r="K94" s="543" t="n">
        <f>Records!W94</f>
        <v>5</v>
      </c>
      <c r="L94" s="543" t="n">
        <f>Records!X94</f>
        <v>5</v>
      </c>
      <c r="M94" s="543" t="n">
        <f>IF(COUNT(Records!S94:U94)=0,"",AVERAGE(Records!S94:U94))</f>
        <v>4.666666666666667</v>
      </c>
      <c r="N94" s="543" t="n">
        <f>IF(COUNT(Records!O94,Records!P94,Records!V94)=0,"",AVERAGE(Records!O94,Records!P94,Records!V94))</f>
        <v>4.666666666666667</v>
      </c>
      <c r="O94" s="523" t="str">
        <f>Records!AD94</f>
        <v>是</v>
      </c>
      <c r="P94" s="544" t="n">
        <f>94</f>
        <v>94</v>
      </c>
      <c r="Q94" s="523"/>
      <c r="R94" s="523"/>
      <c r="S94" s="523"/>
      <c r="T94" s="523"/>
      <c r="U94" s="523"/>
      <c r="V94" s="523"/>
    </row>
    <row r="95">
      <c r="A95" s="523" t="str">
        <f>Records!A95</f>
        <v>P016</v>
      </c>
      <c r="B95" s="523" t="n">
        <f>Records!B95</f>
        <v>1</v>
      </c>
      <c r="C95" s="523" t="str">
        <f>Records!E95</f>
        <v>固定订书机</v>
      </c>
      <c r="D95" s="523" t="str">
        <f>Records!G95</f>
        <v>方法A</v>
      </c>
      <c r="E95" s="523" t="str">
        <f>Records!H95</f>
        <v>One-Euro</v>
      </c>
      <c r="F95" s="543" t="n">
        <f>Records!K95</f>
        <v>4</v>
      </c>
      <c r="G95" s="543" t="n">
        <f>Records!R95</f>
        <v>3</v>
      </c>
      <c r="H95" s="543" t="n">
        <f>Records!L95</f>
        <v>7</v>
      </c>
      <c r="I95" s="543" t="n">
        <f>Records!M95</f>
        <v>6</v>
      </c>
      <c r="J95" s="543" t="n">
        <f>Records!Q95</f>
        <v>4</v>
      </c>
      <c r="K95" s="543" t="n">
        <f>Records!W95</f>
        <v>4</v>
      </c>
      <c r="L95" s="543" t="n">
        <f>Records!X95</f>
        <v>5</v>
      </c>
      <c r="M95" s="543" t="n">
        <f>IF(COUNT(Records!S95:U95)=0,"",AVERAGE(Records!S95:U95))</f>
        <v>4</v>
      </c>
      <c r="N95" s="543" t="n">
        <f>IF(COUNT(Records!O95,Records!P95,Records!V95)=0,"",AVERAGE(Records!O95,Records!P95,Records!V95))</f>
        <v>4.666666666666667</v>
      </c>
      <c r="O95" s="523" t="str">
        <f>Records!AD95</f>
        <v>是</v>
      </c>
      <c r="P95" s="544" t="n">
        <f>95</f>
        <v>95</v>
      </c>
      <c r="Q95" s="523"/>
      <c r="R95" s="523"/>
      <c r="S95" s="523"/>
      <c r="T95" s="523"/>
      <c r="U95" s="523"/>
      <c r="V95" s="523"/>
    </row>
    <row r="96">
      <c r="A96" s="523" t="str">
        <f>Records!A96</f>
        <v>P016</v>
      </c>
      <c r="B96" s="523" t="n">
        <f>Records!B96</f>
        <v>2</v>
      </c>
      <c r="C96" s="523" t="str">
        <f>Records!E96</f>
        <v>固定订书机</v>
      </c>
      <c r="D96" s="523" t="str">
        <f>Records!G96</f>
        <v>方法B</v>
      </c>
      <c r="E96" s="523" t="str">
        <f>Records!H96</f>
        <v>EgoAnchor</v>
      </c>
      <c r="F96" s="543" t="n">
        <f>Records!K96</f>
        <v>5</v>
      </c>
      <c r="G96" s="543" t="n">
        <f>Records!R96</f>
        <v>5</v>
      </c>
      <c r="H96" s="543" t="n">
        <f>Records!L96</f>
        <v>5</v>
      </c>
      <c r="I96" s="543" t="n">
        <f>Records!M96</f>
        <v>6</v>
      </c>
      <c r="J96" s="543" t="n">
        <f>Records!Q96</f>
        <v>5</v>
      </c>
      <c r="K96" s="543" t="n">
        <f>Records!W96</f>
        <v>5</v>
      </c>
      <c r="L96" s="543" t="n">
        <f>Records!X96</f>
        <v>5</v>
      </c>
      <c r="M96" s="543" t="n">
        <f>IF(COUNT(Records!S96:U96)=0,"",AVERAGE(Records!S96:U96))</f>
        <v>5.666666666666667</v>
      </c>
      <c r="N96" s="543" t="n">
        <f>IF(COUNT(Records!O96,Records!P96,Records!V96)=0,"",AVERAGE(Records!O96,Records!P96,Records!V96))</f>
        <v>4.666666666666667</v>
      </c>
      <c r="O96" s="523" t="str">
        <f>Records!AD96</f>
        <v>是</v>
      </c>
      <c r="P96" s="544" t="n">
        <f>96</f>
        <v>96</v>
      </c>
      <c r="Q96" s="523"/>
      <c r="R96" s="523"/>
      <c r="S96" s="523"/>
      <c r="T96" s="523"/>
      <c r="U96" s="523"/>
      <c r="V96" s="523"/>
    </row>
    <row r="97">
      <c r="A97" s="523" t="str">
        <f>Records!A97</f>
        <v>P016</v>
      </c>
      <c r="B97" s="523" t="n">
        <f>Records!B97</f>
        <v>3</v>
      </c>
      <c r="C97" s="523" t="str">
        <f>Records!E97</f>
        <v>游戏手柄</v>
      </c>
      <c r="D97" s="523" t="str">
        <f>Records!G97</f>
        <v>方法B</v>
      </c>
      <c r="E97" s="523" t="str">
        <f>Records!H97</f>
        <v>EgoAnchor</v>
      </c>
      <c r="F97" s="543" t="n">
        <f>Records!K97</f>
        <v>5</v>
      </c>
      <c r="G97" s="543" t="n">
        <f>Records!R97</f>
        <v>5</v>
      </c>
      <c r="H97" s="543" t="n">
        <f>Records!L97</f>
        <v>6</v>
      </c>
      <c r="I97" s="543" t="n">
        <f>Records!M97</f>
        <v>4</v>
      </c>
      <c r="J97" s="543" t="n">
        <f>Records!Q97</f>
        <v>5</v>
      </c>
      <c r="K97" s="543" t="n">
        <f>Records!W97</f>
        <v>5</v>
      </c>
      <c r="L97" s="543" t="n">
        <f>Records!X97</f>
        <v>7</v>
      </c>
      <c r="M97" s="543" t="n">
        <f>IF(COUNT(Records!S97:U97)=0,"",AVERAGE(Records!S97:U97))</f>
        <v>5.666666666666667</v>
      </c>
      <c r="N97" s="543" t="n">
        <f>IF(COUNT(Records!O97,Records!P97,Records!V97)=0,"",AVERAGE(Records!O97,Records!P97,Records!V97))</f>
        <v>5.333333333333333</v>
      </c>
      <c r="O97" s="523" t="str">
        <f>Records!AD97</f>
        <v>是</v>
      </c>
      <c r="P97" s="544" t="n">
        <f>97</f>
        <v>97</v>
      </c>
      <c r="Q97" s="523"/>
      <c r="R97" s="523"/>
      <c r="S97" s="523"/>
      <c r="T97" s="523"/>
      <c r="U97" s="523"/>
      <c r="V97" s="523"/>
    </row>
    <row r="98">
      <c r="A98" s="523" t="str">
        <f>Records!A98</f>
        <v>P016</v>
      </c>
      <c r="B98" s="523" t="n">
        <f>Records!B98</f>
        <v>4</v>
      </c>
      <c r="C98" s="523" t="str">
        <f>Records!E98</f>
        <v>游戏手柄</v>
      </c>
      <c r="D98" s="523" t="str">
        <f>Records!G98</f>
        <v>方法A</v>
      </c>
      <c r="E98" s="523" t="str">
        <f>Records!H98</f>
        <v>One-Euro</v>
      </c>
      <c r="F98" s="543" t="n">
        <f>Records!K98</f>
        <v>5</v>
      </c>
      <c r="G98" s="543" t="n">
        <f>Records!R98</f>
        <v>4</v>
      </c>
      <c r="H98" s="543" t="n">
        <f>Records!L98</f>
        <v>4</v>
      </c>
      <c r="I98" s="543" t="n">
        <f>Records!M98</f>
        <v>4</v>
      </c>
      <c r="J98" s="543" t="n">
        <f>Records!Q98</f>
        <v>4</v>
      </c>
      <c r="K98" s="543" t="n">
        <f>Records!W98</f>
        <v>3</v>
      </c>
      <c r="L98" s="543" t="n">
        <f>Records!X98</f>
        <v>3</v>
      </c>
      <c r="M98" s="543" t="n">
        <f>IF(COUNT(Records!S98:U98)=0,"",AVERAGE(Records!S98:U98))</f>
        <v>4.666666666666667</v>
      </c>
      <c r="N98" s="543" t="n">
        <f>IF(COUNT(Records!O98,Records!P98,Records!V98)=0,"",AVERAGE(Records!O98,Records!P98,Records!V98))</f>
        <v>5</v>
      </c>
      <c r="O98" s="523" t="str">
        <f>Records!AD98</f>
        <v>是</v>
      </c>
      <c r="P98" s="544" t="n">
        <f>98</f>
        <v>98</v>
      </c>
      <c r="Q98" s="523"/>
      <c r="R98" s="523"/>
      <c r="S98" s="523"/>
      <c r="T98" s="523"/>
      <c r="U98" s="523"/>
      <c r="V98" s="523"/>
    </row>
    <row r="99">
      <c r="A99" s="523" t="str">
        <f>Records!A99</f>
        <v>P016</v>
      </c>
      <c r="B99" s="523" t="n">
        <f>Records!B99</f>
        <v>5</v>
      </c>
      <c r="C99" s="523" t="str">
        <f>Records!E99</f>
        <v>鼠标</v>
      </c>
      <c r="D99" s="523" t="str">
        <f>Records!G99</f>
        <v>方法A</v>
      </c>
      <c r="E99" s="523" t="str">
        <f>Records!H99</f>
        <v>One-Euro</v>
      </c>
      <c r="F99" s="543" t="n">
        <f>Records!K99</f>
        <v>5</v>
      </c>
      <c r="G99" s="543" t="n">
        <f>Records!R99</f>
        <v>4</v>
      </c>
      <c r="H99" s="543" t="n">
        <f>Records!L99</f>
        <v>5</v>
      </c>
      <c r="I99" s="543" t="n">
        <f>Records!M99</f>
        <v>4</v>
      </c>
      <c r="J99" s="543" t="n">
        <f>Records!Q99</f>
        <v>5</v>
      </c>
      <c r="K99" s="543" t="n">
        <f>Records!W99</f>
        <v>4</v>
      </c>
      <c r="L99" s="543" t="n">
        <f>Records!X99</f>
        <v>5</v>
      </c>
      <c r="M99" s="543" t="n">
        <f>IF(COUNT(Records!S99:U99)=0,"",AVERAGE(Records!S99:U99))</f>
        <v>4.333333333333333</v>
      </c>
      <c r="N99" s="543" t="n">
        <f>IF(COUNT(Records!O99,Records!P99,Records!V99)=0,"",AVERAGE(Records!O99,Records!P99,Records!V99))</f>
        <v>5.333333333333333</v>
      </c>
      <c r="O99" s="523" t="str">
        <f>Records!AD99</f>
        <v>是</v>
      </c>
      <c r="P99" s="544" t="n">
        <f>99</f>
        <v>99</v>
      </c>
      <c r="Q99" s="523"/>
      <c r="R99" s="523"/>
      <c r="S99" s="523"/>
      <c r="T99" s="523"/>
      <c r="U99" s="523"/>
      <c r="V99" s="523"/>
    </row>
    <row r="100">
      <c r="A100" s="523" t="str">
        <f>Records!A100</f>
        <v>P016</v>
      </c>
      <c r="B100" s="523" t="n">
        <f>Records!B100</f>
        <v>6</v>
      </c>
      <c r="C100" s="523" t="str">
        <f>Records!E100</f>
        <v>鼠标</v>
      </c>
      <c r="D100" s="523" t="str">
        <f>Records!G100</f>
        <v>方法B</v>
      </c>
      <c r="E100" s="523" t="str">
        <f>Records!H100</f>
        <v>EgoAnchor</v>
      </c>
      <c r="F100" s="543" t="n">
        <f>Records!K100</f>
        <v>3</v>
      </c>
      <c r="G100" s="543" t="n">
        <f>Records!R100</f>
        <v>4</v>
      </c>
      <c r="H100" s="543" t="n">
        <f>Records!L100</f>
        <v>5</v>
      </c>
      <c r="I100" s="543" t="n">
        <f>Records!M100</f>
        <v>6</v>
      </c>
      <c r="J100" s="543" t="n">
        <f>Records!Q100</f>
        <v>5</v>
      </c>
      <c r="K100" s="543" t="n">
        <f>Records!W100</f>
        <v>4</v>
      </c>
      <c r="L100" s="543" t="n">
        <f>Records!X100</f>
        <v>4</v>
      </c>
      <c r="M100" s="543" t="n">
        <f>IF(COUNT(Records!S100:U100)=0,"",AVERAGE(Records!S100:U100))</f>
        <v>5</v>
      </c>
      <c r="N100" s="543" t="n">
        <f>IF(COUNT(Records!O100,Records!P100,Records!V100)=0,"",AVERAGE(Records!O100,Records!P100,Records!V100))</f>
        <v>5</v>
      </c>
      <c r="O100" s="523" t="str">
        <f>Records!AD100</f>
        <v>是</v>
      </c>
      <c r="P100" s="544" t="n">
        <f>100</f>
        <v>100</v>
      </c>
      <c r="Q100" s="523"/>
      <c r="R100" s="523"/>
      <c r="S100" s="523"/>
      <c r="T100" s="523"/>
      <c r="U100" s="523"/>
      <c r="V100" s="523"/>
    </row>
    <row r="101">
      <c r="A101" s="523" t="str">
        <f>Records!A101</f>
        <v>P017</v>
      </c>
      <c r="B101" s="523" t="n">
        <f>Records!B101</f>
        <v>1</v>
      </c>
      <c r="C101" s="523" t="str">
        <f>Records!E101</f>
        <v>游戏手柄</v>
      </c>
      <c r="D101" s="523" t="str">
        <f>Records!G101</f>
        <v>方法A</v>
      </c>
      <c r="E101" s="523" t="str">
        <f>Records!H101</f>
        <v>EgoAnchor</v>
      </c>
      <c r="F101" s="543" t="n">
        <f>Records!K101</f>
        <v>5</v>
      </c>
      <c r="G101" s="543" t="n">
        <f>Records!R101</f>
        <v>5</v>
      </c>
      <c r="H101" s="543" t="n">
        <f>Records!L101</f>
        <v>4</v>
      </c>
      <c r="I101" s="543" t="n">
        <f>Records!M101</f>
        <v>4</v>
      </c>
      <c r="J101" s="543" t="n">
        <f>Records!Q101</f>
        <v>4</v>
      </c>
      <c r="K101" s="543" t="n">
        <f>Records!W101</f>
        <v>4</v>
      </c>
      <c r="L101" s="543" t="n">
        <f>Records!X101</f>
        <v>4</v>
      </c>
      <c r="M101" s="543" t="n">
        <f>IF(COUNT(Records!S101:U101)=0,"",AVERAGE(Records!S101:U101))</f>
        <v>3.6666666666666665</v>
      </c>
      <c r="N101" s="543" t="n">
        <f>IF(COUNT(Records!O101,Records!P101,Records!V101)=0,"",AVERAGE(Records!O101,Records!P101,Records!V101))</f>
        <v>3.6666666666666665</v>
      </c>
      <c r="O101" s="523" t="str">
        <f>Records!AD101</f>
        <v>是</v>
      </c>
      <c r="P101" s="544" t="n">
        <f>101</f>
        <v>101</v>
      </c>
      <c r="Q101" s="523"/>
      <c r="R101" s="523"/>
      <c r="S101" s="523"/>
      <c r="T101" s="523"/>
      <c r="U101" s="523"/>
      <c r="V101" s="523"/>
    </row>
    <row r="102">
      <c r="A102" s="523" t="str">
        <f>Records!A102</f>
        <v>P017</v>
      </c>
      <c r="B102" s="523" t="n">
        <f>Records!B102</f>
        <v>2</v>
      </c>
      <c r="C102" s="523" t="str">
        <f>Records!E102</f>
        <v>游戏手柄</v>
      </c>
      <c r="D102" s="523" t="str">
        <f>Records!G102</f>
        <v>方法B</v>
      </c>
      <c r="E102" s="523" t="str">
        <f>Records!H102</f>
        <v>One-Euro</v>
      </c>
      <c r="F102" s="543" t="n">
        <f>Records!K102</f>
        <v>3</v>
      </c>
      <c r="G102" s="543" t="n">
        <f>Records!R102</f>
        <v>3</v>
      </c>
      <c r="H102" s="543" t="n">
        <f>Records!L102</f>
        <v>4</v>
      </c>
      <c r="I102" s="543" t="n">
        <f>Records!M102</f>
        <v>4</v>
      </c>
      <c r="J102" s="543" t="n">
        <f>Records!Q102</f>
        <v>4</v>
      </c>
      <c r="K102" s="543" t="n">
        <f>Records!W102</f>
        <v>3</v>
      </c>
      <c r="L102" s="543" t="n">
        <f>Records!X102</f>
        <v>4</v>
      </c>
      <c r="M102" s="543" t="n">
        <f>IF(COUNT(Records!S102:U102)=0,"",AVERAGE(Records!S102:U102))</f>
        <v>3.6666666666666665</v>
      </c>
      <c r="N102" s="543" t="n">
        <f>IF(COUNT(Records!O102,Records!P102,Records!V102)=0,"",AVERAGE(Records!O102,Records!P102,Records!V102))</f>
        <v>4.666666666666667</v>
      </c>
      <c r="O102" s="523" t="str">
        <f>Records!AD102</f>
        <v>是</v>
      </c>
      <c r="P102" s="544" t="n">
        <f>102</f>
        <v>102</v>
      </c>
      <c r="Q102" s="523"/>
      <c r="R102" s="523"/>
      <c r="S102" s="523"/>
      <c r="T102" s="523"/>
      <c r="U102" s="523"/>
      <c r="V102" s="523"/>
    </row>
    <row r="103">
      <c r="A103" s="523" t="str">
        <f>Records!A103</f>
        <v>P017</v>
      </c>
      <c r="B103" s="523" t="n">
        <f>Records!B103</f>
        <v>3</v>
      </c>
      <c r="C103" s="523" t="str">
        <f>Records!E103</f>
        <v>鼠标</v>
      </c>
      <c r="D103" s="523" t="str">
        <f>Records!G103</f>
        <v>方法B</v>
      </c>
      <c r="E103" s="523" t="str">
        <f>Records!H103</f>
        <v>One-Euro</v>
      </c>
      <c r="F103" s="543" t="n">
        <f>Records!K103</f>
        <v>3</v>
      </c>
      <c r="G103" s="543" t="n">
        <f>Records!R103</f>
        <v>2</v>
      </c>
      <c r="H103" s="543" t="n">
        <f>Records!L103</f>
        <v>4</v>
      </c>
      <c r="I103" s="543" t="n">
        <f>Records!M103</f>
        <v>5</v>
      </c>
      <c r="J103" s="543" t="n">
        <f>Records!Q103</f>
        <v>4</v>
      </c>
      <c r="K103" s="543" t="n">
        <f>Records!W103</f>
        <v>4</v>
      </c>
      <c r="L103" s="543" t="n">
        <f>Records!X103</f>
        <v>4</v>
      </c>
      <c r="M103" s="543" t="n">
        <f>IF(COUNT(Records!S103:U103)=0,"",AVERAGE(Records!S103:U103))</f>
        <v>3</v>
      </c>
      <c r="N103" s="543" t="n">
        <f>IF(COUNT(Records!O103,Records!P103,Records!V103)=0,"",AVERAGE(Records!O103,Records!P103,Records!V103))</f>
        <v>4</v>
      </c>
      <c r="O103" s="523" t="str">
        <f>Records!AD103</f>
        <v>是</v>
      </c>
      <c r="P103" s="544" t="n">
        <f>103</f>
        <v>103</v>
      </c>
      <c r="Q103" s="523"/>
      <c r="R103" s="523"/>
      <c r="S103" s="523"/>
      <c r="T103" s="523"/>
      <c r="U103" s="523"/>
      <c r="V103" s="523"/>
    </row>
    <row r="104">
      <c r="A104" s="523" t="str">
        <f>Records!A104</f>
        <v>P017</v>
      </c>
      <c r="B104" s="523" t="n">
        <f>Records!B104</f>
        <v>4</v>
      </c>
      <c r="C104" s="523" t="str">
        <f>Records!E104</f>
        <v>鼠标</v>
      </c>
      <c r="D104" s="523" t="str">
        <f>Records!G104</f>
        <v>方法A</v>
      </c>
      <c r="E104" s="523" t="str">
        <f>Records!H104</f>
        <v>EgoAnchor</v>
      </c>
      <c r="F104" s="543" t="n">
        <f>Records!K104</f>
        <v>4</v>
      </c>
      <c r="G104" s="543" t="n">
        <f>Records!R104</f>
        <v>3</v>
      </c>
      <c r="H104" s="543" t="n">
        <f>Records!L104</f>
        <v>4</v>
      </c>
      <c r="I104" s="543" t="n">
        <f>Records!M104</f>
        <v>5</v>
      </c>
      <c r="J104" s="543" t="n">
        <f>Records!Q104</f>
        <v>4</v>
      </c>
      <c r="K104" s="543" t="n">
        <f>Records!W104</f>
        <v>5</v>
      </c>
      <c r="L104" s="543" t="n">
        <f>Records!X104</f>
        <v>4</v>
      </c>
      <c r="M104" s="543" t="n">
        <f>IF(COUNT(Records!S104:U104)=0,"",AVERAGE(Records!S104:U104))</f>
        <v>5</v>
      </c>
      <c r="N104" s="543" t="n">
        <f>IF(COUNT(Records!O104,Records!P104,Records!V104)=0,"",AVERAGE(Records!O104,Records!P104,Records!V104))</f>
        <v>4.333333333333333</v>
      </c>
      <c r="O104" s="523" t="str">
        <f>Records!AD104</f>
        <v>是</v>
      </c>
      <c r="P104" s="544" t="n">
        <f>104</f>
        <v>104</v>
      </c>
      <c r="Q104" s="523"/>
      <c r="R104" s="523"/>
      <c r="S104" s="523"/>
      <c r="T104" s="523"/>
      <c r="U104" s="523"/>
      <c r="V104" s="523"/>
    </row>
    <row r="105">
      <c r="A105" s="523" t="str">
        <f>Records!A105</f>
        <v>P017</v>
      </c>
      <c r="B105" s="523" t="n">
        <f>Records!B105</f>
        <v>5</v>
      </c>
      <c r="C105" s="523" t="str">
        <f>Records!E105</f>
        <v>固定订书机</v>
      </c>
      <c r="D105" s="523" t="str">
        <f>Records!G105</f>
        <v>方法A</v>
      </c>
      <c r="E105" s="523" t="str">
        <f>Records!H105</f>
        <v>EgoAnchor</v>
      </c>
      <c r="F105" s="543" t="n">
        <f>Records!K105</f>
        <v>4</v>
      </c>
      <c r="G105" s="543" t="n">
        <f>Records!R105</f>
        <v>4</v>
      </c>
      <c r="H105" s="543" t="n">
        <f>Records!L105</f>
        <v>5</v>
      </c>
      <c r="I105" s="543" t="n">
        <f>Records!M105</f>
        <v>4</v>
      </c>
      <c r="J105" s="543" t="n">
        <f>Records!Q105</f>
        <v>5</v>
      </c>
      <c r="K105" s="543" t="n">
        <f>Records!W105</f>
        <v>4</v>
      </c>
      <c r="L105" s="543" t="n">
        <f>Records!X105</f>
        <v>4</v>
      </c>
      <c r="M105" s="543" t="n">
        <f>IF(COUNT(Records!S105:U105)=0,"",AVERAGE(Records!S105:U105))</f>
        <v>4</v>
      </c>
      <c r="N105" s="543" t="n">
        <f>IF(COUNT(Records!O105,Records!P105,Records!V105)=0,"",AVERAGE(Records!O105,Records!P105,Records!V105))</f>
        <v>4.333333333333333</v>
      </c>
      <c r="O105" s="523" t="str">
        <f>Records!AD105</f>
        <v>是</v>
      </c>
      <c r="P105" s="544" t="n">
        <f>105</f>
        <v>105</v>
      </c>
      <c r="Q105" s="523"/>
      <c r="R105" s="523"/>
      <c r="S105" s="523"/>
      <c r="T105" s="523"/>
      <c r="U105" s="523"/>
      <c r="V105" s="523"/>
    </row>
    <row r="106">
      <c r="A106" s="523" t="str">
        <f>Records!A106</f>
        <v>P017</v>
      </c>
      <c r="B106" s="523" t="n">
        <f>Records!B106</f>
        <v>6</v>
      </c>
      <c r="C106" s="523" t="str">
        <f>Records!E106</f>
        <v>固定订书机</v>
      </c>
      <c r="D106" s="523" t="str">
        <f>Records!G106</f>
        <v>方法B</v>
      </c>
      <c r="E106" s="523" t="str">
        <f>Records!H106</f>
        <v>One-Euro</v>
      </c>
      <c r="F106" s="543" t="n">
        <f>Records!K106</f>
        <v>4</v>
      </c>
      <c r="G106" s="543" t="n">
        <f>Records!R106</f>
        <v>4</v>
      </c>
      <c r="H106" s="543" t="n">
        <f>Records!L106</f>
        <v>6</v>
      </c>
      <c r="I106" s="543" t="n">
        <f>Records!M106</f>
        <v>5</v>
      </c>
      <c r="J106" s="543" t="n">
        <f>Records!Q106</f>
        <v>3</v>
      </c>
      <c r="K106" s="543" t="n">
        <f>Records!W106</f>
        <v>3</v>
      </c>
      <c r="L106" s="543" t="n">
        <f>Records!X106</f>
        <v>4</v>
      </c>
      <c r="M106" s="543" t="n">
        <f>IF(COUNT(Records!S106:U106)=0,"",AVERAGE(Records!S106:U106))</f>
        <v>3.6666666666666665</v>
      </c>
      <c r="N106" s="543" t="n">
        <f>IF(COUNT(Records!O106,Records!P106,Records!V106)=0,"",AVERAGE(Records!O106,Records!P106,Records!V106))</f>
        <v>4.333333333333333</v>
      </c>
      <c r="O106" s="523" t="str">
        <f>Records!AD106</f>
        <v>是</v>
      </c>
      <c r="P106" s="544" t="n">
        <f>106</f>
        <v>106</v>
      </c>
      <c r="Q106" s="523"/>
      <c r="R106" s="523"/>
      <c r="S106" s="523"/>
      <c r="T106" s="523"/>
      <c r="U106" s="523"/>
      <c r="V106" s="523"/>
    </row>
    <row r="107">
      <c r="A107" s="523" t="str">
        <f>Records!A107</f>
        <v>P018</v>
      </c>
      <c r="B107" s="523" t="n">
        <f>Records!B107</f>
        <v>1</v>
      </c>
      <c r="C107" s="523" t="str">
        <f>Records!E107</f>
        <v>游戏手柄</v>
      </c>
      <c r="D107" s="523" t="str">
        <f>Records!G107</f>
        <v>方法B</v>
      </c>
      <c r="E107" s="523" t="str">
        <f>Records!H107</f>
        <v>One-Euro</v>
      </c>
      <c r="F107" s="543" t="n">
        <f>Records!K107</f>
        <v>4</v>
      </c>
      <c r="G107" s="543" t="n">
        <f>Records!R107</f>
        <v>3</v>
      </c>
      <c r="H107" s="543" t="n">
        <f>Records!L107</f>
        <v>5</v>
      </c>
      <c r="I107" s="543" t="n">
        <f>Records!M107</f>
        <v>4</v>
      </c>
      <c r="J107" s="543" t="n">
        <f>Records!Q107</f>
        <v>4</v>
      </c>
      <c r="K107" s="543" t="n">
        <f>Records!W107</f>
        <v>5</v>
      </c>
      <c r="L107" s="543" t="n">
        <f>Records!X107</f>
        <v>4</v>
      </c>
      <c r="M107" s="543" t="n">
        <f>IF(COUNT(Records!S107:U107)=0,"",AVERAGE(Records!S107:U107))</f>
        <v>5</v>
      </c>
      <c r="N107" s="543" t="n">
        <f>IF(COUNT(Records!O107,Records!P107,Records!V107)=0,"",AVERAGE(Records!O107,Records!P107,Records!V107))</f>
        <v>4.333333333333333</v>
      </c>
      <c r="O107" s="523" t="str">
        <f>Records!AD107</f>
        <v>是</v>
      </c>
      <c r="P107" s="544" t="n">
        <f>107</f>
        <v>107</v>
      </c>
      <c r="Q107" s="523"/>
      <c r="R107" s="523"/>
      <c r="S107" s="523"/>
      <c r="T107" s="523"/>
      <c r="U107" s="523"/>
      <c r="V107" s="523"/>
    </row>
    <row r="108">
      <c r="A108" s="523" t="str">
        <f>Records!A108</f>
        <v>P018</v>
      </c>
      <c r="B108" s="523" t="n">
        <f>Records!B108</f>
        <v>2</v>
      </c>
      <c r="C108" s="523" t="str">
        <f>Records!E108</f>
        <v>游戏手柄</v>
      </c>
      <c r="D108" s="523" t="str">
        <f>Records!G108</f>
        <v>方法A</v>
      </c>
      <c r="E108" s="523" t="str">
        <f>Records!H108</f>
        <v>EgoAnchor</v>
      </c>
      <c r="F108" s="543" t="n">
        <f>Records!K108</f>
        <v>6</v>
      </c>
      <c r="G108" s="543" t="n">
        <f>Records!R108</f>
        <v>5</v>
      </c>
      <c r="H108" s="543" t="n">
        <f>Records!L108</f>
        <v>4</v>
      </c>
      <c r="I108" s="543" t="n">
        <f>Records!M108</f>
        <v>4</v>
      </c>
      <c r="J108" s="543" t="n">
        <f>Records!Q108</f>
        <v>5</v>
      </c>
      <c r="K108" s="543" t="n">
        <f>Records!W108</f>
        <v>6</v>
      </c>
      <c r="L108" s="543" t="n">
        <f>Records!X108</f>
        <v>6</v>
      </c>
      <c r="M108" s="543" t="n">
        <f>IF(COUNT(Records!S108:U108)=0,"",AVERAGE(Records!S108:U108))</f>
        <v>4.333333333333333</v>
      </c>
      <c r="N108" s="543" t="n">
        <f>IF(COUNT(Records!O108,Records!P108,Records!V108)=0,"",AVERAGE(Records!O108,Records!P108,Records!V108))</f>
        <v>5.333333333333333</v>
      </c>
      <c r="O108" s="523" t="str">
        <f>Records!AD108</f>
        <v>是</v>
      </c>
      <c r="P108" s="544" t="n">
        <f>108</f>
        <v>108</v>
      </c>
      <c r="Q108" s="523"/>
      <c r="R108" s="523"/>
      <c r="S108" s="523"/>
      <c r="T108" s="523"/>
      <c r="U108" s="523"/>
      <c r="V108" s="523"/>
    </row>
    <row r="109">
      <c r="A109" s="523" t="str">
        <f>Records!A109</f>
        <v>P018</v>
      </c>
      <c r="B109" s="523" t="n">
        <f>Records!B109</f>
        <v>3</v>
      </c>
      <c r="C109" s="523" t="str">
        <f>Records!E109</f>
        <v>鼠标</v>
      </c>
      <c r="D109" s="523" t="str">
        <f>Records!G109</f>
        <v>方法A</v>
      </c>
      <c r="E109" s="523" t="str">
        <f>Records!H109</f>
        <v>EgoAnchor</v>
      </c>
      <c r="F109" s="543" t="n">
        <f>Records!K109</f>
        <v>5</v>
      </c>
      <c r="G109" s="543" t="n">
        <f>Records!R109</f>
        <v>5</v>
      </c>
      <c r="H109" s="543" t="n">
        <f>Records!L109</f>
        <v>5</v>
      </c>
      <c r="I109" s="543" t="n">
        <f>Records!M109</f>
        <v>5</v>
      </c>
      <c r="J109" s="543" t="n">
        <f>Records!Q109</f>
        <v>6</v>
      </c>
      <c r="K109" s="543" t="n">
        <f>Records!W109</f>
        <v>5</v>
      </c>
      <c r="L109" s="543" t="n">
        <f>Records!X109</f>
        <v>4</v>
      </c>
      <c r="M109" s="543" t="n">
        <f>IF(COUNT(Records!S109:U109)=0,"",AVERAGE(Records!S109:U109))</f>
        <v>5</v>
      </c>
      <c r="N109" s="543" t="n">
        <f>IF(COUNT(Records!O109,Records!P109,Records!V109)=0,"",AVERAGE(Records!O109,Records!P109,Records!V109))</f>
        <v>5</v>
      </c>
      <c r="O109" s="523" t="str">
        <f>Records!AD109</f>
        <v>是</v>
      </c>
      <c r="P109" s="544" t="n">
        <f>109</f>
        <v>109</v>
      </c>
      <c r="Q109" s="523"/>
      <c r="R109" s="523"/>
      <c r="S109" s="523"/>
      <c r="T109" s="523"/>
      <c r="U109" s="523"/>
      <c r="V109" s="523"/>
    </row>
    <row r="110">
      <c r="A110" s="523" t="str">
        <f>Records!A110</f>
        <v>P018</v>
      </c>
      <c r="B110" s="523" t="n">
        <f>Records!B110</f>
        <v>4</v>
      </c>
      <c r="C110" s="523" t="str">
        <f>Records!E110</f>
        <v>鼠标</v>
      </c>
      <c r="D110" s="523" t="str">
        <f>Records!G110</f>
        <v>方法B</v>
      </c>
      <c r="E110" s="523" t="str">
        <f>Records!H110</f>
        <v>One-Euro</v>
      </c>
      <c r="F110" s="543" t="n">
        <f>Records!K110</f>
        <v>5</v>
      </c>
      <c r="G110" s="543" t="n">
        <f>Records!R110</f>
        <v>5</v>
      </c>
      <c r="H110" s="543" t="n">
        <f>Records!L110</f>
        <v>4</v>
      </c>
      <c r="I110" s="543" t="n">
        <f>Records!M110</f>
        <v>4</v>
      </c>
      <c r="J110" s="543" t="n">
        <f>Records!Q110</f>
        <v>3</v>
      </c>
      <c r="K110" s="543" t="n">
        <f>Records!W110</f>
        <v>3</v>
      </c>
      <c r="L110" s="543" t="n">
        <f>Records!X110</f>
        <v>5</v>
      </c>
      <c r="M110" s="543" t="n">
        <f>IF(COUNT(Records!S110:U110)=0,"",AVERAGE(Records!S110:U110))</f>
        <v>5</v>
      </c>
      <c r="N110" s="543" t="n">
        <f>IF(COUNT(Records!O110,Records!P110,Records!V110)=0,"",AVERAGE(Records!O110,Records!P110,Records!V110))</f>
        <v>4.333333333333333</v>
      </c>
      <c r="O110" s="523" t="str">
        <f>Records!AD110</f>
        <v>是</v>
      </c>
      <c r="P110" s="544" t="n">
        <f>110</f>
        <v>110</v>
      </c>
      <c r="Q110" s="523"/>
      <c r="R110" s="523"/>
      <c r="S110" s="523"/>
      <c r="T110" s="523"/>
      <c r="U110" s="523"/>
      <c r="V110" s="523"/>
    </row>
    <row r="111">
      <c r="A111" s="523" t="str">
        <f>Records!A111</f>
        <v>P018</v>
      </c>
      <c r="B111" s="523" t="n">
        <f>Records!B111</f>
        <v>5</v>
      </c>
      <c r="C111" s="523" t="str">
        <f>Records!E111</f>
        <v>固定订书机</v>
      </c>
      <c r="D111" s="523" t="str">
        <f>Records!G111</f>
        <v>方法B</v>
      </c>
      <c r="E111" s="523" t="str">
        <f>Records!H111</f>
        <v>One-Euro</v>
      </c>
      <c r="F111" s="543" t="n">
        <f>Records!K111</f>
        <v>4</v>
      </c>
      <c r="G111" s="543" t="n">
        <f>Records!R111</f>
        <v>4</v>
      </c>
      <c r="H111" s="543" t="n">
        <f>Records!L111</f>
        <v>5</v>
      </c>
      <c r="I111" s="543" t="n">
        <f>Records!M111</f>
        <v>6</v>
      </c>
      <c r="J111" s="543" t="n">
        <f>Records!Q111</f>
        <v>4</v>
      </c>
      <c r="K111" s="543" t="n">
        <f>Records!W111</f>
        <v>4</v>
      </c>
      <c r="L111" s="543" t="n">
        <f>Records!X111</f>
        <v>4</v>
      </c>
      <c r="M111" s="543" t="n">
        <f>IF(COUNT(Records!S111:U111)=0,"",AVERAGE(Records!S111:U111))</f>
        <v>4.666666666666667</v>
      </c>
      <c r="N111" s="543" t="n">
        <f>IF(COUNT(Records!O111,Records!P111,Records!V111)=0,"",AVERAGE(Records!O111,Records!P111,Records!V111))</f>
        <v>4.333333333333333</v>
      </c>
      <c r="O111" s="523" t="str">
        <f>Records!AD111</f>
        <v>是</v>
      </c>
      <c r="P111" s="544" t="n">
        <f>111</f>
        <v>111</v>
      </c>
      <c r="Q111" s="523"/>
      <c r="R111" s="523"/>
      <c r="S111" s="523"/>
      <c r="T111" s="523"/>
      <c r="U111" s="523"/>
      <c r="V111" s="523"/>
    </row>
    <row r="112">
      <c r="A112" s="523" t="str">
        <f>Records!A112</f>
        <v>P018</v>
      </c>
      <c r="B112" s="523" t="n">
        <f>Records!B112</f>
        <v>6</v>
      </c>
      <c r="C112" s="523" t="str">
        <f>Records!E112</f>
        <v>固定订书机</v>
      </c>
      <c r="D112" s="523" t="str">
        <f>Records!G112</f>
        <v>方法A</v>
      </c>
      <c r="E112" s="523" t="str">
        <f>Records!H112</f>
        <v>EgoAnchor</v>
      </c>
      <c r="F112" s="543" t="n">
        <f>Records!K112</f>
        <v>6</v>
      </c>
      <c r="G112" s="543" t="n">
        <f>Records!R112</f>
        <v>4</v>
      </c>
      <c r="H112" s="543" t="n">
        <f>Records!L112</f>
        <v>5</v>
      </c>
      <c r="I112" s="543" t="n">
        <f>Records!M112</f>
        <v>4</v>
      </c>
      <c r="J112" s="543" t="n">
        <f>Records!Q112</f>
        <v>5</v>
      </c>
      <c r="K112" s="543" t="n">
        <f>Records!W112</f>
        <v>5</v>
      </c>
      <c r="L112" s="543" t="n">
        <f>Records!X112</f>
        <v>3</v>
      </c>
      <c r="M112" s="543" t="n">
        <f>IF(COUNT(Records!S112:U112)=0,"",AVERAGE(Records!S112:U112))</f>
        <v>4.333333333333333</v>
      </c>
      <c r="N112" s="543" t="n">
        <f>IF(COUNT(Records!O112,Records!P112,Records!V112)=0,"",AVERAGE(Records!O112,Records!P112,Records!V112))</f>
        <v>4.333333333333333</v>
      </c>
      <c r="O112" s="523" t="str">
        <f>Records!AD112</f>
        <v>是</v>
      </c>
      <c r="P112" s="544" t="n">
        <f>112</f>
        <v>112</v>
      </c>
      <c r="Q112" s="523"/>
      <c r="R112" s="523"/>
      <c r="S112" s="523"/>
      <c r="T112" s="523"/>
      <c r="U112" s="523"/>
      <c r="V112" s="523"/>
    </row>
    <row r="113">
      <c r="A113" s="523" t="str">
        <f>Records!A113</f>
        <v>P019</v>
      </c>
      <c r="B113" s="523" t="n">
        <f>Records!B113</f>
        <v>1</v>
      </c>
      <c r="C113" s="523" t="str">
        <f>Records!E113</f>
        <v>游戏手柄</v>
      </c>
      <c r="D113" s="523" t="str">
        <f>Records!G113</f>
        <v>方法B</v>
      </c>
      <c r="E113" s="523" t="str">
        <f>Records!H113</f>
        <v>EgoAnchor</v>
      </c>
      <c r="F113" s="543" t="n">
        <f>Records!K113</f>
        <v>5</v>
      </c>
      <c r="G113" s="543" t="n">
        <f>Records!R113</f>
        <v>4</v>
      </c>
      <c r="H113" s="543" t="n">
        <f>Records!L113</f>
        <v>5</v>
      </c>
      <c r="I113" s="543" t="n">
        <f>Records!M113</f>
        <v>3</v>
      </c>
      <c r="J113" s="543" t="n">
        <f>Records!Q113</f>
        <v>4</v>
      </c>
      <c r="K113" s="543" t="n">
        <f>Records!W113</f>
        <v>5</v>
      </c>
      <c r="L113" s="543" t="n">
        <f>Records!X113</f>
        <v>4</v>
      </c>
      <c r="M113" s="543" t="n">
        <f>IF(COUNT(Records!S113:U113)=0,"",AVERAGE(Records!S113:U113))</f>
        <v>4.333333333333333</v>
      </c>
      <c r="N113" s="543" t="n">
        <f>IF(COUNT(Records!O113,Records!P113,Records!V113)=0,"",AVERAGE(Records!O113,Records!P113,Records!V113))</f>
        <v>5</v>
      </c>
      <c r="O113" s="523" t="str">
        <f>Records!AD113</f>
        <v>是</v>
      </c>
      <c r="P113" s="544" t="n">
        <f>113</f>
        <v>113</v>
      </c>
      <c r="Q113" s="523"/>
      <c r="R113" s="523"/>
      <c r="S113" s="523"/>
      <c r="T113" s="523"/>
      <c r="U113" s="523"/>
      <c r="V113" s="523"/>
    </row>
    <row r="114">
      <c r="A114" s="523" t="str">
        <f>Records!A114</f>
        <v>P019</v>
      </c>
      <c r="B114" s="523" t="n">
        <f>Records!B114</f>
        <v>2</v>
      </c>
      <c r="C114" s="523" t="str">
        <f>Records!E114</f>
        <v>游戏手柄</v>
      </c>
      <c r="D114" s="523" t="str">
        <f>Records!G114</f>
        <v>方法A</v>
      </c>
      <c r="E114" s="523" t="str">
        <f>Records!H114</f>
        <v>One-Euro</v>
      </c>
      <c r="F114" s="543" t="n">
        <f>Records!K114</f>
        <v>3</v>
      </c>
      <c r="G114" s="543" t="n">
        <f>Records!R114</f>
        <v>5</v>
      </c>
      <c r="H114" s="543" t="n">
        <f>Records!L114</f>
        <v>5</v>
      </c>
      <c r="I114" s="543" t="n">
        <f>Records!M114</f>
        <v>5</v>
      </c>
      <c r="J114" s="543" t="n">
        <f>Records!Q114</f>
        <v>4</v>
      </c>
      <c r="K114" s="543" t="n">
        <f>Records!W114</f>
        <v>2</v>
      </c>
      <c r="L114" s="543" t="n">
        <f>Records!X114</f>
        <v>4</v>
      </c>
      <c r="M114" s="543" t="n">
        <f>IF(COUNT(Records!S114:U114)=0,"",AVERAGE(Records!S114:U114))</f>
        <v>4.333333333333333</v>
      </c>
      <c r="N114" s="543" t="n">
        <f>IF(COUNT(Records!O114,Records!P114,Records!V114)=0,"",AVERAGE(Records!O114,Records!P114,Records!V114))</f>
        <v>4.333333333333333</v>
      </c>
      <c r="O114" s="523" t="str">
        <f>Records!AD114</f>
        <v>是</v>
      </c>
      <c r="P114" s="544" t="n">
        <f>114</f>
        <v>114</v>
      </c>
      <c r="Q114" s="523"/>
      <c r="R114" s="523"/>
      <c r="S114" s="523"/>
      <c r="T114" s="523"/>
      <c r="U114" s="523"/>
      <c r="V114" s="523"/>
    </row>
    <row r="115">
      <c r="A115" s="523" t="str">
        <f>Records!A115</f>
        <v>P019</v>
      </c>
      <c r="B115" s="523" t="n">
        <f>Records!B115</f>
        <v>3</v>
      </c>
      <c r="C115" s="523" t="str">
        <f>Records!E115</f>
        <v>鼠标</v>
      </c>
      <c r="D115" s="523" t="str">
        <f>Records!G115</f>
        <v>方法A</v>
      </c>
      <c r="E115" s="523" t="str">
        <f>Records!H115</f>
        <v>One-Euro</v>
      </c>
      <c r="F115" s="543" t="n">
        <f>Records!K115</f>
        <v>4</v>
      </c>
      <c r="G115" s="543" t="n">
        <f>Records!R115</f>
        <v>4</v>
      </c>
      <c r="H115" s="543" t="n">
        <f>Records!L115</f>
        <v>3</v>
      </c>
      <c r="I115" s="543" t="n">
        <f>Records!M115</f>
        <v>4</v>
      </c>
      <c r="J115" s="543" t="n">
        <f>Records!Q115</f>
        <v>4</v>
      </c>
      <c r="K115" s="543" t="n">
        <f>Records!W115</f>
        <v>5</v>
      </c>
      <c r="L115" s="543" t="n">
        <f>Records!X115</f>
        <v>4</v>
      </c>
      <c r="M115" s="543" t="n">
        <f>IF(COUNT(Records!S115:U115)=0,"",AVERAGE(Records!S115:U115))</f>
        <v>3.3333333333333335</v>
      </c>
      <c r="N115" s="543" t="n">
        <f>IF(COUNT(Records!O115,Records!P115,Records!V115)=0,"",AVERAGE(Records!O115,Records!P115,Records!V115))</f>
        <v>5</v>
      </c>
      <c r="O115" s="523" t="str">
        <f>Records!AD115</f>
        <v>是</v>
      </c>
      <c r="P115" s="544" t="n">
        <f>115</f>
        <v>115</v>
      </c>
      <c r="Q115" s="523"/>
      <c r="R115" s="523"/>
      <c r="S115" s="523"/>
      <c r="T115" s="523"/>
      <c r="U115" s="523"/>
      <c r="V115" s="523"/>
    </row>
    <row r="116">
      <c r="A116" s="523" t="str">
        <f>Records!A116</f>
        <v>P019</v>
      </c>
      <c r="B116" s="523" t="n">
        <f>Records!B116</f>
        <v>4</v>
      </c>
      <c r="C116" s="523" t="str">
        <f>Records!E116</f>
        <v>鼠标</v>
      </c>
      <c r="D116" s="523" t="str">
        <f>Records!G116</f>
        <v>方法B</v>
      </c>
      <c r="E116" s="523" t="str">
        <f>Records!H116</f>
        <v>EgoAnchor</v>
      </c>
      <c r="F116" s="543" t="n">
        <f>Records!K116</f>
        <v>5</v>
      </c>
      <c r="G116" s="543" t="n">
        <f>Records!R116</f>
        <v>4</v>
      </c>
      <c r="H116" s="543" t="n">
        <f>Records!L116</f>
        <v>4</v>
      </c>
      <c r="I116" s="543" t="n">
        <f>Records!M116</f>
        <v>5</v>
      </c>
      <c r="J116" s="543" t="n">
        <f>Records!Q116</f>
        <v>4</v>
      </c>
      <c r="K116" s="543" t="n">
        <f>Records!W116</f>
        <v>5</v>
      </c>
      <c r="L116" s="543" t="n">
        <f>Records!X116</f>
        <v>4</v>
      </c>
      <c r="M116" s="543" t="n">
        <f>IF(COUNT(Records!S116:U116)=0,"",AVERAGE(Records!S116:U116))</f>
        <v>3.6666666666666665</v>
      </c>
      <c r="N116" s="543" t="n">
        <f>IF(COUNT(Records!O116,Records!P116,Records!V116)=0,"",AVERAGE(Records!O116,Records!P116,Records!V116))</f>
        <v>3.3333333333333335</v>
      </c>
      <c r="O116" s="523" t="str">
        <f>Records!AD116</f>
        <v>是</v>
      </c>
      <c r="P116" s="544" t="n">
        <f>116</f>
        <v>116</v>
      </c>
      <c r="Q116" s="523"/>
      <c r="R116" s="523"/>
      <c r="S116" s="523"/>
      <c r="T116" s="523"/>
      <c r="U116" s="523"/>
      <c r="V116" s="523"/>
    </row>
    <row r="117">
      <c r="A117" s="523" t="str">
        <f>Records!A117</f>
        <v>P019</v>
      </c>
      <c r="B117" s="523" t="n">
        <f>Records!B117</f>
        <v>5</v>
      </c>
      <c r="C117" s="523" t="str">
        <f>Records!E117</f>
        <v>固定订书机</v>
      </c>
      <c r="D117" s="523" t="str">
        <f>Records!G117</f>
        <v>方法B</v>
      </c>
      <c r="E117" s="523" t="str">
        <f>Records!H117</f>
        <v>EgoAnchor</v>
      </c>
      <c r="F117" s="543" t="n">
        <f>Records!K117</f>
        <v>5</v>
      </c>
      <c r="G117" s="543" t="n">
        <f>Records!R117</f>
        <v>4</v>
      </c>
      <c r="H117" s="543" t="n">
        <f>Records!L117</f>
        <v>4</v>
      </c>
      <c r="I117" s="543" t="n">
        <f>Records!M117</f>
        <v>5</v>
      </c>
      <c r="J117" s="543" t="n">
        <f>Records!Q117</f>
        <v>3</v>
      </c>
      <c r="K117" s="543" t="n">
        <f>Records!W117</f>
        <v>3</v>
      </c>
      <c r="L117" s="543" t="n">
        <f>Records!X117</f>
        <v>3</v>
      </c>
      <c r="M117" s="543" t="n">
        <f>IF(COUNT(Records!S117:U117)=0,"",AVERAGE(Records!S117:U117))</f>
        <v>4.333333333333333</v>
      </c>
      <c r="N117" s="543" t="n">
        <f>IF(COUNT(Records!O117,Records!P117,Records!V117)=0,"",AVERAGE(Records!O117,Records!P117,Records!V117))</f>
        <v>3.3333333333333335</v>
      </c>
      <c r="O117" s="523" t="str">
        <f>Records!AD117</f>
        <v>是</v>
      </c>
      <c r="P117" s="544" t="n">
        <f>117</f>
        <v>117</v>
      </c>
      <c r="Q117" s="523"/>
      <c r="R117" s="523"/>
      <c r="S117" s="523"/>
      <c r="T117" s="523"/>
      <c r="U117" s="523"/>
      <c r="V117" s="523"/>
    </row>
    <row r="118">
      <c r="A118" s="523" t="str">
        <f>Records!A118</f>
        <v>P019</v>
      </c>
      <c r="B118" s="523" t="n">
        <f>Records!B118</f>
        <v>6</v>
      </c>
      <c r="C118" s="523" t="str">
        <f>Records!E118</f>
        <v>固定订书机</v>
      </c>
      <c r="D118" s="523" t="str">
        <f>Records!G118</f>
        <v>方法A</v>
      </c>
      <c r="E118" s="523" t="str">
        <f>Records!H118</f>
        <v>One-Euro</v>
      </c>
      <c r="F118" s="543" t="n">
        <f>Records!K118</f>
        <v>4</v>
      </c>
      <c r="G118" s="543" t="n">
        <f>Records!R118</f>
        <v>5</v>
      </c>
      <c r="H118" s="543" t="n">
        <f>Records!L118</f>
        <v>5</v>
      </c>
      <c r="I118" s="543" t="n">
        <f>Records!M118</f>
        <v>5</v>
      </c>
      <c r="J118" s="543" t="n">
        <f>Records!Q118</f>
        <v>4</v>
      </c>
      <c r="K118" s="543" t="n">
        <f>Records!W118</f>
        <v>4</v>
      </c>
      <c r="L118" s="543" t="n">
        <f>Records!X118</f>
        <v>3</v>
      </c>
      <c r="M118" s="543" t="n">
        <f>IF(COUNT(Records!S118:U118)=0,"",AVERAGE(Records!S118:U118))</f>
        <v>4.666666666666667</v>
      </c>
      <c r="N118" s="543" t="n">
        <f>IF(COUNT(Records!O118,Records!P118,Records!V118)=0,"",AVERAGE(Records!O118,Records!P118,Records!V118))</f>
        <v>4.333333333333333</v>
      </c>
      <c r="O118" s="523" t="str">
        <f>Records!AD118</f>
        <v>是</v>
      </c>
      <c r="P118" s="544" t="n">
        <f>118</f>
        <v>118</v>
      </c>
      <c r="Q118" s="523"/>
      <c r="R118" s="523"/>
      <c r="S118" s="523"/>
      <c r="T118" s="523"/>
      <c r="U118" s="523"/>
      <c r="V118" s="523"/>
    </row>
    <row r="119">
      <c r="A119" s="523" t="str">
        <f>Records!A119</f>
        <v>P020</v>
      </c>
      <c r="B119" s="523" t="n">
        <f>Records!B119</f>
        <v>1</v>
      </c>
      <c r="C119" s="523" t="str">
        <f>Records!E119</f>
        <v>游戏手柄</v>
      </c>
      <c r="D119" s="523" t="str">
        <f>Records!G119</f>
        <v>方法A</v>
      </c>
      <c r="E119" s="523" t="str">
        <f>Records!H119</f>
        <v>One-Euro</v>
      </c>
      <c r="F119" s="543" t="n">
        <f>Records!K119</f>
        <v>5</v>
      </c>
      <c r="G119" s="543" t="n">
        <f>Records!R119</f>
        <v>4</v>
      </c>
      <c r="H119" s="543" t="n">
        <f>Records!L119</f>
        <v>4</v>
      </c>
      <c r="I119" s="543" t="n">
        <f>Records!M119</f>
        <v>4</v>
      </c>
      <c r="J119" s="543" t="n">
        <f>Records!Q119</f>
        <v>4</v>
      </c>
      <c r="K119" s="543" t="n">
        <f>Records!W119</f>
        <v>4</v>
      </c>
      <c r="L119" s="543" t="n">
        <f>Records!X119</f>
        <v>5</v>
      </c>
      <c r="M119" s="543" t="n">
        <f>IF(COUNT(Records!S119:U119)=0,"",AVERAGE(Records!S119:U119))</f>
        <v>4.333333333333333</v>
      </c>
      <c r="N119" s="543" t="n">
        <f>IF(COUNT(Records!O119,Records!P119,Records!V119)=0,"",AVERAGE(Records!O119,Records!P119,Records!V119))</f>
        <v>4.666666666666667</v>
      </c>
      <c r="O119" s="523" t="str">
        <f>Records!AD119</f>
        <v>是</v>
      </c>
      <c r="P119" s="544" t="n">
        <f>119</f>
        <v>119</v>
      </c>
      <c r="Q119" s="523"/>
      <c r="R119" s="523"/>
      <c r="S119" s="523"/>
      <c r="T119" s="523"/>
      <c r="U119" s="523"/>
      <c r="V119" s="523"/>
    </row>
    <row r="120">
      <c r="A120" s="523" t="str">
        <f>Records!A120</f>
        <v>P020</v>
      </c>
      <c r="B120" s="523" t="n">
        <f>Records!B120</f>
        <v>2</v>
      </c>
      <c r="C120" s="523" t="str">
        <f>Records!E120</f>
        <v>游戏手柄</v>
      </c>
      <c r="D120" s="523" t="str">
        <f>Records!G120</f>
        <v>方法B</v>
      </c>
      <c r="E120" s="523" t="str">
        <f>Records!H120</f>
        <v>EgoAnchor</v>
      </c>
      <c r="F120" s="543" t="n">
        <f>Records!K120</f>
        <v>6</v>
      </c>
      <c r="G120" s="543" t="n">
        <f>Records!R120</f>
        <v>4</v>
      </c>
      <c r="H120" s="543" t="n">
        <f>Records!L120</f>
        <v>5</v>
      </c>
      <c r="I120" s="543" t="n">
        <f>Records!M120</f>
        <v>5</v>
      </c>
      <c r="J120" s="543" t="n">
        <f>Records!Q120</f>
        <v>3</v>
      </c>
      <c r="K120" s="543" t="n">
        <f>Records!W120</f>
        <v>4</v>
      </c>
      <c r="L120" s="543" t="n">
        <f>Records!X120</f>
        <v>5</v>
      </c>
      <c r="M120" s="543" t="n">
        <f>IF(COUNT(Records!S120:U120)=0,"",AVERAGE(Records!S120:U120))</f>
        <v>4.666666666666667</v>
      </c>
      <c r="N120" s="543" t="n">
        <f>IF(COUNT(Records!O120,Records!P120,Records!V120)=0,"",AVERAGE(Records!O120,Records!P120,Records!V120))</f>
        <v>5</v>
      </c>
      <c r="O120" s="523" t="str">
        <f>Records!AD120</f>
        <v>是</v>
      </c>
      <c r="P120" s="544" t="n">
        <f>120</f>
        <v>120</v>
      </c>
      <c r="Q120" s="523"/>
      <c r="R120" s="523"/>
      <c r="S120" s="523"/>
      <c r="T120" s="523"/>
      <c r="U120" s="523"/>
      <c r="V120" s="523"/>
    </row>
    <row r="121">
      <c r="A121" s="523" t="str">
        <f>Records!A121</f>
        <v>P020</v>
      </c>
      <c r="B121" s="523" t="n">
        <f>Records!B121</f>
        <v>3</v>
      </c>
      <c r="C121" s="523" t="str">
        <f>Records!E121</f>
        <v>鼠标</v>
      </c>
      <c r="D121" s="523" t="str">
        <f>Records!G121</f>
        <v>方法B</v>
      </c>
      <c r="E121" s="523" t="str">
        <f>Records!H121</f>
        <v>EgoAnchor</v>
      </c>
      <c r="F121" s="543" t="n">
        <f>Records!K121</f>
        <v>4</v>
      </c>
      <c r="G121" s="543" t="n">
        <f>Records!R121</f>
        <v>4</v>
      </c>
      <c r="H121" s="543" t="n">
        <f>Records!L121</f>
        <v>4</v>
      </c>
      <c r="I121" s="543" t="n">
        <f>Records!M121</f>
        <v>5</v>
      </c>
      <c r="J121" s="543" t="n">
        <f>Records!Q121</f>
        <v>6</v>
      </c>
      <c r="K121" s="543" t="n">
        <f>Records!W121</f>
        <v>3</v>
      </c>
      <c r="L121" s="543" t="n">
        <f>Records!X121</f>
        <v>4</v>
      </c>
      <c r="M121" s="543" t="n">
        <f>IF(COUNT(Records!S121:U121)=0,"",AVERAGE(Records!S121:U121))</f>
        <v>4.666666666666667</v>
      </c>
      <c r="N121" s="543" t="n">
        <f>IF(COUNT(Records!O121,Records!P121,Records!V121)=0,"",AVERAGE(Records!O121,Records!P121,Records!V121))</f>
        <v>4.333333333333333</v>
      </c>
      <c r="O121" s="523" t="str">
        <f>Records!AD121</f>
        <v>是</v>
      </c>
      <c r="P121" s="544" t="n">
        <f>121</f>
        <v>121</v>
      </c>
      <c r="Q121" s="523"/>
      <c r="R121" s="523"/>
      <c r="S121" s="523"/>
      <c r="T121" s="523"/>
      <c r="U121" s="523"/>
      <c r="V121" s="523"/>
    </row>
    <row r="122">
      <c r="A122" s="523" t="str">
        <f>Records!A122</f>
        <v>P020</v>
      </c>
      <c r="B122" s="523" t="n">
        <f>Records!B122</f>
        <v>4</v>
      </c>
      <c r="C122" s="523" t="str">
        <f>Records!E122</f>
        <v>鼠标</v>
      </c>
      <c r="D122" s="523" t="str">
        <f>Records!G122</f>
        <v>方法A</v>
      </c>
      <c r="E122" s="523" t="str">
        <f>Records!H122</f>
        <v>One-Euro</v>
      </c>
      <c r="F122" s="543" t="n">
        <f>Records!K122</f>
        <v>4</v>
      </c>
      <c r="G122" s="543" t="n">
        <f>Records!R122</f>
        <v>4</v>
      </c>
      <c r="H122" s="543" t="n">
        <f>Records!L122</f>
        <v>4</v>
      </c>
      <c r="I122" s="543" t="n">
        <f>Records!M122</f>
        <v>5</v>
      </c>
      <c r="J122" s="543" t="n">
        <f>Records!Q122</f>
        <v>4</v>
      </c>
      <c r="K122" s="543" t="n">
        <f>Records!W122</f>
        <v>4</v>
      </c>
      <c r="L122" s="543" t="n">
        <f>Records!X122</f>
        <v>5</v>
      </c>
      <c r="M122" s="543" t="n">
        <f>IF(COUNT(Records!S122:U122)=0,"",AVERAGE(Records!S122:U122))</f>
        <v>3.6666666666666665</v>
      </c>
      <c r="N122" s="543" t="n">
        <f>IF(COUNT(Records!O122,Records!P122,Records!V122)=0,"",AVERAGE(Records!O122,Records!P122,Records!V122))</f>
        <v>4.333333333333333</v>
      </c>
      <c r="O122" s="523" t="str">
        <f>Records!AD122</f>
        <v>是</v>
      </c>
      <c r="P122" s="544" t="n">
        <f>122</f>
        <v>122</v>
      </c>
      <c r="Q122" s="523"/>
      <c r="R122" s="523"/>
      <c r="S122" s="523"/>
      <c r="T122" s="523"/>
      <c r="U122" s="523"/>
      <c r="V122" s="523"/>
    </row>
    <row r="123">
      <c r="A123" s="523" t="str">
        <f>Records!A123</f>
        <v>P020</v>
      </c>
      <c r="B123" s="523" t="n">
        <f>Records!B123</f>
        <v>5</v>
      </c>
      <c r="C123" s="523" t="str">
        <f>Records!E123</f>
        <v>固定订书机</v>
      </c>
      <c r="D123" s="523" t="str">
        <f>Records!G123</f>
        <v>方法A</v>
      </c>
      <c r="E123" s="523" t="str">
        <f>Records!H123</f>
        <v>One-Euro</v>
      </c>
      <c r="F123" s="543" t="n">
        <f>Records!K123</f>
        <v>3</v>
      </c>
      <c r="G123" s="543" t="n">
        <f>Records!R123</f>
        <v>4</v>
      </c>
      <c r="H123" s="543" t="n">
        <f>Records!L123</f>
        <v>5</v>
      </c>
      <c r="I123" s="543" t="n">
        <f>Records!M123</f>
        <v>5</v>
      </c>
      <c r="J123" s="543" t="n">
        <f>Records!Q123</f>
        <v>5</v>
      </c>
      <c r="K123" s="543" t="n">
        <f>Records!W123</f>
        <v>5</v>
      </c>
      <c r="L123" s="543" t="n">
        <f>Records!X123</f>
        <v>4</v>
      </c>
      <c r="M123" s="543" t="n">
        <f>IF(COUNT(Records!S123:U123)=0,"",AVERAGE(Records!S123:U123))</f>
        <v>4.666666666666667</v>
      </c>
      <c r="N123" s="543" t="n">
        <f>IF(COUNT(Records!O123,Records!P123,Records!V123)=0,"",AVERAGE(Records!O123,Records!P123,Records!V123))</f>
        <v>5</v>
      </c>
      <c r="O123" s="523" t="str">
        <f>Records!AD123</f>
        <v>是</v>
      </c>
      <c r="P123" s="544" t="n">
        <f>123</f>
        <v>123</v>
      </c>
      <c r="Q123" s="523"/>
      <c r="R123" s="523"/>
      <c r="S123" s="523"/>
      <c r="T123" s="523"/>
      <c r="U123" s="523"/>
      <c r="V123" s="523"/>
    </row>
    <row r="124">
      <c r="A124" s="523" t="str">
        <f>Records!A124</f>
        <v>P020</v>
      </c>
      <c r="B124" s="523" t="n">
        <f>Records!B124</f>
        <v>6</v>
      </c>
      <c r="C124" s="523" t="str">
        <f>Records!E124</f>
        <v>固定订书机</v>
      </c>
      <c r="D124" s="523" t="str">
        <f>Records!G124</f>
        <v>方法B</v>
      </c>
      <c r="E124" s="523" t="str">
        <f>Records!H124</f>
        <v>EgoAnchor</v>
      </c>
      <c r="F124" s="543" t="n">
        <f>Records!K124</f>
        <v>4</v>
      </c>
      <c r="G124" s="543" t="n">
        <f>Records!R124</f>
        <v>4</v>
      </c>
      <c r="H124" s="543" t="n">
        <f>Records!L124</f>
        <v>4</v>
      </c>
      <c r="I124" s="543" t="n">
        <f>Records!M124</f>
        <v>5</v>
      </c>
      <c r="J124" s="543" t="n">
        <f>Records!Q124</f>
        <v>4</v>
      </c>
      <c r="K124" s="543" t="n">
        <f>Records!W124</f>
        <v>4</v>
      </c>
      <c r="L124" s="543" t="n">
        <f>Records!X124</f>
        <v>5</v>
      </c>
      <c r="M124" s="543" t="n">
        <f>IF(COUNT(Records!S124:U124)=0,"",AVERAGE(Records!S124:U124))</f>
        <v>4.666666666666667</v>
      </c>
      <c r="N124" s="543" t="n">
        <f>IF(COUNT(Records!O124,Records!P124,Records!V124)=0,"",AVERAGE(Records!O124,Records!P124,Records!V124))</f>
        <v>3.6666666666666665</v>
      </c>
      <c r="O124" s="523" t="str">
        <f>Records!AD124</f>
        <v>是</v>
      </c>
      <c r="P124" s="544" t="n">
        <f>124</f>
        <v>124</v>
      </c>
      <c r="Q124" s="523"/>
      <c r="R124" s="523"/>
      <c r="S124" s="523"/>
      <c r="T124" s="523"/>
      <c r="U124" s="523"/>
      <c r="V124" s="523"/>
    </row>
    <row r="125">
      <c r="A125" s="523" t="str">
        <f>Records!A125</f>
        <v>P021</v>
      </c>
      <c r="B125" s="523" t="n">
        <f>Records!B125</f>
        <v>1</v>
      </c>
      <c r="C125" s="523" t="str">
        <f>Records!E125</f>
        <v>游戏手柄</v>
      </c>
      <c r="D125" s="523" t="str">
        <f>Records!G125</f>
        <v>方法A</v>
      </c>
      <c r="E125" s="523" t="str">
        <f>Records!H125</f>
        <v>EgoAnchor</v>
      </c>
      <c r="F125" s="543" t="n">
        <f>Records!K125</f>
        <v>6</v>
      </c>
      <c r="G125" s="543" t="n">
        <f>Records!R125</f>
        <v>5</v>
      </c>
      <c r="H125" s="543" t="n">
        <f>Records!L125</f>
        <v>6</v>
      </c>
      <c r="I125" s="543" t="n">
        <f>Records!M125</f>
        <v>5</v>
      </c>
      <c r="J125" s="543" t="n">
        <f>Records!Q125</f>
        <v>4</v>
      </c>
      <c r="K125" s="543" t="n">
        <f>Records!W125</f>
        <v>5</v>
      </c>
      <c r="L125" s="543" t="n">
        <f>Records!X125</f>
        <v>5</v>
      </c>
      <c r="M125" s="543" t="n">
        <f>IF(COUNT(Records!S125:U125)=0,"",AVERAGE(Records!S125:U125))</f>
        <v>5</v>
      </c>
      <c r="N125" s="543" t="n">
        <f>IF(COUNT(Records!O125,Records!P125,Records!V125)=0,"",AVERAGE(Records!O125,Records!P125,Records!V125))</f>
        <v>4.666666666666667</v>
      </c>
      <c r="O125" s="523" t="str">
        <f>Records!AD125</f>
        <v>是</v>
      </c>
      <c r="P125" s="544" t="n">
        <f>125</f>
        <v>125</v>
      </c>
      <c r="Q125" s="523"/>
      <c r="R125" s="523"/>
      <c r="S125" s="523"/>
      <c r="T125" s="523"/>
      <c r="U125" s="523"/>
      <c r="V125" s="523"/>
    </row>
    <row r="126">
      <c r="A126" s="523" t="str">
        <f>Records!A126</f>
        <v>P021</v>
      </c>
      <c r="B126" s="523" t="n">
        <f>Records!B126</f>
        <v>2</v>
      </c>
      <c r="C126" s="523" t="str">
        <f>Records!E126</f>
        <v>游戏手柄</v>
      </c>
      <c r="D126" s="523" t="str">
        <f>Records!G126</f>
        <v>方法B</v>
      </c>
      <c r="E126" s="523" t="str">
        <f>Records!H126</f>
        <v>One-Euro</v>
      </c>
      <c r="F126" s="543" t="n">
        <f>Records!K126</f>
        <v>5</v>
      </c>
      <c r="G126" s="543" t="n">
        <f>Records!R126</f>
        <v>5</v>
      </c>
      <c r="H126" s="543" t="n">
        <f>Records!L126</f>
        <v>6</v>
      </c>
      <c r="I126" s="543" t="n">
        <f>Records!M126</f>
        <v>5</v>
      </c>
      <c r="J126" s="543" t="n">
        <f>Records!Q126</f>
        <v>4</v>
      </c>
      <c r="K126" s="543" t="n">
        <f>Records!W126</f>
        <v>4</v>
      </c>
      <c r="L126" s="543" t="n">
        <f>Records!X126</f>
        <v>6</v>
      </c>
      <c r="M126" s="543" t="n">
        <f>IF(COUNT(Records!S126:U126)=0,"",AVERAGE(Records!S126:U126))</f>
        <v>4.666666666666667</v>
      </c>
      <c r="N126" s="543" t="n">
        <f>IF(COUNT(Records!O126,Records!P126,Records!V126)=0,"",AVERAGE(Records!O126,Records!P126,Records!V126))</f>
        <v>5</v>
      </c>
      <c r="O126" s="523" t="str">
        <f>Records!AD126</f>
        <v>是</v>
      </c>
      <c r="P126" s="544" t="n">
        <f>126</f>
        <v>126</v>
      </c>
      <c r="Q126" s="523"/>
      <c r="R126" s="523"/>
      <c r="S126" s="523"/>
      <c r="T126" s="523"/>
      <c r="U126" s="523"/>
      <c r="V126" s="523"/>
    </row>
    <row r="127">
      <c r="A127" s="523" t="str">
        <f>Records!A127</f>
        <v>P021</v>
      </c>
      <c r="B127" s="523" t="n">
        <f>Records!B127</f>
        <v>3</v>
      </c>
      <c r="C127" s="523" t="str">
        <f>Records!E127</f>
        <v>固定订书机</v>
      </c>
      <c r="D127" s="523" t="str">
        <f>Records!G127</f>
        <v>方法B</v>
      </c>
      <c r="E127" s="523" t="str">
        <f>Records!H127</f>
        <v>One-Euro</v>
      </c>
      <c r="F127" s="543" t="n">
        <f>Records!K127</f>
        <v>4</v>
      </c>
      <c r="G127" s="543" t="n">
        <f>Records!R127</f>
        <v>6</v>
      </c>
      <c r="H127" s="543" t="n">
        <f>Records!L127</f>
        <v>5</v>
      </c>
      <c r="I127" s="543" t="n">
        <f>Records!M127</f>
        <v>5</v>
      </c>
      <c r="J127" s="543" t="n">
        <f>Records!Q127</f>
        <v>5</v>
      </c>
      <c r="K127" s="543" t="n">
        <f>Records!W127</f>
        <v>3</v>
      </c>
      <c r="L127" s="543" t="n">
        <f>Records!X127</f>
        <v>5</v>
      </c>
      <c r="M127" s="543" t="n">
        <f>IF(COUNT(Records!S127:U127)=0,"",AVERAGE(Records!S127:U127))</f>
        <v>5</v>
      </c>
      <c r="N127" s="543" t="n">
        <f>IF(COUNT(Records!O127,Records!P127,Records!V127)=0,"",AVERAGE(Records!O127,Records!P127,Records!V127))</f>
        <v>5.333333333333333</v>
      </c>
      <c r="O127" s="523" t="str">
        <f>Records!AD127</f>
        <v>是</v>
      </c>
      <c r="P127" s="544" t="n">
        <f>127</f>
        <v>127</v>
      </c>
      <c r="Q127" s="523"/>
      <c r="R127" s="523"/>
      <c r="S127" s="523"/>
      <c r="T127" s="523"/>
      <c r="U127" s="523"/>
      <c r="V127" s="523"/>
    </row>
    <row r="128">
      <c r="A128" s="523" t="str">
        <f>Records!A128</f>
        <v>P021</v>
      </c>
      <c r="B128" s="523" t="n">
        <f>Records!B128</f>
        <v>4</v>
      </c>
      <c r="C128" s="523" t="str">
        <f>Records!E128</f>
        <v>固定订书机</v>
      </c>
      <c r="D128" s="523" t="str">
        <f>Records!G128</f>
        <v>方法A</v>
      </c>
      <c r="E128" s="523" t="str">
        <f>Records!H128</f>
        <v>EgoAnchor</v>
      </c>
      <c r="F128" s="543" t="n">
        <f>Records!K128</f>
        <v>7</v>
      </c>
      <c r="G128" s="543" t="n">
        <f>Records!R128</f>
        <v>7</v>
      </c>
      <c r="H128" s="543" t="n">
        <f>Records!L128</f>
        <v>5</v>
      </c>
      <c r="I128" s="543" t="n">
        <f>Records!M128</f>
        <v>5</v>
      </c>
      <c r="J128" s="543" t="n">
        <f>Records!Q128</f>
        <v>5</v>
      </c>
      <c r="K128" s="543" t="n">
        <f>Records!W128</f>
        <v>6</v>
      </c>
      <c r="L128" s="543" t="n">
        <f>Records!X128</f>
        <v>5</v>
      </c>
      <c r="M128" s="543" t="n">
        <f>IF(COUNT(Records!S128:U128)=0,"",AVERAGE(Records!S128:U128))</f>
        <v>6</v>
      </c>
      <c r="N128" s="543" t="n">
        <f>IF(COUNT(Records!O128,Records!P128,Records!V128)=0,"",AVERAGE(Records!O128,Records!P128,Records!V128))</f>
        <v>5.333333333333333</v>
      </c>
      <c r="O128" s="523" t="str">
        <f>Records!AD128</f>
        <v>是</v>
      </c>
      <c r="P128" s="544" t="n">
        <f>128</f>
        <v>128</v>
      </c>
      <c r="Q128" s="523"/>
      <c r="R128" s="523"/>
      <c r="S128" s="523"/>
      <c r="T128" s="523"/>
      <c r="U128" s="523"/>
      <c r="V128" s="523"/>
    </row>
    <row r="129">
      <c r="A129" s="523" t="str">
        <f>Records!A129</f>
        <v>P021</v>
      </c>
      <c r="B129" s="523" t="n">
        <f>Records!B129</f>
        <v>5</v>
      </c>
      <c r="C129" s="523" t="str">
        <f>Records!E129</f>
        <v>鼠标</v>
      </c>
      <c r="D129" s="523" t="str">
        <f>Records!G129</f>
        <v>方法A</v>
      </c>
      <c r="E129" s="523" t="str">
        <f>Records!H129</f>
        <v>EgoAnchor</v>
      </c>
      <c r="F129" s="543" t="n">
        <f>Records!K129</f>
        <v>7</v>
      </c>
      <c r="G129" s="543" t="n">
        <f>Records!R129</f>
        <v>5</v>
      </c>
      <c r="H129" s="543" t="n">
        <f>Records!L129</f>
        <v>5</v>
      </c>
      <c r="I129" s="543" t="n">
        <f>Records!M129</f>
        <v>5</v>
      </c>
      <c r="J129" s="543" t="n">
        <f>Records!Q129</f>
        <v>6</v>
      </c>
      <c r="K129" s="543" t="n">
        <f>Records!W129</f>
        <v>6</v>
      </c>
      <c r="L129" s="543" t="n">
        <f>Records!X129</f>
        <v>7</v>
      </c>
      <c r="M129" s="543" t="n">
        <f>IF(COUNT(Records!S129:U129)=0,"",AVERAGE(Records!S129:U129))</f>
        <v>5.666666666666667</v>
      </c>
      <c r="N129" s="543" t="n">
        <f>IF(COUNT(Records!O129,Records!P129,Records!V129)=0,"",AVERAGE(Records!O129,Records!P129,Records!V129))</f>
        <v>5.666666666666667</v>
      </c>
      <c r="O129" s="523" t="str">
        <f>Records!AD129</f>
        <v>是</v>
      </c>
      <c r="P129" s="544" t="n">
        <f>129</f>
        <v>129</v>
      </c>
      <c r="Q129" s="523"/>
      <c r="R129" s="523"/>
      <c r="S129" s="523"/>
      <c r="T129" s="523"/>
      <c r="U129" s="523"/>
      <c r="V129" s="523"/>
    </row>
    <row r="130">
      <c r="A130" s="523" t="str">
        <f>Records!A130</f>
        <v>P021</v>
      </c>
      <c r="B130" s="523" t="n">
        <f>Records!B130</f>
        <v>6</v>
      </c>
      <c r="C130" s="523" t="str">
        <f>Records!E130</f>
        <v>鼠标</v>
      </c>
      <c r="D130" s="523" t="str">
        <f>Records!G130</f>
        <v>方法B</v>
      </c>
      <c r="E130" s="523" t="str">
        <f>Records!H130</f>
        <v>One-Euro</v>
      </c>
      <c r="F130" s="543" t="n">
        <f>Records!K130</f>
        <v>5</v>
      </c>
      <c r="G130" s="543" t="n">
        <f>Records!R130</f>
        <v>5</v>
      </c>
      <c r="H130" s="543" t="n">
        <f>Records!L130</f>
        <v>5</v>
      </c>
      <c r="I130" s="543" t="n">
        <f>Records!M130</f>
        <v>6</v>
      </c>
      <c r="J130" s="543" t="n">
        <f>Records!Q130</f>
        <v>4</v>
      </c>
      <c r="K130" s="543" t="n">
        <f>Records!W130</f>
        <v>5</v>
      </c>
      <c r="L130" s="543" t="n">
        <f>Records!X130</f>
        <v>5</v>
      </c>
      <c r="M130" s="543" t="n">
        <f>IF(COUNT(Records!S130:U130)=0,"",AVERAGE(Records!S130:U130))</f>
        <v>4.666666666666667</v>
      </c>
      <c r="N130" s="543" t="n">
        <f>IF(COUNT(Records!O130,Records!P130,Records!V130)=0,"",AVERAGE(Records!O130,Records!P130,Records!V130))</f>
        <v>4.666666666666667</v>
      </c>
      <c r="O130" s="523" t="str">
        <f>Records!AD130</f>
        <v>是</v>
      </c>
      <c r="P130" s="544" t="n">
        <f>130</f>
        <v>130</v>
      </c>
      <c r="Q130" s="523"/>
      <c r="R130" s="523"/>
      <c r="S130" s="523"/>
      <c r="T130" s="523"/>
      <c r="U130" s="523"/>
      <c r="V130" s="523"/>
    </row>
    <row r="131">
      <c r="A131" s="523" t="str">
        <f>Records!A131</f>
        <v>P022</v>
      </c>
      <c r="B131" s="523" t="n">
        <f>Records!B131</f>
        <v>1</v>
      </c>
      <c r="C131" s="523" t="str">
        <f>Records!E131</f>
        <v>游戏手柄</v>
      </c>
      <c r="D131" s="523" t="str">
        <f>Records!G131</f>
        <v>方法B</v>
      </c>
      <c r="E131" s="523" t="str">
        <f>Records!H131</f>
        <v>One-Euro</v>
      </c>
      <c r="F131" s="543" t="n">
        <f>Records!K131</f>
        <v>5</v>
      </c>
      <c r="G131" s="543" t="n">
        <f>Records!R131</f>
        <v>5</v>
      </c>
      <c r="H131" s="543" t="n">
        <f>Records!L131</f>
        <v>5</v>
      </c>
      <c r="I131" s="543" t="n">
        <f>Records!M131</f>
        <v>5</v>
      </c>
      <c r="J131" s="543" t="n">
        <f>Records!Q131</f>
        <v>3</v>
      </c>
      <c r="K131" s="543" t="n">
        <f>Records!W131</f>
        <v>4</v>
      </c>
      <c r="L131" s="543" t="n">
        <f>Records!X131</f>
        <v>4</v>
      </c>
      <c r="M131" s="543" t="n">
        <f>IF(COUNT(Records!S131:U131)=0,"",AVERAGE(Records!S131:U131))</f>
        <v>4.666666666666667</v>
      </c>
      <c r="N131" s="543" t="n">
        <f>IF(COUNT(Records!O131,Records!P131,Records!V131)=0,"",AVERAGE(Records!O131,Records!P131,Records!V131))</f>
        <v>4.333333333333333</v>
      </c>
      <c r="O131" s="523" t="str">
        <f>Records!AD131</f>
        <v>是</v>
      </c>
      <c r="P131" s="544" t="n">
        <f>131</f>
        <v>131</v>
      </c>
      <c r="Q131" s="523"/>
      <c r="R131" s="523"/>
      <c r="S131" s="523"/>
      <c r="T131" s="523"/>
      <c r="U131" s="523"/>
      <c r="V131" s="523"/>
    </row>
    <row r="132">
      <c r="A132" s="523" t="str">
        <f>Records!A132</f>
        <v>P022</v>
      </c>
      <c r="B132" s="523" t="n">
        <f>Records!B132</f>
        <v>2</v>
      </c>
      <c r="C132" s="523" t="str">
        <f>Records!E132</f>
        <v>游戏手柄</v>
      </c>
      <c r="D132" s="523" t="str">
        <f>Records!G132</f>
        <v>方法A</v>
      </c>
      <c r="E132" s="523" t="str">
        <f>Records!H132</f>
        <v>EgoAnchor</v>
      </c>
      <c r="F132" s="543" t="n">
        <f>Records!K132</f>
        <v>6</v>
      </c>
      <c r="G132" s="543" t="n">
        <f>Records!R132</f>
        <v>7</v>
      </c>
      <c r="H132" s="543" t="n">
        <f>Records!L132</f>
        <v>6</v>
      </c>
      <c r="I132" s="543" t="n">
        <f>Records!M132</f>
        <v>6</v>
      </c>
      <c r="J132" s="543" t="n">
        <f>Records!Q132</f>
        <v>6</v>
      </c>
      <c r="K132" s="543" t="n">
        <f>Records!W132</f>
        <v>5</v>
      </c>
      <c r="L132" s="543" t="n">
        <f>Records!X132</f>
        <v>6</v>
      </c>
      <c r="M132" s="543" t="n">
        <f>IF(COUNT(Records!S132:U132)=0,"",AVERAGE(Records!S132:U132))</f>
        <v>5.333333333333333</v>
      </c>
      <c r="N132" s="543" t="n">
        <f>IF(COUNT(Records!O132,Records!P132,Records!V132)=0,"",AVERAGE(Records!O132,Records!P132,Records!V132))</f>
        <v>6</v>
      </c>
      <c r="O132" s="523" t="str">
        <f>Records!AD132</f>
        <v>是</v>
      </c>
      <c r="P132" s="544" t="n">
        <f>132</f>
        <v>132</v>
      </c>
      <c r="Q132" s="523"/>
      <c r="R132" s="523"/>
      <c r="S132" s="523"/>
      <c r="T132" s="523"/>
      <c r="U132" s="523"/>
      <c r="V132" s="523"/>
    </row>
    <row r="133">
      <c r="A133" s="523" t="str">
        <f>Records!A133</f>
        <v>P022</v>
      </c>
      <c r="B133" s="523" t="n">
        <f>Records!B133</f>
        <v>3</v>
      </c>
      <c r="C133" s="523" t="str">
        <f>Records!E133</f>
        <v>固定订书机</v>
      </c>
      <c r="D133" s="523" t="str">
        <f>Records!G133</f>
        <v>方法A</v>
      </c>
      <c r="E133" s="523" t="str">
        <f>Records!H133</f>
        <v>EgoAnchor</v>
      </c>
      <c r="F133" s="543" t="n">
        <f>Records!K133</f>
        <v>6</v>
      </c>
      <c r="G133" s="543" t="n">
        <f>Records!R133</f>
        <v>7</v>
      </c>
      <c r="H133" s="543" t="n">
        <f>Records!L133</f>
        <v>6</v>
      </c>
      <c r="I133" s="543" t="n">
        <f>Records!M133</f>
        <v>6</v>
      </c>
      <c r="J133" s="543" t="n">
        <f>Records!Q133</f>
        <v>5</v>
      </c>
      <c r="K133" s="543" t="n">
        <f>Records!W133</f>
        <v>5</v>
      </c>
      <c r="L133" s="543" t="n">
        <f>Records!X133</f>
        <v>6</v>
      </c>
      <c r="M133" s="543" t="n">
        <f>IF(COUNT(Records!S133:U133)=0,"",AVERAGE(Records!S133:U133))</f>
        <v>5.666666666666667</v>
      </c>
      <c r="N133" s="543" t="n">
        <f>IF(COUNT(Records!O133,Records!P133,Records!V133)=0,"",AVERAGE(Records!O133,Records!P133,Records!V133))</f>
        <v>5.333333333333333</v>
      </c>
      <c r="O133" s="523" t="str">
        <f>Records!AD133</f>
        <v>是</v>
      </c>
      <c r="P133" s="544" t="n">
        <f>133</f>
        <v>133</v>
      </c>
      <c r="Q133" s="523"/>
      <c r="R133" s="523"/>
      <c r="S133" s="523"/>
      <c r="T133" s="523"/>
      <c r="U133" s="523"/>
      <c r="V133" s="523"/>
    </row>
    <row r="134">
      <c r="A134" s="523" t="str">
        <f>Records!A134</f>
        <v>P022</v>
      </c>
      <c r="B134" s="523" t="n">
        <f>Records!B134</f>
        <v>4</v>
      </c>
      <c r="C134" s="523" t="str">
        <f>Records!E134</f>
        <v>固定订书机</v>
      </c>
      <c r="D134" s="523" t="str">
        <f>Records!G134</f>
        <v>方法B</v>
      </c>
      <c r="E134" s="523" t="str">
        <f>Records!H134</f>
        <v>One-Euro</v>
      </c>
      <c r="F134" s="543" t="n">
        <f>Records!K134</f>
        <v>4</v>
      </c>
      <c r="G134" s="543" t="n">
        <f>Records!R134</f>
        <v>4</v>
      </c>
      <c r="H134" s="543" t="n">
        <f>Records!L134</f>
        <v>6</v>
      </c>
      <c r="I134" s="543" t="n">
        <f>Records!M134</f>
        <v>4</v>
      </c>
      <c r="J134" s="543" t="n">
        <f>Records!Q134</f>
        <v>5</v>
      </c>
      <c r="K134" s="543" t="n">
        <f>Records!W134</f>
        <v>5</v>
      </c>
      <c r="L134" s="543" t="n">
        <f>Records!X134</f>
        <v>5</v>
      </c>
      <c r="M134" s="543" t="n">
        <f>IF(COUNT(Records!S134:U134)=0,"",AVERAGE(Records!S134:U134))</f>
        <v>5.333333333333333</v>
      </c>
      <c r="N134" s="543" t="n">
        <f>IF(COUNT(Records!O134,Records!P134,Records!V134)=0,"",AVERAGE(Records!O134,Records!P134,Records!V134))</f>
        <v>5.666666666666667</v>
      </c>
      <c r="O134" s="523" t="str">
        <f>Records!AD134</f>
        <v>是</v>
      </c>
      <c r="P134" s="544" t="n">
        <f>134</f>
        <v>134</v>
      </c>
      <c r="Q134" s="523"/>
      <c r="R134" s="523"/>
      <c r="S134" s="523"/>
      <c r="T134" s="523"/>
      <c r="U134" s="523"/>
      <c r="V134" s="523"/>
    </row>
    <row r="135">
      <c r="A135" s="523" t="str">
        <f>Records!A135</f>
        <v>P022</v>
      </c>
      <c r="B135" s="523" t="n">
        <f>Records!B135</f>
        <v>5</v>
      </c>
      <c r="C135" s="523" t="str">
        <f>Records!E135</f>
        <v>鼠标</v>
      </c>
      <c r="D135" s="523" t="str">
        <f>Records!G135</f>
        <v>方法B</v>
      </c>
      <c r="E135" s="523" t="str">
        <f>Records!H135</f>
        <v>One-Euro</v>
      </c>
      <c r="F135" s="543" t="n">
        <f>Records!K135</f>
        <v>4</v>
      </c>
      <c r="G135" s="543" t="n">
        <f>Records!R135</f>
        <v>5</v>
      </c>
      <c r="H135" s="543" t="n">
        <f>Records!L135</f>
        <v>6</v>
      </c>
      <c r="I135" s="543" t="n">
        <f>Records!M135</f>
        <v>5</v>
      </c>
      <c r="J135" s="543" t="n">
        <f>Records!Q135</f>
        <v>4</v>
      </c>
      <c r="K135" s="543" t="n">
        <f>Records!W135</f>
        <v>4</v>
      </c>
      <c r="L135" s="543" t="n">
        <f>Records!X135</f>
        <v>4</v>
      </c>
      <c r="M135" s="543" t="n">
        <f>IF(COUNT(Records!S135:U135)=0,"",AVERAGE(Records!S135:U135))</f>
        <v>5.333333333333333</v>
      </c>
      <c r="N135" s="543" t="n">
        <f>IF(COUNT(Records!O135,Records!P135,Records!V135)=0,"",AVERAGE(Records!O135,Records!P135,Records!V135))</f>
        <v>5.333333333333333</v>
      </c>
      <c r="O135" s="523" t="str">
        <f>Records!AD135</f>
        <v>是</v>
      </c>
      <c r="P135" s="544" t="n">
        <f>135</f>
        <v>135</v>
      </c>
      <c r="Q135" s="523"/>
      <c r="R135" s="523"/>
      <c r="S135" s="523"/>
      <c r="T135" s="523"/>
      <c r="U135" s="523"/>
      <c r="V135" s="523"/>
    </row>
    <row r="136">
      <c r="A136" s="523" t="str">
        <f>Records!A136</f>
        <v>P022</v>
      </c>
      <c r="B136" s="523" t="n">
        <f>Records!B136</f>
        <v>6</v>
      </c>
      <c r="C136" s="523" t="str">
        <f>Records!E136</f>
        <v>鼠标</v>
      </c>
      <c r="D136" s="523" t="str">
        <f>Records!G136</f>
        <v>方法A</v>
      </c>
      <c r="E136" s="523" t="str">
        <f>Records!H136</f>
        <v>EgoAnchor</v>
      </c>
      <c r="F136" s="543" t="n">
        <f>Records!K136</f>
        <v>4</v>
      </c>
      <c r="G136" s="543" t="n">
        <f>Records!R136</f>
        <v>6</v>
      </c>
      <c r="H136" s="543" t="n">
        <f>Records!L136</f>
        <v>6</v>
      </c>
      <c r="I136" s="543" t="n">
        <f>Records!M136</f>
        <v>5</v>
      </c>
      <c r="J136" s="543" t="n">
        <f>Records!Q136</f>
        <v>4</v>
      </c>
      <c r="K136" s="543" t="n">
        <f>Records!W136</f>
        <v>5</v>
      </c>
      <c r="L136" s="543" t="n">
        <f>Records!X136</f>
        <v>5</v>
      </c>
      <c r="M136" s="543" t="n">
        <f>IF(COUNT(Records!S136:U136)=0,"",AVERAGE(Records!S136:U136))</f>
        <v>5.666666666666667</v>
      </c>
      <c r="N136" s="543" t="n">
        <f>IF(COUNT(Records!O136,Records!P136,Records!V136)=0,"",AVERAGE(Records!O136,Records!P136,Records!V136))</f>
        <v>5.666666666666667</v>
      </c>
      <c r="O136" s="523" t="str">
        <f>Records!AD136</f>
        <v>是</v>
      </c>
      <c r="P136" s="544" t="n">
        <f>136</f>
        <v>136</v>
      </c>
      <c r="Q136" s="523"/>
      <c r="R136" s="523"/>
      <c r="S136" s="523"/>
      <c r="T136" s="523"/>
      <c r="U136" s="523"/>
      <c r="V136" s="523"/>
    </row>
    <row r="137">
      <c r="A137" s="523" t="str">
        <f>Records!A137</f>
        <v>P023</v>
      </c>
      <c r="B137" s="523" t="n">
        <f>Records!B137</f>
        <v>1</v>
      </c>
      <c r="C137" s="523" t="str">
        <f>Records!E137</f>
        <v>游戏手柄</v>
      </c>
      <c r="D137" s="523" t="str">
        <f>Records!G137</f>
        <v>方法B</v>
      </c>
      <c r="E137" s="523" t="str">
        <f>Records!H137</f>
        <v>EgoAnchor</v>
      </c>
      <c r="F137" s="543" t="n">
        <f>Records!K137</f>
        <v>6</v>
      </c>
      <c r="G137" s="543" t="n">
        <f>Records!R137</f>
        <v>6</v>
      </c>
      <c r="H137" s="543" t="n">
        <f>Records!L137</f>
        <v>4</v>
      </c>
      <c r="I137" s="543" t="n">
        <f>Records!M137</f>
        <v>6</v>
      </c>
      <c r="J137" s="543" t="n">
        <f>Records!Q137</f>
        <v>6</v>
      </c>
      <c r="K137" s="543" t="n">
        <f>Records!W137</f>
        <v>6</v>
      </c>
      <c r="L137" s="543" t="n">
        <f>Records!X137</f>
        <v>6</v>
      </c>
      <c r="M137" s="543" t="n">
        <f>IF(COUNT(Records!S137:U137)=0,"",AVERAGE(Records!S137:U137))</f>
        <v>5.333333333333333</v>
      </c>
      <c r="N137" s="543" t="n">
        <f>IF(COUNT(Records!O137,Records!P137,Records!V137)=0,"",AVERAGE(Records!O137,Records!P137,Records!V137))</f>
        <v>5.666666666666667</v>
      </c>
      <c r="O137" s="523" t="str">
        <f>Records!AD137</f>
        <v>是</v>
      </c>
      <c r="P137" s="544" t="n">
        <f>137</f>
        <v>137</v>
      </c>
      <c r="Q137" s="523"/>
      <c r="R137" s="523"/>
      <c r="S137" s="523"/>
      <c r="T137" s="523"/>
      <c r="U137" s="523"/>
      <c r="V137" s="523"/>
    </row>
    <row r="138">
      <c r="A138" s="523" t="str">
        <f>Records!A138</f>
        <v>P023</v>
      </c>
      <c r="B138" s="523" t="n">
        <f>Records!B138</f>
        <v>2</v>
      </c>
      <c r="C138" s="523" t="str">
        <f>Records!E138</f>
        <v>游戏手柄</v>
      </c>
      <c r="D138" s="523" t="str">
        <f>Records!G138</f>
        <v>方法A</v>
      </c>
      <c r="E138" s="523" t="str">
        <f>Records!H138</f>
        <v>One-Euro</v>
      </c>
      <c r="F138" s="543" t="n">
        <f>Records!K138</f>
        <v>4</v>
      </c>
      <c r="G138" s="543" t="n">
        <f>Records!R138</f>
        <v>5</v>
      </c>
      <c r="H138" s="543" t="n">
        <f>Records!L138</f>
        <v>6</v>
      </c>
      <c r="I138" s="543" t="n">
        <f>Records!M138</f>
        <v>7</v>
      </c>
      <c r="J138" s="543" t="n">
        <f>Records!Q138</f>
        <v>5</v>
      </c>
      <c r="K138" s="543" t="n">
        <f>Records!W138</f>
        <v>5</v>
      </c>
      <c r="L138" s="543" t="n">
        <f>Records!X138</f>
        <v>5</v>
      </c>
      <c r="M138" s="543" t="n">
        <f>IF(COUNT(Records!S138:U138)=0,"",AVERAGE(Records!S138:U138))</f>
        <v>5.333333333333333</v>
      </c>
      <c r="N138" s="543" t="n">
        <f>IF(COUNT(Records!O138,Records!P138,Records!V138)=0,"",AVERAGE(Records!O138,Records!P138,Records!V138))</f>
        <v>5</v>
      </c>
      <c r="O138" s="523" t="str">
        <f>Records!AD138</f>
        <v>是</v>
      </c>
      <c r="P138" s="544" t="n">
        <f>138</f>
        <v>138</v>
      </c>
      <c r="Q138" s="523"/>
      <c r="R138" s="523"/>
      <c r="S138" s="523"/>
      <c r="T138" s="523"/>
      <c r="U138" s="523"/>
      <c r="V138" s="523"/>
    </row>
    <row r="139">
      <c r="A139" s="523" t="str">
        <f>Records!A139</f>
        <v>P023</v>
      </c>
      <c r="B139" s="523" t="n">
        <f>Records!B139</f>
        <v>3</v>
      </c>
      <c r="C139" s="523" t="str">
        <f>Records!E139</f>
        <v>固定订书机</v>
      </c>
      <c r="D139" s="523" t="str">
        <f>Records!G139</f>
        <v>方法A</v>
      </c>
      <c r="E139" s="523" t="str">
        <f>Records!H139</f>
        <v>One-Euro</v>
      </c>
      <c r="F139" s="543" t="n">
        <f>Records!K139</f>
        <v>4</v>
      </c>
      <c r="G139" s="543" t="n">
        <f>Records!R139</f>
        <v>4</v>
      </c>
      <c r="H139" s="543" t="n">
        <f>Records!L139</f>
        <v>6</v>
      </c>
      <c r="I139" s="543" t="n">
        <f>Records!M139</f>
        <v>7</v>
      </c>
      <c r="J139" s="543" t="n">
        <f>Records!Q139</f>
        <v>3</v>
      </c>
      <c r="K139" s="543" t="n">
        <f>Records!W139</f>
        <v>4</v>
      </c>
      <c r="L139" s="543" t="n">
        <f>Records!X139</f>
        <v>3</v>
      </c>
      <c r="M139" s="543" t="n">
        <f>IF(COUNT(Records!S139:U139)=0,"",AVERAGE(Records!S139:U139))</f>
        <v>4</v>
      </c>
      <c r="N139" s="543" t="n">
        <f>IF(COUNT(Records!O139,Records!P139,Records!V139)=0,"",AVERAGE(Records!O139,Records!P139,Records!V139))</f>
        <v>4.333333333333333</v>
      </c>
      <c r="O139" s="523" t="str">
        <f>Records!AD139</f>
        <v>是</v>
      </c>
      <c r="P139" s="544" t="n">
        <f>139</f>
        <v>139</v>
      </c>
      <c r="Q139" s="523"/>
      <c r="R139" s="523"/>
      <c r="S139" s="523"/>
      <c r="T139" s="523"/>
      <c r="U139" s="523"/>
      <c r="V139" s="523"/>
    </row>
    <row r="140">
      <c r="A140" s="523" t="str">
        <f>Records!A140</f>
        <v>P023</v>
      </c>
      <c r="B140" s="523" t="n">
        <f>Records!B140</f>
        <v>4</v>
      </c>
      <c r="C140" s="523" t="str">
        <f>Records!E140</f>
        <v>固定订书机</v>
      </c>
      <c r="D140" s="523" t="str">
        <f>Records!G140</f>
        <v>方法B</v>
      </c>
      <c r="E140" s="523" t="str">
        <f>Records!H140</f>
        <v>EgoAnchor</v>
      </c>
      <c r="F140" s="543" t="n">
        <f>Records!K140</f>
        <v>5</v>
      </c>
      <c r="G140" s="543" t="n">
        <f>Records!R140</f>
        <v>4</v>
      </c>
      <c r="H140" s="543" t="n">
        <f>Records!L140</f>
        <v>5</v>
      </c>
      <c r="I140" s="543" t="n">
        <f>Records!M140</f>
        <v>5</v>
      </c>
      <c r="J140" s="543" t="n">
        <f>Records!Q140</f>
        <v>5</v>
      </c>
      <c r="K140" s="543" t="n">
        <f>Records!W140</f>
        <v>3</v>
      </c>
      <c r="L140" s="543" t="n">
        <f>Records!X140</f>
        <v>5</v>
      </c>
      <c r="M140" s="543" t="n">
        <f>IF(COUNT(Records!S140:U140)=0,"",AVERAGE(Records!S140:U140))</f>
        <v>6.333333333333333</v>
      </c>
      <c r="N140" s="543" t="n">
        <f>IF(COUNT(Records!O140,Records!P140,Records!V140)=0,"",AVERAGE(Records!O140,Records!P140,Records!V140))</f>
        <v>6</v>
      </c>
      <c r="O140" s="523" t="str">
        <f>Records!AD140</f>
        <v>是</v>
      </c>
      <c r="P140" s="544" t="n">
        <f>140</f>
        <v>140</v>
      </c>
      <c r="Q140" s="523"/>
      <c r="R140" s="523"/>
      <c r="S140" s="523"/>
      <c r="T140" s="523"/>
      <c r="U140" s="523"/>
      <c r="V140" s="523"/>
    </row>
    <row r="141">
      <c r="A141" s="523" t="str">
        <f>Records!A141</f>
        <v>P023</v>
      </c>
      <c r="B141" s="523" t="n">
        <f>Records!B141</f>
        <v>5</v>
      </c>
      <c r="C141" s="523" t="str">
        <f>Records!E141</f>
        <v>鼠标</v>
      </c>
      <c r="D141" s="523" t="str">
        <f>Records!G141</f>
        <v>方法B</v>
      </c>
      <c r="E141" s="523" t="str">
        <f>Records!H141</f>
        <v>EgoAnchor</v>
      </c>
      <c r="F141" s="543" t="n">
        <f>Records!K141</f>
        <v>5</v>
      </c>
      <c r="G141" s="543" t="n">
        <f>Records!R141</f>
        <v>5</v>
      </c>
      <c r="H141" s="543" t="n">
        <f>Records!L141</f>
        <v>6</v>
      </c>
      <c r="I141" s="543" t="n">
        <f>Records!M141</f>
        <v>5</v>
      </c>
      <c r="J141" s="543" t="n">
        <f>Records!Q141</f>
        <v>6</v>
      </c>
      <c r="K141" s="543" t="n">
        <f>Records!W141</f>
        <v>4</v>
      </c>
      <c r="L141" s="543" t="n">
        <f>Records!X141</f>
        <v>5</v>
      </c>
      <c r="M141" s="543" t="n">
        <f>IF(COUNT(Records!S141:U141)=0,"",AVERAGE(Records!S141:U141))</f>
        <v>6</v>
      </c>
      <c r="N141" s="543" t="n">
        <f>IF(COUNT(Records!O141,Records!P141,Records!V141)=0,"",AVERAGE(Records!O141,Records!P141,Records!V141))</f>
        <v>4.333333333333333</v>
      </c>
      <c r="O141" s="523" t="str">
        <f>Records!AD141</f>
        <v>是</v>
      </c>
      <c r="P141" s="544" t="n">
        <f>141</f>
        <v>141</v>
      </c>
      <c r="Q141" s="523"/>
      <c r="R141" s="523"/>
      <c r="S141" s="523"/>
      <c r="T141" s="523"/>
      <c r="U141" s="523"/>
      <c r="V141" s="523"/>
    </row>
    <row r="142">
      <c r="A142" s="523" t="str">
        <f>Records!A142</f>
        <v>P023</v>
      </c>
      <c r="B142" s="523" t="n">
        <f>Records!B142</f>
        <v>6</v>
      </c>
      <c r="C142" s="523" t="str">
        <f>Records!E142</f>
        <v>鼠标</v>
      </c>
      <c r="D142" s="523" t="str">
        <f>Records!G142</f>
        <v>方法A</v>
      </c>
      <c r="E142" s="523" t="str">
        <f>Records!H142</f>
        <v>One-Euro</v>
      </c>
      <c r="F142" s="543" t="n">
        <f>Records!K142</f>
        <v>4</v>
      </c>
      <c r="G142" s="543" t="n">
        <f>Records!R142</f>
        <v>5</v>
      </c>
      <c r="H142" s="543" t="n">
        <f>Records!L142</f>
        <v>6</v>
      </c>
      <c r="I142" s="543" t="n">
        <f>Records!M142</f>
        <v>6</v>
      </c>
      <c r="J142" s="543" t="n">
        <f>Records!Q142</f>
        <v>4</v>
      </c>
      <c r="K142" s="543" t="n">
        <f>Records!W142</f>
        <v>3</v>
      </c>
      <c r="L142" s="543" t="n">
        <f>Records!X142</f>
        <v>5</v>
      </c>
      <c r="M142" s="543" t="n">
        <f>IF(COUNT(Records!S142:U142)=0,"",AVERAGE(Records!S142:U142))</f>
        <v>5</v>
      </c>
      <c r="N142" s="543" t="n">
        <f>IF(COUNT(Records!O142,Records!P142,Records!V142)=0,"",AVERAGE(Records!O142,Records!P142,Records!V142))</f>
        <v>5.333333333333333</v>
      </c>
      <c r="O142" s="523" t="str">
        <f>Records!AD142</f>
        <v>是</v>
      </c>
      <c r="P142" s="544" t="n">
        <f>142</f>
        <v>142</v>
      </c>
      <c r="Q142" s="523"/>
      <c r="R142" s="523"/>
      <c r="S142" s="523"/>
      <c r="T142" s="523"/>
      <c r="U142" s="523"/>
      <c r="V142" s="523"/>
    </row>
    <row r="143">
      <c r="A143" s="523" t="str">
        <f>Records!A143</f>
        <v>P024</v>
      </c>
      <c r="B143" s="523" t="n">
        <f>Records!B143</f>
        <v>1</v>
      </c>
      <c r="C143" s="523" t="str">
        <f>Records!E143</f>
        <v>游戏手柄</v>
      </c>
      <c r="D143" s="523" t="str">
        <f>Records!G143</f>
        <v>方法A</v>
      </c>
      <c r="E143" s="523" t="str">
        <f>Records!H143</f>
        <v>One-Euro</v>
      </c>
      <c r="F143" s="543" t="n">
        <f>Records!K143</f>
        <v>5</v>
      </c>
      <c r="G143" s="543" t="n">
        <f>Records!R143</f>
        <v>5</v>
      </c>
      <c r="H143" s="543" t="n">
        <f>Records!L143</f>
        <v>5</v>
      </c>
      <c r="I143" s="543" t="n">
        <f>Records!M143</f>
        <v>4</v>
      </c>
      <c r="J143" s="543" t="n">
        <f>Records!Q143</f>
        <v>5</v>
      </c>
      <c r="K143" s="543" t="n">
        <f>Records!W143</f>
        <v>4</v>
      </c>
      <c r="L143" s="543" t="n">
        <f>Records!X143</f>
        <v>4</v>
      </c>
      <c r="M143" s="543" t="n">
        <f>IF(COUNT(Records!S143:U143)=0,"",AVERAGE(Records!S143:U143))</f>
        <v>5.333333333333333</v>
      </c>
      <c r="N143" s="543" t="n">
        <f>IF(COUNT(Records!O143,Records!P143,Records!V143)=0,"",AVERAGE(Records!O143,Records!P143,Records!V143))</f>
        <v>5.666666666666667</v>
      </c>
      <c r="O143" s="523" t="str">
        <f>Records!AD143</f>
        <v>是</v>
      </c>
      <c r="P143" s="544" t="n">
        <f>143</f>
        <v>143</v>
      </c>
      <c r="Q143" s="523"/>
      <c r="R143" s="523"/>
      <c r="S143" s="523"/>
      <c r="T143" s="523"/>
      <c r="U143" s="523"/>
      <c r="V143" s="523"/>
    </row>
    <row r="144">
      <c r="A144" s="523" t="str">
        <f>Records!A144</f>
        <v>P024</v>
      </c>
      <c r="B144" s="523" t="n">
        <f>Records!B144</f>
        <v>2</v>
      </c>
      <c r="C144" s="523" t="str">
        <f>Records!E144</f>
        <v>游戏手柄</v>
      </c>
      <c r="D144" s="523" t="str">
        <f>Records!G144</f>
        <v>方法B</v>
      </c>
      <c r="E144" s="523" t="str">
        <f>Records!H144</f>
        <v>EgoAnchor</v>
      </c>
      <c r="F144" s="543" t="n">
        <f>Records!K144</f>
        <v>7</v>
      </c>
      <c r="G144" s="543" t="n">
        <f>Records!R144</f>
        <v>6</v>
      </c>
      <c r="H144" s="543" t="n">
        <f>Records!L144</f>
        <v>5</v>
      </c>
      <c r="I144" s="543" t="n">
        <f>Records!M144</f>
        <v>6</v>
      </c>
      <c r="J144" s="543" t="n">
        <f>Records!Q144</f>
        <v>5</v>
      </c>
      <c r="K144" s="543" t="n">
        <f>Records!W144</f>
        <v>6</v>
      </c>
      <c r="L144" s="543" t="n">
        <f>Records!X144</f>
        <v>6</v>
      </c>
      <c r="M144" s="543" t="n">
        <f>IF(COUNT(Records!S144:U144)=0,"",AVERAGE(Records!S144:U144))</f>
        <v>5.333333333333333</v>
      </c>
      <c r="N144" s="543" t="n">
        <f>IF(COUNT(Records!O144,Records!P144,Records!V144)=0,"",AVERAGE(Records!O144,Records!P144,Records!V144))</f>
        <v>5</v>
      </c>
      <c r="O144" s="523" t="str">
        <f>Records!AD144</f>
        <v>是</v>
      </c>
      <c r="P144" s="544" t="n">
        <f>144</f>
        <v>144</v>
      </c>
      <c r="Q144" s="523"/>
      <c r="R144" s="523"/>
      <c r="S144" s="523"/>
      <c r="T144" s="523"/>
      <c r="U144" s="523"/>
      <c r="V144" s="523"/>
    </row>
    <row r="145">
      <c r="A145" s="523" t="str">
        <f>Records!A145</f>
        <v>P024</v>
      </c>
      <c r="B145" s="523" t="n">
        <f>Records!B145</f>
        <v>3</v>
      </c>
      <c r="C145" s="523" t="str">
        <f>Records!E145</f>
        <v>固定订书机</v>
      </c>
      <c r="D145" s="523" t="str">
        <f>Records!G145</f>
        <v>方法B</v>
      </c>
      <c r="E145" s="523" t="str">
        <f>Records!H145</f>
        <v>EgoAnchor</v>
      </c>
      <c r="F145" s="543" t="n">
        <f>Records!K145</f>
        <v>6</v>
      </c>
      <c r="G145" s="543" t="n">
        <f>Records!R145</f>
        <v>7</v>
      </c>
      <c r="H145" s="543" t="n">
        <f>Records!L145</f>
        <v>5</v>
      </c>
      <c r="I145" s="543" t="n">
        <f>Records!M145</f>
        <v>6</v>
      </c>
      <c r="J145" s="543" t="n">
        <f>Records!Q145</f>
        <v>6</v>
      </c>
      <c r="K145" s="543" t="n">
        <f>Records!W145</f>
        <v>6</v>
      </c>
      <c r="L145" s="543" t="n">
        <f>Records!X145</f>
        <v>7</v>
      </c>
      <c r="M145" s="543" t="n">
        <f>IF(COUNT(Records!S145:U145)=0,"",AVERAGE(Records!S145:U145))</f>
        <v>5.333333333333333</v>
      </c>
      <c r="N145" s="543" t="n">
        <f>IF(COUNT(Records!O145,Records!P145,Records!V145)=0,"",AVERAGE(Records!O145,Records!P145,Records!V145))</f>
        <v>5.666666666666667</v>
      </c>
      <c r="O145" s="523" t="str">
        <f>Records!AD145</f>
        <v>是</v>
      </c>
      <c r="P145" s="544" t="n">
        <f>145</f>
        <v>145</v>
      </c>
      <c r="Q145" s="523"/>
      <c r="R145" s="523"/>
      <c r="S145" s="523"/>
      <c r="T145" s="523"/>
      <c r="U145" s="523"/>
      <c r="V145" s="523"/>
    </row>
    <row r="146">
      <c r="A146" s="523" t="str">
        <f>Records!A146</f>
        <v>P024</v>
      </c>
      <c r="B146" s="523" t="n">
        <f>Records!B146</f>
        <v>4</v>
      </c>
      <c r="C146" s="523" t="str">
        <f>Records!E146</f>
        <v>固定订书机</v>
      </c>
      <c r="D146" s="523" t="str">
        <f>Records!G146</f>
        <v>方法A</v>
      </c>
      <c r="E146" s="523" t="str">
        <f>Records!H146</f>
        <v>One-Euro</v>
      </c>
      <c r="F146" s="543" t="n">
        <f>Records!K146</f>
        <v>4</v>
      </c>
      <c r="G146" s="543" t="n">
        <f>Records!R146</f>
        <v>5</v>
      </c>
      <c r="H146" s="543" t="n">
        <f>Records!L146</f>
        <v>5</v>
      </c>
      <c r="I146" s="543" t="n">
        <f>Records!M146</f>
        <v>6</v>
      </c>
      <c r="J146" s="543" t="n">
        <f>Records!Q146</f>
        <v>5</v>
      </c>
      <c r="K146" s="543" t="n">
        <f>Records!W146</f>
        <v>4</v>
      </c>
      <c r="L146" s="543" t="n">
        <f>Records!X146</f>
        <v>6</v>
      </c>
      <c r="M146" s="543" t="n">
        <f>IF(COUNT(Records!S146:U146)=0,"",AVERAGE(Records!S146:U146))</f>
        <v>6</v>
      </c>
      <c r="N146" s="543" t="n">
        <f>IF(COUNT(Records!O146,Records!P146,Records!V146)=0,"",AVERAGE(Records!O146,Records!P146,Records!V146))</f>
        <v>4.333333333333333</v>
      </c>
      <c r="O146" s="523" t="str">
        <f>Records!AD146</f>
        <v>是</v>
      </c>
      <c r="P146" s="544" t="n">
        <f>146</f>
        <v>146</v>
      </c>
      <c r="Q146" s="523"/>
      <c r="R146" s="523"/>
      <c r="S146" s="523"/>
      <c r="T146" s="523"/>
      <c r="U146" s="523"/>
      <c r="V146" s="523"/>
    </row>
    <row r="147">
      <c r="A147" s="523" t="str">
        <f>Records!A147</f>
        <v>P024</v>
      </c>
      <c r="B147" s="523" t="n">
        <f>Records!B147</f>
        <v>5</v>
      </c>
      <c r="C147" s="523" t="str">
        <f>Records!E147</f>
        <v>鼠标</v>
      </c>
      <c r="D147" s="523" t="str">
        <f>Records!G147</f>
        <v>方法A</v>
      </c>
      <c r="E147" s="523" t="str">
        <f>Records!H147</f>
        <v>One-Euro</v>
      </c>
      <c r="F147" s="543" t="n">
        <f>Records!K147</f>
        <v>4</v>
      </c>
      <c r="G147" s="543" t="n">
        <f>Records!R147</f>
        <v>5</v>
      </c>
      <c r="H147" s="543" t="n">
        <f>Records!L147</f>
        <v>5</v>
      </c>
      <c r="I147" s="543" t="n">
        <f>Records!M147</f>
        <v>4</v>
      </c>
      <c r="J147" s="543" t="n">
        <f>Records!Q147</f>
        <v>4</v>
      </c>
      <c r="K147" s="543" t="n">
        <f>Records!W147</f>
        <v>5</v>
      </c>
      <c r="L147" s="543" t="n">
        <f>Records!X147</f>
        <v>5</v>
      </c>
      <c r="M147" s="543" t="n">
        <f>IF(COUNT(Records!S147:U147)=0,"",AVERAGE(Records!S147:U147))</f>
        <v>4.666666666666667</v>
      </c>
      <c r="N147" s="543" t="n">
        <f>IF(COUNT(Records!O147,Records!P147,Records!V147)=0,"",AVERAGE(Records!O147,Records!P147,Records!V147))</f>
        <v>4</v>
      </c>
      <c r="O147" s="523" t="str">
        <f>Records!AD147</f>
        <v>是</v>
      </c>
      <c r="P147" s="544" t="n">
        <f>147</f>
        <v>147</v>
      </c>
      <c r="Q147" s="523"/>
      <c r="R147" s="523"/>
      <c r="S147" s="523"/>
      <c r="T147" s="523"/>
      <c r="U147" s="523"/>
      <c r="V147" s="523"/>
    </row>
    <row r="148">
      <c r="A148" s="523" t="str">
        <f>Records!A148</f>
        <v>P024</v>
      </c>
      <c r="B148" s="523" t="n">
        <f>Records!B148</f>
        <v>6</v>
      </c>
      <c r="C148" s="523" t="str">
        <f>Records!E148</f>
        <v>鼠标</v>
      </c>
      <c r="D148" s="523" t="str">
        <f>Records!G148</f>
        <v>方法B</v>
      </c>
      <c r="E148" s="523" t="str">
        <f>Records!H148</f>
        <v>EgoAnchor</v>
      </c>
      <c r="F148" s="543" t="n">
        <f>Records!K148</f>
        <v>5</v>
      </c>
      <c r="G148" s="543" t="n">
        <f>Records!R148</f>
        <v>7</v>
      </c>
      <c r="H148" s="543" t="n">
        <f>Records!L148</f>
        <v>6</v>
      </c>
      <c r="I148" s="543" t="n">
        <f>Records!M148</f>
        <v>4</v>
      </c>
      <c r="J148" s="543" t="n">
        <f>Records!Q148</f>
        <v>5</v>
      </c>
      <c r="K148" s="543" t="n">
        <f>Records!W148</f>
        <v>6</v>
      </c>
      <c r="L148" s="543" t="n">
        <f>Records!X148</f>
        <v>6</v>
      </c>
      <c r="M148" s="543" t="n">
        <f>IF(COUNT(Records!S148:U148)=0,"",AVERAGE(Records!S148:U148))</f>
        <v>5.666666666666667</v>
      </c>
      <c r="N148" s="543" t="n">
        <f>IF(COUNT(Records!O148,Records!P148,Records!V148)=0,"",AVERAGE(Records!O148,Records!P148,Records!V148))</f>
        <v>5.333333333333333</v>
      </c>
      <c r="O148" s="523" t="str">
        <f>Records!AD148</f>
        <v>是</v>
      </c>
      <c r="P148" s="544" t="n">
        <f>148</f>
        <v>148</v>
      </c>
      <c r="Q148" s="523"/>
      <c r="R148" s="523"/>
      <c r="S148" s="523"/>
      <c r="T148" s="523"/>
      <c r="U148" s="523"/>
      <c r="V148" s="523"/>
    </row>
    <row r="149">
      <c r="A149" s="523"/>
      <c r="B149" s="523"/>
      <c r="C149" s="523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</row>
    <row r="150">
      <c r="A150" s="545" t="str">
        <v>方法级分量表（TiA 反向计分 + S-TIAS）</v>
      </c>
      <c r="B150" s="545"/>
      <c r="C150" s="545"/>
      <c r="D150" s="545"/>
      <c r="E150" s="545"/>
      <c r="F150" s="545"/>
      <c r="G150" s="545"/>
      <c r="H150" s="545"/>
      <c r="I150" s="545"/>
      <c r="J150" s="545"/>
      <c r="K150" s="545"/>
      <c r="L150" s="545"/>
      <c r="M150" s="545"/>
      <c r="N150" s="523"/>
      <c r="O150" s="523"/>
      <c r="P150" s="523"/>
      <c r="Q150" s="523"/>
      <c r="R150" s="523"/>
      <c r="S150" s="523"/>
      <c r="T150" s="523"/>
      <c r="U150" s="523"/>
      <c r="V150" s="523"/>
    </row>
    <row r="151">
      <c r="A151" s="542" t="str">
        <v>Participant_ID</v>
      </c>
      <c r="B151" s="542" t="str">
        <v>Rating_Order</v>
      </c>
      <c r="C151" s="542" t="str">
        <v>Shown_Label</v>
      </c>
      <c r="D151" s="542" t="str">
        <v>Condition</v>
      </c>
      <c r="E151" s="542" t="str">
        <v>RC3_rev</v>
      </c>
      <c r="F151" s="542" t="str">
        <v>RC5_rev</v>
      </c>
      <c r="G151" s="542" t="str">
        <v>UP2_rev</v>
      </c>
      <c r="H151" s="542" t="str">
        <v>UP4_rev</v>
      </c>
      <c r="I151" s="542" t="str">
        <v>TiA_RC_mean</v>
      </c>
      <c r="J151" s="542" t="str">
        <v>TiA_UP_mean</v>
      </c>
      <c r="K151" s="542" t="str">
        <v>S_TIAS_mean</v>
      </c>
      <c r="L151" s="542" t="str">
        <v>Duration_s</v>
      </c>
      <c r="M151" s="542" t="str">
        <v>Source_Row</v>
      </c>
      <c r="N151" s="523"/>
      <c r="O151" s="523"/>
      <c r="P151" s="523"/>
      <c r="Q151" s="523"/>
      <c r="R151" s="523"/>
      <c r="S151" s="523"/>
      <c r="T151" s="523"/>
      <c r="U151" s="523"/>
      <c r="V151" s="523"/>
    </row>
    <row r="152">
      <c r="A152" s="523" t="str">
        <f>Records!A152</f>
        <v>P001</v>
      </c>
      <c r="B152" s="523" t="n">
        <f>Records!B152</f>
        <v>1</v>
      </c>
      <c r="C152" s="523" t="str">
        <f>Records!C152</f>
        <v>方法A</v>
      </c>
      <c r="D152" s="523" t="str">
        <f>Records!D152</f>
        <v>EgoAnchor</v>
      </c>
      <c r="E152" s="543" t="n">
        <f>IF(Records!G152="","",6-Records!G152)</f>
        <v>5</v>
      </c>
      <c r="F152" s="543" t="n">
        <f>IF(Records!I152="","",6-Records!I152)</f>
        <v>5</v>
      </c>
      <c r="G152" s="543" t="n">
        <f>IF(Records!L152="","",6-Records!L152)</f>
        <v>4</v>
      </c>
      <c r="H152" s="543" t="n">
        <f>IF(Records!N152="","",6-Records!N152)</f>
        <v>5</v>
      </c>
      <c r="I152" s="543" t="n">
        <f>IF(COUNT(Records!E152:J152)&lt;6,"",AVERAGE(Records!E152,Records!F152,E152,Records!H152,F152,Records!J152))</f>
        <v>5</v>
      </c>
      <c r="J152" s="543" t="n">
        <f>IF(COUNT(Records!K152:N152)&lt;4,"",AVERAGE(Records!K152,G152,Records!M152,H152))</f>
        <v>4.5</v>
      </c>
      <c r="K152" s="543" t="n">
        <f>IF(COUNT(Records!O152:Q152)&lt;3,"",AVERAGE(Records!O152:Q152))</f>
        <v>6</v>
      </c>
      <c r="L152" s="543" t="n">
        <f>Records!U152</f>
        <v>121.7</v>
      </c>
      <c r="M152" s="523" t="n">
        <f>152</f>
        <v>152</v>
      </c>
      <c r="N152" s="523"/>
      <c r="O152" s="523"/>
      <c r="P152" s="523"/>
      <c r="Q152" s="523"/>
      <c r="R152" s="523"/>
      <c r="S152" s="523"/>
      <c r="T152" s="523"/>
      <c r="U152" s="523"/>
      <c r="V152" s="523"/>
    </row>
    <row r="153">
      <c r="A153" s="523" t="str">
        <f>Records!A153</f>
        <v>P001</v>
      </c>
      <c r="B153" s="523" t="n">
        <f>Records!B153</f>
        <v>2</v>
      </c>
      <c r="C153" s="523" t="str">
        <f>Records!C153</f>
        <v>方法B</v>
      </c>
      <c r="D153" s="523" t="str">
        <f>Records!D153</f>
        <v>One-Euro</v>
      </c>
      <c r="E153" s="543" t="n">
        <f>IF(Records!G153="","",6-Records!G153)</f>
        <v>3</v>
      </c>
      <c r="F153" s="543" t="n">
        <f>IF(Records!I153="","",6-Records!I153)</f>
        <v>3</v>
      </c>
      <c r="G153" s="543" t="n">
        <f>IF(Records!L153="","",6-Records!L153)</f>
        <v>3</v>
      </c>
      <c r="H153" s="543" t="n">
        <f>IF(Records!N153="","",6-Records!N153)</f>
        <v>3</v>
      </c>
      <c r="I153" s="543" t="n">
        <f>IF(COUNT(Records!E153:J153)&lt;6,"",AVERAGE(Records!E153,Records!F153,E153,Records!H153,F153,Records!J153))</f>
        <v>3.5</v>
      </c>
      <c r="J153" s="543" t="n">
        <f>IF(COUNT(Records!K153:N153)&lt;4,"",AVERAGE(Records!K153,G153,Records!M153,H153))</f>
        <v>3.25</v>
      </c>
      <c r="K153" s="543" t="n">
        <f>IF(COUNT(Records!O153:Q153)&lt;3,"",AVERAGE(Records!O153:Q153))</f>
        <v>4.333333333333333</v>
      </c>
      <c r="L153" s="543" t="n">
        <f>Records!U153</f>
        <v>139.8</v>
      </c>
      <c r="M153" s="523" t="n">
        <f>153</f>
        <v>153</v>
      </c>
      <c r="N153" s="523"/>
      <c r="O153" s="523"/>
      <c r="P153" s="523"/>
      <c r="Q153" s="523"/>
      <c r="R153" s="523"/>
      <c r="S153" s="523"/>
      <c r="T153" s="523"/>
      <c r="U153" s="523"/>
      <c r="V153" s="523"/>
    </row>
    <row r="154">
      <c r="A154" s="523" t="str">
        <f>Records!A154</f>
        <v>P002</v>
      </c>
      <c r="B154" s="523" t="n">
        <f>Records!B154</f>
        <v>1</v>
      </c>
      <c r="C154" s="523" t="str">
        <f>Records!C154</f>
        <v>方法B</v>
      </c>
      <c r="D154" s="523" t="str">
        <f>Records!D154</f>
        <v>One-Euro</v>
      </c>
      <c r="E154" s="543" t="n">
        <f>IF(Records!G154="","",6-Records!G154)</f>
        <v>5</v>
      </c>
      <c r="F154" s="543" t="n">
        <f>IF(Records!I154="","",6-Records!I154)</f>
        <v>5</v>
      </c>
      <c r="G154" s="543" t="n">
        <f>IF(Records!L154="","",6-Records!L154)</f>
        <v>4</v>
      </c>
      <c r="H154" s="543" t="n">
        <f>IF(Records!N154="","",6-Records!N154)</f>
        <v>4</v>
      </c>
      <c r="I154" s="543" t="n">
        <f>IF(COUNT(Records!E154:J154)&lt;6,"",AVERAGE(Records!E154,Records!F154,E154,Records!H154,F154,Records!J154))</f>
        <v>4.666666666666667</v>
      </c>
      <c r="J154" s="543" t="n">
        <f>IF(COUNT(Records!K154:N154)&lt;4,"",AVERAGE(Records!K154,G154,Records!M154,H154))</f>
        <v>4</v>
      </c>
      <c r="K154" s="543" t="n">
        <f>IF(COUNT(Records!O154:Q154)&lt;3,"",AVERAGE(Records!O154:Q154))</f>
        <v>5.666666666666667</v>
      </c>
      <c r="L154" s="543" t="n">
        <f>Records!U154</f>
        <v>130.2</v>
      </c>
      <c r="M154" s="523" t="n">
        <f>154</f>
        <v>154</v>
      </c>
      <c r="N154" s="523"/>
      <c r="O154" s="523"/>
      <c r="P154" s="523"/>
      <c r="Q154" s="523"/>
      <c r="R154" s="523"/>
      <c r="S154" s="523"/>
      <c r="T154" s="523"/>
      <c r="U154" s="523"/>
      <c r="V154" s="523"/>
    </row>
    <row r="155">
      <c r="A155" s="523" t="str">
        <f>Records!A155</f>
        <v>P002</v>
      </c>
      <c r="B155" s="523" t="n">
        <f>Records!B155</f>
        <v>2</v>
      </c>
      <c r="C155" s="523" t="str">
        <f>Records!C155</f>
        <v>方法A</v>
      </c>
      <c r="D155" s="523" t="str">
        <f>Records!D155</f>
        <v>EgoAnchor</v>
      </c>
      <c r="E155" s="543" t="n">
        <f>IF(Records!G155="","",6-Records!G155)</f>
        <v>5</v>
      </c>
      <c r="F155" s="543" t="n">
        <f>IF(Records!I155="","",6-Records!I155)</f>
        <v>5</v>
      </c>
      <c r="G155" s="543" t="n">
        <f>IF(Records!L155="","",6-Records!L155)</f>
        <v>5</v>
      </c>
      <c r="H155" s="543" t="n">
        <f>IF(Records!N155="","",6-Records!N155)</f>
        <v>5</v>
      </c>
      <c r="I155" s="543" t="n">
        <f>IF(COUNT(Records!E155:J155)&lt;6,"",AVERAGE(Records!E155,Records!F155,E155,Records!H155,F155,Records!J155))</f>
        <v>4.833333333333333</v>
      </c>
      <c r="J155" s="543" t="n">
        <f>IF(COUNT(Records!K155:N155)&lt;4,"",AVERAGE(Records!K155,G155,Records!M155,H155))</f>
        <v>4.75</v>
      </c>
      <c r="K155" s="543" t="n">
        <f>IF(COUNT(Records!O155:Q155)&lt;3,"",AVERAGE(Records!O155:Q155))</f>
        <v>6.666666666666667</v>
      </c>
      <c r="L155" s="543" t="n">
        <f>Records!U155</f>
        <v>136</v>
      </c>
      <c r="M155" s="523" t="n">
        <f>155</f>
        <v>155</v>
      </c>
      <c r="N155" s="523"/>
      <c r="O155" s="523"/>
      <c r="P155" s="523"/>
      <c r="Q155" s="523"/>
      <c r="R155" s="523"/>
      <c r="S155" s="523"/>
      <c r="T155" s="523"/>
      <c r="U155" s="523"/>
      <c r="V155" s="523"/>
    </row>
    <row r="156">
      <c r="A156" s="523" t="str">
        <f>Records!A156</f>
        <v>P003</v>
      </c>
      <c r="B156" s="523" t="n">
        <f>Records!B156</f>
        <v>1</v>
      </c>
      <c r="C156" s="523" t="str">
        <f>Records!C156</f>
        <v>方法B</v>
      </c>
      <c r="D156" s="523" t="str">
        <f>Records!D156</f>
        <v>EgoAnchor</v>
      </c>
      <c r="E156" s="543" t="n">
        <f>IF(Records!G156="","",6-Records!G156)</f>
        <v>5</v>
      </c>
      <c r="F156" s="543" t="n">
        <f>IF(Records!I156="","",6-Records!I156)</f>
        <v>5</v>
      </c>
      <c r="G156" s="543" t="n">
        <f>IF(Records!L156="","",6-Records!L156)</f>
        <v>5</v>
      </c>
      <c r="H156" s="543" t="n">
        <f>IF(Records!N156="","",6-Records!N156)</f>
        <v>5</v>
      </c>
      <c r="I156" s="543" t="n">
        <f>IF(COUNT(Records!E156:J156)&lt;6,"",AVERAGE(Records!E156,Records!F156,E156,Records!H156,F156,Records!J156))</f>
        <v>5</v>
      </c>
      <c r="J156" s="543" t="n">
        <f>IF(COUNT(Records!K156:N156)&lt;4,"",AVERAGE(Records!K156,G156,Records!M156,H156))</f>
        <v>5</v>
      </c>
      <c r="K156" s="543" t="n">
        <f>IF(COUNT(Records!O156:Q156)&lt;3,"",AVERAGE(Records!O156:Q156))</f>
        <v>7</v>
      </c>
      <c r="L156" s="543" t="n">
        <f>Records!U156</f>
        <v>132.1</v>
      </c>
      <c r="M156" s="523" t="n">
        <f>156</f>
        <v>156</v>
      </c>
      <c r="N156" s="523"/>
      <c r="O156" s="523"/>
      <c r="P156" s="523"/>
      <c r="Q156" s="523"/>
      <c r="R156" s="523"/>
      <c r="S156" s="523"/>
      <c r="T156" s="523"/>
      <c r="U156" s="523"/>
      <c r="V156" s="523"/>
    </row>
    <row r="157">
      <c r="A157" s="523" t="str">
        <f>Records!A157</f>
        <v>P003</v>
      </c>
      <c r="B157" s="523" t="n">
        <f>Records!B157</f>
        <v>2</v>
      </c>
      <c r="C157" s="523" t="str">
        <f>Records!C157</f>
        <v>方法A</v>
      </c>
      <c r="D157" s="523" t="str">
        <f>Records!D157</f>
        <v>One-Euro</v>
      </c>
      <c r="E157" s="543" t="n">
        <f>IF(Records!G157="","",6-Records!G157)</f>
        <v>5</v>
      </c>
      <c r="F157" s="543" t="n">
        <f>IF(Records!I157="","",6-Records!I157)</f>
        <v>5</v>
      </c>
      <c r="G157" s="543" t="n">
        <f>IF(Records!L157="","",6-Records!L157)</f>
        <v>5</v>
      </c>
      <c r="H157" s="543" t="n">
        <f>IF(Records!N157="","",6-Records!N157)</f>
        <v>4</v>
      </c>
      <c r="I157" s="543" t="n">
        <f>IF(COUNT(Records!E157:J157)&lt;6,"",AVERAGE(Records!E157,Records!F157,E157,Records!H157,F157,Records!J157))</f>
        <v>5</v>
      </c>
      <c r="J157" s="543" t="n">
        <f>IF(COUNT(Records!K157:N157)&lt;4,"",AVERAGE(Records!K157,G157,Records!M157,H157))</f>
        <v>4.25</v>
      </c>
      <c r="K157" s="543" t="n">
        <f>IF(COUNT(Records!O157:Q157)&lt;3,"",AVERAGE(Records!O157:Q157))</f>
        <v>5.666666666666667</v>
      </c>
      <c r="L157" s="543" t="n">
        <f>Records!U157</f>
        <v>135.1</v>
      </c>
      <c r="M157" s="523" t="n">
        <f>157</f>
        <v>157</v>
      </c>
      <c r="N157" s="523"/>
      <c r="O157" s="523"/>
      <c r="P157" s="523"/>
      <c r="Q157" s="523"/>
      <c r="R157" s="523"/>
      <c r="S157" s="523"/>
      <c r="T157" s="523"/>
      <c r="U157" s="523"/>
      <c r="V157" s="523"/>
    </row>
    <row r="158">
      <c r="A158" s="523" t="str">
        <f>Records!A158</f>
        <v>P004</v>
      </c>
      <c r="B158" s="523" t="n">
        <f>Records!B158</f>
        <v>1</v>
      </c>
      <c r="C158" s="523" t="str">
        <f>Records!C158</f>
        <v>方法A</v>
      </c>
      <c r="D158" s="523" t="str">
        <f>Records!D158</f>
        <v>One-Euro</v>
      </c>
      <c r="E158" s="543" t="n">
        <f>IF(Records!G158="","",6-Records!G158)</f>
        <v>5</v>
      </c>
      <c r="F158" s="543" t="n">
        <f>IF(Records!I158="","",6-Records!I158)</f>
        <v>5</v>
      </c>
      <c r="G158" s="543" t="n">
        <f>IF(Records!L158="","",6-Records!L158)</f>
        <v>4</v>
      </c>
      <c r="H158" s="543" t="n">
        <f>IF(Records!N158="","",6-Records!N158)</f>
        <v>4</v>
      </c>
      <c r="I158" s="543" t="n">
        <f>IF(COUNT(Records!E158:J158)&lt;6,"",AVERAGE(Records!E158,Records!F158,E158,Records!H158,F158,Records!J158))</f>
        <v>4.5</v>
      </c>
      <c r="J158" s="543" t="n">
        <f>IF(COUNT(Records!K158:N158)&lt;4,"",AVERAGE(Records!K158,G158,Records!M158,H158))</f>
        <v>4</v>
      </c>
      <c r="K158" s="543" t="n">
        <f>IF(COUNT(Records!O158:Q158)&lt;3,"",AVERAGE(Records!O158:Q158))</f>
        <v>5</v>
      </c>
      <c r="L158" s="543" t="n">
        <f>Records!U158</f>
        <v>141.8</v>
      </c>
      <c r="M158" s="523" t="n">
        <f>158</f>
        <v>158</v>
      </c>
      <c r="N158" s="523"/>
      <c r="O158" s="523"/>
      <c r="P158" s="523"/>
      <c r="Q158" s="523"/>
      <c r="R158" s="523"/>
      <c r="S158" s="523"/>
      <c r="T158" s="523"/>
      <c r="U158" s="523"/>
      <c r="V158" s="523"/>
    </row>
    <row r="159">
      <c r="A159" s="523" t="str">
        <f>Records!A159</f>
        <v>P004</v>
      </c>
      <c r="B159" s="523" t="n">
        <f>Records!B159</f>
        <v>2</v>
      </c>
      <c r="C159" s="523" t="str">
        <f>Records!C159</f>
        <v>方法B</v>
      </c>
      <c r="D159" s="523" t="str">
        <f>Records!D159</f>
        <v>EgoAnchor</v>
      </c>
      <c r="E159" s="543" t="n">
        <f>IF(Records!G159="","",6-Records!G159)</f>
        <v>5</v>
      </c>
      <c r="F159" s="543" t="n">
        <f>IF(Records!I159="","",6-Records!I159)</f>
        <v>4</v>
      </c>
      <c r="G159" s="543" t="n">
        <f>IF(Records!L159="","",6-Records!L159)</f>
        <v>4</v>
      </c>
      <c r="H159" s="543" t="n">
        <f>IF(Records!N159="","",6-Records!N159)</f>
        <v>4</v>
      </c>
      <c r="I159" s="543" t="n">
        <f>IF(COUNT(Records!E159:J159)&lt;6,"",AVERAGE(Records!E159,Records!F159,E159,Records!H159,F159,Records!J159))</f>
        <v>4.5</v>
      </c>
      <c r="J159" s="543" t="n">
        <f>IF(COUNT(Records!K159:N159)&lt;4,"",AVERAGE(Records!K159,G159,Records!M159,H159))</f>
        <v>4</v>
      </c>
      <c r="K159" s="543" t="n">
        <f>IF(COUNT(Records!O159:Q159)&lt;3,"",AVERAGE(Records!O159:Q159))</f>
        <v>5</v>
      </c>
      <c r="L159" s="543" t="n">
        <f>Records!U159</f>
        <v>149.7</v>
      </c>
      <c r="M159" s="523" t="n">
        <f>159</f>
        <v>159</v>
      </c>
      <c r="N159" s="523"/>
      <c r="O159" s="523"/>
      <c r="P159" s="523"/>
      <c r="Q159" s="523"/>
      <c r="R159" s="523"/>
      <c r="S159" s="523"/>
      <c r="T159" s="523"/>
      <c r="U159" s="523"/>
      <c r="V159" s="523"/>
    </row>
    <row r="160">
      <c r="A160" s="523" t="str">
        <f>Records!A160</f>
        <v>P005</v>
      </c>
      <c r="B160" s="523" t="n">
        <f>Records!B160</f>
        <v>1</v>
      </c>
      <c r="C160" s="523" t="str">
        <f>Records!C160</f>
        <v>方法A</v>
      </c>
      <c r="D160" s="523" t="str">
        <f>Records!D160</f>
        <v>EgoAnchor</v>
      </c>
      <c r="E160" s="543" t="n">
        <f>IF(Records!G160="","",6-Records!G160)</f>
        <v>5</v>
      </c>
      <c r="F160" s="543" t="n">
        <f>IF(Records!I160="","",6-Records!I160)</f>
        <v>4</v>
      </c>
      <c r="G160" s="543" t="n">
        <f>IF(Records!L160="","",6-Records!L160)</f>
        <v>5</v>
      </c>
      <c r="H160" s="543" t="n">
        <f>IF(Records!N160="","",6-Records!N160)</f>
        <v>5</v>
      </c>
      <c r="I160" s="543" t="n">
        <f>IF(COUNT(Records!E160:J160)&lt;6,"",AVERAGE(Records!E160,Records!F160,E160,Records!H160,F160,Records!J160))</f>
        <v>4.5</v>
      </c>
      <c r="J160" s="543" t="n">
        <f>IF(COUNT(Records!K160:N160)&lt;4,"",AVERAGE(Records!K160,G160,Records!M160,H160))</f>
        <v>5</v>
      </c>
      <c r="K160" s="543" t="n">
        <f>IF(COUNT(Records!O160:Q160)&lt;3,"",AVERAGE(Records!O160:Q160))</f>
        <v>5.666666666666667</v>
      </c>
      <c r="L160" s="543" t="n">
        <f>Records!U160</f>
        <v>118.1</v>
      </c>
      <c r="M160" s="523" t="n">
        <f>160</f>
        <v>160</v>
      </c>
      <c r="N160" s="523"/>
      <c r="O160" s="523"/>
      <c r="P160" s="523"/>
      <c r="Q160" s="523"/>
      <c r="R160" s="523"/>
      <c r="S160" s="523"/>
      <c r="T160" s="523"/>
      <c r="U160" s="523"/>
      <c r="V160" s="523"/>
    </row>
    <row r="161">
      <c r="A161" s="523" t="str">
        <f>Records!A161</f>
        <v>P005</v>
      </c>
      <c r="B161" s="523" t="n">
        <f>Records!B161</f>
        <v>2</v>
      </c>
      <c r="C161" s="523" t="str">
        <f>Records!C161</f>
        <v>方法B</v>
      </c>
      <c r="D161" s="523" t="str">
        <f>Records!D161</f>
        <v>One-Euro</v>
      </c>
      <c r="E161" s="543" t="n">
        <f>IF(Records!G161="","",6-Records!G161)</f>
        <v>4</v>
      </c>
      <c r="F161" s="543" t="n">
        <f>IF(Records!I161="","",6-Records!I161)</f>
        <v>3</v>
      </c>
      <c r="G161" s="543" t="n">
        <f>IF(Records!L161="","",6-Records!L161)</f>
        <v>4</v>
      </c>
      <c r="H161" s="543" t="n">
        <f>IF(Records!N161="","",6-Records!N161)</f>
        <v>4</v>
      </c>
      <c r="I161" s="543" t="n">
        <f>IF(COUNT(Records!E161:J161)&lt;6,"",AVERAGE(Records!E161,Records!F161,E161,Records!H161,F161,Records!J161))</f>
        <v>3.5</v>
      </c>
      <c r="J161" s="543" t="n">
        <f>IF(COUNT(Records!K161:N161)&lt;4,"",AVERAGE(Records!K161,G161,Records!M161,H161))</f>
        <v>4</v>
      </c>
      <c r="K161" s="543" t="n">
        <f>IF(COUNT(Records!O161:Q161)&lt;3,"",AVERAGE(Records!O161:Q161))</f>
        <v>4.666666666666667</v>
      </c>
      <c r="L161" s="543" t="n">
        <f>Records!U161</f>
        <v>106.4</v>
      </c>
      <c r="M161" s="523" t="n">
        <f>161</f>
        <v>161</v>
      </c>
      <c r="N161" s="523"/>
      <c r="O161" s="523"/>
      <c r="P161" s="523"/>
      <c r="Q161" s="523"/>
      <c r="R161" s="523"/>
      <c r="S161" s="523"/>
      <c r="T161" s="523"/>
      <c r="U161" s="523"/>
      <c r="V161" s="523"/>
    </row>
    <row r="162">
      <c r="A162" s="523" t="str">
        <f>Records!A162</f>
        <v>P006</v>
      </c>
      <c r="B162" s="523" t="n">
        <f>Records!B162</f>
        <v>1</v>
      </c>
      <c r="C162" s="523" t="str">
        <f>Records!C162</f>
        <v>方法B</v>
      </c>
      <c r="D162" s="523" t="str">
        <f>Records!D162</f>
        <v>One-Euro</v>
      </c>
      <c r="E162" s="543" t="n">
        <f>IF(Records!G162="","",6-Records!G162)</f>
        <v>4</v>
      </c>
      <c r="F162" s="543" t="n">
        <f>IF(Records!I162="","",6-Records!I162)</f>
        <v>4</v>
      </c>
      <c r="G162" s="543" t="n">
        <f>IF(Records!L162="","",6-Records!L162)</f>
        <v>3</v>
      </c>
      <c r="H162" s="543" t="n">
        <f>IF(Records!N162="","",6-Records!N162)</f>
        <v>3</v>
      </c>
      <c r="I162" s="543" t="n">
        <f>IF(COUNT(Records!E162:J162)&lt;6,"",AVERAGE(Records!E162,Records!F162,E162,Records!H162,F162,Records!J162))</f>
        <v>3.6666666666666665</v>
      </c>
      <c r="J162" s="543" t="n">
        <f>IF(COUNT(Records!K162:N162)&lt;4,"",AVERAGE(Records!K162,G162,Records!M162,H162))</f>
        <v>3.25</v>
      </c>
      <c r="K162" s="543" t="n">
        <f>IF(COUNT(Records!O162:Q162)&lt;3,"",AVERAGE(Records!O162:Q162))</f>
        <v>4.666666666666667</v>
      </c>
      <c r="L162" s="543" t="n">
        <f>Records!U162</f>
        <v>113.3</v>
      </c>
      <c r="M162" s="523" t="n">
        <f>162</f>
        <v>162</v>
      </c>
      <c r="N162" s="523"/>
      <c r="O162" s="523"/>
      <c r="P162" s="523"/>
      <c r="Q162" s="523"/>
      <c r="R162" s="523"/>
      <c r="S162" s="523"/>
      <c r="T162" s="523"/>
      <c r="U162" s="523"/>
      <c r="V162" s="523"/>
    </row>
    <row r="163">
      <c r="A163" s="523" t="str">
        <f>Records!A163</f>
        <v>P006</v>
      </c>
      <c r="B163" s="523" t="n">
        <f>Records!B163</f>
        <v>2</v>
      </c>
      <c r="C163" s="523" t="str">
        <f>Records!C163</f>
        <v>方法A</v>
      </c>
      <c r="D163" s="523" t="str">
        <f>Records!D163</f>
        <v>EgoAnchor</v>
      </c>
      <c r="E163" s="543" t="n">
        <f>IF(Records!G163="","",6-Records!G163)</f>
        <v>4</v>
      </c>
      <c r="F163" s="543" t="n">
        <f>IF(Records!I163="","",6-Records!I163)</f>
        <v>4</v>
      </c>
      <c r="G163" s="543" t="n">
        <f>IF(Records!L163="","",6-Records!L163)</f>
        <v>4</v>
      </c>
      <c r="H163" s="543" t="n">
        <f>IF(Records!N163="","",6-Records!N163)</f>
        <v>4</v>
      </c>
      <c r="I163" s="543" t="n">
        <f>IF(COUNT(Records!E163:J163)&lt;6,"",AVERAGE(Records!E163,Records!F163,E163,Records!H163,F163,Records!J163))</f>
        <v>3.8333333333333335</v>
      </c>
      <c r="J163" s="543" t="n">
        <f>IF(COUNT(Records!K163:N163)&lt;4,"",AVERAGE(Records!K163,G163,Records!M163,H163))</f>
        <v>3.75</v>
      </c>
      <c r="K163" s="543" t="n">
        <f>IF(COUNT(Records!O163:Q163)&lt;3,"",AVERAGE(Records!O163:Q163))</f>
        <v>4.666666666666667</v>
      </c>
      <c r="L163" s="543" t="n">
        <f>Records!U163</f>
        <v>103.3</v>
      </c>
      <c r="M163" s="523" t="n">
        <f>163</f>
        <v>163</v>
      </c>
      <c r="N163" s="523"/>
      <c r="O163" s="523"/>
      <c r="P163" s="523"/>
      <c r="Q163" s="523"/>
      <c r="R163" s="523"/>
      <c r="S163" s="523"/>
      <c r="T163" s="523"/>
      <c r="U163" s="523"/>
      <c r="V163" s="523"/>
    </row>
    <row r="164">
      <c r="A164" s="523" t="str">
        <f>Records!A164</f>
        <v>P007</v>
      </c>
      <c r="B164" s="523" t="n">
        <f>Records!B164</f>
        <v>1</v>
      </c>
      <c r="C164" s="523" t="str">
        <f>Records!C164</f>
        <v>方法B</v>
      </c>
      <c r="D164" s="523" t="str">
        <f>Records!D164</f>
        <v>EgoAnchor</v>
      </c>
      <c r="E164" s="543" t="n">
        <f>IF(Records!G164="","",6-Records!G164)</f>
        <v>5</v>
      </c>
      <c r="F164" s="543" t="n">
        <f>IF(Records!I164="","",6-Records!I164)</f>
        <v>5</v>
      </c>
      <c r="G164" s="543" t="n">
        <f>IF(Records!L164="","",6-Records!L164)</f>
        <v>4</v>
      </c>
      <c r="H164" s="543" t="n">
        <f>IF(Records!N164="","",6-Records!N164)</f>
        <v>4</v>
      </c>
      <c r="I164" s="543" t="n">
        <f>IF(COUNT(Records!E164:J164)&lt;6,"",AVERAGE(Records!E164,Records!F164,E164,Records!H164,F164,Records!J164))</f>
        <v>4.833333333333333</v>
      </c>
      <c r="J164" s="543" t="n">
        <f>IF(COUNT(Records!K164:N164)&lt;4,"",AVERAGE(Records!K164,G164,Records!M164,H164))</f>
        <v>4</v>
      </c>
      <c r="K164" s="543" t="n">
        <f>IF(COUNT(Records!O164:Q164)&lt;3,"",AVERAGE(Records!O164:Q164))</f>
        <v>5.666666666666667</v>
      </c>
      <c r="L164" s="543" t="n">
        <f>Records!U164</f>
        <v>114.6</v>
      </c>
      <c r="M164" s="523" t="n">
        <f>164</f>
        <v>164</v>
      </c>
      <c r="N164" s="523"/>
      <c r="O164" s="523"/>
      <c r="P164" s="523"/>
      <c r="Q164" s="523"/>
      <c r="R164" s="523"/>
      <c r="S164" s="523"/>
      <c r="T164" s="523"/>
      <c r="U164" s="523"/>
      <c r="V164" s="523"/>
    </row>
    <row r="165">
      <c r="A165" s="523" t="str">
        <f>Records!A165</f>
        <v>P007</v>
      </c>
      <c r="B165" s="523" t="n">
        <f>Records!B165</f>
        <v>2</v>
      </c>
      <c r="C165" s="523" t="str">
        <f>Records!C165</f>
        <v>方法A</v>
      </c>
      <c r="D165" s="523" t="str">
        <f>Records!D165</f>
        <v>One-Euro</v>
      </c>
      <c r="E165" s="543" t="n">
        <f>IF(Records!G165="","",6-Records!G165)</f>
        <v>4</v>
      </c>
      <c r="F165" s="543" t="n">
        <f>IF(Records!I165="","",6-Records!I165)</f>
        <v>4</v>
      </c>
      <c r="G165" s="543" t="n">
        <f>IF(Records!L165="","",6-Records!L165)</f>
        <v>4</v>
      </c>
      <c r="H165" s="543" t="n">
        <f>IF(Records!N165="","",6-Records!N165)</f>
        <v>4</v>
      </c>
      <c r="I165" s="543" t="n">
        <f>IF(COUNT(Records!E165:J165)&lt;6,"",AVERAGE(Records!E165,Records!F165,E165,Records!H165,F165,Records!J165))</f>
        <v>4.166666666666667</v>
      </c>
      <c r="J165" s="543" t="n">
        <f>IF(COUNT(Records!K165:N165)&lt;4,"",AVERAGE(Records!K165,G165,Records!M165,H165))</f>
        <v>4.25</v>
      </c>
      <c r="K165" s="543" t="n">
        <f>IF(COUNT(Records!O165:Q165)&lt;3,"",AVERAGE(Records!O165:Q165))</f>
        <v>5</v>
      </c>
      <c r="L165" s="543" t="n">
        <f>Records!U165</f>
        <v>145.7</v>
      </c>
      <c r="M165" s="523" t="n">
        <f>165</f>
        <v>165</v>
      </c>
      <c r="N165" s="523"/>
      <c r="O165" s="523"/>
      <c r="P165" s="523"/>
      <c r="Q165" s="523"/>
      <c r="R165" s="523"/>
      <c r="S165" s="523"/>
      <c r="T165" s="523"/>
      <c r="U165" s="523"/>
      <c r="V165" s="523"/>
    </row>
    <row r="166">
      <c r="A166" s="523" t="str">
        <f>Records!A166</f>
        <v>P008</v>
      </c>
      <c r="B166" s="523" t="n">
        <f>Records!B166</f>
        <v>1</v>
      </c>
      <c r="C166" s="523" t="str">
        <f>Records!C166</f>
        <v>方法A</v>
      </c>
      <c r="D166" s="523" t="str">
        <f>Records!D166</f>
        <v>One-Euro</v>
      </c>
      <c r="E166" s="543" t="n">
        <f>IF(Records!G166="","",6-Records!G166)</f>
        <v>5</v>
      </c>
      <c r="F166" s="543" t="n">
        <f>IF(Records!I166="","",6-Records!I166)</f>
        <v>4</v>
      </c>
      <c r="G166" s="543" t="n">
        <f>IF(Records!L166="","",6-Records!L166)</f>
        <v>5</v>
      </c>
      <c r="H166" s="543" t="n">
        <f>IF(Records!N166="","",6-Records!N166)</f>
        <v>4</v>
      </c>
      <c r="I166" s="543" t="n">
        <f>IF(COUNT(Records!E166:J166)&lt;6,"",AVERAGE(Records!E166,Records!F166,E166,Records!H166,F166,Records!J166))</f>
        <v>4.666666666666667</v>
      </c>
      <c r="J166" s="543" t="n">
        <f>IF(COUNT(Records!K166:N166)&lt;4,"",AVERAGE(Records!K166,G166,Records!M166,H166))</f>
        <v>4.25</v>
      </c>
      <c r="K166" s="543" t="n">
        <f>IF(COUNT(Records!O166:Q166)&lt;3,"",AVERAGE(Records!O166:Q166))</f>
        <v>6.333333333333333</v>
      </c>
      <c r="L166" s="543" t="n">
        <f>Records!U166</f>
        <v>122</v>
      </c>
      <c r="M166" s="523" t="n">
        <f>166</f>
        <v>166</v>
      </c>
      <c r="N166" s="523"/>
      <c r="O166" s="523"/>
      <c r="P166" s="523"/>
      <c r="Q166" s="523"/>
      <c r="R166" s="523"/>
      <c r="S166" s="523"/>
      <c r="T166" s="523"/>
      <c r="U166" s="523"/>
      <c r="V166" s="523"/>
    </row>
    <row r="167">
      <c r="A167" s="523" t="str">
        <f>Records!A167</f>
        <v>P008</v>
      </c>
      <c r="B167" s="523" t="n">
        <f>Records!B167</f>
        <v>2</v>
      </c>
      <c r="C167" s="523" t="str">
        <f>Records!C167</f>
        <v>方法B</v>
      </c>
      <c r="D167" s="523" t="str">
        <f>Records!D167</f>
        <v>EgoAnchor</v>
      </c>
      <c r="E167" s="543" t="n">
        <f>IF(Records!G167="","",6-Records!G167)</f>
        <v>4</v>
      </c>
      <c r="F167" s="543" t="n">
        <f>IF(Records!I167="","",6-Records!I167)</f>
        <v>5</v>
      </c>
      <c r="G167" s="543" t="n">
        <f>IF(Records!L167="","",6-Records!L167)</f>
        <v>4</v>
      </c>
      <c r="H167" s="543" t="n">
        <f>IF(Records!N167="","",6-Records!N167)</f>
        <v>5</v>
      </c>
      <c r="I167" s="543" t="n">
        <f>IF(COUNT(Records!E167:J167)&lt;6,"",AVERAGE(Records!E167,Records!F167,E167,Records!H167,F167,Records!J167))</f>
        <v>4.833333333333333</v>
      </c>
      <c r="J167" s="543" t="n">
        <f>IF(COUNT(Records!K167:N167)&lt;4,"",AVERAGE(Records!K167,G167,Records!M167,H167))</f>
        <v>4.5</v>
      </c>
      <c r="K167" s="543" t="n">
        <f>IF(COUNT(Records!O167:Q167)&lt;3,"",AVERAGE(Records!O167:Q167))</f>
        <v>7</v>
      </c>
      <c r="L167" s="543" t="n">
        <f>Records!U167</f>
        <v>107.2</v>
      </c>
      <c r="M167" s="523" t="n">
        <f>167</f>
        <v>167</v>
      </c>
      <c r="N167" s="523"/>
      <c r="O167" s="523"/>
      <c r="P167" s="523"/>
      <c r="Q167" s="523"/>
      <c r="R167" s="523"/>
      <c r="S167" s="523"/>
      <c r="T167" s="523"/>
      <c r="U167" s="523"/>
      <c r="V167" s="523"/>
    </row>
    <row r="168">
      <c r="A168" s="523" t="str">
        <f>Records!A168</f>
        <v>P009</v>
      </c>
      <c r="B168" s="523" t="n">
        <f>Records!B168</f>
        <v>1</v>
      </c>
      <c r="C168" s="523" t="str">
        <f>Records!C168</f>
        <v>方法A</v>
      </c>
      <c r="D168" s="523" t="str">
        <f>Records!D168</f>
        <v>EgoAnchor</v>
      </c>
      <c r="E168" s="543" t="n">
        <f>IF(Records!G168="","",6-Records!G168)</f>
        <v>4</v>
      </c>
      <c r="F168" s="543" t="n">
        <f>IF(Records!I168="","",6-Records!I168)</f>
        <v>4</v>
      </c>
      <c r="G168" s="543" t="n">
        <f>IF(Records!L168="","",6-Records!L168)</f>
        <v>5</v>
      </c>
      <c r="H168" s="543" t="n">
        <f>IF(Records!N168="","",6-Records!N168)</f>
        <v>4</v>
      </c>
      <c r="I168" s="543" t="n">
        <f>IF(COUNT(Records!E168:J168)&lt;6,"",AVERAGE(Records!E168,Records!F168,E168,Records!H168,F168,Records!J168))</f>
        <v>3.8333333333333335</v>
      </c>
      <c r="J168" s="543" t="n">
        <f>IF(COUNT(Records!K168:N168)&lt;4,"",AVERAGE(Records!K168,G168,Records!M168,H168))</f>
        <v>4.25</v>
      </c>
      <c r="K168" s="543" t="n">
        <f>IF(COUNT(Records!O168:Q168)&lt;3,"",AVERAGE(Records!O168:Q168))</f>
        <v>5</v>
      </c>
      <c r="L168" s="543" t="n">
        <f>Records!U168</f>
        <v>113.6</v>
      </c>
      <c r="M168" s="523" t="n">
        <f>168</f>
        <v>168</v>
      </c>
      <c r="N168" s="523"/>
      <c r="O168" s="523"/>
      <c r="P168" s="523"/>
      <c r="Q168" s="523"/>
      <c r="R168" s="523"/>
      <c r="S168" s="523"/>
      <c r="T168" s="523"/>
      <c r="U168" s="523"/>
      <c r="V168" s="523"/>
    </row>
    <row r="169">
      <c r="A169" s="523" t="str">
        <f>Records!A169</f>
        <v>P009</v>
      </c>
      <c r="B169" s="523" t="n">
        <f>Records!B169</f>
        <v>2</v>
      </c>
      <c r="C169" s="523" t="str">
        <f>Records!C169</f>
        <v>方法B</v>
      </c>
      <c r="D169" s="523" t="str">
        <f>Records!D169</f>
        <v>One-Euro</v>
      </c>
      <c r="E169" s="543" t="n">
        <f>IF(Records!G169="","",6-Records!G169)</f>
        <v>3</v>
      </c>
      <c r="F169" s="543" t="n">
        <f>IF(Records!I169="","",6-Records!I169)</f>
        <v>4</v>
      </c>
      <c r="G169" s="543" t="n">
        <f>IF(Records!L169="","",6-Records!L169)</f>
        <v>4</v>
      </c>
      <c r="H169" s="543" t="n">
        <f>IF(Records!N169="","",6-Records!N169)</f>
        <v>3</v>
      </c>
      <c r="I169" s="543" t="n">
        <f>IF(COUNT(Records!E169:J169)&lt;6,"",AVERAGE(Records!E169,Records!F169,E169,Records!H169,F169,Records!J169))</f>
        <v>3.1666666666666665</v>
      </c>
      <c r="J169" s="543" t="n">
        <f>IF(COUNT(Records!K169:N169)&lt;4,"",AVERAGE(Records!K169,G169,Records!M169,H169))</f>
        <v>3.75</v>
      </c>
      <c r="K169" s="543" t="n">
        <f>IF(COUNT(Records!O169:Q169)&lt;3,"",AVERAGE(Records!O169:Q169))</f>
        <v>4.666666666666667</v>
      </c>
      <c r="L169" s="543" t="n">
        <f>Records!U169</f>
        <v>136.7</v>
      </c>
      <c r="M169" s="523" t="n">
        <f>169</f>
        <v>169</v>
      </c>
      <c r="N169" s="523"/>
      <c r="O169" s="523"/>
      <c r="P169" s="523"/>
      <c r="Q169" s="523"/>
      <c r="R169" s="523"/>
      <c r="S169" s="523"/>
      <c r="T169" s="523"/>
      <c r="U169" s="523"/>
      <c r="V169" s="523"/>
    </row>
    <row r="170">
      <c r="A170" s="523" t="str">
        <f>Records!A170</f>
        <v>P010</v>
      </c>
      <c r="B170" s="523" t="n">
        <f>Records!B170</f>
        <v>1</v>
      </c>
      <c r="C170" s="523" t="str">
        <f>Records!C170</f>
        <v>方法B</v>
      </c>
      <c r="D170" s="523" t="str">
        <f>Records!D170</f>
        <v>One-Euro</v>
      </c>
      <c r="E170" s="543" t="n">
        <f>IF(Records!G170="","",6-Records!G170)</f>
        <v>4</v>
      </c>
      <c r="F170" s="543" t="n">
        <f>IF(Records!I170="","",6-Records!I170)</f>
        <v>5</v>
      </c>
      <c r="G170" s="543" t="n">
        <f>IF(Records!L170="","",6-Records!L170)</f>
        <v>4</v>
      </c>
      <c r="H170" s="543" t="n">
        <f>IF(Records!N170="","",6-Records!N170)</f>
        <v>4</v>
      </c>
      <c r="I170" s="543" t="n">
        <f>IF(COUNT(Records!E170:J170)&lt;6,"",AVERAGE(Records!E170,Records!F170,E170,Records!H170,F170,Records!J170))</f>
        <v>4.333333333333333</v>
      </c>
      <c r="J170" s="543" t="n">
        <f>IF(COUNT(Records!K170:N170)&lt;4,"",AVERAGE(Records!K170,G170,Records!M170,H170))</f>
        <v>3.75</v>
      </c>
      <c r="K170" s="543" t="n">
        <f>IF(COUNT(Records!O170:Q170)&lt;3,"",AVERAGE(Records!O170:Q170))</f>
        <v>6</v>
      </c>
      <c r="L170" s="543" t="n">
        <f>Records!U170</f>
        <v>144.9</v>
      </c>
      <c r="M170" s="523" t="n">
        <f>170</f>
        <v>170</v>
      </c>
      <c r="N170" s="523"/>
      <c r="O170" s="523"/>
      <c r="P170" s="523"/>
      <c r="Q170" s="523"/>
      <c r="R170" s="523"/>
      <c r="S170" s="523"/>
      <c r="T170" s="523"/>
      <c r="U170" s="523"/>
      <c r="V170" s="523"/>
    </row>
    <row r="171">
      <c r="A171" s="523" t="str">
        <f>Records!A171</f>
        <v>P010</v>
      </c>
      <c r="B171" s="523" t="n">
        <f>Records!B171</f>
        <v>2</v>
      </c>
      <c r="C171" s="523" t="str">
        <f>Records!C171</f>
        <v>方法A</v>
      </c>
      <c r="D171" s="523" t="str">
        <f>Records!D171</f>
        <v>EgoAnchor</v>
      </c>
      <c r="E171" s="543" t="n">
        <f>IF(Records!G171="","",6-Records!G171)</f>
        <v>4</v>
      </c>
      <c r="F171" s="543" t="n">
        <f>IF(Records!I171="","",6-Records!I171)</f>
        <v>5</v>
      </c>
      <c r="G171" s="543" t="n">
        <f>IF(Records!L171="","",6-Records!L171)</f>
        <v>5</v>
      </c>
      <c r="H171" s="543" t="n">
        <f>IF(Records!N171="","",6-Records!N171)</f>
        <v>4</v>
      </c>
      <c r="I171" s="543" t="n">
        <f>IF(COUNT(Records!E171:J171)&lt;6,"",AVERAGE(Records!E171,Records!F171,E171,Records!H171,F171,Records!J171))</f>
        <v>4.666666666666667</v>
      </c>
      <c r="J171" s="543" t="n">
        <f>IF(COUNT(Records!K171:N171)&lt;4,"",AVERAGE(Records!K171,G171,Records!M171,H171))</f>
        <v>4.25</v>
      </c>
      <c r="K171" s="543" t="n">
        <f>IF(COUNT(Records!O171:Q171)&lt;3,"",AVERAGE(Records!O171:Q171))</f>
        <v>5.666666666666667</v>
      </c>
      <c r="L171" s="543" t="n">
        <f>Records!U171</f>
        <v>110.7</v>
      </c>
      <c r="M171" s="523" t="n">
        <f>171</f>
        <v>171</v>
      </c>
      <c r="N171" s="523"/>
      <c r="O171" s="523"/>
      <c r="P171" s="523"/>
      <c r="Q171" s="523"/>
      <c r="R171" s="523"/>
      <c r="S171" s="523"/>
      <c r="T171" s="523"/>
      <c r="U171" s="523"/>
      <c r="V171" s="523"/>
    </row>
    <row r="172">
      <c r="A172" s="523" t="str">
        <f>Records!A172</f>
        <v>P011</v>
      </c>
      <c r="B172" s="523" t="n">
        <f>Records!B172</f>
        <v>1</v>
      </c>
      <c r="C172" s="523" t="str">
        <f>Records!C172</f>
        <v>方法B</v>
      </c>
      <c r="D172" s="523" t="str">
        <f>Records!D172</f>
        <v>EgoAnchor</v>
      </c>
      <c r="E172" s="543" t="n">
        <f>IF(Records!G172="","",6-Records!G172)</f>
        <v>4</v>
      </c>
      <c r="F172" s="543" t="n">
        <f>IF(Records!I172="","",6-Records!I172)</f>
        <v>4</v>
      </c>
      <c r="G172" s="543" t="n">
        <f>IF(Records!L172="","",6-Records!L172)</f>
        <v>5</v>
      </c>
      <c r="H172" s="543" t="n">
        <f>IF(Records!N172="","",6-Records!N172)</f>
        <v>4</v>
      </c>
      <c r="I172" s="543" t="n">
        <f>IF(COUNT(Records!E172:J172)&lt;6,"",AVERAGE(Records!E172,Records!F172,E172,Records!H172,F172,Records!J172))</f>
        <v>4.166666666666667</v>
      </c>
      <c r="J172" s="543" t="n">
        <f>IF(COUNT(Records!K172:N172)&lt;4,"",AVERAGE(Records!K172,G172,Records!M172,H172))</f>
        <v>4</v>
      </c>
      <c r="K172" s="543" t="n">
        <f>IF(COUNT(Records!O172:Q172)&lt;3,"",AVERAGE(Records!O172:Q172))</f>
        <v>5.333333333333333</v>
      </c>
      <c r="L172" s="543" t="n">
        <f>Records!U172</f>
        <v>110.5</v>
      </c>
      <c r="M172" s="523" t="n">
        <f>172</f>
        <v>172</v>
      </c>
      <c r="N172" s="523"/>
      <c r="O172" s="523"/>
      <c r="P172" s="523"/>
      <c r="Q172" s="523"/>
      <c r="R172" s="523"/>
      <c r="S172" s="523"/>
      <c r="T172" s="523"/>
      <c r="U172" s="523"/>
      <c r="V172" s="523"/>
    </row>
    <row r="173">
      <c r="A173" s="523" t="str">
        <f>Records!A173</f>
        <v>P011</v>
      </c>
      <c r="B173" s="523" t="n">
        <f>Records!B173</f>
        <v>2</v>
      </c>
      <c r="C173" s="523" t="str">
        <f>Records!C173</f>
        <v>方法A</v>
      </c>
      <c r="D173" s="523" t="str">
        <f>Records!D173</f>
        <v>One-Euro</v>
      </c>
      <c r="E173" s="543" t="n">
        <f>IF(Records!G173="","",6-Records!G173)</f>
        <v>4</v>
      </c>
      <c r="F173" s="543" t="n">
        <f>IF(Records!I173="","",6-Records!I173)</f>
        <v>4</v>
      </c>
      <c r="G173" s="543" t="n">
        <f>IF(Records!L173="","",6-Records!L173)</f>
        <v>4</v>
      </c>
      <c r="H173" s="543" t="n">
        <f>IF(Records!N173="","",6-Records!N173)</f>
        <v>5</v>
      </c>
      <c r="I173" s="543" t="n">
        <f>IF(COUNT(Records!E173:J173)&lt;6,"",AVERAGE(Records!E173,Records!F173,E173,Records!H173,F173,Records!J173))</f>
        <v>3.8333333333333335</v>
      </c>
      <c r="J173" s="543" t="n">
        <f>IF(COUNT(Records!K173:N173)&lt;4,"",AVERAGE(Records!K173,G173,Records!M173,H173))</f>
        <v>4.25</v>
      </c>
      <c r="K173" s="543" t="n">
        <f>IF(COUNT(Records!O173:Q173)&lt;3,"",AVERAGE(Records!O173:Q173))</f>
        <v>5.333333333333333</v>
      </c>
      <c r="L173" s="543" t="n">
        <f>Records!U173</f>
        <v>127.8</v>
      </c>
      <c r="M173" s="523" t="n">
        <f>173</f>
        <v>173</v>
      </c>
      <c r="N173" s="523"/>
      <c r="O173" s="523"/>
      <c r="P173" s="523"/>
      <c r="Q173" s="523"/>
      <c r="R173" s="523"/>
      <c r="S173" s="523"/>
      <c r="T173" s="523"/>
      <c r="U173" s="523"/>
      <c r="V173" s="523"/>
    </row>
    <row r="174">
      <c r="A174" s="523" t="str">
        <f>Records!A174</f>
        <v>P012</v>
      </c>
      <c r="B174" s="523" t="n">
        <f>Records!B174</f>
        <v>1</v>
      </c>
      <c r="C174" s="523" t="str">
        <f>Records!C174</f>
        <v>方法A</v>
      </c>
      <c r="D174" s="523" t="str">
        <f>Records!D174</f>
        <v>One-Euro</v>
      </c>
      <c r="E174" s="543" t="n">
        <f>IF(Records!G174="","",6-Records!G174)</f>
        <v>4</v>
      </c>
      <c r="F174" s="543" t="n">
        <f>IF(Records!I174="","",6-Records!I174)</f>
        <v>4</v>
      </c>
      <c r="G174" s="543" t="n">
        <f>IF(Records!L174="","",6-Records!L174)</f>
        <v>5</v>
      </c>
      <c r="H174" s="543" t="n">
        <f>IF(Records!N174="","",6-Records!N174)</f>
        <v>3</v>
      </c>
      <c r="I174" s="543" t="n">
        <f>IF(COUNT(Records!E174:J174)&lt;6,"",AVERAGE(Records!E174,Records!F174,E174,Records!H174,F174,Records!J174))</f>
        <v>4.333333333333333</v>
      </c>
      <c r="J174" s="543" t="n">
        <f>IF(COUNT(Records!K174:N174)&lt;4,"",AVERAGE(Records!K174,G174,Records!M174,H174))</f>
        <v>4</v>
      </c>
      <c r="K174" s="543" t="n">
        <f>IF(COUNT(Records!O174:Q174)&lt;3,"",AVERAGE(Records!O174:Q174))</f>
        <v>5.333333333333333</v>
      </c>
      <c r="L174" s="543" t="n">
        <f>Records!U174</f>
        <v>125.2</v>
      </c>
      <c r="M174" s="523" t="n">
        <f>174</f>
        <v>174</v>
      </c>
      <c r="N174" s="523"/>
      <c r="O174" s="523"/>
      <c r="P174" s="523"/>
      <c r="Q174" s="523"/>
      <c r="R174" s="523"/>
      <c r="S174" s="523"/>
      <c r="T174" s="523"/>
      <c r="U174" s="523"/>
      <c r="V174" s="523"/>
    </row>
    <row r="175">
      <c r="A175" s="523" t="str">
        <f>Records!A175</f>
        <v>P012</v>
      </c>
      <c r="B175" s="523" t="n">
        <f>Records!B175</f>
        <v>2</v>
      </c>
      <c r="C175" s="523" t="str">
        <f>Records!C175</f>
        <v>方法B</v>
      </c>
      <c r="D175" s="523" t="str">
        <f>Records!D175</f>
        <v>EgoAnchor</v>
      </c>
      <c r="E175" s="543" t="n">
        <f>IF(Records!G175="","",6-Records!G175)</f>
        <v>5</v>
      </c>
      <c r="F175" s="543" t="n">
        <f>IF(Records!I175="","",6-Records!I175)</f>
        <v>5</v>
      </c>
      <c r="G175" s="543" t="n">
        <f>IF(Records!L175="","",6-Records!L175)</f>
        <v>5</v>
      </c>
      <c r="H175" s="543" t="n">
        <f>IF(Records!N175="","",6-Records!N175)</f>
        <v>5</v>
      </c>
      <c r="I175" s="543" t="n">
        <f>IF(COUNT(Records!E175:J175)&lt;6,"",AVERAGE(Records!E175,Records!F175,E175,Records!H175,F175,Records!J175))</f>
        <v>5</v>
      </c>
      <c r="J175" s="543" t="n">
        <f>IF(COUNT(Records!K175:N175)&lt;4,"",AVERAGE(Records!K175,G175,Records!M175,H175))</f>
        <v>5</v>
      </c>
      <c r="K175" s="543" t="n">
        <f>IF(COUNT(Records!O175:Q175)&lt;3,"",AVERAGE(Records!O175:Q175))</f>
        <v>6.333333333333333</v>
      </c>
      <c r="L175" s="543" t="n">
        <f>Records!U175</f>
        <v>98</v>
      </c>
      <c r="M175" s="523" t="n">
        <f>175</f>
        <v>175</v>
      </c>
      <c r="N175" s="523"/>
      <c r="O175" s="523"/>
      <c r="P175" s="523"/>
      <c r="Q175" s="523"/>
      <c r="R175" s="523"/>
      <c r="S175" s="523"/>
      <c r="T175" s="523"/>
      <c r="U175" s="523"/>
      <c r="V175" s="523"/>
    </row>
    <row r="176">
      <c r="A176" s="523" t="str">
        <f>Records!A176</f>
        <v>P013</v>
      </c>
      <c r="B176" s="523" t="n">
        <f>Records!B176</f>
        <v>1</v>
      </c>
      <c r="C176" s="523" t="str">
        <f>Records!C176</f>
        <v>方法A</v>
      </c>
      <c r="D176" s="523" t="str">
        <f>Records!D176</f>
        <v>EgoAnchor</v>
      </c>
      <c r="E176" s="543" t="n">
        <f>IF(Records!G176="","",6-Records!G176)</f>
        <v>4</v>
      </c>
      <c r="F176" s="543" t="n">
        <f>IF(Records!I176="","",6-Records!I176)</f>
        <v>5</v>
      </c>
      <c r="G176" s="543" t="n">
        <f>IF(Records!L176="","",6-Records!L176)</f>
        <v>4</v>
      </c>
      <c r="H176" s="543" t="n">
        <f>IF(Records!N176="","",6-Records!N176)</f>
        <v>4</v>
      </c>
      <c r="I176" s="543" t="n">
        <f>IF(COUNT(Records!E176:J176)&lt;6,"",AVERAGE(Records!E176,Records!F176,E176,Records!H176,F176,Records!J176))</f>
        <v>4.5</v>
      </c>
      <c r="J176" s="543" t="n">
        <f>IF(COUNT(Records!K176:N176)&lt;4,"",AVERAGE(Records!K176,G176,Records!M176,H176))</f>
        <v>4</v>
      </c>
      <c r="K176" s="543" t="n">
        <f>IF(COUNT(Records!O176:Q176)&lt;3,"",AVERAGE(Records!O176:Q176))</f>
        <v>5.666666666666667</v>
      </c>
      <c r="L176" s="543" t="n">
        <f>Records!U176</f>
        <v>103.6</v>
      </c>
      <c r="M176" s="523" t="n">
        <f>176</f>
        <v>176</v>
      </c>
      <c r="N176" s="523"/>
      <c r="O176" s="523"/>
      <c r="P176" s="523"/>
      <c r="Q176" s="523"/>
      <c r="R176" s="523"/>
      <c r="S176" s="523"/>
      <c r="T176" s="523"/>
      <c r="U176" s="523"/>
      <c r="V176" s="523"/>
    </row>
    <row r="177">
      <c r="A177" s="523" t="str">
        <f>Records!A177</f>
        <v>P013</v>
      </c>
      <c r="B177" s="523" t="n">
        <f>Records!B177</f>
        <v>2</v>
      </c>
      <c r="C177" s="523" t="str">
        <f>Records!C177</f>
        <v>方法B</v>
      </c>
      <c r="D177" s="523" t="str">
        <f>Records!D177</f>
        <v>One-Euro</v>
      </c>
      <c r="E177" s="543" t="n">
        <f>IF(Records!G177="","",6-Records!G177)</f>
        <v>5</v>
      </c>
      <c r="F177" s="543" t="n">
        <f>IF(Records!I177="","",6-Records!I177)</f>
        <v>4</v>
      </c>
      <c r="G177" s="543" t="n">
        <f>IF(Records!L177="","",6-Records!L177)</f>
        <v>4</v>
      </c>
      <c r="H177" s="543" t="n">
        <f>IF(Records!N177="","",6-Records!N177)</f>
        <v>4</v>
      </c>
      <c r="I177" s="543" t="n">
        <f>IF(COUNT(Records!E177:J177)&lt;6,"",AVERAGE(Records!E177,Records!F177,E177,Records!H177,F177,Records!J177))</f>
        <v>3.8333333333333335</v>
      </c>
      <c r="J177" s="543" t="n">
        <f>IF(COUNT(Records!K177:N177)&lt;4,"",AVERAGE(Records!K177,G177,Records!M177,H177))</f>
        <v>4.5</v>
      </c>
      <c r="K177" s="543" t="n">
        <f>IF(COUNT(Records!O177:Q177)&lt;3,"",AVERAGE(Records!O177:Q177))</f>
        <v>5</v>
      </c>
      <c r="L177" s="543" t="n">
        <f>Records!U177</f>
        <v>126.2</v>
      </c>
      <c r="M177" s="523" t="n">
        <f>177</f>
        <v>177</v>
      </c>
      <c r="N177" s="523"/>
      <c r="O177" s="523"/>
      <c r="P177" s="523"/>
      <c r="Q177" s="523"/>
      <c r="R177" s="523"/>
      <c r="S177" s="523"/>
      <c r="T177" s="523"/>
      <c r="U177" s="523"/>
      <c r="V177" s="523"/>
    </row>
    <row r="178">
      <c r="A178" s="523" t="str">
        <f>Records!A178</f>
        <v>P014</v>
      </c>
      <c r="B178" s="523" t="n">
        <f>Records!B178</f>
        <v>1</v>
      </c>
      <c r="C178" s="523" t="str">
        <f>Records!C178</f>
        <v>方法B</v>
      </c>
      <c r="D178" s="523" t="str">
        <f>Records!D178</f>
        <v>One-Euro</v>
      </c>
      <c r="E178" s="543" t="n">
        <f>IF(Records!G178="","",6-Records!G178)</f>
        <v>5</v>
      </c>
      <c r="F178" s="543" t="n">
        <f>IF(Records!I178="","",6-Records!I178)</f>
        <v>4</v>
      </c>
      <c r="G178" s="543" t="n">
        <f>IF(Records!L178="","",6-Records!L178)</f>
        <v>4</v>
      </c>
      <c r="H178" s="543" t="n">
        <f>IF(Records!N178="","",6-Records!N178)</f>
        <v>3</v>
      </c>
      <c r="I178" s="543" t="n">
        <f>IF(COUNT(Records!E178:J178)&lt;6,"",AVERAGE(Records!E178,Records!F178,E178,Records!H178,F178,Records!J178))</f>
        <v>4.5</v>
      </c>
      <c r="J178" s="543" t="n">
        <f>IF(COUNT(Records!K178:N178)&lt;4,"",AVERAGE(Records!K178,G178,Records!M178,H178))</f>
        <v>4</v>
      </c>
      <c r="K178" s="543" t="n">
        <f>IF(COUNT(Records!O178:Q178)&lt;3,"",AVERAGE(Records!O178:Q178))</f>
        <v>6</v>
      </c>
      <c r="L178" s="543" t="n">
        <f>Records!U178</f>
        <v>98.4</v>
      </c>
      <c r="M178" s="523" t="n">
        <f>178</f>
        <v>178</v>
      </c>
      <c r="N178" s="523"/>
      <c r="O178" s="523"/>
      <c r="P178" s="523"/>
      <c r="Q178" s="523"/>
      <c r="R178" s="523"/>
      <c r="S178" s="523"/>
      <c r="T178" s="523"/>
      <c r="U178" s="523"/>
      <c r="V178" s="523"/>
    </row>
    <row r="179">
      <c r="A179" s="523" t="str">
        <f>Records!A179</f>
        <v>P014</v>
      </c>
      <c r="B179" s="523" t="n">
        <f>Records!B179</f>
        <v>2</v>
      </c>
      <c r="C179" s="523" t="str">
        <f>Records!C179</f>
        <v>方法A</v>
      </c>
      <c r="D179" s="523" t="str">
        <f>Records!D179</f>
        <v>EgoAnchor</v>
      </c>
      <c r="E179" s="543" t="n">
        <f>IF(Records!G179="","",6-Records!G179)</f>
        <v>5</v>
      </c>
      <c r="F179" s="543" t="n">
        <f>IF(Records!I179="","",6-Records!I179)</f>
        <v>5</v>
      </c>
      <c r="G179" s="543" t="n">
        <f>IF(Records!L179="","",6-Records!L179)</f>
        <v>5</v>
      </c>
      <c r="H179" s="543" t="n">
        <f>IF(Records!N179="","",6-Records!N179)</f>
        <v>3</v>
      </c>
      <c r="I179" s="543" t="n">
        <f>IF(COUNT(Records!E179:J179)&lt;6,"",AVERAGE(Records!E179,Records!F179,E179,Records!H179,F179,Records!J179))</f>
        <v>4.666666666666667</v>
      </c>
      <c r="J179" s="543" t="n">
        <f>IF(COUNT(Records!K179:N179)&lt;4,"",AVERAGE(Records!K179,G179,Records!M179,H179))</f>
        <v>4.25</v>
      </c>
      <c r="K179" s="543" t="n">
        <f>IF(COUNT(Records!O179:Q179)&lt;3,"",AVERAGE(Records!O179:Q179))</f>
        <v>5.666666666666667</v>
      </c>
      <c r="L179" s="543" t="n">
        <f>Records!U179</f>
        <v>139.9</v>
      </c>
      <c r="M179" s="523" t="n">
        <f>179</f>
        <v>179</v>
      </c>
      <c r="N179" s="523"/>
      <c r="O179" s="523"/>
      <c r="P179" s="523"/>
      <c r="Q179" s="523"/>
      <c r="R179" s="523"/>
      <c r="S179" s="523"/>
      <c r="T179" s="523"/>
      <c r="U179" s="523"/>
      <c r="V179" s="523"/>
    </row>
    <row r="180">
      <c r="A180" s="523" t="str">
        <f>Records!A180</f>
        <v>P015</v>
      </c>
      <c r="B180" s="523" t="n">
        <f>Records!B180</f>
        <v>1</v>
      </c>
      <c r="C180" s="523" t="str">
        <f>Records!C180</f>
        <v>方法B</v>
      </c>
      <c r="D180" s="523" t="str">
        <f>Records!D180</f>
        <v>EgoAnchor</v>
      </c>
      <c r="E180" s="543" t="n">
        <f>IF(Records!G180="","",6-Records!G180)</f>
        <v>4</v>
      </c>
      <c r="F180" s="543" t="n">
        <f>IF(Records!I180="","",6-Records!I180)</f>
        <v>5</v>
      </c>
      <c r="G180" s="543" t="n">
        <f>IF(Records!L180="","",6-Records!L180)</f>
        <v>5</v>
      </c>
      <c r="H180" s="543" t="n">
        <f>IF(Records!N180="","",6-Records!N180)</f>
        <v>5</v>
      </c>
      <c r="I180" s="543" t="n">
        <f>IF(COUNT(Records!E180:J180)&lt;6,"",AVERAGE(Records!E180,Records!F180,E180,Records!H180,F180,Records!J180))</f>
        <v>4.5</v>
      </c>
      <c r="J180" s="543" t="n">
        <f>IF(COUNT(Records!K180:N180)&lt;4,"",AVERAGE(Records!K180,G180,Records!M180,H180))</f>
        <v>5</v>
      </c>
      <c r="K180" s="543" t="n">
        <f>IF(COUNT(Records!O180:Q180)&lt;3,"",AVERAGE(Records!O180:Q180))</f>
        <v>6</v>
      </c>
      <c r="L180" s="543" t="n">
        <f>Records!U180</f>
        <v>130.4</v>
      </c>
      <c r="M180" s="523" t="n">
        <f>180</f>
        <v>180</v>
      </c>
      <c r="N180" s="523"/>
      <c r="O180" s="523"/>
      <c r="P180" s="523"/>
      <c r="Q180" s="523"/>
      <c r="R180" s="523"/>
      <c r="S180" s="523"/>
      <c r="T180" s="523"/>
      <c r="U180" s="523"/>
      <c r="V180" s="523"/>
    </row>
    <row r="181">
      <c r="A181" s="523" t="str">
        <f>Records!A181</f>
        <v>P015</v>
      </c>
      <c r="B181" s="523" t="n">
        <f>Records!B181</f>
        <v>2</v>
      </c>
      <c r="C181" s="523" t="str">
        <f>Records!C181</f>
        <v>方法A</v>
      </c>
      <c r="D181" s="523" t="str">
        <f>Records!D181</f>
        <v>One-Euro</v>
      </c>
      <c r="E181" s="543" t="n">
        <f>IF(Records!G181="","",6-Records!G181)</f>
        <v>5</v>
      </c>
      <c r="F181" s="543" t="n">
        <f>IF(Records!I181="","",6-Records!I181)</f>
        <v>5</v>
      </c>
      <c r="G181" s="543" t="n">
        <f>IF(Records!L181="","",6-Records!L181)</f>
        <v>4</v>
      </c>
      <c r="H181" s="543" t="n">
        <f>IF(Records!N181="","",6-Records!N181)</f>
        <v>4</v>
      </c>
      <c r="I181" s="543" t="n">
        <f>IF(COUNT(Records!E181:J181)&lt;6,"",AVERAGE(Records!E181,Records!F181,E181,Records!H181,F181,Records!J181))</f>
        <v>4.5</v>
      </c>
      <c r="J181" s="543" t="n">
        <f>IF(COUNT(Records!K181:N181)&lt;4,"",AVERAGE(Records!K181,G181,Records!M181,H181))</f>
        <v>4</v>
      </c>
      <c r="K181" s="543" t="n">
        <f>IF(COUNT(Records!O181:Q181)&lt;3,"",AVERAGE(Records!O181:Q181))</f>
        <v>6</v>
      </c>
      <c r="L181" s="543" t="n">
        <f>Records!U181</f>
        <v>146.6</v>
      </c>
      <c r="M181" s="523" t="n">
        <f>181</f>
        <v>181</v>
      </c>
      <c r="N181" s="523"/>
      <c r="O181" s="523"/>
      <c r="P181" s="523"/>
      <c r="Q181" s="523"/>
      <c r="R181" s="523"/>
      <c r="S181" s="523"/>
      <c r="T181" s="523"/>
      <c r="U181" s="523"/>
      <c r="V181" s="523"/>
    </row>
    <row r="182">
      <c r="A182" s="523" t="str">
        <f>Records!A182</f>
        <v>P016</v>
      </c>
      <c r="B182" s="523" t="n">
        <f>Records!B182</f>
        <v>1</v>
      </c>
      <c r="C182" s="523" t="str">
        <f>Records!C182</f>
        <v>方法A</v>
      </c>
      <c r="D182" s="523" t="str">
        <f>Records!D182</f>
        <v>One-Euro</v>
      </c>
      <c r="E182" s="543" t="n">
        <f>IF(Records!G182="","",6-Records!G182)</f>
        <v>4</v>
      </c>
      <c r="F182" s="543" t="n">
        <f>IF(Records!I182="","",6-Records!I182)</f>
        <v>5</v>
      </c>
      <c r="G182" s="543" t="n">
        <f>IF(Records!L182="","",6-Records!L182)</f>
        <v>5</v>
      </c>
      <c r="H182" s="543" t="n">
        <f>IF(Records!N182="","",6-Records!N182)</f>
        <v>5</v>
      </c>
      <c r="I182" s="543" t="n">
        <f>IF(COUNT(Records!E182:J182)&lt;6,"",AVERAGE(Records!E182,Records!F182,E182,Records!H182,F182,Records!J182))</f>
        <v>4.166666666666667</v>
      </c>
      <c r="J182" s="543" t="n">
        <f>IF(COUNT(Records!K182:N182)&lt;4,"",AVERAGE(Records!K182,G182,Records!M182,H182))</f>
        <v>5</v>
      </c>
      <c r="K182" s="543" t="n">
        <f>IF(COUNT(Records!O182:Q182)&lt;3,"",AVERAGE(Records!O182:Q182))</f>
        <v>5</v>
      </c>
      <c r="L182" s="543" t="n">
        <f>Records!U182</f>
        <v>156.3</v>
      </c>
      <c r="M182" s="523" t="n">
        <f>182</f>
        <v>182</v>
      </c>
      <c r="N182" s="523"/>
      <c r="O182" s="523"/>
      <c r="P182" s="523"/>
      <c r="Q182" s="523"/>
      <c r="R182" s="523"/>
      <c r="S182" s="523"/>
      <c r="T182" s="523"/>
      <c r="U182" s="523"/>
      <c r="V182" s="523"/>
    </row>
    <row r="183">
      <c r="A183" s="523" t="str">
        <f>Records!A183</f>
        <v>P016</v>
      </c>
      <c r="B183" s="523" t="n">
        <f>Records!B183</f>
        <v>2</v>
      </c>
      <c r="C183" s="523" t="str">
        <f>Records!C183</f>
        <v>方法B</v>
      </c>
      <c r="D183" s="523" t="str">
        <f>Records!D183</f>
        <v>EgoAnchor</v>
      </c>
      <c r="E183" s="543" t="n">
        <f>IF(Records!G183="","",6-Records!G183)</f>
        <v>5</v>
      </c>
      <c r="F183" s="543" t="n">
        <f>IF(Records!I183="","",6-Records!I183)</f>
        <v>4</v>
      </c>
      <c r="G183" s="543" t="n">
        <f>IF(Records!L183="","",6-Records!L183)</f>
        <v>5</v>
      </c>
      <c r="H183" s="543" t="n">
        <f>IF(Records!N183="","",6-Records!N183)</f>
        <v>5</v>
      </c>
      <c r="I183" s="543" t="n">
        <f>IF(COUNT(Records!E183:J183)&lt;6,"",AVERAGE(Records!E183,Records!F183,E183,Records!H183,F183,Records!J183))</f>
        <v>4.833333333333333</v>
      </c>
      <c r="J183" s="543" t="n">
        <f>IF(COUNT(Records!K183:N183)&lt;4,"",AVERAGE(Records!K183,G183,Records!M183,H183))</f>
        <v>5</v>
      </c>
      <c r="K183" s="543" t="n">
        <f>IF(COUNT(Records!O183:Q183)&lt;3,"",AVERAGE(Records!O183:Q183))</f>
        <v>6.666666666666667</v>
      </c>
      <c r="L183" s="543" t="n">
        <f>Records!U183</f>
        <v>117.5</v>
      </c>
      <c r="M183" s="523" t="n">
        <f>183</f>
        <v>183</v>
      </c>
      <c r="N183" s="523"/>
      <c r="O183" s="523"/>
      <c r="P183" s="523"/>
      <c r="Q183" s="523"/>
      <c r="R183" s="523"/>
      <c r="S183" s="523"/>
      <c r="T183" s="523"/>
      <c r="U183" s="523"/>
      <c r="V183" s="523"/>
    </row>
    <row r="184">
      <c r="A184" s="523" t="str">
        <f>Records!A184</f>
        <v>P017</v>
      </c>
      <c r="B184" s="523" t="n">
        <f>Records!B184</f>
        <v>1</v>
      </c>
      <c r="C184" s="523" t="str">
        <f>Records!C184</f>
        <v>方法A</v>
      </c>
      <c r="D184" s="523" t="str">
        <f>Records!D184</f>
        <v>EgoAnchor</v>
      </c>
      <c r="E184" s="543" t="n">
        <f>IF(Records!G184="","",6-Records!G184)</f>
        <v>4</v>
      </c>
      <c r="F184" s="543" t="n">
        <f>IF(Records!I184="","",6-Records!I184)</f>
        <v>4</v>
      </c>
      <c r="G184" s="543" t="n">
        <f>IF(Records!L184="","",6-Records!L184)</f>
        <v>4</v>
      </c>
      <c r="H184" s="543" t="n">
        <f>IF(Records!N184="","",6-Records!N184)</f>
        <v>4</v>
      </c>
      <c r="I184" s="543" t="n">
        <f>IF(COUNT(Records!E184:J184)&lt;6,"",AVERAGE(Records!E184,Records!F184,E184,Records!H184,F184,Records!J184))</f>
        <v>4</v>
      </c>
      <c r="J184" s="543" t="n">
        <f>IF(COUNT(Records!K184:N184)&lt;4,"",AVERAGE(Records!K184,G184,Records!M184,H184))</f>
        <v>4.25</v>
      </c>
      <c r="K184" s="543" t="n">
        <f>IF(COUNT(Records!O184:Q184)&lt;3,"",AVERAGE(Records!O184:Q184))</f>
        <v>5.333333333333333</v>
      </c>
      <c r="L184" s="543" t="n">
        <f>Records!U184</f>
        <v>114.3</v>
      </c>
      <c r="M184" s="523" t="n">
        <f>184</f>
        <v>184</v>
      </c>
      <c r="N184" s="523"/>
      <c r="O184" s="523"/>
      <c r="P184" s="523"/>
      <c r="Q184" s="523"/>
      <c r="R184" s="523"/>
      <c r="S184" s="523"/>
      <c r="T184" s="523"/>
      <c r="U184" s="523"/>
      <c r="V184" s="523"/>
    </row>
    <row r="185">
      <c r="A185" s="523" t="str">
        <f>Records!A185</f>
        <v>P017</v>
      </c>
      <c r="B185" s="523" t="n">
        <f>Records!B185</f>
        <v>2</v>
      </c>
      <c r="C185" s="523" t="str">
        <f>Records!C185</f>
        <v>方法B</v>
      </c>
      <c r="D185" s="523" t="str">
        <f>Records!D185</f>
        <v>One-Euro</v>
      </c>
      <c r="E185" s="543" t="n">
        <f>IF(Records!G185="","",6-Records!G185)</f>
        <v>4</v>
      </c>
      <c r="F185" s="543" t="n">
        <f>IF(Records!I185="","",6-Records!I185)</f>
        <v>5</v>
      </c>
      <c r="G185" s="543" t="n">
        <f>IF(Records!L185="","",6-Records!L185)</f>
        <v>4</v>
      </c>
      <c r="H185" s="543" t="n">
        <f>IF(Records!N185="","",6-Records!N185)</f>
        <v>4</v>
      </c>
      <c r="I185" s="543" t="n">
        <f>IF(COUNT(Records!E185:J185)&lt;6,"",AVERAGE(Records!E185,Records!F185,E185,Records!H185,F185,Records!J185))</f>
        <v>4</v>
      </c>
      <c r="J185" s="543" t="n">
        <f>IF(COUNT(Records!K185:N185)&lt;4,"",AVERAGE(Records!K185,G185,Records!M185,H185))</f>
        <v>4</v>
      </c>
      <c r="K185" s="543" t="n">
        <f>IF(COUNT(Records!O185:Q185)&lt;3,"",AVERAGE(Records!O185:Q185))</f>
        <v>6</v>
      </c>
      <c r="L185" s="543" t="n">
        <f>Records!U185</f>
        <v>127.8</v>
      </c>
      <c r="M185" s="523" t="n">
        <f>185</f>
        <v>185</v>
      </c>
      <c r="N185" s="523"/>
      <c r="O185" s="523"/>
      <c r="P185" s="523"/>
      <c r="Q185" s="523"/>
      <c r="R185" s="523"/>
      <c r="S185" s="523"/>
      <c r="T185" s="523"/>
      <c r="U185" s="523"/>
      <c r="V185" s="523"/>
    </row>
    <row r="186">
      <c r="A186" s="523" t="str">
        <f>Records!A186</f>
        <v>P018</v>
      </c>
      <c r="B186" s="523" t="n">
        <f>Records!B186</f>
        <v>1</v>
      </c>
      <c r="C186" s="523" t="str">
        <f>Records!C186</f>
        <v>方法B</v>
      </c>
      <c r="D186" s="523" t="str">
        <f>Records!D186</f>
        <v>One-Euro</v>
      </c>
      <c r="E186" s="543" t="n">
        <f>IF(Records!G186="","",6-Records!G186)</f>
        <v>4</v>
      </c>
      <c r="F186" s="543" t="n">
        <f>IF(Records!I186="","",6-Records!I186)</f>
        <v>4</v>
      </c>
      <c r="G186" s="543" t="n">
        <f>IF(Records!L186="","",6-Records!L186)</f>
        <v>5</v>
      </c>
      <c r="H186" s="543" t="n">
        <f>IF(Records!N186="","",6-Records!N186)</f>
        <v>4</v>
      </c>
      <c r="I186" s="543" t="n">
        <f>IF(COUNT(Records!E186:J186)&lt;6,"",AVERAGE(Records!E186,Records!F186,E186,Records!H186,F186,Records!J186))</f>
        <v>4.333333333333333</v>
      </c>
      <c r="J186" s="543" t="n">
        <f>IF(COUNT(Records!K186:N186)&lt;4,"",AVERAGE(Records!K186,G186,Records!M186,H186))</f>
        <v>4.5</v>
      </c>
      <c r="K186" s="543" t="n">
        <f>IF(COUNT(Records!O186:Q186)&lt;3,"",AVERAGE(Records!O186:Q186))</f>
        <v>5.666666666666667</v>
      </c>
      <c r="L186" s="543" t="n">
        <f>Records!U186</f>
        <v>98.3</v>
      </c>
      <c r="M186" s="523" t="n">
        <f>186</f>
        <v>186</v>
      </c>
      <c r="N186" s="523"/>
      <c r="O186" s="523"/>
      <c r="P186" s="523"/>
      <c r="Q186" s="523"/>
      <c r="R186" s="523"/>
      <c r="S186" s="523"/>
      <c r="T186" s="523"/>
      <c r="U186" s="523"/>
      <c r="V186" s="523"/>
    </row>
    <row r="187">
      <c r="A187" s="523" t="str">
        <f>Records!A187</f>
        <v>P018</v>
      </c>
      <c r="B187" s="523" t="n">
        <f>Records!B187</f>
        <v>2</v>
      </c>
      <c r="C187" s="523" t="str">
        <f>Records!C187</f>
        <v>方法A</v>
      </c>
      <c r="D187" s="523" t="str">
        <f>Records!D187</f>
        <v>EgoAnchor</v>
      </c>
      <c r="E187" s="543" t="n">
        <f>IF(Records!G187="","",6-Records!G187)</f>
        <v>5</v>
      </c>
      <c r="F187" s="543" t="n">
        <f>IF(Records!I187="","",6-Records!I187)</f>
        <v>4</v>
      </c>
      <c r="G187" s="543" t="n">
        <f>IF(Records!L187="","",6-Records!L187)</f>
        <v>5</v>
      </c>
      <c r="H187" s="543" t="n">
        <f>IF(Records!N187="","",6-Records!N187)</f>
        <v>5</v>
      </c>
      <c r="I187" s="543" t="n">
        <f>IF(COUNT(Records!E187:J187)&lt;6,"",AVERAGE(Records!E187,Records!F187,E187,Records!H187,F187,Records!J187))</f>
        <v>4.666666666666667</v>
      </c>
      <c r="J187" s="543" t="n">
        <f>IF(COUNT(Records!K187:N187)&lt;4,"",AVERAGE(Records!K187,G187,Records!M187,H187))</f>
        <v>4.75</v>
      </c>
      <c r="K187" s="543" t="n">
        <f>IF(COUNT(Records!O187:Q187)&lt;3,"",AVERAGE(Records!O187:Q187))</f>
        <v>5.333333333333333</v>
      </c>
      <c r="L187" s="543" t="n">
        <f>Records!U187</f>
        <v>90.2</v>
      </c>
      <c r="M187" s="523" t="n">
        <f>187</f>
        <v>187</v>
      </c>
      <c r="N187" s="523"/>
      <c r="O187" s="523"/>
      <c r="P187" s="523"/>
      <c r="Q187" s="523"/>
      <c r="R187" s="523"/>
      <c r="S187" s="523"/>
      <c r="T187" s="523"/>
      <c r="U187" s="523"/>
      <c r="V187" s="523"/>
    </row>
    <row r="188">
      <c r="A188" s="523" t="str">
        <f>Records!A188</f>
        <v>P019</v>
      </c>
      <c r="B188" s="523" t="n">
        <f>Records!B188</f>
        <v>1</v>
      </c>
      <c r="C188" s="523" t="str">
        <f>Records!C188</f>
        <v>方法B</v>
      </c>
      <c r="D188" s="523" t="str">
        <f>Records!D188</f>
        <v>EgoAnchor</v>
      </c>
      <c r="E188" s="543" t="n">
        <f>IF(Records!G188="","",6-Records!G188)</f>
        <v>4</v>
      </c>
      <c r="F188" s="543" t="n">
        <f>IF(Records!I188="","",6-Records!I188)</f>
        <v>5</v>
      </c>
      <c r="G188" s="543" t="n">
        <f>IF(Records!L188="","",6-Records!L188)</f>
        <v>4</v>
      </c>
      <c r="H188" s="543" t="n">
        <f>IF(Records!N188="","",6-Records!N188)</f>
        <v>3</v>
      </c>
      <c r="I188" s="543" t="n">
        <f>IF(COUNT(Records!E188:J188)&lt;6,"",AVERAGE(Records!E188,Records!F188,E188,Records!H188,F188,Records!J188))</f>
        <v>4.333333333333333</v>
      </c>
      <c r="J188" s="543" t="n">
        <f>IF(COUNT(Records!K188:N188)&lt;4,"",AVERAGE(Records!K188,G188,Records!M188,H188))</f>
        <v>3.5</v>
      </c>
      <c r="K188" s="543" t="n">
        <f>IF(COUNT(Records!O188:Q188)&lt;3,"",AVERAGE(Records!O188:Q188))</f>
        <v>5.333333333333333</v>
      </c>
      <c r="L188" s="543" t="n">
        <f>Records!U188</f>
        <v>149.2</v>
      </c>
      <c r="M188" s="523" t="n">
        <f>188</f>
        <v>188</v>
      </c>
      <c r="N188" s="523"/>
      <c r="O188" s="523"/>
      <c r="P188" s="523"/>
      <c r="Q188" s="523"/>
      <c r="R188" s="523"/>
      <c r="S188" s="523"/>
      <c r="T188" s="523"/>
      <c r="U188" s="523"/>
      <c r="V188" s="523"/>
    </row>
    <row r="189">
      <c r="A189" s="523" t="str">
        <f>Records!A189</f>
        <v>P019</v>
      </c>
      <c r="B189" s="523" t="n">
        <f>Records!B189</f>
        <v>2</v>
      </c>
      <c r="C189" s="523" t="str">
        <f>Records!C189</f>
        <v>方法A</v>
      </c>
      <c r="D189" s="523" t="str">
        <f>Records!D189</f>
        <v>One-Euro</v>
      </c>
      <c r="E189" s="543" t="n">
        <f>IF(Records!G189="","",6-Records!G189)</f>
        <v>4</v>
      </c>
      <c r="F189" s="543" t="n">
        <f>IF(Records!I189="","",6-Records!I189)</f>
        <v>4</v>
      </c>
      <c r="G189" s="543" t="n">
        <f>IF(Records!L189="","",6-Records!L189)</f>
        <v>4</v>
      </c>
      <c r="H189" s="543" t="n">
        <f>IF(Records!N189="","",6-Records!N189)</f>
        <v>4</v>
      </c>
      <c r="I189" s="543" t="n">
        <f>IF(COUNT(Records!E189:J189)&lt;6,"",AVERAGE(Records!E189,Records!F189,E189,Records!H189,F189,Records!J189))</f>
        <v>4</v>
      </c>
      <c r="J189" s="543" t="n">
        <f>IF(COUNT(Records!K189:N189)&lt;4,"",AVERAGE(Records!K189,G189,Records!M189,H189))</f>
        <v>4</v>
      </c>
      <c r="K189" s="543" t="n">
        <f>IF(COUNT(Records!O189:Q189)&lt;3,"",AVERAGE(Records!O189:Q189))</f>
        <v>5</v>
      </c>
      <c r="L189" s="543" t="n">
        <f>Records!U189</f>
        <v>107</v>
      </c>
      <c r="M189" s="523" t="n">
        <f>189</f>
        <v>189</v>
      </c>
      <c r="N189" s="523"/>
      <c r="O189" s="523"/>
      <c r="P189" s="523"/>
      <c r="Q189" s="523"/>
      <c r="R189" s="523"/>
      <c r="S189" s="523"/>
      <c r="T189" s="523"/>
      <c r="U189" s="523"/>
      <c r="V189" s="523"/>
    </row>
    <row r="190">
      <c r="A190" s="523" t="str">
        <f>Records!A190</f>
        <v>P020</v>
      </c>
      <c r="B190" s="523" t="n">
        <f>Records!B190</f>
        <v>1</v>
      </c>
      <c r="C190" s="523" t="str">
        <f>Records!C190</f>
        <v>方法A</v>
      </c>
      <c r="D190" s="523" t="str">
        <f>Records!D190</f>
        <v>One-Euro</v>
      </c>
      <c r="E190" s="543" t="n">
        <f>IF(Records!G190="","",6-Records!G190)</f>
        <v>4</v>
      </c>
      <c r="F190" s="543" t="n">
        <f>IF(Records!I190="","",6-Records!I190)</f>
        <v>4</v>
      </c>
      <c r="G190" s="543" t="n">
        <f>IF(Records!L190="","",6-Records!L190)</f>
        <v>4</v>
      </c>
      <c r="H190" s="543" t="n">
        <f>IF(Records!N190="","",6-Records!N190)</f>
        <v>4</v>
      </c>
      <c r="I190" s="543" t="n">
        <f>IF(COUNT(Records!E190:J190)&lt;6,"",AVERAGE(Records!E190,Records!F190,E190,Records!H190,F190,Records!J190))</f>
        <v>4</v>
      </c>
      <c r="J190" s="543" t="n">
        <f>IF(COUNT(Records!K190:N190)&lt;4,"",AVERAGE(Records!K190,G190,Records!M190,H190))</f>
        <v>3.75</v>
      </c>
      <c r="K190" s="543" t="n">
        <f>IF(COUNT(Records!O190:Q190)&lt;3,"",AVERAGE(Records!O190:Q190))</f>
        <v>4.666666666666667</v>
      </c>
      <c r="L190" s="543" t="n">
        <f>Records!U190</f>
        <v>115.1</v>
      </c>
      <c r="M190" s="523" t="n">
        <f>190</f>
        <v>190</v>
      </c>
      <c r="N190" s="523"/>
      <c r="O190" s="523"/>
      <c r="P190" s="523"/>
      <c r="Q190" s="523"/>
      <c r="R190" s="523"/>
      <c r="S190" s="523"/>
      <c r="T190" s="523"/>
      <c r="U190" s="523"/>
      <c r="V190" s="523"/>
    </row>
    <row r="191">
      <c r="A191" s="523" t="str">
        <f>Records!A191</f>
        <v>P020</v>
      </c>
      <c r="B191" s="523" t="n">
        <f>Records!B191</f>
        <v>2</v>
      </c>
      <c r="C191" s="523" t="str">
        <f>Records!C191</f>
        <v>方法B</v>
      </c>
      <c r="D191" s="523" t="str">
        <f>Records!D191</f>
        <v>EgoAnchor</v>
      </c>
      <c r="E191" s="543" t="n">
        <f>IF(Records!G191="","",6-Records!G191)</f>
        <v>4</v>
      </c>
      <c r="F191" s="543" t="n">
        <f>IF(Records!I191="","",6-Records!I191)</f>
        <v>3</v>
      </c>
      <c r="G191" s="543" t="n">
        <f>IF(Records!L191="","",6-Records!L191)</f>
        <v>4</v>
      </c>
      <c r="H191" s="543" t="n">
        <f>IF(Records!N191="","",6-Records!N191)</f>
        <v>5</v>
      </c>
      <c r="I191" s="543" t="n">
        <f>IF(COUNT(Records!E191:J191)&lt;6,"",AVERAGE(Records!E191,Records!F191,E191,Records!H191,F191,Records!J191))</f>
        <v>4</v>
      </c>
      <c r="J191" s="543" t="n">
        <f>IF(COUNT(Records!K191:N191)&lt;4,"",AVERAGE(Records!K191,G191,Records!M191,H191))</f>
        <v>4.25</v>
      </c>
      <c r="K191" s="543" t="n">
        <f>IF(COUNT(Records!O191:Q191)&lt;3,"",AVERAGE(Records!O191:Q191))</f>
        <v>5.666666666666667</v>
      </c>
      <c r="L191" s="543" t="n">
        <f>Records!U191</f>
        <v>152.3</v>
      </c>
      <c r="M191" s="523" t="n">
        <f>191</f>
        <v>191</v>
      </c>
      <c r="N191" s="523"/>
      <c r="O191" s="523"/>
      <c r="P191" s="523"/>
      <c r="Q191" s="523"/>
      <c r="R191" s="523"/>
      <c r="S191" s="523"/>
      <c r="T191" s="523"/>
      <c r="U191" s="523"/>
      <c r="V191" s="523"/>
    </row>
    <row r="192">
      <c r="A192" s="523" t="str">
        <f>Records!A192</f>
        <v>P021</v>
      </c>
      <c r="B192" s="523" t="n">
        <f>Records!B192</f>
        <v>1</v>
      </c>
      <c r="C192" s="523" t="str">
        <f>Records!C192</f>
        <v>方法A</v>
      </c>
      <c r="D192" s="523" t="str">
        <f>Records!D192</f>
        <v>EgoAnchor</v>
      </c>
      <c r="E192" s="543" t="n">
        <f>IF(Records!G192="","",6-Records!G192)</f>
        <v>4</v>
      </c>
      <c r="F192" s="543" t="n">
        <f>IF(Records!I192="","",6-Records!I192)</f>
        <v>5</v>
      </c>
      <c r="G192" s="543" t="n">
        <f>IF(Records!L192="","",6-Records!L192)</f>
        <v>5</v>
      </c>
      <c r="H192" s="543" t="n">
        <f>IF(Records!N192="","",6-Records!N192)</f>
        <v>5</v>
      </c>
      <c r="I192" s="543" t="n">
        <f>IF(COUNT(Records!E192:J192)&lt;6,"",AVERAGE(Records!E192,Records!F192,E192,Records!H192,F192,Records!J192))</f>
        <v>4.5</v>
      </c>
      <c r="J192" s="543" t="n">
        <f>IF(COUNT(Records!K192:N192)&lt;4,"",AVERAGE(Records!K192,G192,Records!M192,H192))</f>
        <v>5</v>
      </c>
      <c r="K192" s="543" t="n">
        <f>IF(COUNT(Records!O192:Q192)&lt;3,"",AVERAGE(Records!O192:Q192))</f>
        <v>6</v>
      </c>
      <c r="L192" s="543" t="n">
        <f>Records!U192</f>
        <v>107.2</v>
      </c>
      <c r="M192" s="523" t="n">
        <f>192</f>
        <v>192</v>
      </c>
      <c r="N192" s="523"/>
      <c r="O192" s="523"/>
      <c r="P192" s="523"/>
      <c r="Q192" s="523"/>
      <c r="R192" s="523"/>
      <c r="S192" s="523"/>
      <c r="T192" s="523"/>
      <c r="U192" s="523"/>
      <c r="V192" s="523"/>
    </row>
    <row r="193">
      <c r="A193" s="523" t="str">
        <f>Records!A193</f>
        <v>P021</v>
      </c>
      <c r="B193" s="523" t="n">
        <f>Records!B193</f>
        <v>2</v>
      </c>
      <c r="C193" s="523" t="str">
        <f>Records!C193</f>
        <v>方法B</v>
      </c>
      <c r="D193" s="523" t="str">
        <f>Records!D193</f>
        <v>One-Euro</v>
      </c>
      <c r="E193" s="543" t="n">
        <f>IF(Records!G193="","",6-Records!G193)</f>
        <v>4</v>
      </c>
      <c r="F193" s="543" t="n">
        <f>IF(Records!I193="","",6-Records!I193)</f>
        <v>4</v>
      </c>
      <c r="G193" s="543" t="n">
        <f>IF(Records!L193="","",6-Records!L193)</f>
        <v>5</v>
      </c>
      <c r="H193" s="543" t="n">
        <f>IF(Records!N193="","",6-Records!N193)</f>
        <v>3</v>
      </c>
      <c r="I193" s="543" t="n">
        <f>IF(COUNT(Records!E193:J193)&lt;6,"",AVERAGE(Records!E193,Records!F193,E193,Records!H193,F193,Records!J193))</f>
        <v>4.166666666666667</v>
      </c>
      <c r="J193" s="543" t="n">
        <f>IF(COUNT(Records!K193:N193)&lt;4,"",AVERAGE(Records!K193,G193,Records!M193,H193))</f>
        <v>4.25</v>
      </c>
      <c r="K193" s="543" t="n">
        <f>IF(COUNT(Records!O193:Q193)&lt;3,"",AVERAGE(Records!O193:Q193))</f>
        <v>5.666666666666667</v>
      </c>
      <c r="L193" s="543" t="n">
        <f>Records!U193</f>
        <v>128.5</v>
      </c>
      <c r="M193" s="523" t="n">
        <f>193</f>
        <v>193</v>
      </c>
      <c r="N193" s="523"/>
      <c r="O193" s="523"/>
      <c r="P193" s="523"/>
      <c r="Q193" s="523"/>
      <c r="R193" s="523"/>
      <c r="S193" s="523"/>
      <c r="T193" s="523"/>
      <c r="U193" s="523"/>
      <c r="V193" s="523"/>
    </row>
    <row r="194">
      <c r="A194" s="523" t="str">
        <f>Records!A194</f>
        <v>P022</v>
      </c>
      <c r="B194" s="523" t="n">
        <f>Records!B194</f>
        <v>1</v>
      </c>
      <c r="C194" s="523" t="str">
        <f>Records!C194</f>
        <v>方法B</v>
      </c>
      <c r="D194" s="523" t="str">
        <f>Records!D194</f>
        <v>One-Euro</v>
      </c>
      <c r="E194" s="543" t="n">
        <f>IF(Records!G194="","",6-Records!G194)</f>
        <v>5</v>
      </c>
      <c r="F194" s="543" t="n">
        <f>IF(Records!I194="","",6-Records!I194)</f>
        <v>5</v>
      </c>
      <c r="G194" s="543" t="n">
        <f>IF(Records!L194="","",6-Records!L194)</f>
        <v>4</v>
      </c>
      <c r="H194" s="543" t="n">
        <f>IF(Records!N194="","",6-Records!N194)</f>
        <v>5</v>
      </c>
      <c r="I194" s="543" t="n">
        <f>IF(COUNT(Records!E194:J194)&lt;6,"",AVERAGE(Records!E194,Records!F194,E194,Records!H194,F194,Records!J194))</f>
        <v>4.5</v>
      </c>
      <c r="J194" s="543" t="n">
        <f>IF(COUNT(Records!K194:N194)&lt;4,"",AVERAGE(Records!K194,G194,Records!M194,H194))</f>
        <v>4.25</v>
      </c>
      <c r="K194" s="543" t="n">
        <f>IF(COUNT(Records!O194:Q194)&lt;3,"",AVERAGE(Records!O194:Q194))</f>
        <v>5.333333333333333</v>
      </c>
      <c r="L194" s="543" t="n">
        <f>Records!U194</f>
        <v>138</v>
      </c>
      <c r="M194" s="523" t="n">
        <f>194</f>
        <v>194</v>
      </c>
      <c r="N194" s="523"/>
      <c r="O194" s="523"/>
      <c r="P194" s="523"/>
      <c r="Q194" s="523"/>
      <c r="R194" s="523"/>
      <c r="S194" s="523"/>
      <c r="T194" s="523"/>
      <c r="U194" s="523"/>
      <c r="V194" s="523"/>
    </row>
    <row r="195">
      <c r="A195" s="523" t="str">
        <f>Records!A195</f>
        <v>P022</v>
      </c>
      <c r="B195" s="523" t="n">
        <f>Records!B195</f>
        <v>2</v>
      </c>
      <c r="C195" s="523" t="str">
        <f>Records!C195</f>
        <v>方法A</v>
      </c>
      <c r="D195" s="523" t="str">
        <f>Records!D195</f>
        <v>EgoAnchor</v>
      </c>
      <c r="E195" s="543" t="n">
        <f>IF(Records!G195="","",6-Records!G195)</f>
        <v>5</v>
      </c>
      <c r="F195" s="543" t="n">
        <f>IF(Records!I195="","",6-Records!I195)</f>
        <v>4</v>
      </c>
      <c r="G195" s="543" t="n">
        <f>IF(Records!L195="","",6-Records!L195)</f>
        <v>4</v>
      </c>
      <c r="H195" s="543" t="n">
        <f>IF(Records!N195="","",6-Records!N195)</f>
        <v>4</v>
      </c>
      <c r="I195" s="543" t="n">
        <f>IF(COUNT(Records!E195:J195)&lt;6,"",AVERAGE(Records!E195,Records!F195,E195,Records!H195,F195,Records!J195))</f>
        <v>4.833333333333333</v>
      </c>
      <c r="J195" s="543" t="n">
        <f>IF(COUNT(Records!K195:N195)&lt;4,"",AVERAGE(Records!K195,G195,Records!M195,H195))</f>
        <v>4.5</v>
      </c>
      <c r="K195" s="543" t="n">
        <f>IF(COUNT(Records!O195:Q195)&lt;3,"",AVERAGE(Records!O195:Q195))</f>
        <v>6</v>
      </c>
      <c r="L195" s="543" t="n">
        <f>Records!U195</f>
        <v>113.5</v>
      </c>
      <c r="M195" s="523" t="n">
        <f>195</f>
        <v>195</v>
      </c>
      <c r="N195" s="523"/>
      <c r="O195" s="523"/>
      <c r="P195" s="523"/>
      <c r="Q195" s="523"/>
      <c r="R195" s="523"/>
      <c r="S195" s="523"/>
      <c r="T195" s="523"/>
      <c r="U195" s="523"/>
      <c r="V195" s="523"/>
    </row>
    <row r="196">
      <c r="A196" s="523" t="str">
        <f>Records!A196</f>
        <v>P023</v>
      </c>
      <c r="B196" s="523" t="n">
        <f>Records!B196</f>
        <v>1</v>
      </c>
      <c r="C196" s="523" t="str">
        <f>Records!C196</f>
        <v>方法B</v>
      </c>
      <c r="D196" s="523" t="str">
        <f>Records!D196</f>
        <v>EgoAnchor</v>
      </c>
      <c r="E196" s="543" t="n">
        <f>IF(Records!G196="","",6-Records!G196)</f>
        <v>4</v>
      </c>
      <c r="F196" s="543" t="n">
        <f>IF(Records!I196="","",6-Records!I196)</f>
        <v>3</v>
      </c>
      <c r="G196" s="543" t="n">
        <f>IF(Records!L196="","",6-Records!L196)</f>
        <v>4</v>
      </c>
      <c r="H196" s="543" t="n">
        <f>IF(Records!N196="","",6-Records!N196)</f>
        <v>4</v>
      </c>
      <c r="I196" s="543" t="n">
        <f>IF(COUNT(Records!E196:J196)&lt;6,"",AVERAGE(Records!E196,Records!F196,E196,Records!H196,F196,Records!J196))</f>
        <v>4</v>
      </c>
      <c r="J196" s="543" t="n">
        <f>IF(COUNT(Records!K196:N196)&lt;4,"",AVERAGE(Records!K196,G196,Records!M196,H196))</f>
        <v>4</v>
      </c>
      <c r="K196" s="543" t="n">
        <f>IF(COUNT(Records!O196:Q196)&lt;3,"",AVERAGE(Records!O196:Q196))</f>
        <v>5.333333333333333</v>
      </c>
      <c r="L196" s="543" t="n">
        <f>Records!U196</f>
        <v>112.1</v>
      </c>
      <c r="M196" s="523" t="n">
        <f>196</f>
        <v>196</v>
      </c>
      <c r="N196" s="523"/>
      <c r="O196" s="523"/>
      <c r="P196" s="523"/>
      <c r="Q196" s="523"/>
      <c r="R196" s="523"/>
      <c r="S196" s="523"/>
      <c r="T196" s="523"/>
      <c r="U196" s="523"/>
      <c r="V196" s="523"/>
    </row>
    <row r="197">
      <c r="A197" s="523" t="str">
        <f>Records!A197</f>
        <v>P023</v>
      </c>
      <c r="B197" s="523" t="n">
        <f>Records!B197</f>
        <v>2</v>
      </c>
      <c r="C197" s="523" t="str">
        <f>Records!C197</f>
        <v>方法A</v>
      </c>
      <c r="D197" s="523" t="str">
        <f>Records!D197</f>
        <v>One-Euro</v>
      </c>
      <c r="E197" s="543" t="n">
        <f>IF(Records!G197="","",6-Records!G197)</f>
        <v>4</v>
      </c>
      <c r="F197" s="543" t="n">
        <f>IF(Records!I197="","",6-Records!I197)</f>
        <v>3</v>
      </c>
      <c r="G197" s="543" t="n">
        <f>IF(Records!L197="","",6-Records!L197)</f>
        <v>4</v>
      </c>
      <c r="H197" s="543" t="n">
        <f>IF(Records!N197="","",6-Records!N197)</f>
        <v>4</v>
      </c>
      <c r="I197" s="543" t="n">
        <f>IF(COUNT(Records!E197:J197)&lt;6,"",AVERAGE(Records!E197,Records!F197,E197,Records!H197,F197,Records!J197))</f>
        <v>3.6666666666666665</v>
      </c>
      <c r="J197" s="543" t="n">
        <f>IF(COUNT(Records!K197:N197)&lt;4,"",AVERAGE(Records!K197,G197,Records!M197,H197))</f>
        <v>3.75</v>
      </c>
      <c r="K197" s="543" t="n">
        <f>IF(COUNT(Records!O197:Q197)&lt;3,"",AVERAGE(Records!O197:Q197))</f>
        <v>4.666666666666667</v>
      </c>
      <c r="L197" s="543" t="n">
        <f>Records!U197</f>
        <v>152.8</v>
      </c>
      <c r="M197" s="523" t="n">
        <f>197</f>
        <v>197</v>
      </c>
      <c r="N197" s="523"/>
      <c r="O197" s="523"/>
      <c r="P197" s="523"/>
      <c r="Q197" s="523"/>
      <c r="R197" s="523"/>
      <c r="S197" s="523"/>
      <c r="T197" s="523"/>
      <c r="U197" s="523"/>
      <c r="V197" s="523"/>
    </row>
    <row r="198">
      <c r="A198" s="523" t="str">
        <f>Records!A198</f>
        <v>P024</v>
      </c>
      <c r="B198" s="523" t="n">
        <f>Records!B198</f>
        <v>1</v>
      </c>
      <c r="C198" s="523" t="str">
        <f>Records!C198</f>
        <v>方法A</v>
      </c>
      <c r="D198" s="523" t="str">
        <f>Records!D198</f>
        <v>One-Euro</v>
      </c>
      <c r="E198" s="543" t="n">
        <f>IF(Records!G198="","",6-Records!G198)</f>
        <v>5</v>
      </c>
      <c r="F198" s="543" t="n">
        <f>IF(Records!I198="","",6-Records!I198)</f>
        <v>3</v>
      </c>
      <c r="G198" s="543" t="n">
        <f>IF(Records!L198="","",6-Records!L198)</f>
        <v>4</v>
      </c>
      <c r="H198" s="543" t="n">
        <f>IF(Records!N198="","",6-Records!N198)</f>
        <v>5</v>
      </c>
      <c r="I198" s="543" t="n">
        <f>IF(COUNT(Records!E198:J198)&lt;6,"",AVERAGE(Records!E198,Records!F198,E198,Records!H198,F198,Records!J198))</f>
        <v>4</v>
      </c>
      <c r="J198" s="543" t="n">
        <f>IF(COUNT(Records!K198:N198)&lt;4,"",AVERAGE(Records!K198,G198,Records!M198,H198))</f>
        <v>4.25</v>
      </c>
      <c r="K198" s="543" t="n">
        <f>IF(COUNT(Records!O198:Q198)&lt;3,"",AVERAGE(Records!O198:Q198))</f>
        <v>5.666666666666667</v>
      </c>
      <c r="L198" s="543" t="n">
        <f>Records!U198</f>
        <v>124.9</v>
      </c>
      <c r="M198" s="523" t="n">
        <f>198</f>
        <v>198</v>
      </c>
      <c r="N198" s="523"/>
      <c r="O198" s="523"/>
      <c r="P198" s="523"/>
      <c r="Q198" s="523"/>
      <c r="R198" s="523"/>
      <c r="S198" s="523"/>
      <c r="T198" s="523"/>
      <c r="U198" s="523"/>
      <c r="V198" s="523"/>
    </row>
    <row r="199">
      <c r="A199" s="523" t="str">
        <f>Records!A199</f>
        <v>P024</v>
      </c>
      <c r="B199" s="523" t="n">
        <f>Records!B199</f>
        <v>2</v>
      </c>
      <c r="C199" s="523" t="str">
        <f>Records!C199</f>
        <v>方法B</v>
      </c>
      <c r="D199" s="523" t="str">
        <f>Records!D199</f>
        <v>EgoAnchor</v>
      </c>
      <c r="E199" s="543" t="n">
        <f>IF(Records!G199="","",6-Records!G199)</f>
        <v>5</v>
      </c>
      <c r="F199" s="543" t="n">
        <f>IF(Records!I199="","",6-Records!I199)</f>
        <v>4</v>
      </c>
      <c r="G199" s="543" t="n">
        <f>IF(Records!L199="","",6-Records!L199)</f>
        <v>5</v>
      </c>
      <c r="H199" s="543" t="n">
        <f>IF(Records!N199="","",6-Records!N199)</f>
        <v>5</v>
      </c>
      <c r="I199" s="543" t="n">
        <f>IF(COUNT(Records!E199:J199)&lt;6,"",AVERAGE(Records!E199,Records!F199,E199,Records!H199,F199,Records!J199))</f>
        <v>4.666666666666667</v>
      </c>
      <c r="J199" s="543" t="n">
        <f>IF(COUNT(Records!K199:N199)&lt;4,"",AVERAGE(Records!K199,G199,Records!M199,H199))</f>
        <v>5</v>
      </c>
      <c r="K199" s="543" t="n">
        <f>IF(COUNT(Records!O199:Q199)&lt;3,"",AVERAGE(Records!O199:Q199))</f>
        <v>6</v>
      </c>
      <c r="L199" s="543" t="n">
        <f>Records!U199</f>
        <v>103</v>
      </c>
      <c r="M199" s="523" t="n">
        <f>199</f>
        <v>199</v>
      </c>
      <c r="N199" s="523"/>
      <c r="O199" s="523"/>
      <c r="P199" s="523"/>
      <c r="Q199" s="523"/>
      <c r="R199" s="523"/>
      <c r="S199" s="523"/>
      <c r="T199" s="523"/>
      <c r="U199" s="523"/>
      <c r="V199" s="523"/>
    </row>
    <row r="200">
      <c r="A200" s="523"/>
      <c r="B200" s="523"/>
      <c r="C200" s="523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</row>
    <row r="201">
      <c r="A201" s="523"/>
      <c r="B201" s="523"/>
      <c r="C201" s="523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</row>
    <row r="202">
      <c r="A202" s="523"/>
      <c r="B202" s="523"/>
      <c r="C202" s="523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</row>
    <row r="203">
      <c r="A203" s="545" t="str">
        <v>参与者×方法三物体汇总（主分析输入）</v>
      </c>
      <c r="B203" s="545"/>
      <c r="C203" s="545"/>
      <c r="D203" s="545"/>
      <c r="E203" s="545"/>
      <c r="F203" s="545"/>
      <c r="G203" s="545"/>
      <c r="H203" s="545"/>
      <c r="I203" s="545"/>
      <c r="J203" s="545"/>
      <c r="K203" s="545"/>
      <c r="L203" s="545"/>
      <c r="M203" s="545"/>
      <c r="N203" s="545"/>
      <c r="O203" s="545"/>
      <c r="P203" s="545"/>
      <c r="Q203" s="545"/>
      <c r="R203" s="545"/>
      <c r="S203" s="545"/>
      <c r="T203" s="545"/>
      <c r="U203" s="545"/>
      <c r="V203" s="545"/>
    </row>
    <row r="204">
      <c r="A204" s="542" t="str">
        <v>Participant_ID</v>
      </c>
      <c r="B204" s="542" t="str">
        <v>Condition</v>
      </c>
      <c r="C204" s="542" t="str">
        <v>Shown_Label</v>
      </c>
      <c r="D204" s="542" t="str">
        <v>Q1_mean</v>
      </c>
      <c r="E204" s="542" t="str">
        <v>Q8_mean</v>
      </c>
      <c r="F204" s="542" t="str">
        <v>Q2_mean</v>
      </c>
      <c r="G204" s="542" t="str">
        <v>Q9_mean</v>
      </c>
      <c r="H204" s="542" t="str">
        <v>Q3_mean</v>
      </c>
      <c r="I204" s="542" t="str">
        <v>Q6_mean</v>
      </c>
      <c r="J204" s="542" t="str">
        <v>Q7_mean</v>
      </c>
      <c r="K204" s="542" t="str">
        <v>AQ_EQ_mean</v>
      </c>
      <c r="L204" s="542" t="str">
        <v>AQ_IQ_mean</v>
      </c>
      <c r="M204" s="542" t="str">
        <v>TiA_RC</v>
      </c>
      <c r="N204" s="542" t="str">
        <v>TiA_UP</v>
      </c>
      <c r="O204" s="542" t="str">
        <v>S_TIAS</v>
      </c>
      <c r="P204" s="542" t="str">
        <v>Valid_Blocks</v>
      </c>
      <c r="Q204" s="542" t="str">
        <v>Final_Method_Choice</v>
      </c>
      <c r="R204" s="542" t="str">
        <v>Final_Trust_Choice</v>
      </c>
      <c r="S204" s="542" t="str">
        <v>Preference_Strength</v>
      </c>
      <c r="T204" s="542" t="str">
        <v>Discrimination_Confidence</v>
      </c>
      <c r="U204" s="542" t="str">
        <v>Source_Block_Rows</v>
      </c>
      <c r="V204" s="542" t="str">
        <v>Source_Method_Row</v>
      </c>
    </row>
    <row r="205">
      <c r="A205" s="523" t="str">
        <f>"P001"</f>
        <v>P001</v>
      </c>
      <c r="B205" s="523" t="str">
        <f>"One-Euro"</f>
        <v>One-Euro</v>
      </c>
      <c r="C205" s="523" t="str">
        <f>"方法B"</f>
        <v>方法B</v>
      </c>
      <c r="D205" s="543" t="n">
        <f>AVERAGE(F6,F7,F10)</f>
        <v>3.3333333333333335</v>
      </c>
      <c r="E205" s="543" t="n">
        <f>AVERAGE(G6,G7,G10)</f>
        <v>5.333333333333333</v>
      </c>
      <c r="F205" s="543" t="n">
        <f>AVERAGE(H6,H7,H10)</f>
        <v>5</v>
      </c>
      <c r="G205" s="543" t="n">
        <f>AVERAGE(I6,I7,I10)</f>
        <v>4.333333333333333</v>
      </c>
      <c r="H205" s="543" t="n">
        <f>AVERAGE(J6,J7,J10)</f>
        <v>3.6666666666666665</v>
      </c>
      <c r="I205" s="543" t="n">
        <f>AVERAGE(K6,K7,K10)</f>
        <v>4</v>
      </c>
      <c r="J205" s="543" t="n">
        <f>AVERAGE(L6,L7,L10)</f>
        <v>4.333333333333333</v>
      </c>
      <c r="K205" s="543" t="n">
        <f>AVERAGE(M6,M7,M10)</f>
        <v>4.666666666666667</v>
      </c>
      <c r="L205" s="543" t="n">
        <f>AVERAGE(N6,N7,N10)</f>
        <v>4.888888888888889</v>
      </c>
      <c r="M205" s="543" t="n">
        <f>I153</f>
        <v>3.5</v>
      </c>
      <c r="N205" s="543" t="n">
        <f>J153</f>
        <v>3.25</v>
      </c>
      <c r="O205" s="543" t="n">
        <f>K153</f>
        <v>4.333333333333333</v>
      </c>
      <c r="P205" s="544" t="n">
        <f>IF(O6="是",1,0)+IF(O7="是",1,0)+IF(O10="是",1,0)</f>
        <v>3</v>
      </c>
      <c r="Q205" s="523" t="str">
        <f>Records!I203</f>
        <v>无明显偏好</v>
      </c>
      <c r="R205" s="523" t="str">
        <f>Records!J203</f>
        <v>EgoAnchor</v>
      </c>
      <c r="S205" s="544" t="str">
        <f>IF(Records!C203="","",Records!C203)</f>
      </c>
      <c r="T205" s="544" t="n">
        <f>Records!E203</f>
        <v>4</v>
      </c>
      <c r="U205" s="523" t="str">
        <f>"6,7,10"</f>
        <v>6,7,10</v>
      </c>
      <c r="V205" s="523" t="n">
        <f>153</f>
        <v>153</v>
      </c>
    </row>
    <row r="206">
      <c r="A206" s="523" t="str">
        <f>"P001"</f>
        <v>P001</v>
      </c>
      <c r="B206" s="523" t="str">
        <f>"EgoAnchor"</f>
        <v>EgoAnchor</v>
      </c>
      <c r="C206" s="523" t="str">
        <f>"方法A"</f>
        <v>方法A</v>
      </c>
      <c r="D206" s="543" t="n">
        <f>AVERAGE(F5,F8,F9)</f>
        <v>5</v>
      </c>
      <c r="E206" s="543" t="n">
        <f>AVERAGE(G5,G8,G9)</f>
        <v>5.333333333333333</v>
      </c>
      <c r="F206" s="543" t="n">
        <f>AVERAGE(H5,H8,H9)</f>
        <v>5.333333333333333</v>
      </c>
      <c r="G206" s="543" t="n">
        <f>AVERAGE(I5,I8,I9)</f>
        <v>4.666666666666667</v>
      </c>
      <c r="H206" s="543" t="n">
        <f>AVERAGE(J5,J8,J9)</f>
        <v>5.333333333333333</v>
      </c>
      <c r="I206" s="543" t="n">
        <f>AVERAGE(K5,K8,K9)</f>
        <v>5</v>
      </c>
      <c r="J206" s="543" t="n">
        <f>AVERAGE(L5,L8,L9)</f>
        <v>4.666666666666667</v>
      </c>
      <c r="K206" s="543" t="n">
        <f>AVERAGE(M5,M8,M9)</f>
        <v>4.888888888888888</v>
      </c>
      <c r="L206" s="543" t="n">
        <f>AVERAGE(N5,N8,N9)</f>
        <v>4.888888888888889</v>
      </c>
      <c r="M206" s="543" t="n">
        <f>I152</f>
        <v>5</v>
      </c>
      <c r="N206" s="543" t="n">
        <f>J152</f>
        <v>4.5</v>
      </c>
      <c r="O206" s="543" t="n">
        <f>K152</f>
        <v>6</v>
      </c>
      <c r="P206" s="544" t="n">
        <f>IF(O5="是",1,0)+IF(O8="是",1,0)+IF(O9="是",1,0)</f>
        <v>3</v>
      </c>
      <c r="Q206" s="523" t="str">
        <f>Records!I203</f>
        <v>无明显偏好</v>
      </c>
      <c r="R206" s="523" t="str">
        <f>Records!J203</f>
        <v>EgoAnchor</v>
      </c>
      <c r="S206" s="544" t="str">
        <f>IF(Records!C203="","",Records!C203)</f>
      </c>
      <c r="T206" s="544" t="n">
        <f>Records!E203</f>
        <v>4</v>
      </c>
      <c r="U206" s="523" t="str">
        <f>"5,8,9"</f>
        <v>5,8,9</v>
      </c>
      <c r="V206" s="523" t="n">
        <f>152</f>
        <v>152</v>
      </c>
    </row>
    <row r="207">
      <c r="A207" s="523" t="str">
        <f>"P002"</f>
        <v>P002</v>
      </c>
      <c r="B207" s="523" t="str">
        <f>"One-Euro"</f>
        <v>One-Euro</v>
      </c>
      <c r="C207" s="523" t="str">
        <f>"方法B"</f>
        <v>方法B</v>
      </c>
      <c r="D207" s="543" t="n">
        <f>AVERAGE(F11,F14,F15)</f>
        <v>4.666666666666667</v>
      </c>
      <c r="E207" s="543" t="n">
        <f>AVERAGE(G11,G14,G15)</f>
        <v>4.666666666666667</v>
      </c>
      <c r="F207" s="543" t="n">
        <f>AVERAGE(H11,H14,H15)</f>
        <v>6.333333333333333</v>
      </c>
      <c r="G207" s="543" t="n">
        <f>AVERAGE(I11,I14,I15)</f>
        <v>4.333333333333333</v>
      </c>
      <c r="H207" s="543" t="n">
        <f>AVERAGE(J11,J14,J15)</f>
        <v>4.666666666666667</v>
      </c>
      <c r="I207" s="543" t="n">
        <f>AVERAGE(K11,K14,K15)</f>
        <v>5</v>
      </c>
      <c r="J207" s="543" t="n">
        <f>AVERAGE(L11,L14,L15)</f>
        <v>4.666666666666667</v>
      </c>
      <c r="K207" s="543" t="n">
        <f>AVERAGE(M11,M14,M15)</f>
        <v>5.222222222222222</v>
      </c>
      <c r="L207" s="543" t="n">
        <f>AVERAGE(N11,N14,N15)</f>
        <v>5.666666666666667</v>
      </c>
      <c r="M207" s="543" t="n">
        <f>I154</f>
        <v>4.666666666666667</v>
      </c>
      <c r="N207" s="543" t="n">
        <f>J154</f>
        <v>4</v>
      </c>
      <c r="O207" s="543" t="n">
        <f>K154</f>
        <v>5.666666666666667</v>
      </c>
      <c r="P207" s="544" t="n">
        <f>IF(O11="是",1,0)+IF(O14="是",1,0)+IF(O15="是",1,0)</f>
        <v>3</v>
      </c>
      <c r="Q207" s="523" t="str">
        <f>Records!I204</f>
        <v>EgoAnchor</v>
      </c>
      <c r="R207" s="523" t="str">
        <f>Records!J204</f>
        <v>EgoAnchor</v>
      </c>
      <c r="S207" s="544" t="n">
        <f>IF(Records!C204="","",Records!C204)</f>
        <v>4</v>
      </c>
      <c r="T207" s="544" t="n">
        <f>Records!E204</f>
        <v>5</v>
      </c>
      <c r="U207" s="523" t="str">
        <f>"11,14,15"</f>
        <v>11,14,15</v>
      </c>
      <c r="V207" s="523" t="n">
        <f>154</f>
        <v>154</v>
      </c>
    </row>
    <row r="208">
      <c r="A208" s="523" t="str">
        <f>"P002"</f>
        <v>P002</v>
      </c>
      <c r="B208" s="523" t="str">
        <f>"EgoAnchor"</f>
        <v>EgoAnchor</v>
      </c>
      <c r="C208" s="523" t="str">
        <f>"方法A"</f>
        <v>方法A</v>
      </c>
      <c r="D208" s="543" t="n">
        <f>AVERAGE(F12,F13,F16)</f>
        <v>5.333333333333333</v>
      </c>
      <c r="E208" s="543" t="n">
        <f>AVERAGE(G12,G13,G16)</f>
        <v>6</v>
      </c>
      <c r="F208" s="543" t="n">
        <f>AVERAGE(H12,H13,H16)</f>
        <v>5</v>
      </c>
      <c r="G208" s="543" t="n">
        <f>AVERAGE(I12,I13,I16)</f>
        <v>6</v>
      </c>
      <c r="H208" s="543" t="n">
        <f>AVERAGE(J12,J13,J16)</f>
        <v>6.333333333333333</v>
      </c>
      <c r="I208" s="543" t="n">
        <f>AVERAGE(K12,K13,K16)</f>
        <v>6.666666666666667</v>
      </c>
      <c r="J208" s="543" t="n">
        <f>AVERAGE(L12,L13,L16)</f>
        <v>5.333333333333333</v>
      </c>
      <c r="K208" s="543" t="n">
        <f>AVERAGE(M12,M13,M16)</f>
        <v>5.666666666666667</v>
      </c>
      <c r="L208" s="543" t="n">
        <f>AVERAGE(N12,N13,N16)</f>
        <v>5.555555555555556</v>
      </c>
      <c r="M208" s="543" t="n">
        <f>I155</f>
        <v>4.833333333333333</v>
      </c>
      <c r="N208" s="543" t="n">
        <f>J155</f>
        <v>4.75</v>
      </c>
      <c r="O208" s="543" t="n">
        <f>K155</f>
        <v>6.666666666666667</v>
      </c>
      <c r="P208" s="544" t="n">
        <f>IF(O12="是",1,0)+IF(O13="是",1,0)+IF(O16="是",1,0)</f>
        <v>3</v>
      </c>
      <c r="Q208" s="523" t="str">
        <f>Records!I204</f>
        <v>EgoAnchor</v>
      </c>
      <c r="R208" s="523" t="str">
        <f>Records!J204</f>
        <v>EgoAnchor</v>
      </c>
      <c r="S208" s="544" t="n">
        <f>IF(Records!C204="","",Records!C204)</f>
        <v>4</v>
      </c>
      <c r="T208" s="544" t="n">
        <f>Records!E204</f>
        <v>5</v>
      </c>
      <c r="U208" s="523" t="str">
        <f>"12,13,16"</f>
        <v>12,13,16</v>
      </c>
      <c r="V208" s="523" t="n">
        <f>155</f>
        <v>155</v>
      </c>
    </row>
    <row r="209">
      <c r="A209" s="523" t="str">
        <f>"P003"</f>
        <v>P003</v>
      </c>
      <c r="B209" s="523" t="str">
        <f>"One-Euro"</f>
        <v>One-Euro</v>
      </c>
      <c r="C209" s="523" t="str">
        <f>"方法A"</f>
        <v>方法A</v>
      </c>
      <c r="D209" s="543" t="n">
        <f>AVERAGE(F18,F19,F22)</f>
        <v>4.666666666666667</v>
      </c>
      <c r="E209" s="543" t="n">
        <f>AVERAGE(G18,G19,G22)</f>
        <v>5</v>
      </c>
      <c r="F209" s="543" t="n">
        <f>AVERAGE(H18,H19,H22)</f>
        <v>5</v>
      </c>
      <c r="G209" s="543" t="n">
        <f>AVERAGE(I18,I19,I22)</f>
        <v>4.333333333333333</v>
      </c>
      <c r="H209" s="543" t="n">
        <f>AVERAGE(J18,J19,J22)</f>
        <v>4.666666666666667</v>
      </c>
      <c r="I209" s="543" t="n">
        <f>AVERAGE(K18,K19,K22)</f>
        <v>4.333333333333333</v>
      </c>
      <c r="J209" s="543" t="n">
        <f>AVERAGE(L18,L19,L22)</f>
        <v>5</v>
      </c>
      <c r="K209" s="543" t="n">
        <f>AVERAGE(M18,M19,M22)</f>
        <v>5</v>
      </c>
      <c r="L209" s="543" t="n">
        <f>AVERAGE(N18,N19,N22)</f>
        <v>5.333333333333333</v>
      </c>
      <c r="M209" s="543" t="n">
        <f>I157</f>
        <v>5</v>
      </c>
      <c r="N209" s="543" t="n">
        <f>J157</f>
        <v>4.25</v>
      </c>
      <c r="O209" s="543" t="n">
        <f>K157</f>
        <v>5.666666666666667</v>
      </c>
      <c r="P209" s="544" t="n">
        <f>IF(O18="是",1,0)+IF(O19="是",1,0)+IF(O22="是",1,0)</f>
        <v>3</v>
      </c>
      <c r="Q209" s="523" t="str">
        <f>Records!I205</f>
        <v>EgoAnchor</v>
      </c>
      <c r="R209" s="523" t="str">
        <f>Records!J205</f>
        <v>EgoAnchor</v>
      </c>
      <c r="S209" s="544" t="n">
        <f>IF(Records!C205="","",Records!C205)</f>
        <v>3</v>
      </c>
      <c r="T209" s="544" t="n">
        <f>Records!E205</f>
        <v>7</v>
      </c>
      <c r="U209" s="523" t="str">
        <f>"18,19,22"</f>
        <v>18,19,22</v>
      </c>
      <c r="V209" s="523" t="n">
        <f>157</f>
        <v>157</v>
      </c>
    </row>
    <row r="210">
      <c r="A210" s="523" t="str">
        <f>"P003"</f>
        <v>P003</v>
      </c>
      <c r="B210" s="523" t="str">
        <f>"EgoAnchor"</f>
        <v>EgoAnchor</v>
      </c>
      <c r="C210" s="523" t="str">
        <f>"方法B"</f>
        <v>方法B</v>
      </c>
      <c r="D210" s="543" t="n">
        <f>AVERAGE(F17,F20,F21)</f>
        <v>5.666666666666667</v>
      </c>
      <c r="E210" s="543" t="n">
        <f>AVERAGE(G17,G20,G21)</f>
        <v>5</v>
      </c>
      <c r="F210" s="543" t="n">
        <f>AVERAGE(H17,H20,H21)</f>
        <v>4.666666666666667</v>
      </c>
      <c r="G210" s="543" t="n">
        <f>AVERAGE(I17,I20,I21)</f>
        <v>5.333333333333333</v>
      </c>
      <c r="H210" s="543" t="n">
        <f>AVERAGE(J17,J20,J21)</f>
        <v>5.666666666666667</v>
      </c>
      <c r="I210" s="543" t="n">
        <f>AVERAGE(K17,K20,K21)</f>
        <v>5.333333333333333</v>
      </c>
      <c r="J210" s="543" t="n">
        <f>AVERAGE(L17,L20,L21)</f>
        <v>5</v>
      </c>
      <c r="K210" s="543" t="n">
        <f>AVERAGE(M17,M20,M21)</f>
        <v>5.666666666666667</v>
      </c>
      <c r="L210" s="543" t="n">
        <f>AVERAGE(N17,N20,N21)</f>
        <v>5.777777777777778</v>
      </c>
      <c r="M210" s="543" t="n">
        <f>I156</f>
        <v>5</v>
      </c>
      <c r="N210" s="543" t="n">
        <f>J156</f>
        <v>5</v>
      </c>
      <c r="O210" s="543" t="n">
        <f>K156</f>
        <v>7</v>
      </c>
      <c r="P210" s="544" t="n">
        <f>IF(O17="是",1,0)+IF(O20="是",1,0)+IF(O21="是",1,0)</f>
        <v>3</v>
      </c>
      <c r="Q210" s="523" t="str">
        <f>Records!I205</f>
        <v>EgoAnchor</v>
      </c>
      <c r="R210" s="523" t="str">
        <f>Records!J205</f>
        <v>EgoAnchor</v>
      </c>
      <c r="S210" s="544" t="n">
        <f>IF(Records!C205="","",Records!C205)</f>
        <v>3</v>
      </c>
      <c r="T210" s="544" t="n">
        <f>Records!E205</f>
        <v>7</v>
      </c>
      <c r="U210" s="523" t="str">
        <f>"17,20,21"</f>
        <v>17,20,21</v>
      </c>
      <c r="V210" s="523" t="n">
        <f>156</f>
        <v>156</v>
      </c>
    </row>
    <row r="211">
      <c r="A211" s="523" t="str">
        <f>"P004"</f>
        <v>P004</v>
      </c>
      <c r="B211" s="523" t="str">
        <f>"One-Euro"</f>
        <v>One-Euro</v>
      </c>
      <c r="C211" s="523" t="str">
        <f>"方法A"</f>
        <v>方法A</v>
      </c>
      <c r="D211" s="543" t="n">
        <f>AVERAGE(F23,F26,F27)</f>
        <v>5.333333333333333</v>
      </c>
      <c r="E211" s="543" t="n">
        <f>AVERAGE(G23,G26,G27)</f>
        <v>4.666666666666667</v>
      </c>
      <c r="F211" s="543" t="n">
        <f>AVERAGE(H23,H26,H27)</f>
        <v>4</v>
      </c>
      <c r="G211" s="543" t="n">
        <f>AVERAGE(I23,I26,I27)</f>
        <v>4</v>
      </c>
      <c r="H211" s="543" t="n">
        <f>AVERAGE(J23,J26,J27)</f>
        <v>4.666666666666667</v>
      </c>
      <c r="I211" s="543" t="n">
        <f>AVERAGE(K23,K26,K27)</f>
        <v>4.333333333333333</v>
      </c>
      <c r="J211" s="543" t="n">
        <f>AVERAGE(L23,L26,L27)</f>
        <v>3.6666666666666665</v>
      </c>
      <c r="K211" s="543" t="n">
        <f>AVERAGE(M23,M26,M27)</f>
        <v>4.222222222222222</v>
      </c>
      <c r="L211" s="543" t="n">
        <f>AVERAGE(N23,N26,N27)</f>
        <v>4.444444444444444</v>
      </c>
      <c r="M211" s="543" t="n">
        <f>I158</f>
        <v>4.5</v>
      </c>
      <c r="N211" s="543" t="n">
        <f>J158</f>
        <v>4</v>
      </c>
      <c r="O211" s="543" t="n">
        <f>K158</f>
        <v>5</v>
      </c>
      <c r="P211" s="544" t="n">
        <f>IF(O23="是",1,0)+IF(O26="是",1,0)+IF(O27="是",1,0)</f>
        <v>3</v>
      </c>
      <c r="Q211" s="523" t="str">
        <f>Records!I206</f>
        <v>One-Euro</v>
      </c>
      <c r="R211" s="523" t="str">
        <f>Records!J206</f>
        <v>One-Euro</v>
      </c>
      <c r="S211" s="544" t="n">
        <f>IF(Records!C206="","",Records!C206)</f>
        <v>2</v>
      </c>
      <c r="T211" s="544" t="n">
        <f>Records!E206</f>
        <v>5</v>
      </c>
      <c r="U211" s="523" t="str">
        <f>"23,26,27"</f>
        <v>23,26,27</v>
      </c>
      <c r="V211" s="523" t="n">
        <f>158</f>
        <v>158</v>
      </c>
    </row>
    <row r="212">
      <c r="A212" s="523" t="str">
        <f>"P004"</f>
        <v>P004</v>
      </c>
      <c r="B212" s="523" t="str">
        <f>"EgoAnchor"</f>
        <v>EgoAnchor</v>
      </c>
      <c r="C212" s="523" t="str">
        <f>"方法B"</f>
        <v>方法B</v>
      </c>
      <c r="D212" s="543" t="n">
        <f>AVERAGE(F24,F25,F28)</f>
        <v>4.333333333333333</v>
      </c>
      <c r="E212" s="543" t="n">
        <f>AVERAGE(G24,G25,G28)</f>
        <v>5.333333333333333</v>
      </c>
      <c r="F212" s="543" t="n">
        <f>AVERAGE(H24,H25,H28)</f>
        <v>4.333333333333333</v>
      </c>
      <c r="G212" s="543" t="n">
        <f>AVERAGE(I24,I25,I28)</f>
        <v>4.666666666666667</v>
      </c>
      <c r="H212" s="543" t="n">
        <f>AVERAGE(J24,J25,J28)</f>
        <v>2.6666666666666665</v>
      </c>
      <c r="I212" s="543" t="n">
        <f>AVERAGE(K24,K25,K28)</f>
        <v>4</v>
      </c>
      <c r="J212" s="543" t="n">
        <f>AVERAGE(L24,L25,L28)</f>
        <v>4.666666666666667</v>
      </c>
      <c r="K212" s="543" t="n">
        <f>AVERAGE(M24,M25,M28)</f>
        <v>4.666666666666667</v>
      </c>
      <c r="L212" s="543" t="n">
        <f>AVERAGE(N24,N25,N28)</f>
        <v>4.555555555555555</v>
      </c>
      <c r="M212" s="543" t="n">
        <f>I159</f>
        <v>4.5</v>
      </c>
      <c r="N212" s="543" t="n">
        <f>J159</f>
        <v>4</v>
      </c>
      <c r="O212" s="543" t="n">
        <f>K159</f>
        <v>5</v>
      </c>
      <c r="P212" s="544" t="n">
        <f>IF(O24="是",1,0)+IF(O25="是",1,0)+IF(O28="是",1,0)</f>
        <v>3</v>
      </c>
      <c r="Q212" s="523" t="str">
        <f>Records!I206</f>
        <v>One-Euro</v>
      </c>
      <c r="R212" s="523" t="str">
        <f>Records!J206</f>
        <v>One-Euro</v>
      </c>
      <c r="S212" s="544" t="n">
        <f>IF(Records!C206="","",Records!C206)</f>
        <v>2</v>
      </c>
      <c r="T212" s="544" t="n">
        <f>Records!E206</f>
        <v>5</v>
      </c>
      <c r="U212" s="523" t="str">
        <f>"24,25,28"</f>
        <v>24,25,28</v>
      </c>
      <c r="V212" s="523" t="n">
        <f>159</f>
        <v>159</v>
      </c>
    </row>
    <row r="213">
      <c r="A213" s="523" t="str">
        <f>"P005"</f>
        <v>P005</v>
      </c>
      <c r="B213" s="523" t="str">
        <f>"One-Euro"</f>
        <v>One-Euro</v>
      </c>
      <c r="C213" s="523" t="str">
        <f>"方法B"</f>
        <v>方法B</v>
      </c>
      <c r="D213" s="543" t="n">
        <f>AVERAGE(F30,F31,F34)</f>
        <v>4.333333333333333</v>
      </c>
      <c r="E213" s="543" t="n">
        <f>AVERAGE(G30,G31,G34)</f>
        <v>4.333333333333333</v>
      </c>
      <c r="F213" s="543" t="n">
        <f>AVERAGE(H30,H31,H34)</f>
        <v>4.333333333333333</v>
      </c>
      <c r="G213" s="543" t="n">
        <f>AVERAGE(I30,I31,I34)</f>
        <v>4.666666666666667</v>
      </c>
      <c r="H213" s="543" t="n">
        <f>AVERAGE(J30,J31,J34)</f>
        <v>3.3333333333333335</v>
      </c>
      <c r="I213" s="543" t="n">
        <f>AVERAGE(K30,K31,K34)</f>
        <v>4.666666666666667</v>
      </c>
      <c r="J213" s="543" t="n">
        <f>AVERAGE(L30,L31,L34)</f>
        <v>5</v>
      </c>
      <c r="K213" s="543" t="n">
        <f>AVERAGE(M30,M31,M34)</f>
        <v>5.111111111111111</v>
      </c>
      <c r="L213" s="543" t="n">
        <f>AVERAGE(N30,N31,N34)</f>
        <v>5.333333333333333</v>
      </c>
      <c r="M213" s="543" t="n">
        <f>I161</f>
        <v>3.5</v>
      </c>
      <c r="N213" s="543" t="n">
        <f>J161</f>
        <v>4</v>
      </c>
      <c r="O213" s="543" t="n">
        <f>K161</f>
        <v>4.666666666666667</v>
      </c>
      <c r="P213" s="544" t="n">
        <f>IF(O30="是",1,0)+IF(O31="是",1,0)+IF(O34="是",1,0)</f>
        <v>3</v>
      </c>
      <c r="Q213" s="523" t="str">
        <f>Records!I207</f>
        <v>EgoAnchor</v>
      </c>
      <c r="R213" s="523" t="str">
        <f>Records!J207</f>
        <v>EgoAnchor</v>
      </c>
      <c r="S213" s="544" t="n">
        <f>IF(Records!C207="","",Records!C207)</f>
        <v>6</v>
      </c>
      <c r="T213" s="544" t="n">
        <f>Records!E207</f>
        <v>7</v>
      </c>
      <c r="U213" s="523" t="str">
        <f>"30,31,34"</f>
        <v>30,31,34</v>
      </c>
      <c r="V213" s="523" t="n">
        <f>161</f>
        <v>161</v>
      </c>
    </row>
    <row r="214">
      <c r="A214" s="523" t="str">
        <f>"P005"</f>
        <v>P005</v>
      </c>
      <c r="B214" s="523" t="str">
        <f>"EgoAnchor"</f>
        <v>EgoAnchor</v>
      </c>
      <c r="C214" s="523" t="str">
        <f>"方法A"</f>
        <v>方法A</v>
      </c>
      <c r="D214" s="543" t="n">
        <f>AVERAGE(F29,F32,F33)</f>
        <v>6.333333333333333</v>
      </c>
      <c r="E214" s="543" t="n">
        <f>AVERAGE(G29,G32,G33)</f>
        <v>6.333333333333333</v>
      </c>
      <c r="F214" s="543" t="n">
        <f>AVERAGE(H29,H32,H33)</f>
        <v>5.333333333333333</v>
      </c>
      <c r="G214" s="543" t="n">
        <f>AVERAGE(I29,I32,I33)</f>
        <v>5.333333333333333</v>
      </c>
      <c r="H214" s="543" t="n">
        <f>AVERAGE(J29,J32,J33)</f>
        <v>6.333333333333333</v>
      </c>
      <c r="I214" s="543" t="n">
        <f>AVERAGE(K29,K32,K33)</f>
        <v>5</v>
      </c>
      <c r="J214" s="543" t="n">
        <f>AVERAGE(L29,L32,L33)</f>
        <v>5</v>
      </c>
      <c r="K214" s="543" t="n">
        <f>AVERAGE(M29,M32,M33)</f>
        <v>5.4444444444444455</v>
      </c>
      <c r="L214" s="543" t="n">
        <f>AVERAGE(N29,N32,N33)</f>
        <v>5.111111111111111</v>
      </c>
      <c r="M214" s="543" t="n">
        <f>I160</f>
        <v>4.5</v>
      </c>
      <c r="N214" s="543" t="n">
        <f>J160</f>
        <v>5</v>
      </c>
      <c r="O214" s="543" t="n">
        <f>K160</f>
        <v>5.666666666666667</v>
      </c>
      <c r="P214" s="544" t="n">
        <f>IF(O29="是",1,0)+IF(O32="是",1,0)+IF(O33="是",1,0)</f>
        <v>3</v>
      </c>
      <c r="Q214" s="523" t="str">
        <f>Records!I207</f>
        <v>EgoAnchor</v>
      </c>
      <c r="R214" s="523" t="str">
        <f>Records!J207</f>
        <v>EgoAnchor</v>
      </c>
      <c r="S214" s="544" t="n">
        <f>IF(Records!C207="","",Records!C207)</f>
        <v>6</v>
      </c>
      <c r="T214" s="544" t="n">
        <f>Records!E207</f>
        <v>7</v>
      </c>
      <c r="U214" s="523" t="str">
        <f>"29,32,33"</f>
        <v>29,32,33</v>
      </c>
      <c r="V214" s="523" t="n">
        <f>160</f>
        <v>160</v>
      </c>
    </row>
    <row r="215">
      <c r="A215" s="523" t="str">
        <f>"P006"</f>
        <v>P006</v>
      </c>
      <c r="B215" s="523" t="str">
        <f>"One-Euro"</f>
        <v>One-Euro</v>
      </c>
      <c r="C215" s="523" t="str">
        <f>"方法B"</f>
        <v>方法B</v>
      </c>
      <c r="D215" s="543" t="n">
        <f>AVERAGE(F35,F38,F39)</f>
        <v>3.6666666666666665</v>
      </c>
      <c r="E215" s="543" t="n">
        <f>AVERAGE(G35,G38,G39)</f>
        <v>5.333333333333333</v>
      </c>
      <c r="F215" s="543" t="n">
        <f>AVERAGE(H35,H38,H39)</f>
        <v>4</v>
      </c>
      <c r="G215" s="543" t="n">
        <f>AVERAGE(I35,I38,I39)</f>
        <v>4.666666666666667</v>
      </c>
      <c r="H215" s="543" t="n">
        <f>AVERAGE(J35,J38,J39)</f>
        <v>3.3333333333333335</v>
      </c>
      <c r="I215" s="543" t="n">
        <f>AVERAGE(K35,K38,K39)</f>
        <v>4.333333333333333</v>
      </c>
      <c r="J215" s="543" t="n">
        <f>AVERAGE(L35,L38,L39)</f>
        <v>4.666666666666667</v>
      </c>
      <c r="K215" s="543" t="n">
        <f>AVERAGE(M35,M38,M39)</f>
        <v>4.777777777777778</v>
      </c>
      <c r="L215" s="543" t="n">
        <f>AVERAGE(N35,N38,N39)</f>
        <v>4.888888888888889</v>
      </c>
      <c r="M215" s="543" t="n">
        <f>I162</f>
        <v>3.6666666666666665</v>
      </c>
      <c r="N215" s="543" t="n">
        <f>J162</f>
        <v>3.25</v>
      </c>
      <c r="O215" s="543" t="n">
        <f>K162</f>
        <v>4.666666666666667</v>
      </c>
      <c r="P215" s="544" t="n">
        <f>IF(O35="是",1,0)+IF(O38="是",1,0)+IF(O39="是",1,0)</f>
        <v>3</v>
      </c>
      <c r="Q215" s="523" t="str">
        <f>Records!I208</f>
        <v>无明显偏好</v>
      </c>
      <c r="R215" s="523" t="str">
        <f>Records!J208</f>
        <v>EgoAnchor</v>
      </c>
      <c r="S215" s="544" t="str">
        <f>IF(Records!C208="","",Records!C208)</f>
      </c>
      <c r="T215" s="544" t="n">
        <f>Records!E208</f>
        <v>5</v>
      </c>
      <c r="U215" s="523" t="str">
        <f>"35,38,39"</f>
        <v>35,38,39</v>
      </c>
      <c r="V215" s="523" t="n">
        <f>162</f>
        <v>162</v>
      </c>
    </row>
    <row r="216">
      <c r="A216" s="523" t="str">
        <f>"P006"</f>
        <v>P006</v>
      </c>
      <c r="B216" s="523" t="str">
        <f>"EgoAnchor"</f>
        <v>EgoAnchor</v>
      </c>
      <c r="C216" s="523" t="str">
        <f>"方法A"</f>
        <v>方法A</v>
      </c>
      <c r="D216" s="543" t="n">
        <f>AVERAGE(F36,F37,F40)</f>
        <v>4.333333333333333</v>
      </c>
      <c r="E216" s="543" t="n">
        <f>AVERAGE(G36,G37,G40)</f>
        <v>5.333333333333333</v>
      </c>
      <c r="F216" s="543" t="n">
        <f>AVERAGE(H36,H37,H40)</f>
        <v>4.666666666666667</v>
      </c>
      <c r="G216" s="543" t="n">
        <f>AVERAGE(I36,I37,I40)</f>
        <v>4.333333333333333</v>
      </c>
      <c r="H216" s="543" t="n">
        <f>AVERAGE(J36,J37,J40)</f>
        <v>5.333333333333333</v>
      </c>
      <c r="I216" s="543" t="n">
        <f>AVERAGE(K36,K37,K40)</f>
        <v>5</v>
      </c>
      <c r="J216" s="543" t="n">
        <f>AVERAGE(L36,L37,L40)</f>
        <v>5</v>
      </c>
      <c r="K216" s="543" t="n">
        <f>AVERAGE(M36,M37,M40)</f>
        <v>5.111111111111111</v>
      </c>
      <c r="L216" s="543" t="n">
        <f>AVERAGE(N36,N37,N40)</f>
        <v>4.666666666666667</v>
      </c>
      <c r="M216" s="543" t="n">
        <f>I163</f>
        <v>3.8333333333333335</v>
      </c>
      <c r="N216" s="543" t="n">
        <f>J163</f>
        <v>3.75</v>
      </c>
      <c r="O216" s="543" t="n">
        <f>K163</f>
        <v>4.666666666666667</v>
      </c>
      <c r="P216" s="544" t="n">
        <f>IF(O36="是",1,0)+IF(O37="是",1,0)+IF(O40="是",1,0)</f>
        <v>3</v>
      </c>
      <c r="Q216" s="523" t="str">
        <f>Records!I208</f>
        <v>无明显偏好</v>
      </c>
      <c r="R216" s="523" t="str">
        <f>Records!J208</f>
        <v>EgoAnchor</v>
      </c>
      <c r="S216" s="544" t="str">
        <f>IF(Records!C208="","",Records!C208)</f>
      </c>
      <c r="T216" s="544" t="n">
        <f>Records!E208</f>
        <v>5</v>
      </c>
      <c r="U216" s="523" t="str">
        <f>"36,37,40"</f>
        <v>36,37,40</v>
      </c>
      <c r="V216" s="523" t="n">
        <f>163</f>
        <v>163</v>
      </c>
    </row>
    <row r="217">
      <c r="A217" s="523" t="str">
        <f>"P007"</f>
        <v>P007</v>
      </c>
      <c r="B217" s="523" t="str">
        <f>"One-Euro"</f>
        <v>One-Euro</v>
      </c>
      <c r="C217" s="523" t="str">
        <f>"方法A"</f>
        <v>方法A</v>
      </c>
      <c r="D217" s="543" t="n">
        <f>AVERAGE(F42,F43,F46)</f>
        <v>4.333333333333333</v>
      </c>
      <c r="E217" s="543" t="n">
        <f>AVERAGE(G42,G43,G46)</f>
        <v>4</v>
      </c>
      <c r="F217" s="543" t="n">
        <f>AVERAGE(H42,H43,H46)</f>
        <v>5</v>
      </c>
      <c r="G217" s="543" t="n">
        <f>AVERAGE(I42,I43,I46)</f>
        <v>5.333333333333333</v>
      </c>
      <c r="H217" s="543" t="n">
        <f>AVERAGE(J42,J43,J46)</f>
        <v>4.333333333333333</v>
      </c>
      <c r="I217" s="543" t="n">
        <f>AVERAGE(K42,K43,K46)</f>
        <v>3.6666666666666665</v>
      </c>
      <c r="J217" s="543" t="n">
        <f>AVERAGE(L42,L43,L46)</f>
        <v>4.666666666666667</v>
      </c>
      <c r="K217" s="543" t="n">
        <f>AVERAGE(M42,M43,M46)</f>
        <v>5.111111111111111</v>
      </c>
      <c r="L217" s="543" t="n">
        <f>AVERAGE(N42,N43,N46)</f>
        <v>5.222222222222222</v>
      </c>
      <c r="M217" s="543" t="n">
        <f>I165</f>
        <v>4.166666666666667</v>
      </c>
      <c r="N217" s="543" t="n">
        <f>J165</f>
        <v>4.25</v>
      </c>
      <c r="O217" s="543" t="n">
        <f>K165</f>
        <v>5</v>
      </c>
      <c r="P217" s="544" t="n">
        <f>IF(O42="是",1,0)+IF(O43="是",1,0)+IF(O46="是",1,0)</f>
        <v>3</v>
      </c>
      <c r="Q217" s="523" t="str">
        <f>Records!I209</f>
        <v>EgoAnchor</v>
      </c>
      <c r="R217" s="523" t="str">
        <f>Records!J209</f>
        <v>EgoAnchor</v>
      </c>
      <c r="S217" s="544" t="n">
        <f>IF(Records!C209="","",Records!C209)</f>
        <v>5</v>
      </c>
      <c r="T217" s="544" t="n">
        <f>Records!E209</f>
        <v>6</v>
      </c>
      <c r="U217" s="523" t="str">
        <f>"42,43,46"</f>
        <v>42,43,46</v>
      </c>
      <c r="V217" s="523" t="n">
        <f>165</f>
        <v>165</v>
      </c>
    </row>
    <row r="218">
      <c r="A218" s="523" t="str">
        <f>"P007"</f>
        <v>P007</v>
      </c>
      <c r="B218" s="523" t="str">
        <f>"EgoAnchor"</f>
        <v>EgoAnchor</v>
      </c>
      <c r="C218" s="523" t="str">
        <f>"方法B"</f>
        <v>方法B</v>
      </c>
      <c r="D218" s="543" t="n">
        <f>AVERAGE(F41,F44,F45)</f>
        <v>5</v>
      </c>
      <c r="E218" s="543" t="n">
        <f>AVERAGE(G41,G44,G45)</f>
        <v>5</v>
      </c>
      <c r="F218" s="543" t="n">
        <f>AVERAGE(H41,H44,H45)</f>
        <v>5.333333333333333</v>
      </c>
      <c r="G218" s="543" t="n">
        <f>AVERAGE(I41,I44,I45)</f>
        <v>5.333333333333333</v>
      </c>
      <c r="H218" s="543" t="n">
        <f>AVERAGE(J41,J44,J45)</f>
        <v>5.666666666666667</v>
      </c>
      <c r="I218" s="543" t="n">
        <f>AVERAGE(K41,K44,K45)</f>
        <v>4.666666666666667</v>
      </c>
      <c r="J218" s="543" t="n">
        <f>AVERAGE(L41,L44,L45)</f>
        <v>5.333333333333333</v>
      </c>
      <c r="K218" s="543" t="n">
        <f>AVERAGE(M41,M44,M45)</f>
        <v>5.222222222222221</v>
      </c>
      <c r="L218" s="543" t="n">
        <f>AVERAGE(N41,N44,N45)</f>
        <v>5.444444444444444</v>
      </c>
      <c r="M218" s="543" t="n">
        <f>I164</f>
        <v>4.833333333333333</v>
      </c>
      <c r="N218" s="543" t="n">
        <f>J164</f>
        <v>4</v>
      </c>
      <c r="O218" s="543" t="n">
        <f>K164</f>
        <v>5.666666666666667</v>
      </c>
      <c r="P218" s="544" t="n">
        <f>IF(O41="是",1,0)+IF(O44="是",1,0)+IF(O45="是",1,0)</f>
        <v>3</v>
      </c>
      <c r="Q218" s="523" t="str">
        <f>Records!I209</f>
        <v>EgoAnchor</v>
      </c>
      <c r="R218" s="523" t="str">
        <f>Records!J209</f>
        <v>EgoAnchor</v>
      </c>
      <c r="S218" s="544" t="n">
        <f>IF(Records!C209="","",Records!C209)</f>
        <v>5</v>
      </c>
      <c r="T218" s="544" t="n">
        <f>Records!E209</f>
        <v>6</v>
      </c>
      <c r="U218" s="523" t="str">
        <f>"41,44,45"</f>
        <v>41,44,45</v>
      </c>
      <c r="V218" s="523" t="n">
        <f>164</f>
        <v>164</v>
      </c>
    </row>
    <row r="219">
      <c r="A219" s="523" t="str">
        <f>"P008"</f>
        <v>P008</v>
      </c>
      <c r="B219" s="523" t="str">
        <f>"One-Euro"</f>
        <v>One-Euro</v>
      </c>
      <c r="C219" s="523" t="str">
        <f>"方法A"</f>
        <v>方法A</v>
      </c>
      <c r="D219" s="543" t="n">
        <f>AVERAGE(F47,F50,F51)</f>
        <v>4.666666666666667</v>
      </c>
      <c r="E219" s="543" t="n">
        <f>AVERAGE(G47,G50,G51)</f>
        <v>4.666666666666667</v>
      </c>
      <c r="F219" s="543" t="n">
        <f>AVERAGE(H47,H50,H51)</f>
        <v>4.333333333333333</v>
      </c>
      <c r="G219" s="543" t="n">
        <f>AVERAGE(I47,I50,I51)</f>
        <v>4.666666666666667</v>
      </c>
      <c r="H219" s="543" t="n">
        <f>AVERAGE(J47,J50,J51)</f>
        <v>4</v>
      </c>
      <c r="I219" s="543" t="n">
        <f>AVERAGE(K47,K50,K51)</f>
        <v>4.333333333333333</v>
      </c>
      <c r="J219" s="543" t="n">
        <f>AVERAGE(L47,L50,L51)</f>
        <v>5</v>
      </c>
      <c r="K219" s="543" t="n">
        <f>AVERAGE(M47,M50,M51)</f>
        <v>4.666666666666667</v>
      </c>
      <c r="L219" s="543" t="n">
        <f>AVERAGE(N47,N50,N51)</f>
        <v>4.5555555555555545</v>
      </c>
      <c r="M219" s="543" t="n">
        <f>I166</f>
        <v>4.666666666666667</v>
      </c>
      <c r="N219" s="543" t="n">
        <f>J166</f>
        <v>4.25</v>
      </c>
      <c r="O219" s="543" t="n">
        <f>K166</f>
        <v>6.333333333333333</v>
      </c>
      <c r="P219" s="544" t="n">
        <f>IF(O47="是",1,0)+IF(O50="是",1,0)+IF(O51="是",1,0)</f>
        <v>3</v>
      </c>
      <c r="Q219" s="523" t="str">
        <f>Records!I210</f>
        <v>无明显偏好</v>
      </c>
      <c r="R219" s="523" t="str">
        <f>Records!J210</f>
        <v>无明显偏好</v>
      </c>
      <c r="S219" s="544" t="str">
        <f>IF(Records!C210="","",Records!C210)</f>
      </c>
      <c r="T219" s="544" t="n">
        <f>Records!E210</f>
        <v>5</v>
      </c>
      <c r="U219" s="523" t="str">
        <f>"47,50,51"</f>
        <v>47,50,51</v>
      </c>
      <c r="V219" s="523" t="n">
        <f>166</f>
        <v>166</v>
      </c>
    </row>
    <row r="220">
      <c r="A220" s="523" t="str">
        <f>"P008"</f>
        <v>P008</v>
      </c>
      <c r="B220" s="523" t="str">
        <f>"EgoAnchor"</f>
        <v>EgoAnchor</v>
      </c>
      <c r="C220" s="523" t="str">
        <f>"方法B"</f>
        <v>方法B</v>
      </c>
      <c r="D220" s="543" t="n">
        <f>AVERAGE(F48,F49,F52)</f>
        <v>4.333333333333333</v>
      </c>
      <c r="E220" s="543" t="n">
        <f>AVERAGE(G48,G49,G52)</f>
        <v>5</v>
      </c>
      <c r="F220" s="543" t="n">
        <f>AVERAGE(H48,H49,H52)</f>
        <v>5.333333333333333</v>
      </c>
      <c r="G220" s="543" t="n">
        <f>AVERAGE(I48,I49,I52)</f>
        <v>5.333333333333333</v>
      </c>
      <c r="H220" s="543" t="n">
        <f>AVERAGE(J48,J49,J52)</f>
        <v>4</v>
      </c>
      <c r="I220" s="543" t="n">
        <f>AVERAGE(K48,K49,K52)</f>
        <v>3.6666666666666665</v>
      </c>
      <c r="J220" s="543" t="n">
        <f>AVERAGE(L48,L49,L52)</f>
        <v>4.666666666666667</v>
      </c>
      <c r="K220" s="543" t="n">
        <f>AVERAGE(M48,M49,M52)</f>
        <v>4.333333333333333</v>
      </c>
      <c r="L220" s="543" t="n">
        <f>AVERAGE(N48,N49,N52)</f>
        <v>4.333333333333333</v>
      </c>
      <c r="M220" s="543" t="n">
        <f>I167</f>
        <v>4.833333333333333</v>
      </c>
      <c r="N220" s="543" t="n">
        <f>J167</f>
        <v>4.5</v>
      </c>
      <c r="O220" s="543" t="n">
        <f>K167</f>
        <v>7</v>
      </c>
      <c r="P220" s="544" t="n">
        <f>IF(O48="是",1,0)+IF(O49="是",1,0)+IF(O52="是",1,0)</f>
        <v>3</v>
      </c>
      <c r="Q220" s="523" t="str">
        <f>Records!I210</f>
        <v>无明显偏好</v>
      </c>
      <c r="R220" s="523" t="str">
        <f>Records!J210</f>
        <v>无明显偏好</v>
      </c>
      <c r="S220" s="544" t="str">
        <f>IF(Records!C210="","",Records!C210)</f>
      </c>
      <c r="T220" s="544" t="n">
        <f>Records!E210</f>
        <v>5</v>
      </c>
      <c r="U220" s="523" t="str">
        <f>"48,49,52"</f>
        <v>48,49,52</v>
      </c>
      <c r="V220" s="523" t="n">
        <f>167</f>
        <v>167</v>
      </c>
    </row>
    <row r="221">
      <c r="A221" s="523" t="str">
        <f>"P009"</f>
        <v>P009</v>
      </c>
      <c r="B221" s="523" t="str">
        <f>"One-Euro"</f>
        <v>One-Euro</v>
      </c>
      <c r="C221" s="523" t="str">
        <f>"方法B"</f>
        <v>方法B</v>
      </c>
      <c r="D221" s="543" t="n">
        <f>AVERAGE(F54,F55,F58)</f>
        <v>3.3333333333333335</v>
      </c>
      <c r="E221" s="543" t="n">
        <f>AVERAGE(G54,G55,G58)</f>
        <v>3.6666666666666665</v>
      </c>
      <c r="F221" s="543" t="n">
        <f>AVERAGE(H54,H55,H58)</f>
        <v>5</v>
      </c>
      <c r="G221" s="543" t="n">
        <f>AVERAGE(I54,I55,I58)</f>
        <v>5.333333333333333</v>
      </c>
      <c r="H221" s="543" t="n">
        <f>AVERAGE(J54,J55,J58)</f>
        <v>4</v>
      </c>
      <c r="I221" s="543" t="n">
        <f>AVERAGE(K54,K55,K58)</f>
        <v>4</v>
      </c>
      <c r="J221" s="543" t="n">
        <f>AVERAGE(L54,L55,L58)</f>
        <v>3.6666666666666665</v>
      </c>
      <c r="K221" s="543" t="n">
        <f>AVERAGE(M54,M55,M58)</f>
        <v>3.888888888888889</v>
      </c>
      <c r="L221" s="543" t="n">
        <f>AVERAGE(N54,N55,N58)</f>
        <v>4.888888888888888</v>
      </c>
      <c r="M221" s="543" t="n">
        <f>I169</f>
        <v>3.1666666666666665</v>
      </c>
      <c r="N221" s="543" t="n">
        <f>J169</f>
        <v>3.75</v>
      </c>
      <c r="O221" s="543" t="n">
        <f>K169</f>
        <v>4.666666666666667</v>
      </c>
      <c r="P221" s="544" t="n">
        <f>IF(O54="是",1,0)+IF(O55="是",1,0)+IF(O58="是",1,0)</f>
        <v>3</v>
      </c>
      <c r="Q221" s="523" t="str">
        <f>Records!I211</f>
        <v>One-Euro</v>
      </c>
      <c r="R221" s="523" t="str">
        <f>Records!J211</f>
        <v>EgoAnchor</v>
      </c>
      <c r="S221" s="544" t="n">
        <f>IF(Records!C211="","",Records!C211)</f>
        <v>2</v>
      </c>
      <c r="T221" s="544" t="n">
        <f>Records!E211</f>
        <v>6</v>
      </c>
      <c r="U221" s="523" t="str">
        <f>"54,55,58"</f>
        <v>54,55,58</v>
      </c>
      <c r="V221" s="523" t="n">
        <f>169</f>
        <v>169</v>
      </c>
    </row>
    <row r="222">
      <c r="A222" s="523" t="str">
        <f>"P009"</f>
        <v>P009</v>
      </c>
      <c r="B222" s="523" t="str">
        <f>"EgoAnchor"</f>
        <v>EgoAnchor</v>
      </c>
      <c r="C222" s="523" t="str">
        <f>"方法A"</f>
        <v>方法A</v>
      </c>
      <c r="D222" s="543" t="n">
        <f>AVERAGE(F53,F56,F57)</f>
        <v>4.333333333333333</v>
      </c>
      <c r="E222" s="543" t="n">
        <f>AVERAGE(G53,G56,G57)</f>
        <v>4.333333333333333</v>
      </c>
      <c r="F222" s="543" t="n">
        <f>AVERAGE(H53,H56,H57)</f>
        <v>5.333333333333333</v>
      </c>
      <c r="G222" s="543" t="n">
        <f>AVERAGE(I53,I56,I57)</f>
        <v>4.666666666666667</v>
      </c>
      <c r="H222" s="543" t="n">
        <f>AVERAGE(J53,J56,J57)</f>
        <v>5</v>
      </c>
      <c r="I222" s="543" t="n">
        <f>AVERAGE(K53,K56,K57)</f>
        <v>4.333333333333333</v>
      </c>
      <c r="J222" s="543" t="n">
        <f>AVERAGE(L53,L56,L57)</f>
        <v>3.6666666666666665</v>
      </c>
      <c r="K222" s="543" t="n">
        <f>AVERAGE(M53,M56,M57)</f>
        <v>4.333333333333333</v>
      </c>
      <c r="L222" s="543" t="n">
        <f>AVERAGE(N53,N56,N57)</f>
        <v>3.8888888888888893</v>
      </c>
      <c r="M222" s="543" t="n">
        <f>I168</f>
        <v>3.8333333333333335</v>
      </c>
      <c r="N222" s="543" t="n">
        <f>J168</f>
        <v>4.25</v>
      </c>
      <c r="O222" s="543" t="n">
        <f>K168</f>
        <v>5</v>
      </c>
      <c r="P222" s="544" t="n">
        <f>IF(O53="是",1,0)+IF(O56="是",1,0)+IF(O57="是",1,0)</f>
        <v>3</v>
      </c>
      <c r="Q222" s="523" t="str">
        <f>Records!I211</f>
        <v>One-Euro</v>
      </c>
      <c r="R222" s="523" t="str">
        <f>Records!J211</f>
        <v>EgoAnchor</v>
      </c>
      <c r="S222" s="544" t="n">
        <f>IF(Records!C211="","",Records!C211)</f>
        <v>2</v>
      </c>
      <c r="T222" s="544" t="n">
        <f>Records!E211</f>
        <v>6</v>
      </c>
      <c r="U222" s="523" t="str">
        <f>"53,56,57"</f>
        <v>53,56,57</v>
      </c>
      <c r="V222" s="523" t="n">
        <f>168</f>
        <v>168</v>
      </c>
    </row>
    <row r="223">
      <c r="A223" s="523" t="str">
        <f>"P010"</f>
        <v>P010</v>
      </c>
      <c r="B223" s="523" t="str">
        <f>"One-Euro"</f>
        <v>One-Euro</v>
      </c>
      <c r="C223" s="523" t="str">
        <f>"方法B"</f>
        <v>方法B</v>
      </c>
      <c r="D223" s="543" t="n">
        <f>AVERAGE(F59,F62,F63)</f>
        <v>4</v>
      </c>
      <c r="E223" s="543" t="n">
        <f>AVERAGE(G59,G62,G63)</f>
        <v>5</v>
      </c>
      <c r="F223" s="543" t="n">
        <f>AVERAGE(H59,H62,H63)</f>
        <v>5</v>
      </c>
      <c r="G223" s="543" t="n">
        <f>AVERAGE(I59,I62,I63)</f>
        <v>5.333333333333333</v>
      </c>
      <c r="H223" s="543" t="n">
        <f>AVERAGE(J59,J62,J63)</f>
        <v>4.333333333333333</v>
      </c>
      <c r="I223" s="543" t="n">
        <f>AVERAGE(K59,K62,K63)</f>
        <v>3.6666666666666665</v>
      </c>
      <c r="J223" s="543" t="n">
        <f>AVERAGE(L59,L62,L63)</f>
        <v>3.3333333333333335</v>
      </c>
      <c r="K223" s="543" t="n">
        <f>AVERAGE(M59,M62,M63)</f>
        <v>4.666666666666667</v>
      </c>
      <c r="L223" s="543" t="n">
        <f>AVERAGE(N59,N62,N63)</f>
        <v>4.777777777777778</v>
      </c>
      <c r="M223" s="543" t="n">
        <f>I170</f>
        <v>4.333333333333333</v>
      </c>
      <c r="N223" s="543" t="n">
        <f>J170</f>
        <v>3.75</v>
      </c>
      <c r="O223" s="543" t="n">
        <f>K170</f>
        <v>6</v>
      </c>
      <c r="P223" s="544" t="n">
        <f>IF(O59="是",1,0)+IF(O62="是",1,0)+IF(O63="是",1,0)</f>
        <v>3</v>
      </c>
      <c r="Q223" s="523" t="str">
        <f>Records!I212</f>
        <v>One-Euro</v>
      </c>
      <c r="R223" s="523" t="str">
        <f>Records!J212</f>
        <v>无明显偏好</v>
      </c>
      <c r="S223" s="544" t="n">
        <f>IF(Records!C212="","",Records!C212)</f>
        <v>4</v>
      </c>
      <c r="T223" s="544" t="n">
        <f>Records!E212</f>
        <v>6</v>
      </c>
      <c r="U223" s="523" t="str">
        <f>"59,62,63"</f>
        <v>59,62,63</v>
      </c>
      <c r="V223" s="523" t="n">
        <f>170</f>
        <v>170</v>
      </c>
    </row>
    <row r="224">
      <c r="A224" s="523" t="str">
        <f>"P010"</f>
        <v>P010</v>
      </c>
      <c r="B224" s="523" t="str">
        <f>"EgoAnchor"</f>
        <v>EgoAnchor</v>
      </c>
      <c r="C224" s="523" t="str">
        <f>"方法A"</f>
        <v>方法A</v>
      </c>
      <c r="D224" s="543" t="n">
        <f>AVERAGE(F60,F61,F64)</f>
        <v>5</v>
      </c>
      <c r="E224" s="543" t="n">
        <f>AVERAGE(G60,G61,G64)</f>
        <v>4.333333333333333</v>
      </c>
      <c r="F224" s="543" t="n">
        <f>AVERAGE(H60,H61,H64)</f>
        <v>3</v>
      </c>
      <c r="G224" s="543" t="n">
        <f>AVERAGE(I60,I61,I64)</f>
        <v>4.333333333333333</v>
      </c>
      <c r="H224" s="543" t="n">
        <f>AVERAGE(J60,J61,J64)</f>
        <v>4</v>
      </c>
      <c r="I224" s="543" t="n">
        <f>AVERAGE(K60,K61,K64)</f>
        <v>5.333333333333333</v>
      </c>
      <c r="J224" s="543" t="n">
        <f>AVERAGE(L60,L61,L64)</f>
        <v>4.333333333333333</v>
      </c>
      <c r="K224" s="543" t="n">
        <f>AVERAGE(M60,M61,M64)</f>
        <v>4.333333333333333</v>
      </c>
      <c r="L224" s="543" t="n">
        <f>AVERAGE(N60,N61,N64)</f>
        <v>4.111111111111111</v>
      </c>
      <c r="M224" s="543" t="n">
        <f>I171</f>
        <v>4.666666666666667</v>
      </c>
      <c r="N224" s="543" t="n">
        <f>J171</f>
        <v>4.25</v>
      </c>
      <c r="O224" s="543" t="n">
        <f>K171</f>
        <v>5.666666666666667</v>
      </c>
      <c r="P224" s="544" t="n">
        <f>IF(O60="是",1,0)+IF(O61="是",1,0)+IF(O64="是",1,0)</f>
        <v>3</v>
      </c>
      <c r="Q224" s="523" t="str">
        <f>Records!I212</f>
        <v>One-Euro</v>
      </c>
      <c r="R224" s="523" t="str">
        <f>Records!J212</f>
        <v>无明显偏好</v>
      </c>
      <c r="S224" s="544" t="n">
        <f>IF(Records!C212="","",Records!C212)</f>
        <v>4</v>
      </c>
      <c r="T224" s="544" t="n">
        <f>Records!E212</f>
        <v>6</v>
      </c>
      <c r="U224" s="523" t="str">
        <f>"60,61,64"</f>
        <v>60,61,64</v>
      </c>
      <c r="V224" s="523" t="n">
        <f>171</f>
        <v>171</v>
      </c>
    </row>
    <row r="225">
      <c r="A225" s="523" t="str">
        <f>"P011"</f>
        <v>P011</v>
      </c>
      <c r="B225" s="523" t="str">
        <f>"One-Euro"</f>
        <v>One-Euro</v>
      </c>
      <c r="C225" s="523" t="str">
        <f>"方法A"</f>
        <v>方法A</v>
      </c>
      <c r="D225" s="543" t="n">
        <f>AVERAGE(F66,F67,F70)</f>
        <v>3.6666666666666665</v>
      </c>
      <c r="E225" s="543" t="n">
        <f>AVERAGE(G66,G67,G70)</f>
        <v>4</v>
      </c>
      <c r="F225" s="543" t="n">
        <f>AVERAGE(H66,H67,H70)</f>
        <v>5</v>
      </c>
      <c r="G225" s="543" t="n">
        <f>AVERAGE(I66,I67,I70)</f>
        <v>5</v>
      </c>
      <c r="H225" s="543" t="n">
        <f>AVERAGE(J66,J67,J70)</f>
        <v>4.333333333333333</v>
      </c>
      <c r="I225" s="543" t="n">
        <f>AVERAGE(K66,K67,K70)</f>
        <v>4</v>
      </c>
      <c r="J225" s="543" t="n">
        <f>AVERAGE(L66,L67,L70)</f>
        <v>3.6666666666666665</v>
      </c>
      <c r="K225" s="543" t="n">
        <f>AVERAGE(M66,M67,M70)</f>
        <v>4.666666666666667</v>
      </c>
      <c r="L225" s="543" t="n">
        <f>AVERAGE(N66,N67,N70)</f>
        <v>4.666666666666667</v>
      </c>
      <c r="M225" s="543" t="n">
        <f>I173</f>
        <v>3.8333333333333335</v>
      </c>
      <c r="N225" s="543" t="n">
        <f>J173</f>
        <v>4.25</v>
      </c>
      <c r="O225" s="543" t="n">
        <f>K173</f>
        <v>5.333333333333333</v>
      </c>
      <c r="P225" s="544" t="n">
        <f>IF(O66="是",1,0)+IF(O67="是",1,0)+IF(O70="是",1,0)</f>
        <v>3</v>
      </c>
      <c r="Q225" s="523" t="str">
        <f>Records!I213</f>
        <v>EgoAnchor</v>
      </c>
      <c r="R225" s="523" t="str">
        <f>Records!J213</f>
        <v>EgoAnchor</v>
      </c>
      <c r="S225" s="544" t="n">
        <f>IF(Records!C213="","",Records!C213)</f>
        <v>5</v>
      </c>
      <c r="T225" s="544" t="n">
        <f>Records!E213</f>
        <v>7</v>
      </c>
      <c r="U225" s="523" t="str">
        <f>"66,67,70"</f>
        <v>66,67,70</v>
      </c>
      <c r="V225" s="523" t="n">
        <f>173</f>
        <v>173</v>
      </c>
    </row>
    <row r="226">
      <c r="A226" s="523" t="str">
        <f>"P011"</f>
        <v>P011</v>
      </c>
      <c r="B226" s="523" t="str">
        <f>"EgoAnchor"</f>
        <v>EgoAnchor</v>
      </c>
      <c r="C226" s="523" t="str">
        <f>"方法B"</f>
        <v>方法B</v>
      </c>
      <c r="D226" s="543" t="n">
        <f>AVERAGE(F65,F68,F69)</f>
        <v>5</v>
      </c>
      <c r="E226" s="543" t="n">
        <f>AVERAGE(G65,G68,G69)</f>
        <v>5</v>
      </c>
      <c r="F226" s="543" t="n">
        <f>AVERAGE(H65,H68,H69)</f>
        <v>6</v>
      </c>
      <c r="G226" s="543" t="n">
        <f>AVERAGE(I65,I68,I69)</f>
        <v>4.666666666666667</v>
      </c>
      <c r="H226" s="543" t="n">
        <f>AVERAGE(J65,J68,J69)</f>
        <v>5.333333333333333</v>
      </c>
      <c r="I226" s="543" t="n">
        <f>AVERAGE(K65,K68,K69)</f>
        <v>5.333333333333333</v>
      </c>
      <c r="J226" s="543" t="n">
        <f>AVERAGE(L65,L68,L69)</f>
        <v>5</v>
      </c>
      <c r="K226" s="543" t="n">
        <f>AVERAGE(M65,M68,M69)</f>
        <v>5.333333333333333</v>
      </c>
      <c r="L226" s="543" t="n">
        <f>AVERAGE(N65,N68,N69)</f>
        <v>5.111111111111111</v>
      </c>
      <c r="M226" s="543" t="n">
        <f>I172</f>
        <v>4.166666666666667</v>
      </c>
      <c r="N226" s="543" t="n">
        <f>J172</f>
        <v>4</v>
      </c>
      <c r="O226" s="543" t="n">
        <f>K172</f>
        <v>5.333333333333333</v>
      </c>
      <c r="P226" s="544" t="n">
        <f>IF(O65="是",1,0)+IF(O68="是",1,0)+IF(O69="是",1,0)</f>
        <v>3</v>
      </c>
      <c r="Q226" s="523" t="str">
        <f>Records!I213</f>
        <v>EgoAnchor</v>
      </c>
      <c r="R226" s="523" t="str">
        <f>Records!J213</f>
        <v>EgoAnchor</v>
      </c>
      <c r="S226" s="544" t="n">
        <f>IF(Records!C213="","",Records!C213)</f>
        <v>5</v>
      </c>
      <c r="T226" s="544" t="n">
        <f>Records!E213</f>
        <v>7</v>
      </c>
      <c r="U226" s="523" t="str">
        <f>"65,68,69"</f>
        <v>65,68,69</v>
      </c>
      <c r="V226" s="523" t="n">
        <f>172</f>
        <v>172</v>
      </c>
    </row>
    <row r="227">
      <c r="A227" s="523" t="str">
        <f>"P012"</f>
        <v>P012</v>
      </c>
      <c r="B227" s="523" t="str">
        <f>"One-Euro"</f>
        <v>One-Euro</v>
      </c>
      <c r="C227" s="523" t="str">
        <f>"方法A"</f>
        <v>方法A</v>
      </c>
      <c r="D227" s="543" t="n">
        <f>AVERAGE(F71,F74,F75)</f>
        <v>5</v>
      </c>
      <c r="E227" s="543" t="n">
        <f>AVERAGE(G71,G74,G75)</f>
        <v>5.333333333333333</v>
      </c>
      <c r="F227" s="543" t="n">
        <f>AVERAGE(H71,H74,H75)</f>
        <v>5.333333333333333</v>
      </c>
      <c r="G227" s="543" t="n">
        <f>AVERAGE(I71,I74,I75)</f>
        <v>5.666666666666667</v>
      </c>
      <c r="H227" s="543" t="n">
        <f>AVERAGE(J71,J74,J75)</f>
        <v>4.333333333333333</v>
      </c>
      <c r="I227" s="543" t="n">
        <f>AVERAGE(K71,K74,K75)</f>
        <v>5</v>
      </c>
      <c r="J227" s="543" t="n">
        <f>AVERAGE(L71,L74,L75)</f>
        <v>4.666666666666667</v>
      </c>
      <c r="K227" s="543" t="n">
        <f>AVERAGE(M71,M74,M75)</f>
        <v>5.444444444444444</v>
      </c>
      <c r="L227" s="543" t="n">
        <f>AVERAGE(N71,N74,N75)</f>
        <v>5.4444444444444455</v>
      </c>
      <c r="M227" s="543" t="n">
        <f>I174</f>
        <v>4.333333333333333</v>
      </c>
      <c r="N227" s="543" t="n">
        <f>J174</f>
        <v>4</v>
      </c>
      <c r="O227" s="543" t="n">
        <f>K174</f>
        <v>5.333333333333333</v>
      </c>
      <c r="P227" s="544" t="n">
        <f>IF(O71="是",1,0)+IF(O74="是",1,0)+IF(O75="是",1,0)</f>
        <v>3</v>
      </c>
      <c r="Q227" s="523" t="str">
        <f>Records!I214</f>
        <v>EgoAnchor</v>
      </c>
      <c r="R227" s="523" t="str">
        <f>Records!J214</f>
        <v>EgoAnchor</v>
      </c>
      <c r="S227" s="544" t="n">
        <f>IF(Records!C214="","",Records!C214)</f>
        <v>6</v>
      </c>
      <c r="T227" s="544" t="n">
        <f>Records!E214</f>
        <v>6</v>
      </c>
      <c r="U227" s="523" t="str">
        <f>"71,74,75"</f>
        <v>71,74,75</v>
      </c>
      <c r="V227" s="523" t="n">
        <f>174</f>
        <v>174</v>
      </c>
    </row>
    <row r="228">
      <c r="A228" s="523" t="str">
        <f>"P012"</f>
        <v>P012</v>
      </c>
      <c r="B228" s="523" t="str">
        <f>"EgoAnchor"</f>
        <v>EgoAnchor</v>
      </c>
      <c r="C228" s="523" t="str">
        <f>"方法B"</f>
        <v>方法B</v>
      </c>
      <c r="D228" s="543" t="n">
        <f>AVERAGE(F72,F73,F76)</f>
        <v>6.666666666666667</v>
      </c>
      <c r="E228" s="543" t="n">
        <f>AVERAGE(G72,G73,G76)</f>
        <v>6</v>
      </c>
      <c r="F228" s="543" t="n">
        <f>AVERAGE(H72,H73,H76)</f>
        <v>5.666666666666667</v>
      </c>
      <c r="G228" s="543" t="n">
        <f>AVERAGE(I72,I73,I76)</f>
        <v>6.333333333333333</v>
      </c>
      <c r="H228" s="543" t="n">
        <f>AVERAGE(J72,J73,J76)</f>
        <v>6.333333333333333</v>
      </c>
      <c r="I228" s="543" t="n">
        <f>AVERAGE(K72,K73,K76)</f>
        <v>6</v>
      </c>
      <c r="J228" s="543" t="n">
        <f>AVERAGE(L72,L73,L76)</f>
        <v>6.333333333333333</v>
      </c>
      <c r="K228" s="543" t="n">
        <f>AVERAGE(M72,M73,M76)</f>
        <v>6.111111111111111</v>
      </c>
      <c r="L228" s="543" t="n">
        <f>AVERAGE(N72,N73,N76)</f>
        <v>6.333333333333333</v>
      </c>
      <c r="M228" s="543" t="n">
        <f>I175</f>
        <v>5</v>
      </c>
      <c r="N228" s="543" t="n">
        <f>J175</f>
        <v>5</v>
      </c>
      <c r="O228" s="543" t="n">
        <f>K175</f>
        <v>6.333333333333333</v>
      </c>
      <c r="P228" s="544" t="n">
        <f>IF(O72="是",1,0)+IF(O73="是",1,0)+IF(O76="是",1,0)</f>
        <v>3</v>
      </c>
      <c r="Q228" s="523" t="str">
        <f>Records!I214</f>
        <v>EgoAnchor</v>
      </c>
      <c r="R228" s="523" t="str">
        <f>Records!J214</f>
        <v>EgoAnchor</v>
      </c>
      <c r="S228" s="544" t="n">
        <f>IF(Records!C214="","",Records!C214)</f>
        <v>6</v>
      </c>
      <c r="T228" s="544" t="n">
        <f>Records!E214</f>
        <v>6</v>
      </c>
      <c r="U228" s="523" t="str">
        <f>"72,73,76"</f>
        <v>72,73,76</v>
      </c>
      <c r="V228" s="523" t="n">
        <f>175</f>
        <v>175</v>
      </c>
    </row>
    <row r="229">
      <c r="A229" s="523" t="str">
        <f>"P013"</f>
        <v>P013</v>
      </c>
      <c r="B229" s="523" t="str">
        <f>"One-Euro"</f>
        <v>One-Euro</v>
      </c>
      <c r="C229" s="523" t="str">
        <f>"方法B"</f>
        <v>方法B</v>
      </c>
      <c r="D229" s="543" t="n">
        <f>AVERAGE(F78,F79,F82)</f>
        <v>4.333333333333333</v>
      </c>
      <c r="E229" s="543" t="n">
        <f>AVERAGE(G78,G79,G82)</f>
        <v>4.333333333333333</v>
      </c>
      <c r="F229" s="543" t="n">
        <f>AVERAGE(H78,H79,H82)</f>
        <v>4.666666666666667</v>
      </c>
      <c r="G229" s="543" t="n">
        <f>AVERAGE(I78,I79,I82)</f>
        <v>5</v>
      </c>
      <c r="H229" s="543" t="n">
        <f>AVERAGE(J78,J79,J82)</f>
        <v>5.333333333333333</v>
      </c>
      <c r="I229" s="543" t="n">
        <f>AVERAGE(K78,K79,K82)</f>
        <v>4.666666666666667</v>
      </c>
      <c r="J229" s="543" t="n">
        <f>AVERAGE(L78,L79,L82)</f>
        <v>5</v>
      </c>
      <c r="K229" s="543" t="n">
        <f>AVERAGE(M78,M79,M82)</f>
        <v>4.888888888888889</v>
      </c>
      <c r="L229" s="543" t="n">
        <f>AVERAGE(N78,N79,N82)</f>
        <v>4.888888888888889</v>
      </c>
      <c r="M229" s="543" t="n">
        <f>I177</f>
        <v>3.8333333333333335</v>
      </c>
      <c r="N229" s="543" t="n">
        <f>J177</f>
        <v>4.5</v>
      </c>
      <c r="O229" s="543" t="n">
        <f>K177</f>
        <v>5</v>
      </c>
      <c r="P229" s="544" t="n">
        <f>IF(O78="是",1,0)+IF(O79="是",1,0)+IF(O82="是",1,0)</f>
        <v>3</v>
      </c>
      <c r="Q229" s="523" t="str">
        <f>Records!I215</f>
        <v>无明显偏好</v>
      </c>
      <c r="R229" s="523" t="str">
        <f>Records!J215</f>
        <v>无明显偏好</v>
      </c>
      <c r="S229" s="544" t="str">
        <f>IF(Records!C215="","",Records!C215)</f>
      </c>
      <c r="T229" s="544" t="n">
        <f>Records!E215</f>
        <v>2</v>
      </c>
      <c r="U229" s="523" t="str">
        <f>"78,79,82"</f>
        <v>78,79,82</v>
      </c>
      <c r="V229" s="523" t="n">
        <f>177</f>
        <v>177</v>
      </c>
    </row>
    <row r="230">
      <c r="A230" s="523" t="str">
        <f>"P013"</f>
        <v>P013</v>
      </c>
      <c r="B230" s="523" t="str">
        <f>"EgoAnchor"</f>
        <v>EgoAnchor</v>
      </c>
      <c r="C230" s="523" t="str">
        <f>"方法A"</f>
        <v>方法A</v>
      </c>
      <c r="D230" s="543" t="n">
        <f>AVERAGE(F77,F80,F81)</f>
        <v>5</v>
      </c>
      <c r="E230" s="543" t="n">
        <f>AVERAGE(G77,G80,G81)</f>
        <v>5</v>
      </c>
      <c r="F230" s="543" t="n">
        <f>AVERAGE(H77,H80,H81)</f>
        <v>4.333333333333333</v>
      </c>
      <c r="G230" s="543" t="n">
        <f>AVERAGE(I77,I80,I81)</f>
        <v>4</v>
      </c>
      <c r="H230" s="543" t="n">
        <f>AVERAGE(J77,J80,J81)</f>
        <v>4.333333333333333</v>
      </c>
      <c r="I230" s="543" t="n">
        <f>AVERAGE(K77,K80,K81)</f>
        <v>4.666666666666667</v>
      </c>
      <c r="J230" s="543" t="n">
        <f>AVERAGE(L77,L80,L81)</f>
        <v>4.666666666666667</v>
      </c>
      <c r="K230" s="543" t="n">
        <f>AVERAGE(M77,M80,M81)</f>
        <v>4.333333333333333</v>
      </c>
      <c r="L230" s="543" t="n">
        <f>AVERAGE(N77,N80,N81)</f>
        <v>5.222222222222222</v>
      </c>
      <c r="M230" s="543" t="n">
        <f>I176</f>
        <v>4.5</v>
      </c>
      <c r="N230" s="543" t="n">
        <f>J176</f>
        <v>4</v>
      </c>
      <c r="O230" s="543" t="n">
        <f>K176</f>
        <v>5.666666666666667</v>
      </c>
      <c r="P230" s="544" t="n">
        <f>IF(O77="是",1,0)+IF(O80="是",1,0)+IF(O81="是",1,0)</f>
        <v>3</v>
      </c>
      <c r="Q230" s="523" t="str">
        <f>Records!I215</f>
        <v>无明显偏好</v>
      </c>
      <c r="R230" s="523" t="str">
        <f>Records!J215</f>
        <v>无明显偏好</v>
      </c>
      <c r="S230" s="544" t="str">
        <f>IF(Records!C215="","",Records!C215)</f>
      </c>
      <c r="T230" s="544" t="n">
        <f>Records!E215</f>
        <v>2</v>
      </c>
      <c r="U230" s="523" t="str">
        <f>"77,80,81"</f>
        <v>77,80,81</v>
      </c>
      <c r="V230" s="523" t="n">
        <f>176</f>
        <v>176</v>
      </c>
    </row>
    <row r="231">
      <c r="A231" s="523" t="str">
        <f>"P014"</f>
        <v>P014</v>
      </c>
      <c r="B231" s="523" t="str">
        <f>"One-Euro"</f>
        <v>One-Euro</v>
      </c>
      <c r="C231" s="523" t="str">
        <f>"方法B"</f>
        <v>方法B</v>
      </c>
      <c r="D231" s="543" t="n">
        <f>AVERAGE(F83,F86,F87)</f>
        <v>4.666666666666667</v>
      </c>
      <c r="E231" s="543" t="n">
        <f>AVERAGE(G83,G86,G87)</f>
        <v>4.333333333333333</v>
      </c>
      <c r="F231" s="543" t="n">
        <f>AVERAGE(H83,H86,H87)</f>
        <v>4.333333333333333</v>
      </c>
      <c r="G231" s="543" t="n">
        <f>AVERAGE(I83,I86,I87)</f>
        <v>5.333333333333333</v>
      </c>
      <c r="H231" s="543" t="n">
        <f>AVERAGE(J83,J86,J87)</f>
        <v>3.6666666666666665</v>
      </c>
      <c r="I231" s="543" t="n">
        <f>AVERAGE(K83,K86,K87)</f>
        <v>4</v>
      </c>
      <c r="J231" s="543" t="n">
        <f>AVERAGE(L83,L86,L87)</f>
        <v>4.333333333333333</v>
      </c>
      <c r="K231" s="543" t="n">
        <f>AVERAGE(M83,M86,M87)</f>
        <v>4.5555555555555545</v>
      </c>
      <c r="L231" s="543" t="n">
        <f>AVERAGE(N83,N86,N87)</f>
        <v>4.555555555555555</v>
      </c>
      <c r="M231" s="543" t="n">
        <f>I178</f>
        <v>4.5</v>
      </c>
      <c r="N231" s="543" t="n">
        <f>J178</f>
        <v>4</v>
      </c>
      <c r="O231" s="543" t="n">
        <f>K178</f>
        <v>6</v>
      </c>
      <c r="P231" s="544" t="n">
        <f>IF(O83="是",1,0)+IF(O86="是",1,0)+IF(O87="是",1,0)</f>
        <v>3</v>
      </c>
      <c r="Q231" s="523" t="str">
        <f>Records!I216</f>
        <v>EgoAnchor</v>
      </c>
      <c r="R231" s="523" t="str">
        <f>Records!J216</f>
        <v>无明显偏好</v>
      </c>
      <c r="S231" s="544" t="n">
        <f>IF(Records!C216="","",Records!C216)</f>
        <v>5</v>
      </c>
      <c r="T231" s="544" t="n">
        <f>Records!E216</f>
        <v>7</v>
      </c>
      <c r="U231" s="523" t="str">
        <f>"83,86,87"</f>
        <v>83,86,87</v>
      </c>
      <c r="V231" s="523" t="n">
        <f>178</f>
        <v>178</v>
      </c>
    </row>
    <row r="232">
      <c r="A232" s="523" t="str">
        <f>"P014"</f>
        <v>P014</v>
      </c>
      <c r="B232" s="523" t="str">
        <f>"EgoAnchor"</f>
        <v>EgoAnchor</v>
      </c>
      <c r="C232" s="523" t="str">
        <f>"方法A"</f>
        <v>方法A</v>
      </c>
      <c r="D232" s="543" t="n">
        <f>AVERAGE(F84,F85,F88)</f>
        <v>4.666666666666667</v>
      </c>
      <c r="E232" s="543" t="n">
        <f>AVERAGE(G84,G85,G88)</f>
        <v>4.666666666666667</v>
      </c>
      <c r="F232" s="543" t="n">
        <f>AVERAGE(H84,H85,H88)</f>
        <v>5</v>
      </c>
      <c r="G232" s="543" t="n">
        <f>AVERAGE(I84,I85,I88)</f>
        <v>5</v>
      </c>
      <c r="H232" s="543" t="n">
        <f>AVERAGE(J84,J85,J88)</f>
        <v>4.333333333333333</v>
      </c>
      <c r="I232" s="543" t="n">
        <f>AVERAGE(K84,K85,K88)</f>
        <v>4</v>
      </c>
      <c r="J232" s="543" t="n">
        <f>AVERAGE(L84,L85,L88)</f>
        <v>4.333333333333333</v>
      </c>
      <c r="K232" s="543" t="n">
        <f>AVERAGE(M84,M85,M88)</f>
        <v>5.222222222222222</v>
      </c>
      <c r="L232" s="543" t="n">
        <f>AVERAGE(N84,N85,N88)</f>
        <v>4.888888888888888</v>
      </c>
      <c r="M232" s="543" t="n">
        <f>I179</f>
        <v>4.666666666666667</v>
      </c>
      <c r="N232" s="543" t="n">
        <f>J179</f>
        <v>4.25</v>
      </c>
      <c r="O232" s="543" t="n">
        <f>K179</f>
        <v>5.666666666666667</v>
      </c>
      <c r="P232" s="544" t="n">
        <f>IF(O84="是",1,0)+IF(O85="是",1,0)+IF(O88="是",1,0)</f>
        <v>3</v>
      </c>
      <c r="Q232" s="523" t="str">
        <f>Records!I216</f>
        <v>EgoAnchor</v>
      </c>
      <c r="R232" s="523" t="str">
        <f>Records!J216</f>
        <v>无明显偏好</v>
      </c>
      <c r="S232" s="544" t="n">
        <f>IF(Records!C216="","",Records!C216)</f>
        <v>5</v>
      </c>
      <c r="T232" s="544" t="n">
        <f>Records!E216</f>
        <v>7</v>
      </c>
      <c r="U232" s="523" t="str">
        <f>"84,85,88"</f>
        <v>84,85,88</v>
      </c>
      <c r="V232" s="523" t="n">
        <f>179</f>
        <v>179</v>
      </c>
    </row>
    <row r="233">
      <c r="A233" s="523" t="str">
        <f>"P015"</f>
        <v>P015</v>
      </c>
      <c r="B233" s="523" t="str">
        <f>"One-Euro"</f>
        <v>One-Euro</v>
      </c>
      <c r="C233" s="523" t="str">
        <f>"方法A"</f>
        <v>方法A</v>
      </c>
      <c r="D233" s="543" t="n">
        <f>AVERAGE(F90,F91,F94)</f>
        <v>4.666666666666667</v>
      </c>
      <c r="E233" s="543" t="n">
        <f>AVERAGE(G90,G91,G94)</f>
        <v>3.6666666666666665</v>
      </c>
      <c r="F233" s="543" t="n">
        <f>AVERAGE(H90,H91,H94)</f>
        <v>4.333333333333333</v>
      </c>
      <c r="G233" s="543" t="n">
        <f>AVERAGE(I90,I91,I94)</f>
        <v>4.666666666666667</v>
      </c>
      <c r="H233" s="543" t="n">
        <f>AVERAGE(J90,J91,J94)</f>
        <v>4</v>
      </c>
      <c r="I233" s="543" t="n">
        <f>AVERAGE(K90,K91,K94)</f>
        <v>4</v>
      </c>
      <c r="J233" s="543" t="n">
        <f>AVERAGE(L90,L91,L94)</f>
        <v>4.666666666666667</v>
      </c>
      <c r="K233" s="543" t="n">
        <f>AVERAGE(M90,M91,M94)</f>
        <v>4.888888888888889</v>
      </c>
      <c r="L233" s="543" t="n">
        <f>AVERAGE(N90,N91,N94)</f>
        <v>5.333333333333333</v>
      </c>
      <c r="M233" s="543" t="n">
        <f>I181</f>
        <v>4.5</v>
      </c>
      <c r="N233" s="543" t="n">
        <f>J181</f>
        <v>4</v>
      </c>
      <c r="O233" s="543" t="n">
        <f>K181</f>
        <v>6</v>
      </c>
      <c r="P233" s="544" t="n">
        <f>IF(O90="是",1,0)+IF(O91="是",1,0)+IF(O94="是",1,0)</f>
        <v>3</v>
      </c>
      <c r="Q233" s="523" t="str">
        <f>Records!I217</f>
        <v>EgoAnchor</v>
      </c>
      <c r="R233" s="523" t="str">
        <f>Records!J217</f>
        <v>EgoAnchor</v>
      </c>
      <c r="S233" s="544" t="n">
        <f>IF(Records!C217="","",Records!C217)</f>
        <v>3</v>
      </c>
      <c r="T233" s="544" t="n">
        <f>Records!E217</f>
        <v>6</v>
      </c>
      <c r="U233" s="523" t="str">
        <f>"90,91,94"</f>
        <v>90,91,94</v>
      </c>
      <c r="V233" s="523" t="n">
        <f>181</f>
        <v>181</v>
      </c>
    </row>
    <row r="234">
      <c r="A234" s="523" t="str">
        <f>"P015"</f>
        <v>P015</v>
      </c>
      <c r="B234" s="523" t="str">
        <f>"EgoAnchor"</f>
        <v>EgoAnchor</v>
      </c>
      <c r="C234" s="523" t="str">
        <f>"方法B"</f>
        <v>方法B</v>
      </c>
      <c r="D234" s="543" t="n">
        <f>AVERAGE(F89,F92,F93)</f>
        <v>6.333333333333333</v>
      </c>
      <c r="E234" s="543" t="n">
        <f>AVERAGE(G89,G92,G93)</f>
        <v>6</v>
      </c>
      <c r="F234" s="543" t="n">
        <f>AVERAGE(H89,H92,H93)</f>
        <v>5.666666666666667</v>
      </c>
      <c r="G234" s="543" t="n">
        <f>AVERAGE(I89,I92,I93)</f>
        <v>5</v>
      </c>
      <c r="H234" s="543" t="n">
        <f>AVERAGE(J89,J92,J93)</f>
        <v>4.666666666666667</v>
      </c>
      <c r="I234" s="543" t="n">
        <f>AVERAGE(K89,K92,K93)</f>
        <v>5</v>
      </c>
      <c r="J234" s="543" t="n">
        <f>AVERAGE(L89,L92,L93)</f>
        <v>4.666666666666667</v>
      </c>
      <c r="K234" s="543" t="n">
        <f>AVERAGE(M89,M92,M93)</f>
        <v>4.888888888888889</v>
      </c>
      <c r="L234" s="543" t="n">
        <f>AVERAGE(N89,N92,N93)</f>
        <v>5.111111111111111</v>
      </c>
      <c r="M234" s="543" t="n">
        <f>I180</f>
        <v>4.5</v>
      </c>
      <c r="N234" s="543" t="n">
        <f>J180</f>
        <v>5</v>
      </c>
      <c r="O234" s="543" t="n">
        <f>K180</f>
        <v>6</v>
      </c>
      <c r="P234" s="544" t="n">
        <f>IF(O89="是",1,0)+IF(O92="是",1,0)+IF(O93="是",1,0)</f>
        <v>3</v>
      </c>
      <c r="Q234" s="523" t="str">
        <f>Records!I217</f>
        <v>EgoAnchor</v>
      </c>
      <c r="R234" s="523" t="str">
        <f>Records!J217</f>
        <v>EgoAnchor</v>
      </c>
      <c r="S234" s="544" t="n">
        <f>IF(Records!C217="","",Records!C217)</f>
        <v>3</v>
      </c>
      <c r="T234" s="544" t="n">
        <f>Records!E217</f>
        <v>6</v>
      </c>
      <c r="U234" s="523" t="str">
        <f>"89,92,93"</f>
        <v>89,92,93</v>
      </c>
      <c r="V234" s="523" t="n">
        <f>180</f>
        <v>180</v>
      </c>
    </row>
    <row r="235">
      <c r="A235" s="523" t="str">
        <f>"P016"</f>
        <v>P016</v>
      </c>
      <c r="B235" s="523" t="str">
        <f>"One-Euro"</f>
        <v>One-Euro</v>
      </c>
      <c r="C235" s="523" t="str">
        <f>"方法A"</f>
        <v>方法A</v>
      </c>
      <c r="D235" s="543" t="n">
        <f>AVERAGE(F95,F98,F99)</f>
        <v>4.666666666666667</v>
      </c>
      <c r="E235" s="543" t="n">
        <f>AVERAGE(G95,G98,G99)</f>
        <v>3.6666666666666665</v>
      </c>
      <c r="F235" s="543" t="n">
        <f>AVERAGE(H95,H98,H99)</f>
        <v>5.333333333333333</v>
      </c>
      <c r="G235" s="543" t="n">
        <f>AVERAGE(I95,I98,I99)</f>
        <v>4.666666666666667</v>
      </c>
      <c r="H235" s="543" t="n">
        <f>AVERAGE(J95,J98,J99)</f>
        <v>4.333333333333333</v>
      </c>
      <c r="I235" s="543" t="n">
        <f>AVERAGE(K95,K98,K99)</f>
        <v>3.6666666666666665</v>
      </c>
      <c r="J235" s="543" t="n">
        <f>AVERAGE(L95,L98,L99)</f>
        <v>4.333333333333333</v>
      </c>
      <c r="K235" s="543" t="n">
        <f>AVERAGE(M95,M98,M99)</f>
        <v>4.333333333333333</v>
      </c>
      <c r="L235" s="543" t="n">
        <f>AVERAGE(N95,N98,N99)</f>
        <v>5</v>
      </c>
      <c r="M235" s="543" t="n">
        <f>I182</f>
        <v>4.166666666666667</v>
      </c>
      <c r="N235" s="543" t="n">
        <f>J182</f>
        <v>5</v>
      </c>
      <c r="O235" s="543" t="n">
        <f>K182</f>
        <v>5</v>
      </c>
      <c r="P235" s="544" t="n">
        <f>IF(O95="是",1,0)+IF(O98="是",1,0)+IF(O99="是",1,0)</f>
        <v>3</v>
      </c>
      <c r="Q235" s="523" t="str">
        <f>Records!I218</f>
        <v>EgoAnchor</v>
      </c>
      <c r="R235" s="523" t="str">
        <f>Records!J218</f>
        <v>EgoAnchor</v>
      </c>
      <c r="S235" s="544" t="n">
        <f>IF(Records!C218="","",Records!C218)</f>
        <v>3</v>
      </c>
      <c r="T235" s="544" t="n">
        <f>Records!E218</f>
        <v>6</v>
      </c>
      <c r="U235" s="523" t="str">
        <f>"95,98,99"</f>
        <v>95,98,99</v>
      </c>
      <c r="V235" s="523" t="n">
        <f>182</f>
        <v>182</v>
      </c>
    </row>
    <row r="236">
      <c r="A236" s="523" t="str">
        <f>"P016"</f>
        <v>P016</v>
      </c>
      <c r="B236" s="523" t="str">
        <f>"EgoAnchor"</f>
        <v>EgoAnchor</v>
      </c>
      <c r="C236" s="523" t="str">
        <f>"方法B"</f>
        <v>方法B</v>
      </c>
      <c r="D236" s="543" t="n">
        <f>AVERAGE(F96,F97,F100)</f>
        <v>4.333333333333333</v>
      </c>
      <c r="E236" s="543" t="n">
        <f>AVERAGE(G96,G97,G100)</f>
        <v>4.666666666666667</v>
      </c>
      <c r="F236" s="543" t="n">
        <f>AVERAGE(H96,H97,H100)</f>
        <v>5.333333333333333</v>
      </c>
      <c r="G236" s="543" t="n">
        <f>AVERAGE(I96,I97,I100)</f>
        <v>5.333333333333333</v>
      </c>
      <c r="H236" s="543" t="n">
        <f>AVERAGE(J96,J97,J100)</f>
        <v>5</v>
      </c>
      <c r="I236" s="543" t="n">
        <f>AVERAGE(K96,K97,K100)</f>
        <v>4.666666666666667</v>
      </c>
      <c r="J236" s="543" t="n">
        <f>AVERAGE(L96,L97,L100)</f>
        <v>5.333333333333333</v>
      </c>
      <c r="K236" s="543" t="n">
        <f>AVERAGE(M96,M97,M100)</f>
        <v>5.4444444444444455</v>
      </c>
      <c r="L236" s="543" t="n">
        <f>AVERAGE(N96,N97,N100)</f>
        <v>5</v>
      </c>
      <c r="M236" s="543" t="n">
        <f>I183</f>
        <v>4.833333333333333</v>
      </c>
      <c r="N236" s="543" t="n">
        <f>J183</f>
        <v>5</v>
      </c>
      <c r="O236" s="543" t="n">
        <f>K183</f>
        <v>6.666666666666667</v>
      </c>
      <c r="P236" s="544" t="n">
        <f>IF(O96="是",1,0)+IF(O97="是",1,0)+IF(O100="是",1,0)</f>
        <v>3</v>
      </c>
      <c r="Q236" s="523" t="str">
        <f>Records!I218</f>
        <v>EgoAnchor</v>
      </c>
      <c r="R236" s="523" t="str">
        <f>Records!J218</f>
        <v>EgoAnchor</v>
      </c>
      <c r="S236" s="544" t="n">
        <f>IF(Records!C218="","",Records!C218)</f>
        <v>3</v>
      </c>
      <c r="T236" s="544" t="n">
        <f>Records!E218</f>
        <v>6</v>
      </c>
      <c r="U236" s="523" t="str">
        <f>"96,97,100"</f>
        <v>96,97,100</v>
      </c>
      <c r="V236" s="523" t="n">
        <f>183</f>
        <v>183</v>
      </c>
    </row>
    <row r="237">
      <c r="A237" s="523" t="str">
        <f>"P017"</f>
        <v>P017</v>
      </c>
      <c r="B237" s="523" t="str">
        <f>"One-Euro"</f>
        <v>One-Euro</v>
      </c>
      <c r="C237" s="523" t="str">
        <f>"方法B"</f>
        <v>方法B</v>
      </c>
      <c r="D237" s="543" t="n">
        <f>AVERAGE(F102,F103,F106)</f>
        <v>3.3333333333333335</v>
      </c>
      <c r="E237" s="543" t="n">
        <f>AVERAGE(G102,G103,G106)</f>
        <v>3</v>
      </c>
      <c r="F237" s="543" t="n">
        <f>AVERAGE(H102,H103,H106)</f>
        <v>4.666666666666667</v>
      </c>
      <c r="G237" s="543" t="n">
        <f>AVERAGE(I102,I103,I106)</f>
        <v>4.666666666666667</v>
      </c>
      <c r="H237" s="543" t="n">
        <f>AVERAGE(J102,J103,J106)</f>
        <v>3.6666666666666665</v>
      </c>
      <c r="I237" s="543" t="n">
        <f>AVERAGE(K102,K103,K106)</f>
        <v>3.3333333333333335</v>
      </c>
      <c r="J237" s="543" t="n">
        <f>AVERAGE(L102,L103,L106)</f>
        <v>4</v>
      </c>
      <c r="K237" s="543" t="n">
        <f>AVERAGE(M102,M103,M106)</f>
        <v>3.444444444444444</v>
      </c>
      <c r="L237" s="543" t="n">
        <f>AVERAGE(N102,N103,N106)</f>
        <v>4.333333333333333</v>
      </c>
      <c r="M237" s="543" t="n">
        <f>I185</f>
        <v>4</v>
      </c>
      <c r="N237" s="543" t="n">
        <f>J185</f>
        <v>4</v>
      </c>
      <c r="O237" s="543" t="n">
        <f>K185</f>
        <v>6</v>
      </c>
      <c r="P237" s="544" t="n">
        <f>IF(O102="是",1,0)+IF(O103="是",1,0)+IF(O106="是",1,0)</f>
        <v>3</v>
      </c>
      <c r="Q237" s="523" t="str">
        <f>Records!I219</f>
        <v>EgoAnchor</v>
      </c>
      <c r="R237" s="523" t="str">
        <f>Records!J219</f>
        <v>EgoAnchor</v>
      </c>
      <c r="S237" s="544" t="n">
        <f>IF(Records!C219="","",Records!C219)</f>
        <v>3</v>
      </c>
      <c r="T237" s="544" t="n">
        <f>Records!E219</f>
        <v>6</v>
      </c>
      <c r="U237" s="523" t="str">
        <f>"102,103,106"</f>
        <v>102,103,106</v>
      </c>
      <c r="V237" s="523" t="n">
        <f>185</f>
        <v>185</v>
      </c>
    </row>
    <row r="238">
      <c r="A238" s="523" t="str">
        <f>"P017"</f>
        <v>P017</v>
      </c>
      <c r="B238" s="523" t="str">
        <f>"EgoAnchor"</f>
        <v>EgoAnchor</v>
      </c>
      <c r="C238" s="523" t="str">
        <f>"方法A"</f>
        <v>方法A</v>
      </c>
      <c r="D238" s="543" t="n">
        <f>AVERAGE(F101,F104,F105)</f>
        <v>4.333333333333333</v>
      </c>
      <c r="E238" s="543" t="n">
        <f>AVERAGE(G101,G104,G105)</f>
        <v>4</v>
      </c>
      <c r="F238" s="543" t="n">
        <f>AVERAGE(H101,H104,H105)</f>
        <v>4.333333333333333</v>
      </c>
      <c r="G238" s="543" t="n">
        <f>AVERAGE(I101,I104,I105)</f>
        <v>4.333333333333333</v>
      </c>
      <c r="H238" s="543" t="n">
        <f>AVERAGE(J101,J104,J105)</f>
        <v>4.333333333333333</v>
      </c>
      <c r="I238" s="543" t="n">
        <f>AVERAGE(K101,K104,K105)</f>
        <v>4.333333333333333</v>
      </c>
      <c r="J238" s="543" t="n">
        <f>AVERAGE(L101,L104,L105)</f>
        <v>4</v>
      </c>
      <c r="K238" s="543" t="n">
        <f>AVERAGE(M101,M104,M105)</f>
        <v>4.222222222222222</v>
      </c>
      <c r="L238" s="543" t="n">
        <f>AVERAGE(N101,N104,N105)</f>
        <v>4.111111111111111</v>
      </c>
      <c r="M238" s="543" t="n">
        <f>I184</f>
        <v>4</v>
      </c>
      <c r="N238" s="543" t="n">
        <f>J184</f>
        <v>4.25</v>
      </c>
      <c r="O238" s="543" t="n">
        <f>K184</f>
        <v>5.333333333333333</v>
      </c>
      <c r="P238" s="544" t="n">
        <f>IF(O101="是",1,0)+IF(O104="是",1,0)+IF(O105="是",1,0)</f>
        <v>3</v>
      </c>
      <c r="Q238" s="523" t="str">
        <f>Records!I219</f>
        <v>EgoAnchor</v>
      </c>
      <c r="R238" s="523" t="str">
        <f>Records!J219</f>
        <v>EgoAnchor</v>
      </c>
      <c r="S238" s="544" t="n">
        <f>IF(Records!C219="","",Records!C219)</f>
        <v>3</v>
      </c>
      <c r="T238" s="544" t="n">
        <f>Records!E219</f>
        <v>6</v>
      </c>
      <c r="U238" s="523" t="str">
        <f>"101,104,105"</f>
        <v>101,104,105</v>
      </c>
      <c r="V238" s="523" t="n">
        <f>184</f>
        <v>184</v>
      </c>
    </row>
    <row r="239">
      <c r="A239" s="523" t="str">
        <f>"P018"</f>
        <v>P018</v>
      </c>
      <c r="B239" s="523" t="str">
        <f>"One-Euro"</f>
        <v>One-Euro</v>
      </c>
      <c r="C239" s="523" t="str">
        <f>"方法B"</f>
        <v>方法B</v>
      </c>
      <c r="D239" s="543" t="n">
        <f>AVERAGE(F107,F110,F111)</f>
        <v>4.333333333333333</v>
      </c>
      <c r="E239" s="543" t="n">
        <f>AVERAGE(G107,G110,G111)</f>
        <v>4</v>
      </c>
      <c r="F239" s="543" t="n">
        <f>AVERAGE(H107,H110,H111)</f>
        <v>4.666666666666667</v>
      </c>
      <c r="G239" s="543" t="n">
        <f>AVERAGE(I107,I110,I111)</f>
        <v>4.666666666666667</v>
      </c>
      <c r="H239" s="543" t="n">
        <f>AVERAGE(J107,J110,J111)</f>
        <v>3.6666666666666665</v>
      </c>
      <c r="I239" s="543" t="n">
        <f>AVERAGE(K107,K110,K111)</f>
        <v>4</v>
      </c>
      <c r="J239" s="543" t="n">
        <f>AVERAGE(L107,L110,L111)</f>
        <v>4.333333333333333</v>
      </c>
      <c r="K239" s="543" t="n">
        <f>AVERAGE(M107,M110,M111)</f>
        <v>4.888888888888889</v>
      </c>
      <c r="L239" s="543" t="n">
        <f>AVERAGE(N107,N110,N111)</f>
        <v>4.333333333333333</v>
      </c>
      <c r="M239" s="543" t="n">
        <f>I186</f>
        <v>4.333333333333333</v>
      </c>
      <c r="N239" s="543" t="n">
        <f>J186</f>
        <v>4.5</v>
      </c>
      <c r="O239" s="543" t="n">
        <f>K186</f>
        <v>5.666666666666667</v>
      </c>
      <c r="P239" s="544" t="n">
        <f>IF(O107="是",1,0)+IF(O110="是",1,0)+IF(O111="是",1,0)</f>
        <v>3</v>
      </c>
      <c r="Q239" s="523" t="str">
        <f>Records!I220</f>
        <v>EgoAnchor</v>
      </c>
      <c r="R239" s="523" t="str">
        <f>Records!J220</f>
        <v>EgoAnchor</v>
      </c>
      <c r="S239" s="544" t="n">
        <f>IF(Records!C220="","",Records!C220)</f>
        <v>5</v>
      </c>
      <c r="T239" s="544" t="n">
        <f>Records!E220</f>
        <v>7</v>
      </c>
      <c r="U239" s="523" t="str">
        <f>"107,110,111"</f>
        <v>107,110,111</v>
      </c>
      <c r="V239" s="523" t="n">
        <f>186</f>
        <v>186</v>
      </c>
    </row>
    <row r="240">
      <c r="A240" s="523" t="str">
        <f>"P018"</f>
        <v>P018</v>
      </c>
      <c r="B240" s="523" t="str">
        <f>"EgoAnchor"</f>
        <v>EgoAnchor</v>
      </c>
      <c r="C240" s="523" t="str">
        <f>"方法A"</f>
        <v>方法A</v>
      </c>
      <c r="D240" s="543" t="n">
        <f>AVERAGE(F108,F109,F112)</f>
        <v>5.666666666666667</v>
      </c>
      <c r="E240" s="543" t="n">
        <f>AVERAGE(G108,G109,G112)</f>
        <v>4.666666666666667</v>
      </c>
      <c r="F240" s="543" t="n">
        <f>AVERAGE(H108,H109,H112)</f>
        <v>4.666666666666667</v>
      </c>
      <c r="G240" s="543" t="n">
        <f>AVERAGE(I108,I109,I112)</f>
        <v>4.333333333333333</v>
      </c>
      <c r="H240" s="543" t="n">
        <f>AVERAGE(J108,J109,J112)</f>
        <v>5.333333333333333</v>
      </c>
      <c r="I240" s="543" t="n">
        <f>AVERAGE(K108,K109,K112)</f>
        <v>5.333333333333333</v>
      </c>
      <c r="J240" s="543" t="n">
        <f>AVERAGE(L108,L109,L112)</f>
        <v>4.333333333333333</v>
      </c>
      <c r="K240" s="543" t="n">
        <f>AVERAGE(M108,M109,M112)</f>
        <v>4.5555555555555545</v>
      </c>
      <c r="L240" s="543" t="n">
        <f>AVERAGE(N108,N109,N112)</f>
        <v>4.888888888888888</v>
      </c>
      <c r="M240" s="543" t="n">
        <f>I187</f>
        <v>4.666666666666667</v>
      </c>
      <c r="N240" s="543" t="n">
        <f>J187</f>
        <v>4.75</v>
      </c>
      <c r="O240" s="543" t="n">
        <f>K187</f>
        <v>5.333333333333333</v>
      </c>
      <c r="P240" s="544" t="n">
        <f>IF(O108="是",1,0)+IF(O109="是",1,0)+IF(O112="是",1,0)</f>
        <v>3</v>
      </c>
      <c r="Q240" s="523" t="str">
        <f>Records!I220</f>
        <v>EgoAnchor</v>
      </c>
      <c r="R240" s="523" t="str">
        <f>Records!J220</f>
        <v>EgoAnchor</v>
      </c>
      <c r="S240" s="544" t="n">
        <f>IF(Records!C220="","",Records!C220)</f>
        <v>5</v>
      </c>
      <c r="T240" s="544" t="n">
        <f>Records!E220</f>
        <v>7</v>
      </c>
      <c r="U240" s="523" t="str">
        <f>"108,109,112"</f>
        <v>108,109,112</v>
      </c>
      <c r="V240" s="523" t="n">
        <f>187</f>
        <v>187</v>
      </c>
    </row>
    <row r="241">
      <c r="A241" s="523" t="str">
        <f>"P019"</f>
        <v>P019</v>
      </c>
      <c r="B241" s="523" t="str">
        <f>"One-Euro"</f>
        <v>One-Euro</v>
      </c>
      <c r="C241" s="523" t="str">
        <f>"方法A"</f>
        <v>方法A</v>
      </c>
      <c r="D241" s="543" t="n">
        <f>AVERAGE(F114,F115,F118)</f>
        <v>3.6666666666666665</v>
      </c>
      <c r="E241" s="543" t="n">
        <f>AVERAGE(G114,G115,G118)</f>
        <v>4.666666666666667</v>
      </c>
      <c r="F241" s="543" t="n">
        <f>AVERAGE(H114,H115,H118)</f>
        <v>4.333333333333333</v>
      </c>
      <c r="G241" s="543" t="n">
        <f>AVERAGE(I114,I115,I118)</f>
        <v>4.666666666666667</v>
      </c>
      <c r="H241" s="543" t="n">
        <f>AVERAGE(J114,J115,J118)</f>
        <v>4</v>
      </c>
      <c r="I241" s="543" t="n">
        <f>AVERAGE(K114,K115,K118)</f>
        <v>3.6666666666666665</v>
      </c>
      <c r="J241" s="543" t="n">
        <f>AVERAGE(L114,L115,L118)</f>
        <v>3.6666666666666665</v>
      </c>
      <c r="K241" s="543" t="n">
        <f>AVERAGE(M114,M115,M118)</f>
        <v>4.111111111111111</v>
      </c>
      <c r="L241" s="543" t="n">
        <f>AVERAGE(N114,N115,N118)</f>
        <v>4.5555555555555545</v>
      </c>
      <c r="M241" s="543" t="n">
        <f>I189</f>
        <v>4</v>
      </c>
      <c r="N241" s="543" t="n">
        <f>J189</f>
        <v>4</v>
      </c>
      <c r="O241" s="543" t="n">
        <f>K189</f>
        <v>5</v>
      </c>
      <c r="P241" s="544" t="n">
        <f>IF(O114="是",1,0)+IF(O115="是",1,0)+IF(O118="是",1,0)</f>
        <v>3</v>
      </c>
      <c r="Q241" s="523" t="str">
        <f>Records!I221</f>
        <v>无明显偏好</v>
      </c>
      <c r="R241" s="523" t="str">
        <f>Records!J221</f>
        <v>EgoAnchor</v>
      </c>
      <c r="S241" s="544" t="str">
        <f>IF(Records!C221="","",Records!C221)</f>
      </c>
      <c r="T241" s="544" t="n">
        <f>Records!E221</f>
        <v>5</v>
      </c>
      <c r="U241" s="523" t="str">
        <f>"114,115,118"</f>
        <v>114,115,118</v>
      </c>
      <c r="V241" s="523" t="n">
        <f>189</f>
        <v>189</v>
      </c>
    </row>
    <row r="242">
      <c r="A242" s="523" t="str">
        <f>"P019"</f>
        <v>P019</v>
      </c>
      <c r="B242" s="523" t="str">
        <f>"EgoAnchor"</f>
        <v>EgoAnchor</v>
      </c>
      <c r="C242" s="523" t="str">
        <f>"方法B"</f>
        <v>方法B</v>
      </c>
      <c r="D242" s="543" t="n">
        <f>AVERAGE(F113,F116,F117)</f>
        <v>5</v>
      </c>
      <c r="E242" s="543" t="n">
        <f>AVERAGE(G113,G116,G117)</f>
        <v>4</v>
      </c>
      <c r="F242" s="543" t="n">
        <f>AVERAGE(H113,H116,H117)</f>
        <v>4.333333333333333</v>
      </c>
      <c r="G242" s="543" t="n">
        <f>AVERAGE(I113,I116,I117)</f>
        <v>4.333333333333333</v>
      </c>
      <c r="H242" s="543" t="n">
        <f>AVERAGE(J113,J116,J117)</f>
        <v>3.6666666666666665</v>
      </c>
      <c r="I242" s="543" t="n">
        <f>AVERAGE(K113,K116,K117)</f>
        <v>4.333333333333333</v>
      </c>
      <c r="J242" s="543" t="n">
        <f>AVERAGE(L113,L116,L117)</f>
        <v>3.6666666666666665</v>
      </c>
      <c r="K242" s="543" t="n">
        <f>AVERAGE(M113,M116,M117)</f>
        <v>4.111111111111111</v>
      </c>
      <c r="L242" s="543" t="n">
        <f>AVERAGE(N113,N116,N117)</f>
        <v>3.8888888888888893</v>
      </c>
      <c r="M242" s="543" t="n">
        <f>I188</f>
        <v>4.333333333333333</v>
      </c>
      <c r="N242" s="543" t="n">
        <f>J188</f>
        <v>3.5</v>
      </c>
      <c r="O242" s="543" t="n">
        <f>K188</f>
        <v>5.333333333333333</v>
      </c>
      <c r="P242" s="544" t="n">
        <f>IF(O113="是",1,0)+IF(O116="是",1,0)+IF(O117="是",1,0)</f>
        <v>3</v>
      </c>
      <c r="Q242" s="523" t="str">
        <f>Records!I221</f>
        <v>无明显偏好</v>
      </c>
      <c r="R242" s="523" t="str">
        <f>Records!J221</f>
        <v>EgoAnchor</v>
      </c>
      <c r="S242" s="544" t="str">
        <f>IF(Records!C221="","",Records!C221)</f>
      </c>
      <c r="T242" s="544" t="n">
        <f>Records!E221</f>
        <v>5</v>
      </c>
      <c r="U242" s="523" t="str">
        <f>"113,116,117"</f>
        <v>113,116,117</v>
      </c>
      <c r="V242" s="523" t="n">
        <f>188</f>
        <v>188</v>
      </c>
    </row>
    <row r="243">
      <c r="A243" s="523" t="str">
        <f>"P020"</f>
        <v>P020</v>
      </c>
      <c r="B243" s="523" t="str">
        <f>"One-Euro"</f>
        <v>One-Euro</v>
      </c>
      <c r="C243" s="523" t="str">
        <f>"方法A"</f>
        <v>方法A</v>
      </c>
      <c r="D243" s="543" t="n">
        <f>AVERAGE(F119,F122,F123)</f>
        <v>4</v>
      </c>
      <c r="E243" s="543" t="n">
        <f>AVERAGE(G119,G122,G123)</f>
        <v>4</v>
      </c>
      <c r="F243" s="543" t="n">
        <f>AVERAGE(H119,H122,H123)</f>
        <v>4.333333333333333</v>
      </c>
      <c r="G243" s="543" t="n">
        <f>AVERAGE(I119,I122,I123)</f>
        <v>4.666666666666667</v>
      </c>
      <c r="H243" s="543" t="n">
        <f>AVERAGE(J119,J122,J123)</f>
        <v>4.333333333333333</v>
      </c>
      <c r="I243" s="543" t="n">
        <f>AVERAGE(K119,K122,K123)</f>
        <v>4.333333333333333</v>
      </c>
      <c r="J243" s="543" t="n">
        <f>AVERAGE(L119,L122,L123)</f>
        <v>4.666666666666667</v>
      </c>
      <c r="K243" s="543" t="n">
        <f>AVERAGE(M119,M122,M123)</f>
        <v>4.222222222222222</v>
      </c>
      <c r="L243" s="543" t="n">
        <f>AVERAGE(N119,N122,N123)</f>
        <v>4.666666666666667</v>
      </c>
      <c r="M243" s="543" t="n">
        <f>I190</f>
        <v>4</v>
      </c>
      <c r="N243" s="543" t="n">
        <f>J190</f>
        <v>3.75</v>
      </c>
      <c r="O243" s="543" t="n">
        <f>K190</f>
        <v>4.666666666666667</v>
      </c>
      <c r="P243" s="544" t="n">
        <f>IF(O119="是",1,0)+IF(O122="是",1,0)+IF(O123="是",1,0)</f>
        <v>3</v>
      </c>
      <c r="Q243" s="523" t="str">
        <f>Records!I222</f>
        <v>One-Euro</v>
      </c>
      <c r="R243" s="523" t="str">
        <f>Records!J222</f>
        <v>无明显偏好</v>
      </c>
      <c r="S243" s="544" t="n">
        <f>IF(Records!C222="","",Records!C222)</f>
        <v>4</v>
      </c>
      <c r="T243" s="544" t="n">
        <f>Records!E222</f>
        <v>4</v>
      </c>
      <c r="U243" s="523" t="str">
        <f>"119,122,123"</f>
        <v>119,122,123</v>
      </c>
      <c r="V243" s="523" t="n">
        <f>190</f>
        <v>190</v>
      </c>
    </row>
    <row r="244">
      <c r="A244" s="523" t="str">
        <f>"P020"</f>
        <v>P020</v>
      </c>
      <c r="B244" s="523" t="str">
        <f>"EgoAnchor"</f>
        <v>EgoAnchor</v>
      </c>
      <c r="C244" s="523" t="str">
        <f>"方法B"</f>
        <v>方法B</v>
      </c>
      <c r="D244" s="543" t="n">
        <f>AVERAGE(F120,F121,F124)</f>
        <v>4.666666666666667</v>
      </c>
      <c r="E244" s="543" t="n">
        <f>AVERAGE(G120,G121,G124)</f>
        <v>4</v>
      </c>
      <c r="F244" s="543" t="n">
        <f>AVERAGE(H120,H121,H124)</f>
        <v>4.333333333333333</v>
      </c>
      <c r="G244" s="543" t="n">
        <f>AVERAGE(I120,I121,I124)</f>
        <v>5</v>
      </c>
      <c r="H244" s="543" t="n">
        <f>AVERAGE(J120,J121,J124)</f>
        <v>4.333333333333333</v>
      </c>
      <c r="I244" s="543" t="n">
        <f>AVERAGE(K120,K121,K124)</f>
        <v>3.6666666666666665</v>
      </c>
      <c r="J244" s="543" t="n">
        <f>AVERAGE(L120,L121,L124)</f>
        <v>4.666666666666667</v>
      </c>
      <c r="K244" s="543" t="n">
        <f>AVERAGE(M120,M121,M124)</f>
        <v>4.666666666666667</v>
      </c>
      <c r="L244" s="543" t="n">
        <f>AVERAGE(N120,N121,N124)</f>
        <v>4.333333333333333</v>
      </c>
      <c r="M244" s="543" t="n">
        <f>I191</f>
        <v>4</v>
      </c>
      <c r="N244" s="543" t="n">
        <f>J191</f>
        <v>4.25</v>
      </c>
      <c r="O244" s="543" t="n">
        <f>K191</f>
        <v>5.666666666666667</v>
      </c>
      <c r="P244" s="544" t="n">
        <f>IF(O120="是",1,0)+IF(O121="是",1,0)+IF(O124="是",1,0)</f>
        <v>3</v>
      </c>
      <c r="Q244" s="523" t="str">
        <f>Records!I222</f>
        <v>One-Euro</v>
      </c>
      <c r="R244" s="523" t="str">
        <f>Records!J222</f>
        <v>无明显偏好</v>
      </c>
      <c r="S244" s="544" t="n">
        <f>IF(Records!C222="","",Records!C222)</f>
        <v>4</v>
      </c>
      <c r="T244" s="544" t="n">
        <f>Records!E222</f>
        <v>4</v>
      </c>
      <c r="U244" s="523" t="str">
        <f>"120,121,124"</f>
        <v>120,121,124</v>
      </c>
      <c r="V244" s="523" t="n">
        <f>191</f>
        <v>191</v>
      </c>
    </row>
    <row r="245">
      <c r="A245" s="523" t="str">
        <f>"P021"</f>
        <v>P021</v>
      </c>
      <c r="B245" s="523" t="str">
        <f>"One-Euro"</f>
        <v>One-Euro</v>
      </c>
      <c r="C245" s="523" t="str">
        <f>"方法B"</f>
        <v>方法B</v>
      </c>
      <c r="D245" s="543" t="n">
        <f>AVERAGE(F126,F127,F130)</f>
        <v>4.666666666666667</v>
      </c>
      <c r="E245" s="543" t="n">
        <f>AVERAGE(G126,G127,G130)</f>
        <v>5.333333333333333</v>
      </c>
      <c r="F245" s="543" t="n">
        <f>AVERAGE(H126,H127,H130)</f>
        <v>5.333333333333333</v>
      </c>
      <c r="G245" s="543" t="n">
        <f>AVERAGE(I126,I127,I130)</f>
        <v>5.333333333333333</v>
      </c>
      <c r="H245" s="543" t="n">
        <f>AVERAGE(J126,J127,J130)</f>
        <v>4.333333333333333</v>
      </c>
      <c r="I245" s="543" t="n">
        <f>AVERAGE(K126,K127,K130)</f>
        <v>4</v>
      </c>
      <c r="J245" s="543" t="n">
        <f>AVERAGE(L126,L127,L130)</f>
        <v>5.333333333333333</v>
      </c>
      <c r="K245" s="543" t="n">
        <f>AVERAGE(M126,M127,M130)</f>
        <v>4.777777777777779</v>
      </c>
      <c r="L245" s="543" t="n">
        <f>AVERAGE(N126,N127,N130)</f>
        <v>5</v>
      </c>
      <c r="M245" s="543" t="n">
        <f>I193</f>
        <v>4.166666666666667</v>
      </c>
      <c r="N245" s="543" t="n">
        <f>J193</f>
        <v>4.25</v>
      </c>
      <c r="O245" s="543" t="n">
        <f>K193</f>
        <v>5.666666666666667</v>
      </c>
      <c r="P245" s="544" t="n">
        <f>IF(O126="是",1,0)+IF(O127="是",1,0)+IF(O130="是",1,0)</f>
        <v>3</v>
      </c>
      <c r="Q245" s="523" t="str">
        <f>Records!I223</f>
        <v>EgoAnchor</v>
      </c>
      <c r="R245" s="523" t="str">
        <f>Records!J223</f>
        <v>EgoAnchor</v>
      </c>
      <c r="S245" s="544" t="n">
        <f>IF(Records!C223="","",Records!C223)</f>
        <v>5</v>
      </c>
      <c r="T245" s="544" t="n">
        <f>Records!E223</f>
        <v>6</v>
      </c>
      <c r="U245" s="523" t="str">
        <f>"126,127,130"</f>
        <v>126,127,130</v>
      </c>
      <c r="V245" s="523" t="n">
        <f>193</f>
        <v>193</v>
      </c>
    </row>
    <row r="246">
      <c r="A246" s="523" t="str">
        <f>"P021"</f>
        <v>P021</v>
      </c>
      <c r="B246" s="523" t="str">
        <f>"EgoAnchor"</f>
        <v>EgoAnchor</v>
      </c>
      <c r="C246" s="523" t="str">
        <f>"方法A"</f>
        <v>方法A</v>
      </c>
      <c r="D246" s="543" t="n">
        <f>AVERAGE(F125,F128,F129)</f>
        <v>6.666666666666667</v>
      </c>
      <c r="E246" s="543" t="n">
        <f>AVERAGE(G125,G128,G129)</f>
        <v>5.666666666666667</v>
      </c>
      <c r="F246" s="543" t="n">
        <f>AVERAGE(H125,H128,H129)</f>
        <v>5.333333333333333</v>
      </c>
      <c r="G246" s="543" t="n">
        <f>AVERAGE(I125,I128,I129)</f>
        <v>5</v>
      </c>
      <c r="H246" s="543" t="n">
        <f>AVERAGE(J125,J128,J129)</f>
        <v>5</v>
      </c>
      <c r="I246" s="543" t="n">
        <f>AVERAGE(K125,K128,K129)</f>
        <v>5.666666666666667</v>
      </c>
      <c r="J246" s="543" t="n">
        <f>AVERAGE(L125,L128,L129)</f>
        <v>5.666666666666667</v>
      </c>
      <c r="K246" s="543" t="n">
        <f>AVERAGE(M125,M128,M129)</f>
        <v>5.555555555555556</v>
      </c>
      <c r="L246" s="543" t="n">
        <f>AVERAGE(N125,N128,N129)</f>
        <v>5.222222222222222</v>
      </c>
      <c r="M246" s="543" t="n">
        <f>I192</f>
        <v>4.5</v>
      </c>
      <c r="N246" s="543" t="n">
        <f>J192</f>
        <v>5</v>
      </c>
      <c r="O246" s="543" t="n">
        <f>K192</f>
        <v>6</v>
      </c>
      <c r="P246" s="544" t="n">
        <f>IF(O125="是",1,0)+IF(O128="是",1,0)+IF(O129="是",1,0)</f>
        <v>3</v>
      </c>
      <c r="Q246" s="523" t="str">
        <f>Records!I223</f>
        <v>EgoAnchor</v>
      </c>
      <c r="R246" s="523" t="str">
        <f>Records!J223</f>
        <v>EgoAnchor</v>
      </c>
      <c r="S246" s="544" t="n">
        <f>IF(Records!C223="","",Records!C223)</f>
        <v>5</v>
      </c>
      <c r="T246" s="544" t="n">
        <f>Records!E223</f>
        <v>6</v>
      </c>
      <c r="U246" s="523" t="str">
        <f>"125,128,129"</f>
        <v>125,128,129</v>
      </c>
      <c r="V246" s="523" t="n">
        <f>192</f>
        <v>192</v>
      </c>
    </row>
    <row r="247">
      <c r="A247" s="523" t="str">
        <f>"P022"</f>
        <v>P022</v>
      </c>
      <c r="B247" s="523" t="str">
        <f>"One-Euro"</f>
        <v>One-Euro</v>
      </c>
      <c r="C247" s="523" t="str">
        <f>"方法B"</f>
        <v>方法B</v>
      </c>
      <c r="D247" s="543" t="n">
        <f>AVERAGE(F131,F134,F135)</f>
        <v>4.333333333333333</v>
      </c>
      <c r="E247" s="543" t="n">
        <f>AVERAGE(G131,G134,G135)</f>
        <v>4.666666666666667</v>
      </c>
      <c r="F247" s="543" t="n">
        <f>AVERAGE(H131,H134,H135)</f>
        <v>5.666666666666667</v>
      </c>
      <c r="G247" s="543" t="n">
        <f>AVERAGE(I131,I134,I135)</f>
        <v>4.666666666666667</v>
      </c>
      <c r="H247" s="543" t="n">
        <f>AVERAGE(J131,J134,J135)</f>
        <v>4</v>
      </c>
      <c r="I247" s="543" t="n">
        <f>AVERAGE(K131,K134,K135)</f>
        <v>4.333333333333333</v>
      </c>
      <c r="J247" s="543" t="n">
        <f>AVERAGE(L131,L134,L135)</f>
        <v>4.333333333333333</v>
      </c>
      <c r="K247" s="543" t="n">
        <f>AVERAGE(M131,M134,M135)</f>
        <v>5.111111111111111</v>
      </c>
      <c r="L247" s="543" t="n">
        <f>AVERAGE(N131,N134,N135)</f>
        <v>5.111111111111111</v>
      </c>
      <c r="M247" s="543" t="n">
        <f>I194</f>
        <v>4.5</v>
      </c>
      <c r="N247" s="543" t="n">
        <f>J194</f>
        <v>4.25</v>
      </c>
      <c r="O247" s="543" t="n">
        <f>K194</f>
        <v>5.333333333333333</v>
      </c>
      <c r="P247" s="544" t="n">
        <f>IF(O131="是",1,0)+IF(O134="是",1,0)+IF(O135="是",1,0)</f>
        <v>3</v>
      </c>
      <c r="Q247" s="523" t="str">
        <f>Records!I224</f>
        <v>EgoAnchor</v>
      </c>
      <c r="R247" s="523" t="str">
        <f>Records!J224</f>
        <v>EgoAnchor</v>
      </c>
      <c r="S247" s="544" t="n">
        <f>IF(Records!C224="","",Records!C224)</f>
        <v>5</v>
      </c>
      <c r="T247" s="544" t="n">
        <f>Records!E224</f>
        <v>7</v>
      </c>
      <c r="U247" s="523" t="str">
        <f>"131,134,135"</f>
        <v>131,134,135</v>
      </c>
      <c r="V247" s="523" t="n">
        <f>194</f>
        <v>194</v>
      </c>
    </row>
    <row r="248">
      <c r="A248" s="523" t="str">
        <f>"P022"</f>
        <v>P022</v>
      </c>
      <c r="B248" s="523" t="str">
        <f>"EgoAnchor"</f>
        <v>EgoAnchor</v>
      </c>
      <c r="C248" s="523" t="str">
        <f>"方法A"</f>
        <v>方法A</v>
      </c>
      <c r="D248" s="543" t="n">
        <f>AVERAGE(F132,F133,F136)</f>
        <v>5.333333333333333</v>
      </c>
      <c r="E248" s="543" t="n">
        <f>AVERAGE(G132,G133,G136)</f>
        <v>6.666666666666667</v>
      </c>
      <c r="F248" s="543" t="n">
        <f>AVERAGE(H132,H133,H136)</f>
        <v>6</v>
      </c>
      <c r="G248" s="543" t="n">
        <f>AVERAGE(I132,I133,I136)</f>
        <v>5.666666666666667</v>
      </c>
      <c r="H248" s="543" t="n">
        <f>AVERAGE(J132,J133,J136)</f>
        <v>5</v>
      </c>
      <c r="I248" s="543" t="n">
        <f>AVERAGE(K132,K133,K136)</f>
        <v>5</v>
      </c>
      <c r="J248" s="543" t="n">
        <f>AVERAGE(L132,L133,L136)</f>
        <v>5.666666666666667</v>
      </c>
      <c r="K248" s="543" t="n">
        <f>AVERAGE(M132,M133,M136)</f>
        <v>5.555555555555556</v>
      </c>
      <c r="L248" s="543" t="n">
        <f>AVERAGE(N132,N133,N136)</f>
        <v>5.666666666666667</v>
      </c>
      <c r="M248" s="543" t="n">
        <f>I195</f>
        <v>4.833333333333333</v>
      </c>
      <c r="N248" s="543" t="n">
        <f>J195</f>
        <v>4.5</v>
      </c>
      <c r="O248" s="543" t="n">
        <f>K195</f>
        <v>6</v>
      </c>
      <c r="P248" s="544" t="n">
        <f>IF(O132="是",1,0)+IF(O133="是",1,0)+IF(O136="是",1,0)</f>
        <v>3</v>
      </c>
      <c r="Q248" s="523" t="str">
        <f>Records!I224</f>
        <v>EgoAnchor</v>
      </c>
      <c r="R248" s="523" t="str">
        <f>Records!J224</f>
        <v>EgoAnchor</v>
      </c>
      <c r="S248" s="544" t="n">
        <f>IF(Records!C224="","",Records!C224)</f>
        <v>5</v>
      </c>
      <c r="T248" s="544" t="n">
        <f>Records!E224</f>
        <v>7</v>
      </c>
      <c r="U248" s="523" t="str">
        <f>"132,133,136"</f>
        <v>132,133,136</v>
      </c>
      <c r="V248" s="523" t="n">
        <f>195</f>
        <v>195</v>
      </c>
    </row>
    <row r="249">
      <c r="A249" s="523" t="str">
        <f>"P023"</f>
        <v>P023</v>
      </c>
      <c r="B249" s="523" t="str">
        <f>"One-Euro"</f>
        <v>One-Euro</v>
      </c>
      <c r="C249" s="523" t="str">
        <f>"方法A"</f>
        <v>方法A</v>
      </c>
      <c r="D249" s="543" t="n">
        <f>AVERAGE(F138,F139,F142)</f>
        <v>4</v>
      </c>
      <c r="E249" s="543" t="n">
        <f>AVERAGE(G138,G139,G142)</f>
        <v>4.666666666666667</v>
      </c>
      <c r="F249" s="543" t="n">
        <f>AVERAGE(H138,H139,H142)</f>
        <v>6</v>
      </c>
      <c r="G249" s="543" t="n">
        <f>AVERAGE(I138,I139,I142)</f>
        <v>6.666666666666667</v>
      </c>
      <c r="H249" s="543" t="n">
        <f>AVERAGE(J138,J139,J142)</f>
        <v>4</v>
      </c>
      <c r="I249" s="543" t="n">
        <f>AVERAGE(K138,K139,K142)</f>
        <v>4</v>
      </c>
      <c r="J249" s="543" t="n">
        <f>AVERAGE(L138,L139,L142)</f>
        <v>4.333333333333333</v>
      </c>
      <c r="K249" s="543" t="n">
        <f>AVERAGE(M138,M139,M142)</f>
        <v>4.777777777777778</v>
      </c>
      <c r="L249" s="543" t="n">
        <f>AVERAGE(N138,N139,N142)</f>
        <v>4.888888888888888</v>
      </c>
      <c r="M249" s="543" t="n">
        <f>I197</f>
        <v>3.6666666666666665</v>
      </c>
      <c r="N249" s="543" t="n">
        <f>J197</f>
        <v>3.75</v>
      </c>
      <c r="O249" s="543" t="n">
        <f>K197</f>
        <v>4.666666666666667</v>
      </c>
      <c r="P249" s="544" t="n">
        <f>IF(O138="是",1,0)+IF(O139="是",1,0)+IF(O142="是",1,0)</f>
        <v>3</v>
      </c>
      <c r="Q249" s="523" t="str">
        <f>Records!I225</f>
        <v>EgoAnchor</v>
      </c>
      <c r="R249" s="523" t="str">
        <f>Records!J225</f>
        <v>EgoAnchor</v>
      </c>
      <c r="S249" s="544" t="n">
        <f>IF(Records!C225="","",Records!C225)</f>
        <v>4</v>
      </c>
      <c r="T249" s="544" t="n">
        <f>Records!E225</f>
        <v>6</v>
      </c>
      <c r="U249" s="523" t="str">
        <f>"138,139,142"</f>
        <v>138,139,142</v>
      </c>
      <c r="V249" s="523" t="n">
        <f>197</f>
        <v>197</v>
      </c>
    </row>
    <row r="250">
      <c r="A250" s="523" t="str">
        <f>"P023"</f>
        <v>P023</v>
      </c>
      <c r="B250" s="523" t="str">
        <f>"EgoAnchor"</f>
        <v>EgoAnchor</v>
      </c>
      <c r="C250" s="523" t="str">
        <f>"方法B"</f>
        <v>方法B</v>
      </c>
      <c r="D250" s="543" t="n">
        <f>AVERAGE(F137,F140,F141)</f>
        <v>5.333333333333333</v>
      </c>
      <c r="E250" s="543" t="n">
        <f>AVERAGE(G137,G140,G141)</f>
        <v>5</v>
      </c>
      <c r="F250" s="543" t="n">
        <f>AVERAGE(H137,H140,H141)</f>
        <v>5</v>
      </c>
      <c r="G250" s="543" t="n">
        <f>AVERAGE(I137,I140,I141)</f>
        <v>5.333333333333333</v>
      </c>
      <c r="H250" s="543" t="n">
        <f>AVERAGE(J137,J140,J141)</f>
        <v>5.666666666666667</v>
      </c>
      <c r="I250" s="543" t="n">
        <f>AVERAGE(K137,K140,K141)</f>
        <v>4.333333333333333</v>
      </c>
      <c r="J250" s="543" t="n">
        <f>AVERAGE(L137,L140,L141)</f>
        <v>5.333333333333333</v>
      </c>
      <c r="K250" s="543" t="n">
        <f>AVERAGE(M137,M140,M141)</f>
        <v>5.888888888888888</v>
      </c>
      <c r="L250" s="543" t="n">
        <f>AVERAGE(N137,N140,N141)</f>
        <v>5.333333333333333</v>
      </c>
      <c r="M250" s="543" t="n">
        <f>I196</f>
        <v>4</v>
      </c>
      <c r="N250" s="543" t="n">
        <f>J196</f>
        <v>4</v>
      </c>
      <c r="O250" s="543" t="n">
        <f>K196</f>
        <v>5.333333333333333</v>
      </c>
      <c r="P250" s="544" t="n">
        <f>IF(O137="是",1,0)+IF(O140="是",1,0)+IF(O141="是",1,0)</f>
        <v>3</v>
      </c>
      <c r="Q250" s="523" t="str">
        <f>Records!I225</f>
        <v>EgoAnchor</v>
      </c>
      <c r="R250" s="523" t="str">
        <f>Records!J225</f>
        <v>EgoAnchor</v>
      </c>
      <c r="S250" s="544" t="n">
        <f>IF(Records!C225="","",Records!C225)</f>
        <v>4</v>
      </c>
      <c r="T250" s="544" t="n">
        <f>Records!E225</f>
        <v>6</v>
      </c>
      <c r="U250" s="523" t="str">
        <f>"137,140,141"</f>
        <v>137,140,141</v>
      </c>
      <c r="V250" s="523" t="n">
        <f>196</f>
        <v>196</v>
      </c>
    </row>
    <row r="251">
      <c r="A251" s="523" t="str">
        <f>"P024"</f>
        <v>P024</v>
      </c>
      <c r="B251" s="523" t="str">
        <f>"One-Euro"</f>
        <v>One-Euro</v>
      </c>
      <c r="C251" s="523" t="str">
        <f>"方法A"</f>
        <v>方法A</v>
      </c>
      <c r="D251" s="543" t="n">
        <f>AVERAGE(F143,F146,F147)</f>
        <v>4.333333333333333</v>
      </c>
      <c r="E251" s="543" t="n">
        <f>AVERAGE(G143,G146,G147)</f>
        <v>5</v>
      </c>
      <c r="F251" s="543" t="n">
        <f>AVERAGE(H143,H146,H147)</f>
        <v>5</v>
      </c>
      <c r="G251" s="543" t="n">
        <f>AVERAGE(I143,I146,I147)</f>
        <v>4.666666666666667</v>
      </c>
      <c r="H251" s="543" t="n">
        <f>AVERAGE(J143,J146,J147)</f>
        <v>4.666666666666667</v>
      </c>
      <c r="I251" s="543" t="n">
        <f>AVERAGE(K143,K146,K147)</f>
        <v>4.333333333333333</v>
      </c>
      <c r="J251" s="543" t="n">
        <f>AVERAGE(L143,L146,L147)</f>
        <v>5</v>
      </c>
      <c r="K251" s="543" t="n">
        <f>AVERAGE(M143,M146,M147)</f>
        <v>5.333333333333333</v>
      </c>
      <c r="L251" s="543" t="n">
        <f>AVERAGE(N143,N146,N147)</f>
        <v>4.666666666666667</v>
      </c>
      <c r="M251" s="543" t="n">
        <f>I198</f>
        <v>4</v>
      </c>
      <c r="N251" s="543" t="n">
        <f>J198</f>
        <v>4.25</v>
      </c>
      <c r="O251" s="543" t="n">
        <f>K198</f>
        <v>5.666666666666667</v>
      </c>
      <c r="P251" s="544" t="n">
        <f>IF(O143="是",1,0)+IF(O146="是",1,0)+IF(O147="是",1,0)</f>
        <v>3</v>
      </c>
      <c r="Q251" s="523" t="str">
        <f>Records!I226</f>
        <v>EgoAnchor</v>
      </c>
      <c r="R251" s="523" t="str">
        <f>Records!J226</f>
        <v>EgoAnchor</v>
      </c>
      <c r="S251" s="544" t="n">
        <f>IF(Records!C226="","",Records!C226)</f>
        <v>6</v>
      </c>
      <c r="T251" s="544" t="n">
        <f>Records!E226</f>
        <v>7</v>
      </c>
      <c r="U251" s="523" t="str">
        <f>"143,146,147"</f>
        <v>143,146,147</v>
      </c>
      <c r="V251" s="523" t="n">
        <f>198</f>
        <v>198</v>
      </c>
    </row>
    <row r="252">
      <c r="A252" s="523" t="str">
        <f>"P024"</f>
        <v>P024</v>
      </c>
      <c r="B252" s="523" t="str">
        <f>"EgoAnchor"</f>
        <v>EgoAnchor</v>
      </c>
      <c r="C252" s="523" t="str">
        <f>"方法B"</f>
        <v>方法B</v>
      </c>
      <c r="D252" s="543" t="n">
        <f>AVERAGE(F144,F145,F148)</f>
        <v>6</v>
      </c>
      <c r="E252" s="543" t="n">
        <f>AVERAGE(G144,G145,G148)</f>
        <v>6.666666666666667</v>
      </c>
      <c r="F252" s="543" t="n">
        <f>AVERAGE(H144,H145,H148)</f>
        <v>5.333333333333333</v>
      </c>
      <c r="G252" s="543" t="n">
        <f>AVERAGE(I144,I145,I148)</f>
        <v>5.333333333333333</v>
      </c>
      <c r="H252" s="543" t="n">
        <f>AVERAGE(J144,J145,J148)</f>
        <v>5.333333333333333</v>
      </c>
      <c r="I252" s="543" t="n">
        <f>AVERAGE(K144,K145,K148)</f>
        <v>6</v>
      </c>
      <c r="J252" s="543" t="n">
        <f>AVERAGE(L144,L145,L148)</f>
        <v>6.333333333333333</v>
      </c>
      <c r="K252" s="543" t="n">
        <f>AVERAGE(M144,M145,M148)</f>
        <v>5.444444444444444</v>
      </c>
      <c r="L252" s="543" t="n">
        <f>AVERAGE(N144,N145,N148)</f>
        <v>5.333333333333333</v>
      </c>
      <c r="M252" s="543" t="n">
        <f>I199</f>
        <v>4.666666666666667</v>
      </c>
      <c r="N252" s="543" t="n">
        <f>J199</f>
        <v>5</v>
      </c>
      <c r="O252" s="543" t="n">
        <f>K199</f>
        <v>6</v>
      </c>
      <c r="P252" s="544" t="n">
        <f>IF(O144="是",1,0)+IF(O145="是",1,0)+IF(O148="是",1,0)</f>
        <v>3</v>
      </c>
      <c r="Q252" s="523" t="str">
        <f>Records!I226</f>
        <v>EgoAnchor</v>
      </c>
      <c r="R252" s="523" t="str">
        <f>Records!J226</f>
        <v>EgoAnchor</v>
      </c>
      <c r="S252" s="544" t="n">
        <f>IF(Records!C226="","",Records!C226)</f>
        <v>6</v>
      </c>
      <c r="T252" s="544" t="n">
        <f>Records!E226</f>
        <v>7</v>
      </c>
      <c r="U252" s="523" t="str">
        <f>"144,145,148"</f>
        <v>144,145,148</v>
      </c>
      <c r="V252" s="523" t="n">
        <f>199</f>
        <v>199</v>
      </c>
    </row>
  </sheetData>
  <mergeCells>
    <mergeCell ref="A1:P1"/>
    <mergeCell ref="A2:P2"/>
    <mergeCell ref="A150:M150"/>
    <mergeCell ref="A203:V203"/>
  </mergeCells>
  <conditionalFormatting sqref="A5:P148">
    <cfRule type="expression" dxfId="4" priority="1">
      <formula>$E5="EgoAnchor"</formula>
    </cfRule>
    <cfRule type="expression" dxfId="5" priority="2">
      <formula>$E5="One-Euro"</formula>
    </cfRule>
  </conditionalFormatting>
  <conditionalFormatting sqref="A205:V252">
    <cfRule type="expression" dxfId="6" priority="3">
      <formula>$B205="EgoAnchor"</formula>
    </cfRule>
    <cfRule type="expression" dxfId="7" priority="4">
      <formula>$B205="One-Euro"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FormatPr defaultRowHeight="15"/>
  <cols>
    <col min="1" max="1" width="24" hidden="0" customWidth="1"/>
    <col min="2" max="2" width="16" hidden="0" customWidth="1"/>
    <col min="3" max="3" width="16" hidden="0" customWidth="1"/>
    <col min="4" max="4" width="16" hidden="0" customWidth="1"/>
    <col min="6" max="6" width="2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</cols>
  <sheetData>
    <row r="1">
      <c r="A1" s="540" t="str">
        <v>GPT-5.6-Thinking v3 — Synthetic Experiment 3 Summary</v>
      </c>
      <c r="B1" s="540"/>
      <c r="C1" s="540"/>
      <c r="D1" s="540"/>
      <c r="E1" s="540"/>
      <c r="F1" s="540"/>
      <c r="G1" s="540"/>
      <c r="H1" s="540"/>
      <c r="I1" s="540"/>
      <c r="J1" s="540"/>
    </row>
    <row r="2">
      <c r="A2" s="552" t="str">
        <v>仅用于模拟、公式验证和分析管线测试；不是实际用户研究结果。</v>
      </c>
      <c r="B2" s="552"/>
      <c r="C2" s="552"/>
      <c r="D2" s="552"/>
      <c r="E2" s="552"/>
      <c r="F2" s="552"/>
      <c r="G2" s="552"/>
      <c r="H2" s="552"/>
      <c r="I2" s="552"/>
      <c r="J2" s="552"/>
    </row>
    <row r="3">
      <c r="A3" s="523"/>
      <c r="B3" s="523"/>
      <c r="C3" s="523"/>
      <c r="D3" s="523"/>
      <c r="E3" s="523"/>
      <c r="F3" s="523"/>
      <c r="G3" s="523"/>
      <c r="H3" s="523"/>
      <c r="I3" s="523"/>
      <c r="J3" s="523"/>
    </row>
    <row r="4">
      <c r="A4" s="553" t="str">
        <v>结局</v>
      </c>
      <c r="B4" s="553" t="str">
        <v>One-Euro 均值</v>
      </c>
      <c r="C4" s="553" t="str">
        <v>EgoAnchor 均值</v>
      </c>
      <c r="D4" s="553" t="str">
        <v>差值(EA-OE)</v>
      </c>
      <c r="E4" s="523"/>
      <c r="F4" s="553" t="str">
        <v>最终选择</v>
      </c>
      <c r="G4" s="553" t="str">
        <v>EgoAnchor</v>
      </c>
      <c r="H4" s="553" t="str">
        <v>One-Euro</v>
      </c>
      <c r="I4" s="553" t="str">
        <v>无明显偏好</v>
      </c>
      <c r="J4" s="553" t="str">
        <v>合计</v>
      </c>
    </row>
    <row r="5">
      <c r="A5" s="523" t="str">
        <f>"Q1 静止稳定"</f>
        <v>Q1 静止稳定</v>
      </c>
      <c r="B5" s="543" t="n">
        <f>AVERAGEIF(Formula_Scores!$B$205:$B$252,"One-Euro",Formula_Scores!$D$205:$D$252)</f>
        <v>4.25</v>
      </c>
      <c r="C5" s="543" t="n">
        <f>AVERAGEIF(Formula_Scores!$B$205:$B$252,"EgoAnchor",Formula_Scores!$D$205:$D$252)</f>
        <v>5.194444444444445</v>
      </c>
      <c r="D5" s="543" t="n">
        <f>C5-B5</f>
        <v>0.9444444444444446</v>
      </c>
      <c r="E5" s="523"/>
      <c r="F5" s="523" t="str">
        <v>方法选择</v>
      </c>
      <c r="G5" s="523" t="n">
        <f>COUNTIF(Records!$I$203:$I$226,"EgoAnchor")</f>
        <v>15</v>
      </c>
      <c r="H5" s="523" t="n">
        <f>COUNTIF(Records!$I$203:$I$226,"One-Euro")</f>
        <v>4</v>
      </c>
      <c r="I5" s="523" t="n">
        <f>COUNTIF(Records!$I$203:$I$226,"无明显偏好")</f>
        <v>5</v>
      </c>
      <c r="J5" s="523" t="n">
        <f>SUM(G5:I5)</f>
        <v>24</v>
      </c>
    </row>
    <row r="6">
      <c r="A6" s="523" t="str">
        <f>"Q8 位置正确"</f>
        <v>Q8 位置正确</v>
      </c>
      <c r="B6" s="543" t="n">
        <f>AVERAGEIF(Formula_Scores!$B$205:$B$252,"One-Euro",Formula_Scores!$E$205:$E$252)</f>
        <v>4.472222222222222</v>
      </c>
      <c r="C6" s="543" t="n">
        <f>AVERAGEIF(Formula_Scores!$B$205:$B$252,"EgoAnchor",Formula_Scores!$E$205:$E$252)</f>
        <v>5.166666666666668</v>
      </c>
      <c r="D6" s="543" t="n">
        <f>C6-B6</f>
        <v>0.6944444444444455</v>
      </c>
      <c r="E6" s="523"/>
      <c r="F6" s="523" t="str">
        <v>信任选择</v>
      </c>
      <c r="G6" s="523" t="n">
        <f>COUNTIF(Records!$J$203:$J$226,"EgoAnchor")</f>
        <v>18</v>
      </c>
      <c r="H6" s="523" t="n">
        <f>COUNTIF(Records!$J$203:$J$226,"One-Euro")</f>
        <v>1</v>
      </c>
      <c r="I6" s="523" t="n">
        <f>COUNTIF(Records!$J$203:$J$226,"无明显偏好")</f>
        <v>5</v>
      </c>
      <c r="J6" s="523" t="n">
        <f>SUM(G6:I6)</f>
        <v>24</v>
      </c>
    </row>
    <row r="7">
      <c r="A7" s="523" t="str">
        <f>"Q2 运动附着"</f>
        <v>Q2 运动附着</v>
      </c>
      <c r="B7" s="543" t="n">
        <f>AVERAGEIF(Formula_Scores!$B$205:$B$252,"One-Euro",Formula_Scores!$F$205:$F$252)</f>
        <v>4.874999999999999</v>
      </c>
      <c r="C7" s="543" t="n">
        <f>AVERAGEIF(Formula_Scores!$B$205:$B$252,"EgoAnchor",Formula_Scores!$F$205:$F$252)</f>
        <v>4.98611111111111</v>
      </c>
      <c r="D7" s="543" t="n">
        <f>C7-B7</f>
        <v>0.11111111111111072</v>
      </c>
      <c r="E7" s="523"/>
      <c r="F7" s="523"/>
      <c r="G7" s="523"/>
      <c r="H7" s="523"/>
      <c r="I7" s="523"/>
      <c r="J7" s="523"/>
    </row>
    <row r="8">
      <c r="A8" s="523" t="str">
        <f>"Q9 姿态一致"</f>
        <v>Q9 姿态一致</v>
      </c>
      <c r="B8" s="543" t="n">
        <f>AVERAGEIF(Formula_Scores!$B$205:$B$252,"One-Euro",Formula_Scores!$G$205:$G$252)</f>
        <v>4.88888888888889</v>
      </c>
      <c r="C8" s="543" t="n">
        <f>AVERAGEIF(Formula_Scores!$B$205:$B$252,"EgoAnchor",Formula_Scores!$G$205:$G$252)</f>
        <v>4.98611111111111</v>
      </c>
      <c r="D8" s="543" t="n">
        <f>C8-B8</f>
        <v>0.09722222222221966</v>
      </c>
      <c r="E8" s="523"/>
      <c r="F8" s="523"/>
      <c r="G8" s="523"/>
      <c r="H8" s="523"/>
      <c r="I8" s="523"/>
      <c r="J8" s="523"/>
    </row>
    <row r="9">
      <c r="A9" s="523" t="str">
        <f>"Q3 恢复一致"</f>
        <v>Q3 恢复一致</v>
      </c>
      <c r="B9" s="543" t="n">
        <f>AVERAGEIF(Formula_Scores!$B$205:$B$252,"One-Euro",Formula_Scores!$H$205:$H$252)</f>
        <v>4.152777777777778</v>
      </c>
      <c r="C9" s="543" t="n">
        <f>AVERAGEIF(Formula_Scores!$B$205:$B$252,"EgoAnchor",Formula_Scores!$H$205:$H$252)</f>
        <v>4.958333333333333</v>
      </c>
      <c r="D9" s="543" t="n">
        <f>C9-B9</f>
        <v>0.8055555555555554</v>
      </c>
      <c r="E9" s="523"/>
      <c r="F9" s="553" t="str">
        <v>数据完整性</v>
      </c>
      <c r="G9" s="553" t="str">
        <v>公式</v>
      </c>
      <c r="H9" s="553" t="str">
        <v>期望</v>
      </c>
      <c r="I9" s="523"/>
      <c r="J9" s="523"/>
    </row>
    <row r="10">
      <c r="A10" s="523" t="str">
        <f>"Q6 依赖意愿"</f>
        <v>Q6 依赖意愿</v>
      </c>
      <c r="B10" s="543" t="n">
        <f>AVERAGEIF(Formula_Scores!$B$205:$B$252,"One-Euro",Formula_Scores!$I$205:$I$252)</f>
        <v>4.152777777777777</v>
      </c>
      <c r="C10" s="543" t="n">
        <f>AVERAGEIF(Formula_Scores!$B$205:$B$252,"EgoAnchor",Formula_Scores!$I$205:$I$252)</f>
        <v>4.888888888888888</v>
      </c>
      <c r="D10" s="543" t="n">
        <f>C10-B10</f>
        <v>0.7361111111111116</v>
      </c>
      <c r="E10" s="523"/>
      <c r="F10" s="523" t="str">
        <v>有效区块数</v>
      </c>
      <c r="G10" s="523" t="n">
        <f>COUNTIF(Records!$AD$5:$AD$148,"是")</f>
        <v>144</v>
      </c>
      <c r="H10" s="523" t="n">
        <v>144</v>
      </c>
      <c r="I10" s="523"/>
      <c r="J10" s="523"/>
    </row>
    <row r="11">
      <c r="A11" s="523" t="str">
        <f>"Q7 稳定-响应平衡"</f>
        <v>Q7 稳定-响应平衡</v>
      </c>
      <c r="B11" s="543" t="n">
        <f>AVERAGEIF(Formula_Scores!$B$205:$B$252,"One-Euro",Formula_Scores!$J$205:$J$252)</f>
        <v>4.4305555555555545</v>
      </c>
      <c r="C11" s="543" t="n">
        <f>AVERAGEIF(Formula_Scores!$B$205:$B$252,"EgoAnchor",Formula_Scores!$J$205:$J$252)</f>
        <v>4.902777777777778</v>
      </c>
      <c r="D11" s="543" t="n">
        <f>C11-B11</f>
        <v>0.4722222222222232</v>
      </c>
      <c r="E11" s="523"/>
      <c r="F11" s="523" t="str">
        <v>区块评分数(Q10除外)</v>
      </c>
      <c r="G11" s="523" t="n">
        <f>COUNT(Records!$K$5:$M$148)+COUNT(Records!$O$5:$X$148)</f>
        <v>1872</v>
      </c>
      <c r="H11" s="523" t="n">
        <v>1872</v>
      </c>
      <c r="I11" s="523"/>
      <c r="J11" s="523"/>
    </row>
    <row r="12">
      <c r="A12" s="523" t="str">
        <f>"AQ-EQ"</f>
        <v>AQ-EQ</v>
      </c>
      <c r="B12" s="543" t="n">
        <f>AVERAGEIF(Formula_Scores!$B$205:$B$252,"One-Euro",Formula_Scores!$K$205:$K$252)</f>
        <v>4.6990740740740735</v>
      </c>
      <c r="C12" s="543" t="n">
        <f>AVERAGEIF(Formula_Scores!$B$205:$B$252,"EgoAnchor",Formula_Scores!$K$205:$K$252)</f>
        <v>5.041666666666668</v>
      </c>
      <c r="D12" s="543" t="n">
        <f>C12-B12</f>
        <v>0.34259259259259434</v>
      </c>
      <c r="E12" s="523"/>
      <c r="F12" s="523" t="str">
        <v>Q10 已填写数</v>
      </c>
      <c r="G12" s="523" t="n">
        <f>COUNT(Records!$N$5:$N$148)</f>
        <v>0</v>
      </c>
      <c r="H12" s="523" t="n">
        <v>0</v>
      </c>
      <c r="I12" s="523"/>
      <c r="J12" s="523"/>
    </row>
    <row r="13">
      <c r="A13" s="523" t="str">
        <f>"AQ-IQ"</f>
        <v>AQ-IQ</v>
      </c>
      <c r="B13" s="543" t="n">
        <f>AVERAGEIF(Formula_Scores!$B$205:$B$252,"One-Euro",Formula_Scores!$L$205:$L$252)</f>
        <v>4.893518518518518</v>
      </c>
      <c r="C13" s="543" t="n">
        <f>AVERAGEIF(Formula_Scores!$B$205:$B$252,"EgoAnchor",Formula_Scores!$L$205:$L$252)</f>
        <v>4.949074074074074</v>
      </c>
      <c r="D13" s="543" t="n">
        <f>C13-B13</f>
        <v>0.055555555555556246</v>
      </c>
      <c r="E13" s="523"/>
      <c r="F13" s="523" t="str">
        <v>方法级问卷数</v>
      </c>
      <c r="G13" s="523" t="n">
        <f>COUNT(Records!$E$152:$E$199)</f>
        <v>48</v>
      </c>
      <c r="H13" s="523" t="n">
        <v>48</v>
      </c>
      <c r="I13" s="523"/>
      <c r="J13" s="523"/>
    </row>
    <row r="14">
      <c r="A14" s="523" t="str">
        <f>"TiA R/C"</f>
        <v>TiA R/C</v>
      </c>
      <c r="B14" s="543" t="n">
        <f>AVERAGEIF(Formula_Scores!$B$205:$B$252,"One-Euro",Formula_Scores!$M$205:$M$252)</f>
        <v>4.125000000000001</v>
      </c>
      <c r="C14" s="543" t="n">
        <f>AVERAGEIF(Formula_Scores!$B$205:$B$252,"EgoAnchor",Formula_Scores!$M$205:$M$252)</f>
        <v>4.520833333333333</v>
      </c>
      <c r="D14" s="543" t="n">
        <f>C14-B14</f>
        <v>0.39583333333333215</v>
      </c>
      <c r="E14" s="523"/>
      <c r="F14" s="523" t="str">
        <v>最终问卷数</v>
      </c>
      <c r="G14" s="523" t="n">
        <f>COUNTA(Records!$B$203:$B$226)</f>
        <v>24</v>
      </c>
      <c r="H14" s="523" t="n">
        <v>24</v>
      </c>
      <c r="I14" s="523"/>
      <c r="J14" s="523"/>
    </row>
    <row r="15">
      <c r="A15" s="523" t="str">
        <f>"TiA U/P"</f>
        <v>TiA U/P</v>
      </c>
      <c r="B15" s="543" t="n">
        <f>AVERAGEIF(Formula_Scores!$B$205:$B$252,"One-Euro",Formula_Scores!$N$205:$N$252)</f>
        <v>4.052083333333333</v>
      </c>
      <c r="C15" s="543" t="n">
        <f>AVERAGEIF(Formula_Scores!$B$205:$B$252,"EgoAnchor",Formula_Scores!$N$205:$N$252)</f>
        <v>4.4375</v>
      </c>
      <c r="D15" s="543" t="n">
        <f>C15-B15</f>
        <v>0.38541666666666696</v>
      </c>
      <c r="E15" s="523"/>
      <c r="F15" s="523" t="str">
        <v>进入 Lost 区块</v>
      </c>
      <c r="G15" s="523" t="n">
        <f>COUNTIF(Records!$AL$5:$AL$148,"是")</f>
        <v>0</v>
      </c>
      <c r="H15" s="523" t="n">
        <v>0</v>
      </c>
      <c r="I15" s="523"/>
      <c r="J15" s="523"/>
    </row>
    <row r="16">
      <c r="A16" s="523" t="str">
        <f>"S-TIAS"</f>
        <v>S-TIAS</v>
      </c>
      <c r="B16" s="543" t="n">
        <f>AVERAGEIF(Formula_Scores!$B$205:$B$252,"One-Euro",Formula_Scores!$O$205:$O$252)</f>
        <v>5.305555555555556</v>
      </c>
      <c r="C16" s="543" t="n">
        <f>AVERAGEIF(Formula_Scores!$B$205:$B$252,"EgoAnchor",Formula_Scores!$O$205:$O$252)</f>
        <v>5.791666666666667</v>
      </c>
      <c r="D16" s="543" t="n">
        <f>C16-B16</f>
        <v>0.4861111111111107</v>
      </c>
      <c r="E16" s="523"/>
      <c r="F16" s="523"/>
      <c r="G16" s="523"/>
      <c r="H16" s="523"/>
      <c r="I16" s="523"/>
      <c r="J16" s="523"/>
    </row>
    <row r="17">
      <c r="A17" s="523"/>
      <c r="B17" s="523"/>
      <c r="C17" s="523"/>
      <c r="D17" s="523"/>
      <c r="E17" s="523"/>
      <c r="F17" s="523"/>
      <c r="G17" s="523"/>
      <c r="H17" s="523"/>
      <c r="I17" s="523"/>
      <c r="J17" s="523"/>
    </row>
    <row r="18">
      <c r="A18" s="523"/>
      <c r="B18" s="523"/>
      <c r="C18" s="523"/>
      <c r="D18" s="523"/>
      <c r="E18" s="523"/>
      <c r="F18" s="553" t="str">
        <v>人口学摘要</v>
      </c>
      <c r="G18" s="553" t="str">
        <v>数值</v>
      </c>
      <c r="H18" s="553" t="str">
        <v>备注</v>
      </c>
      <c r="I18" s="523"/>
      <c r="J18" s="523"/>
    </row>
    <row r="19">
      <c r="A19" s="553" t="str">
        <v>模拟机制摘要</v>
      </c>
      <c r="B19" s="553"/>
      <c r="C19" s="553"/>
      <c r="D19" s="553"/>
      <c r="E19" s="523"/>
      <c r="F19" s="523" t="str">
        <v>平均年龄</v>
      </c>
      <c r="G19" s="554" t="n">
        <f>AVERAGE(Participants!L3:L26)</f>
        <v>27</v>
      </c>
      <c r="H19" s="523" t="str">
        <v>岁</v>
      </c>
      <c r="I19" s="523"/>
      <c r="J19" s="523"/>
    </row>
    <row r="20">
      <c r="A20" s="555" t="str">
        <v>每位参与者独立生成：人口学与经验、稳定/响应偏好、信任倾向、区分能力、疲劳、顺序效应和偶发主观事件。物体难度按鼠标（弱纹理）、订书机（方向性明确）、游戏手柄（遮挡更强）建模。EgoAnchor 的主要预期优势集中在静止稳定、位置正确、遮挡恢复与依赖意愿；运动附着和交互质量保留权衡与个体差异。</v>
      </c>
      <c r="B20" s="555"/>
      <c r="C20" s="555"/>
      <c r="D20" s="555"/>
      <c r="E20" s="523"/>
      <c r="F20" s="523" t="str">
        <v>女性人数</v>
      </c>
      <c r="G20" s="523" t="n">
        <f>COUNTIF(Participants!M3:M26,"女")</f>
        <v>11</v>
      </c>
      <c r="H20" s="523" t="str"/>
      <c r="I20" s="523"/>
      <c r="J20" s="523"/>
    </row>
    <row r="21">
      <c r="A21" s="555"/>
      <c r="B21" s="555"/>
      <c r="C21" s="555"/>
      <c r="D21" s="555"/>
      <c r="E21" s="523"/>
      <c r="F21" s="523" t="str">
        <v>男性人数</v>
      </c>
      <c r="G21" s="523" t="n">
        <f>COUNTIF(Participants!M3:M26,"男")</f>
        <v>13</v>
      </c>
      <c r="H21" s="523" t="str"/>
      <c r="I21" s="523"/>
      <c r="J21" s="523"/>
    </row>
    <row r="22">
      <c r="A22" s="555"/>
      <c r="B22" s="555"/>
      <c r="C22" s="555"/>
      <c r="D22" s="555"/>
      <c r="E22" s="523"/>
      <c r="F22" s="523" t="str">
        <v>右手人数</v>
      </c>
      <c r="G22" s="523" t="n">
        <f>COUNTIF(Participants!N3:N26,"右手")</f>
        <v>19</v>
      </c>
      <c r="H22" s="523" t="str"/>
      <c r="I22" s="523"/>
      <c r="J22" s="523"/>
    </row>
    <row r="23">
      <c r="A23" s="555"/>
      <c r="B23" s="555"/>
      <c r="C23" s="555"/>
      <c r="D23" s="555"/>
      <c r="E23" s="523"/>
      <c r="F23" s="523" t="str">
        <v>VR/MR 经常使用</v>
      </c>
      <c r="G23" s="523" t="n">
        <f>COUNTIF(Participants!P3:P26,"经常使用")</f>
        <v>6</v>
      </c>
      <c r="H23" s="523" t="str"/>
      <c r="I23" s="523"/>
      <c r="J23" s="523"/>
    </row>
    <row r="24">
      <c r="A24" s="555"/>
      <c r="B24" s="555"/>
      <c r="C24" s="555"/>
      <c r="D24" s="555"/>
      <c r="E24" s="523"/>
      <c r="F24" s="523" t="str">
        <v>基线轻微不适</v>
      </c>
      <c r="G24" s="523" t="n">
        <f>COUNTIF(Participants!S3:S26,"轻微")</f>
        <v>2</v>
      </c>
      <c r="H24" s="523" t="str"/>
      <c r="I24" s="523"/>
      <c r="J24" s="523"/>
    </row>
    <row r="25">
      <c r="A25" s="555"/>
      <c r="B25" s="555"/>
      <c r="C25" s="555"/>
      <c r="D25" s="555"/>
      <c r="E25" s="523"/>
      <c r="F25" s="523" t="str">
        <v>结束轻微/中等不适</v>
      </c>
      <c r="G25" s="523" t="n">
        <f>COUNTIF(Records!H203:H226,"轻微")+COUNTIF(Records!H203:H226,"中等")</f>
        <v>4</v>
      </c>
      <c r="H25" s="523" t="str"/>
      <c r="I25" s="523"/>
      <c r="J25" s="523"/>
    </row>
    <row r="26">
      <c r="A26" s="555"/>
      <c r="B26" s="555"/>
      <c r="C26" s="555"/>
      <c r="D26" s="555"/>
      <c r="E26" s="523"/>
      <c r="F26" s="523"/>
      <c r="G26" s="523"/>
      <c r="H26" s="523"/>
      <c r="I26" s="523"/>
      <c r="J26" s="523"/>
    </row>
    <row r="27">
      <c r="A27" s="555"/>
      <c r="B27" s="555"/>
      <c r="C27" s="555"/>
      <c r="D27" s="555"/>
      <c r="E27" s="523"/>
      <c r="F27" s="523"/>
      <c r="G27" s="523"/>
      <c r="H27" s="523"/>
      <c r="I27" s="523"/>
      <c r="J27" s="523"/>
    </row>
  </sheetData>
  <mergeCells>
    <mergeCell ref="A1:J1"/>
    <mergeCell ref="A2:J2"/>
    <mergeCell ref="A19:D19"/>
    <mergeCell ref="A20:D2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Verification_Audit</vt:lpstr>
      <vt:lpstr>Questionnaire</vt:lpstr>
      <vt:lpstr>Participants</vt:lpstr>
      <vt:lpstr>Records</vt:lpstr>
      <vt:lpstr>Analysis</vt:lpstr>
      <vt:lpstr>Synthetic_Notice</vt:lpstr>
      <vt:lpstr>Formula_Scores</vt:lpstr>
      <vt:lpstr>Synthetic_Summary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Synthetic Analysis</dc:title>
  <dc:creator>GPT-5.6 Thinking</dc:creator>
  <cp:lastModifiedBy>GPT-5.6 Thinking</cp:lastModifiedBy>
  <dcterms:created xsi:type="dcterms:W3CDTF">2026-07-27T16:47:21Z</dcterms:created>
  <dcterms:modified xsi:type="dcterms:W3CDTF">2026-07-27T16:47:21Z</dcterms:modified>
</cp:coreProperties>
</file>